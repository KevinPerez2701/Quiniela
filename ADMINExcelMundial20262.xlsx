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A99201B-D0FA-491E-A6C2-66EC2FE1AA7E}"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80" yWindow="780"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BA7" i="46" s="1"/>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AT30" i="46"/>
  <c r="BR30" i="46"/>
  <c r="Y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Y200" i="46"/>
  <c r="AB200" i="46"/>
  <c r="BC200" i="46"/>
  <c r="BF200" i="46"/>
  <c r="CM200" i="46"/>
  <c r="K186"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R7" i="46" l="1"/>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AY101" i="3"/>
  <c r="BQ33" i="3"/>
  <c r="BR33" i="3" s="1"/>
  <c r="BQ49" i="3"/>
  <c r="BR49" i="3" s="1"/>
  <c r="BQ51" i="3"/>
  <c r="X97" i="3" l="1"/>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<sst xmlns="http://schemas.openxmlformats.org/spreadsheetml/2006/main" count="8058" uniqueCount="2029">
  <si>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</si>
  <si>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</si>
  <si>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</si>
  <si>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</si>
  <si>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</si>
  <si>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</si>
  <si>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</si>
  <si>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</si>
  <si>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</si>
  <si>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</si>
  <si>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</si>
  <si>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</si>
  <si>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</si>
  <si>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</si>
  <si>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</si>
  <si>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</si>
  <si>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</si>
  <si>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</si>
  <si>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</si>
  <si>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</si>
  <si>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</si>
  <si>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</si>
  <si>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</si>
  <si>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</si>
  <si>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</si>
  <si>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</si>
  <si>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</si>
  <si>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</si>
  <si>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</si>
  <si>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</si>
  <si>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</si>
  <si>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</si>
  <si>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</si>
  <si>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</si>
  <si>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</si>
  <si>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</si>
  <si>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</si>
  <si>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</si>
  <si>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</si>
  <si>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</si>
  <si>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</si>
  <si>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</si>
  <si>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</si>
  <si>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</si>
  <si>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</si>
  <si>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</si>
  <si>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</si>
  <si>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</si>
  <si>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</si>
  <si>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</si>
  <si>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</si>
  <si>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</si>
  <si>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</si>
  <si>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</si>
  <si>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</si>
  <si>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</si>
  <si>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</si>
  <si>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</si>
  <si>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</si>
  <si>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</si>
  <si>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</si>
  <si>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</si>
  <si>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</si>
  <si>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</si>
  <si>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</si>
  <si>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</si>
  <si>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</si>
  <si>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</si>
  <si>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</si>
  <si>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</si>
  <si>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</si>
  <si>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</si>
  <si>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</si>
  <si>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</si>
  <si>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</si>
  <si>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</si>
  <si>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</si>
  <si>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</si>
  <si>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</si>
  <si>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</si>
  <si>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</si>
  <si>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</si>
  <si>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</si>
  <si>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</si>
  <si>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</si>
  <si>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</si>
  <si>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</si>
  <si>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</si>
  <si>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</si>
  <si>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</si>
  <si>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</si>
  <si>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</si>
  <si>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</si>
  <si>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</si>
  <si>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</si>
  <si>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</si>
  <si>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</si>
  <si>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</si>
  <si>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</si>
  <si>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</si>
  <si>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</si>
  <si>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</si>
  <si>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</si>
  <si>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</si>
  <si>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</si>
  <si>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</si>
  <si>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</si>
  <si>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</si>
  <si>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</si>
  <si>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</si>
  <si>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</si>
  <si>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</si>
  <si>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</si>
  <si>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</si>
  <si>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</si>
  <si>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</si>
  <si>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</si>
  <si>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</si>
  <si>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</si>
  <si>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</si>
  <si>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</si>
  <si>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</si>
  <si>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</si>
  <si>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</si>
  <si>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</si>
  <si>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</si>
  <si>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</si>
  <si>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</si>
  <si>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</si>
  <si>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</si>
  <si>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</si>
  <si>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</si>
  <si>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</si>
  <si>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</si>
  <si>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</si>
  <si>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</si>
  <si>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</si>
  <si>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</si>
  <si>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</si>
  <si>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</si>
  <si>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</si>
  <si>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</si>
  <si>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</si>
  <si>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</si>
  <si>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</si>
  <si>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</si>
  <si>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</si>
  <si>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</si>
  <si>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</si>
  <si>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</si>
  <si>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</si>
  <si>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</si>
  <si>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</si>
  <si>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</si>
  <si>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</si>
  <si>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</si>
  <si>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</si>
  <si>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</si>
  <si>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</si>
  <si>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</si>
  <si>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</si>
  <si>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</si>
  <si>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</si>
  <si>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</si>
  <si>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</si>
  <si>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</si>
  <si>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</si>
  <si>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</si>
  <si>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</si>
  <si>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</si>
  <si>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</si>
  <si>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</si>
  <si>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</si>
  <si>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</si>
  <si>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</si>
  <si>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</si>
  <si>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</si>
  <si>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</si>
  <si>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</si>
  <si>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</si>
  <si>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</si>
  <si>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</si>
  <si>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</si>
  <si>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</si>
  <si>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</si>
  <si>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</si>
  <si>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</si>
  <si>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</si>
  <si>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</si>
  <si>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</si>
  <si>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</si>
  <si>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</si>
  <si>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</si>
  <si>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</si>
  <si>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</si>
  <si>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</si>
  <si>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</si>
  <si>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</si>
  <si>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</si>
  <si>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</si>
  <si>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</si>
  <si>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</si>
  <si>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</si>
  <si>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</si>
  <si>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</si>
  <si>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</si>
  <si>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</si>
  <si>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</si>
  <si>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</si>
  <si>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</si>
  <si>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</si>
  <si>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</si>
  <si>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</si>
  <si>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</si>
  <si>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</si>
  <si>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</si>
  <si>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</si>
  <si>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</si>
  <si>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</si>
  <si>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</si>
  <si>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</si>
  <si>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</si>
  <si>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</si>
  <si>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</si>
  <si>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</si>
  <si>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</si>
  <si>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</si>
  <si>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</si>
  <si>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</si>
  <si>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</si>
  <si>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</si>
  <si>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</si>
  <si>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</si>
  <si>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</si>
  <si>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</si>
  <si>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</si>
  <si>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</si>
  <si>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</si>
  <si>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</si>
  <si>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</si>
  <si>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</si>
  <si>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</si>
  <si>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</si>
  <si>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</si>
  <si>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</si>
  <si>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</si>
  <si>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</si>
  <si>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</si>
  <si>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</si>
  <si>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</si>
  <si>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</si>
  <si>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</si>
  <si>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</si>
  <si>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</si>
  <si>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</si>
  <si>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</si>
  <si>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</si>
  <si>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</si>
  <si>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</si>
  <si>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</si>
  <si>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</si>
  <si>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</si>
  <si>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</si>
  <si>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</si>
  <si>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</si>
  <si>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</si>
  <si>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</si>
  <si>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</si>
  <si>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</si>
  <si>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</si>
  <si>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</si>
  <si>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</si>
  <si>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</si>
  <si>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</si>
  <si>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</si>
  <si>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</si>
  <si>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</si>
  <si>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</si>
  <si>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</si>
  <si>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</si>
  <si>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</si>
  <si>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</si>
  <si>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</si>
  <si>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</si>
  <si>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</si>
  <si>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</si>
  <si>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</si>
  <si>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</si>
  <si>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</si>
  <si>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</si>
  <si>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</si>
  <si>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</si>
  <si>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</si>
  <si>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</si>
  <si>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</si>
  <si>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</si>
  <si>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</si>
  <si>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</si>
  <si>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</si>
  <si>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</si>
  <si>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</si>
  <si>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</si>
  <si>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</si>
  <si>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</si>
  <si>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</si>
  <si>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</si>
  <si>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</si>
  <si>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</si>
  <si>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</si>
  <si>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</si>
  <si>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</si>
  <si>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</si>
  <si>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</si>
  <si>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</si>
  <si>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</si>
  <si>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</si>
  <si>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</si>
  <si>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</si>
  <si>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</si>
  <si>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</si>
  <si>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</si>
  <si>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</si>
  <si>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</si>
  <si>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</si>
  <si>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</si>
  <si>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</si>
  <si>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</si>
  <si>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</si>
  <si>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</si>
  <si>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</si>
  <si>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</si>
  <si>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</si>
  <si>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</si>
  <si>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</si>
  <si>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</si>
  <si>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</si>
  <si>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</si>
  <si>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</si>
  <si>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</si>
  <si>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</si>
  <si>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</si>
  <si>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</si>
  <si>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</si>
  <si>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</si>
  <si>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</si>
  <si>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</si>
  <si>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</si>
  <si>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</si>
  <si>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</si>
  <si>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</si>
  <si>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</si>
  <si>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</si>
  <si>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</si>
  <si>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</si>
  <si>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</si>
  <si>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</si>
  <si>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</si>
  <si>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</si>
  <si>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</si>
  <si>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</si>
  <si>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</si>
  <si>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</si>
  <si>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</si>
  <si>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</si>
  <si>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</si>
  <si>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</si>
  <si>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</si>
  <si>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</si>
  <si>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</si>
  <si>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</si>
  <si>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</si>
  <si>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</si>
  <si>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</si>
  <si>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</si>
  <si>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</si>
  <si>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</si>
  <si>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</si>
  <si>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</si>
  <si>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</si>
  <si>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</si>
  <si>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</si>
  <si>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</si>
  <si>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</si>
  <si>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</si>
  <si>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</si>
  <si>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</si>
  <si>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</si>
  <si>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</si>
  <si>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</si>
  <si>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</si>
  <si>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</si>
  <si>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</si>
  <si>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</si>
  <si>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</si>
  <si>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</si>
  <si>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</si>
  <si>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</si>
  <si>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</si>
  <si>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</si>
  <si>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</si>
  <si>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</si>
  <si>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</si>
  <si>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</si>
  <si>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</si>
  <si>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</si>
  <si>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</si>
  <si>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</si>
  <si>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</si>
  <si>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</si>
  <si>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</si>
  <si>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</si>
  <si>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</si>
  <si>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</si>
  <si>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</si>
  <si>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</si>
  <si>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</si>
  <si>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</si>
  <si>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</si>
  <si>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</si>
  <si>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</si>
  <si>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</si>
  <si>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</si>
  <si>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</si>
  <si>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</si>
  <si>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</si>
  <si>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</si>
  <si>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</si>
  <si>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</si>
  <si>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</si>
  <si>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</si>
  <si>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</si>
  <si>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</si>
  <si>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</si>
  <si>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</si>
  <si>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</si>
  <si>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</si>
  <si>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</si>
  <si>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</si>
  <si>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</si>
  <si>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</si>
  <si>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</si>
  <si>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</si>
  <si>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</si>
  <si>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</si>
  <si>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</si>
  <si>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</si>
  <si>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</si>
  <si>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</si>
  <si>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</si>
  <si>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</si>
  <si>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</si>
  <si>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</si>
  <si>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</si>
  <si>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</si>
  <si>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</si>
  <si>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</si>
  <si>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</si>
  <si>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</si>
  <si>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</si>
  <si>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</si>
  <si>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</si>
  <si>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</si>
  <si>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</si>
  <si>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</si>
  <si>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</si>
  <si>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</si>
  <si>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</si>
  <si>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</si>
  <si>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</si>
  <si>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</si>
  <si>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</si>
  <si>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</si>
  <si>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</si>
  <si>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</si>
  <si>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</si>
  <si>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</si>
  <si>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</si>
  <si>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</si>
  <si>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</si>
  <si>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</si>
  <si>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</si>
  <si>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</si>
  <si>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</si>
  <si>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</si>
  <si>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</si>
  <si>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</si>
  <si>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</si>
  <si>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</si>
  <si>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</si>
  <si>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</si>
  <si>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</si>
  <si>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</si>
  <si>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</si>
  <si>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</si>
  <si>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</si>
  <si>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</si>
  <si>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</si>
  <si>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</si>
  <si>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</si>
  <si>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</si>
  <si>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</si>
  <si>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</si>
  <si>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</si>
  <si>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</si>
  <si>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</si>
  <si>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</si>
  <si>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</si>
  <si>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</si>
  <si>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</si>
  <si>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</si>
  <si>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</si>
  <si>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</si>
  <si>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</si>
  <si>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</si>
  <si>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</si>
  <si>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</si>
  <si>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</si>
  <si>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</si>
  <si>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</si>
  <si>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</si>
  <si>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</si>
  <si>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</si>
  <si>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</si>
  <si>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</si>
  <si>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</si>
  <si>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</si>
  <si>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</si>
  <si>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</si>
  <si>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</si>
  <si>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</si>
  <si>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</si>
  <si>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</si>
  <si>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</si>
  <si>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</si>
  <si>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</si>
  <si>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</si>
  <si>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</si>
  <si>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</si>
  <si>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</si>
  <si>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</si>
  <si>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</si>
  <si>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</si>
  <si>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</si>
  <si>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</si>
  <si>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</si>
  <si>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</si>
  <si>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</si>
  <si>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</si>
  <si>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</si>
  <si>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</si>
  <si>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</si>
  <si>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</si>
  <si>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</si>
  <si>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</si>
  <si>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</si>
  <si>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</si>
  <si>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</si>
  <si>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</si>
  <si>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</si>
  <si>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</si>
  <si>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</si>
  <si>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</si>
  <si>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</si>
  <si>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</si>
  <si>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</si>
  <si>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</si>
  <si>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</si>
  <si>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</si>
  <si>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</si>
  <si>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</si>
  <si>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</si>
  <si>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</si>
  <si>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</si>
  <si>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</si>
  <si>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</si>
  <si>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</si>
  <si>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</si>
  <si>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</si>
  <si>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</si>
  <si>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</si>
  <si>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</si>
  <si>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</si>
  <si>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</si>
  <si>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</si>
  <si>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</si>
  <si>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</si>
  <si>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</si>
  <si>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</si>
  <si>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</si>
  <si>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</si>
  <si>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</si>
  <si>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</si>
  <si>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</si>
  <si>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</si>
  <si>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</si>
  <si>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</si>
  <si>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</si>
  <si>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</si>
  <si>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</si>
  <si>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</si>
  <si>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</si>
  <si>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</si>
  <si>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</si>
  <si>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</si>
  <si>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</si>
  <si>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</si>
  <si>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</si>
  <si>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</si>
  <si>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</si>
  <si>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</si>
  <si>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</si>
  <si>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</si>
  <si>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</si>
  <si>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</si>
  <si>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</si>
  <si>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</si>
  <si>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</si>
  <si>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</si>
  <si>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</si>
  <si>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</si>
  <si>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</si>
  <si>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</si>
  <si>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</si>
  <si>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</si>
  <si>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</si>
  <si>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</si>
  <si>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</si>
  <si>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</si>
  <si>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</si>
  <si>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</si>
  <si>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</si>
  <si>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</si>
  <si>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</si>
  <si>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</si>
  <si>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</si>
  <si>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</si>
  <si>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</si>
  <si>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</si>
  <si>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</si>
  <si>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</si>
  <si>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</si>
  <si>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</si>
  <si>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</si>
  <si>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</si>
  <si>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</si>
  <si>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</si>
  <si>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</si>
  <si>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</si>
  <si>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</si>
  <si>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</si>
  <si>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</si>
  <si>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</si>
  <si>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</si>
  <si>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</si>
  <si>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</si>
  <si>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</si>
  <si>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</si>
  <si>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</si>
  <si>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</si>
  <si>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</si>
  <si>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</si>
  <si>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</si>
  <si>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</si>
  <si>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</si>
  <si>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</si>
  <si>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</si>
  <si>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</si>
  <si>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</si>
  <si>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</si>
  <si>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</si>
  <si>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</si>
  <si>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</si>
  <si>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</si>
  <si>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</si>
  <si>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</si>
  <si>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</si>
  <si>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</si>
  <si>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</si>
  <si>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</si>
  <si>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</si>
  <si>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</si>
  <si>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</si>
  <si>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</si>
  <si>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</si>
  <si>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</si>
  <si>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</si>
  <si>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</si>
  <si>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</si>
  <si>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</si>
  <si>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</si>
  <si>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</si>
  <si>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</si>
  <si>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</si>
  <si>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</si>
  <si>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</si>
  <si>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</si>
  <si>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</si>
  <si>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</si>
  <si>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</si>
  <si>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</si>
  <si>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</si>
  <si>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</si>
  <si>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</si>
  <si>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</si>
  <si>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</si>
  <si>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</si>
  <si>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</si>
  <si>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</si>
  <si>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</si>
  <si>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</si>
  <si>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</si>
  <si>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</si>
  <si>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</si>
  <si>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</si>
  <si>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</si>
  <si>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</si>
  <si>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</si>
  <si>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</si>
  <si>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</si>
  <si>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</si>
  <si>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</si>
  <si>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</si>
  <si>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</si>
  <si>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</si>
  <si>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</si>
  <si>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</si>
  <si>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</si>
  <si>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</si>
  <si>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</si>
  <si>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</si>
  <si>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</si>
  <si>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</si>
  <si>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</si>
  <si>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</si>
  <si>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</si>
  <si>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</si>
  <si>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</si>
  <si>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</si>
  <si>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</si>
  <si>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</si>
  <si>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</si>
  <si>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</si>
  <si>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</si>
  <si>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</si>
  <si>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</si>
  <si>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</si>
  <si>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</si>
  <si>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</si>
  <si>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</si>
  <si>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</si>
  <si>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</si>
  <si>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</si>
  <si>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</si>
  <si>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</si>
  <si>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</si>
  <si>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</si>
  <si>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</si>
  <si>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</si>
  <si>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</si>
  <si>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</si>
  <si>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</si>
  <si>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</si>
  <si>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</si>
  <si>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</si>
  <si>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</si>
  <si>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</si>
  <si>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</si>
  <si>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</si>
  <si>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</si>
  <si>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</si>
  <si>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</si>
  <si>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</si>
  <si>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</si>
  <si>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</si>
  <si>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</si>
  <si>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</si>
  <si>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</si>
  <si>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</si>
  <si>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</si>
  <si>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</si>
  <si>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</si>
  <si>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</si>
  <si>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</si>
  <si>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</si>
  <si>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</si>
  <si>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</si>
  <si>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</si>
  <si>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</si>
  <si>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</si>
  <si>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</si>
  <si>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</si>
  <si>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</si>
  <si>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</si>
  <si>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</si>
  <si>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</si>
  <si>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</si>
  <si>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</si>
  <si>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</si>
  <si>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</si>
  <si>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</si>
  <si>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</si>
  <si>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</si>
  <si>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</si>
  <si>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</si>
  <si>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</si>
  <si>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</si>
  <si>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</si>
  <si>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</si>
  <si>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</si>
  <si>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</si>
  <si>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</si>
  <si>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</si>
  <si>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</si>
  <si>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</si>
  <si>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</si>
  <si>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</si>
  <si>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</si>
  <si>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</si>
  <si>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</si>
  <si>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</si>
  <si>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</si>
  <si>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</si>
  <si>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</si>
  <si>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</si>
  <si>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</si>
  <si>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</si>
  <si>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</si>
  <si>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</si>
  <si>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</si>
  <si>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</si>
  <si>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</si>
  <si>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</si>
  <si>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</si>
  <si>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</si>
  <si>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</si>
  <si>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</si>
  <si>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</si>
  <si>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</si>
  <si>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</si>
  <si>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</si>
  <si>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</si>
  <si>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</si>
  <si>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</si>
  <si>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</si>
  <si>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</si>
  <si>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</si>
  <si>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</si>
  <si>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</si>
  <si>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</si>
  <si>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</si>
  <si>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</si>
  <si>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</si>
  <si>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</si>
  <si>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</si>
  <si>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</si>
  <si>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</si>
  <si>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</si>
  <si>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</si>
  <si>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</si>
  <si>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</si>
  <si>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</si>
  <si>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</si>
  <si>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</si>
  <si>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</si>
  <si>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</si>
  <si>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</si>
  <si>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</si>
  <si>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</si>
  <si>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</si>
  <si>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</si>
  <si>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</si>
  <si>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</si>
  <si>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</si>
  <si>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</si>
  <si>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</si>
  <si>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</si>
  <si>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</si>
  <si>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</si>
  <si>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</si>
  <si>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</si>
  <si>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</si>
  <si>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</si>
  <si>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</si>
  <si>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</si>
  <si>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</si>
  <si>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</si>
  <si>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</si>
  <si>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</si>
  <si>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</si>
  <si>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</si>
  <si>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</si>
  <si>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</si>
  <si>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</si>
  <si>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</si>
  <si>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</si>
  <si>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</si>
  <si>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</si>
  <si>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</si>
  <si>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</si>
  <si>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</si>
  <si>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</si>
  <si>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</si>
  <si>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</si>
  <si>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</si>
  <si>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</si>
  <si>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</si>
  <si>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</si>
  <si>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</si>
  <si>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</si>
  <si>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</si>
  <si>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</si>
  <si>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</si>
  <si>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</si>
  <si>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</si>
  <si>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</si>
  <si>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</si>
  <si>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</si>
  <si>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</si>
  <si>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</si>
  <si>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</si>
  <si>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</si>
  <si>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</si>
  <si>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</si>
  <si>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</si>
  <si>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</si>
  <si>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</si>
  <si>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</si>
  <si>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</si>
  <si>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</si>
  <si>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</si>
  <si>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</si>
  <si>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</si>
  <si>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</si>
  <si>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</si>
  <si>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</si>
  <si>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</si>
  <si>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</si>
  <si>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</si>
  <si>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</si>
  <si>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</si>
  <si>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</si>
  <si>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</si>
  <si>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</si>
  <si>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</si>
  <si>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</si>
  <si>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</si>
  <si>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</si>
  <si>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</si>
  <si>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</si>
  <si>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</si>
  <si>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</si>
  <si>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</si>
  <si>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</si>
  <si>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</si>
  <si>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</si>
  <si>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</si>
  <si>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</si>
  <si>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</si>
  <si>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</si>
  <si>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</si>
  <si>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</si>
  <si>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</si>
  <si>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</si>
  <si>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</si>
  <si>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</si>
  <si>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</si>
  <si>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</si>
  <si>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</si>
  <si>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</si>
  <si>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</si>
  <si>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</si>
  <si>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</si>
  <si>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</si>
  <si>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</si>
  <si>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</si>
  <si>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</si>
  <si>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</si>
  <si>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</si>
  <si>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</si>
  <si>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</si>
  <si>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</si>
  <si>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</si>
  <si>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</si>
  <si>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</si>
  <si>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</si>
  <si>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</si>
  <si>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</si>
  <si>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</si>
  <si>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</si>
  <si>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</si>
  <si>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</si>
  <si>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</si>
  <si>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</si>
  <si>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</si>
  <si>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</si>
  <si>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</si>
  <si>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</si>
  <si>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</si>
  <si>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</si>
  <si>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</si>
  <si>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</si>
  <si>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</si>
  <si>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</si>
  <si>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</si>
  <si>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</si>
  <si>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</si>
  <si>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</si>
  <si>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</si>
  <si>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</si>
  <si>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</si>
  <si>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</si>
  <si>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</si>
  <si>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</si>
  <si>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</si>
  <si>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</si>
  <si>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</si>
  <si>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</si>
  <si>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</si>
  <si>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</si>
  <si>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</si>
  <si>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</si>
  <si>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</si>
  <si>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</si>
  <si>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</si>
  <si>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</si>
  <si>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</si>
  <si>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</si>
  <si>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</si>
  <si>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</si>
  <si>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</si>
  <si>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</si>
  <si>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</si>
  <si>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</si>
  <si>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</si>
  <si>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</si>
  <si>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</si>
  <si>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</si>
  <si>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</si>
  <si>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</si>
  <si>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</si>
  <si>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</si>
  <si>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</si>
  <si>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</si>
  <si>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</si>
  <si>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</si>
  <si>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</si>
  <si>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</si>
  <si>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</si>
  <si>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</si>
  <si>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</si>
  <si>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</si>
  <si>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</si>
  <si>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</si>
  <si>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</si>
  <si>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</si>
  <si>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</si>
  <si>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</si>
  <si>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</si>
  <si>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</si>
  <si>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</si>
  <si>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</si>
  <si>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</si>
  <si>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</si>
  <si>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</si>
  <si>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</si>
  <si>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</si>
  <si>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</si>
  <si>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</si>
  <si>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</si>
  <si>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</si>
  <si>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</si>
  <si>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</si>
  <si>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</si>
  <si>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</si>
  <si>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</si>
  <si>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</si>
  <si>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</si>
  <si>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</si>
  <si>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</si>
  <si>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</si>
  <si>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</si>
  <si>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</si>
  <si>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</si>
  <si>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</si>
  <si>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</si>
  <si>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</si>
  <si>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</si>
  <si>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</si>
  <si>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</si>
  <si>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</si>
  <si>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</si>
  <si>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</si>
  <si>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</si>
  <si>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</si>
  <si>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</si>
  <si>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</si>
  <si>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</si>
  <si>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</si>
  <si>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</si>
  <si>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</si>
  <si>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</si>
  <si>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</si>
  <si>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</si>
  <si>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</si>
  <si>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</si>
  <si>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</si>
  <si>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</si>
  <si>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</si>
  <si>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</si>
  <si>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</si>
  <si>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</si>
  <si>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</si>
  <si>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</si>
  <si>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</si>
  <si>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</si>
  <si>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</si>
  <si>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</si>
  <si>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</si>
  <si>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</si>
  <si>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</si>
  <si>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</si>
  <si>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</si>
  <si>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</si>
  <si>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</si>
  <si>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</si>
  <si>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</si>
  <si>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</si>
  <si>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</si>
  <si>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</si>
  <si>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</si>
  <si>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</si>
  <si>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</si>
  <si>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</si>
  <si>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</si>
  <si>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</si>
  <si>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</si>
  <si>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</si>
  <si>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</si>
  <si>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</si>
  <si>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</si>
  <si>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</si>
  <si>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</si>
  <si>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</si>
  <si>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</si>
  <si>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</si>
  <si>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</si>
  <si>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</si>
  <si>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</si>
  <si>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</si>
  <si>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</si>
  <si>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</si>
  <si>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</si>
  <si>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</si>
  <si>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</si>
  <si>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</si>
  <si>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</si>
  <si>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</si>
  <si>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</si>
  <si>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</si>
  <si>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</si>
  <si>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</si>
  <si>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</si>
  <si>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</si>
  <si>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</si>
  <si>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</si>
  <si>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</si>
  <si>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</si>
  <si>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</si>
  <si>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</si>
  <si>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</si>
  <si>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</si>
  <si>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</si>
  <si>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</si>
  <si>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</si>
  <si>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</si>
  <si>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</si>
  <si>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</si>
  <si>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</si>
  <si>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</si>
  <si>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</si>
  <si>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</si>
  <si>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</si>
  <si>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</si>
  <si>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</si>
  <si>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</si>
  <si>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</si>
  <si>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</si>
  <si>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</si>
  <si>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</si>
  <si>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</si>
  <si>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</si>
  <si>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</si>
  <si>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</si>
  <si>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</si>
  <si>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</si>
  <si>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</si>
  <si>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</si>
  <si>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</si>
  <si>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</si>
  <si>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</si>
  <si>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</si>
  <si>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</si>
  <si>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</si>
  <si>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</si>
  <si>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</si>
  <si>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</si>
  <si>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</si>
  <si>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</si>
  <si>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</si>
  <si>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</si>
  <si>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</si>
  <si>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</si>
  <si>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</si>
  <si>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</si>
  <si>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</si>
  <si>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</si>
  <si>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</si>
  <si>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</si>
  <si>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</si>
  <si>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</si>
  <si>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</si>
  <si>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</si>
  <si>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</si>
  <si>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</si>
  <si>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</si>
  <si>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</si>
  <si>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</si>
  <si>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</si>
  <si>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</si>
  <si>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</si>
  <si>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</si>
  <si>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</si>
  <si>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</si>
  <si>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</si>
  <si>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</si>
  <si>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</si>
  <si>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</si>
  <si>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</si>
  <si>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</si>
  <si>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</si>
  <si>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</si>
  <si>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</si>
  <si>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</si>
  <si>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</si>
  <si>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</si>
  <si>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</si>
  <si>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</si>
  <si>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</si>
  <si>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</si>
  <si>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</si>
  <si>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</si>
  <si>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</si>
  <si>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</si>
  <si>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</si>
  <si>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</si>
  <si>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</si>
  <si>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</si>
  <si>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</si>
  <si>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</si>
  <si>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</si>
  <si>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</si>
  <si>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</si>
  <si>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</si>
  <si>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</si>
  <si>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</si>
  <si>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</si>
  <si>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</si>
  <si>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</si>
  <si>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</si>
  <si>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</si>
  <si>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</si>
  <si>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</si>
  <si>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</si>
  <si>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</si>
  <si>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</si>
  <si>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</si>
  <si>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</si>
  <si>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</si>
  <si>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</si>
  <si>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</si>
  <si>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</si>
  <si>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</si>
  <si>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</si>
  <si>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</si>
  <si>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</si>
  <si>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</si>
  <si>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</si>
  <si>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</si>
  <si>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</si>
  <si>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</si>
  <si>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</si>
  <si>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</si>
  <si>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</si>
  <si>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</si>
  <si>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</si>
  <si>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</si>
  <si>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</si>
  <si>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</si>
  <si>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</si>
  <si>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</si>
  <si>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</si>
  <si>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</si>
  <si>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</si>
  <si>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</si>
  <si>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</si>
  <si>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</si>
  <si>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</si>
  <si>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</si>
  <si>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</si>
  <si>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</si>
  <si>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</si>
  <si>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</si>
  <si>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</si>
  <si>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</si>
  <si>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</si>
  <si>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</si>
  <si>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</si>
  <si>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</si>
  <si>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</si>
  <si>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</si>
  <si>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</si>
  <si>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</si>
  <si>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</si>
  <si>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</si>
  <si>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</si>
  <si>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</si>
  <si>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</si>
  <si>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</si>
  <si>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</si>
  <si>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</si>
  <si>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</si>
  <si>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</si>
  <si>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</si>
  <si>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</si>
  <si>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</si>
  <si>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</si>
  <si>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</si>
  <si>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</si>
  <si>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</si>
  <si>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</si>
  <si>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</si>
  <si>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</si>
  <si>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</si>
  <si>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</si>
  <si>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</si>
  <si>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</si>
  <si>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</si>
  <si>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</si>
  <si>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</si>
  <si>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</si>
  <si>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</si>
  <si>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</si>
  <si>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</si>
  <si>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</si>
  <si>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</si>
  <si>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</si>
  <si>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</si>
  <si>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</si>
  <si>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</si>
  <si>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</si>
  <si>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</si>
  <si>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</si>
  <si>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</si>
  <si>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</si>
  <si>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</si>
  <si>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</si>
  <si>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</si>
  <si>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</si>
  <si>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</si>
  <si>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</si>
  <si>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</si>
  <si>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</si>
  <si>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</si>
  <si>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</si>
  <si>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</si>
  <si>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</si>
  <si>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</si>
  <si>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</si>
  <si>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</si>
  <si>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</si>
  <si>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</si>
  <si>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</si>
  <si>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</si>
  <si>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</si>
  <si>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</si>
  <si>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</si>
  <si>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</si>
  <si>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</si>
  <si>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</si>
  <si>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</si>
  <si>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</si>
  <si>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</si>
  <si>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</si>
  <si>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</si>
  <si>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</si>
  <si>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</si>
  <si>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</si>
  <si>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</si>
  <si>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</si>
  <si>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</si>
  <si>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</si>
  <si>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</si>
  <si>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</si>
  <si>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</si>
  <si>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</si>
  <si>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</si>
  <si>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</si>
  <si>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</si>
  <si>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</si>
  <si>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</si>
  <si>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</si>
  <si>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</si>
  <si>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</si>
  <si>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</si>
  <si>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</si>
  <si>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</si>
  <si>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</si>
  <si>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</si>
  <si>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</si>
  <si>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</si>
  <si>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</si>
  <si>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</si>
  <si>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</si>
  <si>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</si>
  <si>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</si>
  <si>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</si>
  <si>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</si>
  <si>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</si>
  <si>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</si>
  <si>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</si>
  <si>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</si>
  <si>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</si>
  <si>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</si>
  <si>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</si>
  <si>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</si>
  <si>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</si>
  <si>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</si>
  <si>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</si>
  <si>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</si>
  <si>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</si>
  <si>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</si>
  <si>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</si>
  <si>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</si>
  <si>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</si>
  <si>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</si>
  <si>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</si>
  <si>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</si>
  <si>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</si>
  <si>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</si>
  <si>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</si>
  <si>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</si>
  <si>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</si>
  <si>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</si>
  <si>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</si>
  <si>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</si>
  <si>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</si>
  <si>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</si>
  <si>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</si>
  <si>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</si>
  <si>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</si>
  <si>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</si>
  <si>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</si>
  <si>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</si>
  <si>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</si>
  <si>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</si>
  <si>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</si>
  <si>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</si>
  <si>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</si>
  <si>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</si>
  <si>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</si>
  <si>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</si>
  <si>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</si>
  <si>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</si>
  <si>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</si>
  <si>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</si>
  <si>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</si>
  <si>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</si>
  <si>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</si>
  <si>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</si>
  <si>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</si>
  <si>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</si>
  <si>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</si>
  <si>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</si>
  <si>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</si>
  <si>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</si>
  <si>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</si>
  <si>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</si>
  <si>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</si>
  <si>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</si>
  <si>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</si>
  <si>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</si>
  <si>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</si>
  <si>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</si>
  <si>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</si>
  <si>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</si>
  <si>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</si>
  <si>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</si>
  <si>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</si>
  <si>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</si>
  <si>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</si>
  <si>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</si>
  <si>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</si>
  <si>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</si>
  <si>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</si>
  <si>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</si>
  <si>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</si>
  <si>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</si>
  <si>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</si>
  <si>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</si>
  <si>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</si>
  <si>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</si>
  <si>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</si>
  <si>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</si>
  <si>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</si>
  <si>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</si>
  <si>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</si>
  <si>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</si>
  <si>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</si>
  <si>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</si>
  <si>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</si>
  <si>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</si>
  <si>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</si>
  <si>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</si>
  <si>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</si>
  <si>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</si>
  <si>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</si>
  <si>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</si>
  <si>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</si>
  <si>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</si>
  <si>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</si>
  <si>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</si>
  <si>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</si>
  <si>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</si>
  <si>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</si>
  <si>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</si>
  <si>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</si>
  <si>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</si>
  <si>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</si>
  <si>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</si>
  <si>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</si>
  <si>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</si>
  <si>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</si>
  <si>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</si>
  <si>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</si>
  <si>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</si>
  <si>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</si>
  <si>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</si>
  <si>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</si>
  <si>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</si>
  <si>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</si>
  <si>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</si>
  <si>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</si>
  <si>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</si>
  <si>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</si>
  <si>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</si>
  <si>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</si>
  <si>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</si>
  <si>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</si>
  <si>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</si>
  <si>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</si>
  <si>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</si>
  <si>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</si>
  <si>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</si>
  <si>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</si>
  <si>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</si>
  <si>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</si>
  <si>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</si>
  <si>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</si>
  <si>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</si>
  <si>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</si>
  <si>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</si>
  <si>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</si>
  <si>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</si>
  <si>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</si>
  <si>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</si>
  <si>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</si>
  <si>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</si>
  <si>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</si>
  <si>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</si>
  <si>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</si>
  <si>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</si>
  <si>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</si>
  <si>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</si>
  <si>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</si>
  <si>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</si>
  <si>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</si>
  <si>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</si>
  <si>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</si>
  <si>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</si>
  <si>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</si>
  <si>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</si>
  <si>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</si>
  <si>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</si>
  <si>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</si>
  <si>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</si>
  <si>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</si>
  <si>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</si>
  <si>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</si>
  <si>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</si>
  <si>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</si>
  <si>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</si>
  <si>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</si>
  <si>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</si>
  <si>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</si>
  <si>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</si>
  <si>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</si>
  <si>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</si>
  <si>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</si>
  <si>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</si>
  <si>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</si>
  <si>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</si>
  <si>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</si>
  <si>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</si>
  <si>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</si>
  <si>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</si>
  <si>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</si>
  <si>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</si>
  <si>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</si>
  <si>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</si>
  <si>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</si>
  <si>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</si>
  <si>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</si>
  <si>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</si>
  <si>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</si>
  <si>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</si>
  <si>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</si>
  <si>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</si>
  <si>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</si>
  <si>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</si>
  <si>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</si>
  <si>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</si>
  <si>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</si>
  <si>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</si>
  <si>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</si>
  <si>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</si>
  <si>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</si>
  <si>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</si>
  <si>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</si>
  <si>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</si>
  <si>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</si>
  <si>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</si>
  <si>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</si>
  <si>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</si>
  <si>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</si>
  <si>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</si>
  <si>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</si>
  <si>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</si>
  <si>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</si>
  <si>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</si>
  <si>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</si>
  <si>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</si>
  <si>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</si>
  <si>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</si>
  <si>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</si>
  <si>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</si>
  <si>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</si>
  <si>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</si>
  <si>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</si>
  <si>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</si>
  <si>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</si>
  <si>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</si>
  <si>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</si>
  <si>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</si>
  <si>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</si>
  <si>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</si>
  <si>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</si>
  <si>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</si>
  <si>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</si>
  <si>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</si>
  <si>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</si>
  <si>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</si>
  <si>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</si>
  <si>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</si>
  <si>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</si>
  <si>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</si>
  <si>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</si>
  <si>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</si>
  <si>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</si>
  <si>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</si>
  <si>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</si>
  <si>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</si>
  <si>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</si>
  <si>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</si>
  <si>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</si>
  <si>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</si>
  <si>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</si>
  <si>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</si>
  <si>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</si>
  <si>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</si>
  <si>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</si>
  <si>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</si>
  <si>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</si>
  <si>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</si>
  <si>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</si>
  <si>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</si>
  <si>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</si>
  <si>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</si>
  <si>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</si>
  <si>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</si>
  <si>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</si>
  <si>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</si>
  <si>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</si>
  <si>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</si>
  <si>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</si>
  <si>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</si>
  <si>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</si>
  <si>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</si>
  <si>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</si>
  <si>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</si>
  <si>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</si>
  <si>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</si>
  <si>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</si>
  <si>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</si>
  <si>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</si>
  <si>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</si>
  <si>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</si>
  <si>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</si>
  <si>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</si>
  <si>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</si>
  <si>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</si>
  <si>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</si>
  <si>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</si>
  <si>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</si>
  <si>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</si>
  <si>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</si>
  <si>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</si>
  <si>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</si>
  <si>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</si>
  <si>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</si>
  <si>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</si>
  <si>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</si>
  <si>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</si>
  <si>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</si>
  <si>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</si>
  <si>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</si>
  <si>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</si>
  <si>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</si>
  <si>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</si>
  <si>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</si>
  <si>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</si>
  <si>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</si>
  <si>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</si>
  <si>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</si>
  <si>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</si>
  <si>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</si>
  <si>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</si>
  <si>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</si>
  <si>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</si>
  <si>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</si>
  <si>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</si>
  <si>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</si>
  <si>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</si>
  <si>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</si>
  <si>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</si>
  <si>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</si>
  <si>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</si>
  <si>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</si>
  <si>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</si>
  <si>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</si>
  <si>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</si>
  <si>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</si>
  <si>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</si>
  <si>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</si>
  <si>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</si>
  <si>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</si>
  <si>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</si>
  <si>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</si>
  <si>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</si>
  <si>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</si>
  <si>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</si>
  <si>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</si>
  <si>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</si>
  <si>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</si>
  <si>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</si>
  <si>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</si>
  <si>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</si>
  <si>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</si>
  <si>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</si>
  <si>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</si>
  <si>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</si>
  <si>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</si>
  <si>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</si>
  <si>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</si>
  <si>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</si>
  <si>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</si>
  <si>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</si>
  <si>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</si>
  <si>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</si>
  <si>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</si>
  <si>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</si>
  <si>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</si>
  <si>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</si>
  <si>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</si>
  <si>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</si>
  <si>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</si>
  <si>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</si>
  <si>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</si>
  <si>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</si>
  <si>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</si>
  <si>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</si>
  <si>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</si>
  <si>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</si>
  <si>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</si>
  <si>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</si>
  <si>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</si>
  <si>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</si>
  <si>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</si>
  <si>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</si>
  <si>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</si>
  <si>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</si>
  <si>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</si>
  <si>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</si>
  <si>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</si>
  <si>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</si>
  <si>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</si>
  <si>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</si>
  <si>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</si>
  <si>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</si>
  <si>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</si>
  <si>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</si>
  <si>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</si>
  <si>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</si>
  <si>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</si>
  <si>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</si>
  <si>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</si>
  <si>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</si>
  <si>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</si>
  <si>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</si>
  <si>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</si>
  <si>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</si>
  <si>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</si>
  <si>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</si>
  <si>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</si>
  <si>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</si>
  <si>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</si>
  <si>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</si>
  <si>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</si>
  <si>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</si>
  <si>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</si>
  <si>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</si>
  <si>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</si>
  <si>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</si>
  <si>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</si>
  <si>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</si>
  <si>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</si>
  <si>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</si>
  <si>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</si>
  <si>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</si>
  <si>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</si>
  <si>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</si>
  <si>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</si>
  <si>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</si>
  <si>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</si>
  <si>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</si>
  <si>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</si>
  <si>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</si>
  <si>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</si>
  <si>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</si>
  <si>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</si>
  <si>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</si>
  <si>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</si>
  <si>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</si>
  <si>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</si>
  <si>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</si>
  <si>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</si>
  <si>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</si>
  <si>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</si>
  <si>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</si>
  <si>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</si>
  <si>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</si>
  <si>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</si>
  <si>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</si>
  <si>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</si>
  <si>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</si>
  <si>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</si>
  <si>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</si>
  <si>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</si>
  <si>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</si>
  <si>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</si>
  <si>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</si>
  <si>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</si>
  <si>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</si>
  <si>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</si>
  <si>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</si>
  <si>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</si>
  <si>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</si>
  <si>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</si>
  <si>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</si>
  <si>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</si>
  <si>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</si>
  <si>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</si>
  <si>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</si>
  <si>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</si>
  <si>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</si>
  <si>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</si>
  <si>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</si>
  <si>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</si>
  <si>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</si>
  <si>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</si>
  <si>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</si>
  <si>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</si>
  <si>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</si>
  <si>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</si>
  <si>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</si>
  <si>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</si>
  <si>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</si>
  <si>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</si>
  <si>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</si>
  <si>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</si>
  <si>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</si>
  <si>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</si>
  <si>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</si>
  <si>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</si>
  <si>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</si>
  <si>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</si>
  <si>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</si>
  <si>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</si>
  <si>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</si>
  <si>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</si>
  <si>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</si>
  <si>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</si>
  <si>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</si>
  <si>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</si>
  <si>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</si>
  <si>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</si>
  <si>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</si>
  <si>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</si>
  <si>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</si>
  <si>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</si>
  <si>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</si>
  <si>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</si>
  <si>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</si>
  <si>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</si>
  <si>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</si>
  <si>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</si>
  <si>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</si>
  <si>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</si>
  <si>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</si>
  <si>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</si>
  <si>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</si>
  <si>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</si>
  <si>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</si>
  <si>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</si>
  <si>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</si>
  <si>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</si>
  <si>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</si>
  <si>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</si>
  <si>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</si>
  <si>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</si>
  <si>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</si>
  <si>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</si>
  <si>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</si>
  <si>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</si>
  <si>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</si>
  <si>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</si>
  <si>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</si>
  <si>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</si>
  <si>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</si>
  <si>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</si>
  <si>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</si>
  <si>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</si>
  <si>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</si>
  <si>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</si>
  <si>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</si>
  <si>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</si>
  <si>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</si>
  <si>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</si>
  <si>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</si>
  <si>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</si>
  <si>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</si>
  <si>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</si>
  <si>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</si>
  <si>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</si>
  <si>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</si>
  <si>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</si>
  <si>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</si>
  <si>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</si>
  <si>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</si>
  <si>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</si>
  <si>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</si>
  <si>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</si>
  <si>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</si>
  <si>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</si>
  <si>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</si>
  <si>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</si>
  <si>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</si>
  <si>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</si>
  <si>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</si>
  <si>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</si>
  <si>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</si>
  <si>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</si>
  <si>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</si>
  <si>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</si>
  <si>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</si>
  <si>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</si>
  <si>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</si>
  <si>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</si>
  <si>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</si>
  <si>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</si>
  <si>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</si>
  <si>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</si>
  <si>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</si>
  <si>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</si>
  <si>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</si>
  <si>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</si>
  <si>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</si>
  <si>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</si>
  <si>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</si>
  <si>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</si>
  <si>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</si>
  <si>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</si>
  <si>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</si>
  <si>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</si>
  <si>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</si>
  <si>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</si>
  <si>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</si>
  <si>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</si>
  <si>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</si>
  <si>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</si>
  <si>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</si>
  <si>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</si>
  <si>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</si>
  <si>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</si>
  <si>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</si>
  <si>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</si>
  <si>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</si>
  <si>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</si>
  <si>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</si>
  <si>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Escribe un jugador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</si>
</sst>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798"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S17" sqref="S1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1946</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2028</v>
      </c>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2028</v>
      </c>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2028</v>
      </c>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2028</v>
      </c>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2028</v>
      </c>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Erika</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2</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0</v>
      </c>
      <c r="N10" s="469">
        <f ca="1">IFERROR(COUNTIF(ADMIN!$S$130:INDEX(ADMIN!$S$130:$HL$161,32,ADMIN!$D$5*3-1),Stats!$L10)-SUM(O10:T10),0)</f>
        <v>2</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2</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v>
      </c>
      <c r="F12" s="456">
        <f ca="1">IFERROR(E12/B47,0)</f>
        <v>4.6439628482972135E-3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0</v>
      </c>
      <c r="N13" s="471">
        <f ca="1">IFERROR(COUNTIF(ADMIN!$S$130:INDEX(ADMIN!$S$130:$HL$161,32,ADMIN!$D$5*3-1),Stats!$L13)-SUM(O13:T13),0)</f>
        <v>2</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0</v>
      </c>
      <c r="N15" s="471">
        <f ca="1">IFERROR(COUNTIF(ADMIN!$S$130:INDEX(ADMIN!$S$130:$HL$161,32,ADMIN!$D$5*3-1),Stats!$L15)-SUM(O15:T15),0)</f>
        <v>1</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2</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2</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0</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2</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1</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1</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1</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2</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1</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1</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1</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2</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1</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2</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2</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1</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2026-06-11T17:29:36Z</dcterms:modified>
  <cp:category/>
</cp:coreProperties>
</file>