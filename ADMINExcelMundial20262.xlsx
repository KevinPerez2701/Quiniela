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ownloads\"/>
    </mc:Choice>
  </mc:AlternateContent>
  <xr:revisionPtr revIDLastSave="0" documentId="13_ncr:1_{A627594C-107D-46A2-8EBC-3F8573EA68AC}"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20" yWindow="-120" windowWidth="29040" windowHeight="1584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Q27" i="46" s="1"/>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34" i="46"/>
  <c r="K144" i="46"/>
  <c r="K142" i="46"/>
  <c r="K152" i="46"/>
  <c r="H202" i="46"/>
  <c r="H215" i="46"/>
  <c r="Q22" i="6"/>
  <c r="H211" i="46"/>
  <c r="D21" i="36"/>
  <c r="AF3" i="3" s="1"/>
  <c r="AF51" i="3" s="1"/>
  <c r="D507" i="36"/>
  <c r="C61" i="46"/>
  <c r="Q23" i="6"/>
  <c r="K5" i="46"/>
  <c r="C56" i="46" s="1"/>
  <c r="H216" i="46"/>
  <c r="AJ36" i="3"/>
  <c r="AJ84" i="3"/>
  <c r="C41" i="46" l="1"/>
  <c r="R7" i="51"/>
  <c r="Q56" i="46"/>
  <c r="AI56" i="46" s="1"/>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T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CH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CK45" i="46"/>
  <c r="BV33" i="46"/>
  <c r="AL45" i="46"/>
  <c r="BP45" i="46"/>
  <c r="AI47" i="46"/>
  <c r="BG47" i="46"/>
  <c r="BS45" i="46"/>
  <c r="BJ47" i="46"/>
  <c r="CH47" i="46"/>
  <c r="AR49" i="46"/>
  <c r="AU45" i="46"/>
  <c r="CK47" i="46"/>
  <c r="AU49" i="46"/>
  <c r="BS49" i="46"/>
  <c r="AX45" i="46"/>
  <c r="BV49" i="46"/>
  <c r="BY33" i="46"/>
  <c r="Z45" i="46"/>
  <c r="CB45" i="46"/>
  <c r="BY49" i="46"/>
  <c r="CB33" i="46"/>
  <c r="BJ52" i="46"/>
  <c r="AC56" i="46"/>
  <c r="BA56" i="46"/>
  <c r="BY56" i="46"/>
  <c r="AI58" i="46"/>
  <c r="BG58" i="46"/>
  <c r="CE58" i="46"/>
  <c r="AI45" i="46"/>
  <c r="BM52" i="46"/>
  <c r="CK52" i="46"/>
  <c r="AF56" i="46"/>
  <c r="BD56" i="46"/>
  <c r="CB56" i="46"/>
  <c r="AL58" i="46"/>
  <c r="BD45" i="46"/>
  <c r="AR52" i="46"/>
  <c r="BP52" i="46"/>
  <c r="CN52" i="46"/>
  <c r="CE53" i="46"/>
  <c r="CE56" i="46"/>
  <c r="BM58" i="46"/>
  <c r="Z37" i="46"/>
  <c r="BG45" i="46"/>
  <c r="Z47" i="46"/>
  <c r="CB47" i="46"/>
  <c r="BJ53" i="46"/>
  <c r="BJ56" i="46"/>
  <c r="BJ45" i="46"/>
  <c r="Z52" i="46"/>
  <c r="AX52" i="46"/>
  <c r="BV52" i="46"/>
  <c r="CK56" i="46"/>
  <c r="CN56" i="46"/>
  <c r="Z58" i="46"/>
  <c r="BP58" i="46"/>
  <c r="AU62" i="46"/>
  <c r="BS62" i="46"/>
  <c r="AL63" i="46"/>
  <c r="BJ63" i="46"/>
  <c r="CH63" i="46"/>
  <c r="BG52" i="46"/>
  <c r="AC58" i="46"/>
  <c r="BS58" i="46"/>
  <c r="Z62" i="46"/>
  <c r="AX62" i="46"/>
  <c r="BV62" i="46"/>
  <c r="AO63" i="46"/>
  <c r="BM63" i="46"/>
  <c r="CK63" i="46"/>
  <c r="AU53" i="46"/>
  <c r="AF58" i="46"/>
  <c r="BV58" i="46"/>
  <c r="AC62" i="46"/>
  <c r="BA62" i="46"/>
  <c r="BY62" i="46"/>
  <c r="AR63" i="46"/>
  <c r="BP63" i="46"/>
  <c r="CN63" i="46"/>
  <c r="Z65" i="46"/>
  <c r="BV65" i="46"/>
  <c r="CB52" i="46"/>
  <c r="AU56" i="46"/>
  <c r="AR58" i="46"/>
  <c r="BY58" i="46"/>
  <c r="AF62" i="46"/>
  <c r="BD62" i="46"/>
  <c r="CB62" i="46"/>
  <c r="AU63" i="46"/>
  <c r="BS63" i="46"/>
  <c r="CE52" i="46"/>
  <c r="AX56" i="46"/>
  <c r="AU58" i="46"/>
  <c r="CB58" i="46"/>
  <c r="AI62" i="46"/>
  <c r="BG62" i="46"/>
  <c r="CE62" i="46"/>
  <c r="Z63" i="46"/>
  <c r="AX63" i="46"/>
  <c r="BV63" i="46"/>
  <c r="BA58" i="46"/>
  <c r="BP62" i="46"/>
  <c r="BA63" i="46"/>
  <c r="AO65" i="46"/>
  <c r="BP65" i="46"/>
  <c r="AL66" i="46"/>
  <c r="BJ66" i="46"/>
  <c r="CH66" i="46"/>
  <c r="CH62" i="46"/>
  <c r="BD63" i="46"/>
  <c r="BS65" i="46"/>
  <c r="BM66" i="46"/>
  <c r="CK66" i="46"/>
  <c r="CN58" i="46"/>
  <c r="CK62" i="46"/>
  <c r="BG63" i="46"/>
  <c r="AU65" i="46"/>
  <c r="BP66" i="46"/>
  <c r="AL62" i="46"/>
  <c r="CN62" i="46"/>
  <c r="BY63" i="46"/>
  <c r="BA65" i="46"/>
  <c r="CB65" i="46"/>
  <c r="AU66" i="46"/>
  <c r="BS66" i="46"/>
  <c r="AO62" i="46"/>
  <c r="CB63" i="46"/>
  <c r="AC65" i="46"/>
  <c r="CE65" i="46"/>
  <c r="Z66" i="46"/>
  <c r="AX66" i="46"/>
  <c r="BV66" i="46"/>
  <c r="AC45" i="46"/>
  <c r="AR62" i="46"/>
  <c r="CE63" i="46"/>
  <c r="CN65" i="46"/>
  <c r="AL75" i="46"/>
  <c r="BJ75" i="46"/>
  <c r="CH75" i="46"/>
  <c r="CH45" i="46"/>
  <c r="BM62" i="46"/>
  <c r="AL65" i="46"/>
  <c r="AR75" i="46"/>
  <c r="BP75" i="46"/>
  <c r="CN75" i="46"/>
  <c r="AF52" i="46"/>
  <c r="BG65"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CE45"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K238" i="46"/>
  <c r="D15" i="51"/>
  <c r="K195" i="46"/>
  <c r="E4" i="47"/>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F4" i="47" l="1"/>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Y68"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AY101" i="3" l="1"/>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3" i="3"/>
  <c r="CA47" i="3"/>
  <c r="CB46" i="3"/>
  <c r="CB47" i="3"/>
  <c r="CB20" i="3"/>
  <c r="CB18" i="3"/>
  <c r="CB27" i="3"/>
  <c r="CA27" i="3"/>
  <c r="E23" i="48"/>
  <c r="F22" i="48" a="1"/>
  <c r="F22" i="48" s="1"/>
  <c r="CB26" i="3" l="1"/>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CF53" i="3" s="1"/>
  <c r="L92" i="3"/>
  <c r="CF50" i="3" s="1"/>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CF33" i="3" s="1"/>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CF8" i="3"/>
  <c r="CF26" i="3"/>
  <c r="B46" i="51"/>
  <c r="B47" i="51" s="1"/>
  <c r="E10" i="51"/>
  <c r="E28" i="48"/>
  <c r="F27" i="48" a="1"/>
  <c r="F27" i="48" s="1"/>
  <c r="E12" i="51"/>
  <c r="E11" i="51"/>
  <c r="CF14" i="3" l="1"/>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BG118" i="3"/>
  <c r="BG119" i="3"/>
  <c r="BG120" i="3"/>
  <c r="AZ106" i="3" s="1"/>
  <c r="BG121" i="3"/>
  <c r="AZ107" i="3" s="1"/>
  <c r="AZ103" i="3"/>
  <c r="AZ104" i="3"/>
  <c r="C179" i="46"/>
  <c r="D19" i="48" s="1" a="1"/>
  <c r="D19" i="48" s="1"/>
  <c r="D116" i="3"/>
  <c r="K176" i="46"/>
  <c r="D113" i="3"/>
  <c r="D110" i="3"/>
  <c r="C169" i="46"/>
  <c r="D9" i="48" s="1" a="1"/>
  <c r="D9" i="48" s="1"/>
  <c r="D106" i="3"/>
  <c r="DT103" i="3"/>
  <c r="D103" i="3"/>
  <c r="BG122" i="3"/>
  <c r="AZ108" i="3" s="1"/>
  <c r="AZ105" i="3"/>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<sst xmlns="http://schemas.openxmlformats.org/spreadsheetml/2006/main" count="8284" uniqueCount="2065">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</sst>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0"/>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2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37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46185</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D7" sqref="AD7"/>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Pendiente</v>
      </c>
      <c r="E6" s="742" t="str">
        <f t="shared" si="1"/>
        <v>-</v>
      </c>
      <c r="F6" s="742" t="str">
        <f t="shared" si="2"/>
        <v>-</v>
      </c>
      <c r="G6" s="742"/>
      <c r="H6" s="742" t="str">
        <f t="shared" si="3"/>
        <v>-</v>
      </c>
      <c r="I6" s="742" t="str">
        <f t="shared" si="4"/>
        <v>-</v>
      </c>
      <c r="J6" s="742"/>
      <c r="K6" s="742" t="str">
        <f t="shared" si="5"/>
        <v>-</v>
      </c>
      <c r="L6" s="742" t="str">
        <f t="shared" si="6"/>
        <v>-</v>
      </c>
      <c r="M6" s="742"/>
      <c r="N6" s="742" t="str">
        <f t="shared" si="7"/>
        <v>-</v>
      </c>
      <c r="O6" s="742" t="str">
        <f t="shared" si="8"/>
        <v>-</v>
      </c>
      <c r="P6" s="742"/>
      <c r="Q6" s="742" t="str">
        <f t="shared" si="9"/>
        <v>-</v>
      </c>
      <c r="R6" s="742" t="str">
        <f t="shared" si="10"/>
        <v>-</v>
      </c>
      <c r="S6" s="742"/>
      <c r="T6" s="742" t="str">
        <f t="shared" si="11"/>
        <v>-</v>
      </c>
      <c r="U6" s="742" t="str">
        <f t="shared" si="12"/>
        <v>-</v>
      </c>
      <c r="V6" s="172"/>
      <c r="W6" s="798"/>
      <c r="X6" s="189">
        <f ca="1">Horarios!C6</f>
        <v>46191.5</v>
      </c>
      <c r="Y6" s="190">
        <f ca="1">Horarios!C6</f>
        <v>46191.5</v>
      </c>
      <c r="Z6" s="191" t="str">
        <f>Idiomas!D64</f>
        <v>J2</v>
      </c>
      <c r="AA6" s="192" t="str">
        <f ca="1">A8</f>
        <v>República Checa</v>
      </c>
      <c r="AB6" s="480" t="str" cm="1">
        <f t="array" aca="1" ref="AB6" ca="1">Ver_flag_local</f>
        <v/>
      </c>
      <c r="AC6" s="193"/>
      <c r="AD6" s="194"/>
      <c r="AE6" s="483" t="str" cm="1">
        <f t="array" aca="1" ref="AE6" ca="1">Ver_flag_visit</f>
        <v/>
      </c>
      <c r="AF6" s="195" t="str">
        <f ca="1">A6</f>
        <v>Sudáfrica</v>
      </c>
      <c r="AG6" s="413">
        <f t="shared" si="13"/>
        <v>0</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4</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c r="AD7" s="194"/>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0</v>
      </c>
      <c r="BF7" s="746">
        <f t="shared" ref="BF7:BF53" ca="1" si="26">+BG7+BH7+BI7</f>
        <v>1</v>
      </c>
      <c r="BG7" s="746">
        <f t="shared" ca="1" si="17"/>
        <v>0</v>
      </c>
      <c r="BH7" s="746">
        <f t="shared" ca="1" si="18"/>
        <v>0</v>
      </c>
      <c r="BI7" s="746">
        <f t="shared" ca="1" si="19"/>
        <v>1</v>
      </c>
      <c r="BJ7" s="746">
        <f t="shared" ca="1" si="20"/>
        <v>0</v>
      </c>
      <c r="BK7" s="746">
        <f t="shared" ca="1" si="21"/>
        <v>2</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0</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0</v>
      </c>
      <c r="BW7" s="756">
        <f ca="1">IF($BT7="-","-",COUNTIFS(FGLocal,$BD7,Ganador,"Visitante",Part1Empate1V,$BT7)+COUNTIFS(FGVisitante,$BD7,Ganador,"Local",Part1Empate1L,$BT7))</f>
        <v>0</v>
      </c>
      <c r="BX7" s="756">
        <f ca="1">IF($BT7="-","-",BU7*3+BV7)</f>
        <v>0</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0</v>
      </c>
      <c r="CB7" s="756">
        <f ca="1">IF($BZ7="-","-",SUMIFS(FG_GolesVisitante,FGLocal,$BD7,Part1Empate2V,$BZ7)+SUMIFS(FG_GolesLocal,FGVisitante,$BD7,Part1Empate2L,$BZ7))</f>
        <v>0</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0</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0</v>
      </c>
      <c r="CK7" s="756">
        <f ca="1">IF($CH7="-","-",COUNTIFS(FGLocal,$BD7,Ganador,"Visitante",Part2Empate4V,$CH7)+COUNTIFS(FGVisitante,$BD7,Ganador,"Local",Part2Empate4L,$CH7))</f>
        <v>0</v>
      </c>
      <c r="CL7" s="756">
        <f ca="1">IF($CH7="-","-",CI7*3+CJ7)</f>
        <v>0</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0</v>
      </c>
      <c r="CP7" s="756">
        <f ca="1">IF($CN7="-","-",SUMIFS(FG_GolesVisitante,FGLocal,$BD7,Part2Empate5V,$CN7)+SUMIFS(FG_GolesLocal,FGVisitante,$BD7,Part2Empate5L,$CN7))</f>
        <v>0</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0</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4</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c r="AD8" s="194"/>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0</v>
      </c>
      <c r="AN8" s="224">
        <f t="shared" ca="1" si="16"/>
        <v>1</v>
      </c>
      <c r="AO8" s="224">
        <f t="shared" ca="1" si="16"/>
        <v>0</v>
      </c>
      <c r="AP8" s="224">
        <f t="shared" ca="1" si="16"/>
        <v>0</v>
      </c>
      <c r="AQ8" s="224">
        <f t="shared" ca="1" si="16"/>
        <v>1</v>
      </c>
      <c r="AR8" s="224">
        <f t="shared" ca="1" si="16"/>
        <v>1</v>
      </c>
      <c r="AS8" s="224">
        <f t="shared" ca="1" si="16"/>
        <v>2</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4</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c r="AD9" s="233"/>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0</v>
      </c>
      <c r="AN9" s="238">
        <f t="shared" ca="1" si="16"/>
        <v>1</v>
      </c>
      <c r="AO9" s="238">
        <f t="shared" ca="1" si="16"/>
        <v>0</v>
      </c>
      <c r="AP9" s="238">
        <f t="shared" ca="1" si="16"/>
        <v>0</v>
      </c>
      <c r="AQ9" s="238">
        <f t="shared" ca="1" si="16"/>
        <v>1</v>
      </c>
      <c r="AR9" s="238">
        <f t="shared" ca="1" si="16"/>
        <v>0</v>
      </c>
      <c r="AS9" s="238">
        <f t="shared" ca="1" si="16"/>
        <v>2</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0</v>
      </c>
      <c r="BF9" s="746">
        <f t="shared" ca="1" si="26"/>
        <v>1</v>
      </c>
      <c r="BG9" s="746">
        <f t="shared" ca="1" si="17"/>
        <v>0</v>
      </c>
      <c r="BH9" s="746">
        <f t="shared" ca="1" si="18"/>
        <v>0</v>
      </c>
      <c r="BI9" s="746">
        <f t="shared" ca="1" si="19"/>
        <v>1</v>
      </c>
      <c r="BJ9" s="746">
        <f t="shared" ca="1" si="20"/>
        <v>1</v>
      </c>
      <c r="BK9" s="746">
        <f t="shared" ca="1" si="21"/>
        <v>2</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0</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0</v>
      </c>
      <c r="BW9" s="756">
        <f ca="1">IF($BT9="-","-",COUNTIFS(FGLocal,$BD9,Ganador,"Visitante",Part1Empate1V,$BT9)+COUNTIFS(FGVisitante,$BD9,Ganador,"Local",Part1Empate1L,$BT9))</f>
        <v>0</v>
      </c>
      <c r="BX9" s="756">
        <f ca="1">IF($BT9="-","-",BU9*3+BV9)</f>
        <v>0</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0</v>
      </c>
      <c r="CB9" s="756">
        <f ca="1">IF($BZ9="-","-",SUMIFS(FG_GolesVisitante,FGLocal,$BD9,Part1Empate2V,$BZ9)+SUMIFS(FG_GolesLocal,FGVisitante,$BD9,Part1Empate2L,$BZ9))</f>
        <v>0</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0</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0</v>
      </c>
      <c r="CK9" s="756">
        <f ca="1">IF($CH9="-","-",COUNTIFS(FGLocal,$BD9,Ganador,"Visitante",Part2Empate4V,$CH9)+COUNTIFS(FGVisitante,$BD9,Ganador,"Local",Part2Empate4L,$CH9))</f>
        <v>0</v>
      </c>
      <c r="CL9" s="756">
        <f ca="1">IF($CH9="-","-",CI9*3+CJ9)</f>
        <v>0</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0</v>
      </c>
      <c r="CP9" s="756">
        <f ca="1">IF($CN9="-","-",SUMIFS(FG_GolesVisitante,FGLocal,$BD9,Part2Empate5V,$CN9)+SUMIFS(FG_GolesLocal,FGVisitante,$BD9,Part2Empate5L,$CN9))</f>
        <v>0</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0</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4</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0</v>
      </c>
      <c r="BF10" s="746">
        <f t="shared" ca="1" si="26"/>
        <v>0</v>
      </c>
      <c r="BG10" s="746">
        <f t="shared" ca="1" si="17"/>
        <v>0</v>
      </c>
      <c r="BH10" s="746">
        <f t="shared" ca="1" si="18"/>
        <v>0</v>
      </c>
      <c r="BI10" s="746">
        <f t="shared" ca="1" si="19"/>
        <v>0</v>
      </c>
      <c r="BJ10" s="746">
        <f t="shared" ca="1" si="20"/>
        <v>0</v>
      </c>
      <c r="BK10" s="746">
        <f t="shared" ca="1" si="21"/>
        <v>0</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0</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0</v>
      </c>
      <c r="BW10" s="756">
        <f t="shared" ref="BW10:BW53" ca="1" si="38">IF($BT10="-","-",COUNTIFS(FGLocal,$BD10,Ganador,"Visitante",Part1Empate1V,$BT10)+COUNTIFS(FGVisitante,$BD10,Ganador,"Local",Part1Empate1L,$BT10))</f>
        <v>0</v>
      </c>
      <c r="BX10" s="756">
        <f t="shared" ref="BX10:BX53" ca="1" si="39">IF($BT10="-","-",BU10*3+BV10)</f>
        <v>0</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0</v>
      </c>
      <c r="CB10" s="756">
        <f t="shared" ref="CB10:CB53" ca="1" si="41">IF($BZ10="-","-",SUMIFS(FG_GolesVisitante,FGLocal,$BD10,Part1Empate2V,$BZ10)+SUMIFS(FG_GolesLocal,FGVisitante,$BD10,Part1Empate2L,$BZ10))</f>
        <v>0</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0</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0</v>
      </c>
      <c r="CK10" s="756">
        <f t="shared" ref="CK10:CK53" ca="1" si="46">IF($CH10="-","-",COUNTIFS(FGLocal,$BD10,Ganador,"Visitante",Part2Empate4V,$CH10)+COUNTIFS(FGVisitante,$BD10,Ganador,"Local",Part2Empate4L,$CH10))</f>
        <v>0</v>
      </c>
      <c r="CL10" s="756">
        <f t="shared" ref="CL10:CL53" ca="1" si="47">IF($CH10="-","-",CI10*3+CJ10)</f>
        <v>0</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0</v>
      </c>
      <c r="CP10" s="756">
        <f t="shared" ref="CP10:CP53" ca="1" si="49">IF($CN10="-","-",SUMIFS(FG_GolesVisitante,FGLocal,$BD10,Part2Empate5V,$CN10)+SUMIFS(FG_GolesLocal,FGVisitante,$BD10,Part2Empate5L,$CN10))</f>
        <v>0</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0</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0</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0</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0</v>
      </c>
      <c r="BF11" s="746">
        <f t="shared" ca="1" si="26"/>
        <v>0</v>
      </c>
      <c r="BG11" s="746">
        <f t="shared" ca="1" si="17"/>
        <v>0</v>
      </c>
      <c r="BH11" s="746">
        <f t="shared" ca="1" si="18"/>
        <v>0</v>
      </c>
      <c r="BI11" s="746">
        <f t="shared" ca="1" si="19"/>
        <v>0</v>
      </c>
      <c r="BJ11" s="746">
        <f t="shared" ca="1" si="20"/>
        <v>0</v>
      </c>
      <c r="BK11" s="746">
        <f t="shared" ca="1" si="21"/>
        <v>0</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0</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0</v>
      </c>
      <c r="BW11" s="756">
        <f t="shared" ca="1" si="38"/>
        <v>0</v>
      </c>
      <c r="BX11" s="756">
        <f t="shared" ca="1" si="39"/>
        <v>0</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0</v>
      </c>
      <c r="CB11" s="756">
        <f t="shared" ca="1" si="41"/>
        <v>0</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0</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0</v>
      </c>
      <c r="CK11" s="756">
        <f t="shared" ca="1" si="46"/>
        <v>0</v>
      </c>
      <c r="CL11" s="756">
        <f t="shared" ca="1" si="47"/>
        <v>0</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0</v>
      </c>
      <c r="CP11" s="756">
        <f t="shared" ca="1" si="49"/>
        <v>0</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0</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0</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0</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Pendiente</v>
      </c>
      <c r="E12" s="742" t="str">
        <f t="shared" ref="E12:E17" si="55">IF(D12="Pendiente","-",INDEX($BT$6:$BT$53,MATCH($AA12,$BD$6:$BD$53,0)))</f>
        <v>-</v>
      </c>
      <c r="F12" s="742" t="str">
        <f t="shared" ref="F12:F17" si="56">IF(D12="Pendiente","-",INDEX($BT$6:$BT$53,MATCH($AF12,$BD$6:$BD$53,0)))</f>
        <v>-</v>
      </c>
      <c r="G12" s="742"/>
      <c r="H12" s="742" t="str">
        <f t="shared" ref="H12:H17" si="57">IF(D12="Pendiente","-",INDEX($BZ$6:$BZ$53,MATCH($AA12,$BD$6:$BD$53,0)))</f>
        <v>-</v>
      </c>
      <c r="I12" s="742" t="str">
        <f t="shared" ref="I12:I17" si="58">IF(D12="Pendiente","-",INDEX($BZ$6:$BZ$53,MATCH($AF12,$BD$6:$BD$53,0)))</f>
        <v>-</v>
      </c>
      <c r="J12" s="742"/>
      <c r="K12" s="742" t="str">
        <f t="shared" ref="K12:K17" si="59">IF(D12="Pendiente","-",INDEX($CE$6:$CE$53,MATCH($AA12,$BD$6:$BD$53,0)))</f>
        <v>-</v>
      </c>
      <c r="L12" s="742" t="str">
        <f t="shared" ref="L12:L17" si="60">IF(D12="Pendiente","-",INDEX($CE$6:$CE$53,MATCH($AF12,$BD$6:$BD$53,0)))</f>
        <v>-</v>
      </c>
      <c r="M12" s="742"/>
      <c r="N12" s="742" t="str">
        <f t="shared" ref="N12:N17" si="61">IF(D12="Pendiente","-",INDEX($CH$6:$CH$53,MATCH($AA12,$BD$6:$BD$53,0)))</f>
        <v>-</v>
      </c>
      <c r="O12" s="742" t="str">
        <f t="shared" ref="O12:O17" si="62">IF(D12="Pendiente","-",INDEX($CH$6:$CH$53,MATCH($AF12,$BD$6:$BD$53,0)))</f>
        <v>-</v>
      </c>
      <c r="P12" s="742"/>
      <c r="Q12" s="742" t="str">
        <f t="shared" ref="Q12:Q17" si="63">IF(D12="Pendiente","-",INDEX($CN$6:$CN$53,MATCH($AA12,$BD$6:$BD$53,0)))</f>
        <v>-</v>
      </c>
      <c r="R12" s="742" t="str">
        <f t="shared" ref="R12:R17" si="64">IF(D12="Pendiente","-",INDEX($CN$6:$CN$53,MATCH($AF12,$BD$6:$BD$53,0)))</f>
        <v>-</v>
      </c>
      <c r="S12" s="742"/>
      <c r="T12" s="742" t="str">
        <f t="shared" ref="T12:T17" si="65">IF(D12="Pendiente","-",INDEX($CS$6:$CS$53,MATCH($AA12,$BD$6:$BD$53,0)))</f>
        <v>-</v>
      </c>
      <c r="U12" s="742" t="str">
        <f t="shared" ref="U12:U17" si="66">IF(D12="Pendiente","-",INDEX($CS$6:$CS$53,MATCH($AF12,$BD$6:$BD$53,0)))</f>
        <v>-</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0</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0</v>
      </c>
      <c r="BF12" s="746">
        <f t="shared" ca="1" si="26"/>
        <v>0</v>
      </c>
      <c r="BG12" s="746">
        <f t="shared" ca="1" si="17"/>
        <v>0</v>
      </c>
      <c r="BH12" s="746">
        <f t="shared" ca="1" si="18"/>
        <v>0</v>
      </c>
      <c r="BI12" s="746">
        <f t="shared" ca="1" si="19"/>
        <v>0</v>
      </c>
      <c r="BJ12" s="746">
        <f t="shared" ca="1" si="20"/>
        <v>0</v>
      </c>
      <c r="BK12" s="746">
        <f t="shared" ca="1" si="21"/>
        <v>0</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0</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0</v>
      </c>
      <c r="BW12" s="756">
        <f t="shared" ca="1" si="38"/>
        <v>0</v>
      </c>
      <c r="BX12" s="756">
        <f t="shared" ca="1" si="39"/>
        <v>0</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0</v>
      </c>
      <c r="CB12" s="756">
        <f t="shared" ca="1" si="41"/>
        <v>0</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0</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0</v>
      </c>
      <c r="CK12" s="756">
        <f t="shared" ca="1" si="46"/>
        <v>0</v>
      </c>
      <c r="CL12" s="756">
        <f t="shared" ca="1" si="47"/>
        <v>0</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0</v>
      </c>
      <c r="CP12" s="756">
        <f t="shared" ca="1" si="49"/>
        <v>0</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0</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0</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0</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Pendiente</v>
      </c>
      <c r="E13" s="742" t="str">
        <f t="shared" si="55"/>
        <v>-</v>
      </c>
      <c r="F13" s="742" t="str">
        <f t="shared" si="56"/>
        <v>-</v>
      </c>
      <c r="G13" s="742"/>
      <c r="H13" s="742" t="str">
        <f t="shared" si="57"/>
        <v>-</v>
      </c>
      <c r="I13" s="742" t="str">
        <f t="shared" si="58"/>
        <v>-</v>
      </c>
      <c r="J13" s="742"/>
      <c r="K13" s="742" t="str">
        <f t="shared" si="59"/>
        <v>-</v>
      </c>
      <c r="L13" s="742" t="str">
        <f t="shared" si="60"/>
        <v>-</v>
      </c>
      <c r="M13" s="742"/>
      <c r="N13" s="742" t="str">
        <f t="shared" si="61"/>
        <v>-</v>
      </c>
      <c r="O13" s="742" t="str">
        <f t="shared" si="62"/>
        <v>-</v>
      </c>
      <c r="P13" s="742"/>
      <c r="Q13" s="742" t="str">
        <f t="shared" si="63"/>
        <v>-</v>
      </c>
      <c r="R13" s="742" t="str">
        <f t="shared" si="64"/>
        <v>-</v>
      </c>
      <c r="S13" s="742"/>
      <c r="T13" s="742" t="str">
        <f t="shared" si="65"/>
        <v>-</v>
      </c>
      <c r="U13" s="742" t="str">
        <f t="shared" si="66"/>
        <v>-</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0</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0</v>
      </c>
      <c r="BF13" s="746">
        <f t="shared" ca="1" si="26"/>
        <v>0</v>
      </c>
      <c r="BG13" s="746">
        <f t="shared" ca="1" si="17"/>
        <v>0</v>
      </c>
      <c r="BH13" s="746">
        <f t="shared" ca="1" si="18"/>
        <v>0</v>
      </c>
      <c r="BI13" s="746">
        <f t="shared" ca="1" si="19"/>
        <v>0</v>
      </c>
      <c r="BJ13" s="746">
        <f t="shared" ca="1" si="20"/>
        <v>0</v>
      </c>
      <c r="BK13" s="746">
        <f t="shared" ca="1" si="21"/>
        <v>0</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0</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0</v>
      </c>
      <c r="BW13" s="756">
        <f t="shared" ca="1" si="38"/>
        <v>0</v>
      </c>
      <c r="BX13" s="756">
        <f t="shared" ca="1" si="39"/>
        <v>0</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0</v>
      </c>
      <c r="CB13" s="756">
        <f t="shared" ca="1" si="41"/>
        <v>0</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0</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0</v>
      </c>
      <c r="CK13" s="756">
        <f t="shared" ca="1" si="46"/>
        <v>0</v>
      </c>
      <c r="CL13" s="756">
        <f t="shared" ca="1" si="47"/>
        <v>0</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0</v>
      </c>
      <c r="CP13" s="756">
        <f t="shared" ca="1" si="49"/>
        <v>0</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0</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0</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0</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c r="AD14" s="194"/>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0</v>
      </c>
      <c r="AN14" s="214">
        <f t="shared" ca="1" si="71"/>
        <v>0</v>
      </c>
      <c r="AO14" s="214">
        <f t="shared" ca="1" si="71"/>
        <v>0</v>
      </c>
      <c r="AP14" s="214">
        <f t="shared" ca="1" si="71"/>
        <v>0</v>
      </c>
      <c r="AQ14" s="214">
        <f t="shared" ca="1" si="71"/>
        <v>0</v>
      </c>
      <c r="AR14" s="214">
        <f t="shared" ca="1" si="71"/>
        <v>0</v>
      </c>
      <c r="AS14" s="214">
        <f t="shared" ca="1" si="71"/>
        <v>0</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0</v>
      </c>
      <c r="BF14" s="746">
        <f t="shared" ca="1" si="26"/>
        <v>0</v>
      </c>
      <c r="BG14" s="746">
        <f t="shared" ca="1" si="17"/>
        <v>0</v>
      </c>
      <c r="BH14" s="746">
        <f t="shared" ca="1" si="18"/>
        <v>0</v>
      </c>
      <c r="BI14" s="746">
        <f t="shared" ca="1" si="19"/>
        <v>0</v>
      </c>
      <c r="BJ14" s="746">
        <f t="shared" ca="1" si="20"/>
        <v>0</v>
      </c>
      <c r="BK14" s="746">
        <f t="shared" ca="1" si="21"/>
        <v>0</v>
      </c>
      <c r="BL14" s="746">
        <f t="shared" ca="1" si="27"/>
        <v>0</v>
      </c>
      <c r="BM14" s="746" t="str">
        <f t="shared" ca="1" si="22"/>
        <v>1C</v>
      </c>
      <c r="BN14" s="746" t="str">
        <f t="shared" ca="1" si="23"/>
        <v>1C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0</v>
      </c>
      <c r="BS14" s="755">
        <f ca="1">BP14+COUNTIFS($BQ$6:$BQ$53,BQ14,$BR$6:BR$53,"&gt;"&amp;BR14,$BC$6:$BC$53,INDEX(T_Equipos[Grupo],MATCH(BD14,T_Equipos[NombreEquipo],0)))</f>
        <v>1</v>
      </c>
      <c r="BT14" s="755" t="str">
        <f ca="1">IF(COUNTIFS($BS$6:$BS$53,BS14,$BC$6:$BC$53,INDEX(T_Equipos[Grupo],MATCH(BD14,T_Equipos[NombreEquipo],0)))=1,"-","P."&amp;BS14&amp;" ("&amp;COUNTIFS($BS$6:$BS$53,BS14,$BC$6:$BC$53,INDEX(T_Equipos[Grupo],MATCH(BD14,T_Equipos[NombreEquipo],0)))&amp;")")</f>
        <v>P.1 (4)</v>
      </c>
      <c r="BU14" s="756">
        <f t="shared" ca="1" si="36"/>
        <v>0</v>
      </c>
      <c r="BV14" s="756">
        <f t="shared" ca="1" si="37"/>
        <v>0</v>
      </c>
      <c r="BW14" s="756">
        <f t="shared" ca="1" si="38"/>
        <v>0</v>
      </c>
      <c r="BX14" s="756">
        <f t="shared" ca="1" si="39"/>
        <v>0</v>
      </c>
      <c r="BY14" s="756">
        <f ca="1">BS14+COUNTIFS($BT$6:$BT$53,BT14,$BX$6:BX$53,"&gt;"&amp;BX14,$BC$6:$BC$53,INDEX(T_Equipos[Grupo],MATCH(BD14,T_Equipos[NombreEquipo],0)))</f>
        <v>1</v>
      </c>
      <c r="BZ14" s="755" t="str">
        <f ca="1">IF(COUNTIFS($BY$6:$BY$53,BY14,$BC$6:$BC$53,INDEX(T_Equipos[Grupo],MATCH(BD14,T_Equipos[NombreEquipo],0)))=1,"-","P."&amp;BY14&amp;" ("&amp;COUNTIFS($BY$6:$BY$53,BY14,$BC$6:$BC$53,INDEX(T_Equipos[Grupo],MATCH(BD14,T_Equipos[NombreEquipo],0)))&amp;")")</f>
        <v>P.1 (4)</v>
      </c>
      <c r="CA14" s="756">
        <f t="shared" ca="1" si="40"/>
        <v>0</v>
      </c>
      <c r="CB14" s="756">
        <f t="shared" ca="1" si="41"/>
        <v>0</v>
      </c>
      <c r="CC14" s="756">
        <f t="shared" ca="1" si="42"/>
        <v>0</v>
      </c>
      <c r="CD14" s="756">
        <f ca="1">BY14+COUNTIFS($BZ$6:$BZ$53,BZ14,$CC$6:CC$53,"&gt;"&amp;CC14,$BC$6:$BC$53,INDEX(T_Equipos[Grupo],MATCH(BD14,T_Equipos[NombreEquipo],0)))</f>
        <v>1</v>
      </c>
      <c r="CE14" s="755" t="str">
        <f ca="1">IF(COUNTIFS($CD$6:$CD$53,CD14,$BC$6:$BC$53,INDEX(T_Equipos[Grupo],MATCH(BD14,T_Equipos[NombreEquipo],0)))=1,"-","P."&amp;CD14&amp;" ("&amp;COUNTIFS($CD$6:$CD$53,CD14,$BC$6:$BC$53,INDEX(T_Equipos[Grupo],MATCH(BD14,T_Equipos[NombreEquipo],0)))&amp;")")</f>
        <v>P.1 (4)</v>
      </c>
      <c r="CF14" s="756">
        <f t="shared" ca="1" si="43"/>
        <v>0</v>
      </c>
      <c r="CG14" s="756">
        <f ca="1">CD14+COUNTIFS($CE$6:$CE$53,CE14,$CF$6:CF$53,"&gt;"&amp;CF14,$BC$6:$BC$53,INDEX(T_Equipos[Grupo],MATCH(BD14,T_Equipos[NombreEquipo],0)))</f>
        <v>1</v>
      </c>
      <c r="CH14" s="755" t="str">
        <f ca="1">IF(COUNTIFS($CG$6:$CG$53,CG14,$BC$6:$BC$53,INDEX(T_Equipos[Grupo],MATCH(BD14,T_Equipos[NombreEquipo],0)))=1,"-","P."&amp;CG14&amp;" ("&amp;COUNTIFS($CG$6:$CG$53,CG14,$BC$6:$BC$53,INDEX(T_Equipos[Grupo],MATCH(BD14,T_Equipos[NombreEquipo],0)))&amp;")")</f>
        <v>P.1 (4)</v>
      </c>
      <c r="CI14" s="756">
        <f t="shared" ca="1" si="44"/>
        <v>0</v>
      </c>
      <c r="CJ14" s="756">
        <f t="shared" ca="1" si="45"/>
        <v>0</v>
      </c>
      <c r="CK14" s="756">
        <f t="shared" ca="1" si="46"/>
        <v>0</v>
      </c>
      <c r="CL14" s="756">
        <f t="shared" ca="1" si="47"/>
        <v>0</v>
      </c>
      <c r="CM14" s="756">
        <f ca="1">CG14+COUNTIFS($CH$6:$CH$53,CH14,$CL$6:CL$53,"&gt;"&amp;CL14,$BC$6:$BC$53,INDEX(T_Equipos[Grupo],MATCH(BD14,T_Equipos[NombreEquipo],0)))</f>
        <v>1</v>
      </c>
      <c r="CN14" s="755" t="str">
        <f ca="1">IF(COUNTIFS($CM$6:$CM$53,CM14,$BC$6:$BC$53,INDEX(T_Equipos[Grupo],MATCH(BD14,T_Equipos[NombreEquipo],0)))=1,"-","P."&amp;CM14&amp;" ("&amp;COUNTIFS($CM$6:$CM$53,CM14,$BC$6:$BC$53,INDEX(T_Equipos[Grupo],MATCH(BD14,T_Equipos[NombreEquipo],0)))&amp;")")</f>
        <v>P.1 (4)</v>
      </c>
      <c r="CO14" s="756">
        <f t="shared" ca="1" si="48"/>
        <v>0</v>
      </c>
      <c r="CP14" s="756">
        <f t="shared" ca="1" si="49"/>
        <v>0</v>
      </c>
      <c r="CQ14" s="756">
        <f t="shared" ca="1" si="50"/>
        <v>0</v>
      </c>
      <c r="CR14" s="756">
        <f ca="1">CM14+COUNTIFS($CN$6:$CN$53,CN14,$CQ$6:CQ$53,"&gt;"&amp;CQ14,$BC$6:$BC$53,INDEX(T_Equipos[Grupo],MATCH(BD14,T_Equipos[NombreEquipo],0)))</f>
        <v>1</v>
      </c>
      <c r="CS14" s="755" t="str">
        <f ca="1">IF(COUNTIFS($CR$6:$CR$53,CR14,$BC$6:$BC$53,INDEX(T_Equipos[Grupo],MATCH(BD14,T_Equipos[NombreEquipo],0)))=1,"-","P."&amp;CR14&amp;" ("&amp;COUNTIFS($CR$6:$CR$53,CR14,$BC$6:$BC$53,INDEX(T_Equipos[Grupo],MATCH(BD14,T_Equipos[NombreEquipo],0)))&amp;")")</f>
        <v>P.1 (4)</v>
      </c>
      <c r="CT14" s="756">
        <f t="shared" ca="1" si="51"/>
        <v>0</v>
      </c>
      <c r="CU14" s="756">
        <f ca="1">CR14+COUNTIFS($CS$6:$CS$53,CS14,$CT$6:CT$53,"&gt;"&amp;CT14,$BC$6:$BC$53,INDEX(T_Equipos[Grupo],MATCH(BD14,T_Equipos[NombreEquipo],0)))</f>
        <v>1</v>
      </c>
      <c r="CV14" s="755" t="str">
        <f ca="1">IF(COUNTIFS($CU$6:$CU$53,CU14,$BC$6:$BC$53,INDEX(T_Equipos[Grupo],MATCH(BD14,T_Equipos[NombreEquipo],0)))=1,"-","P."&amp;CU14&amp;" ("&amp;COUNTIFS($CU$6:$CU$53,CU14,$BC$6:$BC$53,INDEX(T_Equipos[Grupo],MATCH(BD14,T_Equipos[NombreEquipo],0)))&amp;")")</f>
        <v>P.1 (4)</v>
      </c>
      <c r="CW14" s="755">
        <f t="shared" ca="1" si="30"/>
        <v>0</v>
      </c>
      <c r="CX14" s="755">
        <f ca="1">CU14+COUNTIFS($CV$6:$CV$53,CV14,$CW$6:CW$53,"&gt;"&amp;CW14,$BC$6:$BC$53,INDEX(T_Equipos[Grupo],MATCH(BD14,T_Equipos[NombreEquipo],0)))</f>
        <v>1</v>
      </c>
      <c r="CY14" s="755" t="str">
        <f ca="1">IF(COUNTIFS($CX$6:$CX$53,CX14,$BC$6:$BC$53,INDEX(T_Equipos[Grupo],MATCH(BD14,T_Equipos[NombreEquipo],0)))=1,"-","P."&amp;CX14&amp;" ("&amp;COUNTIFS($CX$6:$CX$53,CX14,$BC$6:$BC$53,INDEX(T_Equipos[Grupo],MATCH(BD14,T_Equipos[NombreEquipo],0)))&amp;")")</f>
        <v>P.1 (4)</v>
      </c>
      <c r="CZ14" s="755">
        <f t="shared" ca="1" si="31"/>
        <v>0</v>
      </c>
      <c r="DA14" s="756">
        <f ca="1">CX14+COUNTIFS($CY$6:$CY$53,CY14,$CZ$6:CZ$53,"&gt;"&amp;CZ14,$BC$6:$BC$53,INDEX(T_Equipos[Grupo],MATCH(BD14,T_Equipos[NombreEquipo],0)))</f>
        <v>1</v>
      </c>
      <c r="DB14" s="755" t="str">
        <f ca="1">IF(COUNTIFS($DA$6:$DA$53,DA14,$BC$6:$BC$53,INDEX(T_Equipos[Grupo],MATCH(BD14,T_Equipos[NombreEquipo],0)))=1,"-","P."&amp;DA14&amp;" ("&amp;COUNTIFS($DA$6:$DA$53,DA14,$BC$6:$BC$53,INDEX(T_Equipos[Grupo],MATCH(BD14,T_Equipos[NombreEquipo],0)))&amp;")")</f>
        <v>P.1 (4)</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1</v>
      </c>
      <c r="DE14" s="754"/>
      <c r="DF14" s="754">
        <f t="shared" ca="1" si="52"/>
        <v>1</v>
      </c>
      <c r="DG14" s="754">
        <f ca="1">IF(DB14="-","-",COUNTIFS(DF$6:DF$53,"&lt;"&amp;DF14,$BC$6:$BC$53,INDEX(T_Equipos[Grupo],MATCH(BD14,T_Equipos[NombreEquipo],0))))</f>
        <v>0</v>
      </c>
      <c r="DH14" s="754">
        <f ca="1">DA14+COUNTIFS(DB$6:DB$53,DB14,DG$6:DG$53,"&lt;"&amp;DG14,$BC$6:$BC$53,INDEX(T_Equipos[Grupo],MATCH(BD14,T_Equipos[NombreEquipo],0)))</f>
        <v>1</v>
      </c>
      <c r="DI14" s="742"/>
      <c r="DJ14" s="742">
        <f t="shared" ca="1" si="53"/>
        <v>1</v>
      </c>
      <c r="DK14" s="742">
        <f t="shared" ca="1" si="24"/>
        <v>0</v>
      </c>
      <c r="DL14" s="742">
        <f t="shared" ca="1" si="33"/>
        <v>1</v>
      </c>
      <c r="DM14" s="736" t="str">
        <f t="shared" ca="1" si="34"/>
        <v>1.1</v>
      </c>
      <c r="DN14" s="742" cm="1">
        <f t="array" aca="1" ref="DN14" ca="1">OFFSET(Horarios!$P$3,DJ14-1,0,DL14,1)</f>
        <v>1</v>
      </c>
      <c r="DO14" s="742"/>
      <c r="DP14" s="742" t="s">
        <v>651</v>
      </c>
      <c r="DQ14" s="742" t="str">
        <f t="shared" ca="1" si="35"/>
        <v>Brasil</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c r="AD15" s="194"/>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0</v>
      </c>
      <c r="AN15" s="224">
        <f t="shared" ca="1" si="71"/>
        <v>0</v>
      </c>
      <c r="AO15" s="224">
        <f t="shared" ca="1" si="71"/>
        <v>0</v>
      </c>
      <c r="AP15" s="224">
        <f t="shared" ca="1" si="71"/>
        <v>0</v>
      </c>
      <c r="AQ15" s="224">
        <f t="shared" ca="1" si="71"/>
        <v>0</v>
      </c>
      <c r="AR15" s="224">
        <f t="shared" ca="1" si="71"/>
        <v>0</v>
      </c>
      <c r="AS15" s="224">
        <f t="shared" ca="1" si="71"/>
        <v>0</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0</v>
      </c>
      <c r="BF15" s="746">
        <f t="shared" ca="1" si="26"/>
        <v>0</v>
      </c>
      <c r="BG15" s="746">
        <f t="shared" ca="1" si="17"/>
        <v>0</v>
      </c>
      <c r="BH15" s="746">
        <f t="shared" ca="1" si="18"/>
        <v>0</v>
      </c>
      <c r="BI15" s="746">
        <f t="shared" ca="1" si="19"/>
        <v>0</v>
      </c>
      <c r="BJ15" s="746">
        <f t="shared" ca="1" si="20"/>
        <v>0</v>
      </c>
      <c r="BK15" s="746">
        <f t="shared" ca="1" si="21"/>
        <v>0</v>
      </c>
      <c r="BL15" s="746">
        <f t="shared" ca="1" si="27"/>
        <v>0</v>
      </c>
      <c r="BM15" s="746" t="str">
        <f t="shared" ca="1" si="22"/>
        <v>2C</v>
      </c>
      <c r="BN15" s="746" t="str">
        <f t="shared" ca="1" si="23"/>
        <v>2C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0</v>
      </c>
      <c r="BS15" s="755">
        <f ca="1">BP15+COUNTIFS($BQ$6:$BQ$53,BQ15,$BR$6:BR$53,"&gt;"&amp;BR15,$BC$6:$BC$53,INDEX(T_Equipos[Grupo],MATCH(BD15,T_Equipos[NombreEquipo],0)))</f>
        <v>1</v>
      </c>
      <c r="BT15" s="755" t="str">
        <f ca="1">IF(COUNTIFS($BS$6:$BS$53,BS15,$BC$6:$BC$53,INDEX(T_Equipos[Grupo],MATCH(BD15,T_Equipos[NombreEquipo],0)))=1,"-","P."&amp;BS15&amp;" ("&amp;COUNTIFS($BS$6:$BS$53,BS15,$BC$6:$BC$53,INDEX(T_Equipos[Grupo],MATCH(BD15,T_Equipos[NombreEquipo],0)))&amp;")")</f>
        <v>P.1 (4)</v>
      </c>
      <c r="BU15" s="756">
        <f t="shared" ca="1" si="36"/>
        <v>0</v>
      </c>
      <c r="BV15" s="756">
        <f t="shared" ca="1" si="37"/>
        <v>0</v>
      </c>
      <c r="BW15" s="756">
        <f t="shared" ca="1" si="38"/>
        <v>0</v>
      </c>
      <c r="BX15" s="756">
        <f t="shared" ca="1" si="39"/>
        <v>0</v>
      </c>
      <c r="BY15" s="756">
        <f ca="1">BS15+COUNTIFS($BT$6:$BT$53,BT15,$BX$6:BX$53,"&gt;"&amp;BX15,$BC$6:$BC$53,INDEX(T_Equipos[Grupo],MATCH(BD15,T_Equipos[NombreEquipo],0)))</f>
        <v>1</v>
      </c>
      <c r="BZ15" s="755" t="str">
        <f ca="1">IF(COUNTIFS($BY$6:$BY$53,BY15,$BC$6:$BC$53,INDEX(T_Equipos[Grupo],MATCH(BD15,T_Equipos[NombreEquipo],0)))=1,"-","P."&amp;BY15&amp;" ("&amp;COUNTIFS($BY$6:$BY$53,BY15,$BC$6:$BC$53,INDEX(T_Equipos[Grupo],MATCH(BD15,T_Equipos[NombreEquipo],0)))&amp;")")</f>
        <v>P.1 (4)</v>
      </c>
      <c r="CA15" s="756">
        <f t="shared" ca="1" si="40"/>
        <v>0</v>
      </c>
      <c r="CB15" s="756">
        <f t="shared" ca="1" si="41"/>
        <v>0</v>
      </c>
      <c r="CC15" s="756">
        <f t="shared" ca="1" si="42"/>
        <v>0</v>
      </c>
      <c r="CD15" s="756">
        <f ca="1">BY15+COUNTIFS($BZ$6:$BZ$53,BZ15,$CC$6:CC$53,"&gt;"&amp;CC15,$BC$6:$BC$53,INDEX(T_Equipos[Grupo],MATCH(BD15,T_Equipos[NombreEquipo],0)))</f>
        <v>1</v>
      </c>
      <c r="CE15" s="755" t="str">
        <f ca="1">IF(COUNTIFS($CD$6:$CD$53,CD15,$BC$6:$BC$53,INDEX(T_Equipos[Grupo],MATCH(BD15,T_Equipos[NombreEquipo],0)))=1,"-","P."&amp;CD15&amp;" ("&amp;COUNTIFS($CD$6:$CD$53,CD15,$BC$6:$BC$53,INDEX(T_Equipos[Grupo],MATCH(BD15,T_Equipos[NombreEquipo],0)))&amp;")")</f>
        <v>P.1 (4)</v>
      </c>
      <c r="CF15" s="756">
        <f t="shared" ca="1" si="43"/>
        <v>0</v>
      </c>
      <c r="CG15" s="756">
        <f ca="1">CD15+COUNTIFS($CE$6:$CE$53,CE15,$CF$6:CF$53,"&gt;"&amp;CF15,$BC$6:$BC$53,INDEX(T_Equipos[Grupo],MATCH(BD15,T_Equipos[NombreEquipo],0)))</f>
        <v>1</v>
      </c>
      <c r="CH15" s="755" t="str">
        <f ca="1">IF(COUNTIFS($CG$6:$CG$53,CG15,$BC$6:$BC$53,INDEX(T_Equipos[Grupo],MATCH(BD15,T_Equipos[NombreEquipo],0)))=1,"-","P."&amp;CG15&amp;" ("&amp;COUNTIFS($CG$6:$CG$53,CG15,$BC$6:$BC$53,INDEX(T_Equipos[Grupo],MATCH(BD15,T_Equipos[NombreEquipo],0)))&amp;")")</f>
        <v>P.1 (4)</v>
      </c>
      <c r="CI15" s="756">
        <f t="shared" ca="1" si="44"/>
        <v>0</v>
      </c>
      <c r="CJ15" s="756">
        <f t="shared" ca="1" si="45"/>
        <v>0</v>
      </c>
      <c r="CK15" s="756">
        <f t="shared" ca="1" si="46"/>
        <v>0</v>
      </c>
      <c r="CL15" s="756">
        <f t="shared" ca="1" si="47"/>
        <v>0</v>
      </c>
      <c r="CM15" s="756">
        <f ca="1">CG15+COUNTIFS($CH$6:$CH$53,CH15,$CL$6:CL$53,"&gt;"&amp;CL15,$BC$6:$BC$53,INDEX(T_Equipos[Grupo],MATCH(BD15,T_Equipos[NombreEquipo],0)))</f>
        <v>1</v>
      </c>
      <c r="CN15" s="755" t="str">
        <f ca="1">IF(COUNTIFS($CM$6:$CM$53,CM15,$BC$6:$BC$53,INDEX(T_Equipos[Grupo],MATCH(BD15,T_Equipos[NombreEquipo],0)))=1,"-","P."&amp;CM15&amp;" ("&amp;COUNTIFS($CM$6:$CM$53,CM15,$BC$6:$BC$53,INDEX(T_Equipos[Grupo],MATCH(BD15,T_Equipos[NombreEquipo],0)))&amp;")")</f>
        <v>P.1 (4)</v>
      </c>
      <c r="CO15" s="756">
        <f t="shared" ca="1" si="48"/>
        <v>0</v>
      </c>
      <c r="CP15" s="756">
        <f t="shared" ca="1" si="49"/>
        <v>0</v>
      </c>
      <c r="CQ15" s="756">
        <f t="shared" ca="1" si="50"/>
        <v>0</v>
      </c>
      <c r="CR15" s="756">
        <f ca="1">CM15+COUNTIFS($CN$6:$CN$53,CN15,$CQ$6:CQ$53,"&gt;"&amp;CQ15,$BC$6:$BC$53,INDEX(T_Equipos[Grupo],MATCH(BD15,T_Equipos[NombreEquipo],0)))</f>
        <v>1</v>
      </c>
      <c r="CS15" s="755" t="str">
        <f ca="1">IF(COUNTIFS($CR$6:$CR$53,CR15,$BC$6:$BC$53,INDEX(T_Equipos[Grupo],MATCH(BD15,T_Equipos[NombreEquipo],0)))=1,"-","P."&amp;CR15&amp;" ("&amp;COUNTIFS($CR$6:$CR$53,CR15,$BC$6:$BC$53,INDEX(T_Equipos[Grupo],MATCH(BD15,T_Equipos[NombreEquipo],0)))&amp;")")</f>
        <v>P.1 (4)</v>
      </c>
      <c r="CT15" s="756">
        <f t="shared" ca="1" si="51"/>
        <v>0</v>
      </c>
      <c r="CU15" s="756">
        <f ca="1">CR15+COUNTIFS($CS$6:$CS$53,CS15,$CT$6:CT$53,"&gt;"&amp;CT15,$BC$6:$BC$53,INDEX(T_Equipos[Grupo],MATCH(BD15,T_Equipos[NombreEquipo],0)))</f>
        <v>1</v>
      </c>
      <c r="CV15" s="755" t="str">
        <f ca="1">IF(COUNTIFS($CU$6:$CU$53,CU15,$BC$6:$BC$53,INDEX(T_Equipos[Grupo],MATCH(BD15,T_Equipos[NombreEquipo],0)))=1,"-","P."&amp;CU15&amp;" ("&amp;COUNTIFS($CU$6:$CU$53,CU15,$BC$6:$BC$53,INDEX(T_Equipos[Grupo],MATCH(BD15,T_Equipos[NombreEquipo],0)))&amp;")")</f>
        <v>P.1 (4)</v>
      </c>
      <c r="CW15" s="755">
        <f t="shared" ca="1" si="30"/>
        <v>0</v>
      </c>
      <c r="CX15" s="755">
        <f ca="1">CU15+COUNTIFS($CV$6:$CV$53,CV15,$CW$6:CW$53,"&gt;"&amp;CW15,$BC$6:$BC$53,INDEX(T_Equipos[Grupo],MATCH(BD15,T_Equipos[NombreEquipo],0)))</f>
        <v>1</v>
      </c>
      <c r="CY15" s="755" t="str">
        <f ca="1">IF(COUNTIFS($CX$6:$CX$53,CX15,$BC$6:$BC$53,INDEX(T_Equipos[Grupo],MATCH(BD15,T_Equipos[NombreEquipo],0)))=1,"-","P."&amp;CX15&amp;" ("&amp;COUNTIFS($CX$6:$CX$53,CX15,$BC$6:$BC$53,INDEX(T_Equipos[Grupo],MATCH(BD15,T_Equipos[NombreEquipo],0)))&amp;")")</f>
        <v>P.1 (4)</v>
      </c>
      <c r="CZ15" s="755">
        <f t="shared" ca="1" si="31"/>
        <v>0</v>
      </c>
      <c r="DA15" s="756">
        <f ca="1">CX15+COUNTIFS($CY$6:$CY$53,CY15,$CZ$6:CZ$53,"&gt;"&amp;CZ15,$BC$6:$BC$53,INDEX(T_Equipos[Grupo],MATCH(BD15,T_Equipos[NombreEquipo],0)))</f>
        <v>1</v>
      </c>
      <c r="DB15" s="755" t="str">
        <f ca="1">IF(COUNTIFS($DA$6:$DA$53,DA15,$BC$6:$BC$53,INDEX(T_Equipos[Grupo],MATCH(BD15,T_Equipos[NombreEquipo],0)))=1,"-","P."&amp;DA15&amp;" ("&amp;COUNTIFS($DA$6:$DA$53,DA15,$BC$6:$BC$53,INDEX(T_Equipos[Grupo],MATCH(BD15,T_Equipos[NombreEquipo],0)))&amp;")")</f>
        <v>P.1 (4)</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2</v>
      </c>
      <c r="DE15" s="754"/>
      <c r="DF15" s="754">
        <f t="shared" ca="1" si="52"/>
        <v>2</v>
      </c>
      <c r="DG15" s="754">
        <f ca="1">IF(DB15="-","-",COUNTIFS(DF$6:DF$53,"&lt;"&amp;DF15,$BC$6:$BC$53,INDEX(T_Equipos[Grupo],MATCH(BD15,T_Equipos[NombreEquipo],0))))</f>
        <v>1</v>
      </c>
      <c r="DH15" s="754">
        <f ca="1">DA15+COUNTIFS(DB$6:DB$53,DB15,DG$6:DG$53,"&lt;"&amp;DG15,$BC$6:$BC$53,INDEX(T_Equipos[Grupo],MATCH(BD15,T_Equipos[NombreEquipo],0)))</f>
        <v>2</v>
      </c>
      <c r="DI15" s="742"/>
      <c r="DJ15" s="742">
        <f t="shared" ca="1" si="53"/>
        <v>1</v>
      </c>
      <c r="DK15" s="742">
        <f t="shared" ca="1" si="24"/>
        <v>0</v>
      </c>
      <c r="DL15" s="742">
        <f t="shared" ca="1" si="33"/>
        <v>1</v>
      </c>
      <c r="DM15" s="736" t="str">
        <f t="shared" ca="1" si="34"/>
        <v>1.1</v>
      </c>
      <c r="DN15" s="742" cm="1">
        <f t="array" aca="1" ref="DN15" ca="1">OFFSET(Horarios!$P$3,DJ15-1,0,DL15,1)</f>
        <v>1</v>
      </c>
      <c r="DO15" s="742"/>
      <c r="DP15" s="742" t="s">
        <v>656</v>
      </c>
      <c r="DQ15" s="742" t="str">
        <f t="shared" ca="1" si="35"/>
        <v>Marruecos</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c r="AD16" s="194"/>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0</v>
      </c>
      <c r="AN16" s="224">
        <f t="shared" ca="1" si="71"/>
        <v>0</v>
      </c>
      <c r="AO16" s="224">
        <f t="shared" ca="1" si="71"/>
        <v>0</v>
      </c>
      <c r="AP16" s="224">
        <f t="shared" ca="1" si="71"/>
        <v>0</v>
      </c>
      <c r="AQ16" s="224">
        <f t="shared" ca="1" si="71"/>
        <v>0</v>
      </c>
      <c r="AR16" s="224">
        <f t="shared" ca="1" si="71"/>
        <v>0</v>
      </c>
      <c r="AS16" s="224">
        <f t="shared" ca="1" si="71"/>
        <v>0</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0</v>
      </c>
      <c r="BG16" s="746">
        <f t="shared" ca="1" si="17"/>
        <v>0</v>
      </c>
      <c r="BH16" s="746">
        <f t="shared" ca="1" si="18"/>
        <v>0</v>
      </c>
      <c r="BI16" s="746">
        <f t="shared" ca="1" si="19"/>
        <v>0</v>
      </c>
      <c r="BJ16" s="746">
        <f t="shared" ca="1" si="20"/>
        <v>0</v>
      </c>
      <c r="BK16" s="746">
        <f t="shared" ca="1" si="21"/>
        <v>0</v>
      </c>
      <c r="BL16" s="746">
        <f t="shared" ca="1" si="27"/>
        <v>0</v>
      </c>
      <c r="BM16" s="746" t="str">
        <f t="shared" ca="1" si="22"/>
        <v>3C</v>
      </c>
      <c r="BN16" s="746" t="str">
        <f t="shared" ca="1" si="23"/>
        <v>3C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1</v>
      </c>
      <c r="BT16" s="755" t="str">
        <f ca="1">IF(COUNTIFS($BS$6:$BS$53,BS16,$BC$6:$BC$53,INDEX(T_Equipos[Grupo],MATCH(BD16,T_Equipos[NombreEquipo],0)))=1,"-","P."&amp;BS16&amp;" ("&amp;COUNTIFS($BS$6:$BS$53,BS16,$BC$6:$BC$53,INDEX(T_Equipos[Grupo],MATCH(BD16,T_Equipos[NombreEquipo],0)))&amp;")")</f>
        <v>P.1 (4)</v>
      </c>
      <c r="BU16" s="756">
        <f t="shared" ca="1" si="36"/>
        <v>0</v>
      </c>
      <c r="BV16" s="756">
        <f t="shared" ca="1" si="37"/>
        <v>0</v>
      </c>
      <c r="BW16" s="756">
        <f t="shared" ca="1" si="38"/>
        <v>0</v>
      </c>
      <c r="BX16" s="756">
        <f t="shared" ca="1" si="39"/>
        <v>0</v>
      </c>
      <c r="BY16" s="756">
        <f ca="1">BS16+COUNTIFS($BT$6:$BT$53,BT16,$BX$6:BX$53,"&gt;"&amp;BX16,$BC$6:$BC$53,INDEX(T_Equipos[Grupo],MATCH(BD16,T_Equipos[NombreEquipo],0)))</f>
        <v>1</v>
      </c>
      <c r="BZ16" s="755" t="str">
        <f ca="1">IF(COUNTIFS($BY$6:$BY$53,BY16,$BC$6:$BC$53,INDEX(T_Equipos[Grupo],MATCH(BD16,T_Equipos[NombreEquipo],0)))=1,"-","P."&amp;BY16&amp;" ("&amp;COUNTIFS($BY$6:$BY$53,BY16,$BC$6:$BC$53,INDEX(T_Equipos[Grupo],MATCH(BD16,T_Equipos[NombreEquipo],0)))&amp;")")</f>
        <v>P.1 (4)</v>
      </c>
      <c r="CA16" s="756">
        <f t="shared" ca="1" si="40"/>
        <v>0</v>
      </c>
      <c r="CB16" s="756">
        <f t="shared" ca="1" si="41"/>
        <v>0</v>
      </c>
      <c r="CC16" s="756">
        <f t="shared" ca="1" si="42"/>
        <v>0</v>
      </c>
      <c r="CD16" s="756">
        <f ca="1">BY16+COUNTIFS($BZ$6:$BZ$53,BZ16,$CC$6:CC$53,"&gt;"&amp;CC16,$BC$6:$BC$53,INDEX(T_Equipos[Grupo],MATCH(BD16,T_Equipos[NombreEquipo],0)))</f>
        <v>1</v>
      </c>
      <c r="CE16" s="755" t="str">
        <f ca="1">IF(COUNTIFS($CD$6:$CD$53,CD16,$BC$6:$BC$53,INDEX(T_Equipos[Grupo],MATCH(BD16,T_Equipos[NombreEquipo],0)))=1,"-","P."&amp;CD16&amp;" ("&amp;COUNTIFS($CD$6:$CD$53,CD16,$BC$6:$BC$53,INDEX(T_Equipos[Grupo],MATCH(BD16,T_Equipos[NombreEquipo],0)))&amp;")")</f>
        <v>P.1 (4)</v>
      </c>
      <c r="CF16" s="756">
        <f t="shared" ca="1" si="43"/>
        <v>0</v>
      </c>
      <c r="CG16" s="756">
        <f ca="1">CD16+COUNTIFS($CE$6:$CE$53,CE16,$CF$6:CF$53,"&gt;"&amp;CF16,$BC$6:$BC$53,INDEX(T_Equipos[Grupo],MATCH(BD16,T_Equipos[NombreEquipo],0)))</f>
        <v>1</v>
      </c>
      <c r="CH16" s="755" t="str">
        <f ca="1">IF(COUNTIFS($CG$6:$CG$53,CG16,$BC$6:$BC$53,INDEX(T_Equipos[Grupo],MATCH(BD16,T_Equipos[NombreEquipo],0)))=1,"-","P."&amp;CG16&amp;" ("&amp;COUNTIFS($CG$6:$CG$53,CG16,$BC$6:$BC$53,INDEX(T_Equipos[Grupo],MATCH(BD16,T_Equipos[NombreEquipo],0)))&amp;")")</f>
        <v>P.1 (4)</v>
      </c>
      <c r="CI16" s="756">
        <f t="shared" ca="1" si="44"/>
        <v>0</v>
      </c>
      <c r="CJ16" s="756">
        <f t="shared" ca="1" si="45"/>
        <v>0</v>
      </c>
      <c r="CK16" s="756">
        <f t="shared" ca="1" si="46"/>
        <v>0</v>
      </c>
      <c r="CL16" s="756">
        <f t="shared" ca="1" si="47"/>
        <v>0</v>
      </c>
      <c r="CM16" s="756">
        <f ca="1">CG16+COUNTIFS($CH$6:$CH$53,CH16,$CL$6:CL$53,"&gt;"&amp;CL16,$BC$6:$BC$53,INDEX(T_Equipos[Grupo],MATCH(BD16,T_Equipos[NombreEquipo],0)))</f>
        <v>1</v>
      </c>
      <c r="CN16" s="755" t="str">
        <f ca="1">IF(COUNTIFS($CM$6:$CM$53,CM16,$BC$6:$BC$53,INDEX(T_Equipos[Grupo],MATCH(BD16,T_Equipos[NombreEquipo],0)))=1,"-","P."&amp;CM16&amp;" ("&amp;COUNTIFS($CM$6:$CM$53,CM16,$BC$6:$BC$53,INDEX(T_Equipos[Grupo],MATCH(BD16,T_Equipos[NombreEquipo],0)))&amp;")")</f>
        <v>P.1 (4)</v>
      </c>
      <c r="CO16" s="756">
        <f t="shared" ca="1" si="48"/>
        <v>0</v>
      </c>
      <c r="CP16" s="756">
        <f t="shared" ca="1" si="49"/>
        <v>0</v>
      </c>
      <c r="CQ16" s="756">
        <f t="shared" ca="1" si="50"/>
        <v>0</v>
      </c>
      <c r="CR16" s="756">
        <f ca="1">CM16+COUNTIFS($CN$6:$CN$53,CN16,$CQ$6:CQ$53,"&gt;"&amp;CQ16,$BC$6:$BC$53,INDEX(T_Equipos[Grupo],MATCH(BD16,T_Equipos[NombreEquipo],0)))</f>
        <v>1</v>
      </c>
      <c r="CS16" s="755" t="str">
        <f ca="1">IF(COUNTIFS($CR$6:$CR$53,CR16,$BC$6:$BC$53,INDEX(T_Equipos[Grupo],MATCH(BD16,T_Equipos[NombreEquipo],0)))=1,"-","P."&amp;CR16&amp;" ("&amp;COUNTIFS($CR$6:$CR$53,CR16,$BC$6:$BC$53,INDEX(T_Equipos[Grupo],MATCH(BD16,T_Equipos[NombreEquipo],0)))&amp;")")</f>
        <v>P.1 (4)</v>
      </c>
      <c r="CT16" s="756">
        <f t="shared" ca="1" si="51"/>
        <v>0</v>
      </c>
      <c r="CU16" s="756">
        <f ca="1">CR16+COUNTIFS($CS$6:$CS$53,CS16,$CT$6:CT$53,"&gt;"&amp;CT16,$BC$6:$BC$53,INDEX(T_Equipos[Grupo],MATCH(BD16,T_Equipos[NombreEquipo],0)))</f>
        <v>1</v>
      </c>
      <c r="CV16" s="755" t="str">
        <f ca="1">IF(COUNTIFS($CU$6:$CU$53,CU16,$BC$6:$BC$53,INDEX(T_Equipos[Grupo],MATCH(BD16,T_Equipos[NombreEquipo],0)))=1,"-","P."&amp;CU16&amp;" ("&amp;COUNTIFS($CU$6:$CU$53,CU16,$BC$6:$BC$53,INDEX(T_Equipos[Grupo],MATCH(BD16,T_Equipos[NombreEquipo],0)))&amp;")")</f>
        <v>P.1 (4)</v>
      </c>
      <c r="CW16" s="755">
        <f t="shared" ca="1" si="30"/>
        <v>0</v>
      </c>
      <c r="CX16" s="755">
        <f ca="1">CU16+COUNTIFS($CV$6:$CV$53,CV16,$CW$6:CW$53,"&gt;"&amp;CW16,$BC$6:$BC$53,INDEX(T_Equipos[Grupo],MATCH(BD16,T_Equipos[NombreEquipo],0)))</f>
        <v>1</v>
      </c>
      <c r="CY16" s="755" t="str">
        <f ca="1">IF(COUNTIFS($CX$6:$CX$53,CX16,$BC$6:$BC$53,INDEX(T_Equipos[Grupo],MATCH(BD16,T_Equipos[NombreEquipo],0)))=1,"-","P."&amp;CX16&amp;" ("&amp;COUNTIFS($CX$6:$CX$53,CX16,$BC$6:$BC$53,INDEX(T_Equipos[Grupo],MATCH(BD16,T_Equipos[NombreEquipo],0)))&amp;")")</f>
        <v>P.1 (4)</v>
      </c>
      <c r="CZ16" s="755">
        <f t="shared" ca="1" si="31"/>
        <v>0</v>
      </c>
      <c r="DA16" s="756">
        <f ca="1">CX16+COUNTIFS($CY$6:$CY$53,CY16,$CZ$6:CZ$53,"&gt;"&amp;CZ16,$BC$6:$BC$53,INDEX(T_Equipos[Grupo],MATCH(BD16,T_Equipos[NombreEquipo],0)))</f>
        <v>1</v>
      </c>
      <c r="DB16" s="755" t="str">
        <f ca="1">IF(COUNTIFS($DA$6:$DA$53,DA16,$BC$6:$BC$53,INDEX(T_Equipos[Grupo],MATCH(BD16,T_Equipos[NombreEquipo],0)))=1,"-","P."&amp;DA16&amp;" ("&amp;COUNTIFS($DA$6:$DA$53,DA16,$BC$6:$BC$53,INDEX(T_Equipos[Grupo],MATCH(BD16,T_Equipos[NombreEquipo],0)))&amp;")")</f>
        <v>P.1 (4)</v>
      </c>
      <c r="DC16" s="754">
        <f ca="1">IF(DB16="-","-",COUNTIFS(T_Equipos[Rank],"&lt;"&amp;INDEX(T_Equipos[Rank],MATCH(BD16,T_Equipos[NombreEquipo],0)),$BC$6:$BC$53,INDEX(T_Equipos[Grupo],MATCH(BD16,T_Equipos[NombreEquipo],0)))+1)</f>
        <v>3</v>
      </c>
      <c r="DD16" s="754">
        <f ca="1">DA16+COUNTIFS($DB$6:$DB$53,DB16,$DC$6:DC$53,"&lt;"&amp;DC16,$BC$6:$BC$53,INDEX(T_Equipos[Grupo],MATCH(BD16,T_Equipos[NombreEquipo],0)))</f>
        <v>3</v>
      </c>
      <c r="DE16" s="754"/>
      <c r="DF16" s="754">
        <f t="shared" ca="1" si="52"/>
        <v>3</v>
      </c>
      <c r="DG16" s="754">
        <f ca="1">IF(DB16="-","-",COUNTIFS(DF$6:DF$53,"&lt;"&amp;DF16,$BC$6:$BC$53,INDEX(T_Equipos[Grupo],MATCH(BD16,T_Equipos[NombreEquipo],0))))</f>
        <v>2</v>
      </c>
      <c r="DH16" s="754">
        <f ca="1">DA16+COUNTIFS(DB$6:DB$53,DB16,DG$6:DG$53,"&lt;"&amp;DG16,$BC$6:$BC$53,INDEX(T_Equipos[Grupo],MATCH(BD16,T_Equipos[NombreEquipo],0)))</f>
        <v>3</v>
      </c>
      <c r="DI16" s="742"/>
      <c r="DJ16" s="742">
        <f t="shared" ca="1" si="53"/>
        <v>1</v>
      </c>
      <c r="DK16" s="742">
        <f t="shared" ca="1" si="24"/>
        <v>0</v>
      </c>
      <c r="DL16" s="742">
        <f t="shared" ca="1" si="33"/>
        <v>1</v>
      </c>
      <c r="DM16" s="736" t="str">
        <f t="shared" ca="1" si="34"/>
        <v>1.1</v>
      </c>
      <c r="DN16" s="742" cm="1">
        <f t="array" aca="1" ref="DN16" ca="1">OFFSET(Horarios!$P$3,DJ16-1,0,DL16,1)</f>
        <v>1</v>
      </c>
      <c r="DO16" s="742"/>
      <c r="DP16" s="742" t="s">
        <v>91</v>
      </c>
      <c r="DQ16" s="742" t="str">
        <f t="shared" ca="1" si="35"/>
        <v>Haití</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c r="AD17" s="233"/>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0</v>
      </c>
      <c r="AN17" s="263">
        <f t="shared" ca="1" si="71"/>
        <v>0</v>
      </c>
      <c r="AO17" s="263">
        <f t="shared" ca="1" si="71"/>
        <v>0</v>
      </c>
      <c r="AP17" s="263">
        <f t="shared" ca="1" si="71"/>
        <v>0</v>
      </c>
      <c r="AQ17" s="263">
        <f t="shared" ca="1" si="71"/>
        <v>0</v>
      </c>
      <c r="AR17" s="263">
        <f t="shared" ca="1" si="71"/>
        <v>0</v>
      </c>
      <c r="AS17" s="263">
        <f t="shared" ca="1" si="71"/>
        <v>0</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0</v>
      </c>
      <c r="BF17" s="746">
        <f t="shared" ca="1" si="26"/>
        <v>0</v>
      </c>
      <c r="BG17" s="746">
        <f t="shared" ca="1" si="17"/>
        <v>0</v>
      </c>
      <c r="BH17" s="746">
        <f t="shared" ca="1" si="18"/>
        <v>0</v>
      </c>
      <c r="BI17" s="746">
        <f t="shared" ca="1" si="19"/>
        <v>0</v>
      </c>
      <c r="BJ17" s="746">
        <f t="shared" ca="1" si="20"/>
        <v>0</v>
      </c>
      <c r="BK17" s="746">
        <f t="shared" ca="1" si="21"/>
        <v>0</v>
      </c>
      <c r="BL17" s="746">
        <f t="shared" ca="1" si="27"/>
        <v>0</v>
      </c>
      <c r="BM17" s="746" t="str">
        <f t="shared" ca="1" si="22"/>
        <v>4C</v>
      </c>
      <c r="BN17" s="746" t="str">
        <f t="shared" ca="1" si="23"/>
        <v>4C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0</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P.1 (4)</v>
      </c>
      <c r="BU17" s="756">
        <f t="shared" ca="1" si="36"/>
        <v>0</v>
      </c>
      <c r="BV17" s="756">
        <f t="shared" ca="1" si="37"/>
        <v>0</v>
      </c>
      <c r="BW17" s="756">
        <f t="shared" ca="1" si="38"/>
        <v>0</v>
      </c>
      <c r="BX17" s="756">
        <f t="shared" ca="1" si="39"/>
        <v>0</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P.1 (4)</v>
      </c>
      <c r="CA17" s="756">
        <f t="shared" ca="1" si="40"/>
        <v>0</v>
      </c>
      <c r="CB17" s="756">
        <f t="shared" ca="1" si="41"/>
        <v>0</v>
      </c>
      <c r="CC17" s="756">
        <f t="shared" ca="1" si="42"/>
        <v>0</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P.1 (4)</v>
      </c>
      <c r="CF17" s="756">
        <f t="shared" ca="1" si="43"/>
        <v>0</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P.1 (4)</v>
      </c>
      <c r="CI17" s="756">
        <f t="shared" ca="1" si="44"/>
        <v>0</v>
      </c>
      <c r="CJ17" s="756">
        <f t="shared" ca="1" si="45"/>
        <v>0</v>
      </c>
      <c r="CK17" s="756">
        <f t="shared" ca="1" si="46"/>
        <v>0</v>
      </c>
      <c r="CL17" s="756">
        <f t="shared" ca="1" si="47"/>
        <v>0</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P.1 (4)</v>
      </c>
      <c r="CO17" s="756">
        <f t="shared" ca="1" si="48"/>
        <v>0</v>
      </c>
      <c r="CP17" s="756">
        <f t="shared" ca="1" si="49"/>
        <v>0</v>
      </c>
      <c r="CQ17" s="756">
        <f t="shared" ca="1" si="50"/>
        <v>0</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P.1 (4)</v>
      </c>
      <c r="CT17" s="756">
        <f t="shared" ca="1" si="51"/>
        <v>0</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P.1 (4)</v>
      </c>
      <c r="CW17" s="755">
        <f t="shared" ca="1" si="30"/>
        <v>0</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P.1 (4)</v>
      </c>
      <c r="CZ17" s="755">
        <f t="shared" ca="1" si="31"/>
        <v>0</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P.1 (4)</v>
      </c>
      <c r="DC17" s="754">
        <f ca="1">IF(DB17="-","-",COUNTIFS(T_Equipos[Rank],"&lt;"&amp;INDEX(T_Equipos[Rank],MATCH(BD17,T_Equipos[NombreEquipo],0)),$BC$6:$BC$53,INDEX(T_Equipos[Grupo],MATCH(BD17,T_Equipos[NombreEquipo],0)))+1)</f>
        <v>4</v>
      </c>
      <c r="DD17" s="754">
        <f ca="1">DA17+COUNTIFS($DB$6:$DB$53,DB17,$DC$6:DC$53,"&lt;"&amp;DC17,$BC$6:$BC$53,INDEX(T_Equipos[Grupo],MATCH(BD17,T_Equipos[NombreEquipo],0)))</f>
        <v>4</v>
      </c>
      <c r="DE17" s="754"/>
      <c r="DF17" s="754">
        <f t="shared" ca="1" si="52"/>
        <v>4</v>
      </c>
      <c r="DG17" s="754">
        <f ca="1">IF(DB17="-","-",COUNTIFS(DF$6:DF$53,"&lt;"&amp;DF17,$BC$6:$BC$53,INDEX(T_Equipos[Grupo],MATCH(BD17,T_Equipos[NombreEquipo],0))))</f>
        <v>3</v>
      </c>
      <c r="DH17" s="754">
        <f ca="1">DA17+COUNTIFS(DB$6:DB$53,DB17,DG$6:DG$53,"&lt;"&amp;DG17,$BC$6:$BC$53,INDEX(T_Equipos[Grupo],MATCH(BD17,T_Equipos[NombreEquipo],0)))</f>
        <v>4</v>
      </c>
      <c r="DI17" s="742"/>
      <c r="DJ17" s="742">
        <f t="shared" ca="1" si="53"/>
        <v>1</v>
      </c>
      <c r="DK17" s="742">
        <f t="shared" ca="1" si="24"/>
        <v>0</v>
      </c>
      <c r="DL17" s="742">
        <f t="shared" ca="1" si="33"/>
        <v>1</v>
      </c>
      <c r="DM17" s="736" t="str">
        <f t="shared" ca="1" si="34"/>
        <v>1.1</v>
      </c>
      <c r="DN17" s="742" cm="1">
        <f t="array" aca="1" ref="DN17" ca="1">OFFSET(Horarios!$P$3,DJ17-1,0,DL17,1)</f>
        <v>1</v>
      </c>
      <c r="DO17" s="742"/>
      <c r="DP17" s="742" t="s">
        <v>657</v>
      </c>
      <c r="DQ17" s="742" t="str">
        <f t="shared" ca="1" si="35"/>
        <v>Escocia</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0</v>
      </c>
      <c r="BF18" s="746">
        <f t="shared" ca="1" si="26"/>
        <v>0</v>
      </c>
      <c r="BG18" s="746">
        <f t="shared" ca="1" si="17"/>
        <v>0</v>
      </c>
      <c r="BH18" s="746">
        <f t="shared" ca="1" si="18"/>
        <v>0</v>
      </c>
      <c r="BI18" s="746">
        <f t="shared" ca="1" si="19"/>
        <v>0</v>
      </c>
      <c r="BJ18" s="746">
        <f t="shared" ca="1" si="20"/>
        <v>0</v>
      </c>
      <c r="BK18" s="746">
        <f t="shared" ca="1" si="21"/>
        <v>0</v>
      </c>
      <c r="BL18" s="746">
        <f t="shared" ca="1" si="27"/>
        <v>0</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0</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(4)</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(4)</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(4)</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(4)</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(4)</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(4)</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(4)</v>
      </c>
      <c r="CW18" s="755">
        <f t="shared" ca="1" si="30"/>
        <v>0</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P.1 (4)</v>
      </c>
      <c r="CZ18" s="755">
        <f t="shared" ca="1" si="31"/>
        <v>0</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P.1 (4)</v>
      </c>
      <c r="DC18" s="754">
        <f ca="1">IF(DB18="-","-",COUNTIFS(T_Equipos[Rank],"&lt;"&amp;INDEX(T_Equipos[Rank],MATCH(BD18,T_Equipos[NombreEquipo],0)),$BC$6:$BC$53,INDEX(T_Equipos[Grupo],MATCH(BD18,T_Equipos[NombreEquipo],0)))+1)</f>
        <v>1</v>
      </c>
      <c r="DD18" s="754">
        <f ca="1">DA18+COUNTIFS($DB$6:$DB$53,DB18,$DC$6:DC$53,"&lt;"&amp;DC18,$BC$6:$BC$53,INDEX(T_Equipos[Grupo],MATCH(BD18,T_Equipos[NombreEquipo],0)))</f>
        <v>1</v>
      </c>
      <c r="DE18" s="754"/>
      <c r="DF18" s="754">
        <f t="shared" ca="1" si="52"/>
        <v>1</v>
      </c>
      <c r="DG18" s="754">
        <f ca="1">IF(DB18="-","-",COUNTIFS(DF$6:DF$53,"&lt;"&amp;DF18,$BC$6:$BC$53,INDEX(T_Equipos[Grupo],MATCH(BD18,T_Equipos[NombreEquipo],0))))</f>
        <v>0</v>
      </c>
      <c r="DH18" s="754">
        <f ca="1">DA18+COUNTIFS(DB$6:DB$53,DB18,DG$6:DG$53,"&lt;"&amp;DG18,$BC$6:$BC$53,INDEX(T_Equipos[Grupo],MATCH(BD18,T_Equipos[NombreEquipo],0)))</f>
        <v>1</v>
      </c>
      <c r="DI18" s="742"/>
      <c r="DJ18" s="742">
        <f t="shared" ca="1" si="53"/>
        <v>1</v>
      </c>
      <c r="DK18" s="742">
        <f t="shared" ca="1" si="24"/>
        <v>0</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0</v>
      </c>
      <c r="BG19" s="746">
        <f t="shared" ca="1" si="17"/>
        <v>0</v>
      </c>
      <c r="BH19" s="746">
        <f t="shared" ca="1" si="18"/>
        <v>0</v>
      </c>
      <c r="BI19" s="746">
        <f t="shared" ca="1" si="19"/>
        <v>0</v>
      </c>
      <c r="BJ19" s="746">
        <f t="shared" ca="1" si="20"/>
        <v>0</v>
      </c>
      <c r="BK19" s="746">
        <f t="shared" ca="1" si="21"/>
        <v>0</v>
      </c>
      <c r="BL19" s="746">
        <f t="shared" ca="1" si="27"/>
        <v>0</v>
      </c>
      <c r="BM19" s="746" t="str">
        <f t="shared" ca="1" si="22"/>
        <v>2D</v>
      </c>
      <c r="BN19" s="746" t="str">
        <f t="shared" ca="1" si="23"/>
        <v>2D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1</v>
      </c>
      <c r="BT19" s="755" t="str">
        <f ca="1">IF(COUNTIFS($BS$6:$BS$53,BS19,$BC$6:$BC$53,INDEX(T_Equipos[Grupo],MATCH(BD19,T_Equipos[NombreEquipo],0)))=1,"-","P."&amp;BS19&amp;" ("&amp;COUNTIFS($BS$6:$BS$53,BS19,$BC$6:$BC$53,INDEX(T_Equipos[Grupo],MATCH(BD19,T_Equipos[NombreEquipo],0)))&amp;")")</f>
        <v>P.1 (4)</v>
      </c>
      <c r="BU19" s="756">
        <f t="shared" ca="1" si="36"/>
        <v>0</v>
      </c>
      <c r="BV19" s="756">
        <f t="shared" ca="1" si="37"/>
        <v>0</v>
      </c>
      <c r="BW19" s="756">
        <f t="shared" ca="1" si="38"/>
        <v>0</v>
      </c>
      <c r="BX19" s="756">
        <f t="shared" ca="1" si="39"/>
        <v>0</v>
      </c>
      <c r="BY19" s="756">
        <f ca="1">BS19+COUNTIFS($BT$6:$BT$53,BT19,$BX$6:BX$53,"&gt;"&amp;BX19,$BC$6:$BC$53,INDEX(T_Equipos[Grupo],MATCH(BD19,T_Equipos[NombreEquipo],0)))</f>
        <v>1</v>
      </c>
      <c r="BZ19" s="755" t="str">
        <f ca="1">IF(COUNTIFS($BY$6:$BY$53,BY19,$BC$6:$BC$53,INDEX(T_Equipos[Grupo],MATCH(BD19,T_Equipos[NombreEquipo],0)))=1,"-","P."&amp;BY19&amp;" ("&amp;COUNTIFS($BY$6:$BY$53,BY19,$BC$6:$BC$53,INDEX(T_Equipos[Grupo],MATCH(BD19,T_Equipos[NombreEquipo],0)))&amp;")")</f>
        <v>P.1 (4)</v>
      </c>
      <c r="CA19" s="756">
        <f t="shared" ca="1" si="40"/>
        <v>0</v>
      </c>
      <c r="CB19" s="756">
        <f t="shared" ca="1" si="41"/>
        <v>0</v>
      </c>
      <c r="CC19" s="756">
        <f t="shared" ca="1" si="42"/>
        <v>0</v>
      </c>
      <c r="CD19" s="756">
        <f ca="1">BY19+COUNTIFS($BZ$6:$BZ$53,BZ19,$CC$6:CC$53,"&gt;"&amp;CC19,$BC$6:$BC$53,INDEX(T_Equipos[Grupo],MATCH(BD19,T_Equipos[NombreEquipo],0)))</f>
        <v>1</v>
      </c>
      <c r="CE19" s="755" t="str">
        <f ca="1">IF(COUNTIFS($CD$6:$CD$53,CD19,$BC$6:$BC$53,INDEX(T_Equipos[Grupo],MATCH(BD19,T_Equipos[NombreEquipo],0)))=1,"-","P."&amp;CD19&amp;" ("&amp;COUNTIFS($CD$6:$CD$53,CD19,$BC$6:$BC$53,INDEX(T_Equipos[Grupo],MATCH(BD19,T_Equipos[NombreEquipo],0)))&amp;")")</f>
        <v>P.1 (4)</v>
      </c>
      <c r="CF19" s="756">
        <f t="shared" ca="1" si="43"/>
        <v>0</v>
      </c>
      <c r="CG19" s="756">
        <f ca="1">CD19+COUNTIFS($CE$6:$CE$53,CE19,$CF$6:CF$53,"&gt;"&amp;CF19,$BC$6:$BC$53,INDEX(T_Equipos[Grupo],MATCH(BD19,T_Equipos[NombreEquipo],0)))</f>
        <v>1</v>
      </c>
      <c r="CH19" s="755" t="str">
        <f ca="1">IF(COUNTIFS($CG$6:$CG$53,CG19,$BC$6:$BC$53,INDEX(T_Equipos[Grupo],MATCH(BD19,T_Equipos[NombreEquipo],0)))=1,"-","P."&amp;CG19&amp;" ("&amp;COUNTIFS($CG$6:$CG$53,CG19,$BC$6:$BC$53,INDEX(T_Equipos[Grupo],MATCH(BD19,T_Equipos[NombreEquipo],0)))&amp;")")</f>
        <v>P.1 (4)</v>
      </c>
      <c r="CI19" s="756">
        <f t="shared" ca="1" si="44"/>
        <v>0</v>
      </c>
      <c r="CJ19" s="756">
        <f t="shared" ca="1" si="45"/>
        <v>0</v>
      </c>
      <c r="CK19" s="756">
        <f t="shared" ca="1" si="46"/>
        <v>0</v>
      </c>
      <c r="CL19" s="756">
        <f t="shared" ca="1" si="47"/>
        <v>0</v>
      </c>
      <c r="CM19" s="756">
        <f ca="1">CG19+COUNTIFS($CH$6:$CH$53,CH19,$CL$6:CL$53,"&gt;"&amp;CL19,$BC$6:$BC$53,INDEX(T_Equipos[Grupo],MATCH(BD19,T_Equipos[NombreEquipo],0)))</f>
        <v>1</v>
      </c>
      <c r="CN19" s="755" t="str">
        <f ca="1">IF(COUNTIFS($CM$6:$CM$53,CM19,$BC$6:$BC$53,INDEX(T_Equipos[Grupo],MATCH(BD19,T_Equipos[NombreEquipo],0)))=1,"-","P."&amp;CM19&amp;" ("&amp;COUNTIFS($CM$6:$CM$53,CM19,$BC$6:$BC$53,INDEX(T_Equipos[Grupo],MATCH(BD19,T_Equipos[NombreEquipo],0)))&amp;")")</f>
        <v>P.1 (4)</v>
      </c>
      <c r="CO19" s="756">
        <f t="shared" ca="1" si="48"/>
        <v>0</v>
      </c>
      <c r="CP19" s="756">
        <f t="shared" ca="1" si="49"/>
        <v>0</v>
      </c>
      <c r="CQ19" s="756">
        <f t="shared" ca="1" si="50"/>
        <v>0</v>
      </c>
      <c r="CR19" s="756">
        <f ca="1">CM19+COUNTIFS($CN$6:$CN$53,CN19,$CQ$6:CQ$53,"&gt;"&amp;CQ19,$BC$6:$BC$53,INDEX(T_Equipos[Grupo],MATCH(BD19,T_Equipos[NombreEquipo],0)))</f>
        <v>1</v>
      </c>
      <c r="CS19" s="755" t="str">
        <f ca="1">IF(COUNTIFS($CR$6:$CR$53,CR19,$BC$6:$BC$53,INDEX(T_Equipos[Grupo],MATCH(BD19,T_Equipos[NombreEquipo],0)))=1,"-","P."&amp;CR19&amp;" ("&amp;COUNTIFS($CR$6:$CR$53,CR19,$BC$6:$BC$53,INDEX(T_Equipos[Grupo],MATCH(BD19,T_Equipos[NombreEquipo],0)))&amp;")")</f>
        <v>P.1 (4)</v>
      </c>
      <c r="CT19" s="756">
        <f t="shared" ca="1" si="51"/>
        <v>0</v>
      </c>
      <c r="CU19" s="756">
        <f ca="1">CR19+COUNTIFS($CS$6:$CS$53,CS19,$CT$6:CT$53,"&gt;"&amp;CT19,$BC$6:$BC$53,INDEX(T_Equipos[Grupo],MATCH(BD19,T_Equipos[NombreEquipo],0)))</f>
        <v>1</v>
      </c>
      <c r="CV19" s="755" t="str">
        <f ca="1">IF(COUNTIFS($CU$6:$CU$53,CU19,$BC$6:$BC$53,INDEX(T_Equipos[Grupo],MATCH(BD19,T_Equipos[NombreEquipo],0)))=1,"-","P."&amp;CU19&amp;" ("&amp;COUNTIFS($CU$6:$CU$53,CU19,$BC$6:$BC$53,INDEX(T_Equipos[Grupo],MATCH(BD19,T_Equipos[NombreEquipo],0)))&amp;")")</f>
        <v>P.1 (4)</v>
      </c>
      <c r="CW19" s="755">
        <f t="shared" ca="1" si="30"/>
        <v>0</v>
      </c>
      <c r="CX19" s="755">
        <f ca="1">CU19+COUNTIFS($CV$6:$CV$53,CV19,$CW$6:CW$53,"&gt;"&amp;CW19,$BC$6:$BC$53,INDEX(T_Equipos[Grupo],MATCH(BD19,T_Equipos[NombreEquipo],0)))</f>
        <v>1</v>
      </c>
      <c r="CY19" s="755" t="str">
        <f ca="1">IF(COUNTIFS($CX$6:$CX$53,CX19,$BC$6:$BC$53,INDEX(T_Equipos[Grupo],MATCH(BD19,T_Equipos[NombreEquipo],0)))=1,"-","P."&amp;CX19&amp;" ("&amp;COUNTIFS($CX$6:$CX$53,CX19,$BC$6:$BC$53,INDEX(T_Equipos[Grupo],MATCH(BD19,T_Equipos[NombreEquipo],0)))&amp;")")</f>
        <v>P.1 (4)</v>
      </c>
      <c r="CZ19" s="755">
        <f t="shared" ca="1" si="31"/>
        <v>0</v>
      </c>
      <c r="DA19" s="756">
        <f ca="1">CX19+COUNTIFS($CY$6:$CY$53,CY19,$CZ$6:CZ$53,"&gt;"&amp;CZ19,$BC$6:$BC$53,INDEX(T_Equipos[Grupo],MATCH(BD19,T_Equipos[NombreEquipo],0)))</f>
        <v>1</v>
      </c>
      <c r="DB19" s="755" t="str">
        <f ca="1">IF(COUNTIFS($DA$6:$DA$53,DA19,$BC$6:$BC$53,INDEX(T_Equipos[Grupo],MATCH(BD19,T_Equipos[NombreEquipo],0)))=1,"-","P."&amp;DA19&amp;" ("&amp;COUNTIFS($DA$6:$DA$53,DA19,$BC$6:$BC$53,INDEX(T_Equipos[Grupo],MATCH(BD19,T_Equipos[NombreEquipo],0)))&amp;")")</f>
        <v>P.1 (4)</v>
      </c>
      <c r="DC19" s="754">
        <f ca="1">IF(DB19="-","-",COUNTIFS(T_Equipos[Rank],"&lt;"&amp;INDEX(T_Equipos[Rank],MATCH(BD19,T_Equipos[NombreEquipo],0)),$BC$6:$BC$53,INDEX(T_Equipos[Grupo],MATCH(BD19,T_Equipos[NombreEquipo],0)))+1)</f>
        <v>2</v>
      </c>
      <c r="DD19" s="754">
        <f ca="1">DA19+COUNTIFS($DB$6:$DB$53,DB19,$DC$6:DC$53,"&lt;"&amp;DC19,$BC$6:$BC$53,INDEX(T_Equipos[Grupo],MATCH(BD19,T_Equipos[NombreEquipo],0)))</f>
        <v>2</v>
      </c>
      <c r="DE19" s="754"/>
      <c r="DF19" s="754">
        <f t="shared" ca="1" si="52"/>
        <v>2</v>
      </c>
      <c r="DG19" s="754">
        <f ca="1">IF(DB19="-","-",COUNTIFS(DF$6:DF$53,"&lt;"&amp;DF19,$BC$6:$BC$53,INDEX(T_Equipos[Grupo],MATCH(BD19,T_Equipos[NombreEquipo],0))))</f>
        <v>1</v>
      </c>
      <c r="DH19" s="754">
        <f ca="1">DA19+COUNTIFS(DB$6:DB$53,DB19,DG$6:DG$53,"&lt;"&amp;DG19,$BC$6:$BC$53,INDEX(T_Equipos[Grupo],MATCH(BD19,T_Equipos[NombreEquipo],0)))</f>
        <v>2</v>
      </c>
      <c r="DI19" s="742"/>
      <c r="DJ19" s="742">
        <f t="shared" ca="1" si="53"/>
        <v>1</v>
      </c>
      <c r="DK19" s="742">
        <f t="shared" ca="1" si="24"/>
        <v>0</v>
      </c>
      <c r="DL19" s="742">
        <f t="shared" ca="1" si="33"/>
        <v>1</v>
      </c>
      <c r="DM19" s="736" t="str">
        <f t="shared" ca="1" si="34"/>
        <v>1.1</v>
      </c>
      <c r="DN19" s="742" cm="1">
        <f t="array" aca="1" ref="DN19" ca="1">OFFSET(Horarios!$P$3,DJ19-1,0,DL19,1)</f>
        <v>1</v>
      </c>
      <c r="DO19" s="742"/>
      <c r="DP19" s="742" t="s">
        <v>659</v>
      </c>
      <c r="DQ19" s="742" t="str">
        <f t="shared" ca="1" si="35"/>
        <v>Paraguay</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Pendiente</v>
      </c>
      <c r="E20" s="742" t="str">
        <f t="shared" ref="E20:E25" si="74">IF(D20="Pendiente","-",INDEX($BT$6:$BT$53,MATCH($AA20,$BD$6:$BD$53,0)))</f>
        <v>-</v>
      </c>
      <c r="F20" s="742" t="str">
        <f t="shared" ref="F20:F25" si="75">IF(D20="Pendiente","-",INDEX($BT$6:$BT$53,MATCH($AF20,$BD$6:$BD$53,0)))</f>
        <v>-</v>
      </c>
      <c r="G20" s="742"/>
      <c r="H20" s="742" t="str">
        <f t="shared" ref="H20:H25" si="76">IF(D20="Pendiente","-",INDEX($BZ$6:$BZ$53,MATCH($AA20,$BD$6:$BD$53,0)))</f>
        <v>-</v>
      </c>
      <c r="I20" s="742" t="str">
        <f t="shared" ref="I20:I25" si="77">IF(D20="Pendiente","-",INDEX($BZ$6:$BZ$53,MATCH($AF20,$BD$6:$BD$53,0)))</f>
        <v>-</v>
      </c>
      <c r="J20" s="742"/>
      <c r="K20" s="742" t="str">
        <f t="shared" ref="K20:K25" si="78">IF(D20="Pendiente","-",INDEX($CE$6:$CE$53,MATCH($AA20,$BD$6:$BD$53,0)))</f>
        <v>-</v>
      </c>
      <c r="L20" s="742" t="str">
        <f t="shared" ref="L20:L25" si="79">IF(D20="Pendiente","-",INDEX($CE$6:$CE$53,MATCH($AF20,$BD$6:$BD$53,0)))</f>
        <v>-</v>
      </c>
      <c r="M20" s="742"/>
      <c r="N20" s="742" t="str">
        <f t="shared" ref="N20:N25" si="80">IF(D20="Pendiente","-",INDEX($CH$6:$CH$53,MATCH($AA20,$BD$6:$BD$53,0)))</f>
        <v>-</v>
      </c>
      <c r="O20" s="742" t="str">
        <f t="shared" ref="O20:O25" si="81">IF(D20="Pendiente","-",INDEX($CH$6:$CH$53,MATCH($AF20,$BD$6:$BD$53,0)))</f>
        <v>-</v>
      </c>
      <c r="P20" s="742"/>
      <c r="Q20" s="742" t="str">
        <f t="shared" ref="Q20:Q25" si="82">IF(D20="Pendiente","-",INDEX($CN$6:$CN$53,MATCH($AA20,$BD$6:$BD$53,0)))</f>
        <v>-</v>
      </c>
      <c r="R20" s="742" t="str">
        <f t="shared" ref="R20:R25" si="83">IF(D20="Pendiente","-",INDEX($CN$6:$CN$53,MATCH($AF20,$BD$6:$BD$53,0)))</f>
        <v>-</v>
      </c>
      <c r="S20" s="742"/>
      <c r="T20" s="742" t="str">
        <f t="shared" ref="T20:T25" si="84">IF(D20="Pendiente","-",INDEX($CS$6:$CS$53,MATCH($AA20,$BD$6:$BD$53,0)))</f>
        <v>-</v>
      </c>
      <c r="U20" s="742" t="str">
        <f t="shared" ref="U20:U25" si="85">IF(D20="Pendiente","-",INDEX($CS$6:$CS$53,MATCH($AF20,$BD$6:$BD$53,0)))</f>
        <v>-</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0</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0</v>
      </c>
      <c r="BF20" s="746">
        <f t="shared" ca="1" si="26"/>
        <v>0</v>
      </c>
      <c r="BG20" s="746">
        <f t="shared" ca="1" si="17"/>
        <v>0</v>
      </c>
      <c r="BH20" s="746">
        <f t="shared" ca="1" si="18"/>
        <v>0</v>
      </c>
      <c r="BI20" s="746">
        <f t="shared" ca="1" si="19"/>
        <v>0</v>
      </c>
      <c r="BJ20" s="746">
        <f t="shared" ca="1" si="20"/>
        <v>0</v>
      </c>
      <c r="BK20" s="746">
        <f t="shared" ca="1" si="21"/>
        <v>0</v>
      </c>
      <c r="BL20" s="746">
        <f t="shared" ca="1" si="27"/>
        <v>0</v>
      </c>
      <c r="BM20" s="746" t="str">
        <f t="shared" ca="1" si="22"/>
        <v>3D</v>
      </c>
      <c r="BN20" s="746" t="str">
        <f t="shared" ca="1" si="23"/>
        <v>3D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0</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(4)</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(4)</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(4)</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(4)</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(4)</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(4)</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(4)</v>
      </c>
      <c r="CW20" s="755">
        <f t="shared" ca="1" si="30"/>
        <v>0</v>
      </c>
      <c r="CX20" s="755">
        <f ca="1">CU20+COUNTIFS($CV$6:$CV$53,CV20,$CW$6:CW$53,"&gt;"&amp;CW20,$BC$6:$BC$53,INDEX(T_Equipos[Grupo],MATCH(BD20,T_Equipos[NombreEquipo],0)))</f>
        <v>1</v>
      </c>
      <c r="CY20" s="755" t="str">
        <f ca="1">IF(COUNTIFS($CX$6:$CX$53,CX20,$BC$6:$BC$53,INDEX(T_Equipos[Grupo],MATCH(BD20,T_Equipos[NombreEquipo],0)))=1,"-","P."&amp;CX20&amp;" ("&amp;COUNTIFS($CX$6:$CX$53,CX20,$BC$6:$BC$53,INDEX(T_Equipos[Grupo],MATCH(BD20,T_Equipos[NombreEquipo],0)))&amp;")")</f>
        <v>P.1 (4)</v>
      </c>
      <c r="CZ20" s="755">
        <f t="shared" ca="1" si="31"/>
        <v>0</v>
      </c>
      <c r="DA20" s="756">
        <f ca="1">CX20+COUNTIFS($CY$6:$CY$53,CY20,$CZ$6:CZ$53,"&gt;"&amp;CZ20,$BC$6:$BC$53,INDEX(T_Equipos[Grupo],MATCH(BD20,T_Equipos[NombreEquipo],0)))</f>
        <v>1</v>
      </c>
      <c r="DB20" s="755" t="str">
        <f ca="1">IF(COUNTIFS($DA$6:$DA$53,DA20,$BC$6:$BC$53,INDEX(T_Equipos[Grupo],MATCH(BD20,T_Equipos[NombreEquipo],0)))=1,"-","P."&amp;DA20&amp;" ("&amp;COUNTIFS($DA$6:$DA$53,DA20,$BC$6:$BC$53,INDEX(T_Equipos[Grupo],MATCH(BD20,T_Equipos[NombreEquipo],0)))&amp;")")</f>
        <v>P.1 (4)</v>
      </c>
      <c r="DC20" s="754">
        <f ca="1">IF(DB20="-","-",COUNTIFS(T_Equipos[Rank],"&lt;"&amp;INDEX(T_Equipos[Rank],MATCH(BD20,T_Equipos[NombreEquipo],0)),$BC$6:$BC$53,INDEX(T_Equipos[Grupo],MATCH(BD20,T_Equipos[NombreEquipo],0)))+1)</f>
        <v>3</v>
      </c>
      <c r="DD20" s="754">
        <f ca="1">DA20+COUNTIFS($DB$6:$DB$53,DB20,$DC$6:DC$53,"&lt;"&amp;DC20,$BC$6:$BC$53,INDEX(T_Equipos[Grupo],MATCH(BD20,T_Equipos[NombreEquipo],0)))</f>
        <v>3</v>
      </c>
      <c r="DE20" s="754"/>
      <c r="DF20" s="754">
        <f t="shared" ca="1" si="52"/>
        <v>3</v>
      </c>
      <c r="DG20" s="754">
        <f ca="1">IF(DB20="-","-",COUNTIFS(DF$6:DF$53,"&lt;"&amp;DF20,$BC$6:$BC$53,INDEX(T_Equipos[Grupo],MATCH(BD20,T_Equipos[NombreEquipo],0))))</f>
        <v>2</v>
      </c>
      <c r="DH20" s="754">
        <f ca="1">DA20+COUNTIFS(DB$6:DB$53,DB20,DG$6:DG$53,"&lt;"&amp;DG20,$BC$6:$BC$53,INDEX(T_Equipos[Grupo],MATCH(BD20,T_Equipos[NombreEquipo],0)))</f>
        <v>3</v>
      </c>
      <c r="DI20" s="742"/>
      <c r="DJ20" s="742">
        <f t="shared" ca="1" si="53"/>
        <v>1</v>
      </c>
      <c r="DK20" s="742">
        <f t="shared" ca="1" si="24"/>
        <v>0</v>
      </c>
      <c r="DL20" s="742">
        <f t="shared" ca="1" si="33"/>
        <v>1</v>
      </c>
      <c r="DM20" s="736" t="str">
        <f t="shared" ca="1" si="34"/>
        <v>1.1</v>
      </c>
      <c r="DN20" s="742" cm="1">
        <f t="array" aca="1" ref="DN20" ca="1">OFFSET(Horarios!$P$3,DJ20-1,0,DL20,1)</f>
        <v>1</v>
      </c>
      <c r="DO20" s="742"/>
      <c r="DP20" s="742" t="s">
        <v>92</v>
      </c>
      <c r="DQ20" s="742" t="str">
        <f t="shared" ca="1" si="35"/>
        <v>Australia</v>
      </c>
      <c r="DR20" s="742"/>
      <c r="DS20" s="742"/>
      <c r="DT20" s="742" t="str">
        <f t="shared" ca="1" si="15"/>
        <v>Brasil-Marruecos</v>
      </c>
      <c r="DU20" s="742"/>
      <c r="DV20" s="742"/>
      <c r="DW20" s="8"/>
    </row>
    <row r="21" spans="1:127" ht="15.95" customHeight="1">
      <c r="A21" s="743" t="str">
        <f ca="1">+Equipos!B10</f>
        <v>Brasil</v>
      </c>
      <c r="B21" s="740"/>
      <c r="C21" s="740"/>
      <c r="D21" s="742" t="str">
        <f t="shared" si="73"/>
        <v>Pendiente</v>
      </c>
      <c r="E21" s="742" t="str">
        <f t="shared" si="74"/>
        <v>-</v>
      </c>
      <c r="F21" s="742" t="str">
        <f t="shared" si="75"/>
        <v>-</v>
      </c>
      <c r="G21" s="742"/>
      <c r="H21" s="742" t="str">
        <f t="shared" si="76"/>
        <v>-</v>
      </c>
      <c r="I21" s="742" t="str">
        <f t="shared" si="77"/>
        <v>-</v>
      </c>
      <c r="J21" s="742"/>
      <c r="K21" s="742" t="str">
        <f t="shared" si="78"/>
        <v>-</v>
      </c>
      <c r="L21" s="742" t="str">
        <f t="shared" si="79"/>
        <v>-</v>
      </c>
      <c r="M21" s="742"/>
      <c r="N21" s="742" t="str">
        <f t="shared" si="80"/>
        <v>-</v>
      </c>
      <c r="O21" s="742" t="str">
        <f t="shared" si="81"/>
        <v>-</v>
      </c>
      <c r="P21" s="742"/>
      <c r="Q21" s="742" t="str">
        <f t="shared" si="82"/>
        <v>-</v>
      </c>
      <c r="R21" s="742" t="str">
        <f t="shared" si="83"/>
        <v>-</v>
      </c>
      <c r="S21" s="742"/>
      <c r="T21" s="742" t="str">
        <f t="shared" si="84"/>
        <v>-</v>
      </c>
      <c r="U21" s="742" t="str">
        <f t="shared"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0</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0</v>
      </c>
      <c r="BG21" s="746">
        <f t="shared" ca="1" si="17"/>
        <v>0</v>
      </c>
      <c r="BH21" s="746">
        <f t="shared" ca="1" si="18"/>
        <v>0</v>
      </c>
      <c r="BI21" s="746">
        <f t="shared" ca="1" si="19"/>
        <v>0</v>
      </c>
      <c r="BJ21" s="746">
        <f t="shared" ca="1" si="20"/>
        <v>0</v>
      </c>
      <c r="BK21" s="746">
        <f t="shared" ca="1" si="21"/>
        <v>0</v>
      </c>
      <c r="BL21" s="746">
        <f t="shared" ca="1" si="27"/>
        <v>0</v>
      </c>
      <c r="BM21" s="746" t="str">
        <f t="shared" ca="1" si="22"/>
        <v>4D</v>
      </c>
      <c r="BN21" s="746" t="str">
        <f t="shared" ca="1" si="23"/>
        <v>4D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1</v>
      </c>
      <c r="BT21" s="755" t="str">
        <f ca="1">IF(COUNTIFS($BS$6:$BS$53,BS21,$BC$6:$BC$53,INDEX(T_Equipos[Grupo],MATCH(BD21,T_Equipos[NombreEquipo],0)))=1,"-","P."&amp;BS21&amp;" ("&amp;COUNTIFS($BS$6:$BS$53,BS21,$BC$6:$BC$53,INDEX(T_Equipos[Grupo],MATCH(BD21,T_Equipos[NombreEquipo],0)))&amp;")")</f>
        <v>P.1 (4)</v>
      </c>
      <c r="BU21" s="756">
        <f t="shared" ca="1" si="36"/>
        <v>0</v>
      </c>
      <c r="BV21" s="756">
        <f t="shared" ca="1" si="37"/>
        <v>0</v>
      </c>
      <c r="BW21" s="756">
        <f t="shared" ca="1" si="38"/>
        <v>0</v>
      </c>
      <c r="BX21" s="756">
        <f t="shared" ca="1" si="39"/>
        <v>0</v>
      </c>
      <c r="BY21" s="756">
        <f ca="1">BS21+COUNTIFS($BT$6:$BT$53,BT21,$BX$6:BX$53,"&gt;"&amp;BX21,$BC$6:$BC$53,INDEX(T_Equipos[Grupo],MATCH(BD21,T_Equipos[NombreEquipo],0)))</f>
        <v>1</v>
      </c>
      <c r="BZ21" s="755" t="str">
        <f ca="1">IF(COUNTIFS($BY$6:$BY$53,BY21,$BC$6:$BC$53,INDEX(T_Equipos[Grupo],MATCH(BD21,T_Equipos[NombreEquipo],0)))=1,"-","P."&amp;BY21&amp;" ("&amp;COUNTIFS($BY$6:$BY$53,BY21,$BC$6:$BC$53,INDEX(T_Equipos[Grupo],MATCH(BD21,T_Equipos[NombreEquipo],0)))&amp;")")</f>
        <v>P.1 (4)</v>
      </c>
      <c r="CA21" s="756">
        <f t="shared" ca="1" si="40"/>
        <v>0</v>
      </c>
      <c r="CB21" s="756">
        <f t="shared" ca="1" si="41"/>
        <v>0</v>
      </c>
      <c r="CC21" s="756">
        <f t="shared" ca="1" si="42"/>
        <v>0</v>
      </c>
      <c r="CD21" s="756">
        <f ca="1">BY21+COUNTIFS($BZ$6:$BZ$53,BZ21,$CC$6:CC$53,"&gt;"&amp;CC21,$BC$6:$BC$53,INDEX(T_Equipos[Grupo],MATCH(BD21,T_Equipos[NombreEquipo],0)))</f>
        <v>1</v>
      </c>
      <c r="CE21" s="755" t="str">
        <f ca="1">IF(COUNTIFS($CD$6:$CD$53,CD21,$BC$6:$BC$53,INDEX(T_Equipos[Grupo],MATCH(BD21,T_Equipos[NombreEquipo],0)))=1,"-","P."&amp;CD21&amp;" ("&amp;COUNTIFS($CD$6:$CD$53,CD21,$BC$6:$BC$53,INDEX(T_Equipos[Grupo],MATCH(BD21,T_Equipos[NombreEquipo],0)))&amp;")")</f>
        <v>P.1 (4)</v>
      </c>
      <c r="CF21" s="756">
        <f t="shared" ca="1" si="43"/>
        <v>0</v>
      </c>
      <c r="CG21" s="756">
        <f ca="1">CD21+COUNTIFS($CE$6:$CE$53,CE21,$CF$6:CF$53,"&gt;"&amp;CF21,$BC$6:$BC$53,INDEX(T_Equipos[Grupo],MATCH(BD21,T_Equipos[NombreEquipo],0)))</f>
        <v>1</v>
      </c>
      <c r="CH21" s="755" t="str">
        <f ca="1">IF(COUNTIFS($CG$6:$CG$53,CG21,$BC$6:$BC$53,INDEX(T_Equipos[Grupo],MATCH(BD21,T_Equipos[NombreEquipo],0)))=1,"-","P."&amp;CG21&amp;" ("&amp;COUNTIFS($CG$6:$CG$53,CG21,$BC$6:$BC$53,INDEX(T_Equipos[Grupo],MATCH(BD21,T_Equipos[NombreEquipo],0)))&amp;")")</f>
        <v>P.1 (4)</v>
      </c>
      <c r="CI21" s="756">
        <f t="shared" ca="1" si="44"/>
        <v>0</v>
      </c>
      <c r="CJ21" s="756">
        <f t="shared" ca="1" si="45"/>
        <v>0</v>
      </c>
      <c r="CK21" s="756">
        <f t="shared" ca="1" si="46"/>
        <v>0</v>
      </c>
      <c r="CL21" s="756">
        <f t="shared" ca="1" si="47"/>
        <v>0</v>
      </c>
      <c r="CM21" s="756">
        <f ca="1">CG21+COUNTIFS($CH$6:$CH$53,CH21,$CL$6:CL$53,"&gt;"&amp;CL21,$BC$6:$BC$53,INDEX(T_Equipos[Grupo],MATCH(BD21,T_Equipos[NombreEquipo],0)))</f>
        <v>1</v>
      </c>
      <c r="CN21" s="755" t="str">
        <f ca="1">IF(COUNTIFS($CM$6:$CM$53,CM21,$BC$6:$BC$53,INDEX(T_Equipos[Grupo],MATCH(BD21,T_Equipos[NombreEquipo],0)))=1,"-","P."&amp;CM21&amp;" ("&amp;COUNTIFS($CM$6:$CM$53,CM21,$BC$6:$BC$53,INDEX(T_Equipos[Grupo],MATCH(BD21,T_Equipos[NombreEquipo],0)))&amp;")")</f>
        <v>P.1 (4)</v>
      </c>
      <c r="CO21" s="756">
        <f t="shared" ca="1" si="48"/>
        <v>0</v>
      </c>
      <c r="CP21" s="756">
        <f t="shared" ca="1" si="49"/>
        <v>0</v>
      </c>
      <c r="CQ21" s="756">
        <f t="shared" ca="1" si="50"/>
        <v>0</v>
      </c>
      <c r="CR21" s="756">
        <f ca="1">CM21+COUNTIFS($CN$6:$CN$53,CN21,$CQ$6:CQ$53,"&gt;"&amp;CQ21,$BC$6:$BC$53,INDEX(T_Equipos[Grupo],MATCH(BD21,T_Equipos[NombreEquipo],0)))</f>
        <v>1</v>
      </c>
      <c r="CS21" s="755" t="str">
        <f ca="1">IF(COUNTIFS($CR$6:$CR$53,CR21,$BC$6:$BC$53,INDEX(T_Equipos[Grupo],MATCH(BD21,T_Equipos[NombreEquipo],0)))=1,"-","P."&amp;CR21&amp;" ("&amp;COUNTIFS($CR$6:$CR$53,CR21,$BC$6:$BC$53,INDEX(T_Equipos[Grupo],MATCH(BD21,T_Equipos[NombreEquipo],0)))&amp;")")</f>
        <v>P.1 (4)</v>
      </c>
      <c r="CT21" s="756">
        <f t="shared" ca="1" si="51"/>
        <v>0</v>
      </c>
      <c r="CU21" s="756">
        <f ca="1">CR21+COUNTIFS($CS$6:$CS$53,CS21,$CT$6:CT$53,"&gt;"&amp;CT21,$BC$6:$BC$53,INDEX(T_Equipos[Grupo],MATCH(BD21,T_Equipos[NombreEquipo],0)))</f>
        <v>1</v>
      </c>
      <c r="CV21" s="755" t="str">
        <f ca="1">IF(COUNTIFS($CU$6:$CU$53,CU21,$BC$6:$BC$53,INDEX(T_Equipos[Grupo],MATCH(BD21,T_Equipos[NombreEquipo],0)))=1,"-","P."&amp;CU21&amp;" ("&amp;COUNTIFS($CU$6:$CU$53,CU21,$BC$6:$BC$53,INDEX(T_Equipos[Grupo],MATCH(BD21,T_Equipos[NombreEquipo],0)))&amp;")")</f>
        <v>P.1 (4)</v>
      </c>
      <c r="CW21" s="755">
        <f t="shared" ca="1" si="30"/>
        <v>0</v>
      </c>
      <c r="CX21" s="755">
        <f ca="1">CU21+COUNTIFS($CV$6:$CV$53,CV21,$CW$6:CW$53,"&gt;"&amp;CW21,$BC$6:$BC$53,INDEX(T_Equipos[Grupo],MATCH(BD21,T_Equipos[NombreEquipo],0)))</f>
        <v>1</v>
      </c>
      <c r="CY21" s="755" t="str">
        <f ca="1">IF(COUNTIFS($CX$6:$CX$53,CX21,$BC$6:$BC$53,INDEX(T_Equipos[Grupo],MATCH(BD21,T_Equipos[NombreEquipo],0)))=1,"-","P."&amp;CX21&amp;" ("&amp;COUNTIFS($CX$6:$CX$53,CX21,$BC$6:$BC$53,INDEX(T_Equipos[Grupo],MATCH(BD21,T_Equipos[NombreEquipo],0)))&amp;")")</f>
        <v>P.1 (4)</v>
      </c>
      <c r="CZ21" s="755">
        <f t="shared" ca="1" si="31"/>
        <v>0</v>
      </c>
      <c r="DA21" s="756">
        <f ca="1">CX21+COUNTIFS($CY$6:$CY$53,CY21,$CZ$6:CZ$53,"&gt;"&amp;CZ21,$BC$6:$BC$53,INDEX(T_Equipos[Grupo],MATCH(BD21,T_Equipos[NombreEquipo],0)))</f>
        <v>1</v>
      </c>
      <c r="DB21" s="755" t="str">
        <f ca="1">IF(COUNTIFS($DA$6:$DA$53,DA21,$BC$6:$BC$53,INDEX(T_Equipos[Grupo],MATCH(BD21,T_Equipos[NombreEquipo],0)))=1,"-","P."&amp;DA21&amp;" ("&amp;COUNTIFS($DA$6:$DA$53,DA21,$BC$6:$BC$53,INDEX(T_Equipos[Grupo],MATCH(BD21,T_Equipos[NombreEquipo],0)))&amp;")")</f>
        <v>P.1 (4)</v>
      </c>
      <c r="DC21" s="754">
        <f ca="1">IF(DB21="-","-",COUNTIFS(T_Equipos[Rank],"&lt;"&amp;INDEX(T_Equipos[Rank],MATCH(BD21,T_Equipos[NombreEquipo],0)),$BC$6:$BC$53,INDEX(T_Equipos[Grupo],MATCH(BD21,T_Equipos[NombreEquipo],0)))+1)</f>
        <v>4</v>
      </c>
      <c r="DD21" s="754">
        <f ca="1">DA21+COUNTIFS($DB$6:$DB$53,DB21,$DC$6:DC$53,"&lt;"&amp;DC21,$BC$6:$BC$53,INDEX(T_Equipos[Grupo],MATCH(BD21,T_Equipos[NombreEquipo],0)))</f>
        <v>4</v>
      </c>
      <c r="DE21" s="754"/>
      <c r="DF21" s="754">
        <f t="shared" ca="1" si="52"/>
        <v>4</v>
      </c>
      <c r="DG21" s="754">
        <f ca="1">IF(DB21="-","-",COUNTIFS(DF$6:DF$53,"&lt;"&amp;DF21,$BC$6:$BC$53,INDEX(T_Equipos[Grupo],MATCH(BD21,T_Equipos[NombreEquipo],0))))</f>
        <v>3</v>
      </c>
      <c r="DH21" s="754">
        <f ca="1">DA21+COUNTIFS(DB$6:DB$53,DB21,DG$6:DG$53,"&lt;"&amp;DG21,$BC$6:$BC$53,INDEX(T_Equipos[Grupo],MATCH(BD21,T_Equipos[NombreEquipo],0)))</f>
        <v>4</v>
      </c>
      <c r="DI21" s="742"/>
      <c r="DJ21" s="742">
        <f t="shared" ca="1" si="53"/>
        <v>1</v>
      </c>
      <c r="DK21" s="742">
        <f t="shared" ca="1" si="24"/>
        <v>0</v>
      </c>
      <c r="DL21" s="742">
        <f t="shared" ca="1" si="33"/>
        <v>1</v>
      </c>
      <c r="DM21" s="736" t="str">
        <f t="shared" ca="1" si="34"/>
        <v>1.1</v>
      </c>
      <c r="DN21" s="742" cm="1">
        <f t="array" aca="1" ref="DN21" ca="1">OFFSET(Horarios!$P$3,DJ21-1,0,DL21,1)</f>
        <v>1</v>
      </c>
      <c r="DO21" s="742"/>
      <c r="DP21" s="742" t="s">
        <v>660</v>
      </c>
      <c r="DQ21" s="742" t="str">
        <f t="shared" ca="1" si="35"/>
        <v>Turquía</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c r="AD22" s="194"/>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Brasil</v>
      </c>
      <c r="AM22" s="213">
        <f t="shared" ref="AM22:AT25" ca="1" si="90">INDEX($BE$6:$BN$53,MATCH($AL22,$BD$6:$BD$53,0),MATCH(AM$5,$BE$5:$BN$5,0))</f>
        <v>0</v>
      </c>
      <c r="AN22" s="214">
        <f t="shared" ca="1" si="90"/>
        <v>0</v>
      </c>
      <c r="AO22" s="214">
        <f t="shared" ca="1" si="90"/>
        <v>0</v>
      </c>
      <c r="AP22" s="214">
        <f t="shared" ca="1" si="90"/>
        <v>0</v>
      </c>
      <c r="AQ22" s="214">
        <f t="shared" ca="1" si="90"/>
        <v>0</v>
      </c>
      <c r="AR22" s="214">
        <f t="shared" ca="1" si="90"/>
        <v>0</v>
      </c>
      <c r="AS22" s="214">
        <f t="shared" ca="1" si="90"/>
        <v>0</v>
      </c>
      <c r="AT22" s="215">
        <f t="shared" ca="1" si="90"/>
        <v>0</v>
      </c>
      <c r="AU22" s="420">
        <f ca="1">INDEX($DL$6:$DL$53,MATCH(AI22,$DP$6:$DP$53,0))</f>
        <v>1</v>
      </c>
      <c r="AV22" s="217" t="str">
        <f ca="1">INDEX($BD$6:$BD$53,MATCH(AI22,$BM$6:$BM$53,0))</f>
        <v>Brasil</v>
      </c>
      <c r="AW22" s="427"/>
      <c r="AX22" s="218"/>
      <c r="AY22" s="219" t="str">
        <f ca="1">+A21</f>
        <v>Brasil</v>
      </c>
      <c r="AZ22" s="220"/>
      <c r="BA22" s="175"/>
      <c r="BB22" s="742"/>
      <c r="BC22" s="754" t="str">
        <f ca="1">+INDEX(T_Equipos[Grupo],MATCH(WORLDCUP!BD22,T_Equipos[NombreEquipo],0))</f>
        <v>E</v>
      </c>
      <c r="BD22" s="742" t="str">
        <f ca="1">+Equipos!B18</f>
        <v>Alemania</v>
      </c>
      <c r="BE22" s="746">
        <f t="shared" ca="1" si="25"/>
        <v>0</v>
      </c>
      <c r="BF22" s="746">
        <f t="shared" ca="1" si="26"/>
        <v>0</v>
      </c>
      <c r="BG22" s="746">
        <f t="shared" ca="1" si="17"/>
        <v>0</v>
      </c>
      <c r="BH22" s="746">
        <f t="shared" ca="1" si="18"/>
        <v>0</v>
      </c>
      <c r="BI22" s="746">
        <f t="shared" ca="1" si="19"/>
        <v>0</v>
      </c>
      <c r="BJ22" s="746">
        <f t="shared" ca="1" si="20"/>
        <v>0</v>
      </c>
      <c r="BK22" s="746">
        <f t="shared" ca="1" si="21"/>
        <v>0</v>
      </c>
      <c r="BL22" s="746">
        <f t="shared" ca="1" si="27"/>
        <v>0</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0</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(4)</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(4)</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(4)</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(4)</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(4)</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(4)</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(4)</v>
      </c>
      <c r="CW22" s="755">
        <f t="shared" ca="1" si="30"/>
        <v>0</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P.1 (4)</v>
      </c>
      <c r="CZ22" s="755">
        <f t="shared" ca="1" si="31"/>
        <v>0</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P.1 (4)</v>
      </c>
      <c r="DC22" s="754">
        <f ca="1">IF(DB22="-","-",COUNTIFS(T_Equipos[Rank],"&lt;"&amp;INDEX(T_Equipos[Rank],MATCH(BD22,T_Equipos[NombreEquipo],0)),$BC$6:$BC$53,INDEX(T_Equipos[Grupo],MATCH(BD22,T_Equipos[NombreEquipo],0)))+1)</f>
        <v>1</v>
      </c>
      <c r="DD22" s="754">
        <f ca="1">DA22+COUNTIFS($DB$6:$DB$53,DB22,$DC$6:DC$53,"&lt;"&amp;DC22,$BC$6:$BC$53,INDEX(T_Equipos[Grupo],MATCH(BD22,T_Equipos[NombreEquipo],0)))</f>
        <v>1</v>
      </c>
      <c r="DE22" s="754"/>
      <c r="DF22" s="754">
        <f t="shared" ca="1" si="52"/>
        <v>1</v>
      </c>
      <c r="DG22" s="754">
        <f ca="1">IF(DB22="-","-",COUNTIFS(DF$6:DF$53,"&lt;"&amp;DF22,$BC$6:$BC$53,INDEX(T_Equipos[Grupo],MATCH(BD22,T_Equipos[NombreEquipo],0))))</f>
        <v>0</v>
      </c>
      <c r="DH22" s="754">
        <f ca="1">DA22+COUNTIFS(DB$6:DB$53,DB22,DG$6:DG$53,"&lt;"&amp;DG22,$BC$6:$BC$53,INDEX(T_Equipos[Grupo],MATCH(BD22,T_Equipos[NombreEquipo],0)))</f>
        <v>1</v>
      </c>
      <c r="DI22" s="742"/>
      <c r="DJ22" s="742">
        <f t="shared" ca="1" si="53"/>
        <v>1</v>
      </c>
      <c r="DK22" s="742">
        <f t="shared" ca="1" si="24"/>
        <v>0</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c r="AD23" s="194"/>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Marruecos</v>
      </c>
      <c r="AM23" s="223">
        <f t="shared" ca="1" si="90"/>
        <v>0</v>
      </c>
      <c r="AN23" s="224">
        <f t="shared" ca="1" si="90"/>
        <v>0</v>
      </c>
      <c r="AO23" s="224">
        <f t="shared" ca="1" si="90"/>
        <v>0</v>
      </c>
      <c r="AP23" s="224">
        <f t="shared" ca="1" si="90"/>
        <v>0</v>
      </c>
      <c r="AQ23" s="224">
        <f t="shared" ca="1" si="90"/>
        <v>0</v>
      </c>
      <c r="AR23" s="224">
        <f t="shared" ca="1" si="90"/>
        <v>0</v>
      </c>
      <c r="AS23" s="224">
        <f t="shared" ca="1" si="90"/>
        <v>0</v>
      </c>
      <c r="AT23" s="225">
        <f t="shared" ca="1" si="90"/>
        <v>0</v>
      </c>
      <c r="AU23" s="420">
        <f ca="1">INDEX($DL$6:$DL$53,MATCH(AI23,$DP$6:$DP$53,0))</f>
        <v>1</v>
      </c>
      <c r="AV23" s="217" t="str">
        <f ca="1">INDEX($BD$6:$BD$53,MATCH(AI23,$BM$6:$BM$53,0))</f>
        <v>Marruecos</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0</v>
      </c>
      <c r="BG23" s="746">
        <f t="shared" ca="1" si="17"/>
        <v>0</v>
      </c>
      <c r="BH23" s="746">
        <f t="shared" ca="1" si="18"/>
        <v>0</v>
      </c>
      <c r="BI23" s="746">
        <f t="shared" ca="1" si="19"/>
        <v>0</v>
      </c>
      <c r="BJ23" s="746">
        <f t="shared" ca="1" si="20"/>
        <v>0</v>
      </c>
      <c r="BK23" s="746">
        <f t="shared" ca="1" si="21"/>
        <v>0</v>
      </c>
      <c r="BL23" s="746">
        <f t="shared" ca="1" si="27"/>
        <v>0</v>
      </c>
      <c r="BM23" s="746" t="str">
        <f t="shared" ca="1" si="22"/>
        <v>2E</v>
      </c>
      <c r="BN23" s="746" t="str">
        <f t="shared" ca="1" si="23"/>
        <v>2E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1</v>
      </c>
      <c r="BT23" s="755" t="str">
        <f ca="1">IF(COUNTIFS($BS$6:$BS$53,BS23,$BC$6:$BC$53,INDEX(T_Equipos[Grupo],MATCH(BD23,T_Equipos[NombreEquipo],0)))=1,"-","P."&amp;BS23&amp;" ("&amp;COUNTIFS($BS$6:$BS$53,BS23,$BC$6:$BC$53,INDEX(T_Equipos[Grupo],MATCH(BD23,T_Equipos[NombreEquipo],0)))&amp;")")</f>
        <v>P.1 (4)</v>
      </c>
      <c r="BU23" s="756">
        <f t="shared" ca="1" si="36"/>
        <v>0</v>
      </c>
      <c r="BV23" s="756">
        <f t="shared" ca="1" si="37"/>
        <v>0</v>
      </c>
      <c r="BW23" s="756">
        <f t="shared" ca="1" si="38"/>
        <v>0</v>
      </c>
      <c r="BX23" s="756">
        <f t="shared" ca="1" si="39"/>
        <v>0</v>
      </c>
      <c r="BY23" s="756">
        <f ca="1">BS23+COUNTIFS($BT$6:$BT$53,BT23,$BX$6:BX$53,"&gt;"&amp;BX23,$BC$6:$BC$53,INDEX(T_Equipos[Grupo],MATCH(BD23,T_Equipos[NombreEquipo],0)))</f>
        <v>1</v>
      </c>
      <c r="BZ23" s="755" t="str">
        <f ca="1">IF(COUNTIFS($BY$6:$BY$53,BY23,$BC$6:$BC$53,INDEX(T_Equipos[Grupo],MATCH(BD23,T_Equipos[NombreEquipo],0)))=1,"-","P."&amp;BY23&amp;" ("&amp;COUNTIFS($BY$6:$BY$53,BY23,$BC$6:$BC$53,INDEX(T_Equipos[Grupo],MATCH(BD23,T_Equipos[NombreEquipo],0)))&amp;")")</f>
        <v>P.1 (4)</v>
      </c>
      <c r="CA23" s="756">
        <f t="shared" ca="1" si="40"/>
        <v>0</v>
      </c>
      <c r="CB23" s="756">
        <f t="shared" ca="1" si="41"/>
        <v>0</v>
      </c>
      <c r="CC23" s="756">
        <f t="shared" ca="1" si="42"/>
        <v>0</v>
      </c>
      <c r="CD23" s="756">
        <f ca="1">BY23+COUNTIFS($BZ$6:$BZ$53,BZ23,$CC$6:CC$53,"&gt;"&amp;CC23,$BC$6:$BC$53,INDEX(T_Equipos[Grupo],MATCH(BD23,T_Equipos[NombreEquipo],0)))</f>
        <v>1</v>
      </c>
      <c r="CE23" s="755" t="str">
        <f ca="1">IF(COUNTIFS($CD$6:$CD$53,CD23,$BC$6:$BC$53,INDEX(T_Equipos[Grupo],MATCH(BD23,T_Equipos[NombreEquipo],0)))=1,"-","P."&amp;CD23&amp;" ("&amp;COUNTIFS($CD$6:$CD$53,CD23,$BC$6:$BC$53,INDEX(T_Equipos[Grupo],MATCH(BD23,T_Equipos[NombreEquipo],0)))&amp;")")</f>
        <v>P.1 (4)</v>
      </c>
      <c r="CF23" s="756">
        <f t="shared" ca="1" si="43"/>
        <v>0</v>
      </c>
      <c r="CG23" s="756">
        <f ca="1">CD23+COUNTIFS($CE$6:$CE$53,CE23,$CF$6:CF$53,"&gt;"&amp;CF23,$BC$6:$BC$53,INDEX(T_Equipos[Grupo],MATCH(BD23,T_Equipos[NombreEquipo],0)))</f>
        <v>1</v>
      </c>
      <c r="CH23" s="755" t="str">
        <f ca="1">IF(COUNTIFS($CG$6:$CG$53,CG23,$BC$6:$BC$53,INDEX(T_Equipos[Grupo],MATCH(BD23,T_Equipos[NombreEquipo],0)))=1,"-","P."&amp;CG23&amp;" ("&amp;COUNTIFS($CG$6:$CG$53,CG23,$BC$6:$BC$53,INDEX(T_Equipos[Grupo],MATCH(BD23,T_Equipos[NombreEquipo],0)))&amp;")")</f>
        <v>P.1 (4)</v>
      </c>
      <c r="CI23" s="756">
        <f t="shared" ca="1" si="44"/>
        <v>0</v>
      </c>
      <c r="CJ23" s="756">
        <f t="shared" ca="1" si="45"/>
        <v>0</v>
      </c>
      <c r="CK23" s="756">
        <f t="shared" ca="1" si="46"/>
        <v>0</v>
      </c>
      <c r="CL23" s="756">
        <f t="shared" ca="1" si="47"/>
        <v>0</v>
      </c>
      <c r="CM23" s="756">
        <f ca="1">CG23+COUNTIFS($CH$6:$CH$53,CH23,$CL$6:CL$53,"&gt;"&amp;CL23,$BC$6:$BC$53,INDEX(T_Equipos[Grupo],MATCH(BD23,T_Equipos[NombreEquipo],0)))</f>
        <v>1</v>
      </c>
      <c r="CN23" s="755" t="str">
        <f ca="1">IF(COUNTIFS($CM$6:$CM$53,CM23,$BC$6:$BC$53,INDEX(T_Equipos[Grupo],MATCH(BD23,T_Equipos[NombreEquipo],0)))=1,"-","P."&amp;CM23&amp;" ("&amp;COUNTIFS($CM$6:$CM$53,CM23,$BC$6:$BC$53,INDEX(T_Equipos[Grupo],MATCH(BD23,T_Equipos[NombreEquipo],0)))&amp;")")</f>
        <v>P.1 (4)</v>
      </c>
      <c r="CO23" s="756">
        <f t="shared" ca="1" si="48"/>
        <v>0</v>
      </c>
      <c r="CP23" s="756">
        <f t="shared" ca="1" si="49"/>
        <v>0</v>
      </c>
      <c r="CQ23" s="756">
        <f t="shared" ca="1" si="50"/>
        <v>0</v>
      </c>
      <c r="CR23" s="756">
        <f ca="1">CM23+COUNTIFS($CN$6:$CN$53,CN23,$CQ$6:CQ$53,"&gt;"&amp;CQ23,$BC$6:$BC$53,INDEX(T_Equipos[Grupo],MATCH(BD23,T_Equipos[NombreEquipo],0)))</f>
        <v>1</v>
      </c>
      <c r="CS23" s="755" t="str">
        <f ca="1">IF(COUNTIFS($CR$6:$CR$53,CR23,$BC$6:$BC$53,INDEX(T_Equipos[Grupo],MATCH(BD23,T_Equipos[NombreEquipo],0)))=1,"-","P."&amp;CR23&amp;" ("&amp;COUNTIFS($CR$6:$CR$53,CR23,$BC$6:$BC$53,INDEX(T_Equipos[Grupo],MATCH(BD23,T_Equipos[NombreEquipo],0)))&amp;")")</f>
        <v>P.1 (4)</v>
      </c>
      <c r="CT23" s="756">
        <f t="shared" ca="1" si="51"/>
        <v>0</v>
      </c>
      <c r="CU23" s="756">
        <f ca="1">CR23+COUNTIFS($CS$6:$CS$53,CS23,$CT$6:CT$53,"&gt;"&amp;CT23,$BC$6:$BC$53,INDEX(T_Equipos[Grupo],MATCH(BD23,T_Equipos[NombreEquipo],0)))</f>
        <v>1</v>
      </c>
      <c r="CV23" s="755" t="str">
        <f ca="1">IF(COUNTIFS($CU$6:$CU$53,CU23,$BC$6:$BC$53,INDEX(T_Equipos[Grupo],MATCH(BD23,T_Equipos[NombreEquipo],0)))=1,"-","P."&amp;CU23&amp;" ("&amp;COUNTIFS($CU$6:$CU$53,CU23,$BC$6:$BC$53,INDEX(T_Equipos[Grupo],MATCH(BD23,T_Equipos[NombreEquipo],0)))&amp;")")</f>
        <v>P.1 (4)</v>
      </c>
      <c r="CW23" s="755">
        <f t="shared" ca="1" si="30"/>
        <v>0</v>
      </c>
      <c r="CX23" s="755">
        <f ca="1">CU23+COUNTIFS($CV$6:$CV$53,CV23,$CW$6:CW$53,"&gt;"&amp;CW23,$BC$6:$BC$53,INDEX(T_Equipos[Grupo],MATCH(BD23,T_Equipos[NombreEquipo],0)))</f>
        <v>1</v>
      </c>
      <c r="CY23" s="755" t="str">
        <f ca="1">IF(COUNTIFS($CX$6:$CX$53,CX23,$BC$6:$BC$53,INDEX(T_Equipos[Grupo],MATCH(BD23,T_Equipos[NombreEquipo],0)))=1,"-","P."&amp;CX23&amp;" ("&amp;COUNTIFS($CX$6:$CX$53,CX23,$BC$6:$BC$53,INDEX(T_Equipos[Grupo],MATCH(BD23,T_Equipos[NombreEquipo],0)))&amp;")")</f>
        <v>P.1 (4)</v>
      </c>
      <c r="CZ23" s="755">
        <f t="shared" ca="1" si="31"/>
        <v>0</v>
      </c>
      <c r="DA23" s="756">
        <f ca="1">CX23+COUNTIFS($CY$6:$CY$53,CY23,$CZ$6:CZ$53,"&gt;"&amp;CZ23,$BC$6:$BC$53,INDEX(T_Equipos[Grupo],MATCH(BD23,T_Equipos[NombreEquipo],0)))</f>
        <v>1</v>
      </c>
      <c r="DB23" s="755" t="str">
        <f ca="1">IF(COUNTIFS($DA$6:$DA$53,DA23,$BC$6:$BC$53,INDEX(T_Equipos[Grupo],MATCH(BD23,T_Equipos[NombreEquipo],0)))=1,"-","P."&amp;DA23&amp;" ("&amp;COUNTIFS($DA$6:$DA$53,DA23,$BC$6:$BC$53,INDEX(T_Equipos[Grupo],MATCH(BD23,T_Equipos[NombreEquipo],0)))&amp;")")</f>
        <v>P.1 (4)</v>
      </c>
      <c r="DC23" s="754">
        <f ca="1">IF(DB23="-","-",COUNTIFS(T_Equipos[Rank],"&lt;"&amp;INDEX(T_Equipos[Rank],MATCH(BD23,T_Equipos[NombreEquipo],0)),$BC$6:$BC$53,INDEX(T_Equipos[Grupo],MATCH(BD23,T_Equipos[NombreEquipo],0)))+1)</f>
        <v>2</v>
      </c>
      <c r="DD23" s="754">
        <f ca="1">DA23+COUNTIFS($DB$6:$DB$53,DB23,$DC$6:DC$53,"&lt;"&amp;DC23,$BC$6:$BC$53,INDEX(T_Equipos[Grupo],MATCH(BD23,T_Equipos[NombreEquipo],0)))</f>
        <v>2</v>
      </c>
      <c r="DE23" s="754"/>
      <c r="DF23" s="754">
        <f t="shared" ca="1" si="52"/>
        <v>2</v>
      </c>
      <c r="DG23" s="754">
        <f ca="1">IF(DB23="-","-",COUNTIFS(DF$6:DF$53,"&lt;"&amp;DF23,$BC$6:$BC$53,INDEX(T_Equipos[Grupo],MATCH(BD23,T_Equipos[NombreEquipo],0))))</f>
        <v>1</v>
      </c>
      <c r="DH23" s="754">
        <f ca="1">DA23+COUNTIFS(DB$6:DB$53,DB23,DG$6:DG$53,"&lt;"&amp;DG23,$BC$6:$BC$53,INDEX(T_Equipos[Grupo],MATCH(BD23,T_Equipos[NombreEquipo],0)))</f>
        <v>2</v>
      </c>
      <c r="DI23" s="742"/>
      <c r="DJ23" s="742">
        <f t="shared" ca="1" si="53"/>
        <v>1</v>
      </c>
      <c r="DK23" s="742">
        <f t="shared" ca="1" si="24"/>
        <v>0</v>
      </c>
      <c r="DL23" s="742">
        <f t="shared" ca="1" si="33"/>
        <v>1</v>
      </c>
      <c r="DM23" s="736" t="str">
        <f t="shared" ca="1" si="34"/>
        <v>1.1</v>
      </c>
      <c r="DN23" s="742" cm="1">
        <f t="array" aca="1" ref="DN23" ca="1">OFFSET(Horarios!$P$3,DJ23-1,0,DL23,1)</f>
        <v>1</v>
      </c>
      <c r="DO23" s="742"/>
      <c r="DP23" s="742" t="s">
        <v>662</v>
      </c>
      <c r="DQ23" s="742" t="str">
        <f t="shared" ca="1" si="35"/>
        <v>Curazao</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c r="AD24" s="194"/>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Haití</v>
      </c>
      <c r="AM24" s="223">
        <f t="shared" ca="1" si="90"/>
        <v>0</v>
      </c>
      <c r="AN24" s="224">
        <f t="shared" ca="1" si="90"/>
        <v>0</v>
      </c>
      <c r="AO24" s="224">
        <f t="shared" ca="1" si="90"/>
        <v>0</v>
      </c>
      <c r="AP24" s="224">
        <f t="shared" ca="1" si="90"/>
        <v>0</v>
      </c>
      <c r="AQ24" s="224">
        <f t="shared" ca="1" si="90"/>
        <v>0</v>
      </c>
      <c r="AR24" s="224">
        <f t="shared" ca="1" si="90"/>
        <v>0</v>
      </c>
      <c r="AS24" s="224">
        <f t="shared" ca="1" si="90"/>
        <v>0</v>
      </c>
      <c r="AT24" s="225">
        <f t="shared" ca="1" si="90"/>
        <v>0</v>
      </c>
      <c r="AU24" s="420">
        <f ca="1">INDEX($DL$6:$DL$53,MATCH(AI24,$DP$6:$DP$53,0))</f>
        <v>1</v>
      </c>
      <c r="AV24" s="217" t="str">
        <f ca="1">INDEX($BD$6:$BD$53,MATCH(AI24,$BM$6:$BM$53,0))</f>
        <v>Haití</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0</v>
      </c>
      <c r="BF24" s="746">
        <f t="shared" ca="1" si="26"/>
        <v>0</v>
      </c>
      <c r="BG24" s="746">
        <f t="shared" ca="1" si="17"/>
        <v>0</v>
      </c>
      <c r="BH24" s="746">
        <f t="shared" ca="1" si="18"/>
        <v>0</v>
      </c>
      <c r="BI24" s="746">
        <f t="shared" ca="1" si="19"/>
        <v>0</v>
      </c>
      <c r="BJ24" s="746">
        <f t="shared" ca="1" si="20"/>
        <v>0</v>
      </c>
      <c r="BK24" s="746">
        <f t="shared" ca="1" si="21"/>
        <v>0</v>
      </c>
      <c r="BL24" s="746">
        <f t="shared" ca="1" si="27"/>
        <v>0</v>
      </c>
      <c r="BM24" s="746" t="str">
        <f t="shared" ca="1" si="22"/>
        <v>3E</v>
      </c>
      <c r="BN24" s="746" t="str">
        <f t="shared" ca="1" si="23"/>
        <v>3E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0</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(4)</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(4)</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(4)</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(4)</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(4)</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(4)</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(4)</v>
      </c>
      <c r="CW24" s="755">
        <f t="shared" ca="1" si="30"/>
        <v>0</v>
      </c>
      <c r="CX24" s="755">
        <f ca="1">CU24+COUNTIFS($CV$6:$CV$53,CV24,$CW$6:CW$53,"&gt;"&amp;CW24,$BC$6:$BC$53,INDEX(T_Equipos[Grupo],MATCH(BD24,T_Equipos[NombreEquipo],0)))</f>
        <v>1</v>
      </c>
      <c r="CY24" s="755" t="str">
        <f ca="1">IF(COUNTIFS($CX$6:$CX$53,CX24,$BC$6:$BC$53,INDEX(T_Equipos[Grupo],MATCH(BD24,T_Equipos[NombreEquipo],0)))=1,"-","P."&amp;CX24&amp;" ("&amp;COUNTIFS($CX$6:$CX$53,CX24,$BC$6:$BC$53,INDEX(T_Equipos[Grupo],MATCH(BD24,T_Equipos[NombreEquipo],0)))&amp;")")</f>
        <v>P.1 (4)</v>
      </c>
      <c r="CZ24" s="755">
        <f t="shared" ca="1" si="31"/>
        <v>0</v>
      </c>
      <c r="DA24" s="756">
        <f ca="1">CX24+COUNTIFS($CY$6:$CY$53,CY24,$CZ$6:CZ$53,"&gt;"&amp;CZ24,$BC$6:$BC$53,INDEX(T_Equipos[Grupo],MATCH(BD24,T_Equipos[NombreEquipo],0)))</f>
        <v>1</v>
      </c>
      <c r="DB24" s="755" t="str">
        <f ca="1">IF(COUNTIFS($DA$6:$DA$53,DA24,$BC$6:$BC$53,INDEX(T_Equipos[Grupo],MATCH(BD24,T_Equipos[NombreEquipo],0)))=1,"-","P."&amp;DA24&amp;" ("&amp;COUNTIFS($DA$6:$DA$53,DA24,$BC$6:$BC$53,INDEX(T_Equipos[Grupo],MATCH(BD24,T_Equipos[NombreEquipo],0)))&amp;")")</f>
        <v>P.1 (4)</v>
      </c>
      <c r="DC24" s="754">
        <f ca="1">IF(DB24="-","-",COUNTIFS(T_Equipos[Rank],"&lt;"&amp;INDEX(T_Equipos[Rank],MATCH(BD24,T_Equipos[NombreEquipo],0)),$BC$6:$BC$53,INDEX(T_Equipos[Grupo],MATCH(BD24,T_Equipos[NombreEquipo],0)))+1)</f>
        <v>3</v>
      </c>
      <c r="DD24" s="754">
        <f ca="1">DA24+COUNTIFS($DB$6:$DB$53,DB24,$DC$6:DC$53,"&lt;"&amp;DC24,$BC$6:$BC$53,INDEX(T_Equipos[Grupo],MATCH(BD24,T_Equipos[NombreEquipo],0)))</f>
        <v>3</v>
      </c>
      <c r="DE24" s="754"/>
      <c r="DF24" s="754">
        <f t="shared" ca="1" si="52"/>
        <v>3</v>
      </c>
      <c r="DG24" s="754">
        <f ca="1">IF(DB24="-","-",COUNTIFS(DF$6:DF$53,"&lt;"&amp;DF24,$BC$6:$BC$53,INDEX(T_Equipos[Grupo],MATCH(BD24,T_Equipos[NombreEquipo],0))))</f>
        <v>2</v>
      </c>
      <c r="DH24" s="754">
        <f ca="1">DA24+COUNTIFS(DB$6:DB$53,DB24,DG$6:DG$53,"&lt;"&amp;DG24,$BC$6:$BC$53,INDEX(T_Equipos[Grupo],MATCH(BD24,T_Equipos[NombreEquipo],0)))</f>
        <v>3</v>
      </c>
      <c r="DI24" s="742"/>
      <c r="DJ24" s="742">
        <f t="shared" ca="1" si="53"/>
        <v>1</v>
      </c>
      <c r="DK24" s="742">
        <f t="shared" ca="1" si="24"/>
        <v>0</v>
      </c>
      <c r="DL24" s="742">
        <f t="shared" ca="1" si="33"/>
        <v>1</v>
      </c>
      <c r="DM24" s="736" t="str">
        <f t="shared" ca="1" si="34"/>
        <v>1.1</v>
      </c>
      <c r="DN24" s="742" cm="1">
        <f t="array" aca="1" ref="DN24" ca="1">OFFSET(Horarios!$P$3,DJ24-1,0,DL24,1)</f>
        <v>1</v>
      </c>
      <c r="DO24" s="742"/>
      <c r="DP24" s="742" t="s">
        <v>93</v>
      </c>
      <c r="DQ24" s="742" t="str">
        <f t="shared" ca="1" si="35"/>
        <v>Costa de Marfil</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c r="AD25" s="233"/>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Escocia</v>
      </c>
      <c r="AM25" s="237">
        <f t="shared" ca="1" si="90"/>
        <v>0</v>
      </c>
      <c r="AN25" s="238">
        <f t="shared" ca="1" si="90"/>
        <v>0</v>
      </c>
      <c r="AO25" s="238">
        <f t="shared" ca="1" si="90"/>
        <v>0</v>
      </c>
      <c r="AP25" s="238">
        <f t="shared" ca="1" si="90"/>
        <v>0</v>
      </c>
      <c r="AQ25" s="238">
        <f t="shared" ca="1" si="90"/>
        <v>0</v>
      </c>
      <c r="AR25" s="238">
        <f t="shared" ca="1" si="90"/>
        <v>0</v>
      </c>
      <c r="AS25" s="238">
        <f t="shared" ca="1" si="90"/>
        <v>0</v>
      </c>
      <c r="AT25" s="239">
        <f t="shared" ca="1" si="90"/>
        <v>0</v>
      </c>
      <c r="AU25" s="420">
        <f ca="1">INDEX($DL$6:$DL$53,MATCH(AI25,$DP$6:$DP$53,0))</f>
        <v>1</v>
      </c>
      <c r="AV25" s="217" t="str">
        <f ca="1">INDEX($BD$6:$BD$53,MATCH(AI25,$BM$6:$BM$53,0))</f>
        <v>Escocia</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0</v>
      </c>
      <c r="BG25" s="746">
        <f t="shared" ca="1" si="17"/>
        <v>0</v>
      </c>
      <c r="BH25" s="746">
        <f t="shared" ca="1" si="18"/>
        <v>0</v>
      </c>
      <c r="BI25" s="746">
        <f t="shared" ca="1" si="19"/>
        <v>0</v>
      </c>
      <c r="BJ25" s="746">
        <f t="shared" ca="1" si="20"/>
        <v>0</v>
      </c>
      <c r="BK25" s="746">
        <f t="shared" ca="1" si="21"/>
        <v>0</v>
      </c>
      <c r="BL25" s="746">
        <f t="shared" ca="1" si="27"/>
        <v>0</v>
      </c>
      <c r="BM25" s="746" t="str">
        <f t="shared" ca="1" si="22"/>
        <v>4E</v>
      </c>
      <c r="BN25" s="746" t="str">
        <f t="shared" ca="1" si="23"/>
        <v>4E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1</v>
      </c>
      <c r="BT25" s="755" t="str">
        <f ca="1">IF(COUNTIFS($BS$6:$BS$53,BS25,$BC$6:$BC$53,INDEX(T_Equipos[Grupo],MATCH(BD25,T_Equipos[NombreEquipo],0)))=1,"-","P."&amp;BS25&amp;" ("&amp;COUNTIFS($BS$6:$BS$53,BS25,$BC$6:$BC$53,INDEX(T_Equipos[Grupo],MATCH(BD25,T_Equipos[NombreEquipo],0)))&amp;")")</f>
        <v>P.1 (4)</v>
      </c>
      <c r="BU25" s="756">
        <f t="shared" ca="1" si="36"/>
        <v>0</v>
      </c>
      <c r="BV25" s="756">
        <f t="shared" ca="1" si="37"/>
        <v>0</v>
      </c>
      <c r="BW25" s="756">
        <f t="shared" ca="1" si="38"/>
        <v>0</v>
      </c>
      <c r="BX25" s="756">
        <f t="shared" ca="1" si="39"/>
        <v>0</v>
      </c>
      <c r="BY25" s="756">
        <f ca="1">BS25+COUNTIFS($BT$6:$BT$53,BT25,$BX$6:BX$53,"&gt;"&amp;BX25,$BC$6:$BC$53,INDEX(T_Equipos[Grupo],MATCH(BD25,T_Equipos[NombreEquipo],0)))</f>
        <v>1</v>
      </c>
      <c r="BZ25" s="755" t="str">
        <f ca="1">IF(COUNTIFS($BY$6:$BY$53,BY25,$BC$6:$BC$53,INDEX(T_Equipos[Grupo],MATCH(BD25,T_Equipos[NombreEquipo],0)))=1,"-","P."&amp;BY25&amp;" ("&amp;COUNTIFS($BY$6:$BY$53,BY25,$BC$6:$BC$53,INDEX(T_Equipos[Grupo],MATCH(BD25,T_Equipos[NombreEquipo],0)))&amp;")")</f>
        <v>P.1 (4)</v>
      </c>
      <c r="CA25" s="756">
        <f t="shared" ca="1" si="40"/>
        <v>0</v>
      </c>
      <c r="CB25" s="756">
        <f t="shared" ca="1" si="41"/>
        <v>0</v>
      </c>
      <c r="CC25" s="756">
        <f t="shared" ca="1" si="42"/>
        <v>0</v>
      </c>
      <c r="CD25" s="756">
        <f ca="1">BY25+COUNTIFS($BZ$6:$BZ$53,BZ25,$CC$6:CC$53,"&gt;"&amp;CC25,$BC$6:$BC$53,INDEX(T_Equipos[Grupo],MATCH(BD25,T_Equipos[NombreEquipo],0)))</f>
        <v>1</v>
      </c>
      <c r="CE25" s="755" t="str">
        <f ca="1">IF(COUNTIFS($CD$6:$CD$53,CD25,$BC$6:$BC$53,INDEX(T_Equipos[Grupo],MATCH(BD25,T_Equipos[NombreEquipo],0)))=1,"-","P."&amp;CD25&amp;" ("&amp;COUNTIFS($CD$6:$CD$53,CD25,$BC$6:$BC$53,INDEX(T_Equipos[Grupo],MATCH(BD25,T_Equipos[NombreEquipo],0)))&amp;")")</f>
        <v>P.1 (4)</v>
      </c>
      <c r="CF25" s="756">
        <f t="shared" ca="1" si="43"/>
        <v>0</v>
      </c>
      <c r="CG25" s="756">
        <f ca="1">CD25+COUNTIFS($CE$6:$CE$53,CE25,$CF$6:CF$53,"&gt;"&amp;CF25,$BC$6:$BC$53,INDEX(T_Equipos[Grupo],MATCH(BD25,T_Equipos[NombreEquipo],0)))</f>
        <v>1</v>
      </c>
      <c r="CH25" s="755" t="str">
        <f ca="1">IF(COUNTIFS($CG$6:$CG$53,CG25,$BC$6:$BC$53,INDEX(T_Equipos[Grupo],MATCH(BD25,T_Equipos[NombreEquipo],0)))=1,"-","P."&amp;CG25&amp;" ("&amp;COUNTIFS($CG$6:$CG$53,CG25,$BC$6:$BC$53,INDEX(T_Equipos[Grupo],MATCH(BD25,T_Equipos[NombreEquipo],0)))&amp;")")</f>
        <v>P.1 (4)</v>
      </c>
      <c r="CI25" s="756">
        <f t="shared" ca="1" si="44"/>
        <v>0</v>
      </c>
      <c r="CJ25" s="756">
        <f t="shared" ca="1" si="45"/>
        <v>0</v>
      </c>
      <c r="CK25" s="756">
        <f t="shared" ca="1" si="46"/>
        <v>0</v>
      </c>
      <c r="CL25" s="756">
        <f t="shared" ca="1" si="47"/>
        <v>0</v>
      </c>
      <c r="CM25" s="756">
        <f ca="1">CG25+COUNTIFS($CH$6:$CH$53,CH25,$CL$6:CL$53,"&gt;"&amp;CL25,$BC$6:$BC$53,INDEX(T_Equipos[Grupo],MATCH(BD25,T_Equipos[NombreEquipo],0)))</f>
        <v>1</v>
      </c>
      <c r="CN25" s="755" t="str">
        <f ca="1">IF(COUNTIFS($CM$6:$CM$53,CM25,$BC$6:$BC$53,INDEX(T_Equipos[Grupo],MATCH(BD25,T_Equipos[NombreEquipo],0)))=1,"-","P."&amp;CM25&amp;" ("&amp;COUNTIFS($CM$6:$CM$53,CM25,$BC$6:$BC$53,INDEX(T_Equipos[Grupo],MATCH(BD25,T_Equipos[NombreEquipo],0)))&amp;")")</f>
        <v>P.1 (4)</v>
      </c>
      <c r="CO25" s="756">
        <f t="shared" ca="1" si="48"/>
        <v>0</v>
      </c>
      <c r="CP25" s="756">
        <f t="shared" ca="1" si="49"/>
        <v>0</v>
      </c>
      <c r="CQ25" s="756">
        <f t="shared" ca="1" si="50"/>
        <v>0</v>
      </c>
      <c r="CR25" s="756">
        <f ca="1">CM25+COUNTIFS($CN$6:$CN$53,CN25,$CQ$6:CQ$53,"&gt;"&amp;CQ25,$BC$6:$BC$53,INDEX(T_Equipos[Grupo],MATCH(BD25,T_Equipos[NombreEquipo],0)))</f>
        <v>1</v>
      </c>
      <c r="CS25" s="755" t="str">
        <f ca="1">IF(COUNTIFS($CR$6:$CR$53,CR25,$BC$6:$BC$53,INDEX(T_Equipos[Grupo],MATCH(BD25,T_Equipos[NombreEquipo],0)))=1,"-","P."&amp;CR25&amp;" ("&amp;COUNTIFS($CR$6:$CR$53,CR25,$BC$6:$BC$53,INDEX(T_Equipos[Grupo],MATCH(BD25,T_Equipos[NombreEquipo],0)))&amp;")")</f>
        <v>P.1 (4)</v>
      </c>
      <c r="CT25" s="756">
        <f t="shared" ca="1" si="51"/>
        <v>0</v>
      </c>
      <c r="CU25" s="756">
        <f ca="1">CR25+COUNTIFS($CS$6:$CS$53,CS25,$CT$6:CT$53,"&gt;"&amp;CT25,$BC$6:$BC$53,INDEX(T_Equipos[Grupo],MATCH(BD25,T_Equipos[NombreEquipo],0)))</f>
        <v>1</v>
      </c>
      <c r="CV25" s="755" t="str">
        <f ca="1">IF(COUNTIFS($CU$6:$CU$53,CU25,$BC$6:$BC$53,INDEX(T_Equipos[Grupo],MATCH(BD25,T_Equipos[NombreEquipo],0)))=1,"-","P."&amp;CU25&amp;" ("&amp;COUNTIFS($CU$6:$CU$53,CU25,$BC$6:$BC$53,INDEX(T_Equipos[Grupo],MATCH(BD25,T_Equipos[NombreEquipo],0)))&amp;")")</f>
        <v>P.1 (4)</v>
      </c>
      <c r="CW25" s="755">
        <f t="shared" ca="1" si="30"/>
        <v>0</v>
      </c>
      <c r="CX25" s="755">
        <f ca="1">CU25+COUNTIFS($CV$6:$CV$53,CV25,$CW$6:CW$53,"&gt;"&amp;CW25,$BC$6:$BC$53,INDEX(T_Equipos[Grupo],MATCH(BD25,T_Equipos[NombreEquipo],0)))</f>
        <v>1</v>
      </c>
      <c r="CY25" s="755" t="str">
        <f ca="1">IF(COUNTIFS($CX$6:$CX$53,CX25,$BC$6:$BC$53,INDEX(T_Equipos[Grupo],MATCH(BD25,T_Equipos[NombreEquipo],0)))=1,"-","P."&amp;CX25&amp;" ("&amp;COUNTIFS($CX$6:$CX$53,CX25,$BC$6:$BC$53,INDEX(T_Equipos[Grupo],MATCH(BD25,T_Equipos[NombreEquipo],0)))&amp;")")</f>
        <v>P.1 (4)</v>
      </c>
      <c r="CZ25" s="755">
        <f t="shared" ca="1" si="31"/>
        <v>0</v>
      </c>
      <c r="DA25" s="756">
        <f ca="1">CX25+COUNTIFS($CY$6:$CY$53,CY25,$CZ$6:CZ$53,"&gt;"&amp;CZ25,$BC$6:$BC$53,INDEX(T_Equipos[Grupo],MATCH(BD25,T_Equipos[NombreEquipo],0)))</f>
        <v>1</v>
      </c>
      <c r="DB25" s="755" t="str">
        <f ca="1">IF(COUNTIFS($DA$6:$DA$53,DA25,$BC$6:$BC$53,INDEX(T_Equipos[Grupo],MATCH(BD25,T_Equipos[NombreEquipo],0)))=1,"-","P."&amp;DA25&amp;" ("&amp;COUNTIFS($DA$6:$DA$53,DA25,$BC$6:$BC$53,INDEX(T_Equipos[Grupo],MATCH(BD25,T_Equipos[NombreEquipo],0)))&amp;")")</f>
        <v>P.1 (4)</v>
      </c>
      <c r="DC25" s="754">
        <f ca="1">IF(DB25="-","-",COUNTIFS(T_Equipos[Rank],"&lt;"&amp;INDEX(T_Equipos[Rank],MATCH(BD25,T_Equipos[NombreEquipo],0)),$BC$6:$BC$53,INDEX(T_Equipos[Grupo],MATCH(BD25,T_Equipos[NombreEquipo],0)))+1)</f>
        <v>4</v>
      </c>
      <c r="DD25" s="754">
        <f ca="1">DA25+COUNTIFS($DB$6:$DB$53,DB25,$DC$6:DC$53,"&lt;"&amp;DC25,$BC$6:$BC$53,INDEX(T_Equipos[Grupo],MATCH(BD25,T_Equipos[NombreEquipo],0)))</f>
        <v>4</v>
      </c>
      <c r="DE25" s="754"/>
      <c r="DF25" s="754">
        <f t="shared" ca="1" si="52"/>
        <v>4</v>
      </c>
      <c r="DG25" s="754">
        <f ca="1">IF(DB25="-","-",COUNTIFS(DF$6:DF$53,"&lt;"&amp;DF25,$BC$6:$BC$53,INDEX(T_Equipos[Grupo],MATCH(BD25,T_Equipos[NombreEquipo],0))))</f>
        <v>3</v>
      </c>
      <c r="DH25" s="754">
        <f ca="1">DA25+COUNTIFS(DB$6:DB$53,DB25,DG$6:DG$53,"&lt;"&amp;DG25,$BC$6:$BC$53,INDEX(T_Equipos[Grupo],MATCH(BD25,T_Equipos[NombreEquipo],0)))</f>
        <v>4</v>
      </c>
      <c r="DI25" s="742"/>
      <c r="DJ25" s="742">
        <f t="shared" ca="1" si="53"/>
        <v>1</v>
      </c>
      <c r="DK25" s="742">
        <f t="shared" ca="1" si="24"/>
        <v>0</v>
      </c>
      <c r="DL25" s="742">
        <f t="shared" ca="1" si="33"/>
        <v>1</v>
      </c>
      <c r="DM25" s="736" t="str">
        <f t="shared" ca="1" si="34"/>
        <v>1.1</v>
      </c>
      <c r="DN25" s="742" cm="1">
        <f t="array" aca="1" ref="DN25" ca="1">OFFSET(Horarios!$P$3,DJ25-1,0,DL25,1)</f>
        <v>1</v>
      </c>
      <c r="DO25" s="742"/>
      <c r="DP25" s="742" t="s">
        <v>663</v>
      </c>
      <c r="DQ25" s="742" t="str">
        <f t="shared" ca="1" si="35"/>
        <v>Ecuador</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0</v>
      </c>
      <c r="BF26" s="746">
        <f t="shared" ca="1" si="26"/>
        <v>0</v>
      </c>
      <c r="BG26" s="746">
        <f t="shared" ca="1" si="17"/>
        <v>0</v>
      </c>
      <c r="BH26" s="746">
        <f t="shared" ca="1" si="18"/>
        <v>0</v>
      </c>
      <c r="BI26" s="746">
        <f t="shared" ca="1" si="19"/>
        <v>0</v>
      </c>
      <c r="BJ26" s="746">
        <f t="shared" ca="1" si="20"/>
        <v>0</v>
      </c>
      <c r="BK26" s="746">
        <f t="shared" ca="1" si="21"/>
        <v>0</v>
      </c>
      <c r="BL26" s="746">
        <f t="shared" ca="1" si="27"/>
        <v>0</v>
      </c>
      <c r="BM26" s="746" t="str">
        <f t="shared" ca="1" si="22"/>
        <v>1F</v>
      </c>
      <c r="BN26" s="746" t="str">
        <f t="shared" ca="1" si="23"/>
        <v>1F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0</v>
      </c>
      <c r="BS26" s="755">
        <f ca="1">BP26+COUNTIFS($BQ$6:$BQ$53,BQ26,$BR$6:BR$53,"&gt;"&amp;BR26,$BC$6:$BC$53,INDEX(T_Equipos[Grupo],MATCH(BD26,T_Equipos[NombreEquipo],0)))</f>
        <v>1</v>
      </c>
      <c r="BT26" s="755" t="str">
        <f ca="1">IF(COUNTIFS($BS$6:$BS$53,BS26,$BC$6:$BC$53,INDEX(T_Equipos[Grupo],MATCH(BD26,T_Equipos[NombreEquipo],0)))=1,"-","P."&amp;BS26&amp;" ("&amp;COUNTIFS($BS$6:$BS$53,BS26,$BC$6:$BC$53,INDEX(T_Equipos[Grupo],MATCH(BD26,T_Equipos[NombreEquipo],0)))&amp;")")</f>
        <v>P.1 (4)</v>
      </c>
      <c r="BU26" s="756">
        <f t="shared" ca="1" si="36"/>
        <v>0</v>
      </c>
      <c r="BV26" s="756">
        <f t="shared" ca="1" si="37"/>
        <v>0</v>
      </c>
      <c r="BW26" s="756">
        <f t="shared" ca="1" si="38"/>
        <v>0</v>
      </c>
      <c r="BX26" s="756">
        <f t="shared" ca="1" si="39"/>
        <v>0</v>
      </c>
      <c r="BY26" s="756">
        <f ca="1">BS26+COUNTIFS($BT$6:$BT$53,BT26,$BX$6:BX$53,"&gt;"&amp;BX26,$BC$6:$BC$53,INDEX(T_Equipos[Grupo],MATCH(BD26,T_Equipos[NombreEquipo],0)))</f>
        <v>1</v>
      </c>
      <c r="BZ26" s="755" t="str">
        <f ca="1">IF(COUNTIFS($BY$6:$BY$53,BY26,$BC$6:$BC$53,INDEX(T_Equipos[Grupo],MATCH(BD26,T_Equipos[NombreEquipo],0)))=1,"-","P."&amp;BY26&amp;" ("&amp;COUNTIFS($BY$6:$BY$53,BY26,$BC$6:$BC$53,INDEX(T_Equipos[Grupo],MATCH(BD26,T_Equipos[NombreEquipo],0)))&amp;")")</f>
        <v>P.1 (4)</v>
      </c>
      <c r="CA26" s="756">
        <f t="shared" ca="1" si="40"/>
        <v>0</v>
      </c>
      <c r="CB26" s="756">
        <f t="shared" ca="1" si="41"/>
        <v>0</v>
      </c>
      <c r="CC26" s="756">
        <f t="shared" ca="1" si="42"/>
        <v>0</v>
      </c>
      <c r="CD26" s="756">
        <f ca="1">BY26+COUNTIFS($BZ$6:$BZ$53,BZ26,$CC$6:CC$53,"&gt;"&amp;CC26,$BC$6:$BC$53,INDEX(T_Equipos[Grupo],MATCH(BD26,T_Equipos[NombreEquipo],0)))</f>
        <v>1</v>
      </c>
      <c r="CE26" s="755" t="str">
        <f ca="1">IF(COUNTIFS($CD$6:$CD$53,CD26,$BC$6:$BC$53,INDEX(T_Equipos[Grupo],MATCH(BD26,T_Equipos[NombreEquipo],0)))=1,"-","P."&amp;CD26&amp;" ("&amp;COUNTIFS($CD$6:$CD$53,CD26,$BC$6:$BC$53,INDEX(T_Equipos[Grupo],MATCH(BD26,T_Equipos[NombreEquipo],0)))&amp;")")</f>
        <v>P.1 (4)</v>
      </c>
      <c r="CF26" s="756">
        <f t="shared" ca="1" si="43"/>
        <v>0</v>
      </c>
      <c r="CG26" s="756">
        <f ca="1">CD26+COUNTIFS($CE$6:$CE$53,CE26,$CF$6:CF$53,"&gt;"&amp;CF26,$BC$6:$BC$53,INDEX(T_Equipos[Grupo],MATCH(BD26,T_Equipos[NombreEquipo],0)))</f>
        <v>1</v>
      </c>
      <c r="CH26" s="755" t="str">
        <f ca="1">IF(COUNTIFS($CG$6:$CG$53,CG26,$BC$6:$BC$53,INDEX(T_Equipos[Grupo],MATCH(BD26,T_Equipos[NombreEquipo],0)))=1,"-","P."&amp;CG26&amp;" ("&amp;COUNTIFS($CG$6:$CG$53,CG26,$BC$6:$BC$53,INDEX(T_Equipos[Grupo],MATCH(BD26,T_Equipos[NombreEquipo],0)))&amp;")")</f>
        <v>P.1 (4)</v>
      </c>
      <c r="CI26" s="756">
        <f t="shared" ca="1" si="44"/>
        <v>0</v>
      </c>
      <c r="CJ26" s="756">
        <f t="shared" ca="1" si="45"/>
        <v>0</v>
      </c>
      <c r="CK26" s="756">
        <f t="shared" ca="1" si="46"/>
        <v>0</v>
      </c>
      <c r="CL26" s="756">
        <f t="shared" ca="1" si="47"/>
        <v>0</v>
      </c>
      <c r="CM26" s="756">
        <f ca="1">CG26+COUNTIFS($CH$6:$CH$53,CH26,$CL$6:CL$53,"&gt;"&amp;CL26,$BC$6:$BC$53,INDEX(T_Equipos[Grupo],MATCH(BD26,T_Equipos[NombreEquipo],0)))</f>
        <v>1</v>
      </c>
      <c r="CN26" s="755" t="str">
        <f ca="1">IF(COUNTIFS($CM$6:$CM$53,CM26,$BC$6:$BC$53,INDEX(T_Equipos[Grupo],MATCH(BD26,T_Equipos[NombreEquipo],0)))=1,"-","P."&amp;CM26&amp;" ("&amp;COUNTIFS($CM$6:$CM$53,CM26,$BC$6:$BC$53,INDEX(T_Equipos[Grupo],MATCH(BD26,T_Equipos[NombreEquipo],0)))&amp;")")</f>
        <v>P.1 (4)</v>
      </c>
      <c r="CO26" s="756">
        <f t="shared" ca="1" si="48"/>
        <v>0</v>
      </c>
      <c r="CP26" s="756">
        <f t="shared" ca="1" si="49"/>
        <v>0</v>
      </c>
      <c r="CQ26" s="756">
        <f t="shared" ca="1" si="50"/>
        <v>0</v>
      </c>
      <c r="CR26" s="756">
        <f ca="1">CM26+COUNTIFS($CN$6:$CN$53,CN26,$CQ$6:CQ$53,"&gt;"&amp;CQ26,$BC$6:$BC$53,INDEX(T_Equipos[Grupo],MATCH(BD26,T_Equipos[NombreEquipo],0)))</f>
        <v>1</v>
      </c>
      <c r="CS26" s="755" t="str">
        <f ca="1">IF(COUNTIFS($CR$6:$CR$53,CR26,$BC$6:$BC$53,INDEX(T_Equipos[Grupo],MATCH(BD26,T_Equipos[NombreEquipo],0)))=1,"-","P."&amp;CR26&amp;" ("&amp;COUNTIFS($CR$6:$CR$53,CR26,$BC$6:$BC$53,INDEX(T_Equipos[Grupo],MATCH(BD26,T_Equipos[NombreEquipo],0)))&amp;")")</f>
        <v>P.1 (4)</v>
      </c>
      <c r="CT26" s="756">
        <f t="shared" ca="1" si="51"/>
        <v>0</v>
      </c>
      <c r="CU26" s="756">
        <f ca="1">CR26+COUNTIFS($CS$6:$CS$53,CS26,$CT$6:CT$53,"&gt;"&amp;CT26,$BC$6:$BC$53,INDEX(T_Equipos[Grupo],MATCH(BD26,T_Equipos[NombreEquipo],0)))</f>
        <v>1</v>
      </c>
      <c r="CV26" s="755" t="str">
        <f ca="1">IF(COUNTIFS($CU$6:$CU$53,CU26,$BC$6:$BC$53,INDEX(T_Equipos[Grupo],MATCH(BD26,T_Equipos[NombreEquipo],0)))=1,"-","P."&amp;CU26&amp;" ("&amp;COUNTIFS($CU$6:$CU$53,CU26,$BC$6:$BC$53,INDEX(T_Equipos[Grupo],MATCH(BD26,T_Equipos[NombreEquipo],0)))&amp;")")</f>
        <v>P.1 (4)</v>
      </c>
      <c r="CW26" s="755">
        <f t="shared" ca="1" si="30"/>
        <v>0</v>
      </c>
      <c r="CX26" s="755">
        <f ca="1">CU26+COUNTIFS($CV$6:$CV$53,CV26,$CW$6:CW$53,"&gt;"&amp;CW26,$BC$6:$BC$53,INDEX(T_Equipos[Grupo],MATCH(BD26,T_Equipos[NombreEquipo],0)))</f>
        <v>1</v>
      </c>
      <c r="CY26" s="755" t="str">
        <f ca="1">IF(COUNTIFS($CX$6:$CX$53,CX26,$BC$6:$BC$53,INDEX(T_Equipos[Grupo],MATCH(BD26,T_Equipos[NombreEquipo],0)))=1,"-","P."&amp;CX26&amp;" ("&amp;COUNTIFS($CX$6:$CX$53,CX26,$BC$6:$BC$53,INDEX(T_Equipos[Grupo],MATCH(BD26,T_Equipos[NombreEquipo],0)))&amp;")")</f>
        <v>P.1 (4)</v>
      </c>
      <c r="CZ26" s="755">
        <f t="shared" ca="1" si="31"/>
        <v>0</v>
      </c>
      <c r="DA26" s="756">
        <f ca="1">CX26+COUNTIFS($CY$6:$CY$53,CY26,$CZ$6:CZ$53,"&gt;"&amp;CZ26,$BC$6:$BC$53,INDEX(T_Equipos[Grupo],MATCH(BD26,T_Equipos[NombreEquipo],0)))</f>
        <v>1</v>
      </c>
      <c r="DB26" s="755" t="str">
        <f ca="1">IF(COUNTIFS($DA$6:$DA$53,DA26,$BC$6:$BC$53,INDEX(T_Equipos[Grupo],MATCH(BD26,T_Equipos[NombreEquipo],0)))=1,"-","P."&amp;DA26&amp;" ("&amp;COUNTIFS($DA$6:$DA$53,DA26,$BC$6:$BC$53,INDEX(T_Equipos[Grupo],MATCH(BD26,T_Equipos[NombreEquipo],0)))&amp;")")</f>
        <v>P.1 (4)</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1</v>
      </c>
      <c r="DE26" s="754"/>
      <c r="DF26" s="754">
        <f t="shared" ca="1" si="52"/>
        <v>1</v>
      </c>
      <c r="DG26" s="754">
        <f ca="1">IF(DB26="-","-",COUNTIFS(DF$6:DF$53,"&lt;"&amp;DF26,$BC$6:$BC$53,INDEX(T_Equipos[Grupo],MATCH(BD26,T_Equipos[NombreEquipo],0))))</f>
        <v>0</v>
      </c>
      <c r="DH26" s="754">
        <f ca="1">DA26+COUNTIFS(DB$6:DB$53,DB26,DG$6:DG$53,"&lt;"&amp;DG26,$BC$6:$BC$53,INDEX(T_Equipos[Grupo],MATCH(BD26,T_Equipos[NombreEquipo],0)))</f>
        <v>1</v>
      </c>
      <c r="DI26" s="742"/>
      <c r="DJ26" s="742">
        <f t="shared" ca="1" si="53"/>
        <v>1</v>
      </c>
      <c r="DK26" s="742">
        <f t="shared" ca="1" si="24"/>
        <v>0</v>
      </c>
      <c r="DL26" s="742">
        <f t="shared" ca="1" si="33"/>
        <v>1</v>
      </c>
      <c r="DM26" s="736" t="str">
        <f t="shared" ca="1" si="34"/>
        <v>1.1</v>
      </c>
      <c r="DN26" s="742" cm="1">
        <f t="array" aca="1" ref="DN26" ca="1">OFFSET(Horarios!$P$3,DJ26-1,0,DL26,1)</f>
        <v>1</v>
      </c>
      <c r="DO26" s="742"/>
      <c r="DP26" s="742" t="s">
        <v>664</v>
      </c>
      <c r="DQ26" s="742" t="str">
        <f t="shared" ca="1" si="35"/>
        <v>Países Bajos</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0</v>
      </c>
      <c r="BF27" s="746">
        <f t="shared" ca="1" si="26"/>
        <v>0</v>
      </c>
      <c r="BG27" s="746">
        <f t="shared" ca="1" si="17"/>
        <v>0</v>
      </c>
      <c r="BH27" s="746">
        <f t="shared" ca="1" si="18"/>
        <v>0</v>
      </c>
      <c r="BI27" s="746">
        <f t="shared" ca="1" si="19"/>
        <v>0</v>
      </c>
      <c r="BJ27" s="746">
        <f t="shared" ca="1" si="20"/>
        <v>0</v>
      </c>
      <c r="BK27" s="746">
        <f t="shared" ca="1" si="21"/>
        <v>0</v>
      </c>
      <c r="BL27" s="746">
        <f t="shared" ca="1" si="27"/>
        <v>0</v>
      </c>
      <c r="BM27" s="746" t="str">
        <f t="shared" ca="1" si="22"/>
        <v>2F</v>
      </c>
      <c r="BN27" s="746" t="str">
        <f t="shared" ca="1" si="23"/>
        <v>2F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0</v>
      </c>
      <c r="BS27" s="755">
        <f ca="1">BP27+COUNTIFS($BQ$6:$BQ$53,BQ27,$BR$6:BR$53,"&gt;"&amp;BR27,$BC$6:$BC$53,INDEX(T_Equipos[Grupo],MATCH(BD27,T_Equipos[NombreEquipo],0)))</f>
        <v>1</v>
      </c>
      <c r="BT27" s="755" t="str">
        <f ca="1">IF(COUNTIFS($BS$6:$BS$53,BS27,$BC$6:$BC$53,INDEX(T_Equipos[Grupo],MATCH(BD27,T_Equipos[NombreEquipo],0)))=1,"-","P."&amp;BS27&amp;" ("&amp;COUNTIFS($BS$6:$BS$53,BS27,$BC$6:$BC$53,INDEX(T_Equipos[Grupo],MATCH(BD27,T_Equipos[NombreEquipo],0)))&amp;")")</f>
        <v>P.1 (4)</v>
      </c>
      <c r="BU27" s="756">
        <f t="shared" ca="1" si="36"/>
        <v>0</v>
      </c>
      <c r="BV27" s="756">
        <f t="shared" ca="1" si="37"/>
        <v>0</v>
      </c>
      <c r="BW27" s="756">
        <f t="shared" ca="1" si="38"/>
        <v>0</v>
      </c>
      <c r="BX27" s="756">
        <f t="shared" ca="1" si="39"/>
        <v>0</v>
      </c>
      <c r="BY27" s="756">
        <f ca="1">BS27+COUNTIFS($BT$6:$BT$53,BT27,$BX$6:BX$53,"&gt;"&amp;BX27,$BC$6:$BC$53,INDEX(T_Equipos[Grupo],MATCH(BD27,T_Equipos[NombreEquipo],0)))</f>
        <v>1</v>
      </c>
      <c r="BZ27" s="755" t="str">
        <f ca="1">IF(COUNTIFS($BY$6:$BY$53,BY27,$BC$6:$BC$53,INDEX(T_Equipos[Grupo],MATCH(BD27,T_Equipos[NombreEquipo],0)))=1,"-","P."&amp;BY27&amp;" ("&amp;COUNTIFS($BY$6:$BY$53,BY27,$BC$6:$BC$53,INDEX(T_Equipos[Grupo],MATCH(BD27,T_Equipos[NombreEquipo],0)))&amp;")")</f>
        <v>P.1 (4)</v>
      </c>
      <c r="CA27" s="756">
        <f t="shared" ca="1" si="40"/>
        <v>0</v>
      </c>
      <c r="CB27" s="756">
        <f t="shared" ca="1" si="41"/>
        <v>0</v>
      </c>
      <c r="CC27" s="756">
        <f t="shared" ca="1" si="42"/>
        <v>0</v>
      </c>
      <c r="CD27" s="756">
        <f ca="1">BY27+COUNTIFS($BZ$6:$BZ$53,BZ27,$CC$6:CC$53,"&gt;"&amp;CC27,$BC$6:$BC$53,INDEX(T_Equipos[Grupo],MATCH(BD27,T_Equipos[NombreEquipo],0)))</f>
        <v>1</v>
      </c>
      <c r="CE27" s="755" t="str">
        <f ca="1">IF(COUNTIFS($CD$6:$CD$53,CD27,$BC$6:$BC$53,INDEX(T_Equipos[Grupo],MATCH(BD27,T_Equipos[NombreEquipo],0)))=1,"-","P."&amp;CD27&amp;" ("&amp;COUNTIFS($CD$6:$CD$53,CD27,$BC$6:$BC$53,INDEX(T_Equipos[Grupo],MATCH(BD27,T_Equipos[NombreEquipo],0)))&amp;")")</f>
        <v>P.1 (4)</v>
      </c>
      <c r="CF27" s="756">
        <f t="shared" ca="1" si="43"/>
        <v>0</v>
      </c>
      <c r="CG27" s="756">
        <f ca="1">CD27+COUNTIFS($CE$6:$CE$53,CE27,$CF$6:CF$53,"&gt;"&amp;CF27,$BC$6:$BC$53,INDEX(T_Equipos[Grupo],MATCH(BD27,T_Equipos[NombreEquipo],0)))</f>
        <v>1</v>
      </c>
      <c r="CH27" s="755" t="str">
        <f ca="1">IF(COUNTIFS($CG$6:$CG$53,CG27,$BC$6:$BC$53,INDEX(T_Equipos[Grupo],MATCH(BD27,T_Equipos[NombreEquipo],0)))=1,"-","P."&amp;CG27&amp;" ("&amp;COUNTIFS($CG$6:$CG$53,CG27,$BC$6:$BC$53,INDEX(T_Equipos[Grupo],MATCH(BD27,T_Equipos[NombreEquipo],0)))&amp;")")</f>
        <v>P.1 (4)</v>
      </c>
      <c r="CI27" s="756">
        <f t="shared" ca="1" si="44"/>
        <v>0</v>
      </c>
      <c r="CJ27" s="756">
        <f t="shared" ca="1" si="45"/>
        <v>0</v>
      </c>
      <c r="CK27" s="756">
        <f t="shared" ca="1" si="46"/>
        <v>0</v>
      </c>
      <c r="CL27" s="756">
        <f t="shared" ca="1" si="47"/>
        <v>0</v>
      </c>
      <c r="CM27" s="756">
        <f ca="1">CG27+COUNTIFS($CH$6:$CH$53,CH27,$CL$6:CL$53,"&gt;"&amp;CL27,$BC$6:$BC$53,INDEX(T_Equipos[Grupo],MATCH(BD27,T_Equipos[NombreEquipo],0)))</f>
        <v>1</v>
      </c>
      <c r="CN27" s="755" t="str">
        <f ca="1">IF(COUNTIFS($CM$6:$CM$53,CM27,$BC$6:$BC$53,INDEX(T_Equipos[Grupo],MATCH(BD27,T_Equipos[NombreEquipo],0)))=1,"-","P."&amp;CM27&amp;" ("&amp;COUNTIFS($CM$6:$CM$53,CM27,$BC$6:$BC$53,INDEX(T_Equipos[Grupo],MATCH(BD27,T_Equipos[NombreEquipo],0)))&amp;")")</f>
        <v>P.1 (4)</v>
      </c>
      <c r="CO27" s="756">
        <f t="shared" ca="1" si="48"/>
        <v>0</v>
      </c>
      <c r="CP27" s="756">
        <f t="shared" ca="1" si="49"/>
        <v>0</v>
      </c>
      <c r="CQ27" s="756">
        <f t="shared" ca="1" si="50"/>
        <v>0</v>
      </c>
      <c r="CR27" s="756">
        <f ca="1">CM27+COUNTIFS($CN$6:$CN$53,CN27,$CQ$6:CQ$53,"&gt;"&amp;CQ27,$BC$6:$BC$53,INDEX(T_Equipos[Grupo],MATCH(BD27,T_Equipos[NombreEquipo],0)))</f>
        <v>1</v>
      </c>
      <c r="CS27" s="755" t="str">
        <f ca="1">IF(COUNTIFS($CR$6:$CR$53,CR27,$BC$6:$BC$53,INDEX(T_Equipos[Grupo],MATCH(BD27,T_Equipos[NombreEquipo],0)))=1,"-","P."&amp;CR27&amp;" ("&amp;COUNTIFS($CR$6:$CR$53,CR27,$BC$6:$BC$53,INDEX(T_Equipos[Grupo],MATCH(BD27,T_Equipos[NombreEquipo],0)))&amp;")")</f>
        <v>P.1 (4)</v>
      </c>
      <c r="CT27" s="756">
        <f t="shared" ca="1" si="51"/>
        <v>0</v>
      </c>
      <c r="CU27" s="756">
        <f ca="1">CR27+COUNTIFS($CS$6:$CS$53,CS27,$CT$6:CT$53,"&gt;"&amp;CT27,$BC$6:$BC$53,INDEX(T_Equipos[Grupo],MATCH(BD27,T_Equipos[NombreEquipo],0)))</f>
        <v>1</v>
      </c>
      <c r="CV27" s="755" t="str">
        <f ca="1">IF(COUNTIFS($CU$6:$CU$53,CU27,$BC$6:$BC$53,INDEX(T_Equipos[Grupo],MATCH(BD27,T_Equipos[NombreEquipo],0)))=1,"-","P."&amp;CU27&amp;" ("&amp;COUNTIFS($CU$6:$CU$53,CU27,$BC$6:$BC$53,INDEX(T_Equipos[Grupo],MATCH(BD27,T_Equipos[NombreEquipo],0)))&amp;")")</f>
        <v>P.1 (4)</v>
      </c>
      <c r="CW27" s="755">
        <f t="shared" ca="1" si="30"/>
        <v>0</v>
      </c>
      <c r="CX27" s="755">
        <f ca="1">CU27+COUNTIFS($CV$6:$CV$53,CV27,$CW$6:CW$53,"&gt;"&amp;CW27,$BC$6:$BC$53,INDEX(T_Equipos[Grupo],MATCH(BD27,T_Equipos[NombreEquipo],0)))</f>
        <v>1</v>
      </c>
      <c r="CY27" s="755" t="str">
        <f ca="1">IF(COUNTIFS($CX$6:$CX$53,CX27,$BC$6:$BC$53,INDEX(T_Equipos[Grupo],MATCH(BD27,T_Equipos[NombreEquipo],0)))=1,"-","P."&amp;CX27&amp;" ("&amp;COUNTIFS($CX$6:$CX$53,CX27,$BC$6:$BC$53,INDEX(T_Equipos[Grupo],MATCH(BD27,T_Equipos[NombreEquipo],0)))&amp;")")</f>
        <v>P.1 (4)</v>
      </c>
      <c r="CZ27" s="755">
        <f t="shared" ca="1" si="31"/>
        <v>0</v>
      </c>
      <c r="DA27" s="756">
        <f ca="1">CX27+COUNTIFS($CY$6:$CY$53,CY27,$CZ$6:CZ$53,"&gt;"&amp;CZ27,$BC$6:$BC$53,INDEX(T_Equipos[Grupo],MATCH(BD27,T_Equipos[NombreEquipo],0)))</f>
        <v>1</v>
      </c>
      <c r="DB27" s="755" t="str">
        <f ca="1">IF(COUNTIFS($DA$6:$DA$53,DA27,$BC$6:$BC$53,INDEX(T_Equipos[Grupo],MATCH(BD27,T_Equipos[NombreEquipo],0)))=1,"-","P."&amp;DA27&amp;" ("&amp;COUNTIFS($DA$6:$DA$53,DA27,$BC$6:$BC$53,INDEX(T_Equipos[Grupo],MATCH(BD27,T_Equipos[NombreEquipo],0)))&amp;")")</f>
        <v>P.1 (4)</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2</v>
      </c>
      <c r="DE27" s="754"/>
      <c r="DF27" s="754">
        <f t="shared" ca="1" si="52"/>
        <v>2</v>
      </c>
      <c r="DG27" s="754">
        <f ca="1">IF(DB27="-","-",COUNTIFS(DF$6:DF$53,"&lt;"&amp;DF27,$BC$6:$BC$53,INDEX(T_Equipos[Grupo],MATCH(BD27,T_Equipos[NombreEquipo],0))))</f>
        <v>1</v>
      </c>
      <c r="DH27" s="754">
        <f ca="1">DA27+COUNTIFS(DB$6:DB$53,DB27,DG$6:DG$53,"&lt;"&amp;DG27,$BC$6:$BC$53,INDEX(T_Equipos[Grupo],MATCH(BD27,T_Equipos[NombreEquipo],0)))</f>
        <v>2</v>
      </c>
      <c r="DI27" s="742"/>
      <c r="DJ27" s="742">
        <f t="shared" ca="1" si="53"/>
        <v>1</v>
      </c>
      <c r="DK27" s="742">
        <f t="shared" ca="1" si="24"/>
        <v>0</v>
      </c>
      <c r="DL27" s="742">
        <f t="shared" ca="1" si="33"/>
        <v>1</v>
      </c>
      <c r="DM27" s="736" t="str">
        <f t="shared" ca="1" si="34"/>
        <v>1.1</v>
      </c>
      <c r="DN27" s="742" cm="1">
        <f t="array" aca="1" ref="DN27" ca="1">OFFSET(Horarios!$P$3,DJ27-1,0,DL27,1)</f>
        <v>1</v>
      </c>
      <c r="DO27" s="742"/>
      <c r="DP27" s="742" t="s">
        <v>665</v>
      </c>
      <c r="DQ27" s="742" t="str">
        <f t="shared" ca="1" si="35"/>
        <v>Japón</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Pendiente</v>
      </c>
      <c r="E28" s="742" t="str">
        <f t="shared" ref="E28:E33" si="95">IF(D28="Pendiente","-",INDEX($BT$6:$BT$53,MATCH($AA28,$BD$6:$BD$53,0)))</f>
        <v>-</v>
      </c>
      <c r="F28" s="742" t="str">
        <f t="shared" ref="F28:F33" si="96">IF(D28="Pendiente","-",INDEX($BT$6:$BT$53,MATCH($AF28,$BD$6:$BD$53,0)))</f>
        <v>-</v>
      </c>
      <c r="G28" s="742"/>
      <c r="H28" s="742" t="str">
        <f t="shared" ref="H28:H33" si="97">IF(D28="Pendiente","-",INDEX($BZ$6:$BZ$53,MATCH($AA28,$BD$6:$BD$53,0)))</f>
        <v>-</v>
      </c>
      <c r="I28" s="742" t="str">
        <f t="shared" ref="I28:I33" si="98">IF(D28="Pendiente","-",INDEX($BZ$6:$BZ$53,MATCH($AF28,$BD$6:$BD$53,0)))</f>
        <v>-</v>
      </c>
      <c r="J28" s="742"/>
      <c r="K28" s="742" t="str">
        <f t="shared" ref="K28:K33" si="99">IF(D28="Pendiente","-",INDEX($CE$6:$CE$53,MATCH($AA28,$BD$6:$BD$53,0)))</f>
        <v>-</v>
      </c>
      <c r="L28" s="742" t="str">
        <f t="shared" ref="L28:L33" si="100">IF(D28="Pendiente","-",INDEX($CE$6:$CE$53,MATCH($AF28,$BD$6:$BD$53,0)))</f>
        <v>-</v>
      </c>
      <c r="M28" s="742"/>
      <c r="N28" s="742" t="str">
        <f t="shared" ref="N28:N33" si="101">IF(D28="Pendiente","-",INDEX($CH$6:$CH$53,MATCH($AA28,$BD$6:$BD$53,0)))</f>
        <v>-</v>
      </c>
      <c r="O28" s="742" t="str">
        <f t="shared" ref="O28:O33" si="102">IF(D28="Pendiente","-",INDEX($CH$6:$CH$53,MATCH($AF28,$BD$6:$BD$53,0)))</f>
        <v>-</v>
      </c>
      <c r="P28" s="742"/>
      <c r="Q28" s="742" t="str">
        <f t="shared" ref="Q28:Q33" si="103">IF(D28="Pendiente","-",INDEX($CN$6:$CN$53,MATCH($AA28,$BD$6:$BD$53,0)))</f>
        <v>-</v>
      </c>
      <c r="R28" s="742" t="str">
        <f t="shared" ref="R28:R33" si="104">IF(D28="Pendiente","-",INDEX($CN$6:$CN$53,MATCH($AF28,$BD$6:$BD$53,0)))</f>
        <v>-</v>
      </c>
      <c r="S28" s="742"/>
      <c r="T28" s="742" t="str">
        <f t="shared" ref="T28:T33" si="105">IF(D28="Pendiente","-",INDEX($CS$6:$CS$53,MATCH($AA28,$BD$6:$BD$53,0)))</f>
        <v>-</v>
      </c>
      <c r="U28" s="742" t="str">
        <f t="shared" ref="U28:U33" si="106">IF(D28="Pendiente","-",INDEX($CS$6:$CS$53,MATCH($AF28,$BD$6:$BD$53,0)))</f>
        <v>-</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0</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0</v>
      </c>
      <c r="BF28" s="746">
        <f t="shared" ca="1" si="26"/>
        <v>0</v>
      </c>
      <c r="BG28" s="746">
        <f t="shared" ca="1" si="17"/>
        <v>0</v>
      </c>
      <c r="BH28" s="746">
        <f t="shared" ca="1" si="18"/>
        <v>0</v>
      </c>
      <c r="BI28" s="746">
        <f t="shared" ca="1" si="19"/>
        <v>0</v>
      </c>
      <c r="BJ28" s="746">
        <f t="shared" ca="1" si="20"/>
        <v>0</v>
      </c>
      <c r="BK28" s="746">
        <f t="shared" ca="1" si="21"/>
        <v>0</v>
      </c>
      <c r="BL28" s="746">
        <f t="shared" ca="1" si="27"/>
        <v>0</v>
      </c>
      <c r="BM28" s="746" t="str">
        <f t="shared" ca="1" si="22"/>
        <v>3F</v>
      </c>
      <c r="BN28" s="746" t="str">
        <f t="shared" ca="1" si="23"/>
        <v>3F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0</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P.1 (4)</v>
      </c>
      <c r="BU28" s="756">
        <f t="shared" ca="1" si="36"/>
        <v>0</v>
      </c>
      <c r="BV28" s="756">
        <f t="shared" ca="1" si="37"/>
        <v>0</v>
      </c>
      <c r="BW28" s="756">
        <f t="shared" ca="1" si="38"/>
        <v>0</v>
      </c>
      <c r="BX28" s="756">
        <f t="shared" ca="1" si="39"/>
        <v>0</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P.1 (4)</v>
      </c>
      <c r="CA28" s="756">
        <f t="shared" ca="1" si="40"/>
        <v>0</v>
      </c>
      <c r="CB28" s="756">
        <f t="shared" ca="1" si="41"/>
        <v>0</v>
      </c>
      <c r="CC28" s="756">
        <f t="shared" ca="1" si="42"/>
        <v>0</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P.1 (4)</v>
      </c>
      <c r="CF28" s="756">
        <f t="shared" ca="1" si="43"/>
        <v>0</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P.1 (4)</v>
      </c>
      <c r="CI28" s="756">
        <f t="shared" ca="1" si="44"/>
        <v>0</v>
      </c>
      <c r="CJ28" s="756">
        <f t="shared" ca="1" si="45"/>
        <v>0</v>
      </c>
      <c r="CK28" s="756">
        <f t="shared" ca="1" si="46"/>
        <v>0</v>
      </c>
      <c r="CL28" s="756">
        <f t="shared" ca="1" si="47"/>
        <v>0</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P.1 (4)</v>
      </c>
      <c r="CO28" s="756">
        <f t="shared" ca="1" si="48"/>
        <v>0</v>
      </c>
      <c r="CP28" s="756">
        <f t="shared" ca="1" si="49"/>
        <v>0</v>
      </c>
      <c r="CQ28" s="756">
        <f t="shared" ca="1" si="50"/>
        <v>0</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P.1 (4)</v>
      </c>
      <c r="CT28" s="756">
        <f t="shared" ca="1" si="51"/>
        <v>0</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P.1 (4)</v>
      </c>
      <c r="CW28" s="755">
        <f t="shared" ca="1" si="30"/>
        <v>0</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P.1 (4)</v>
      </c>
      <c r="CZ28" s="755">
        <f t="shared" ca="1" si="31"/>
        <v>0</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P.1 (4)</v>
      </c>
      <c r="DC28" s="754">
        <f ca="1">IF(DB28="-","-",COUNTIFS(T_Equipos[Rank],"&lt;"&amp;INDEX(T_Equipos[Rank],MATCH(BD28,T_Equipos[NombreEquipo],0)),$BC$6:$BC$53,INDEX(T_Equipos[Grupo],MATCH(BD28,T_Equipos[NombreEquipo],0)))+1)</f>
        <v>3</v>
      </c>
      <c r="DD28" s="754">
        <f ca="1">DA28+COUNTIFS($DB$6:$DB$53,DB28,$DC$6:DC$53,"&lt;"&amp;DC28,$BC$6:$BC$53,INDEX(T_Equipos[Grupo],MATCH(BD28,T_Equipos[NombreEquipo],0)))</f>
        <v>3</v>
      </c>
      <c r="DE28" s="754"/>
      <c r="DF28" s="754">
        <f t="shared" ca="1" si="52"/>
        <v>3</v>
      </c>
      <c r="DG28" s="754">
        <f ca="1">IF(DB28="-","-",COUNTIFS(DF$6:DF$53,"&lt;"&amp;DF28,$BC$6:$BC$53,INDEX(T_Equipos[Grupo],MATCH(BD28,T_Equipos[NombreEquipo],0))))</f>
        <v>2</v>
      </c>
      <c r="DH28" s="754">
        <f ca="1">DA28+COUNTIFS(DB$6:DB$53,DB28,DG$6:DG$53,"&lt;"&amp;DG28,$BC$6:$BC$53,INDEX(T_Equipos[Grupo],MATCH(BD28,T_Equipos[NombreEquipo],0)))</f>
        <v>3</v>
      </c>
      <c r="DI28" s="742"/>
      <c r="DJ28" s="742">
        <f t="shared" ca="1" si="53"/>
        <v>1</v>
      </c>
      <c r="DK28" s="742">
        <f t="shared" ca="1" si="24"/>
        <v>0</v>
      </c>
      <c r="DL28" s="742">
        <f t="shared" ca="1" si="33"/>
        <v>1</v>
      </c>
      <c r="DM28" s="736" t="str">
        <f t="shared" ca="1" si="34"/>
        <v>1.1</v>
      </c>
      <c r="DN28" s="742" cm="1">
        <f t="array" aca="1" ref="DN28" ca="1">OFFSET(Horarios!$P$3,DJ28-1,0,DL28,1)</f>
        <v>1</v>
      </c>
      <c r="DO28" s="742"/>
      <c r="DP28" s="742" t="s">
        <v>94</v>
      </c>
      <c r="DQ28" s="742" t="str">
        <f t="shared" ca="1" si="35"/>
        <v>Suecia</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Pendiente</v>
      </c>
      <c r="E29" s="742" t="str">
        <f t="shared" si="95"/>
        <v>-</v>
      </c>
      <c r="F29" s="742" t="str">
        <f t="shared" si="96"/>
        <v>-</v>
      </c>
      <c r="G29" s="742"/>
      <c r="H29" s="742" t="str">
        <f t="shared" si="97"/>
        <v>-</v>
      </c>
      <c r="I29" s="742" t="str">
        <f t="shared" si="98"/>
        <v>-</v>
      </c>
      <c r="J29" s="742"/>
      <c r="K29" s="742" t="str">
        <f t="shared" si="99"/>
        <v>-</v>
      </c>
      <c r="L29" s="742" t="str">
        <f t="shared" si="100"/>
        <v>-</v>
      </c>
      <c r="M29" s="742"/>
      <c r="N29" s="742" t="str">
        <f t="shared" si="101"/>
        <v>-</v>
      </c>
      <c r="O29" s="742" t="str">
        <f t="shared" si="102"/>
        <v>-</v>
      </c>
      <c r="P29" s="742"/>
      <c r="Q29" s="742" t="str">
        <f t="shared" si="103"/>
        <v>-</v>
      </c>
      <c r="R29" s="742" t="str">
        <f t="shared" si="104"/>
        <v>-</v>
      </c>
      <c r="S29" s="742"/>
      <c r="T29" s="742" t="str">
        <f t="shared" si="105"/>
        <v>-</v>
      </c>
      <c r="U29" s="742" t="str">
        <f t="shared" si="106"/>
        <v>-</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0</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0</v>
      </c>
      <c r="BG29" s="746">
        <f t="shared" ca="1" si="17"/>
        <v>0</v>
      </c>
      <c r="BH29" s="746">
        <f t="shared" ca="1" si="18"/>
        <v>0</v>
      </c>
      <c r="BI29" s="746">
        <f t="shared" ca="1" si="19"/>
        <v>0</v>
      </c>
      <c r="BJ29" s="746">
        <f t="shared" ca="1" si="20"/>
        <v>0</v>
      </c>
      <c r="BK29" s="746">
        <f t="shared" ca="1" si="21"/>
        <v>0</v>
      </c>
      <c r="BL29" s="746">
        <f t="shared" ca="1" si="27"/>
        <v>0</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1</v>
      </c>
      <c r="BT29" s="755" t="str">
        <f ca="1">IF(COUNTIFS($BS$6:$BS$53,BS29,$BC$6:$BC$53,INDEX(T_Equipos[Grupo],MATCH(BD29,T_Equipos[NombreEquipo],0)))=1,"-","P."&amp;BS29&amp;" ("&amp;COUNTIFS($BS$6:$BS$53,BS29,$BC$6:$BC$53,INDEX(T_Equipos[Grupo],MATCH(BD29,T_Equipos[NombreEquipo],0)))&amp;")")</f>
        <v>P.1 (4)</v>
      </c>
      <c r="BU29" s="756">
        <f t="shared" ca="1" si="36"/>
        <v>0</v>
      </c>
      <c r="BV29" s="756">
        <f t="shared" ca="1" si="37"/>
        <v>0</v>
      </c>
      <c r="BW29" s="756">
        <f t="shared" ca="1" si="38"/>
        <v>0</v>
      </c>
      <c r="BX29" s="756">
        <f t="shared" ca="1" si="39"/>
        <v>0</v>
      </c>
      <c r="BY29" s="756">
        <f ca="1">BS29+COUNTIFS($BT$6:$BT$53,BT29,$BX$6:BX$53,"&gt;"&amp;BX29,$BC$6:$BC$53,INDEX(T_Equipos[Grupo],MATCH(BD29,T_Equipos[NombreEquipo],0)))</f>
        <v>1</v>
      </c>
      <c r="BZ29" s="755" t="str">
        <f ca="1">IF(COUNTIFS($BY$6:$BY$53,BY29,$BC$6:$BC$53,INDEX(T_Equipos[Grupo],MATCH(BD29,T_Equipos[NombreEquipo],0)))=1,"-","P."&amp;BY29&amp;" ("&amp;COUNTIFS($BY$6:$BY$53,BY29,$BC$6:$BC$53,INDEX(T_Equipos[Grupo],MATCH(BD29,T_Equipos[NombreEquipo],0)))&amp;")")</f>
        <v>P.1 (4)</v>
      </c>
      <c r="CA29" s="756">
        <f t="shared" ca="1" si="40"/>
        <v>0</v>
      </c>
      <c r="CB29" s="756">
        <f t="shared" ca="1" si="41"/>
        <v>0</v>
      </c>
      <c r="CC29" s="756">
        <f t="shared" ca="1" si="42"/>
        <v>0</v>
      </c>
      <c r="CD29" s="756">
        <f ca="1">BY29+COUNTIFS($BZ$6:$BZ$53,BZ29,$CC$6:CC$53,"&gt;"&amp;CC29,$BC$6:$BC$53,INDEX(T_Equipos[Grupo],MATCH(BD29,T_Equipos[NombreEquipo],0)))</f>
        <v>1</v>
      </c>
      <c r="CE29" s="755" t="str">
        <f ca="1">IF(COUNTIFS($CD$6:$CD$53,CD29,$BC$6:$BC$53,INDEX(T_Equipos[Grupo],MATCH(BD29,T_Equipos[NombreEquipo],0)))=1,"-","P."&amp;CD29&amp;" ("&amp;COUNTIFS($CD$6:$CD$53,CD29,$BC$6:$BC$53,INDEX(T_Equipos[Grupo],MATCH(BD29,T_Equipos[NombreEquipo],0)))&amp;")")</f>
        <v>P.1 (4)</v>
      </c>
      <c r="CF29" s="756">
        <f t="shared" ca="1" si="43"/>
        <v>0</v>
      </c>
      <c r="CG29" s="756">
        <f ca="1">CD29+COUNTIFS($CE$6:$CE$53,CE29,$CF$6:CF$53,"&gt;"&amp;CF29,$BC$6:$BC$53,INDEX(T_Equipos[Grupo],MATCH(BD29,T_Equipos[NombreEquipo],0)))</f>
        <v>1</v>
      </c>
      <c r="CH29" s="755" t="str">
        <f ca="1">IF(COUNTIFS($CG$6:$CG$53,CG29,$BC$6:$BC$53,INDEX(T_Equipos[Grupo],MATCH(BD29,T_Equipos[NombreEquipo],0)))=1,"-","P."&amp;CG29&amp;" ("&amp;COUNTIFS($CG$6:$CG$53,CG29,$BC$6:$BC$53,INDEX(T_Equipos[Grupo],MATCH(BD29,T_Equipos[NombreEquipo],0)))&amp;")")</f>
        <v>P.1 (4)</v>
      </c>
      <c r="CI29" s="756">
        <f t="shared" ca="1" si="44"/>
        <v>0</v>
      </c>
      <c r="CJ29" s="756">
        <f t="shared" ca="1" si="45"/>
        <v>0</v>
      </c>
      <c r="CK29" s="756">
        <f t="shared" ca="1" si="46"/>
        <v>0</v>
      </c>
      <c r="CL29" s="756">
        <f t="shared" ca="1" si="47"/>
        <v>0</v>
      </c>
      <c r="CM29" s="756">
        <f ca="1">CG29+COUNTIFS($CH$6:$CH$53,CH29,$CL$6:CL$53,"&gt;"&amp;CL29,$BC$6:$BC$53,INDEX(T_Equipos[Grupo],MATCH(BD29,T_Equipos[NombreEquipo],0)))</f>
        <v>1</v>
      </c>
      <c r="CN29" s="755" t="str">
        <f ca="1">IF(COUNTIFS($CM$6:$CM$53,CM29,$BC$6:$BC$53,INDEX(T_Equipos[Grupo],MATCH(BD29,T_Equipos[NombreEquipo],0)))=1,"-","P."&amp;CM29&amp;" ("&amp;COUNTIFS($CM$6:$CM$53,CM29,$BC$6:$BC$53,INDEX(T_Equipos[Grupo],MATCH(BD29,T_Equipos[NombreEquipo],0)))&amp;")")</f>
        <v>P.1 (4)</v>
      </c>
      <c r="CO29" s="756">
        <f t="shared" ca="1" si="48"/>
        <v>0</v>
      </c>
      <c r="CP29" s="756">
        <f t="shared" ca="1" si="49"/>
        <v>0</v>
      </c>
      <c r="CQ29" s="756">
        <f t="shared" ca="1" si="50"/>
        <v>0</v>
      </c>
      <c r="CR29" s="756">
        <f ca="1">CM29+COUNTIFS($CN$6:$CN$53,CN29,$CQ$6:CQ$53,"&gt;"&amp;CQ29,$BC$6:$BC$53,INDEX(T_Equipos[Grupo],MATCH(BD29,T_Equipos[NombreEquipo],0)))</f>
        <v>1</v>
      </c>
      <c r="CS29" s="755" t="str">
        <f ca="1">IF(COUNTIFS($CR$6:$CR$53,CR29,$BC$6:$BC$53,INDEX(T_Equipos[Grupo],MATCH(BD29,T_Equipos[NombreEquipo],0)))=1,"-","P."&amp;CR29&amp;" ("&amp;COUNTIFS($CR$6:$CR$53,CR29,$BC$6:$BC$53,INDEX(T_Equipos[Grupo],MATCH(BD29,T_Equipos[NombreEquipo],0)))&amp;")")</f>
        <v>P.1 (4)</v>
      </c>
      <c r="CT29" s="756">
        <f t="shared" ca="1" si="51"/>
        <v>0</v>
      </c>
      <c r="CU29" s="756">
        <f ca="1">CR29+COUNTIFS($CS$6:$CS$53,CS29,$CT$6:CT$53,"&gt;"&amp;CT29,$BC$6:$BC$53,INDEX(T_Equipos[Grupo],MATCH(BD29,T_Equipos[NombreEquipo],0)))</f>
        <v>1</v>
      </c>
      <c r="CV29" s="755" t="str">
        <f ca="1">IF(COUNTIFS($CU$6:$CU$53,CU29,$BC$6:$BC$53,INDEX(T_Equipos[Grupo],MATCH(BD29,T_Equipos[NombreEquipo],0)))=1,"-","P."&amp;CU29&amp;" ("&amp;COUNTIFS($CU$6:$CU$53,CU29,$BC$6:$BC$53,INDEX(T_Equipos[Grupo],MATCH(BD29,T_Equipos[NombreEquipo],0)))&amp;")")</f>
        <v>P.1 (4)</v>
      </c>
      <c r="CW29" s="755">
        <f t="shared" ca="1" si="30"/>
        <v>0</v>
      </c>
      <c r="CX29" s="755">
        <f ca="1">CU29+COUNTIFS($CV$6:$CV$53,CV29,$CW$6:CW$53,"&gt;"&amp;CW29,$BC$6:$BC$53,INDEX(T_Equipos[Grupo],MATCH(BD29,T_Equipos[NombreEquipo],0)))</f>
        <v>1</v>
      </c>
      <c r="CY29" s="755" t="str">
        <f ca="1">IF(COUNTIFS($CX$6:$CX$53,CX29,$BC$6:$BC$53,INDEX(T_Equipos[Grupo],MATCH(BD29,T_Equipos[NombreEquipo],0)))=1,"-","P."&amp;CX29&amp;" ("&amp;COUNTIFS($CX$6:$CX$53,CX29,$BC$6:$BC$53,INDEX(T_Equipos[Grupo],MATCH(BD29,T_Equipos[NombreEquipo],0)))&amp;")")</f>
        <v>P.1 (4)</v>
      </c>
      <c r="CZ29" s="755">
        <f t="shared" ca="1" si="31"/>
        <v>0</v>
      </c>
      <c r="DA29" s="756">
        <f ca="1">CX29+COUNTIFS($CY$6:$CY$53,CY29,$CZ$6:CZ$53,"&gt;"&amp;CZ29,$BC$6:$BC$53,INDEX(T_Equipos[Grupo],MATCH(BD29,T_Equipos[NombreEquipo],0)))</f>
        <v>1</v>
      </c>
      <c r="DB29" s="755" t="str">
        <f ca="1">IF(COUNTIFS($DA$6:$DA$53,DA29,$BC$6:$BC$53,INDEX(T_Equipos[Grupo],MATCH(BD29,T_Equipos[NombreEquipo],0)))=1,"-","P."&amp;DA29&amp;" ("&amp;COUNTIFS($DA$6:$DA$53,DA29,$BC$6:$BC$53,INDEX(T_Equipos[Grupo],MATCH(BD29,T_Equipos[NombreEquipo],0)))&amp;")")</f>
        <v>P.1 (4)</v>
      </c>
      <c r="DC29" s="754">
        <f ca="1">IF(DB29="-","-",COUNTIFS(T_Equipos[Rank],"&lt;"&amp;INDEX(T_Equipos[Rank],MATCH(BD29,T_Equipos[NombreEquipo],0)),$BC$6:$BC$53,INDEX(T_Equipos[Grupo],MATCH(BD29,T_Equipos[NombreEquipo],0)))+1)</f>
        <v>4</v>
      </c>
      <c r="DD29" s="754">
        <f ca="1">DA29+COUNTIFS($DB$6:$DB$53,DB29,$DC$6:DC$53,"&lt;"&amp;DC29,$BC$6:$BC$53,INDEX(T_Equipos[Grupo],MATCH(BD29,T_Equipos[NombreEquipo],0)))</f>
        <v>4</v>
      </c>
      <c r="DE29" s="754"/>
      <c r="DF29" s="754">
        <f t="shared" ca="1" si="52"/>
        <v>4</v>
      </c>
      <c r="DG29" s="754">
        <f ca="1">IF(DB29="-","-",COUNTIFS(DF$6:DF$53,"&lt;"&amp;DF29,$BC$6:$BC$53,INDEX(T_Equipos[Grupo],MATCH(BD29,T_Equipos[NombreEquipo],0))))</f>
        <v>3</v>
      </c>
      <c r="DH29" s="754">
        <f ca="1">DA29+COUNTIFS(DB$6:DB$53,DB29,DG$6:DG$53,"&lt;"&amp;DG29,$BC$6:$BC$53,INDEX(T_Equipos[Grupo],MATCH(BD29,T_Equipos[NombreEquipo],0)))</f>
        <v>4</v>
      </c>
      <c r="DI29" s="742"/>
      <c r="DJ29" s="742">
        <f t="shared" ca="1" si="53"/>
        <v>1</v>
      </c>
      <c r="DK29" s="742">
        <f t="shared" ca="1" si="24"/>
        <v>0</v>
      </c>
      <c r="DL29" s="742">
        <f t="shared" ca="1" si="33"/>
        <v>1</v>
      </c>
      <c r="DM29" s="736" t="str">
        <f t="shared" ca="1" si="34"/>
        <v>1.1</v>
      </c>
      <c r="DN29" s="742" cm="1">
        <f t="array" aca="1" ref="DN29" ca="1">OFFSET(Horarios!$P$3,DJ29-1,0,DL29,1)</f>
        <v>1</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c r="AD30" s="194"/>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0</v>
      </c>
      <c r="AN30" s="214">
        <f t="shared" ca="1" si="111"/>
        <v>0</v>
      </c>
      <c r="AO30" s="214">
        <f t="shared" ca="1" si="111"/>
        <v>0</v>
      </c>
      <c r="AP30" s="214">
        <f t="shared" ca="1" si="111"/>
        <v>0</v>
      </c>
      <c r="AQ30" s="214">
        <f t="shared" ca="1" si="111"/>
        <v>0</v>
      </c>
      <c r="AR30" s="214">
        <f t="shared" ca="1" si="111"/>
        <v>0</v>
      </c>
      <c r="AS30" s="214">
        <f t="shared" ca="1" si="111"/>
        <v>0</v>
      </c>
      <c r="AT30" s="215">
        <f t="shared" ca="1" si="111"/>
        <v>0</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0</v>
      </c>
      <c r="BF30" s="746">
        <f t="shared" ca="1" si="26"/>
        <v>0</v>
      </c>
      <c r="BG30" s="746">
        <f t="shared" ca="1" si="17"/>
        <v>0</v>
      </c>
      <c r="BH30" s="746">
        <f t="shared" ca="1" si="18"/>
        <v>0</v>
      </c>
      <c r="BI30" s="746">
        <f t="shared" ca="1" si="19"/>
        <v>0</v>
      </c>
      <c r="BJ30" s="746">
        <f t="shared" ca="1" si="20"/>
        <v>0</v>
      </c>
      <c r="BK30" s="746">
        <f t="shared" ca="1" si="21"/>
        <v>0</v>
      </c>
      <c r="BL30" s="746">
        <f t="shared" ca="1" si="27"/>
        <v>0</v>
      </c>
      <c r="BM30" s="746" t="str">
        <f t="shared" ca="1" si="22"/>
        <v>1G</v>
      </c>
      <c r="BN30" s="746" t="str">
        <f t="shared" ca="1" si="23"/>
        <v>1G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0</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0</v>
      </c>
      <c r="BW30" s="756">
        <f t="shared" ca="1" si="38"/>
        <v>0</v>
      </c>
      <c r="BX30" s="756">
        <f t="shared" ca="1" si="39"/>
        <v>0</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0</v>
      </c>
      <c r="CB30" s="756">
        <f t="shared" ca="1" si="41"/>
        <v>0</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0</v>
      </c>
      <c r="CG30" s="756">
        <f ca="1">CD30+COUNTIFS($CE$6:$CE$53,CE30,$CF$6:CF$53,"&gt;"&amp;CF30,$BC$6:$BC$53,INDEX(T_Equipos[Grupo],MATCH(BD30,T_Equipos[NombreEquipo],0)))</f>
        <v>1</v>
      </c>
      <c r="CH30" s="755" t="str">
        <f ca="1">IF(COUNTIFS($CG$6:$CG$53,CG30,$BC$6:$BC$53,INDEX(T_Equipos[Grupo],MATCH(BD30,T_Equipos[NombreEquipo],0)))=1,"-","P."&amp;CG30&amp;" ("&amp;COUNTIFS($CG$6:$CG$53,CG30,$BC$6:$BC$53,INDEX(T_Equipos[Grupo],MATCH(BD30,T_Equipos[NombreEquipo],0)))&amp;")")</f>
        <v>P.1 (4)</v>
      </c>
      <c r="CI30" s="756">
        <f t="shared" ca="1" si="44"/>
        <v>0</v>
      </c>
      <c r="CJ30" s="756">
        <f t="shared" ca="1" si="45"/>
        <v>0</v>
      </c>
      <c r="CK30" s="756">
        <f t="shared" ca="1" si="46"/>
        <v>0</v>
      </c>
      <c r="CL30" s="756">
        <f t="shared" ca="1" si="47"/>
        <v>0</v>
      </c>
      <c r="CM30" s="756">
        <f ca="1">CG30+COUNTIFS($CH$6:$CH$53,CH30,$CL$6:CL$53,"&gt;"&amp;CL30,$BC$6:$BC$53,INDEX(T_Equipos[Grupo],MATCH(BD30,T_Equipos[NombreEquipo],0)))</f>
        <v>1</v>
      </c>
      <c r="CN30" s="755" t="str">
        <f ca="1">IF(COUNTIFS($CM$6:$CM$53,CM30,$BC$6:$BC$53,INDEX(T_Equipos[Grupo],MATCH(BD30,T_Equipos[NombreEquipo],0)))=1,"-","P."&amp;CM30&amp;" ("&amp;COUNTIFS($CM$6:$CM$53,CM30,$BC$6:$BC$53,INDEX(T_Equipos[Grupo],MATCH(BD30,T_Equipos[NombreEquipo],0)))&amp;")")</f>
        <v>P.1 (4)</v>
      </c>
      <c r="CO30" s="756">
        <f t="shared" ca="1" si="48"/>
        <v>0</v>
      </c>
      <c r="CP30" s="756">
        <f t="shared" ca="1" si="49"/>
        <v>0</v>
      </c>
      <c r="CQ30" s="756">
        <f t="shared" ca="1" si="50"/>
        <v>0</v>
      </c>
      <c r="CR30" s="756">
        <f ca="1">CM30+COUNTIFS($CN$6:$CN$53,CN30,$CQ$6:CQ$53,"&gt;"&amp;CQ30,$BC$6:$BC$53,INDEX(T_Equipos[Grupo],MATCH(BD30,T_Equipos[NombreEquipo],0)))</f>
        <v>1</v>
      </c>
      <c r="CS30" s="755" t="str">
        <f ca="1">IF(COUNTIFS($CR$6:$CR$53,CR30,$BC$6:$BC$53,INDEX(T_Equipos[Grupo],MATCH(BD30,T_Equipos[NombreEquipo],0)))=1,"-","P."&amp;CR30&amp;" ("&amp;COUNTIFS($CR$6:$CR$53,CR30,$BC$6:$BC$53,INDEX(T_Equipos[Grupo],MATCH(BD30,T_Equipos[NombreEquipo],0)))&amp;")")</f>
        <v>P.1 (4)</v>
      </c>
      <c r="CT30" s="756">
        <f t="shared" ca="1" si="51"/>
        <v>0</v>
      </c>
      <c r="CU30" s="756">
        <f ca="1">CR30+COUNTIFS($CS$6:$CS$53,CS30,$CT$6:CT$53,"&gt;"&amp;CT30,$BC$6:$BC$53,INDEX(T_Equipos[Grupo],MATCH(BD30,T_Equipos[NombreEquipo],0)))</f>
        <v>1</v>
      </c>
      <c r="CV30" s="755" t="str">
        <f ca="1">IF(COUNTIFS($CU$6:$CU$53,CU30,$BC$6:$BC$53,INDEX(T_Equipos[Grupo],MATCH(BD30,T_Equipos[NombreEquipo],0)))=1,"-","P."&amp;CU30&amp;" ("&amp;COUNTIFS($CU$6:$CU$53,CU30,$BC$6:$BC$53,INDEX(T_Equipos[Grupo],MATCH(BD30,T_Equipos[NombreEquipo],0)))&amp;")")</f>
        <v>P.1 (4)</v>
      </c>
      <c r="CW30" s="755">
        <f t="shared" ca="1" si="30"/>
        <v>0</v>
      </c>
      <c r="CX30" s="755">
        <f ca="1">CU30+COUNTIFS($CV$6:$CV$53,CV30,$CW$6:CW$53,"&gt;"&amp;CW30,$BC$6:$BC$53,INDEX(T_Equipos[Grupo],MATCH(BD30,T_Equipos[NombreEquipo],0)))</f>
        <v>1</v>
      </c>
      <c r="CY30" s="755" t="str">
        <f ca="1">IF(COUNTIFS($CX$6:$CX$53,CX30,$BC$6:$BC$53,INDEX(T_Equipos[Grupo],MATCH(BD30,T_Equipos[NombreEquipo],0)))=1,"-","P."&amp;CX30&amp;" ("&amp;COUNTIFS($CX$6:$CX$53,CX30,$BC$6:$BC$53,INDEX(T_Equipos[Grupo],MATCH(BD30,T_Equipos[NombreEquipo],0)))&amp;")")</f>
        <v>P.1 (4)</v>
      </c>
      <c r="CZ30" s="755">
        <f t="shared" ca="1" si="31"/>
        <v>0</v>
      </c>
      <c r="DA30" s="756">
        <f ca="1">CX30+COUNTIFS($CY$6:$CY$53,CY30,$CZ$6:CZ$53,"&gt;"&amp;CZ30,$BC$6:$BC$53,INDEX(T_Equipos[Grupo],MATCH(BD30,T_Equipos[NombreEquipo],0)))</f>
        <v>1</v>
      </c>
      <c r="DB30" s="755" t="str">
        <f ca="1">IF(COUNTIFS($DA$6:$DA$53,DA30,$BC$6:$BC$53,INDEX(T_Equipos[Grupo],MATCH(BD30,T_Equipos[NombreEquipo],0)))=1,"-","P."&amp;DA30&amp;" ("&amp;COUNTIFS($DA$6:$DA$53,DA30,$BC$6:$BC$53,INDEX(T_Equipos[Grupo],MATCH(BD30,T_Equipos[NombreEquipo],0)))&amp;")")</f>
        <v>P.1 (4)</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1</v>
      </c>
      <c r="DE30" s="754"/>
      <c r="DF30" s="754">
        <f t="shared" ca="1" si="52"/>
        <v>1</v>
      </c>
      <c r="DG30" s="754">
        <f ca="1">IF(DB30="-","-",COUNTIFS(DF$6:DF$53,"&lt;"&amp;DF30,$BC$6:$BC$53,INDEX(T_Equipos[Grupo],MATCH(BD30,T_Equipos[NombreEquipo],0))))</f>
        <v>0</v>
      </c>
      <c r="DH30" s="754">
        <f ca="1">DA30+COUNTIFS(DB$6:DB$53,DB30,DG$6:DG$53,"&lt;"&amp;DG30,$BC$6:$BC$53,INDEX(T_Equipos[Grupo],MATCH(BD30,T_Equipos[NombreEquipo],0)))</f>
        <v>1</v>
      </c>
      <c r="DI30" s="742"/>
      <c r="DJ30" s="742">
        <f t="shared" ca="1" si="53"/>
        <v>1</v>
      </c>
      <c r="DK30" s="742">
        <f t="shared" ca="1" si="24"/>
        <v>0</v>
      </c>
      <c r="DL30" s="742">
        <f t="shared" ca="1" si="33"/>
        <v>1</v>
      </c>
      <c r="DM30" s="736" t="str">
        <f t="shared" ca="1" si="34"/>
        <v>1.1</v>
      </c>
      <c r="DN30" s="742" cm="1">
        <f t="array" aca="1" ref="DN30" ca="1">OFFSET(Horarios!$P$3,DJ30-1,0,DL30,1)</f>
        <v>1</v>
      </c>
      <c r="DO30" s="742"/>
      <c r="DP30" s="742" t="s">
        <v>667</v>
      </c>
      <c r="DQ30" s="742" t="str">
        <f t="shared" ca="1" si="35"/>
        <v>Bélgica</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c r="AD31" s="194"/>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Paraguay</v>
      </c>
      <c r="AM31" s="223">
        <f t="shared" ca="1" si="111"/>
        <v>0</v>
      </c>
      <c r="AN31" s="224">
        <f t="shared" ca="1" si="111"/>
        <v>0</v>
      </c>
      <c r="AO31" s="224">
        <f t="shared" ca="1" si="111"/>
        <v>0</v>
      </c>
      <c r="AP31" s="224">
        <f t="shared" ca="1" si="111"/>
        <v>0</v>
      </c>
      <c r="AQ31" s="224">
        <f t="shared" ca="1" si="111"/>
        <v>0</v>
      </c>
      <c r="AR31" s="224">
        <f t="shared" ca="1" si="111"/>
        <v>0</v>
      </c>
      <c r="AS31" s="224">
        <f t="shared" ca="1" si="111"/>
        <v>0</v>
      </c>
      <c r="AT31" s="225">
        <f t="shared" ca="1" si="111"/>
        <v>0</v>
      </c>
      <c r="AU31" s="420">
        <f ca="1">INDEX($DL$6:$DL$53,MATCH(AI31,$DP$6:$DP$53,0))</f>
        <v>1</v>
      </c>
      <c r="AV31" s="217" t="str">
        <f ca="1">INDEX($BD$6:$BD$53,MATCH(AI31,$BM$6:$BM$53,0))</f>
        <v>Paraguay</v>
      </c>
      <c r="AW31" s="427"/>
      <c r="AX31" s="218"/>
      <c r="AY31" s="226" t="str">
        <f ca="1">+A30</f>
        <v>Paraguay</v>
      </c>
      <c r="AZ31" s="227"/>
      <c r="BA31" s="175"/>
      <c r="BB31" s="742"/>
      <c r="BC31" s="754" t="str">
        <f ca="1">+INDEX(T_Equipos[Grupo],MATCH(WORLDCUP!BD31,T_Equipos[NombreEquipo],0))</f>
        <v>G</v>
      </c>
      <c r="BD31" s="742" t="str">
        <f ca="1">+Equipos!B27</f>
        <v>Egipto</v>
      </c>
      <c r="BE31" s="746">
        <f t="shared" ca="1" si="25"/>
        <v>0</v>
      </c>
      <c r="BF31" s="746">
        <f t="shared" ca="1" si="26"/>
        <v>0</v>
      </c>
      <c r="BG31" s="746">
        <f t="shared" ca="1" si="17"/>
        <v>0</v>
      </c>
      <c r="BH31" s="746">
        <f t="shared" ca="1" si="18"/>
        <v>0</v>
      </c>
      <c r="BI31" s="746">
        <f t="shared" ca="1" si="19"/>
        <v>0</v>
      </c>
      <c r="BJ31" s="746">
        <f t="shared" ca="1" si="20"/>
        <v>0</v>
      </c>
      <c r="BK31" s="746">
        <f t="shared" ca="1" si="21"/>
        <v>0</v>
      </c>
      <c r="BL31" s="746">
        <f t="shared" ca="1" si="27"/>
        <v>0</v>
      </c>
      <c r="BM31" s="746" t="str">
        <f t="shared" ca="1" si="22"/>
        <v>2G</v>
      </c>
      <c r="BN31" s="746" t="str">
        <f t="shared" ca="1" si="23"/>
        <v>2G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0</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0</v>
      </c>
      <c r="BW31" s="756">
        <f t="shared" ca="1" si="38"/>
        <v>0</v>
      </c>
      <c r="BX31" s="756">
        <f t="shared" ca="1" si="39"/>
        <v>0</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0</v>
      </c>
      <c r="CB31" s="756">
        <f t="shared" ca="1" si="41"/>
        <v>0</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0</v>
      </c>
      <c r="CG31" s="756">
        <f ca="1">CD31+COUNTIFS($CE$6:$CE$53,CE31,$CF$6:CF$53,"&gt;"&amp;CF31,$BC$6:$BC$53,INDEX(T_Equipos[Grupo],MATCH(BD31,T_Equipos[NombreEquipo],0)))</f>
        <v>1</v>
      </c>
      <c r="CH31" s="755" t="str">
        <f ca="1">IF(COUNTIFS($CG$6:$CG$53,CG31,$BC$6:$BC$53,INDEX(T_Equipos[Grupo],MATCH(BD31,T_Equipos[NombreEquipo],0)))=1,"-","P."&amp;CG31&amp;" ("&amp;COUNTIFS($CG$6:$CG$53,CG31,$BC$6:$BC$53,INDEX(T_Equipos[Grupo],MATCH(BD31,T_Equipos[NombreEquipo],0)))&amp;")")</f>
        <v>P.1 (4)</v>
      </c>
      <c r="CI31" s="756">
        <f t="shared" ca="1" si="44"/>
        <v>0</v>
      </c>
      <c r="CJ31" s="756">
        <f t="shared" ca="1" si="45"/>
        <v>0</v>
      </c>
      <c r="CK31" s="756">
        <f t="shared" ca="1" si="46"/>
        <v>0</v>
      </c>
      <c r="CL31" s="756">
        <f t="shared" ca="1" si="47"/>
        <v>0</v>
      </c>
      <c r="CM31" s="756">
        <f ca="1">CG31+COUNTIFS($CH$6:$CH$53,CH31,$CL$6:CL$53,"&gt;"&amp;CL31,$BC$6:$BC$53,INDEX(T_Equipos[Grupo],MATCH(BD31,T_Equipos[NombreEquipo],0)))</f>
        <v>1</v>
      </c>
      <c r="CN31" s="755" t="str">
        <f ca="1">IF(COUNTIFS($CM$6:$CM$53,CM31,$BC$6:$BC$53,INDEX(T_Equipos[Grupo],MATCH(BD31,T_Equipos[NombreEquipo],0)))=1,"-","P."&amp;CM31&amp;" ("&amp;COUNTIFS($CM$6:$CM$53,CM31,$BC$6:$BC$53,INDEX(T_Equipos[Grupo],MATCH(BD31,T_Equipos[NombreEquipo],0)))&amp;")")</f>
        <v>P.1 (4)</v>
      </c>
      <c r="CO31" s="756">
        <f t="shared" ca="1" si="48"/>
        <v>0</v>
      </c>
      <c r="CP31" s="756">
        <f t="shared" ca="1" si="49"/>
        <v>0</v>
      </c>
      <c r="CQ31" s="756">
        <f t="shared" ca="1" si="50"/>
        <v>0</v>
      </c>
      <c r="CR31" s="756">
        <f ca="1">CM31+COUNTIFS($CN$6:$CN$53,CN31,$CQ$6:CQ$53,"&gt;"&amp;CQ31,$BC$6:$BC$53,INDEX(T_Equipos[Grupo],MATCH(BD31,T_Equipos[NombreEquipo],0)))</f>
        <v>1</v>
      </c>
      <c r="CS31" s="755" t="str">
        <f ca="1">IF(COUNTIFS($CR$6:$CR$53,CR31,$BC$6:$BC$53,INDEX(T_Equipos[Grupo],MATCH(BD31,T_Equipos[NombreEquipo],0)))=1,"-","P."&amp;CR31&amp;" ("&amp;COUNTIFS($CR$6:$CR$53,CR31,$BC$6:$BC$53,INDEX(T_Equipos[Grupo],MATCH(BD31,T_Equipos[NombreEquipo],0)))&amp;")")</f>
        <v>P.1 (4)</v>
      </c>
      <c r="CT31" s="756">
        <f t="shared" ca="1" si="51"/>
        <v>0</v>
      </c>
      <c r="CU31" s="756">
        <f ca="1">CR31+COUNTIFS($CS$6:$CS$53,CS31,$CT$6:CT$53,"&gt;"&amp;CT31,$BC$6:$BC$53,INDEX(T_Equipos[Grupo],MATCH(BD31,T_Equipos[NombreEquipo],0)))</f>
        <v>1</v>
      </c>
      <c r="CV31" s="755" t="str">
        <f ca="1">IF(COUNTIFS($CU$6:$CU$53,CU31,$BC$6:$BC$53,INDEX(T_Equipos[Grupo],MATCH(BD31,T_Equipos[NombreEquipo],0)))=1,"-","P."&amp;CU31&amp;" ("&amp;COUNTIFS($CU$6:$CU$53,CU31,$BC$6:$BC$53,INDEX(T_Equipos[Grupo],MATCH(BD31,T_Equipos[NombreEquipo],0)))&amp;")")</f>
        <v>P.1 (4)</v>
      </c>
      <c r="CW31" s="755">
        <f t="shared" ca="1" si="30"/>
        <v>0</v>
      </c>
      <c r="CX31" s="755">
        <f ca="1">CU31+COUNTIFS($CV$6:$CV$53,CV31,$CW$6:CW$53,"&gt;"&amp;CW31,$BC$6:$BC$53,INDEX(T_Equipos[Grupo],MATCH(BD31,T_Equipos[NombreEquipo],0)))</f>
        <v>1</v>
      </c>
      <c r="CY31" s="755" t="str">
        <f ca="1">IF(COUNTIFS($CX$6:$CX$53,CX31,$BC$6:$BC$53,INDEX(T_Equipos[Grupo],MATCH(BD31,T_Equipos[NombreEquipo],0)))=1,"-","P."&amp;CX31&amp;" ("&amp;COUNTIFS($CX$6:$CX$53,CX31,$BC$6:$BC$53,INDEX(T_Equipos[Grupo],MATCH(BD31,T_Equipos[NombreEquipo],0)))&amp;")")</f>
        <v>P.1 (4)</v>
      </c>
      <c r="CZ31" s="755">
        <f t="shared" ca="1" si="31"/>
        <v>0</v>
      </c>
      <c r="DA31" s="756">
        <f ca="1">CX31+COUNTIFS($CY$6:$CY$53,CY31,$CZ$6:CZ$53,"&gt;"&amp;CZ31,$BC$6:$BC$53,INDEX(T_Equipos[Grupo],MATCH(BD31,T_Equipos[NombreEquipo],0)))</f>
        <v>1</v>
      </c>
      <c r="DB31" s="755" t="str">
        <f ca="1">IF(COUNTIFS($DA$6:$DA$53,DA31,$BC$6:$BC$53,INDEX(T_Equipos[Grupo],MATCH(BD31,T_Equipos[NombreEquipo],0)))=1,"-","P."&amp;DA31&amp;" ("&amp;COUNTIFS($DA$6:$DA$53,DA31,$BC$6:$BC$53,INDEX(T_Equipos[Grupo],MATCH(BD31,T_Equipos[NombreEquipo],0)))&amp;")")</f>
        <v>P.1 (4)</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2</v>
      </c>
      <c r="DE31" s="754"/>
      <c r="DF31" s="754">
        <f t="shared" ca="1" si="52"/>
        <v>2</v>
      </c>
      <c r="DG31" s="754">
        <f ca="1">IF(DB31="-","-",COUNTIFS(DF$6:DF$53,"&lt;"&amp;DF31,$BC$6:$BC$53,INDEX(T_Equipos[Grupo],MATCH(BD31,T_Equipos[NombreEquipo],0))))</f>
        <v>1</v>
      </c>
      <c r="DH31" s="754">
        <f ca="1">DA31+COUNTIFS(DB$6:DB$53,DB31,DG$6:DG$53,"&lt;"&amp;DG31,$BC$6:$BC$53,INDEX(T_Equipos[Grupo],MATCH(BD31,T_Equipos[NombreEquipo],0)))</f>
        <v>2</v>
      </c>
      <c r="DI31" s="742"/>
      <c r="DJ31" s="742">
        <f t="shared" ca="1" si="53"/>
        <v>1</v>
      </c>
      <c r="DK31" s="742">
        <f t="shared" ca="1" si="24"/>
        <v>0</v>
      </c>
      <c r="DL31" s="742">
        <f t="shared" ca="1" si="33"/>
        <v>1</v>
      </c>
      <c r="DM31" s="736" t="str">
        <f t="shared" ca="1" si="34"/>
        <v>1.1</v>
      </c>
      <c r="DN31" s="742" cm="1">
        <f t="array" aca="1" ref="DN31" ca="1">OFFSET(Horarios!$P$3,DJ31-1,0,DL31,1)</f>
        <v>1</v>
      </c>
      <c r="DO31" s="742"/>
      <c r="DP31" s="742" t="s">
        <v>668</v>
      </c>
      <c r="DQ31" s="742" t="str">
        <f t="shared" ca="1" si="35"/>
        <v>Egipto</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Australia</v>
      </c>
      <c r="AM32" s="223">
        <f t="shared" ca="1" si="111"/>
        <v>0</v>
      </c>
      <c r="AN32" s="224">
        <f t="shared" ca="1" si="111"/>
        <v>0</v>
      </c>
      <c r="AO32" s="224">
        <f t="shared" ca="1" si="111"/>
        <v>0</v>
      </c>
      <c r="AP32" s="224">
        <f t="shared" ca="1" si="111"/>
        <v>0</v>
      </c>
      <c r="AQ32" s="224">
        <f t="shared" ca="1" si="111"/>
        <v>0</v>
      </c>
      <c r="AR32" s="224">
        <f t="shared" ca="1" si="111"/>
        <v>0</v>
      </c>
      <c r="AS32" s="224">
        <f t="shared" ca="1" si="111"/>
        <v>0</v>
      </c>
      <c r="AT32" s="225">
        <f t="shared" ca="1" si="111"/>
        <v>0</v>
      </c>
      <c r="AU32" s="420">
        <f ca="1">INDEX($DL$6:$DL$53,MATCH(AI32,$DP$6:$DP$53,0))</f>
        <v>1</v>
      </c>
      <c r="AV32" s="217" t="str">
        <f ca="1">INDEX($BD$6:$BD$53,MATCH(AI32,$BM$6:$BM$53,0))</f>
        <v>Australia</v>
      </c>
      <c r="AW32" s="427"/>
      <c r="AX32" s="218"/>
      <c r="AY32" s="219" t="str">
        <f ca="1">+A31</f>
        <v>Australia</v>
      </c>
      <c r="AZ32" s="220"/>
      <c r="BA32" s="175"/>
      <c r="BB32" s="742"/>
      <c r="BC32" s="754" t="str">
        <f ca="1">+INDEX(T_Equipos[Grupo],MATCH(WORLDCUP!BD32,T_Equipos[NombreEquipo],0))</f>
        <v>G</v>
      </c>
      <c r="BD32" s="742" t="str">
        <f ca="1">+Equipos!B28</f>
        <v>Irán</v>
      </c>
      <c r="BE32" s="746">
        <f t="shared" ca="1" si="25"/>
        <v>0</v>
      </c>
      <c r="BF32" s="746">
        <f t="shared" ca="1" si="26"/>
        <v>0</v>
      </c>
      <c r="BG32" s="746">
        <f t="shared" ca="1" si="17"/>
        <v>0</v>
      </c>
      <c r="BH32" s="746">
        <f t="shared" ca="1" si="18"/>
        <v>0</v>
      </c>
      <c r="BI32" s="746">
        <f t="shared" ca="1" si="19"/>
        <v>0</v>
      </c>
      <c r="BJ32" s="746">
        <f t="shared" ca="1" si="20"/>
        <v>0</v>
      </c>
      <c r="BK32" s="746">
        <f t="shared" ca="1" si="21"/>
        <v>0</v>
      </c>
      <c r="BL32" s="746">
        <f t="shared" ca="1" si="27"/>
        <v>0</v>
      </c>
      <c r="BM32" s="746" t="str">
        <f t="shared" ca="1" si="22"/>
        <v>3G</v>
      </c>
      <c r="BN32" s="746" t="str">
        <f t="shared" ca="1" si="23"/>
        <v>3G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0</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0</v>
      </c>
      <c r="BW32" s="756">
        <f t="shared" ca="1" si="38"/>
        <v>0</v>
      </c>
      <c r="BX32" s="756">
        <f t="shared" ca="1" si="39"/>
        <v>0</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0</v>
      </c>
      <c r="CB32" s="756">
        <f t="shared" ca="1" si="41"/>
        <v>0</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0</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(4)</v>
      </c>
      <c r="CI32" s="756">
        <f t="shared" ca="1" si="44"/>
        <v>0</v>
      </c>
      <c r="CJ32" s="756">
        <f t="shared" ca="1" si="45"/>
        <v>0</v>
      </c>
      <c r="CK32" s="756">
        <f t="shared" ca="1" si="46"/>
        <v>0</v>
      </c>
      <c r="CL32" s="756">
        <f t="shared" ca="1" si="47"/>
        <v>0</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(4)</v>
      </c>
      <c r="CO32" s="756">
        <f t="shared" ca="1" si="48"/>
        <v>0</v>
      </c>
      <c r="CP32" s="756">
        <f t="shared" ca="1" si="49"/>
        <v>0</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(4)</v>
      </c>
      <c r="CT32" s="756">
        <f t="shared" ca="1" si="51"/>
        <v>0</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(4)</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(4)</v>
      </c>
      <c r="CZ32" s="755">
        <f t="shared" ca="1" si="31"/>
        <v>0</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(4)</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3</v>
      </c>
      <c r="DE32" s="754"/>
      <c r="DF32" s="754">
        <f t="shared" ca="1" si="52"/>
        <v>3</v>
      </c>
      <c r="DG32" s="754">
        <f ca="1">IF(DB32="-","-",COUNTIFS(DF$6:DF$53,"&lt;"&amp;DF32,$BC$6:$BC$53,INDEX(T_Equipos[Grupo],MATCH(BD32,T_Equipos[NombreEquipo],0))))</f>
        <v>2</v>
      </c>
      <c r="DH32" s="754">
        <f ca="1">DA32+COUNTIFS(DB$6:DB$53,DB32,DG$6:DG$53,"&lt;"&amp;DG32,$BC$6:$BC$53,INDEX(T_Equipos[Grupo],MATCH(BD32,T_Equipos[NombreEquipo],0)))</f>
        <v>3</v>
      </c>
      <c r="DI32" s="742"/>
      <c r="DJ32" s="742">
        <f t="shared" ca="1" si="53"/>
        <v>1</v>
      </c>
      <c r="DK32" s="742">
        <f t="shared" ca="1" si="24"/>
        <v>0</v>
      </c>
      <c r="DL32" s="742">
        <f t="shared" ca="1" si="33"/>
        <v>1</v>
      </c>
      <c r="DM32" s="736" t="str">
        <f t="shared" ca="1" si="34"/>
        <v>1.1</v>
      </c>
      <c r="DN32" s="742" cm="1">
        <f t="array" aca="1" ref="DN32" ca="1">OFFSET(Horarios!$P$3,DJ32-1,0,DL32,1)</f>
        <v>1</v>
      </c>
      <c r="DO32" s="742"/>
      <c r="DP32" s="742" t="s">
        <v>435</v>
      </c>
      <c r="DQ32" s="742" t="str">
        <f t="shared" ca="1" si="35"/>
        <v>Irán</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Turquía</v>
      </c>
      <c r="AM33" s="237">
        <f t="shared" ca="1" si="111"/>
        <v>0</v>
      </c>
      <c r="AN33" s="238">
        <f t="shared" ca="1" si="111"/>
        <v>0</v>
      </c>
      <c r="AO33" s="238">
        <f t="shared" ca="1" si="111"/>
        <v>0</v>
      </c>
      <c r="AP33" s="238">
        <f t="shared" ca="1" si="111"/>
        <v>0</v>
      </c>
      <c r="AQ33" s="238">
        <f t="shared" ca="1" si="111"/>
        <v>0</v>
      </c>
      <c r="AR33" s="238">
        <f t="shared" ca="1" si="111"/>
        <v>0</v>
      </c>
      <c r="AS33" s="238">
        <f t="shared" ca="1" si="111"/>
        <v>0</v>
      </c>
      <c r="AT33" s="239">
        <f t="shared" ca="1" si="111"/>
        <v>0</v>
      </c>
      <c r="AU33" s="420">
        <f ca="1">INDEX($DL$6:$DL$53,MATCH(AI33,$DP$6:$DP$53,0))</f>
        <v>1</v>
      </c>
      <c r="AV33" s="217" t="str">
        <f ca="1">INDEX($BD$6:$BD$53,MATCH(AI33,$BM$6:$BM$53,0))</f>
        <v>Turquía</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0</v>
      </c>
      <c r="BF33" s="746">
        <f t="shared" ca="1" si="26"/>
        <v>0</v>
      </c>
      <c r="BG33" s="746">
        <f t="shared" ca="1" si="17"/>
        <v>0</v>
      </c>
      <c r="BH33" s="746">
        <f t="shared" ca="1" si="18"/>
        <v>0</v>
      </c>
      <c r="BI33" s="746">
        <f t="shared" ca="1" si="19"/>
        <v>0</v>
      </c>
      <c r="BJ33" s="746">
        <f t="shared" ca="1" si="20"/>
        <v>0</v>
      </c>
      <c r="BK33" s="746">
        <f t="shared" ca="1" si="21"/>
        <v>0</v>
      </c>
      <c r="BL33" s="746">
        <f t="shared" ca="1" si="27"/>
        <v>0</v>
      </c>
      <c r="BM33" s="746" t="str">
        <f t="shared" ca="1" si="22"/>
        <v>4G</v>
      </c>
      <c r="BN33" s="746" t="str">
        <f t="shared" ca="1" si="23"/>
        <v>4G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0</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0</v>
      </c>
      <c r="BW33" s="756">
        <f t="shared" ca="1" si="38"/>
        <v>0</v>
      </c>
      <c r="BX33" s="756">
        <f t="shared" ca="1" si="39"/>
        <v>0</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0</v>
      </c>
      <c r="CB33" s="756">
        <f t="shared" ca="1" si="41"/>
        <v>0</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0</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(4)</v>
      </c>
      <c r="CI33" s="756">
        <f t="shared" ca="1" si="44"/>
        <v>0</v>
      </c>
      <c r="CJ33" s="756">
        <f t="shared" ca="1" si="45"/>
        <v>0</v>
      </c>
      <c r="CK33" s="756">
        <f t="shared" ca="1" si="46"/>
        <v>0</v>
      </c>
      <c r="CL33" s="756">
        <f t="shared" ca="1" si="47"/>
        <v>0</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(4)</v>
      </c>
      <c r="CO33" s="756">
        <f t="shared" ca="1" si="48"/>
        <v>0</v>
      </c>
      <c r="CP33" s="756">
        <f t="shared" ca="1" si="49"/>
        <v>0</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(4)</v>
      </c>
      <c r="CT33" s="756">
        <f t="shared" ca="1" si="51"/>
        <v>0</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(4)</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(4)</v>
      </c>
      <c r="CZ33" s="755">
        <f t="shared" ca="1" si="31"/>
        <v>0</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(4)</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4</v>
      </c>
      <c r="DE33" s="754"/>
      <c r="DF33" s="754">
        <f t="shared" ca="1" si="52"/>
        <v>4</v>
      </c>
      <c r="DG33" s="754">
        <f ca="1">IF(DB33="-","-",COUNTIFS(DF$6:DF$53,"&lt;"&amp;DF33,$BC$6:$BC$53,INDEX(T_Equipos[Grupo],MATCH(BD33,T_Equipos[NombreEquipo],0))))</f>
        <v>3</v>
      </c>
      <c r="DH33" s="754">
        <f ca="1">DA33+COUNTIFS(DB$6:DB$53,DB33,DG$6:DG$53,"&lt;"&amp;DG33,$BC$6:$BC$53,INDEX(T_Equipos[Grupo],MATCH(BD33,T_Equipos[NombreEquipo],0)))</f>
        <v>4</v>
      </c>
      <c r="DI33" s="742"/>
      <c r="DJ33" s="742">
        <f t="shared" ca="1" si="53"/>
        <v>1</v>
      </c>
      <c r="DK33" s="742">
        <f t="shared" ca="1" si="24"/>
        <v>0</v>
      </c>
      <c r="DL33" s="742">
        <f t="shared" ca="1" si="33"/>
        <v>1</v>
      </c>
      <c r="DM33" s="736" t="str">
        <f t="shared" ca="1" si="34"/>
        <v>1.1</v>
      </c>
      <c r="DN33" s="742" cm="1">
        <f t="array" aca="1" ref="DN33" ca="1">OFFSET(Horarios!$P$3,DJ33-1,0,DL33,1)</f>
        <v>1</v>
      </c>
      <c r="DO33" s="742"/>
      <c r="DP33" s="742" t="s">
        <v>669</v>
      </c>
      <c r="DQ33" s="742" t="str">
        <f t="shared" ca="1" si="35"/>
        <v>Nueva Zelanda</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0</v>
      </c>
      <c r="BF34" s="746">
        <f t="shared" ca="1" si="26"/>
        <v>0</v>
      </c>
      <c r="BG34" s="746">
        <f t="shared" ca="1" si="17"/>
        <v>0</v>
      </c>
      <c r="BH34" s="746">
        <f t="shared" ca="1" si="18"/>
        <v>0</v>
      </c>
      <c r="BI34" s="746">
        <f t="shared" ca="1" si="19"/>
        <v>0</v>
      </c>
      <c r="BJ34" s="746">
        <f t="shared" ca="1" si="20"/>
        <v>0</v>
      </c>
      <c r="BK34" s="746">
        <f t="shared" ca="1" si="21"/>
        <v>0</v>
      </c>
      <c r="BL34" s="746">
        <f t="shared" ca="1" si="27"/>
        <v>0</v>
      </c>
      <c r="BM34" s="746" t="str">
        <f t="shared" ca="1" si="22"/>
        <v>1H</v>
      </c>
      <c r="BN34" s="746" t="str">
        <f t="shared" ca="1" si="23"/>
        <v>1H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0</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0</v>
      </c>
      <c r="BW34" s="756">
        <f t="shared" ca="1" si="38"/>
        <v>0</v>
      </c>
      <c r="BX34" s="756">
        <f t="shared" ca="1" si="39"/>
        <v>0</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1</v>
      </c>
      <c r="CH34" s="755" t="str">
        <f ca="1">IF(COUNTIFS($CG$6:$CG$53,CG34,$BC$6:$BC$53,INDEX(T_Equipos[Grupo],MATCH(BD34,T_Equipos[NombreEquipo],0)))=1,"-","P."&amp;CG34&amp;" ("&amp;COUNTIFS($CG$6:$CG$53,CG34,$BC$6:$BC$53,INDEX(T_Equipos[Grupo],MATCH(BD34,T_Equipos[NombreEquipo],0)))&amp;")")</f>
        <v>P.1 (4)</v>
      </c>
      <c r="CI34" s="756">
        <f t="shared" ca="1" si="44"/>
        <v>0</v>
      </c>
      <c r="CJ34" s="756">
        <f t="shared" ca="1" si="45"/>
        <v>0</v>
      </c>
      <c r="CK34" s="756">
        <f t="shared" ca="1" si="46"/>
        <v>0</v>
      </c>
      <c r="CL34" s="756">
        <f t="shared" ca="1" si="47"/>
        <v>0</v>
      </c>
      <c r="CM34" s="756">
        <f ca="1">CG34+COUNTIFS($CH$6:$CH$53,CH34,$CL$6:CL$53,"&gt;"&amp;CL34,$BC$6:$BC$53,INDEX(T_Equipos[Grupo],MATCH(BD34,T_Equipos[NombreEquipo],0)))</f>
        <v>1</v>
      </c>
      <c r="CN34" s="755" t="str">
        <f ca="1">IF(COUNTIFS($CM$6:$CM$53,CM34,$BC$6:$BC$53,INDEX(T_Equipos[Grupo],MATCH(BD34,T_Equipos[NombreEquipo],0)))=1,"-","P."&amp;CM34&amp;" ("&amp;COUNTIFS($CM$6:$CM$53,CM34,$BC$6:$BC$53,INDEX(T_Equipos[Grupo],MATCH(BD34,T_Equipos[NombreEquipo],0)))&amp;")")</f>
        <v>P.1 (4)</v>
      </c>
      <c r="CO34" s="756">
        <f t="shared" ca="1" si="48"/>
        <v>0</v>
      </c>
      <c r="CP34" s="756">
        <f t="shared" ca="1" si="49"/>
        <v>0</v>
      </c>
      <c r="CQ34" s="756">
        <f t="shared" ca="1" si="50"/>
        <v>0</v>
      </c>
      <c r="CR34" s="756">
        <f ca="1">CM34+COUNTIFS($CN$6:$CN$53,CN34,$CQ$6:CQ$53,"&gt;"&amp;CQ34,$BC$6:$BC$53,INDEX(T_Equipos[Grupo],MATCH(BD34,T_Equipos[NombreEquipo],0)))</f>
        <v>1</v>
      </c>
      <c r="CS34" s="755" t="str">
        <f ca="1">IF(COUNTIFS($CR$6:$CR$53,CR34,$BC$6:$BC$53,INDEX(T_Equipos[Grupo],MATCH(BD34,T_Equipos[NombreEquipo],0)))=1,"-","P."&amp;CR34&amp;" ("&amp;COUNTIFS($CR$6:$CR$53,CR34,$BC$6:$BC$53,INDEX(T_Equipos[Grupo],MATCH(BD34,T_Equipos[NombreEquipo],0)))&amp;")")</f>
        <v>P.1 (4)</v>
      </c>
      <c r="CT34" s="756">
        <f t="shared" ca="1" si="51"/>
        <v>0</v>
      </c>
      <c r="CU34" s="756">
        <f ca="1">CR34+COUNTIFS($CS$6:$CS$53,CS34,$CT$6:CT$53,"&gt;"&amp;CT34,$BC$6:$BC$53,INDEX(T_Equipos[Grupo],MATCH(BD34,T_Equipos[NombreEquipo],0)))</f>
        <v>1</v>
      </c>
      <c r="CV34" s="755" t="str">
        <f ca="1">IF(COUNTIFS($CU$6:$CU$53,CU34,$BC$6:$BC$53,INDEX(T_Equipos[Grupo],MATCH(BD34,T_Equipos[NombreEquipo],0)))=1,"-","P."&amp;CU34&amp;" ("&amp;COUNTIFS($CU$6:$CU$53,CU34,$BC$6:$BC$53,INDEX(T_Equipos[Grupo],MATCH(BD34,T_Equipos[NombreEquipo],0)))&amp;")")</f>
        <v>P.1 (4)</v>
      </c>
      <c r="CW34" s="755">
        <f t="shared" ca="1" si="30"/>
        <v>0</v>
      </c>
      <c r="CX34" s="755">
        <f ca="1">CU34+COUNTIFS($CV$6:$CV$53,CV34,$CW$6:CW$53,"&gt;"&amp;CW34,$BC$6:$BC$53,INDEX(T_Equipos[Grupo],MATCH(BD34,T_Equipos[NombreEquipo],0)))</f>
        <v>1</v>
      </c>
      <c r="CY34" s="755" t="str">
        <f ca="1">IF(COUNTIFS($CX$6:$CX$53,CX34,$BC$6:$BC$53,INDEX(T_Equipos[Grupo],MATCH(BD34,T_Equipos[NombreEquipo],0)))=1,"-","P."&amp;CX34&amp;" ("&amp;COUNTIFS($CX$6:$CX$53,CX34,$BC$6:$BC$53,INDEX(T_Equipos[Grupo],MATCH(BD34,T_Equipos[NombreEquipo],0)))&amp;")")</f>
        <v>P.1 (4)</v>
      </c>
      <c r="CZ34" s="755">
        <f t="shared" ca="1" si="31"/>
        <v>0</v>
      </c>
      <c r="DA34" s="756">
        <f ca="1">CX34+COUNTIFS($CY$6:$CY$53,CY34,$CZ$6:CZ$53,"&gt;"&amp;CZ34,$BC$6:$BC$53,INDEX(T_Equipos[Grupo],MATCH(BD34,T_Equipos[NombreEquipo],0)))</f>
        <v>1</v>
      </c>
      <c r="DB34" s="755" t="str">
        <f ca="1">IF(COUNTIFS($DA$6:$DA$53,DA34,$BC$6:$BC$53,INDEX(T_Equipos[Grupo],MATCH(BD34,T_Equipos[NombreEquipo],0)))=1,"-","P."&amp;DA34&amp;" ("&amp;COUNTIFS($DA$6:$DA$53,DA34,$BC$6:$BC$53,INDEX(T_Equipos[Grupo],MATCH(BD34,T_Equipos[NombreEquipo],0)))&amp;")")</f>
        <v>P.1 (4)</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1</v>
      </c>
      <c r="DE34" s="754"/>
      <c r="DF34" s="754">
        <f t="shared" ca="1" si="52"/>
        <v>1</v>
      </c>
      <c r="DG34" s="754">
        <f ca="1">IF(DB34="-","-",COUNTIFS(DF$6:DF$53,"&lt;"&amp;DF34,$BC$6:$BC$53,INDEX(T_Equipos[Grupo],MATCH(BD34,T_Equipos[NombreEquipo],0))))</f>
        <v>0</v>
      </c>
      <c r="DH34" s="754">
        <f ca="1">DA34+COUNTIFS(DB$6:DB$53,DB34,DG$6:DG$53,"&lt;"&amp;DG34,$BC$6:$BC$53,INDEX(T_Equipos[Grupo],MATCH(BD34,T_Equipos[NombreEquipo],0)))</f>
        <v>1</v>
      </c>
      <c r="DI34" s="742"/>
      <c r="DJ34" s="742">
        <f t="shared" ca="1" si="53"/>
        <v>1</v>
      </c>
      <c r="DK34" s="742">
        <f t="shared" ca="1" si="24"/>
        <v>0</v>
      </c>
      <c r="DL34" s="742">
        <f t="shared" ca="1" si="33"/>
        <v>1</v>
      </c>
      <c r="DM34" s="736" t="str">
        <f t="shared" ca="1" si="34"/>
        <v>1.1</v>
      </c>
      <c r="DN34" s="742" cm="1">
        <f t="array" aca="1" ref="DN34" ca="1">OFFSET(Horarios!$P$3,DJ34-1,0,DL34,1)</f>
        <v>1</v>
      </c>
      <c r="DO34" s="742"/>
      <c r="DP34" s="742" t="s">
        <v>670</v>
      </c>
      <c r="DQ34" s="742" t="str">
        <f t="shared" ca="1" si="35"/>
        <v>España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0</v>
      </c>
      <c r="BF35" s="746">
        <f t="shared" ca="1" si="26"/>
        <v>0</v>
      </c>
      <c r="BG35" s="746">
        <f t="shared" ca="1" si="17"/>
        <v>0</v>
      </c>
      <c r="BH35" s="746">
        <f t="shared" ca="1" si="18"/>
        <v>0</v>
      </c>
      <c r="BI35" s="746">
        <f t="shared" ca="1" si="19"/>
        <v>0</v>
      </c>
      <c r="BJ35" s="746">
        <f t="shared" ca="1" si="20"/>
        <v>0</v>
      </c>
      <c r="BK35" s="746">
        <f t="shared" ca="1" si="21"/>
        <v>0</v>
      </c>
      <c r="BL35" s="746">
        <f t="shared" ca="1" si="27"/>
        <v>0</v>
      </c>
      <c r="BM35" s="746" t="str">
        <f t="shared" ca="1" si="22"/>
        <v>2H</v>
      </c>
      <c r="BN35" s="746" t="str">
        <f t="shared" ca="1" si="23"/>
        <v>2H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0</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0</v>
      </c>
      <c r="BW35" s="756">
        <f t="shared" ca="1" si="38"/>
        <v>0</v>
      </c>
      <c r="BX35" s="756">
        <f t="shared" ca="1" si="39"/>
        <v>0</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1</v>
      </c>
      <c r="CH35" s="755" t="str">
        <f ca="1">IF(COUNTIFS($CG$6:$CG$53,CG35,$BC$6:$BC$53,INDEX(T_Equipos[Grupo],MATCH(BD35,T_Equipos[NombreEquipo],0)))=1,"-","P."&amp;CG35&amp;" ("&amp;COUNTIFS($CG$6:$CG$53,CG35,$BC$6:$BC$53,INDEX(T_Equipos[Grupo],MATCH(BD35,T_Equipos[NombreEquipo],0)))&amp;")")</f>
        <v>P.1 (4)</v>
      </c>
      <c r="CI35" s="756">
        <f t="shared" ca="1" si="44"/>
        <v>0</v>
      </c>
      <c r="CJ35" s="756">
        <f t="shared" ca="1" si="45"/>
        <v>0</v>
      </c>
      <c r="CK35" s="756">
        <f t="shared" ca="1" si="46"/>
        <v>0</v>
      </c>
      <c r="CL35" s="756">
        <f t="shared" ca="1" si="47"/>
        <v>0</v>
      </c>
      <c r="CM35" s="756">
        <f ca="1">CG35+COUNTIFS($CH$6:$CH$53,CH35,$CL$6:CL$53,"&gt;"&amp;CL35,$BC$6:$BC$53,INDEX(T_Equipos[Grupo],MATCH(BD35,T_Equipos[NombreEquipo],0)))</f>
        <v>1</v>
      </c>
      <c r="CN35" s="755" t="str">
        <f ca="1">IF(COUNTIFS($CM$6:$CM$53,CM35,$BC$6:$BC$53,INDEX(T_Equipos[Grupo],MATCH(BD35,T_Equipos[NombreEquipo],0)))=1,"-","P."&amp;CM35&amp;" ("&amp;COUNTIFS($CM$6:$CM$53,CM35,$BC$6:$BC$53,INDEX(T_Equipos[Grupo],MATCH(BD35,T_Equipos[NombreEquipo],0)))&amp;")")</f>
        <v>P.1 (4)</v>
      </c>
      <c r="CO35" s="756">
        <f t="shared" ca="1" si="48"/>
        <v>0</v>
      </c>
      <c r="CP35" s="756">
        <f t="shared" ca="1" si="49"/>
        <v>0</v>
      </c>
      <c r="CQ35" s="756">
        <f t="shared" ca="1" si="50"/>
        <v>0</v>
      </c>
      <c r="CR35" s="756">
        <f ca="1">CM35+COUNTIFS($CN$6:$CN$53,CN35,$CQ$6:CQ$53,"&gt;"&amp;CQ35,$BC$6:$BC$53,INDEX(T_Equipos[Grupo],MATCH(BD35,T_Equipos[NombreEquipo],0)))</f>
        <v>1</v>
      </c>
      <c r="CS35" s="755" t="str">
        <f ca="1">IF(COUNTIFS($CR$6:$CR$53,CR35,$BC$6:$BC$53,INDEX(T_Equipos[Grupo],MATCH(BD35,T_Equipos[NombreEquipo],0)))=1,"-","P."&amp;CR35&amp;" ("&amp;COUNTIFS($CR$6:$CR$53,CR35,$BC$6:$BC$53,INDEX(T_Equipos[Grupo],MATCH(BD35,T_Equipos[NombreEquipo],0)))&amp;")")</f>
        <v>P.1 (4)</v>
      </c>
      <c r="CT35" s="756">
        <f t="shared" ca="1" si="51"/>
        <v>0</v>
      </c>
      <c r="CU35" s="756">
        <f ca="1">CR35+COUNTIFS($CS$6:$CS$53,CS35,$CT$6:CT$53,"&gt;"&amp;CT35,$BC$6:$BC$53,INDEX(T_Equipos[Grupo],MATCH(BD35,T_Equipos[NombreEquipo],0)))</f>
        <v>1</v>
      </c>
      <c r="CV35" s="755" t="str">
        <f ca="1">IF(COUNTIFS($CU$6:$CU$53,CU35,$BC$6:$BC$53,INDEX(T_Equipos[Grupo],MATCH(BD35,T_Equipos[NombreEquipo],0)))=1,"-","P."&amp;CU35&amp;" ("&amp;COUNTIFS($CU$6:$CU$53,CU35,$BC$6:$BC$53,INDEX(T_Equipos[Grupo],MATCH(BD35,T_Equipos[NombreEquipo],0)))&amp;")")</f>
        <v>P.1 (4)</v>
      </c>
      <c r="CW35" s="755">
        <f t="shared" ca="1" si="30"/>
        <v>0</v>
      </c>
      <c r="CX35" s="755">
        <f ca="1">CU35+COUNTIFS($CV$6:$CV$53,CV35,$CW$6:CW$53,"&gt;"&amp;CW35,$BC$6:$BC$53,INDEX(T_Equipos[Grupo],MATCH(BD35,T_Equipos[NombreEquipo],0)))</f>
        <v>1</v>
      </c>
      <c r="CY35" s="755" t="str">
        <f ca="1">IF(COUNTIFS($CX$6:$CX$53,CX35,$BC$6:$BC$53,INDEX(T_Equipos[Grupo],MATCH(BD35,T_Equipos[NombreEquipo],0)))=1,"-","P."&amp;CX35&amp;" ("&amp;COUNTIFS($CX$6:$CX$53,CX35,$BC$6:$BC$53,INDEX(T_Equipos[Grupo],MATCH(BD35,T_Equipos[NombreEquipo],0)))&amp;")")</f>
        <v>P.1 (4)</v>
      </c>
      <c r="CZ35" s="755">
        <f t="shared" ca="1" si="31"/>
        <v>0</v>
      </c>
      <c r="DA35" s="756">
        <f ca="1">CX35+COUNTIFS($CY$6:$CY$53,CY35,$CZ$6:CZ$53,"&gt;"&amp;CZ35,$BC$6:$BC$53,INDEX(T_Equipos[Grupo],MATCH(BD35,T_Equipos[NombreEquipo],0)))</f>
        <v>1</v>
      </c>
      <c r="DB35" s="755" t="str">
        <f ca="1">IF(COUNTIFS($DA$6:$DA$53,DA35,$BC$6:$BC$53,INDEX(T_Equipos[Grupo],MATCH(BD35,T_Equipos[NombreEquipo],0)))=1,"-","P."&amp;DA35&amp;" ("&amp;COUNTIFS($DA$6:$DA$53,DA35,$BC$6:$BC$53,INDEX(T_Equipos[Grupo],MATCH(BD35,T_Equipos[NombreEquipo],0)))&amp;")")</f>
        <v>P.1 (4)</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2</v>
      </c>
      <c r="DE35" s="754"/>
      <c r="DF35" s="754">
        <f t="shared" ca="1" si="52"/>
        <v>2</v>
      </c>
      <c r="DG35" s="754">
        <f ca="1">IF(DB35="-","-",COUNTIFS(DF$6:DF$53,"&lt;"&amp;DF35,$BC$6:$BC$53,INDEX(T_Equipos[Grupo],MATCH(BD35,T_Equipos[NombreEquipo],0))))</f>
        <v>1</v>
      </c>
      <c r="DH35" s="754">
        <f ca="1">DA35+COUNTIFS(DB$6:DB$53,DB35,DG$6:DG$53,"&lt;"&amp;DG35,$BC$6:$BC$53,INDEX(T_Equipos[Grupo],MATCH(BD35,T_Equipos[NombreEquipo],0)))</f>
        <v>2</v>
      </c>
      <c r="DI35" s="742"/>
      <c r="DJ35" s="742">
        <f t="shared" ca="1" si="53"/>
        <v>1</v>
      </c>
      <c r="DK35" s="742">
        <f t="shared" ca="1" si="24"/>
        <v>0</v>
      </c>
      <c r="DL35" s="742">
        <f t="shared" ca="1" si="33"/>
        <v>1</v>
      </c>
      <c r="DM35" s="736" t="str">
        <f t="shared" ca="1" si="34"/>
        <v>1.1</v>
      </c>
      <c r="DN35" s="742" cm="1">
        <f t="array" aca="1" ref="DN35" ca="1">OFFSET(Horarios!$P$3,DJ35-1,0,DL35,1)</f>
        <v>1</v>
      </c>
      <c r="DO35" s="742"/>
      <c r="DP35" s="742" t="s">
        <v>671</v>
      </c>
      <c r="DQ35" s="742" t="str">
        <f t="shared" ca="1" si="35"/>
        <v>Cabo Verde</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Pendiente</v>
      </c>
      <c r="E36" s="742" t="str">
        <f t="shared" ref="E36:E41" si="116">IF(D36="Pendiente","-",INDEX($BT$6:$BT$53,MATCH($AA36,$BD$6:$BD$53,0)))</f>
        <v>-</v>
      </c>
      <c r="F36" s="742" t="str">
        <f t="shared" ref="F36:F41" si="117">IF(D36="Pendiente","-",INDEX($BT$6:$BT$53,MATCH($AF36,$BD$6:$BD$53,0)))</f>
        <v>-</v>
      </c>
      <c r="G36" s="742"/>
      <c r="H36" s="742" t="str">
        <f t="shared" ref="H36:H41" si="118">IF(D36="Pendiente","-",INDEX($BZ$6:$BZ$53,MATCH($AA36,$BD$6:$BD$53,0)))</f>
        <v>-</v>
      </c>
      <c r="I36" s="742" t="str">
        <f t="shared" ref="I36:I41" si="119">IF(D36="Pendiente","-",INDEX($BZ$6:$BZ$53,MATCH($AF36,$BD$6:$BD$53,0)))</f>
        <v>-</v>
      </c>
      <c r="J36" s="742"/>
      <c r="K36" s="742" t="str">
        <f t="shared" ref="K36:K41" si="120">IF(D36="Pendiente","-",INDEX($CE$6:$CE$53,MATCH($AA36,$BD$6:$BD$53,0)))</f>
        <v>-</v>
      </c>
      <c r="L36" s="742" t="str">
        <f t="shared" ref="L36:L41" si="121">IF(D36="Pendiente","-",INDEX($CE$6:$CE$53,MATCH($AF36,$BD$6:$BD$53,0)))</f>
        <v>-</v>
      </c>
      <c r="M36" s="742"/>
      <c r="N36" s="742" t="str">
        <f t="shared" ref="N36:N41" si="122">IF(D36="Pendiente","-",INDEX($CH$6:$CH$53,MATCH($AA36,$BD$6:$BD$53,0)))</f>
        <v>-</v>
      </c>
      <c r="O36" s="742" t="str">
        <f t="shared" ref="O36:O41" si="123">IF(D36="Pendiente","-",INDEX($CH$6:$CH$53,MATCH($AF36,$BD$6:$BD$53,0)))</f>
        <v>-</v>
      </c>
      <c r="P36" s="742"/>
      <c r="Q36" s="742" t="str">
        <f t="shared" ref="Q36:Q41" si="124">IF(D36="Pendiente","-",INDEX($CN$6:$CN$53,MATCH($AA36,$BD$6:$BD$53,0)))</f>
        <v>-</v>
      </c>
      <c r="R36" s="742" t="str">
        <f t="shared" ref="R36:R41" si="125">IF(D36="Pendiente","-",INDEX($CN$6:$CN$53,MATCH($AF36,$BD$6:$BD$53,0)))</f>
        <v>-</v>
      </c>
      <c r="S36" s="742"/>
      <c r="T36" s="742" t="str">
        <f t="shared" ref="T36:T41" si="126">IF(D36="Pendiente","-",INDEX($CS$6:$CS$53,MATCH($AA36,$BD$6:$BD$53,0)))</f>
        <v>-</v>
      </c>
      <c r="U36" s="742" t="str">
        <f t="shared" ref="U36:U41" si="127">IF(D36="Pendiente","-",INDEX($CS$6:$CS$53,MATCH($AF36,$BD$6:$BD$53,0)))</f>
        <v>-</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0</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0</v>
      </c>
      <c r="BF36" s="746">
        <f t="shared" ca="1" si="26"/>
        <v>0</v>
      </c>
      <c r="BG36" s="746">
        <f t="shared" ca="1" si="17"/>
        <v>0</v>
      </c>
      <c r="BH36" s="746">
        <f t="shared" ca="1" si="18"/>
        <v>0</v>
      </c>
      <c r="BI36" s="746">
        <f t="shared" ca="1" si="19"/>
        <v>0</v>
      </c>
      <c r="BJ36" s="746">
        <f t="shared" ca="1" si="20"/>
        <v>0</v>
      </c>
      <c r="BK36" s="746">
        <f t="shared" ca="1" si="21"/>
        <v>0</v>
      </c>
      <c r="BL36" s="746">
        <f t="shared" ca="1" si="27"/>
        <v>0</v>
      </c>
      <c r="BM36" s="746" t="str">
        <f t="shared" ca="1" si="22"/>
        <v>3H</v>
      </c>
      <c r="BN36" s="746" t="str">
        <f t="shared" ca="1" si="23"/>
        <v>3H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0</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0</v>
      </c>
      <c r="BW36" s="756">
        <f t="shared" ca="1" si="38"/>
        <v>0</v>
      </c>
      <c r="BX36" s="756">
        <f t="shared" ca="1" si="39"/>
        <v>0</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0</v>
      </c>
      <c r="CB36" s="756">
        <f t="shared" ca="1" si="41"/>
        <v>0</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0</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(4)</v>
      </c>
      <c r="CI36" s="756">
        <f t="shared" ca="1" si="44"/>
        <v>0</v>
      </c>
      <c r="CJ36" s="756">
        <f t="shared" ca="1" si="45"/>
        <v>0</v>
      </c>
      <c r="CK36" s="756">
        <f t="shared" ca="1" si="46"/>
        <v>0</v>
      </c>
      <c r="CL36" s="756">
        <f t="shared" ca="1" si="47"/>
        <v>0</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(4)</v>
      </c>
      <c r="CO36" s="756">
        <f t="shared" ca="1" si="48"/>
        <v>0</v>
      </c>
      <c r="CP36" s="756">
        <f t="shared" ca="1" si="49"/>
        <v>0</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(4)</v>
      </c>
      <c r="CT36" s="756">
        <f t="shared" ca="1" si="51"/>
        <v>0</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(4)</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(4)</v>
      </c>
      <c r="CZ36" s="755">
        <f t="shared" ca="1" si="31"/>
        <v>0</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(4)</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3</v>
      </c>
      <c r="DE36" s="754"/>
      <c r="DF36" s="754">
        <f t="shared" ca="1" si="52"/>
        <v>3</v>
      </c>
      <c r="DG36" s="754">
        <f ca="1">IF(DB36="-","-",COUNTIFS(DF$6:DF$53,"&lt;"&amp;DF36,$BC$6:$BC$53,INDEX(T_Equipos[Grupo],MATCH(BD36,T_Equipos[NombreEquipo],0))))</f>
        <v>2</v>
      </c>
      <c r="DH36" s="754">
        <f ca="1">DA36+COUNTIFS(DB$6:DB$53,DB36,DG$6:DG$53,"&lt;"&amp;DG36,$BC$6:$BC$53,INDEX(T_Equipos[Grupo],MATCH(BD36,T_Equipos[NombreEquipo],0)))</f>
        <v>3</v>
      </c>
      <c r="DI36" s="742"/>
      <c r="DJ36" s="742">
        <f t="shared" ca="1" si="53"/>
        <v>1</v>
      </c>
      <c r="DK36" s="742">
        <f t="shared" ca="1" si="24"/>
        <v>0</v>
      </c>
      <c r="DL36" s="742">
        <f t="shared" ca="1" si="33"/>
        <v>1</v>
      </c>
      <c r="DM36" s="736" t="str">
        <f t="shared" ca="1" si="34"/>
        <v>1.1</v>
      </c>
      <c r="DN36" s="742" cm="1">
        <f t="array" aca="1" ref="DN36" ca="1">OFFSET(Horarios!$P$3,DJ36-1,0,DL36,1)</f>
        <v>1</v>
      </c>
      <c r="DO36" s="742"/>
      <c r="DP36" s="742" t="s">
        <v>436</v>
      </c>
      <c r="DQ36" s="742" t="str">
        <f t="shared" ca="1" si="35"/>
        <v>Arabia Saudita</v>
      </c>
      <c r="DR36" s="742"/>
      <c r="DS36" s="742"/>
      <c r="DT36" s="742" t="str">
        <f t="shared" ca="1" si="15"/>
        <v>Alemania-Curazao</v>
      </c>
      <c r="DU36" s="742"/>
      <c r="DV36" s="742"/>
      <c r="DW36" s="8"/>
    </row>
    <row r="37" spans="1:127" ht="15.95" customHeight="1">
      <c r="A37" s="743" t="str">
        <f ca="1">+Equipos!B18</f>
        <v>Alemania</v>
      </c>
      <c r="B37" s="740"/>
      <c r="C37" s="740"/>
      <c r="D37" s="742" t="str">
        <f t="shared" si="115"/>
        <v>Pendiente</v>
      </c>
      <c r="E37" s="742" t="str">
        <f t="shared" si="116"/>
        <v>-</v>
      </c>
      <c r="F37" s="742" t="str">
        <f t="shared" si="117"/>
        <v>-</v>
      </c>
      <c r="G37" s="742"/>
      <c r="H37" s="742" t="str">
        <f t="shared" si="118"/>
        <v>-</v>
      </c>
      <c r="I37" s="742" t="str">
        <f t="shared" si="119"/>
        <v>-</v>
      </c>
      <c r="J37" s="742"/>
      <c r="K37" s="742" t="str">
        <f t="shared" si="120"/>
        <v>-</v>
      </c>
      <c r="L37" s="742" t="str">
        <f t="shared" si="121"/>
        <v>-</v>
      </c>
      <c r="M37" s="742"/>
      <c r="N37" s="742" t="str">
        <f t="shared" si="122"/>
        <v>-</v>
      </c>
      <c r="O37" s="742" t="str">
        <f t="shared" si="123"/>
        <v>-</v>
      </c>
      <c r="P37" s="742"/>
      <c r="Q37" s="742" t="str">
        <f t="shared" si="124"/>
        <v>-</v>
      </c>
      <c r="R37" s="742" t="str">
        <f t="shared" si="125"/>
        <v>-</v>
      </c>
      <c r="S37" s="742"/>
      <c r="T37" s="742" t="str">
        <f t="shared" si="126"/>
        <v>-</v>
      </c>
      <c r="U37" s="742" t="str">
        <f t="shared" si="127"/>
        <v>-</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0</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0</v>
      </c>
      <c r="BF37" s="746">
        <f t="shared" ca="1" si="26"/>
        <v>0</v>
      </c>
      <c r="BG37" s="746">
        <f t="shared" ca="1" si="17"/>
        <v>0</v>
      </c>
      <c r="BH37" s="746">
        <f t="shared" ca="1" si="18"/>
        <v>0</v>
      </c>
      <c r="BI37" s="746">
        <f t="shared" ca="1" si="19"/>
        <v>0</v>
      </c>
      <c r="BJ37" s="746">
        <f t="shared" ca="1" si="20"/>
        <v>0</v>
      </c>
      <c r="BK37" s="746">
        <f t="shared" ca="1" si="21"/>
        <v>0</v>
      </c>
      <c r="BL37" s="746">
        <f t="shared" ca="1" si="27"/>
        <v>0</v>
      </c>
      <c r="BM37" s="746" t="str">
        <f t="shared" ca="1" si="22"/>
        <v>4H</v>
      </c>
      <c r="BN37" s="746" t="str">
        <f t="shared" ca="1" si="23"/>
        <v>4H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0</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0</v>
      </c>
      <c r="BW37" s="756">
        <f t="shared" ca="1" si="38"/>
        <v>0</v>
      </c>
      <c r="BX37" s="756">
        <f t="shared" ca="1" si="39"/>
        <v>0</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0</v>
      </c>
      <c r="CB37" s="756">
        <f t="shared" ca="1" si="41"/>
        <v>0</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0</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(4)</v>
      </c>
      <c r="CI37" s="756">
        <f t="shared" ca="1" si="44"/>
        <v>0</v>
      </c>
      <c r="CJ37" s="756">
        <f t="shared" ca="1" si="45"/>
        <v>0</v>
      </c>
      <c r="CK37" s="756">
        <f t="shared" ca="1" si="46"/>
        <v>0</v>
      </c>
      <c r="CL37" s="756">
        <f t="shared" ca="1" si="47"/>
        <v>0</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(4)</v>
      </c>
      <c r="CO37" s="756">
        <f t="shared" ca="1" si="48"/>
        <v>0</v>
      </c>
      <c r="CP37" s="756">
        <f t="shared" ca="1" si="49"/>
        <v>0</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(4)</v>
      </c>
      <c r="CT37" s="756">
        <f t="shared" ca="1" si="51"/>
        <v>0</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(4)</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(4)</v>
      </c>
      <c r="CZ37" s="755">
        <f t="shared" ca="1" si="31"/>
        <v>0</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(4)</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4</v>
      </c>
      <c r="DE37" s="754"/>
      <c r="DF37" s="754">
        <f t="shared" ca="1" si="52"/>
        <v>4</v>
      </c>
      <c r="DG37" s="754">
        <f ca="1">IF(DB37="-","-",COUNTIFS(DF$6:DF$53,"&lt;"&amp;DF37,$BC$6:$BC$53,INDEX(T_Equipos[Grupo],MATCH(BD37,T_Equipos[NombreEquipo],0))))</f>
        <v>3</v>
      </c>
      <c r="DH37" s="754">
        <f ca="1">DA37+COUNTIFS(DB$6:DB$53,DB37,DG$6:DG$53,"&lt;"&amp;DG37,$BC$6:$BC$53,INDEX(T_Equipos[Grupo],MATCH(BD37,T_Equipos[NombreEquipo],0)))</f>
        <v>4</v>
      </c>
      <c r="DI37" s="742"/>
      <c r="DJ37" s="742">
        <f t="shared" ca="1" si="53"/>
        <v>1</v>
      </c>
      <c r="DK37" s="742">
        <f t="shared" ca="1" si="24"/>
        <v>0</v>
      </c>
      <c r="DL37" s="742">
        <f t="shared" ca="1" si="33"/>
        <v>1</v>
      </c>
      <c r="DM37" s="736" t="str">
        <f t="shared" ca="1" si="34"/>
        <v>1.1</v>
      </c>
      <c r="DN37" s="742" cm="1">
        <f t="array" aca="1" ref="DN37" ca="1">OFFSET(Horarios!$P$3,DJ37-1,0,DL37,1)</f>
        <v>1</v>
      </c>
      <c r="DO37" s="742"/>
      <c r="DP37" s="742" t="s">
        <v>672</v>
      </c>
      <c r="DQ37" s="742" t="str">
        <f t="shared" ca="1" si="35"/>
        <v>Uruguay</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c r="AD38" s="194"/>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0</v>
      </c>
      <c r="AN38" s="214">
        <f t="shared" ca="1" si="132"/>
        <v>0</v>
      </c>
      <c r="AO38" s="214">
        <f t="shared" ca="1" si="132"/>
        <v>0</v>
      </c>
      <c r="AP38" s="214">
        <f t="shared" ca="1" si="132"/>
        <v>0</v>
      </c>
      <c r="AQ38" s="214">
        <f t="shared" ca="1" si="132"/>
        <v>0</v>
      </c>
      <c r="AR38" s="214">
        <f t="shared" ca="1" si="132"/>
        <v>0</v>
      </c>
      <c r="AS38" s="214">
        <f t="shared" ca="1" si="132"/>
        <v>0</v>
      </c>
      <c r="AT38" s="215">
        <f t="shared" ca="1" si="132"/>
        <v>0</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0</v>
      </c>
      <c r="BF38" s="746">
        <f t="shared" ca="1" si="26"/>
        <v>0</v>
      </c>
      <c r="BG38" s="746">
        <f t="shared" ca="1" si="17"/>
        <v>0</v>
      </c>
      <c r="BH38" s="746">
        <f t="shared" ca="1" si="18"/>
        <v>0</v>
      </c>
      <c r="BI38" s="746">
        <f t="shared" ca="1" si="19"/>
        <v>0</v>
      </c>
      <c r="BJ38" s="746">
        <f t="shared" ca="1" si="20"/>
        <v>0</v>
      </c>
      <c r="BK38" s="746">
        <f t="shared" ca="1" si="21"/>
        <v>0</v>
      </c>
      <c r="BL38" s="746">
        <f t="shared" ca="1" si="27"/>
        <v>0</v>
      </c>
      <c r="BM38" s="746" t="str">
        <f t="shared" ca="1" si="22"/>
        <v>1I</v>
      </c>
      <c r="BN38" s="746" t="str">
        <f t="shared" ca="1" si="23"/>
        <v>1I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0</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(4)</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(4)</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(4)</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(4)</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(4)</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(4)</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(4)</v>
      </c>
      <c r="CW38" s="755">
        <f t="shared" ca="1" si="30"/>
        <v>0</v>
      </c>
      <c r="CX38" s="755">
        <f ca="1">CU38+COUNTIFS($CV$6:$CV$53,CV38,$CW$6:CW$53,"&gt;"&amp;CW38,$BC$6:$BC$53,INDEX(T_Equipos[Grupo],MATCH(BD38,T_Equipos[NombreEquipo],0)))</f>
        <v>1</v>
      </c>
      <c r="CY38" s="755" t="str">
        <f ca="1">IF(COUNTIFS($CX$6:$CX$53,CX38,$BC$6:$BC$53,INDEX(T_Equipos[Grupo],MATCH(BD38,T_Equipos[NombreEquipo],0)))=1,"-","P."&amp;CX38&amp;" ("&amp;COUNTIFS($CX$6:$CX$53,CX38,$BC$6:$BC$53,INDEX(T_Equipos[Grupo],MATCH(BD38,T_Equipos[NombreEquipo],0)))&amp;")")</f>
        <v>P.1 (4)</v>
      </c>
      <c r="CZ38" s="755">
        <f t="shared" ca="1" si="31"/>
        <v>0</v>
      </c>
      <c r="DA38" s="756">
        <f ca="1">CX38+COUNTIFS($CY$6:$CY$53,CY38,$CZ$6:CZ$53,"&gt;"&amp;CZ38,$BC$6:$BC$53,INDEX(T_Equipos[Grupo],MATCH(BD38,T_Equipos[NombreEquipo],0)))</f>
        <v>1</v>
      </c>
      <c r="DB38" s="755" t="str">
        <f ca="1">IF(COUNTIFS($DA$6:$DA$53,DA38,$BC$6:$BC$53,INDEX(T_Equipos[Grupo],MATCH(BD38,T_Equipos[NombreEquipo],0)))=1,"-","P."&amp;DA38&amp;" ("&amp;COUNTIFS($DA$6:$DA$53,DA38,$BC$6:$BC$53,INDEX(T_Equipos[Grupo],MATCH(BD38,T_Equipos[NombreEquipo],0)))&amp;")")</f>
        <v>P.1 (4)</v>
      </c>
      <c r="DC38" s="754">
        <f ca="1">IF(DB38="-","-",COUNTIFS(T_Equipos[Rank],"&lt;"&amp;INDEX(T_Equipos[Rank],MATCH(BD38,T_Equipos[NombreEquipo],0)),$BC$6:$BC$53,INDEX(T_Equipos[Grupo],MATCH(BD38,T_Equipos[NombreEquipo],0)))+1)</f>
        <v>1</v>
      </c>
      <c r="DD38" s="754">
        <f ca="1">DA38+COUNTIFS($DB$6:$DB$53,DB38,$DC$6:DC$53,"&lt;"&amp;DC38,$BC$6:$BC$53,INDEX(T_Equipos[Grupo],MATCH(BD38,T_Equipos[NombreEquipo],0)))</f>
        <v>1</v>
      </c>
      <c r="DE38" s="754"/>
      <c r="DF38" s="754">
        <f t="shared" ca="1" si="52"/>
        <v>1</v>
      </c>
      <c r="DG38" s="754">
        <f ca="1">IF(DB38="-","-",COUNTIFS(DF$6:DF$53,"&lt;"&amp;DF38,$BC$6:$BC$53,INDEX(T_Equipos[Grupo],MATCH(BD38,T_Equipos[NombreEquipo],0))))</f>
        <v>0</v>
      </c>
      <c r="DH38" s="754">
        <f ca="1">DA38+COUNTIFS(DB$6:DB$53,DB38,DG$6:DG$53,"&lt;"&amp;DG38,$BC$6:$BC$53,INDEX(T_Equipos[Grupo],MATCH(BD38,T_Equipos[NombreEquipo],0)))</f>
        <v>1</v>
      </c>
      <c r="DI38" s="742"/>
      <c r="DJ38" s="742">
        <f t="shared" ca="1" si="53"/>
        <v>1</v>
      </c>
      <c r="DK38" s="742">
        <f t="shared" ca="1" si="24"/>
        <v>0</v>
      </c>
      <c r="DL38" s="742">
        <f t="shared" ca="1" si="33"/>
        <v>1</v>
      </c>
      <c r="DM38" s="736" t="str">
        <f t="shared" ca="1" si="34"/>
        <v>1.1</v>
      </c>
      <c r="DN38" s="742" cm="1">
        <f t="array" aca="1" ref="DN38" ca="1">OFFSET(Horarios!$P$3,DJ38-1,0,DL38,1)</f>
        <v>1</v>
      </c>
      <c r="DO38" s="742"/>
      <c r="DP38" s="742" t="s">
        <v>673</v>
      </c>
      <c r="DQ38" s="742" t="str">
        <f t="shared" ca="1" si="35"/>
        <v>Francia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c r="AD39" s="194"/>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Curazao</v>
      </c>
      <c r="AM39" s="223">
        <f t="shared" ca="1" si="132"/>
        <v>0</v>
      </c>
      <c r="AN39" s="224">
        <f t="shared" ca="1" si="132"/>
        <v>0</v>
      </c>
      <c r="AO39" s="224">
        <f t="shared" ca="1" si="132"/>
        <v>0</v>
      </c>
      <c r="AP39" s="224">
        <f t="shared" ca="1" si="132"/>
        <v>0</v>
      </c>
      <c r="AQ39" s="224">
        <f t="shared" ca="1" si="132"/>
        <v>0</v>
      </c>
      <c r="AR39" s="224">
        <f t="shared" ca="1" si="132"/>
        <v>0</v>
      </c>
      <c r="AS39" s="224">
        <f t="shared" ca="1" si="132"/>
        <v>0</v>
      </c>
      <c r="AT39" s="225">
        <f t="shared" ca="1" si="132"/>
        <v>0</v>
      </c>
      <c r="AU39" s="420">
        <f ca="1">INDEX($DL$6:$DL$53,MATCH(AI39,$DP$6:$DP$53,0))</f>
        <v>1</v>
      </c>
      <c r="AV39" s="217" t="str">
        <f ca="1">INDEX($BD$6:$BD$53,MATCH(AI39,$BM$6:$BM$53,0))</f>
        <v>Curazao</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0</v>
      </c>
      <c r="BG39" s="746">
        <f t="shared" ca="1" si="17"/>
        <v>0</v>
      </c>
      <c r="BH39" s="746">
        <f t="shared" ca="1" si="18"/>
        <v>0</v>
      </c>
      <c r="BI39" s="746">
        <f t="shared" ca="1" si="19"/>
        <v>0</v>
      </c>
      <c r="BJ39" s="746">
        <f t="shared" ca="1" si="20"/>
        <v>0</v>
      </c>
      <c r="BK39" s="746">
        <f t="shared" ca="1" si="21"/>
        <v>0</v>
      </c>
      <c r="BL39" s="746">
        <f t="shared" ca="1" si="27"/>
        <v>0</v>
      </c>
      <c r="BM39" s="746" t="str">
        <f t="shared" ca="1" si="22"/>
        <v>2I</v>
      </c>
      <c r="BN39" s="746" t="str">
        <f t="shared" ca="1" si="23"/>
        <v>2I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1</v>
      </c>
      <c r="BT39" s="755" t="str">
        <f ca="1">IF(COUNTIFS($BS$6:$BS$53,BS39,$BC$6:$BC$53,INDEX(T_Equipos[Grupo],MATCH(BD39,T_Equipos[NombreEquipo],0)))=1,"-","P."&amp;BS39&amp;" ("&amp;COUNTIFS($BS$6:$BS$53,BS39,$BC$6:$BC$53,INDEX(T_Equipos[Grupo],MATCH(BD39,T_Equipos[NombreEquipo],0)))&amp;")")</f>
        <v>P.1 (4)</v>
      </c>
      <c r="BU39" s="756">
        <f t="shared" ca="1" si="36"/>
        <v>0</v>
      </c>
      <c r="BV39" s="756">
        <f t="shared" ca="1" si="37"/>
        <v>0</v>
      </c>
      <c r="BW39" s="756">
        <f t="shared" ca="1" si="38"/>
        <v>0</v>
      </c>
      <c r="BX39" s="756">
        <f t="shared" ca="1" si="39"/>
        <v>0</v>
      </c>
      <c r="BY39" s="756">
        <f ca="1">BS39+COUNTIFS($BT$6:$BT$53,BT39,$BX$6:BX$53,"&gt;"&amp;BX39,$BC$6:$BC$53,INDEX(T_Equipos[Grupo],MATCH(BD39,T_Equipos[NombreEquipo],0)))</f>
        <v>1</v>
      </c>
      <c r="BZ39" s="755" t="str">
        <f ca="1">IF(COUNTIFS($BY$6:$BY$53,BY39,$BC$6:$BC$53,INDEX(T_Equipos[Grupo],MATCH(BD39,T_Equipos[NombreEquipo],0)))=1,"-","P."&amp;BY39&amp;" ("&amp;COUNTIFS($BY$6:$BY$53,BY39,$BC$6:$BC$53,INDEX(T_Equipos[Grupo],MATCH(BD39,T_Equipos[NombreEquipo],0)))&amp;")")</f>
        <v>P.1 (4)</v>
      </c>
      <c r="CA39" s="756">
        <f t="shared" ca="1" si="40"/>
        <v>0</v>
      </c>
      <c r="CB39" s="756">
        <f t="shared" ca="1" si="41"/>
        <v>0</v>
      </c>
      <c r="CC39" s="756">
        <f t="shared" ca="1" si="42"/>
        <v>0</v>
      </c>
      <c r="CD39" s="756">
        <f ca="1">BY39+COUNTIFS($BZ$6:$BZ$53,BZ39,$CC$6:CC$53,"&gt;"&amp;CC39,$BC$6:$BC$53,INDEX(T_Equipos[Grupo],MATCH(BD39,T_Equipos[NombreEquipo],0)))</f>
        <v>1</v>
      </c>
      <c r="CE39" s="755" t="str">
        <f ca="1">IF(COUNTIFS($CD$6:$CD$53,CD39,$BC$6:$BC$53,INDEX(T_Equipos[Grupo],MATCH(BD39,T_Equipos[NombreEquipo],0)))=1,"-","P."&amp;CD39&amp;" ("&amp;COUNTIFS($CD$6:$CD$53,CD39,$BC$6:$BC$53,INDEX(T_Equipos[Grupo],MATCH(BD39,T_Equipos[NombreEquipo],0)))&amp;")")</f>
        <v>P.1 (4)</v>
      </c>
      <c r="CF39" s="756">
        <f t="shared" ca="1" si="43"/>
        <v>0</v>
      </c>
      <c r="CG39" s="756">
        <f ca="1">CD39+COUNTIFS($CE$6:$CE$53,CE39,$CF$6:CF$53,"&gt;"&amp;CF39,$BC$6:$BC$53,INDEX(T_Equipos[Grupo],MATCH(BD39,T_Equipos[NombreEquipo],0)))</f>
        <v>1</v>
      </c>
      <c r="CH39" s="755" t="str">
        <f ca="1">IF(COUNTIFS($CG$6:$CG$53,CG39,$BC$6:$BC$53,INDEX(T_Equipos[Grupo],MATCH(BD39,T_Equipos[NombreEquipo],0)))=1,"-","P."&amp;CG39&amp;" ("&amp;COUNTIFS($CG$6:$CG$53,CG39,$BC$6:$BC$53,INDEX(T_Equipos[Grupo],MATCH(BD39,T_Equipos[NombreEquipo],0)))&amp;")")</f>
        <v>P.1 (4)</v>
      </c>
      <c r="CI39" s="756">
        <f t="shared" ca="1" si="44"/>
        <v>0</v>
      </c>
      <c r="CJ39" s="756">
        <f t="shared" ca="1" si="45"/>
        <v>0</v>
      </c>
      <c r="CK39" s="756">
        <f t="shared" ca="1" si="46"/>
        <v>0</v>
      </c>
      <c r="CL39" s="756">
        <f t="shared" ca="1" si="47"/>
        <v>0</v>
      </c>
      <c r="CM39" s="756">
        <f ca="1">CG39+COUNTIFS($CH$6:$CH$53,CH39,$CL$6:CL$53,"&gt;"&amp;CL39,$BC$6:$BC$53,INDEX(T_Equipos[Grupo],MATCH(BD39,T_Equipos[NombreEquipo],0)))</f>
        <v>1</v>
      </c>
      <c r="CN39" s="755" t="str">
        <f ca="1">IF(COUNTIFS($CM$6:$CM$53,CM39,$BC$6:$BC$53,INDEX(T_Equipos[Grupo],MATCH(BD39,T_Equipos[NombreEquipo],0)))=1,"-","P."&amp;CM39&amp;" ("&amp;COUNTIFS($CM$6:$CM$53,CM39,$BC$6:$BC$53,INDEX(T_Equipos[Grupo],MATCH(BD39,T_Equipos[NombreEquipo],0)))&amp;")")</f>
        <v>P.1 (4)</v>
      </c>
      <c r="CO39" s="756">
        <f t="shared" ca="1" si="48"/>
        <v>0</v>
      </c>
      <c r="CP39" s="756">
        <f t="shared" ca="1" si="49"/>
        <v>0</v>
      </c>
      <c r="CQ39" s="756">
        <f t="shared" ca="1" si="50"/>
        <v>0</v>
      </c>
      <c r="CR39" s="756">
        <f ca="1">CM39+COUNTIFS($CN$6:$CN$53,CN39,$CQ$6:CQ$53,"&gt;"&amp;CQ39,$BC$6:$BC$53,INDEX(T_Equipos[Grupo],MATCH(BD39,T_Equipos[NombreEquipo],0)))</f>
        <v>1</v>
      </c>
      <c r="CS39" s="755" t="str">
        <f ca="1">IF(COUNTIFS($CR$6:$CR$53,CR39,$BC$6:$BC$53,INDEX(T_Equipos[Grupo],MATCH(BD39,T_Equipos[NombreEquipo],0)))=1,"-","P."&amp;CR39&amp;" ("&amp;COUNTIFS($CR$6:$CR$53,CR39,$BC$6:$BC$53,INDEX(T_Equipos[Grupo],MATCH(BD39,T_Equipos[NombreEquipo],0)))&amp;")")</f>
        <v>P.1 (4)</v>
      </c>
      <c r="CT39" s="756">
        <f t="shared" ca="1" si="51"/>
        <v>0</v>
      </c>
      <c r="CU39" s="756">
        <f ca="1">CR39+COUNTIFS($CS$6:$CS$53,CS39,$CT$6:CT$53,"&gt;"&amp;CT39,$BC$6:$BC$53,INDEX(T_Equipos[Grupo],MATCH(BD39,T_Equipos[NombreEquipo],0)))</f>
        <v>1</v>
      </c>
      <c r="CV39" s="755" t="str">
        <f ca="1">IF(COUNTIFS($CU$6:$CU$53,CU39,$BC$6:$BC$53,INDEX(T_Equipos[Grupo],MATCH(BD39,T_Equipos[NombreEquipo],0)))=1,"-","P."&amp;CU39&amp;" ("&amp;COUNTIFS($CU$6:$CU$53,CU39,$BC$6:$BC$53,INDEX(T_Equipos[Grupo],MATCH(BD39,T_Equipos[NombreEquipo],0)))&amp;")")</f>
        <v>P.1 (4)</v>
      </c>
      <c r="CW39" s="755">
        <f t="shared" ca="1" si="30"/>
        <v>0</v>
      </c>
      <c r="CX39" s="755">
        <f ca="1">CU39+COUNTIFS($CV$6:$CV$53,CV39,$CW$6:CW$53,"&gt;"&amp;CW39,$BC$6:$BC$53,INDEX(T_Equipos[Grupo],MATCH(BD39,T_Equipos[NombreEquipo],0)))</f>
        <v>1</v>
      </c>
      <c r="CY39" s="755" t="str">
        <f ca="1">IF(COUNTIFS($CX$6:$CX$53,CX39,$BC$6:$BC$53,INDEX(T_Equipos[Grupo],MATCH(BD39,T_Equipos[NombreEquipo],0)))=1,"-","P."&amp;CX39&amp;" ("&amp;COUNTIFS($CX$6:$CX$53,CX39,$BC$6:$BC$53,INDEX(T_Equipos[Grupo],MATCH(BD39,T_Equipos[NombreEquipo],0)))&amp;")")</f>
        <v>P.1 (4)</v>
      </c>
      <c r="CZ39" s="755">
        <f t="shared" ca="1" si="31"/>
        <v>0</v>
      </c>
      <c r="DA39" s="756">
        <f ca="1">CX39+COUNTIFS($CY$6:$CY$53,CY39,$CZ$6:CZ$53,"&gt;"&amp;CZ39,$BC$6:$BC$53,INDEX(T_Equipos[Grupo],MATCH(BD39,T_Equipos[NombreEquipo],0)))</f>
        <v>1</v>
      </c>
      <c r="DB39" s="755" t="str">
        <f ca="1">IF(COUNTIFS($DA$6:$DA$53,DA39,$BC$6:$BC$53,INDEX(T_Equipos[Grupo],MATCH(BD39,T_Equipos[NombreEquipo],0)))=1,"-","P."&amp;DA39&amp;" ("&amp;COUNTIFS($DA$6:$DA$53,DA39,$BC$6:$BC$53,INDEX(T_Equipos[Grupo],MATCH(BD39,T_Equipos[NombreEquipo],0)))&amp;")")</f>
        <v>P.1 (4)</v>
      </c>
      <c r="DC39" s="754">
        <f ca="1">IF(DB39="-","-",COUNTIFS(T_Equipos[Rank],"&lt;"&amp;INDEX(T_Equipos[Rank],MATCH(BD39,T_Equipos[NombreEquipo],0)),$BC$6:$BC$53,INDEX(T_Equipos[Grupo],MATCH(BD39,T_Equipos[NombreEquipo],0)))+1)</f>
        <v>2</v>
      </c>
      <c r="DD39" s="754">
        <f ca="1">DA39+COUNTIFS($DB$6:$DB$53,DB39,$DC$6:DC$53,"&lt;"&amp;DC39,$BC$6:$BC$53,INDEX(T_Equipos[Grupo],MATCH(BD39,T_Equipos[NombreEquipo],0)))</f>
        <v>2</v>
      </c>
      <c r="DE39" s="754"/>
      <c r="DF39" s="754">
        <f t="shared" ca="1" si="52"/>
        <v>2</v>
      </c>
      <c r="DG39" s="754">
        <f ca="1">IF(DB39="-","-",COUNTIFS(DF$6:DF$53,"&lt;"&amp;DF39,$BC$6:$BC$53,INDEX(T_Equipos[Grupo],MATCH(BD39,T_Equipos[NombreEquipo],0))))</f>
        <v>1</v>
      </c>
      <c r="DH39" s="754">
        <f ca="1">DA39+COUNTIFS(DB$6:DB$53,DB39,DG$6:DG$53,"&lt;"&amp;DG39,$BC$6:$BC$53,INDEX(T_Equipos[Grupo],MATCH(BD39,T_Equipos[NombreEquipo],0)))</f>
        <v>2</v>
      </c>
      <c r="DI39" s="742"/>
      <c r="DJ39" s="742">
        <f t="shared" ca="1" si="53"/>
        <v>1</v>
      </c>
      <c r="DK39" s="742">
        <f t="shared" ca="1" si="24"/>
        <v>0</v>
      </c>
      <c r="DL39" s="742">
        <f t="shared" ca="1" si="33"/>
        <v>1</v>
      </c>
      <c r="DM39" s="736" t="str">
        <f t="shared" ca="1" si="34"/>
        <v>1.1</v>
      </c>
      <c r="DN39" s="742" cm="1">
        <f t="array" aca="1" ref="DN39" ca="1">OFFSET(Horarios!$P$3,DJ39-1,0,DL39,1)</f>
        <v>1</v>
      </c>
      <c r="DO39" s="742"/>
      <c r="DP39" s="742" t="s">
        <v>674</v>
      </c>
      <c r="DQ39" s="742" t="str">
        <f t="shared" ca="1" si="35"/>
        <v>Senegal</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c r="AD40" s="194"/>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Costa de Marfil</v>
      </c>
      <c r="AM40" s="223">
        <f t="shared" ca="1" si="132"/>
        <v>0</v>
      </c>
      <c r="AN40" s="224">
        <f t="shared" ca="1" si="132"/>
        <v>0</v>
      </c>
      <c r="AO40" s="224">
        <f t="shared" ca="1" si="132"/>
        <v>0</v>
      </c>
      <c r="AP40" s="224">
        <f t="shared" ca="1" si="132"/>
        <v>0</v>
      </c>
      <c r="AQ40" s="224">
        <f t="shared" ca="1" si="132"/>
        <v>0</v>
      </c>
      <c r="AR40" s="224">
        <f t="shared" ca="1" si="132"/>
        <v>0</v>
      </c>
      <c r="AS40" s="224">
        <f t="shared" ca="1" si="132"/>
        <v>0</v>
      </c>
      <c r="AT40" s="225">
        <f t="shared" ca="1" si="132"/>
        <v>0</v>
      </c>
      <c r="AU40" s="420">
        <f ca="1">INDEX($DL$6:$DL$53,MATCH(AI40,$DP$6:$DP$53,0))</f>
        <v>1</v>
      </c>
      <c r="AV40" s="217" t="str">
        <f ca="1">INDEX($BD$6:$BD$53,MATCH(AI40,$BM$6:$BM$53,0))</f>
        <v>Costa de Marfil</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0</v>
      </c>
      <c r="BG40" s="746">
        <f t="shared" ca="1" si="17"/>
        <v>0</v>
      </c>
      <c r="BH40" s="746">
        <f t="shared" ca="1" si="18"/>
        <v>0</v>
      </c>
      <c r="BI40" s="746">
        <f t="shared" ca="1" si="19"/>
        <v>0</v>
      </c>
      <c r="BJ40" s="746">
        <f t="shared" ca="1" si="20"/>
        <v>0</v>
      </c>
      <c r="BK40" s="746">
        <f t="shared" ca="1" si="21"/>
        <v>0</v>
      </c>
      <c r="BL40" s="746">
        <f t="shared" ca="1" si="27"/>
        <v>0</v>
      </c>
      <c r="BM40" s="746" t="str">
        <f t="shared" ca="1" si="22"/>
        <v>3I</v>
      </c>
      <c r="BN40" s="746" t="str">
        <f t="shared" ca="1" si="23"/>
        <v>3I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1</v>
      </c>
      <c r="BT40" s="755" t="str">
        <f ca="1">IF(COUNTIFS($BS$6:$BS$53,BS40,$BC$6:$BC$53,INDEX(T_Equipos[Grupo],MATCH(BD40,T_Equipos[NombreEquipo],0)))=1,"-","P."&amp;BS40&amp;" ("&amp;COUNTIFS($BS$6:$BS$53,BS40,$BC$6:$BC$53,INDEX(T_Equipos[Grupo],MATCH(BD40,T_Equipos[NombreEquipo],0)))&amp;")")</f>
        <v>P.1 (4)</v>
      </c>
      <c r="BU40" s="756">
        <f t="shared" ca="1" si="36"/>
        <v>0</v>
      </c>
      <c r="BV40" s="756">
        <f t="shared" ca="1" si="37"/>
        <v>0</v>
      </c>
      <c r="BW40" s="756">
        <f t="shared" ca="1" si="38"/>
        <v>0</v>
      </c>
      <c r="BX40" s="756">
        <f t="shared" ca="1" si="39"/>
        <v>0</v>
      </c>
      <c r="BY40" s="756">
        <f ca="1">BS40+COUNTIFS($BT$6:$BT$53,BT40,$BX$6:BX$53,"&gt;"&amp;BX40,$BC$6:$BC$53,INDEX(T_Equipos[Grupo],MATCH(BD40,T_Equipos[NombreEquipo],0)))</f>
        <v>1</v>
      </c>
      <c r="BZ40" s="755" t="str">
        <f ca="1">IF(COUNTIFS($BY$6:$BY$53,BY40,$BC$6:$BC$53,INDEX(T_Equipos[Grupo],MATCH(BD40,T_Equipos[NombreEquipo],0)))=1,"-","P."&amp;BY40&amp;" ("&amp;COUNTIFS($BY$6:$BY$53,BY40,$BC$6:$BC$53,INDEX(T_Equipos[Grupo],MATCH(BD40,T_Equipos[NombreEquipo],0)))&amp;")")</f>
        <v>P.1 (4)</v>
      </c>
      <c r="CA40" s="756">
        <f t="shared" ca="1" si="40"/>
        <v>0</v>
      </c>
      <c r="CB40" s="756">
        <f t="shared" ca="1" si="41"/>
        <v>0</v>
      </c>
      <c r="CC40" s="756">
        <f t="shared" ca="1" si="42"/>
        <v>0</v>
      </c>
      <c r="CD40" s="756">
        <f ca="1">BY40+COUNTIFS($BZ$6:$BZ$53,BZ40,$CC$6:CC$53,"&gt;"&amp;CC40,$BC$6:$BC$53,INDEX(T_Equipos[Grupo],MATCH(BD40,T_Equipos[NombreEquipo],0)))</f>
        <v>1</v>
      </c>
      <c r="CE40" s="755" t="str">
        <f ca="1">IF(COUNTIFS($CD$6:$CD$53,CD40,$BC$6:$BC$53,INDEX(T_Equipos[Grupo],MATCH(BD40,T_Equipos[NombreEquipo],0)))=1,"-","P."&amp;CD40&amp;" ("&amp;COUNTIFS($CD$6:$CD$53,CD40,$BC$6:$BC$53,INDEX(T_Equipos[Grupo],MATCH(BD40,T_Equipos[NombreEquipo],0)))&amp;")")</f>
        <v>P.1 (4)</v>
      </c>
      <c r="CF40" s="756">
        <f t="shared" ca="1" si="43"/>
        <v>0</v>
      </c>
      <c r="CG40" s="756">
        <f ca="1">CD40+COUNTIFS($CE$6:$CE$53,CE40,$CF$6:CF$53,"&gt;"&amp;CF40,$BC$6:$BC$53,INDEX(T_Equipos[Grupo],MATCH(BD40,T_Equipos[NombreEquipo],0)))</f>
        <v>1</v>
      </c>
      <c r="CH40" s="755" t="str">
        <f ca="1">IF(COUNTIFS($CG$6:$CG$53,CG40,$BC$6:$BC$53,INDEX(T_Equipos[Grupo],MATCH(BD40,T_Equipos[NombreEquipo],0)))=1,"-","P."&amp;CG40&amp;" ("&amp;COUNTIFS($CG$6:$CG$53,CG40,$BC$6:$BC$53,INDEX(T_Equipos[Grupo],MATCH(BD40,T_Equipos[NombreEquipo],0)))&amp;")")</f>
        <v>P.1 (4)</v>
      </c>
      <c r="CI40" s="756">
        <f t="shared" ca="1" si="44"/>
        <v>0</v>
      </c>
      <c r="CJ40" s="756">
        <f t="shared" ca="1" si="45"/>
        <v>0</v>
      </c>
      <c r="CK40" s="756">
        <f t="shared" ca="1" si="46"/>
        <v>0</v>
      </c>
      <c r="CL40" s="756">
        <f t="shared" ca="1" si="47"/>
        <v>0</v>
      </c>
      <c r="CM40" s="756">
        <f ca="1">CG40+COUNTIFS($CH$6:$CH$53,CH40,$CL$6:CL$53,"&gt;"&amp;CL40,$BC$6:$BC$53,INDEX(T_Equipos[Grupo],MATCH(BD40,T_Equipos[NombreEquipo],0)))</f>
        <v>1</v>
      </c>
      <c r="CN40" s="755" t="str">
        <f ca="1">IF(COUNTIFS($CM$6:$CM$53,CM40,$BC$6:$BC$53,INDEX(T_Equipos[Grupo],MATCH(BD40,T_Equipos[NombreEquipo],0)))=1,"-","P."&amp;CM40&amp;" ("&amp;COUNTIFS($CM$6:$CM$53,CM40,$BC$6:$BC$53,INDEX(T_Equipos[Grupo],MATCH(BD40,T_Equipos[NombreEquipo],0)))&amp;")")</f>
        <v>P.1 (4)</v>
      </c>
      <c r="CO40" s="756">
        <f t="shared" ca="1" si="48"/>
        <v>0</v>
      </c>
      <c r="CP40" s="756">
        <f t="shared" ca="1" si="49"/>
        <v>0</v>
      </c>
      <c r="CQ40" s="756">
        <f t="shared" ca="1" si="50"/>
        <v>0</v>
      </c>
      <c r="CR40" s="756">
        <f ca="1">CM40+COUNTIFS($CN$6:$CN$53,CN40,$CQ$6:CQ$53,"&gt;"&amp;CQ40,$BC$6:$BC$53,INDEX(T_Equipos[Grupo],MATCH(BD40,T_Equipos[NombreEquipo],0)))</f>
        <v>1</v>
      </c>
      <c r="CS40" s="755" t="str">
        <f ca="1">IF(COUNTIFS($CR$6:$CR$53,CR40,$BC$6:$BC$53,INDEX(T_Equipos[Grupo],MATCH(BD40,T_Equipos[NombreEquipo],0)))=1,"-","P."&amp;CR40&amp;" ("&amp;COUNTIFS($CR$6:$CR$53,CR40,$BC$6:$BC$53,INDEX(T_Equipos[Grupo],MATCH(BD40,T_Equipos[NombreEquipo],0)))&amp;")")</f>
        <v>P.1 (4)</v>
      </c>
      <c r="CT40" s="756">
        <f t="shared" ca="1" si="51"/>
        <v>0</v>
      </c>
      <c r="CU40" s="756">
        <f ca="1">CR40+COUNTIFS($CS$6:$CS$53,CS40,$CT$6:CT$53,"&gt;"&amp;CT40,$BC$6:$BC$53,INDEX(T_Equipos[Grupo],MATCH(BD40,T_Equipos[NombreEquipo],0)))</f>
        <v>1</v>
      </c>
      <c r="CV40" s="755" t="str">
        <f ca="1">IF(COUNTIFS($CU$6:$CU$53,CU40,$BC$6:$BC$53,INDEX(T_Equipos[Grupo],MATCH(BD40,T_Equipos[NombreEquipo],0)))=1,"-","P."&amp;CU40&amp;" ("&amp;COUNTIFS($CU$6:$CU$53,CU40,$BC$6:$BC$53,INDEX(T_Equipos[Grupo],MATCH(BD40,T_Equipos[NombreEquipo],0)))&amp;")")</f>
        <v>P.1 (4)</v>
      </c>
      <c r="CW40" s="755">
        <f t="shared" ca="1" si="30"/>
        <v>0</v>
      </c>
      <c r="CX40" s="755">
        <f ca="1">CU40+COUNTIFS($CV$6:$CV$53,CV40,$CW$6:CW$53,"&gt;"&amp;CW40,$BC$6:$BC$53,INDEX(T_Equipos[Grupo],MATCH(BD40,T_Equipos[NombreEquipo],0)))</f>
        <v>1</v>
      </c>
      <c r="CY40" s="755" t="str">
        <f ca="1">IF(COUNTIFS($CX$6:$CX$53,CX40,$BC$6:$BC$53,INDEX(T_Equipos[Grupo],MATCH(BD40,T_Equipos[NombreEquipo],0)))=1,"-","P."&amp;CX40&amp;" ("&amp;COUNTIFS($CX$6:$CX$53,CX40,$BC$6:$BC$53,INDEX(T_Equipos[Grupo],MATCH(BD40,T_Equipos[NombreEquipo],0)))&amp;")")</f>
        <v>P.1 (4)</v>
      </c>
      <c r="CZ40" s="755">
        <f t="shared" ca="1" si="31"/>
        <v>0</v>
      </c>
      <c r="DA40" s="756">
        <f ca="1">CX40+COUNTIFS($CY$6:$CY$53,CY40,$CZ$6:CZ$53,"&gt;"&amp;CZ40,$BC$6:$BC$53,INDEX(T_Equipos[Grupo],MATCH(BD40,T_Equipos[NombreEquipo],0)))</f>
        <v>1</v>
      </c>
      <c r="DB40" s="755" t="str">
        <f ca="1">IF(COUNTIFS($DA$6:$DA$53,DA40,$BC$6:$BC$53,INDEX(T_Equipos[Grupo],MATCH(BD40,T_Equipos[NombreEquipo],0)))=1,"-","P."&amp;DA40&amp;" ("&amp;COUNTIFS($DA$6:$DA$53,DA40,$BC$6:$BC$53,INDEX(T_Equipos[Grupo],MATCH(BD40,T_Equipos[NombreEquipo],0)))&amp;")")</f>
        <v>P.1 (4)</v>
      </c>
      <c r="DC40" s="754">
        <f ca="1">IF(DB40="-","-",COUNTIFS(T_Equipos[Rank],"&lt;"&amp;INDEX(T_Equipos[Rank],MATCH(BD40,T_Equipos[NombreEquipo],0)),$BC$6:$BC$53,INDEX(T_Equipos[Grupo],MATCH(BD40,T_Equipos[NombreEquipo],0)))+1)</f>
        <v>3</v>
      </c>
      <c r="DD40" s="754">
        <f ca="1">DA40+COUNTIFS($DB$6:$DB$53,DB40,$DC$6:DC$53,"&lt;"&amp;DC40,$BC$6:$BC$53,INDEX(T_Equipos[Grupo],MATCH(BD40,T_Equipos[NombreEquipo],0)))</f>
        <v>3</v>
      </c>
      <c r="DE40" s="754"/>
      <c r="DF40" s="754">
        <f t="shared" ca="1" si="52"/>
        <v>3</v>
      </c>
      <c r="DG40" s="754">
        <f ca="1">IF(DB40="-","-",COUNTIFS(DF$6:DF$53,"&lt;"&amp;DF40,$BC$6:$BC$53,INDEX(T_Equipos[Grupo],MATCH(BD40,T_Equipos[NombreEquipo],0))))</f>
        <v>2</v>
      </c>
      <c r="DH40" s="754">
        <f ca="1">DA40+COUNTIFS(DB$6:DB$53,DB40,DG$6:DG$53,"&lt;"&amp;DG40,$BC$6:$BC$53,INDEX(T_Equipos[Grupo],MATCH(BD40,T_Equipos[NombreEquipo],0)))</f>
        <v>3</v>
      </c>
      <c r="DI40" s="742"/>
      <c r="DJ40" s="742">
        <f t="shared" ca="1" si="53"/>
        <v>1</v>
      </c>
      <c r="DK40" s="742">
        <f t="shared" ca="1" si="24"/>
        <v>0</v>
      </c>
      <c r="DL40" s="742">
        <f t="shared" ca="1" si="33"/>
        <v>1</v>
      </c>
      <c r="DM40" s="736" t="str">
        <f t="shared" ca="1" si="34"/>
        <v>1.1</v>
      </c>
      <c r="DN40" s="742" cm="1">
        <f t="array" aca="1" ref="DN40" ca="1">OFFSET(Horarios!$P$3,DJ40-1,0,DL40,1)</f>
        <v>1</v>
      </c>
      <c r="DO40" s="742"/>
      <c r="DP40" s="742" t="s">
        <v>440</v>
      </c>
      <c r="DQ40" s="742" t="str">
        <f t="shared" ca="1" si="35"/>
        <v>Irak</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c r="AD41" s="233"/>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Ecuador</v>
      </c>
      <c r="AM41" s="237">
        <f t="shared" ca="1" si="132"/>
        <v>0</v>
      </c>
      <c r="AN41" s="238">
        <f t="shared" ca="1" si="132"/>
        <v>0</v>
      </c>
      <c r="AO41" s="238">
        <f t="shared" ca="1" si="132"/>
        <v>0</v>
      </c>
      <c r="AP41" s="238">
        <f t="shared" ca="1" si="132"/>
        <v>0</v>
      </c>
      <c r="AQ41" s="238">
        <f t="shared" ca="1" si="132"/>
        <v>0</v>
      </c>
      <c r="AR41" s="238">
        <f t="shared" ca="1" si="132"/>
        <v>0</v>
      </c>
      <c r="AS41" s="238">
        <f t="shared" ca="1" si="132"/>
        <v>0</v>
      </c>
      <c r="AT41" s="239">
        <f t="shared" ca="1" si="132"/>
        <v>0</v>
      </c>
      <c r="AU41" s="420">
        <f ca="1">INDEX($DL$6:$DL$53,MATCH(AI41,$DP$6:$DP$53,0))</f>
        <v>1</v>
      </c>
      <c r="AV41" s="217" t="str">
        <f ca="1">INDEX($BD$6:$BD$53,MATCH(AI41,$BM$6:$BM$53,0))</f>
        <v>Ecuador</v>
      </c>
      <c r="AW41" s="427"/>
      <c r="AX41" s="218"/>
      <c r="AY41" s="240" t="str">
        <f ca="1">+A40</f>
        <v>Ecuador</v>
      </c>
      <c r="AZ41" s="241"/>
      <c r="BA41" s="175"/>
      <c r="BB41" s="742"/>
      <c r="BC41" s="754" t="str">
        <f ca="1">+INDEX(T_Equipos[Grupo],MATCH(WORLDCUP!BD41,T_Equipos[NombreEquipo],0))</f>
        <v>I</v>
      </c>
      <c r="BD41" s="742" t="str">
        <f ca="1">+Equipos!B37</f>
        <v>Noruega</v>
      </c>
      <c r="BE41" s="746">
        <f t="shared" ca="1" si="25"/>
        <v>0</v>
      </c>
      <c r="BF41" s="746">
        <f t="shared" ca="1" si="26"/>
        <v>0</v>
      </c>
      <c r="BG41" s="746">
        <f t="shared" ca="1" si="17"/>
        <v>0</v>
      </c>
      <c r="BH41" s="746">
        <f t="shared" ca="1" si="18"/>
        <v>0</v>
      </c>
      <c r="BI41" s="746">
        <f t="shared" ca="1" si="19"/>
        <v>0</v>
      </c>
      <c r="BJ41" s="746">
        <f t="shared" ca="1" si="20"/>
        <v>0</v>
      </c>
      <c r="BK41" s="746">
        <f t="shared" ca="1" si="21"/>
        <v>0</v>
      </c>
      <c r="BL41" s="746">
        <f t="shared" ca="1" si="27"/>
        <v>0</v>
      </c>
      <c r="BM41" s="746" t="str">
        <f t="shared" ca="1" si="22"/>
        <v>4I</v>
      </c>
      <c r="BN41" s="746" t="str">
        <f t="shared" ca="1" si="23"/>
        <v>4I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0</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(4)</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(4)</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(4)</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(4)</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(4)</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(4)</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(4)</v>
      </c>
      <c r="CW41" s="755">
        <f t="shared" ca="1" si="30"/>
        <v>0</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P.1 (4)</v>
      </c>
      <c r="CZ41" s="755">
        <f t="shared" ca="1" si="31"/>
        <v>0</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P.1 (4)</v>
      </c>
      <c r="DC41" s="754">
        <f ca="1">IF(DB41="-","-",COUNTIFS(T_Equipos[Rank],"&lt;"&amp;INDEX(T_Equipos[Rank],MATCH(BD41,T_Equipos[NombreEquipo],0)),$BC$6:$BC$53,INDEX(T_Equipos[Grupo],MATCH(BD41,T_Equipos[NombreEquipo],0)))+1)</f>
        <v>4</v>
      </c>
      <c r="DD41" s="754">
        <f ca="1">DA41+COUNTIFS($DB$6:$DB$53,DB41,$DC$6:DC$53,"&lt;"&amp;DC41,$BC$6:$BC$53,INDEX(T_Equipos[Grupo],MATCH(BD41,T_Equipos[NombreEquipo],0)))</f>
        <v>4</v>
      </c>
      <c r="DE41" s="754"/>
      <c r="DF41" s="754">
        <f t="shared" ca="1" si="52"/>
        <v>4</v>
      </c>
      <c r="DG41" s="754">
        <f ca="1">IF(DB41="-","-",COUNTIFS(DF$6:DF$53,"&lt;"&amp;DF41,$BC$6:$BC$53,INDEX(T_Equipos[Grupo],MATCH(BD41,T_Equipos[NombreEquipo],0))))</f>
        <v>3</v>
      </c>
      <c r="DH41" s="754">
        <f ca="1">DA41+COUNTIFS(DB$6:DB$53,DB41,DG$6:DG$53,"&lt;"&amp;DG41,$BC$6:$BC$53,INDEX(T_Equipos[Grupo],MATCH(BD41,T_Equipos[NombreEquipo],0)))</f>
        <v>4</v>
      </c>
      <c r="DI41" s="742"/>
      <c r="DJ41" s="742">
        <f t="shared" ca="1" si="53"/>
        <v>1</v>
      </c>
      <c r="DK41" s="742">
        <f t="shared" ca="1" si="24"/>
        <v>0</v>
      </c>
      <c r="DL41" s="742">
        <f t="shared" ca="1" si="33"/>
        <v>1</v>
      </c>
      <c r="DM41" s="736" t="str">
        <f t="shared" ca="1" si="34"/>
        <v>1.1</v>
      </c>
      <c r="DN41" s="742" cm="1">
        <f t="array" aca="1" ref="DN41" ca="1">OFFSET(Horarios!$P$3,DJ41-1,0,DL41,1)</f>
        <v>1</v>
      </c>
      <c r="DO41" s="742"/>
      <c r="DP41" s="742" t="s">
        <v>675</v>
      </c>
      <c r="DQ41" s="742" t="str">
        <f t="shared" ca="1" si="35"/>
        <v>Noruega</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0</v>
      </c>
      <c r="BF42" s="746">
        <f t="shared" ca="1" si="26"/>
        <v>0</v>
      </c>
      <c r="BG42" s="746">
        <f t="shared" ca="1" si="17"/>
        <v>0</v>
      </c>
      <c r="BH42" s="746">
        <f t="shared" ca="1" si="18"/>
        <v>0</v>
      </c>
      <c r="BI42" s="746">
        <f t="shared" ca="1" si="19"/>
        <v>0</v>
      </c>
      <c r="BJ42" s="746">
        <f t="shared" ca="1" si="20"/>
        <v>0</v>
      </c>
      <c r="BK42" s="746">
        <f t="shared" ca="1" si="21"/>
        <v>0</v>
      </c>
      <c r="BL42" s="746">
        <f t="shared" ca="1" si="27"/>
        <v>0</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0</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(4)</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(4)</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(4)</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(4)</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(4)</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(4)</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(4)</v>
      </c>
      <c r="CW42" s="755">
        <f t="shared" ca="1" si="30"/>
        <v>0</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P.1 (4)</v>
      </c>
      <c r="CZ42" s="755">
        <f t="shared" ca="1" si="31"/>
        <v>0</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P.1 (4)</v>
      </c>
      <c r="DC42" s="754">
        <f ca="1">IF(DB42="-","-",COUNTIFS(T_Equipos[Rank],"&lt;"&amp;INDEX(T_Equipos[Rank],MATCH(BD42,T_Equipos[NombreEquipo],0)),$BC$6:$BC$53,INDEX(T_Equipos[Grupo],MATCH(BD42,T_Equipos[NombreEquipo],0)))+1)</f>
        <v>1</v>
      </c>
      <c r="DD42" s="754">
        <f ca="1">DA42+COUNTIFS($DB$6:$DB$53,DB42,$DC$6:DC$53,"&lt;"&amp;DC42,$BC$6:$BC$53,INDEX(T_Equipos[Grupo],MATCH(BD42,T_Equipos[NombreEquipo],0)))</f>
        <v>1</v>
      </c>
      <c r="DE42" s="754"/>
      <c r="DF42" s="754">
        <f t="shared" ca="1" si="52"/>
        <v>1</v>
      </c>
      <c r="DG42" s="754">
        <f ca="1">IF(DB42="-","-",COUNTIFS(DF$6:DF$53,"&lt;"&amp;DF42,$BC$6:$BC$53,INDEX(T_Equipos[Grupo],MATCH(BD42,T_Equipos[NombreEquipo],0))))</f>
        <v>0</v>
      </c>
      <c r="DH42" s="754">
        <f ca="1">DA42+COUNTIFS(DB$6:DB$53,DB42,DG$6:DG$53,"&lt;"&amp;DG42,$BC$6:$BC$53,INDEX(T_Equipos[Grupo],MATCH(BD42,T_Equipos[NombreEquipo],0)))</f>
        <v>1</v>
      </c>
      <c r="DI42" s="742"/>
      <c r="DJ42" s="742">
        <f t="shared" ca="1" si="53"/>
        <v>1</v>
      </c>
      <c r="DK42" s="742">
        <f t="shared" ca="1" si="24"/>
        <v>0</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0</v>
      </c>
      <c r="BG43" s="746">
        <f t="shared" ca="1" si="17"/>
        <v>0</v>
      </c>
      <c r="BH43" s="746">
        <f t="shared" ca="1" si="18"/>
        <v>0</v>
      </c>
      <c r="BI43" s="746">
        <f t="shared" ca="1" si="19"/>
        <v>0</v>
      </c>
      <c r="BJ43" s="746">
        <f t="shared" ca="1" si="20"/>
        <v>0</v>
      </c>
      <c r="BK43" s="746">
        <f t="shared" ca="1" si="21"/>
        <v>0</v>
      </c>
      <c r="BL43" s="746">
        <f t="shared" ca="1" si="27"/>
        <v>0</v>
      </c>
      <c r="BM43" s="746" t="str">
        <f t="shared" ca="1" si="22"/>
        <v>2J</v>
      </c>
      <c r="BN43" s="746" t="str">
        <f t="shared" ca="1" si="23"/>
        <v>2J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1</v>
      </c>
      <c r="BT43" s="755" t="str">
        <f ca="1">IF(COUNTIFS($BS$6:$BS$53,BS43,$BC$6:$BC$53,INDEX(T_Equipos[Grupo],MATCH(BD43,T_Equipos[NombreEquipo],0)))=1,"-","P."&amp;BS43&amp;" ("&amp;COUNTIFS($BS$6:$BS$53,BS43,$BC$6:$BC$53,INDEX(T_Equipos[Grupo],MATCH(BD43,T_Equipos[NombreEquipo],0)))&amp;")")</f>
        <v>P.1 (4)</v>
      </c>
      <c r="BU43" s="756">
        <f t="shared" ca="1" si="36"/>
        <v>0</v>
      </c>
      <c r="BV43" s="756">
        <f t="shared" ca="1" si="37"/>
        <v>0</v>
      </c>
      <c r="BW43" s="756">
        <f t="shared" ca="1" si="38"/>
        <v>0</v>
      </c>
      <c r="BX43" s="756">
        <f t="shared" ca="1" si="39"/>
        <v>0</v>
      </c>
      <c r="BY43" s="756">
        <f ca="1">BS43+COUNTIFS($BT$6:$BT$53,BT43,$BX$6:BX$53,"&gt;"&amp;BX43,$BC$6:$BC$53,INDEX(T_Equipos[Grupo],MATCH(BD43,T_Equipos[NombreEquipo],0)))</f>
        <v>1</v>
      </c>
      <c r="BZ43" s="755" t="str">
        <f ca="1">IF(COUNTIFS($BY$6:$BY$53,BY43,$BC$6:$BC$53,INDEX(T_Equipos[Grupo],MATCH(BD43,T_Equipos[NombreEquipo],0)))=1,"-","P."&amp;BY43&amp;" ("&amp;COUNTIFS($BY$6:$BY$53,BY43,$BC$6:$BC$53,INDEX(T_Equipos[Grupo],MATCH(BD43,T_Equipos[NombreEquipo],0)))&amp;")")</f>
        <v>P.1 (4)</v>
      </c>
      <c r="CA43" s="756">
        <f t="shared" ca="1" si="40"/>
        <v>0</v>
      </c>
      <c r="CB43" s="756">
        <f t="shared" ca="1" si="41"/>
        <v>0</v>
      </c>
      <c r="CC43" s="756">
        <f t="shared" ca="1" si="42"/>
        <v>0</v>
      </c>
      <c r="CD43" s="756">
        <f ca="1">BY43+COUNTIFS($BZ$6:$BZ$53,BZ43,$CC$6:CC$53,"&gt;"&amp;CC43,$BC$6:$BC$53,INDEX(T_Equipos[Grupo],MATCH(BD43,T_Equipos[NombreEquipo],0)))</f>
        <v>1</v>
      </c>
      <c r="CE43" s="755" t="str">
        <f ca="1">IF(COUNTIFS($CD$6:$CD$53,CD43,$BC$6:$BC$53,INDEX(T_Equipos[Grupo],MATCH(BD43,T_Equipos[NombreEquipo],0)))=1,"-","P."&amp;CD43&amp;" ("&amp;COUNTIFS($CD$6:$CD$53,CD43,$BC$6:$BC$53,INDEX(T_Equipos[Grupo],MATCH(BD43,T_Equipos[NombreEquipo],0)))&amp;")")</f>
        <v>P.1 (4)</v>
      </c>
      <c r="CF43" s="756">
        <f t="shared" ca="1" si="43"/>
        <v>0</v>
      </c>
      <c r="CG43" s="756">
        <f ca="1">CD43+COUNTIFS($CE$6:$CE$53,CE43,$CF$6:CF$53,"&gt;"&amp;CF43,$BC$6:$BC$53,INDEX(T_Equipos[Grupo],MATCH(BD43,T_Equipos[NombreEquipo],0)))</f>
        <v>1</v>
      </c>
      <c r="CH43" s="755" t="str">
        <f ca="1">IF(COUNTIFS($CG$6:$CG$53,CG43,$BC$6:$BC$53,INDEX(T_Equipos[Grupo],MATCH(BD43,T_Equipos[NombreEquipo],0)))=1,"-","P."&amp;CG43&amp;" ("&amp;COUNTIFS($CG$6:$CG$53,CG43,$BC$6:$BC$53,INDEX(T_Equipos[Grupo],MATCH(BD43,T_Equipos[NombreEquipo],0)))&amp;")")</f>
        <v>P.1 (4)</v>
      </c>
      <c r="CI43" s="756">
        <f t="shared" ca="1" si="44"/>
        <v>0</v>
      </c>
      <c r="CJ43" s="756">
        <f t="shared" ca="1" si="45"/>
        <v>0</v>
      </c>
      <c r="CK43" s="756">
        <f t="shared" ca="1" si="46"/>
        <v>0</v>
      </c>
      <c r="CL43" s="756">
        <f t="shared" ca="1" si="47"/>
        <v>0</v>
      </c>
      <c r="CM43" s="756">
        <f ca="1">CG43+COUNTIFS($CH$6:$CH$53,CH43,$CL$6:CL$53,"&gt;"&amp;CL43,$BC$6:$BC$53,INDEX(T_Equipos[Grupo],MATCH(BD43,T_Equipos[NombreEquipo],0)))</f>
        <v>1</v>
      </c>
      <c r="CN43" s="755" t="str">
        <f ca="1">IF(COUNTIFS($CM$6:$CM$53,CM43,$BC$6:$BC$53,INDEX(T_Equipos[Grupo],MATCH(BD43,T_Equipos[NombreEquipo],0)))=1,"-","P."&amp;CM43&amp;" ("&amp;COUNTIFS($CM$6:$CM$53,CM43,$BC$6:$BC$53,INDEX(T_Equipos[Grupo],MATCH(BD43,T_Equipos[NombreEquipo],0)))&amp;")")</f>
        <v>P.1 (4)</v>
      </c>
      <c r="CO43" s="756">
        <f t="shared" ca="1" si="48"/>
        <v>0</v>
      </c>
      <c r="CP43" s="756">
        <f t="shared" ca="1" si="49"/>
        <v>0</v>
      </c>
      <c r="CQ43" s="756">
        <f t="shared" ca="1" si="50"/>
        <v>0</v>
      </c>
      <c r="CR43" s="756">
        <f ca="1">CM43+COUNTIFS($CN$6:$CN$53,CN43,$CQ$6:CQ$53,"&gt;"&amp;CQ43,$BC$6:$BC$53,INDEX(T_Equipos[Grupo],MATCH(BD43,T_Equipos[NombreEquipo],0)))</f>
        <v>1</v>
      </c>
      <c r="CS43" s="755" t="str">
        <f ca="1">IF(COUNTIFS($CR$6:$CR$53,CR43,$BC$6:$BC$53,INDEX(T_Equipos[Grupo],MATCH(BD43,T_Equipos[NombreEquipo],0)))=1,"-","P."&amp;CR43&amp;" ("&amp;COUNTIFS($CR$6:$CR$53,CR43,$BC$6:$BC$53,INDEX(T_Equipos[Grupo],MATCH(BD43,T_Equipos[NombreEquipo],0)))&amp;")")</f>
        <v>P.1 (4)</v>
      </c>
      <c r="CT43" s="756">
        <f t="shared" ca="1" si="51"/>
        <v>0</v>
      </c>
      <c r="CU43" s="756">
        <f ca="1">CR43+COUNTIFS($CS$6:$CS$53,CS43,$CT$6:CT$53,"&gt;"&amp;CT43,$BC$6:$BC$53,INDEX(T_Equipos[Grupo],MATCH(BD43,T_Equipos[NombreEquipo],0)))</f>
        <v>1</v>
      </c>
      <c r="CV43" s="755" t="str">
        <f ca="1">IF(COUNTIFS($CU$6:$CU$53,CU43,$BC$6:$BC$53,INDEX(T_Equipos[Grupo],MATCH(BD43,T_Equipos[NombreEquipo],0)))=1,"-","P."&amp;CU43&amp;" ("&amp;COUNTIFS($CU$6:$CU$53,CU43,$BC$6:$BC$53,INDEX(T_Equipos[Grupo],MATCH(BD43,T_Equipos[NombreEquipo],0)))&amp;")")</f>
        <v>P.1 (4)</v>
      </c>
      <c r="CW43" s="755">
        <f t="shared" ca="1" si="30"/>
        <v>0</v>
      </c>
      <c r="CX43" s="755">
        <f ca="1">CU43+COUNTIFS($CV$6:$CV$53,CV43,$CW$6:CW$53,"&gt;"&amp;CW43,$BC$6:$BC$53,INDEX(T_Equipos[Grupo],MATCH(BD43,T_Equipos[NombreEquipo],0)))</f>
        <v>1</v>
      </c>
      <c r="CY43" s="755" t="str">
        <f ca="1">IF(COUNTIFS($CX$6:$CX$53,CX43,$BC$6:$BC$53,INDEX(T_Equipos[Grupo],MATCH(BD43,T_Equipos[NombreEquipo],0)))=1,"-","P."&amp;CX43&amp;" ("&amp;COUNTIFS($CX$6:$CX$53,CX43,$BC$6:$BC$53,INDEX(T_Equipos[Grupo],MATCH(BD43,T_Equipos[NombreEquipo],0)))&amp;")")</f>
        <v>P.1 (4)</v>
      </c>
      <c r="CZ43" s="755">
        <f t="shared" ca="1" si="31"/>
        <v>0</v>
      </c>
      <c r="DA43" s="756">
        <f ca="1">CX43+COUNTIFS($CY$6:$CY$53,CY43,$CZ$6:CZ$53,"&gt;"&amp;CZ43,$BC$6:$BC$53,INDEX(T_Equipos[Grupo],MATCH(BD43,T_Equipos[NombreEquipo],0)))</f>
        <v>1</v>
      </c>
      <c r="DB43" s="755" t="str">
        <f ca="1">IF(COUNTIFS($DA$6:$DA$53,DA43,$BC$6:$BC$53,INDEX(T_Equipos[Grupo],MATCH(BD43,T_Equipos[NombreEquipo],0)))=1,"-","P."&amp;DA43&amp;" ("&amp;COUNTIFS($DA$6:$DA$53,DA43,$BC$6:$BC$53,INDEX(T_Equipos[Grupo],MATCH(BD43,T_Equipos[NombreEquipo],0)))&amp;")")</f>
        <v>P.1 (4)</v>
      </c>
      <c r="DC43" s="754">
        <f ca="1">IF(DB43="-","-",COUNTIFS(T_Equipos[Rank],"&lt;"&amp;INDEX(T_Equipos[Rank],MATCH(BD43,T_Equipos[NombreEquipo],0)),$BC$6:$BC$53,INDEX(T_Equipos[Grupo],MATCH(BD43,T_Equipos[NombreEquipo],0)))+1)</f>
        <v>2</v>
      </c>
      <c r="DD43" s="754">
        <f ca="1">DA43+COUNTIFS($DB$6:$DB$53,DB43,$DC$6:DC$53,"&lt;"&amp;DC43,$BC$6:$BC$53,INDEX(T_Equipos[Grupo],MATCH(BD43,T_Equipos[NombreEquipo],0)))</f>
        <v>2</v>
      </c>
      <c r="DE43" s="754"/>
      <c r="DF43" s="754">
        <f t="shared" ca="1" si="52"/>
        <v>2</v>
      </c>
      <c r="DG43" s="754">
        <f ca="1">IF(DB43="-","-",COUNTIFS(DF$6:DF$53,"&lt;"&amp;DF43,$BC$6:$BC$53,INDEX(T_Equipos[Grupo],MATCH(BD43,T_Equipos[NombreEquipo],0))))</f>
        <v>1</v>
      </c>
      <c r="DH43" s="754">
        <f ca="1">DA43+COUNTIFS(DB$6:DB$53,DB43,DG$6:DG$53,"&lt;"&amp;DG43,$BC$6:$BC$53,INDEX(T_Equipos[Grupo],MATCH(BD43,T_Equipos[NombreEquipo],0)))</f>
        <v>2</v>
      </c>
      <c r="DI43" s="742"/>
      <c r="DJ43" s="742">
        <f t="shared" ca="1" si="53"/>
        <v>1</v>
      </c>
      <c r="DK43" s="742">
        <f t="shared" ca="1" si="24"/>
        <v>0</v>
      </c>
      <c r="DL43" s="742">
        <f t="shared" ca="1" si="33"/>
        <v>1</v>
      </c>
      <c r="DM43" s="736" t="str">
        <f t="shared" ca="1" si="34"/>
        <v>1.1</v>
      </c>
      <c r="DN43" s="742" cm="1">
        <f t="array" aca="1" ref="DN43" ca="1">OFFSET(Horarios!$P$3,DJ43-1,0,DL43,1)</f>
        <v>1</v>
      </c>
      <c r="DO43" s="742"/>
      <c r="DP43" s="742" t="s">
        <v>677</v>
      </c>
      <c r="DQ43" s="742" t="str">
        <f t="shared" ca="1" si="35"/>
        <v>Argelia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Pendiente</v>
      </c>
      <c r="E44" s="742" t="str">
        <f t="shared" ref="E44:E49" si="137">IF(D44="Pendiente","-",INDEX($BT$6:$BT$53,MATCH($AA44,$BD$6:$BD$53,0)))</f>
        <v>-</v>
      </c>
      <c r="F44" s="742" t="str">
        <f t="shared" ref="F44:F49" si="138">IF(D44="Pendiente","-",INDEX($BT$6:$BT$53,MATCH($AF44,$BD$6:$BD$53,0)))</f>
        <v>-</v>
      </c>
      <c r="G44" s="742"/>
      <c r="H44" s="742" t="str">
        <f t="shared" ref="H44:H49" si="139">IF(D44="Pendiente","-",INDEX($BZ$6:$BZ$53,MATCH($AA44,$BD$6:$BD$53,0)))</f>
        <v>-</v>
      </c>
      <c r="I44" s="742" t="str">
        <f t="shared" ref="I44:I49" si="140">IF(D44="Pendiente","-",INDEX($BZ$6:$BZ$53,MATCH($AF44,$BD$6:$BD$53,0)))</f>
        <v>-</v>
      </c>
      <c r="J44" s="742"/>
      <c r="K44" s="742" t="str">
        <f t="shared" ref="K44:K49" si="141">IF(D44="Pendiente","-",INDEX($CE$6:$CE$53,MATCH($AA44,$BD$6:$BD$53,0)))</f>
        <v>-</v>
      </c>
      <c r="L44" s="742" t="str">
        <f t="shared" ref="L44:L49" si="142">IF(D44="Pendiente","-",INDEX($CE$6:$CE$53,MATCH($AF44,$BD$6:$BD$53,0)))</f>
        <v>-</v>
      </c>
      <c r="M44" s="742"/>
      <c r="N44" s="742" t="str">
        <f t="shared" ref="N44:N49" si="143">IF(D44="Pendiente","-",INDEX($CH$6:$CH$53,MATCH($AA44,$BD$6:$BD$53,0)))</f>
        <v>-</v>
      </c>
      <c r="O44" s="742" t="str">
        <f t="shared" ref="O44:O49" si="144">IF(D44="Pendiente","-",INDEX($CH$6:$CH$53,MATCH($AF44,$BD$6:$BD$53,0)))</f>
        <v>-</v>
      </c>
      <c r="P44" s="742"/>
      <c r="Q44" s="742" t="str">
        <f t="shared" ref="Q44:Q49" si="145">IF(D44="Pendiente","-",INDEX($CN$6:$CN$53,MATCH($AA44,$BD$6:$BD$53,0)))</f>
        <v>-</v>
      </c>
      <c r="R44" s="742" t="str">
        <f t="shared" ref="R44:R49" si="146">IF(D44="Pendiente","-",INDEX($CN$6:$CN$53,MATCH($AF44,$BD$6:$BD$53,0)))</f>
        <v>-</v>
      </c>
      <c r="S44" s="742"/>
      <c r="T44" s="742" t="str">
        <f t="shared" ref="T44:T49" si="147">IF(D44="Pendiente","-",INDEX($CS$6:$CS$53,MATCH($AA44,$BD$6:$BD$53,0)))</f>
        <v>-</v>
      </c>
      <c r="U44" s="742" t="str">
        <f t="shared" ref="U44:U49" si="148">IF(D44="Pendiente","-",INDEX($CS$6:$CS$53,MATCH($AF44,$BD$6:$BD$53,0)))</f>
        <v>-</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0</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0</v>
      </c>
      <c r="BF44" s="746">
        <f t="shared" ca="1" si="26"/>
        <v>0</v>
      </c>
      <c r="BG44" s="746">
        <f t="shared" ca="1" si="17"/>
        <v>0</v>
      </c>
      <c r="BH44" s="746">
        <f t="shared" ca="1" si="18"/>
        <v>0</v>
      </c>
      <c r="BI44" s="746">
        <f t="shared" ca="1" si="19"/>
        <v>0</v>
      </c>
      <c r="BJ44" s="746">
        <f t="shared" ca="1" si="20"/>
        <v>0</v>
      </c>
      <c r="BK44" s="746">
        <f t="shared" ca="1" si="21"/>
        <v>0</v>
      </c>
      <c r="BL44" s="746">
        <f t="shared" ca="1" si="27"/>
        <v>0</v>
      </c>
      <c r="BM44" s="746" t="str">
        <f t="shared" ca="1" si="22"/>
        <v>3J</v>
      </c>
      <c r="BN44" s="746" t="str">
        <f t="shared" ca="1" si="23"/>
        <v>3J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0</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(4)</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(4)</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(4)</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(4)</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(4)</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(4)</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(4)</v>
      </c>
      <c r="CW44" s="755">
        <f t="shared" ca="1" si="30"/>
        <v>0</v>
      </c>
      <c r="CX44" s="755">
        <f ca="1">CU44+COUNTIFS($CV$6:$CV$53,CV44,$CW$6:CW$53,"&gt;"&amp;CW44,$BC$6:$BC$53,INDEX(T_Equipos[Grupo],MATCH(BD44,T_Equipos[NombreEquipo],0)))</f>
        <v>1</v>
      </c>
      <c r="CY44" s="755" t="str">
        <f ca="1">IF(COUNTIFS($CX$6:$CX$53,CX44,$BC$6:$BC$53,INDEX(T_Equipos[Grupo],MATCH(BD44,T_Equipos[NombreEquipo],0)))=1,"-","P."&amp;CX44&amp;" ("&amp;COUNTIFS($CX$6:$CX$53,CX44,$BC$6:$BC$53,INDEX(T_Equipos[Grupo],MATCH(BD44,T_Equipos[NombreEquipo],0)))&amp;")")</f>
        <v>P.1 (4)</v>
      </c>
      <c r="CZ44" s="755">
        <f t="shared" ca="1" si="31"/>
        <v>0</v>
      </c>
      <c r="DA44" s="756">
        <f ca="1">CX44+COUNTIFS($CY$6:$CY$53,CY44,$CZ$6:CZ$53,"&gt;"&amp;CZ44,$BC$6:$BC$53,INDEX(T_Equipos[Grupo],MATCH(BD44,T_Equipos[NombreEquipo],0)))</f>
        <v>1</v>
      </c>
      <c r="DB44" s="755" t="str">
        <f ca="1">IF(COUNTIFS($DA$6:$DA$53,DA44,$BC$6:$BC$53,INDEX(T_Equipos[Grupo],MATCH(BD44,T_Equipos[NombreEquipo],0)))=1,"-","P."&amp;DA44&amp;" ("&amp;COUNTIFS($DA$6:$DA$53,DA44,$BC$6:$BC$53,INDEX(T_Equipos[Grupo],MATCH(BD44,T_Equipos[NombreEquipo],0)))&amp;")")</f>
        <v>P.1 (4)</v>
      </c>
      <c r="DC44" s="754">
        <f ca="1">IF(DB44="-","-",COUNTIFS(T_Equipos[Rank],"&lt;"&amp;INDEX(T_Equipos[Rank],MATCH(BD44,T_Equipos[NombreEquipo],0)),$BC$6:$BC$53,INDEX(T_Equipos[Grupo],MATCH(BD44,T_Equipos[NombreEquipo],0)))+1)</f>
        <v>3</v>
      </c>
      <c r="DD44" s="754">
        <f ca="1">DA44+COUNTIFS($DB$6:$DB$53,DB44,$DC$6:DC$53,"&lt;"&amp;DC44,$BC$6:$BC$53,INDEX(T_Equipos[Grupo],MATCH(BD44,T_Equipos[NombreEquipo],0)))</f>
        <v>3</v>
      </c>
      <c r="DE44" s="754"/>
      <c r="DF44" s="754">
        <f t="shared" ca="1" si="52"/>
        <v>3</v>
      </c>
      <c r="DG44" s="754">
        <f ca="1">IF(DB44="-","-",COUNTIFS(DF$6:DF$53,"&lt;"&amp;DF44,$BC$6:$BC$53,INDEX(T_Equipos[Grupo],MATCH(BD44,T_Equipos[NombreEquipo],0))))</f>
        <v>2</v>
      </c>
      <c r="DH44" s="754">
        <f ca="1">DA44+COUNTIFS(DB$6:DB$53,DB44,DG$6:DG$53,"&lt;"&amp;DG44,$BC$6:$BC$53,INDEX(T_Equipos[Grupo],MATCH(BD44,T_Equipos[NombreEquipo],0)))</f>
        <v>3</v>
      </c>
      <c r="DI44" s="742"/>
      <c r="DJ44" s="742">
        <f t="shared" ca="1" si="53"/>
        <v>1</v>
      </c>
      <c r="DK44" s="742">
        <f t="shared" ca="1" si="24"/>
        <v>0</v>
      </c>
      <c r="DL44" s="742">
        <f t="shared" ca="1" si="33"/>
        <v>1</v>
      </c>
      <c r="DM44" s="736" t="str">
        <f t="shared" ca="1" si="34"/>
        <v>1.1</v>
      </c>
      <c r="DN44" s="742" cm="1">
        <f t="array" aca="1" ref="DN44" ca="1">OFFSET(Horarios!$P$3,DJ44-1,0,DL44,1)</f>
        <v>1</v>
      </c>
      <c r="DO44" s="742"/>
      <c r="DP44" s="742" t="s">
        <v>441</v>
      </c>
      <c r="DQ44" s="742" t="str">
        <f t="shared" ca="1" si="35"/>
        <v>Austria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Pendiente</v>
      </c>
      <c r="E45" s="742" t="str">
        <f t="shared" si="137"/>
        <v>-</v>
      </c>
      <c r="F45" s="742" t="str">
        <f t="shared" si="138"/>
        <v>-</v>
      </c>
      <c r="G45" s="742"/>
      <c r="H45" s="742" t="str">
        <f t="shared" si="139"/>
        <v>-</v>
      </c>
      <c r="I45" s="742" t="str">
        <f t="shared" si="140"/>
        <v>-</v>
      </c>
      <c r="J45" s="742"/>
      <c r="K45" s="742" t="str">
        <f t="shared" si="141"/>
        <v>-</v>
      </c>
      <c r="L45" s="742" t="str">
        <f t="shared" si="142"/>
        <v>-</v>
      </c>
      <c r="M45" s="742"/>
      <c r="N45" s="742" t="str">
        <f t="shared" si="143"/>
        <v>-</v>
      </c>
      <c r="O45" s="742" t="str">
        <f t="shared" si="144"/>
        <v>-</v>
      </c>
      <c r="P45" s="742"/>
      <c r="Q45" s="742" t="str">
        <f t="shared" si="145"/>
        <v>-</v>
      </c>
      <c r="R45" s="742" t="str">
        <f t="shared" si="146"/>
        <v>-</v>
      </c>
      <c r="S45" s="742"/>
      <c r="T45" s="742" t="str">
        <f t="shared" si="147"/>
        <v>-</v>
      </c>
      <c r="U45" s="742" t="str">
        <f t="shared"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0</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0</v>
      </c>
      <c r="BG45" s="746">
        <f t="shared" ca="1" si="17"/>
        <v>0</v>
      </c>
      <c r="BH45" s="746">
        <f t="shared" ca="1" si="18"/>
        <v>0</v>
      </c>
      <c r="BI45" s="746">
        <f t="shared" ca="1" si="19"/>
        <v>0</v>
      </c>
      <c r="BJ45" s="746">
        <f t="shared" ca="1" si="20"/>
        <v>0</v>
      </c>
      <c r="BK45" s="746">
        <f t="shared" ca="1" si="21"/>
        <v>0</v>
      </c>
      <c r="BL45" s="746">
        <f t="shared" ca="1" si="27"/>
        <v>0</v>
      </c>
      <c r="BM45" s="746" t="str">
        <f t="shared" ca="1" si="22"/>
        <v>4J</v>
      </c>
      <c r="BN45" s="746" t="str">
        <f t="shared" ca="1" si="23"/>
        <v>4J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1</v>
      </c>
      <c r="BT45" s="755" t="str">
        <f ca="1">IF(COUNTIFS($BS$6:$BS$53,BS45,$BC$6:$BC$53,INDEX(T_Equipos[Grupo],MATCH(BD45,T_Equipos[NombreEquipo],0)))=1,"-","P."&amp;BS45&amp;" ("&amp;COUNTIFS($BS$6:$BS$53,BS45,$BC$6:$BC$53,INDEX(T_Equipos[Grupo],MATCH(BD45,T_Equipos[NombreEquipo],0)))&amp;")")</f>
        <v>P.1 (4)</v>
      </c>
      <c r="BU45" s="756">
        <f t="shared" ca="1" si="36"/>
        <v>0</v>
      </c>
      <c r="BV45" s="756">
        <f t="shared" ca="1" si="37"/>
        <v>0</v>
      </c>
      <c r="BW45" s="756">
        <f t="shared" ca="1" si="38"/>
        <v>0</v>
      </c>
      <c r="BX45" s="756">
        <f t="shared" ca="1" si="39"/>
        <v>0</v>
      </c>
      <c r="BY45" s="756">
        <f ca="1">BS45+COUNTIFS($BT$6:$BT$53,BT45,$BX$6:BX$53,"&gt;"&amp;BX45,$BC$6:$BC$53,INDEX(T_Equipos[Grupo],MATCH(BD45,T_Equipos[NombreEquipo],0)))</f>
        <v>1</v>
      </c>
      <c r="BZ45" s="755" t="str">
        <f ca="1">IF(COUNTIFS($BY$6:$BY$53,BY45,$BC$6:$BC$53,INDEX(T_Equipos[Grupo],MATCH(BD45,T_Equipos[NombreEquipo],0)))=1,"-","P."&amp;BY45&amp;" ("&amp;COUNTIFS($BY$6:$BY$53,BY45,$BC$6:$BC$53,INDEX(T_Equipos[Grupo],MATCH(BD45,T_Equipos[NombreEquipo],0)))&amp;")")</f>
        <v>P.1 (4)</v>
      </c>
      <c r="CA45" s="756">
        <f t="shared" ca="1" si="40"/>
        <v>0</v>
      </c>
      <c r="CB45" s="756">
        <f t="shared" ca="1" si="41"/>
        <v>0</v>
      </c>
      <c r="CC45" s="756">
        <f t="shared" ca="1" si="42"/>
        <v>0</v>
      </c>
      <c r="CD45" s="756">
        <f ca="1">BY45+COUNTIFS($BZ$6:$BZ$53,BZ45,$CC$6:CC$53,"&gt;"&amp;CC45,$BC$6:$BC$53,INDEX(T_Equipos[Grupo],MATCH(BD45,T_Equipos[NombreEquipo],0)))</f>
        <v>1</v>
      </c>
      <c r="CE45" s="755" t="str">
        <f ca="1">IF(COUNTIFS($CD$6:$CD$53,CD45,$BC$6:$BC$53,INDEX(T_Equipos[Grupo],MATCH(BD45,T_Equipos[NombreEquipo],0)))=1,"-","P."&amp;CD45&amp;" ("&amp;COUNTIFS($CD$6:$CD$53,CD45,$BC$6:$BC$53,INDEX(T_Equipos[Grupo],MATCH(BD45,T_Equipos[NombreEquipo],0)))&amp;")")</f>
        <v>P.1 (4)</v>
      </c>
      <c r="CF45" s="756">
        <f t="shared" ca="1" si="43"/>
        <v>0</v>
      </c>
      <c r="CG45" s="756">
        <f ca="1">CD45+COUNTIFS($CE$6:$CE$53,CE45,$CF$6:CF$53,"&gt;"&amp;CF45,$BC$6:$BC$53,INDEX(T_Equipos[Grupo],MATCH(BD45,T_Equipos[NombreEquipo],0)))</f>
        <v>1</v>
      </c>
      <c r="CH45" s="755" t="str">
        <f ca="1">IF(COUNTIFS($CG$6:$CG$53,CG45,$BC$6:$BC$53,INDEX(T_Equipos[Grupo],MATCH(BD45,T_Equipos[NombreEquipo],0)))=1,"-","P."&amp;CG45&amp;" ("&amp;COUNTIFS($CG$6:$CG$53,CG45,$BC$6:$BC$53,INDEX(T_Equipos[Grupo],MATCH(BD45,T_Equipos[NombreEquipo],0)))&amp;")")</f>
        <v>P.1 (4)</v>
      </c>
      <c r="CI45" s="756">
        <f t="shared" ca="1" si="44"/>
        <v>0</v>
      </c>
      <c r="CJ45" s="756">
        <f t="shared" ca="1" si="45"/>
        <v>0</v>
      </c>
      <c r="CK45" s="756">
        <f t="shared" ca="1" si="46"/>
        <v>0</v>
      </c>
      <c r="CL45" s="756">
        <f t="shared" ca="1" si="47"/>
        <v>0</v>
      </c>
      <c r="CM45" s="756">
        <f ca="1">CG45+COUNTIFS($CH$6:$CH$53,CH45,$CL$6:CL$53,"&gt;"&amp;CL45,$BC$6:$BC$53,INDEX(T_Equipos[Grupo],MATCH(BD45,T_Equipos[NombreEquipo],0)))</f>
        <v>1</v>
      </c>
      <c r="CN45" s="755" t="str">
        <f ca="1">IF(COUNTIFS($CM$6:$CM$53,CM45,$BC$6:$BC$53,INDEX(T_Equipos[Grupo],MATCH(BD45,T_Equipos[NombreEquipo],0)))=1,"-","P."&amp;CM45&amp;" ("&amp;COUNTIFS($CM$6:$CM$53,CM45,$BC$6:$BC$53,INDEX(T_Equipos[Grupo],MATCH(BD45,T_Equipos[NombreEquipo],0)))&amp;")")</f>
        <v>P.1 (4)</v>
      </c>
      <c r="CO45" s="756">
        <f t="shared" ca="1" si="48"/>
        <v>0</v>
      </c>
      <c r="CP45" s="756">
        <f t="shared" ca="1" si="49"/>
        <v>0</v>
      </c>
      <c r="CQ45" s="756">
        <f t="shared" ca="1" si="50"/>
        <v>0</v>
      </c>
      <c r="CR45" s="756">
        <f ca="1">CM45+COUNTIFS($CN$6:$CN$53,CN45,$CQ$6:CQ$53,"&gt;"&amp;CQ45,$BC$6:$BC$53,INDEX(T_Equipos[Grupo],MATCH(BD45,T_Equipos[NombreEquipo],0)))</f>
        <v>1</v>
      </c>
      <c r="CS45" s="755" t="str">
        <f ca="1">IF(COUNTIFS($CR$6:$CR$53,CR45,$BC$6:$BC$53,INDEX(T_Equipos[Grupo],MATCH(BD45,T_Equipos[NombreEquipo],0)))=1,"-","P."&amp;CR45&amp;" ("&amp;COUNTIFS($CR$6:$CR$53,CR45,$BC$6:$BC$53,INDEX(T_Equipos[Grupo],MATCH(BD45,T_Equipos[NombreEquipo],0)))&amp;")")</f>
        <v>P.1 (4)</v>
      </c>
      <c r="CT45" s="756">
        <f t="shared" ca="1" si="51"/>
        <v>0</v>
      </c>
      <c r="CU45" s="756">
        <f ca="1">CR45+COUNTIFS($CS$6:$CS$53,CS45,$CT$6:CT$53,"&gt;"&amp;CT45,$BC$6:$BC$53,INDEX(T_Equipos[Grupo],MATCH(BD45,T_Equipos[NombreEquipo],0)))</f>
        <v>1</v>
      </c>
      <c r="CV45" s="755" t="str">
        <f ca="1">IF(COUNTIFS($CU$6:$CU$53,CU45,$BC$6:$BC$53,INDEX(T_Equipos[Grupo],MATCH(BD45,T_Equipos[NombreEquipo],0)))=1,"-","P."&amp;CU45&amp;" ("&amp;COUNTIFS($CU$6:$CU$53,CU45,$BC$6:$BC$53,INDEX(T_Equipos[Grupo],MATCH(BD45,T_Equipos[NombreEquipo],0)))&amp;")")</f>
        <v>P.1 (4)</v>
      </c>
      <c r="CW45" s="755">
        <f t="shared" ca="1" si="30"/>
        <v>0</v>
      </c>
      <c r="CX45" s="755">
        <f ca="1">CU45+COUNTIFS($CV$6:$CV$53,CV45,$CW$6:CW$53,"&gt;"&amp;CW45,$BC$6:$BC$53,INDEX(T_Equipos[Grupo],MATCH(BD45,T_Equipos[NombreEquipo],0)))</f>
        <v>1</v>
      </c>
      <c r="CY45" s="755" t="str">
        <f ca="1">IF(COUNTIFS($CX$6:$CX$53,CX45,$BC$6:$BC$53,INDEX(T_Equipos[Grupo],MATCH(BD45,T_Equipos[NombreEquipo],0)))=1,"-","P."&amp;CX45&amp;" ("&amp;COUNTIFS($CX$6:$CX$53,CX45,$BC$6:$BC$53,INDEX(T_Equipos[Grupo],MATCH(BD45,T_Equipos[NombreEquipo],0)))&amp;")")</f>
        <v>P.1 (4)</v>
      </c>
      <c r="CZ45" s="755">
        <f t="shared" ca="1" si="31"/>
        <v>0</v>
      </c>
      <c r="DA45" s="756">
        <f ca="1">CX45+COUNTIFS($CY$6:$CY$53,CY45,$CZ$6:CZ$53,"&gt;"&amp;CZ45,$BC$6:$BC$53,INDEX(T_Equipos[Grupo],MATCH(BD45,T_Equipos[NombreEquipo],0)))</f>
        <v>1</v>
      </c>
      <c r="DB45" s="755" t="str">
        <f ca="1">IF(COUNTIFS($DA$6:$DA$53,DA45,$BC$6:$BC$53,INDEX(T_Equipos[Grupo],MATCH(BD45,T_Equipos[NombreEquipo],0)))=1,"-","P."&amp;DA45&amp;" ("&amp;COUNTIFS($DA$6:$DA$53,DA45,$BC$6:$BC$53,INDEX(T_Equipos[Grupo],MATCH(BD45,T_Equipos[NombreEquipo],0)))&amp;")")</f>
        <v>P.1 (4)</v>
      </c>
      <c r="DC45" s="754">
        <f ca="1">IF(DB45="-","-",COUNTIFS(T_Equipos[Rank],"&lt;"&amp;INDEX(T_Equipos[Rank],MATCH(BD45,T_Equipos[NombreEquipo],0)),$BC$6:$BC$53,INDEX(T_Equipos[Grupo],MATCH(BD45,T_Equipos[NombreEquipo],0)))+1)</f>
        <v>4</v>
      </c>
      <c r="DD45" s="754">
        <f ca="1">DA45+COUNTIFS($DB$6:$DB$53,DB45,$DC$6:DC$53,"&lt;"&amp;DC45,$BC$6:$BC$53,INDEX(T_Equipos[Grupo],MATCH(BD45,T_Equipos[NombreEquipo],0)))</f>
        <v>4</v>
      </c>
      <c r="DE45" s="754"/>
      <c r="DF45" s="754">
        <f t="shared" ca="1" si="52"/>
        <v>4</v>
      </c>
      <c r="DG45" s="754">
        <f ca="1">IF(DB45="-","-",COUNTIFS(DF$6:DF$53,"&lt;"&amp;DF45,$BC$6:$BC$53,INDEX(T_Equipos[Grupo],MATCH(BD45,T_Equipos[NombreEquipo],0))))</f>
        <v>3</v>
      </c>
      <c r="DH45" s="754">
        <f ca="1">DA45+COUNTIFS(DB$6:DB$53,DB45,DG$6:DG$53,"&lt;"&amp;DG45,$BC$6:$BC$53,INDEX(T_Equipos[Grupo],MATCH(BD45,T_Equipos[NombreEquipo],0)))</f>
        <v>4</v>
      </c>
      <c r="DI45" s="742"/>
      <c r="DJ45" s="742">
        <f t="shared" ca="1" si="53"/>
        <v>1</v>
      </c>
      <c r="DK45" s="742">
        <f t="shared" ca="1" si="24"/>
        <v>0</v>
      </c>
      <c r="DL45" s="742">
        <f t="shared" ca="1" si="33"/>
        <v>1</v>
      </c>
      <c r="DM45" s="736" t="str">
        <f t="shared" ca="1" si="34"/>
        <v>1.1</v>
      </c>
      <c r="DN45" s="742" cm="1">
        <f t="array" aca="1" ref="DN45" ca="1">OFFSET(Horarios!$P$3,DJ45-1,0,DL45,1)</f>
        <v>1</v>
      </c>
      <c r="DO45" s="742"/>
      <c r="DP45" s="742" t="s">
        <v>678</v>
      </c>
      <c r="DQ45" s="742" t="str">
        <f t="shared" ca="1" si="35"/>
        <v>Jordania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c r="AD46" s="194"/>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Países Bajos</v>
      </c>
      <c r="AM46" s="213">
        <f t="shared" ref="AM46:AT49" ca="1" si="153">INDEX($BE$6:$BN$53,MATCH($AL46,$BD$6:$BD$53,0),MATCH(AM$5,$BE$5:$BN$5,0))</f>
        <v>0</v>
      </c>
      <c r="AN46" s="214">
        <f t="shared" ca="1" si="153"/>
        <v>0</v>
      </c>
      <c r="AO46" s="214">
        <f t="shared" ca="1" si="153"/>
        <v>0</v>
      </c>
      <c r="AP46" s="214">
        <f t="shared" ca="1" si="153"/>
        <v>0</v>
      </c>
      <c r="AQ46" s="214">
        <f t="shared" ca="1" si="153"/>
        <v>0</v>
      </c>
      <c r="AR46" s="214">
        <f t="shared" ca="1" si="153"/>
        <v>0</v>
      </c>
      <c r="AS46" s="214">
        <f t="shared" ca="1" si="153"/>
        <v>0</v>
      </c>
      <c r="AT46" s="215">
        <f t="shared" ca="1" si="153"/>
        <v>0</v>
      </c>
      <c r="AU46" s="420">
        <f ca="1">INDEX($DL$6:$DL$53,MATCH(AI46,$DP$6:$DP$53,0))</f>
        <v>1</v>
      </c>
      <c r="AV46" s="217" t="str">
        <f ca="1">INDEX($BD$6:$BD$53,MATCH(AI46,$BM$6:$BM$53,0))</f>
        <v>Países Bajos</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0</v>
      </c>
      <c r="BF46" s="746">
        <f t="shared" ca="1" si="26"/>
        <v>0</v>
      </c>
      <c r="BG46" s="746">
        <f t="shared" ca="1" si="17"/>
        <v>0</v>
      </c>
      <c r="BH46" s="746">
        <f t="shared" ca="1" si="18"/>
        <v>0</v>
      </c>
      <c r="BI46" s="746">
        <f t="shared" ca="1" si="19"/>
        <v>0</v>
      </c>
      <c r="BJ46" s="746">
        <f t="shared" ca="1" si="20"/>
        <v>0</v>
      </c>
      <c r="BK46" s="746">
        <f t="shared" ca="1" si="21"/>
        <v>0</v>
      </c>
      <c r="BL46" s="746">
        <f t="shared" ca="1" si="27"/>
        <v>0</v>
      </c>
      <c r="BM46" s="746" t="str">
        <f t="shared" ca="1" si="22"/>
        <v>1K</v>
      </c>
      <c r="BN46" s="746" t="str">
        <f t="shared" ca="1" si="23"/>
        <v>1K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0</v>
      </c>
      <c r="BS46" s="755">
        <f ca="1">BP46+COUNTIFS($BQ$6:$BQ$53,BQ46,$BR$6:BR$53,"&gt;"&amp;BR46,$BC$6:$BC$53,INDEX(T_Equipos[Grupo],MATCH(BD46,T_Equipos[NombreEquipo],0)))</f>
        <v>1</v>
      </c>
      <c r="BT46" s="755" t="str">
        <f ca="1">IF(COUNTIFS($BS$6:$BS$53,BS46,$BC$6:$BC$53,INDEX(T_Equipos[Grupo],MATCH(BD46,T_Equipos[NombreEquipo],0)))=1,"-","P."&amp;BS46&amp;" ("&amp;COUNTIFS($BS$6:$BS$53,BS46,$BC$6:$BC$53,INDEX(T_Equipos[Grupo],MATCH(BD46,T_Equipos[NombreEquipo],0)))&amp;")")</f>
        <v>P.1 (4)</v>
      </c>
      <c r="BU46" s="756">
        <f t="shared" ca="1" si="36"/>
        <v>0</v>
      </c>
      <c r="BV46" s="756">
        <f t="shared" ca="1" si="37"/>
        <v>0</v>
      </c>
      <c r="BW46" s="756">
        <f t="shared" ca="1" si="38"/>
        <v>0</v>
      </c>
      <c r="BX46" s="756">
        <f t="shared" ca="1" si="39"/>
        <v>0</v>
      </c>
      <c r="BY46" s="756">
        <f ca="1">BS46+COUNTIFS($BT$6:$BT$53,BT46,$BX$6:BX$53,"&gt;"&amp;BX46,$BC$6:$BC$53,INDEX(T_Equipos[Grupo],MATCH(BD46,T_Equipos[NombreEquipo],0)))</f>
        <v>1</v>
      </c>
      <c r="BZ46" s="755" t="str">
        <f ca="1">IF(COUNTIFS($BY$6:$BY$53,BY46,$BC$6:$BC$53,INDEX(T_Equipos[Grupo],MATCH(BD46,T_Equipos[NombreEquipo],0)))=1,"-","P."&amp;BY46&amp;" ("&amp;COUNTIFS($BY$6:$BY$53,BY46,$BC$6:$BC$53,INDEX(T_Equipos[Grupo],MATCH(BD46,T_Equipos[NombreEquipo],0)))&amp;")")</f>
        <v>P.1 (4)</v>
      </c>
      <c r="CA46" s="756">
        <f t="shared" ca="1" si="40"/>
        <v>0</v>
      </c>
      <c r="CB46" s="756">
        <f t="shared" ca="1" si="41"/>
        <v>0</v>
      </c>
      <c r="CC46" s="756">
        <f t="shared" ca="1" si="42"/>
        <v>0</v>
      </c>
      <c r="CD46" s="756">
        <f ca="1">BY46+COUNTIFS($BZ$6:$BZ$53,BZ46,$CC$6:CC$53,"&gt;"&amp;CC46,$BC$6:$BC$53,INDEX(T_Equipos[Grupo],MATCH(BD46,T_Equipos[NombreEquipo],0)))</f>
        <v>1</v>
      </c>
      <c r="CE46" s="755" t="str">
        <f ca="1">IF(COUNTIFS($CD$6:$CD$53,CD46,$BC$6:$BC$53,INDEX(T_Equipos[Grupo],MATCH(BD46,T_Equipos[NombreEquipo],0)))=1,"-","P."&amp;CD46&amp;" ("&amp;COUNTIFS($CD$6:$CD$53,CD46,$BC$6:$BC$53,INDEX(T_Equipos[Grupo],MATCH(BD46,T_Equipos[NombreEquipo],0)))&amp;")")</f>
        <v>P.1 (4)</v>
      </c>
      <c r="CF46" s="756">
        <f t="shared" ca="1" si="43"/>
        <v>0</v>
      </c>
      <c r="CG46" s="756">
        <f ca="1">CD46+COUNTIFS($CE$6:$CE$53,CE46,$CF$6:CF$53,"&gt;"&amp;CF46,$BC$6:$BC$53,INDEX(T_Equipos[Grupo],MATCH(BD46,T_Equipos[NombreEquipo],0)))</f>
        <v>1</v>
      </c>
      <c r="CH46" s="755" t="str">
        <f ca="1">IF(COUNTIFS($CG$6:$CG$53,CG46,$BC$6:$BC$53,INDEX(T_Equipos[Grupo],MATCH(BD46,T_Equipos[NombreEquipo],0)))=1,"-","P."&amp;CG46&amp;" ("&amp;COUNTIFS($CG$6:$CG$53,CG46,$BC$6:$BC$53,INDEX(T_Equipos[Grupo],MATCH(BD46,T_Equipos[NombreEquipo],0)))&amp;")")</f>
        <v>P.1 (4)</v>
      </c>
      <c r="CI46" s="756">
        <f t="shared" ca="1" si="44"/>
        <v>0</v>
      </c>
      <c r="CJ46" s="756">
        <f t="shared" ca="1" si="45"/>
        <v>0</v>
      </c>
      <c r="CK46" s="756">
        <f t="shared" ca="1" si="46"/>
        <v>0</v>
      </c>
      <c r="CL46" s="756">
        <f t="shared" ca="1" si="47"/>
        <v>0</v>
      </c>
      <c r="CM46" s="756">
        <f ca="1">CG46+COUNTIFS($CH$6:$CH$53,CH46,$CL$6:CL$53,"&gt;"&amp;CL46,$BC$6:$BC$53,INDEX(T_Equipos[Grupo],MATCH(BD46,T_Equipos[NombreEquipo],0)))</f>
        <v>1</v>
      </c>
      <c r="CN46" s="755" t="str">
        <f ca="1">IF(COUNTIFS($CM$6:$CM$53,CM46,$BC$6:$BC$53,INDEX(T_Equipos[Grupo],MATCH(BD46,T_Equipos[NombreEquipo],0)))=1,"-","P."&amp;CM46&amp;" ("&amp;COUNTIFS($CM$6:$CM$53,CM46,$BC$6:$BC$53,INDEX(T_Equipos[Grupo],MATCH(BD46,T_Equipos[NombreEquipo],0)))&amp;")")</f>
        <v>P.1 (4)</v>
      </c>
      <c r="CO46" s="756">
        <f t="shared" ca="1" si="48"/>
        <v>0</v>
      </c>
      <c r="CP46" s="756">
        <f t="shared" ca="1" si="49"/>
        <v>0</v>
      </c>
      <c r="CQ46" s="756">
        <f t="shared" ca="1" si="50"/>
        <v>0</v>
      </c>
      <c r="CR46" s="756">
        <f ca="1">CM46+COUNTIFS($CN$6:$CN$53,CN46,$CQ$6:CQ$53,"&gt;"&amp;CQ46,$BC$6:$BC$53,INDEX(T_Equipos[Grupo],MATCH(BD46,T_Equipos[NombreEquipo],0)))</f>
        <v>1</v>
      </c>
      <c r="CS46" s="755" t="str">
        <f ca="1">IF(COUNTIFS($CR$6:$CR$53,CR46,$BC$6:$BC$53,INDEX(T_Equipos[Grupo],MATCH(BD46,T_Equipos[NombreEquipo],0)))=1,"-","P."&amp;CR46&amp;" ("&amp;COUNTIFS($CR$6:$CR$53,CR46,$BC$6:$BC$53,INDEX(T_Equipos[Grupo],MATCH(BD46,T_Equipos[NombreEquipo],0)))&amp;")")</f>
        <v>P.1 (4)</v>
      </c>
      <c r="CT46" s="756">
        <f t="shared" ca="1" si="51"/>
        <v>0</v>
      </c>
      <c r="CU46" s="756">
        <f ca="1">CR46+COUNTIFS($CS$6:$CS$53,CS46,$CT$6:CT$53,"&gt;"&amp;CT46,$BC$6:$BC$53,INDEX(T_Equipos[Grupo],MATCH(BD46,T_Equipos[NombreEquipo],0)))</f>
        <v>1</v>
      </c>
      <c r="CV46" s="755" t="str">
        <f ca="1">IF(COUNTIFS($CU$6:$CU$53,CU46,$BC$6:$BC$53,INDEX(T_Equipos[Grupo],MATCH(BD46,T_Equipos[NombreEquipo],0)))=1,"-","P."&amp;CU46&amp;" ("&amp;COUNTIFS($CU$6:$CU$53,CU46,$BC$6:$BC$53,INDEX(T_Equipos[Grupo],MATCH(BD46,T_Equipos[NombreEquipo],0)))&amp;")")</f>
        <v>P.1 (4)</v>
      </c>
      <c r="CW46" s="755">
        <f t="shared" ca="1" si="30"/>
        <v>0</v>
      </c>
      <c r="CX46" s="755">
        <f ca="1">CU46+COUNTIFS($CV$6:$CV$53,CV46,$CW$6:CW$53,"&gt;"&amp;CW46,$BC$6:$BC$53,INDEX(T_Equipos[Grupo],MATCH(BD46,T_Equipos[NombreEquipo],0)))</f>
        <v>1</v>
      </c>
      <c r="CY46" s="755" t="str">
        <f ca="1">IF(COUNTIFS($CX$6:$CX$53,CX46,$BC$6:$BC$53,INDEX(T_Equipos[Grupo],MATCH(BD46,T_Equipos[NombreEquipo],0)))=1,"-","P."&amp;CX46&amp;" ("&amp;COUNTIFS($CX$6:$CX$53,CX46,$BC$6:$BC$53,INDEX(T_Equipos[Grupo],MATCH(BD46,T_Equipos[NombreEquipo],0)))&amp;")")</f>
        <v>P.1 (4)</v>
      </c>
      <c r="CZ46" s="755">
        <f t="shared" ca="1" si="31"/>
        <v>0</v>
      </c>
      <c r="DA46" s="756">
        <f ca="1">CX46+COUNTIFS($CY$6:$CY$53,CY46,$CZ$6:CZ$53,"&gt;"&amp;CZ46,$BC$6:$BC$53,INDEX(T_Equipos[Grupo],MATCH(BD46,T_Equipos[NombreEquipo],0)))</f>
        <v>1</v>
      </c>
      <c r="DB46" s="755" t="str">
        <f ca="1">IF(COUNTIFS($DA$6:$DA$53,DA46,$BC$6:$BC$53,INDEX(T_Equipos[Grupo],MATCH(BD46,T_Equipos[NombreEquipo],0)))=1,"-","P."&amp;DA46&amp;" ("&amp;COUNTIFS($DA$6:$DA$53,DA46,$BC$6:$BC$53,INDEX(T_Equipos[Grupo],MATCH(BD46,T_Equipos[NombreEquipo],0)))&amp;")")</f>
        <v>P.1 (4)</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1</v>
      </c>
      <c r="DE46" s="754"/>
      <c r="DF46" s="754">
        <f t="shared" ca="1" si="52"/>
        <v>1</v>
      </c>
      <c r="DG46" s="754">
        <f ca="1">IF(DB46="-","-",COUNTIFS(DF$6:DF$53,"&lt;"&amp;DF46,$BC$6:$BC$53,INDEX(T_Equipos[Grupo],MATCH(BD46,T_Equipos[NombreEquipo],0))))</f>
        <v>0</v>
      </c>
      <c r="DH46" s="754">
        <f ca="1">DA46+COUNTIFS(DB$6:DB$53,DB46,DG$6:DG$53,"&lt;"&amp;DG46,$BC$6:$BC$53,INDEX(T_Equipos[Grupo],MATCH(BD46,T_Equipos[NombreEquipo],0)))</f>
        <v>1</v>
      </c>
      <c r="DI46" s="742"/>
      <c r="DJ46" s="742">
        <f t="shared" ca="1" si="53"/>
        <v>1</v>
      </c>
      <c r="DK46" s="742">
        <f t="shared" ca="1" si="24"/>
        <v>0</v>
      </c>
      <c r="DL46" s="742">
        <f t="shared" ca="1" si="33"/>
        <v>1</v>
      </c>
      <c r="DM46" s="736" t="str">
        <f t="shared" ca="1" si="34"/>
        <v>1.1</v>
      </c>
      <c r="DN46" s="742" cm="1">
        <f t="array" aca="1" ref="DN46" ca="1">OFFSET(Horarios!$P$3,DJ46-1,0,DL46,1)</f>
        <v>1</v>
      </c>
      <c r="DO46" s="742"/>
      <c r="DP46" s="742" t="s">
        <v>679</v>
      </c>
      <c r="DQ46" s="742" t="str">
        <f t="shared" ca="1" si="35"/>
        <v>Portugal</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c r="AD47" s="194"/>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Japón</v>
      </c>
      <c r="AM47" s="223">
        <f t="shared" ca="1" si="153"/>
        <v>0</v>
      </c>
      <c r="AN47" s="224">
        <f t="shared" ca="1" si="153"/>
        <v>0</v>
      </c>
      <c r="AO47" s="224">
        <f t="shared" ca="1" si="153"/>
        <v>0</v>
      </c>
      <c r="AP47" s="224">
        <f t="shared" ca="1" si="153"/>
        <v>0</v>
      </c>
      <c r="AQ47" s="224">
        <f t="shared" ca="1" si="153"/>
        <v>0</v>
      </c>
      <c r="AR47" s="224">
        <f t="shared" ca="1" si="153"/>
        <v>0</v>
      </c>
      <c r="AS47" s="224">
        <f t="shared" ca="1" si="153"/>
        <v>0</v>
      </c>
      <c r="AT47" s="225">
        <f t="shared" ca="1" si="153"/>
        <v>0</v>
      </c>
      <c r="AU47" s="420">
        <f ca="1">INDEX($DL$6:$DL$53,MATCH(AI47,$DP$6:$DP$53,0))</f>
        <v>1</v>
      </c>
      <c r="AV47" s="217" t="str">
        <f ca="1">INDEX($BD$6:$BD$53,MATCH(AI47,$BM$6:$BM$53,0))</f>
        <v>Japón</v>
      </c>
      <c r="AW47" s="427"/>
      <c r="AX47" s="218"/>
      <c r="AY47" s="226" t="str">
        <f ca="1">+A46</f>
        <v>Japón</v>
      </c>
      <c r="AZ47" s="227"/>
      <c r="BA47" s="175"/>
      <c r="BB47" s="742"/>
      <c r="BC47" s="754" t="str">
        <f ca="1">+INDEX(T_Equipos[Grupo],MATCH(WORLDCUP!BD47,T_Equipos[NombreEquipo],0))</f>
        <v>K</v>
      </c>
      <c r="BD47" s="742" t="str">
        <f ca="1">+Equipos!B43</f>
        <v>RD Congo</v>
      </c>
      <c r="BE47" s="746">
        <f t="shared" ca="1" si="25"/>
        <v>0</v>
      </c>
      <c r="BF47" s="746">
        <f t="shared" ca="1" si="26"/>
        <v>0</v>
      </c>
      <c r="BG47" s="746">
        <f t="shared" ca="1" si="17"/>
        <v>0</v>
      </c>
      <c r="BH47" s="746">
        <f t="shared" ca="1" si="18"/>
        <v>0</v>
      </c>
      <c r="BI47" s="746">
        <f t="shared" ca="1" si="19"/>
        <v>0</v>
      </c>
      <c r="BJ47" s="746">
        <f t="shared" ca="1" si="20"/>
        <v>0</v>
      </c>
      <c r="BK47" s="746">
        <f t="shared" ca="1" si="21"/>
        <v>0</v>
      </c>
      <c r="BL47" s="746">
        <f t="shared" ca="1" si="27"/>
        <v>0</v>
      </c>
      <c r="BM47" s="746" t="str">
        <f t="shared" ca="1" si="22"/>
        <v>2K</v>
      </c>
      <c r="BN47" s="746" t="str">
        <f t="shared" ca="1" si="23"/>
        <v>2K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0</v>
      </c>
      <c r="BS47" s="755">
        <f ca="1">BP47+COUNTIFS($BQ$6:$BQ$53,BQ47,$BR$6:BR$53,"&gt;"&amp;BR47,$BC$6:$BC$53,INDEX(T_Equipos[Grupo],MATCH(BD47,T_Equipos[NombreEquipo],0)))</f>
        <v>1</v>
      </c>
      <c r="BT47" s="755" t="str">
        <f ca="1">IF(COUNTIFS($BS$6:$BS$53,BS47,$BC$6:$BC$53,INDEX(T_Equipos[Grupo],MATCH(BD47,T_Equipos[NombreEquipo],0)))=1,"-","P."&amp;BS47&amp;" ("&amp;COUNTIFS($BS$6:$BS$53,BS47,$BC$6:$BC$53,INDEX(T_Equipos[Grupo],MATCH(BD47,T_Equipos[NombreEquipo],0)))&amp;")")</f>
        <v>P.1 (4)</v>
      </c>
      <c r="BU47" s="756">
        <f t="shared" ca="1" si="36"/>
        <v>0</v>
      </c>
      <c r="BV47" s="756">
        <f t="shared" ca="1" si="37"/>
        <v>0</v>
      </c>
      <c r="BW47" s="756">
        <f t="shared" ca="1" si="38"/>
        <v>0</v>
      </c>
      <c r="BX47" s="756">
        <f t="shared" ca="1" si="39"/>
        <v>0</v>
      </c>
      <c r="BY47" s="756">
        <f ca="1">BS47+COUNTIFS($BT$6:$BT$53,BT47,$BX$6:BX$53,"&gt;"&amp;BX47,$BC$6:$BC$53,INDEX(T_Equipos[Grupo],MATCH(BD47,T_Equipos[NombreEquipo],0)))</f>
        <v>1</v>
      </c>
      <c r="BZ47" s="755" t="str">
        <f ca="1">IF(COUNTIFS($BY$6:$BY$53,BY47,$BC$6:$BC$53,INDEX(T_Equipos[Grupo],MATCH(BD47,T_Equipos[NombreEquipo],0)))=1,"-","P."&amp;BY47&amp;" ("&amp;COUNTIFS($BY$6:$BY$53,BY47,$BC$6:$BC$53,INDEX(T_Equipos[Grupo],MATCH(BD47,T_Equipos[NombreEquipo],0)))&amp;")")</f>
        <v>P.1 (4)</v>
      </c>
      <c r="CA47" s="756">
        <f t="shared" ca="1" si="40"/>
        <v>0</v>
      </c>
      <c r="CB47" s="756">
        <f t="shared" ca="1" si="41"/>
        <v>0</v>
      </c>
      <c r="CC47" s="756">
        <f t="shared" ca="1" si="42"/>
        <v>0</v>
      </c>
      <c r="CD47" s="756">
        <f ca="1">BY47+COUNTIFS($BZ$6:$BZ$53,BZ47,$CC$6:CC$53,"&gt;"&amp;CC47,$BC$6:$BC$53,INDEX(T_Equipos[Grupo],MATCH(BD47,T_Equipos[NombreEquipo],0)))</f>
        <v>1</v>
      </c>
      <c r="CE47" s="755" t="str">
        <f ca="1">IF(COUNTIFS($CD$6:$CD$53,CD47,$BC$6:$BC$53,INDEX(T_Equipos[Grupo],MATCH(BD47,T_Equipos[NombreEquipo],0)))=1,"-","P."&amp;CD47&amp;" ("&amp;COUNTIFS($CD$6:$CD$53,CD47,$BC$6:$BC$53,INDEX(T_Equipos[Grupo],MATCH(BD47,T_Equipos[NombreEquipo],0)))&amp;")")</f>
        <v>P.1 (4)</v>
      </c>
      <c r="CF47" s="756">
        <f t="shared" ca="1" si="43"/>
        <v>0</v>
      </c>
      <c r="CG47" s="756">
        <f ca="1">CD47+COUNTIFS($CE$6:$CE$53,CE47,$CF$6:CF$53,"&gt;"&amp;CF47,$BC$6:$BC$53,INDEX(T_Equipos[Grupo],MATCH(BD47,T_Equipos[NombreEquipo],0)))</f>
        <v>1</v>
      </c>
      <c r="CH47" s="755" t="str">
        <f ca="1">IF(COUNTIFS($CG$6:$CG$53,CG47,$BC$6:$BC$53,INDEX(T_Equipos[Grupo],MATCH(BD47,T_Equipos[NombreEquipo],0)))=1,"-","P."&amp;CG47&amp;" ("&amp;COUNTIFS($CG$6:$CG$53,CG47,$BC$6:$BC$53,INDEX(T_Equipos[Grupo],MATCH(BD47,T_Equipos[NombreEquipo],0)))&amp;")")</f>
        <v>P.1 (4)</v>
      </c>
      <c r="CI47" s="756">
        <f t="shared" ca="1" si="44"/>
        <v>0</v>
      </c>
      <c r="CJ47" s="756">
        <f t="shared" ca="1" si="45"/>
        <v>0</v>
      </c>
      <c r="CK47" s="756">
        <f t="shared" ca="1" si="46"/>
        <v>0</v>
      </c>
      <c r="CL47" s="756">
        <f t="shared" ca="1" si="47"/>
        <v>0</v>
      </c>
      <c r="CM47" s="756">
        <f ca="1">CG47+COUNTIFS($CH$6:$CH$53,CH47,$CL$6:CL$53,"&gt;"&amp;CL47,$BC$6:$BC$53,INDEX(T_Equipos[Grupo],MATCH(BD47,T_Equipos[NombreEquipo],0)))</f>
        <v>1</v>
      </c>
      <c r="CN47" s="755" t="str">
        <f ca="1">IF(COUNTIFS($CM$6:$CM$53,CM47,$BC$6:$BC$53,INDEX(T_Equipos[Grupo],MATCH(BD47,T_Equipos[NombreEquipo],0)))=1,"-","P."&amp;CM47&amp;" ("&amp;COUNTIFS($CM$6:$CM$53,CM47,$BC$6:$BC$53,INDEX(T_Equipos[Grupo],MATCH(BD47,T_Equipos[NombreEquipo],0)))&amp;")")</f>
        <v>P.1 (4)</v>
      </c>
      <c r="CO47" s="756">
        <f t="shared" ca="1" si="48"/>
        <v>0</v>
      </c>
      <c r="CP47" s="756">
        <f t="shared" ca="1" si="49"/>
        <v>0</v>
      </c>
      <c r="CQ47" s="756">
        <f t="shared" ca="1" si="50"/>
        <v>0</v>
      </c>
      <c r="CR47" s="756">
        <f ca="1">CM47+COUNTIFS($CN$6:$CN$53,CN47,$CQ$6:CQ$53,"&gt;"&amp;CQ47,$BC$6:$BC$53,INDEX(T_Equipos[Grupo],MATCH(BD47,T_Equipos[NombreEquipo],0)))</f>
        <v>1</v>
      </c>
      <c r="CS47" s="755" t="str">
        <f ca="1">IF(COUNTIFS($CR$6:$CR$53,CR47,$BC$6:$BC$53,INDEX(T_Equipos[Grupo],MATCH(BD47,T_Equipos[NombreEquipo],0)))=1,"-","P."&amp;CR47&amp;" ("&amp;COUNTIFS($CR$6:$CR$53,CR47,$BC$6:$BC$53,INDEX(T_Equipos[Grupo],MATCH(BD47,T_Equipos[NombreEquipo],0)))&amp;")")</f>
        <v>P.1 (4)</v>
      </c>
      <c r="CT47" s="756">
        <f t="shared" ca="1" si="51"/>
        <v>0</v>
      </c>
      <c r="CU47" s="756">
        <f ca="1">CR47+COUNTIFS($CS$6:$CS$53,CS47,$CT$6:CT$53,"&gt;"&amp;CT47,$BC$6:$BC$53,INDEX(T_Equipos[Grupo],MATCH(BD47,T_Equipos[NombreEquipo],0)))</f>
        <v>1</v>
      </c>
      <c r="CV47" s="755" t="str">
        <f ca="1">IF(COUNTIFS($CU$6:$CU$53,CU47,$BC$6:$BC$53,INDEX(T_Equipos[Grupo],MATCH(BD47,T_Equipos[NombreEquipo],0)))=1,"-","P."&amp;CU47&amp;" ("&amp;COUNTIFS($CU$6:$CU$53,CU47,$BC$6:$BC$53,INDEX(T_Equipos[Grupo],MATCH(BD47,T_Equipos[NombreEquipo],0)))&amp;")")</f>
        <v>P.1 (4)</v>
      </c>
      <c r="CW47" s="755">
        <f t="shared" ca="1" si="30"/>
        <v>0</v>
      </c>
      <c r="CX47" s="755">
        <f ca="1">CU47+COUNTIFS($CV$6:$CV$53,CV47,$CW$6:CW$53,"&gt;"&amp;CW47,$BC$6:$BC$53,INDEX(T_Equipos[Grupo],MATCH(BD47,T_Equipos[NombreEquipo],0)))</f>
        <v>1</v>
      </c>
      <c r="CY47" s="755" t="str">
        <f ca="1">IF(COUNTIFS($CX$6:$CX$53,CX47,$BC$6:$BC$53,INDEX(T_Equipos[Grupo],MATCH(BD47,T_Equipos[NombreEquipo],0)))=1,"-","P."&amp;CX47&amp;" ("&amp;COUNTIFS($CX$6:$CX$53,CX47,$BC$6:$BC$53,INDEX(T_Equipos[Grupo],MATCH(BD47,T_Equipos[NombreEquipo],0)))&amp;")")</f>
        <v>P.1 (4)</v>
      </c>
      <c r="CZ47" s="755">
        <f t="shared" ca="1" si="31"/>
        <v>0</v>
      </c>
      <c r="DA47" s="756">
        <f ca="1">CX47+COUNTIFS($CY$6:$CY$53,CY47,$CZ$6:CZ$53,"&gt;"&amp;CZ47,$BC$6:$BC$53,INDEX(T_Equipos[Grupo],MATCH(BD47,T_Equipos[NombreEquipo],0)))</f>
        <v>1</v>
      </c>
      <c r="DB47" s="755" t="str">
        <f ca="1">IF(COUNTIFS($DA$6:$DA$53,DA47,$BC$6:$BC$53,INDEX(T_Equipos[Grupo],MATCH(BD47,T_Equipos[NombreEquipo],0)))=1,"-","P."&amp;DA47&amp;" ("&amp;COUNTIFS($DA$6:$DA$53,DA47,$BC$6:$BC$53,INDEX(T_Equipos[Grupo],MATCH(BD47,T_Equipos[NombreEquipo],0)))&amp;")")</f>
        <v>P.1 (4)</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2</v>
      </c>
      <c r="DE47" s="754"/>
      <c r="DF47" s="754">
        <f t="shared" ca="1" si="52"/>
        <v>2</v>
      </c>
      <c r="DG47" s="754">
        <f ca="1">IF(DB47="-","-",COUNTIFS(DF$6:DF$53,"&lt;"&amp;DF47,$BC$6:$BC$53,INDEX(T_Equipos[Grupo],MATCH(BD47,T_Equipos[NombreEquipo],0))))</f>
        <v>1</v>
      </c>
      <c r="DH47" s="754">
        <f ca="1">DA47+COUNTIFS(DB$6:DB$53,DB47,DG$6:DG$53,"&lt;"&amp;DG47,$BC$6:$BC$53,INDEX(T_Equipos[Grupo],MATCH(BD47,T_Equipos[NombreEquipo],0)))</f>
        <v>2</v>
      </c>
      <c r="DI47" s="742"/>
      <c r="DJ47" s="742">
        <f t="shared" ca="1" si="53"/>
        <v>1</v>
      </c>
      <c r="DK47" s="742">
        <f t="shared" ca="1" si="24"/>
        <v>0</v>
      </c>
      <c r="DL47" s="742">
        <f t="shared" ca="1" si="33"/>
        <v>1</v>
      </c>
      <c r="DM47" s="736" t="str">
        <f t="shared" ca="1" si="34"/>
        <v>1.1</v>
      </c>
      <c r="DN47" s="742" cm="1">
        <f t="array" aca="1" ref="DN47" ca="1">OFFSET(Horarios!$P$3,DJ47-1,0,DL47,1)</f>
        <v>1</v>
      </c>
      <c r="DO47" s="742"/>
      <c r="DP47" s="742" t="s">
        <v>680</v>
      </c>
      <c r="DQ47" s="742" t="str">
        <f t="shared" ca="1" si="35"/>
        <v>RD Congo</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c r="AD48" s="194"/>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Suecia</v>
      </c>
      <c r="AM48" s="223">
        <f t="shared" ca="1" si="153"/>
        <v>0</v>
      </c>
      <c r="AN48" s="224">
        <f t="shared" ca="1" si="153"/>
        <v>0</v>
      </c>
      <c r="AO48" s="224">
        <f t="shared" ca="1" si="153"/>
        <v>0</v>
      </c>
      <c r="AP48" s="224">
        <f t="shared" ca="1" si="153"/>
        <v>0</v>
      </c>
      <c r="AQ48" s="224">
        <f t="shared" ca="1" si="153"/>
        <v>0</v>
      </c>
      <c r="AR48" s="224">
        <f t="shared" ca="1" si="153"/>
        <v>0</v>
      </c>
      <c r="AS48" s="224">
        <f t="shared" ca="1" si="153"/>
        <v>0</v>
      </c>
      <c r="AT48" s="225">
        <f t="shared" ca="1" si="153"/>
        <v>0</v>
      </c>
      <c r="AU48" s="420">
        <f ca="1">INDEX($DL$6:$DL$53,MATCH(AI48,$DP$6:$DP$53,0))</f>
        <v>1</v>
      </c>
      <c r="AV48" s="217" t="str">
        <f ca="1">INDEX($BD$6:$BD$53,MATCH(AI48,$BM$6:$BM$53,0))</f>
        <v>Suecia</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0</v>
      </c>
      <c r="BG48" s="746">
        <f t="shared" ca="1" si="17"/>
        <v>0</v>
      </c>
      <c r="BH48" s="746">
        <f t="shared" ca="1" si="18"/>
        <v>0</v>
      </c>
      <c r="BI48" s="746">
        <f t="shared" ca="1" si="19"/>
        <v>0</v>
      </c>
      <c r="BJ48" s="746">
        <f t="shared" ca="1" si="20"/>
        <v>0</v>
      </c>
      <c r="BK48" s="746">
        <f t="shared" ca="1" si="21"/>
        <v>0</v>
      </c>
      <c r="BL48" s="746">
        <f t="shared" ca="1" si="27"/>
        <v>0</v>
      </c>
      <c r="BM48" s="746" t="str">
        <f t="shared" ca="1" si="22"/>
        <v>3K</v>
      </c>
      <c r="BN48" s="746" t="str">
        <f t="shared" ca="1" si="23"/>
        <v>3K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1</v>
      </c>
      <c r="BT48" s="755" t="str">
        <f ca="1">IF(COUNTIFS($BS$6:$BS$53,BS48,$BC$6:$BC$53,INDEX(T_Equipos[Grupo],MATCH(BD48,T_Equipos[NombreEquipo],0)))=1,"-","P."&amp;BS48&amp;" ("&amp;COUNTIFS($BS$6:$BS$53,BS48,$BC$6:$BC$53,INDEX(T_Equipos[Grupo],MATCH(BD48,T_Equipos[NombreEquipo],0)))&amp;")")</f>
        <v>P.1 (4)</v>
      </c>
      <c r="BU48" s="756">
        <f t="shared" ca="1" si="36"/>
        <v>0</v>
      </c>
      <c r="BV48" s="756">
        <f t="shared" ca="1" si="37"/>
        <v>0</v>
      </c>
      <c r="BW48" s="756">
        <f t="shared" ca="1" si="38"/>
        <v>0</v>
      </c>
      <c r="BX48" s="756">
        <f t="shared" ca="1" si="39"/>
        <v>0</v>
      </c>
      <c r="BY48" s="756">
        <f ca="1">BS48+COUNTIFS($BT$6:$BT$53,BT48,$BX$6:BX$53,"&gt;"&amp;BX48,$BC$6:$BC$53,INDEX(T_Equipos[Grupo],MATCH(BD48,T_Equipos[NombreEquipo],0)))</f>
        <v>1</v>
      </c>
      <c r="BZ48" s="755" t="str">
        <f ca="1">IF(COUNTIFS($BY$6:$BY$53,BY48,$BC$6:$BC$53,INDEX(T_Equipos[Grupo],MATCH(BD48,T_Equipos[NombreEquipo],0)))=1,"-","P."&amp;BY48&amp;" ("&amp;COUNTIFS($BY$6:$BY$53,BY48,$BC$6:$BC$53,INDEX(T_Equipos[Grupo],MATCH(BD48,T_Equipos[NombreEquipo],0)))&amp;")")</f>
        <v>P.1 (4)</v>
      </c>
      <c r="CA48" s="756">
        <f t="shared" ca="1" si="40"/>
        <v>0</v>
      </c>
      <c r="CB48" s="756">
        <f t="shared" ca="1" si="41"/>
        <v>0</v>
      </c>
      <c r="CC48" s="756">
        <f t="shared" ca="1" si="42"/>
        <v>0</v>
      </c>
      <c r="CD48" s="756">
        <f ca="1">BY48+COUNTIFS($BZ$6:$BZ$53,BZ48,$CC$6:CC$53,"&gt;"&amp;CC48,$BC$6:$BC$53,INDEX(T_Equipos[Grupo],MATCH(BD48,T_Equipos[NombreEquipo],0)))</f>
        <v>1</v>
      </c>
      <c r="CE48" s="755" t="str">
        <f ca="1">IF(COUNTIFS($CD$6:$CD$53,CD48,$BC$6:$BC$53,INDEX(T_Equipos[Grupo],MATCH(BD48,T_Equipos[NombreEquipo],0)))=1,"-","P."&amp;CD48&amp;" ("&amp;COUNTIFS($CD$6:$CD$53,CD48,$BC$6:$BC$53,INDEX(T_Equipos[Grupo],MATCH(BD48,T_Equipos[NombreEquipo],0)))&amp;")")</f>
        <v>P.1 (4)</v>
      </c>
      <c r="CF48" s="756">
        <f t="shared" ca="1" si="43"/>
        <v>0</v>
      </c>
      <c r="CG48" s="756">
        <f ca="1">CD48+COUNTIFS($CE$6:$CE$53,CE48,$CF$6:CF$53,"&gt;"&amp;CF48,$BC$6:$BC$53,INDEX(T_Equipos[Grupo],MATCH(BD48,T_Equipos[NombreEquipo],0)))</f>
        <v>1</v>
      </c>
      <c r="CH48" s="755" t="str">
        <f ca="1">IF(COUNTIFS($CG$6:$CG$53,CG48,$BC$6:$BC$53,INDEX(T_Equipos[Grupo],MATCH(BD48,T_Equipos[NombreEquipo],0)))=1,"-","P."&amp;CG48&amp;" ("&amp;COUNTIFS($CG$6:$CG$53,CG48,$BC$6:$BC$53,INDEX(T_Equipos[Grupo],MATCH(BD48,T_Equipos[NombreEquipo],0)))&amp;")")</f>
        <v>P.1 (4)</v>
      </c>
      <c r="CI48" s="756">
        <f t="shared" ca="1" si="44"/>
        <v>0</v>
      </c>
      <c r="CJ48" s="756">
        <f t="shared" ca="1" si="45"/>
        <v>0</v>
      </c>
      <c r="CK48" s="756">
        <f t="shared" ca="1" si="46"/>
        <v>0</v>
      </c>
      <c r="CL48" s="756">
        <f t="shared" ca="1" si="47"/>
        <v>0</v>
      </c>
      <c r="CM48" s="756">
        <f ca="1">CG48+COUNTIFS($CH$6:$CH$53,CH48,$CL$6:CL$53,"&gt;"&amp;CL48,$BC$6:$BC$53,INDEX(T_Equipos[Grupo],MATCH(BD48,T_Equipos[NombreEquipo],0)))</f>
        <v>1</v>
      </c>
      <c r="CN48" s="755" t="str">
        <f ca="1">IF(COUNTIFS($CM$6:$CM$53,CM48,$BC$6:$BC$53,INDEX(T_Equipos[Grupo],MATCH(BD48,T_Equipos[NombreEquipo],0)))=1,"-","P."&amp;CM48&amp;" ("&amp;COUNTIFS($CM$6:$CM$53,CM48,$BC$6:$BC$53,INDEX(T_Equipos[Grupo],MATCH(BD48,T_Equipos[NombreEquipo],0)))&amp;")")</f>
        <v>P.1 (4)</v>
      </c>
      <c r="CO48" s="756">
        <f t="shared" ca="1" si="48"/>
        <v>0</v>
      </c>
      <c r="CP48" s="756">
        <f t="shared" ca="1" si="49"/>
        <v>0</v>
      </c>
      <c r="CQ48" s="756">
        <f t="shared" ca="1" si="50"/>
        <v>0</v>
      </c>
      <c r="CR48" s="756">
        <f ca="1">CM48+COUNTIFS($CN$6:$CN$53,CN48,$CQ$6:CQ$53,"&gt;"&amp;CQ48,$BC$6:$BC$53,INDEX(T_Equipos[Grupo],MATCH(BD48,T_Equipos[NombreEquipo],0)))</f>
        <v>1</v>
      </c>
      <c r="CS48" s="755" t="str">
        <f ca="1">IF(COUNTIFS($CR$6:$CR$53,CR48,$BC$6:$BC$53,INDEX(T_Equipos[Grupo],MATCH(BD48,T_Equipos[NombreEquipo],0)))=1,"-","P."&amp;CR48&amp;" ("&amp;COUNTIFS($CR$6:$CR$53,CR48,$BC$6:$BC$53,INDEX(T_Equipos[Grupo],MATCH(BD48,T_Equipos[NombreEquipo],0)))&amp;")")</f>
        <v>P.1 (4)</v>
      </c>
      <c r="CT48" s="756">
        <f t="shared" ca="1" si="51"/>
        <v>0</v>
      </c>
      <c r="CU48" s="756">
        <f ca="1">CR48+COUNTIFS($CS$6:$CS$53,CS48,$CT$6:CT$53,"&gt;"&amp;CT48,$BC$6:$BC$53,INDEX(T_Equipos[Grupo],MATCH(BD48,T_Equipos[NombreEquipo],0)))</f>
        <v>1</v>
      </c>
      <c r="CV48" s="755" t="str">
        <f ca="1">IF(COUNTIFS($CU$6:$CU$53,CU48,$BC$6:$BC$53,INDEX(T_Equipos[Grupo],MATCH(BD48,T_Equipos[NombreEquipo],0)))=1,"-","P."&amp;CU48&amp;" ("&amp;COUNTIFS($CU$6:$CU$53,CU48,$BC$6:$BC$53,INDEX(T_Equipos[Grupo],MATCH(BD48,T_Equipos[NombreEquipo],0)))&amp;")")</f>
        <v>P.1 (4)</v>
      </c>
      <c r="CW48" s="755">
        <f t="shared" ca="1" si="30"/>
        <v>0</v>
      </c>
      <c r="CX48" s="755">
        <f ca="1">CU48+COUNTIFS($CV$6:$CV$53,CV48,$CW$6:CW$53,"&gt;"&amp;CW48,$BC$6:$BC$53,INDEX(T_Equipos[Grupo],MATCH(BD48,T_Equipos[NombreEquipo],0)))</f>
        <v>1</v>
      </c>
      <c r="CY48" s="755" t="str">
        <f ca="1">IF(COUNTIFS($CX$6:$CX$53,CX48,$BC$6:$BC$53,INDEX(T_Equipos[Grupo],MATCH(BD48,T_Equipos[NombreEquipo],0)))=1,"-","P."&amp;CX48&amp;" ("&amp;COUNTIFS($CX$6:$CX$53,CX48,$BC$6:$BC$53,INDEX(T_Equipos[Grupo],MATCH(BD48,T_Equipos[NombreEquipo],0)))&amp;")")</f>
        <v>P.1 (4)</v>
      </c>
      <c r="CZ48" s="755">
        <f t="shared" ca="1" si="31"/>
        <v>0</v>
      </c>
      <c r="DA48" s="756">
        <f ca="1">CX48+COUNTIFS($CY$6:$CY$53,CY48,$CZ$6:CZ$53,"&gt;"&amp;CZ48,$BC$6:$BC$53,INDEX(T_Equipos[Grupo],MATCH(BD48,T_Equipos[NombreEquipo],0)))</f>
        <v>1</v>
      </c>
      <c r="DB48" s="755" t="str">
        <f ca="1">IF(COUNTIFS($DA$6:$DA$53,DA48,$BC$6:$BC$53,INDEX(T_Equipos[Grupo],MATCH(BD48,T_Equipos[NombreEquipo],0)))=1,"-","P."&amp;DA48&amp;" ("&amp;COUNTIFS($DA$6:$DA$53,DA48,$BC$6:$BC$53,INDEX(T_Equipos[Grupo],MATCH(BD48,T_Equipos[NombreEquipo],0)))&amp;")")</f>
        <v>P.1 (4)</v>
      </c>
      <c r="DC48" s="754">
        <f ca="1">IF(DB48="-","-",COUNTIFS(T_Equipos[Rank],"&lt;"&amp;INDEX(T_Equipos[Rank],MATCH(BD48,T_Equipos[NombreEquipo],0)),$BC$6:$BC$53,INDEX(T_Equipos[Grupo],MATCH(BD48,T_Equipos[NombreEquipo],0)))+1)</f>
        <v>3</v>
      </c>
      <c r="DD48" s="754">
        <f ca="1">DA48+COUNTIFS($DB$6:$DB$53,DB48,$DC$6:DC$53,"&lt;"&amp;DC48,$BC$6:$BC$53,INDEX(T_Equipos[Grupo],MATCH(BD48,T_Equipos[NombreEquipo],0)))</f>
        <v>3</v>
      </c>
      <c r="DE48" s="754"/>
      <c r="DF48" s="754">
        <f t="shared" ca="1" si="52"/>
        <v>3</v>
      </c>
      <c r="DG48" s="754">
        <f ca="1">IF(DB48="-","-",COUNTIFS(DF$6:DF$53,"&lt;"&amp;DF48,$BC$6:$BC$53,INDEX(T_Equipos[Grupo],MATCH(BD48,T_Equipos[NombreEquipo],0))))</f>
        <v>2</v>
      </c>
      <c r="DH48" s="754">
        <f ca="1">DA48+COUNTIFS(DB$6:DB$53,DB48,DG$6:DG$53,"&lt;"&amp;DG48,$BC$6:$BC$53,INDEX(T_Equipos[Grupo],MATCH(BD48,T_Equipos[NombreEquipo],0)))</f>
        <v>3</v>
      </c>
      <c r="DI48" s="742"/>
      <c r="DJ48" s="742">
        <f t="shared" ca="1" si="53"/>
        <v>1</v>
      </c>
      <c r="DK48" s="742">
        <f t="shared" ca="1" si="24"/>
        <v>0</v>
      </c>
      <c r="DL48" s="742">
        <f t="shared" ca="1" si="33"/>
        <v>1</v>
      </c>
      <c r="DM48" s="736" t="str">
        <f t="shared" ca="1" si="34"/>
        <v>1.1</v>
      </c>
      <c r="DN48" s="742" cm="1">
        <f t="array" aca="1" ref="DN48" ca="1">OFFSET(Horarios!$P$3,DJ48-1,0,DL48,1)</f>
        <v>1</v>
      </c>
      <c r="DO48" s="742"/>
      <c r="DP48" s="742" t="s">
        <v>442</v>
      </c>
      <c r="DQ48" s="742" t="str">
        <f t="shared" ca="1" si="35"/>
        <v>Uzbekistán</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c r="AD49" s="233"/>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0</v>
      </c>
      <c r="AO49" s="238">
        <f t="shared" ca="1" si="153"/>
        <v>0</v>
      </c>
      <c r="AP49" s="238">
        <f t="shared" ca="1" si="153"/>
        <v>0</v>
      </c>
      <c r="AQ49" s="238">
        <f t="shared" ca="1" si="153"/>
        <v>0</v>
      </c>
      <c r="AR49" s="238">
        <f t="shared" ca="1" si="153"/>
        <v>0</v>
      </c>
      <c r="AS49" s="238">
        <f t="shared" ca="1" si="153"/>
        <v>0</v>
      </c>
      <c r="AT49" s="239">
        <f t="shared" ca="1" si="153"/>
        <v>0</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0</v>
      </c>
      <c r="BF49" s="746">
        <f t="shared" ca="1" si="26"/>
        <v>0</v>
      </c>
      <c r="BG49" s="746">
        <f t="shared" ca="1" si="17"/>
        <v>0</v>
      </c>
      <c r="BH49" s="746">
        <f t="shared" ca="1" si="18"/>
        <v>0</v>
      </c>
      <c r="BI49" s="746">
        <f t="shared" ca="1" si="19"/>
        <v>0</v>
      </c>
      <c r="BJ49" s="746">
        <f t="shared" ca="1" si="20"/>
        <v>0</v>
      </c>
      <c r="BK49" s="746">
        <f t="shared" ca="1" si="21"/>
        <v>0</v>
      </c>
      <c r="BL49" s="746">
        <f t="shared" ca="1" si="27"/>
        <v>0</v>
      </c>
      <c r="BM49" s="746" t="str">
        <f t="shared" ca="1" si="22"/>
        <v>4K</v>
      </c>
      <c r="BN49" s="746" t="str">
        <f t="shared" ca="1" si="23"/>
        <v>4K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0</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P.1 (4)</v>
      </c>
      <c r="BU49" s="756">
        <f t="shared" ca="1" si="36"/>
        <v>0</v>
      </c>
      <c r="BV49" s="756">
        <f t="shared" ca="1" si="37"/>
        <v>0</v>
      </c>
      <c r="BW49" s="756">
        <f t="shared" ca="1" si="38"/>
        <v>0</v>
      </c>
      <c r="BX49" s="756">
        <f t="shared" ca="1" si="39"/>
        <v>0</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P.1 (4)</v>
      </c>
      <c r="CA49" s="756">
        <f t="shared" ca="1" si="40"/>
        <v>0</v>
      </c>
      <c r="CB49" s="756">
        <f t="shared" ca="1" si="41"/>
        <v>0</v>
      </c>
      <c r="CC49" s="756">
        <f t="shared" ca="1" si="42"/>
        <v>0</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P.1 (4)</v>
      </c>
      <c r="CF49" s="756">
        <f t="shared" ca="1" si="43"/>
        <v>0</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P.1 (4)</v>
      </c>
      <c r="CI49" s="756">
        <f t="shared" ca="1" si="44"/>
        <v>0</v>
      </c>
      <c r="CJ49" s="756">
        <f t="shared" ca="1" si="45"/>
        <v>0</v>
      </c>
      <c r="CK49" s="756">
        <f t="shared" ca="1" si="46"/>
        <v>0</v>
      </c>
      <c r="CL49" s="756">
        <f t="shared" ca="1" si="47"/>
        <v>0</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P.1 (4)</v>
      </c>
      <c r="CO49" s="756">
        <f t="shared" ca="1" si="48"/>
        <v>0</v>
      </c>
      <c r="CP49" s="756">
        <f t="shared" ca="1" si="49"/>
        <v>0</v>
      </c>
      <c r="CQ49" s="756">
        <f t="shared" ca="1" si="50"/>
        <v>0</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P.1 (4)</v>
      </c>
      <c r="CT49" s="756">
        <f t="shared" ca="1" si="51"/>
        <v>0</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P.1 (4)</v>
      </c>
      <c r="CW49" s="755">
        <f t="shared" ca="1" si="30"/>
        <v>0</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P.1 (4)</v>
      </c>
      <c r="CZ49" s="755">
        <f t="shared" ca="1" si="31"/>
        <v>0</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P.1 (4)</v>
      </c>
      <c r="DC49" s="754">
        <f ca="1">IF(DB49="-","-",COUNTIFS(T_Equipos[Rank],"&lt;"&amp;INDEX(T_Equipos[Rank],MATCH(BD49,T_Equipos[NombreEquipo],0)),$BC$6:$BC$53,INDEX(T_Equipos[Grupo],MATCH(BD49,T_Equipos[NombreEquipo],0)))+1)</f>
        <v>4</v>
      </c>
      <c r="DD49" s="754">
        <f ca="1">DA49+COUNTIFS($DB$6:$DB$53,DB49,$DC$6:DC$53,"&lt;"&amp;DC49,$BC$6:$BC$53,INDEX(T_Equipos[Grupo],MATCH(BD49,T_Equipos[NombreEquipo],0)))</f>
        <v>4</v>
      </c>
      <c r="DE49" s="754"/>
      <c r="DF49" s="754">
        <f t="shared" ca="1" si="52"/>
        <v>4</v>
      </c>
      <c r="DG49" s="754">
        <f ca="1">IF(DB49="-","-",COUNTIFS(DF$6:DF$53,"&lt;"&amp;DF49,$BC$6:$BC$53,INDEX(T_Equipos[Grupo],MATCH(BD49,T_Equipos[NombreEquipo],0))))</f>
        <v>3</v>
      </c>
      <c r="DH49" s="754">
        <f ca="1">DA49+COUNTIFS(DB$6:DB$53,DB49,DG$6:DG$53,"&lt;"&amp;DG49,$BC$6:$BC$53,INDEX(T_Equipos[Grupo],MATCH(BD49,T_Equipos[NombreEquipo],0)))</f>
        <v>4</v>
      </c>
      <c r="DI49" s="742"/>
      <c r="DJ49" s="742">
        <f t="shared" ca="1" si="53"/>
        <v>1</v>
      </c>
      <c r="DK49" s="742">
        <f t="shared" ca="1" si="24"/>
        <v>0</v>
      </c>
      <c r="DL49" s="742">
        <f t="shared" ca="1" si="33"/>
        <v>1</v>
      </c>
      <c r="DM49" s="736" t="str">
        <f t="shared" ca="1" si="34"/>
        <v>1.1</v>
      </c>
      <c r="DN49" s="742" cm="1">
        <f t="array" aca="1" ref="DN49" ca="1">OFFSET(Horarios!$P$3,DJ49-1,0,DL49,1)</f>
        <v>1</v>
      </c>
      <c r="DO49" s="742"/>
      <c r="DP49" s="742" t="s">
        <v>681</v>
      </c>
      <c r="DQ49" s="742" t="str">
        <f t="shared" ca="1" si="35"/>
        <v>Colombia</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0</v>
      </c>
      <c r="BF50" s="746">
        <f t="shared" ca="1" si="26"/>
        <v>0</v>
      </c>
      <c r="BG50" s="746">
        <f t="shared" ca="1" si="17"/>
        <v>0</v>
      </c>
      <c r="BH50" s="746">
        <f t="shared" ca="1" si="18"/>
        <v>0</v>
      </c>
      <c r="BI50" s="746">
        <f t="shared" ca="1" si="19"/>
        <v>0</v>
      </c>
      <c r="BJ50" s="746">
        <f t="shared" ca="1" si="20"/>
        <v>0</v>
      </c>
      <c r="BK50" s="746">
        <f t="shared" ca="1" si="21"/>
        <v>0</v>
      </c>
      <c r="BL50" s="746">
        <f t="shared" ca="1" si="27"/>
        <v>0</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0</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(4)</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(4)</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(4)</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(4)</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(4)</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(4)</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(4)</v>
      </c>
      <c r="CW50" s="755">
        <f t="shared" ca="1" si="30"/>
        <v>0</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P.1 (4)</v>
      </c>
      <c r="CZ50" s="755">
        <f t="shared" ca="1" si="31"/>
        <v>0</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P.1 (4)</v>
      </c>
      <c r="DC50" s="754">
        <f ca="1">IF(DB50="-","-",COUNTIFS(T_Equipos[Rank],"&lt;"&amp;INDEX(T_Equipos[Rank],MATCH(BD50,T_Equipos[NombreEquipo],0)),$BC$6:$BC$53,INDEX(T_Equipos[Grupo],MATCH(BD50,T_Equipos[NombreEquipo],0)))+1)</f>
        <v>1</v>
      </c>
      <c r="DD50" s="754">
        <f ca="1">DA50+COUNTIFS($DB$6:$DB$53,DB50,$DC$6:DC$53,"&lt;"&amp;DC50,$BC$6:$BC$53,INDEX(T_Equipos[Grupo],MATCH(BD50,T_Equipos[NombreEquipo],0)))</f>
        <v>1</v>
      </c>
      <c r="DE50" s="754"/>
      <c r="DF50" s="754">
        <f t="shared" ca="1" si="52"/>
        <v>1</v>
      </c>
      <c r="DG50" s="754">
        <f ca="1">IF(DB50="-","-",COUNTIFS(DF$6:DF$53,"&lt;"&amp;DF50,$BC$6:$BC$53,INDEX(T_Equipos[Grupo],MATCH(BD50,T_Equipos[NombreEquipo],0))))</f>
        <v>0</v>
      </c>
      <c r="DH50" s="754">
        <f ca="1">DA50+COUNTIFS(DB$6:DB$53,DB50,DG$6:DG$53,"&lt;"&amp;DG50,$BC$6:$BC$53,INDEX(T_Equipos[Grupo],MATCH(BD50,T_Equipos[NombreEquipo],0)))</f>
        <v>1</v>
      </c>
      <c r="DI50" s="742"/>
      <c r="DJ50" s="742">
        <f t="shared" ca="1" si="53"/>
        <v>1</v>
      </c>
      <c r="DK50" s="742">
        <f t="shared" ca="1" si="24"/>
        <v>0</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0</v>
      </c>
      <c r="BG51" s="746">
        <f t="shared" ca="1" si="17"/>
        <v>0</v>
      </c>
      <c r="BH51" s="746">
        <f t="shared" ca="1" si="18"/>
        <v>0</v>
      </c>
      <c r="BI51" s="746">
        <f t="shared" ca="1" si="19"/>
        <v>0</v>
      </c>
      <c r="BJ51" s="746">
        <f t="shared" ca="1" si="20"/>
        <v>0</v>
      </c>
      <c r="BK51" s="746">
        <f t="shared" ca="1" si="21"/>
        <v>0</v>
      </c>
      <c r="BL51" s="746">
        <f t="shared" ca="1" si="27"/>
        <v>0</v>
      </c>
      <c r="BM51" s="746" t="str">
        <f t="shared" ca="1" si="22"/>
        <v>2L</v>
      </c>
      <c r="BN51" s="746" t="str">
        <f t="shared" ca="1" si="23"/>
        <v>2L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1</v>
      </c>
      <c r="BT51" s="755" t="str">
        <f ca="1">IF(COUNTIFS($BS$6:$BS$53,BS51,$BC$6:$BC$53,INDEX(T_Equipos[Grupo],MATCH(BD51,T_Equipos[NombreEquipo],0)))=1,"-","P."&amp;BS51&amp;" ("&amp;COUNTIFS($BS$6:$BS$53,BS51,$BC$6:$BC$53,INDEX(T_Equipos[Grupo],MATCH(BD51,T_Equipos[NombreEquipo],0)))&amp;")")</f>
        <v>P.1 (4)</v>
      </c>
      <c r="BU51" s="756">
        <f t="shared" ca="1" si="36"/>
        <v>0</v>
      </c>
      <c r="BV51" s="756">
        <f t="shared" ca="1" si="37"/>
        <v>0</v>
      </c>
      <c r="BW51" s="756">
        <f t="shared" ca="1" si="38"/>
        <v>0</v>
      </c>
      <c r="BX51" s="756">
        <f t="shared" ca="1" si="39"/>
        <v>0</v>
      </c>
      <c r="BY51" s="756">
        <f ca="1">BS51+COUNTIFS($BT$6:$BT$53,BT51,$BX$6:BX$53,"&gt;"&amp;BX51,$BC$6:$BC$53,INDEX(T_Equipos[Grupo],MATCH(BD51,T_Equipos[NombreEquipo],0)))</f>
        <v>1</v>
      </c>
      <c r="BZ51" s="755" t="str">
        <f ca="1">IF(COUNTIFS($BY$6:$BY$53,BY51,$BC$6:$BC$53,INDEX(T_Equipos[Grupo],MATCH(BD51,T_Equipos[NombreEquipo],0)))=1,"-","P."&amp;BY51&amp;" ("&amp;COUNTIFS($BY$6:$BY$53,BY51,$BC$6:$BC$53,INDEX(T_Equipos[Grupo],MATCH(BD51,T_Equipos[NombreEquipo],0)))&amp;")")</f>
        <v>P.1 (4)</v>
      </c>
      <c r="CA51" s="756">
        <f t="shared" ca="1" si="40"/>
        <v>0</v>
      </c>
      <c r="CB51" s="756">
        <f t="shared" ca="1" si="41"/>
        <v>0</v>
      </c>
      <c r="CC51" s="756">
        <f t="shared" ca="1" si="42"/>
        <v>0</v>
      </c>
      <c r="CD51" s="756">
        <f ca="1">BY51+COUNTIFS($BZ$6:$BZ$53,BZ51,$CC$6:CC$53,"&gt;"&amp;CC51,$BC$6:$BC$53,INDEX(T_Equipos[Grupo],MATCH(BD51,T_Equipos[NombreEquipo],0)))</f>
        <v>1</v>
      </c>
      <c r="CE51" s="755" t="str">
        <f ca="1">IF(COUNTIFS($CD$6:$CD$53,CD51,$BC$6:$BC$53,INDEX(T_Equipos[Grupo],MATCH(BD51,T_Equipos[NombreEquipo],0)))=1,"-","P."&amp;CD51&amp;" ("&amp;COUNTIFS($CD$6:$CD$53,CD51,$BC$6:$BC$53,INDEX(T_Equipos[Grupo],MATCH(BD51,T_Equipos[NombreEquipo],0)))&amp;")")</f>
        <v>P.1 (4)</v>
      </c>
      <c r="CF51" s="756">
        <f t="shared" ca="1" si="43"/>
        <v>0</v>
      </c>
      <c r="CG51" s="756">
        <f ca="1">CD51+COUNTIFS($CE$6:$CE$53,CE51,$CF$6:CF$53,"&gt;"&amp;CF51,$BC$6:$BC$53,INDEX(T_Equipos[Grupo],MATCH(BD51,T_Equipos[NombreEquipo],0)))</f>
        <v>1</v>
      </c>
      <c r="CH51" s="755" t="str">
        <f ca="1">IF(COUNTIFS($CG$6:$CG$53,CG51,$BC$6:$BC$53,INDEX(T_Equipos[Grupo],MATCH(BD51,T_Equipos[NombreEquipo],0)))=1,"-","P."&amp;CG51&amp;" ("&amp;COUNTIFS($CG$6:$CG$53,CG51,$BC$6:$BC$53,INDEX(T_Equipos[Grupo],MATCH(BD51,T_Equipos[NombreEquipo],0)))&amp;")")</f>
        <v>P.1 (4)</v>
      </c>
      <c r="CI51" s="756">
        <f t="shared" ca="1" si="44"/>
        <v>0</v>
      </c>
      <c r="CJ51" s="756">
        <f t="shared" ca="1" si="45"/>
        <v>0</v>
      </c>
      <c r="CK51" s="756">
        <f t="shared" ca="1" si="46"/>
        <v>0</v>
      </c>
      <c r="CL51" s="756">
        <f t="shared" ca="1" si="47"/>
        <v>0</v>
      </c>
      <c r="CM51" s="756">
        <f ca="1">CG51+COUNTIFS($CH$6:$CH$53,CH51,$CL$6:CL$53,"&gt;"&amp;CL51,$BC$6:$BC$53,INDEX(T_Equipos[Grupo],MATCH(BD51,T_Equipos[NombreEquipo],0)))</f>
        <v>1</v>
      </c>
      <c r="CN51" s="755" t="str">
        <f ca="1">IF(COUNTIFS($CM$6:$CM$53,CM51,$BC$6:$BC$53,INDEX(T_Equipos[Grupo],MATCH(BD51,T_Equipos[NombreEquipo],0)))=1,"-","P."&amp;CM51&amp;" ("&amp;COUNTIFS($CM$6:$CM$53,CM51,$BC$6:$BC$53,INDEX(T_Equipos[Grupo],MATCH(BD51,T_Equipos[NombreEquipo],0)))&amp;")")</f>
        <v>P.1 (4)</v>
      </c>
      <c r="CO51" s="756">
        <f t="shared" ca="1" si="48"/>
        <v>0</v>
      </c>
      <c r="CP51" s="756">
        <f t="shared" ca="1" si="49"/>
        <v>0</v>
      </c>
      <c r="CQ51" s="756">
        <f t="shared" ca="1" si="50"/>
        <v>0</v>
      </c>
      <c r="CR51" s="756">
        <f ca="1">CM51+COUNTIFS($CN$6:$CN$53,CN51,$CQ$6:CQ$53,"&gt;"&amp;CQ51,$BC$6:$BC$53,INDEX(T_Equipos[Grupo],MATCH(BD51,T_Equipos[NombreEquipo],0)))</f>
        <v>1</v>
      </c>
      <c r="CS51" s="755" t="str">
        <f ca="1">IF(COUNTIFS($CR$6:$CR$53,CR51,$BC$6:$BC$53,INDEX(T_Equipos[Grupo],MATCH(BD51,T_Equipos[NombreEquipo],0)))=1,"-","P."&amp;CR51&amp;" ("&amp;COUNTIFS($CR$6:$CR$53,CR51,$BC$6:$BC$53,INDEX(T_Equipos[Grupo],MATCH(BD51,T_Equipos[NombreEquipo],0)))&amp;")")</f>
        <v>P.1 (4)</v>
      </c>
      <c r="CT51" s="756">
        <f t="shared" ca="1" si="51"/>
        <v>0</v>
      </c>
      <c r="CU51" s="756">
        <f ca="1">CR51+COUNTIFS($CS$6:$CS$53,CS51,$CT$6:CT$53,"&gt;"&amp;CT51,$BC$6:$BC$53,INDEX(T_Equipos[Grupo],MATCH(BD51,T_Equipos[NombreEquipo],0)))</f>
        <v>1</v>
      </c>
      <c r="CV51" s="755" t="str">
        <f ca="1">IF(COUNTIFS($CU$6:$CU$53,CU51,$BC$6:$BC$53,INDEX(T_Equipos[Grupo],MATCH(BD51,T_Equipos[NombreEquipo],0)))=1,"-","P."&amp;CU51&amp;" ("&amp;COUNTIFS($CU$6:$CU$53,CU51,$BC$6:$BC$53,INDEX(T_Equipos[Grupo],MATCH(BD51,T_Equipos[NombreEquipo],0)))&amp;")")</f>
        <v>P.1 (4)</v>
      </c>
      <c r="CW51" s="755">
        <f t="shared" ca="1" si="30"/>
        <v>0</v>
      </c>
      <c r="CX51" s="755">
        <f ca="1">CU51+COUNTIFS($CV$6:$CV$53,CV51,$CW$6:CW$53,"&gt;"&amp;CW51,$BC$6:$BC$53,INDEX(T_Equipos[Grupo],MATCH(BD51,T_Equipos[NombreEquipo],0)))</f>
        <v>1</v>
      </c>
      <c r="CY51" s="755" t="str">
        <f ca="1">IF(COUNTIFS($CX$6:$CX$53,CX51,$BC$6:$BC$53,INDEX(T_Equipos[Grupo],MATCH(BD51,T_Equipos[NombreEquipo],0)))=1,"-","P."&amp;CX51&amp;" ("&amp;COUNTIFS($CX$6:$CX$53,CX51,$BC$6:$BC$53,INDEX(T_Equipos[Grupo],MATCH(BD51,T_Equipos[NombreEquipo],0)))&amp;")")</f>
        <v>P.1 (4)</v>
      </c>
      <c r="CZ51" s="755">
        <f t="shared" ca="1" si="31"/>
        <v>0</v>
      </c>
      <c r="DA51" s="756">
        <f ca="1">CX51+COUNTIFS($CY$6:$CY$53,CY51,$CZ$6:CZ$53,"&gt;"&amp;CZ51,$BC$6:$BC$53,INDEX(T_Equipos[Grupo],MATCH(BD51,T_Equipos[NombreEquipo],0)))</f>
        <v>1</v>
      </c>
      <c r="DB51" s="755" t="str">
        <f ca="1">IF(COUNTIFS($DA$6:$DA$53,DA51,$BC$6:$BC$53,INDEX(T_Equipos[Grupo],MATCH(BD51,T_Equipos[NombreEquipo],0)))=1,"-","P."&amp;DA51&amp;" ("&amp;COUNTIFS($DA$6:$DA$53,DA51,$BC$6:$BC$53,INDEX(T_Equipos[Grupo],MATCH(BD51,T_Equipos[NombreEquipo],0)))&amp;")")</f>
        <v>P.1 (4)</v>
      </c>
      <c r="DC51" s="754">
        <f ca="1">IF(DB51="-","-",COUNTIFS(T_Equipos[Rank],"&lt;"&amp;INDEX(T_Equipos[Rank],MATCH(BD51,T_Equipos[NombreEquipo],0)),$BC$6:$BC$53,INDEX(T_Equipos[Grupo],MATCH(BD51,T_Equipos[NombreEquipo],0)))+1)</f>
        <v>2</v>
      </c>
      <c r="DD51" s="754">
        <f ca="1">DA51+COUNTIFS($DB$6:$DB$53,DB51,$DC$6:DC$53,"&lt;"&amp;DC51,$BC$6:$BC$53,INDEX(T_Equipos[Grupo],MATCH(BD51,T_Equipos[NombreEquipo],0)))</f>
        <v>2</v>
      </c>
      <c r="DE51" s="754"/>
      <c r="DF51" s="754">
        <f t="shared" ca="1" si="52"/>
        <v>2</v>
      </c>
      <c r="DG51" s="754">
        <f ca="1">IF(DB51="-","-",COUNTIFS(DF$6:DF$53,"&lt;"&amp;DF51,$BC$6:$BC$53,INDEX(T_Equipos[Grupo],MATCH(BD51,T_Equipos[NombreEquipo],0))))</f>
        <v>1</v>
      </c>
      <c r="DH51" s="754">
        <f ca="1">DA51+COUNTIFS(DB$6:DB$53,DB51,DG$6:DG$53,"&lt;"&amp;DG51,$BC$6:$BC$53,INDEX(T_Equipos[Grupo],MATCH(BD51,T_Equipos[NombreEquipo],0)))</f>
        <v>2</v>
      </c>
      <c r="DI51" s="742"/>
      <c r="DJ51" s="742">
        <f t="shared" ca="1" si="53"/>
        <v>1</v>
      </c>
      <c r="DK51" s="742">
        <f t="shared" ca="1" si="24"/>
        <v>0</v>
      </c>
      <c r="DL51" s="742">
        <f t="shared" ca="1" si="33"/>
        <v>1</v>
      </c>
      <c r="DM51" s="736" t="str">
        <f t="shared" ca="1" si="34"/>
        <v>1.1</v>
      </c>
      <c r="DN51" s="742" cm="1">
        <f t="array" aca="1" ref="DN51" ca="1">OFFSET(Horarios!$P$3,DJ51-1,0,DL51,1)</f>
        <v>1</v>
      </c>
      <c r="DO51" s="742"/>
      <c r="DP51" s="742" t="s">
        <v>683</v>
      </c>
      <c r="DQ51" s="742" t="str">
        <f t="shared" ca="1" si="35"/>
        <v>Croacia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Pendiente</v>
      </c>
      <c r="E52" s="742" t="str">
        <f t="shared" ref="E52:E57" si="156">IF(D52="Pendiente","-",INDEX($BT$6:$BT$53,MATCH($AA52,$BD$6:$BD$53,0)))</f>
        <v>-</v>
      </c>
      <c r="F52" s="742" t="str">
        <f t="shared" ref="F52:F57" si="157">IF(D52="Pendiente","-",INDEX($BT$6:$BT$53,MATCH($AF52,$BD$6:$BD$53,0)))</f>
        <v>-</v>
      </c>
      <c r="G52" s="742"/>
      <c r="H52" s="742" t="str">
        <f t="shared" ref="H52:H57" si="158">IF(D52="Pendiente","-",INDEX($BZ$6:$BZ$53,MATCH($AA52,$BD$6:$BD$53,0)))</f>
        <v>-</v>
      </c>
      <c r="I52" s="742" t="str">
        <f t="shared" ref="I52:I57" si="159">IF(D52="Pendiente","-",INDEX($BZ$6:$BZ$53,MATCH($AF52,$BD$6:$BD$53,0)))</f>
        <v>-</v>
      </c>
      <c r="J52" s="742"/>
      <c r="K52" s="742" t="str">
        <f t="shared" ref="K52:K57" si="160">IF(D52="Pendiente","-",INDEX($CE$6:$CE$53,MATCH($AA52,$BD$6:$BD$53,0)))</f>
        <v>-</v>
      </c>
      <c r="L52" s="742" t="str">
        <f t="shared" ref="L52:L57" si="161">IF(D52="Pendiente","-",INDEX($CE$6:$CE$53,MATCH($AF52,$BD$6:$BD$53,0)))</f>
        <v>-</v>
      </c>
      <c r="M52" s="742"/>
      <c r="N52" s="742" t="str">
        <f t="shared" ref="N52:N57" si="162">IF(D52="Pendiente","-",INDEX($CH$6:$CH$53,MATCH($AA52,$BD$6:$BD$53,0)))</f>
        <v>-</v>
      </c>
      <c r="O52" s="742" t="str">
        <f t="shared" ref="O52:O57" si="163">IF(D52="Pendiente","-",INDEX($CH$6:$CH$53,MATCH($AF52,$BD$6:$BD$53,0)))</f>
        <v>-</v>
      </c>
      <c r="P52" s="742"/>
      <c r="Q52" s="742" t="str">
        <f t="shared" ref="Q52:Q57" si="164">IF(D52="Pendiente","-",INDEX($CN$6:$CN$53,MATCH($AA52,$BD$6:$BD$53,0)))</f>
        <v>-</v>
      </c>
      <c r="R52" s="742" t="str">
        <f t="shared" ref="R52:R57" si="165">IF(D52="Pendiente","-",INDEX($CN$6:$CN$53,MATCH($AF52,$BD$6:$BD$53,0)))</f>
        <v>-</v>
      </c>
      <c r="S52" s="742"/>
      <c r="T52" s="742" t="str">
        <f t="shared" ref="T52:T57" si="166">IF(D52="Pendiente","-",INDEX($CS$6:$CS$53,MATCH($AA52,$BD$6:$BD$53,0)))</f>
        <v>-</v>
      </c>
      <c r="U52" s="742" t="str">
        <f t="shared" ref="U52:U57" si="167">IF(D52="Pendiente","-",INDEX($CS$6:$CS$53,MATCH($AF52,$BD$6:$BD$53,0)))</f>
        <v>-</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0</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0</v>
      </c>
      <c r="BF52" s="746">
        <f t="shared" ca="1" si="26"/>
        <v>0</v>
      </c>
      <c r="BG52" s="746">
        <f t="shared" ca="1" si="17"/>
        <v>0</v>
      </c>
      <c r="BH52" s="746">
        <f t="shared" ca="1" si="18"/>
        <v>0</v>
      </c>
      <c r="BI52" s="746">
        <f t="shared" ca="1" si="19"/>
        <v>0</v>
      </c>
      <c r="BJ52" s="746">
        <f t="shared" ca="1" si="20"/>
        <v>0</v>
      </c>
      <c r="BK52" s="746">
        <f t="shared" ca="1" si="21"/>
        <v>0</v>
      </c>
      <c r="BL52" s="746">
        <f t="shared" ca="1" si="27"/>
        <v>0</v>
      </c>
      <c r="BM52" s="746" t="str">
        <f t="shared" ca="1" si="22"/>
        <v>3L</v>
      </c>
      <c r="BN52" s="746" t="str">
        <f t="shared" ca="1" si="23"/>
        <v>3L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0</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(4)</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(4)</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(4)</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(4)</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(4)</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(4)</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(4)</v>
      </c>
      <c r="CW52" s="755">
        <f t="shared" ca="1" si="30"/>
        <v>0</v>
      </c>
      <c r="CX52" s="755">
        <f ca="1">CU52+COUNTIFS($CV$6:$CV$53,CV52,$CW$6:CW$53,"&gt;"&amp;CW52,$BC$6:$BC$53,INDEX(T_Equipos[Grupo],MATCH(BD52,T_Equipos[NombreEquipo],0)))</f>
        <v>1</v>
      </c>
      <c r="CY52" s="755" t="str">
        <f ca="1">IF(COUNTIFS($CX$6:$CX$53,CX52,$BC$6:$BC$53,INDEX(T_Equipos[Grupo],MATCH(BD52,T_Equipos[NombreEquipo],0)))=1,"-","P."&amp;CX52&amp;" ("&amp;COUNTIFS($CX$6:$CX$53,CX52,$BC$6:$BC$53,INDEX(T_Equipos[Grupo],MATCH(BD52,T_Equipos[NombreEquipo],0)))&amp;")")</f>
        <v>P.1 (4)</v>
      </c>
      <c r="CZ52" s="755">
        <f t="shared" ca="1" si="31"/>
        <v>0</v>
      </c>
      <c r="DA52" s="756">
        <f ca="1">CX52+COUNTIFS($CY$6:$CY$53,CY52,$CZ$6:CZ$53,"&gt;"&amp;CZ52,$BC$6:$BC$53,INDEX(T_Equipos[Grupo],MATCH(BD52,T_Equipos[NombreEquipo],0)))</f>
        <v>1</v>
      </c>
      <c r="DB52" s="755" t="str">
        <f ca="1">IF(COUNTIFS($DA$6:$DA$53,DA52,$BC$6:$BC$53,INDEX(T_Equipos[Grupo],MATCH(BD52,T_Equipos[NombreEquipo],0)))=1,"-","P."&amp;DA52&amp;" ("&amp;COUNTIFS($DA$6:$DA$53,DA52,$BC$6:$BC$53,INDEX(T_Equipos[Grupo],MATCH(BD52,T_Equipos[NombreEquipo],0)))&amp;")")</f>
        <v>P.1 (4)</v>
      </c>
      <c r="DC52" s="754">
        <f ca="1">IF(DB52="-","-",COUNTIFS(T_Equipos[Rank],"&lt;"&amp;INDEX(T_Equipos[Rank],MATCH(BD52,T_Equipos[NombreEquipo],0)),$BC$6:$BC$53,INDEX(T_Equipos[Grupo],MATCH(BD52,T_Equipos[NombreEquipo],0)))+1)</f>
        <v>3</v>
      </c>
      <c r="DD52" s="754">
        <f ca="1">DA52+COUNTIFS($DB$6:$DB$53,DB52,$DC$6:DC$53,"&lt;"&amp;DC52,$BC$6:$BC$53,INDEX(T_Equipos[Grupo],MATCH(BD52,T_Equipos[NombreEquipo],0)))</f>
        <v>3</v>
      </c>
      <c r="DE52" s="754"/>
      <c r="DF52" s="754">
        <f t="shared" ca="1" si="52"/>
        <v>3</v>
      </c>
      <c r="DG52" s="754">
        <f ca="1">IF(DB52="-","-",COUNTIFS(DF$6:DF$53,"&lt;"&amp;DF52,$BC$6:$BC$53,INDEX(T_Equipos[Grupo],MATCH(BD52,T_Equipos[NombreEquipo],0))))</f>
        <v>2</v>
      </c>
      <c r="DH52" s="754">
        <f ca="1">DA52+COUNTIFS(DB$6:DB$53,DB52,DG$6:DG$53,"&lt;"&amp;DG52,$BC$6:$BC$53,INDEX(T_Equipos[Grupo],MATCH(BD52,T_Equipos[NombreEquipo],0)))</f>
        <v>3</v>
      </c>
      <c r="DI52" s="742"/>
      <c r="DJ52" s="742">
        <f t="shared" ca="1" si="53"/>
        <v>1</v>
      </c>
      <c r="DK52" s="742">
        <f t="shared" ca="1" si="24"/>
        <v>0</v>
      </c>
      <c r="DL52" s="742">
        <f t="shared" ca="1" si="33"/>
        <v>1</v>
      </c>
      <c r="DM52" s="736" t="str">
        <f t="shared" ca="1" si="34"/>
        <v>1.1</v>
      </c>
      <c r="DN52" s="742" cm="1">
        <f t="array" aca="1" ref="DN52" ca="1">OFFSET(Horarios!$P$3,DJ52-1,0,DL52,1)</f>
        <v>1</v>
      </c>
      <c r="DO52" s="742"/>
      <c r="DP52" s="742" t="s">
        <v>443</v>
      </c>
      <c r="DQ52" s="742" t="str">
        <f t="shared" ca="1" si="35"/>
        <v>Ghana</v>
      </c>
      <c r="DR52" s="742"/>
      <c r="DS52" s="742"/>
      <c r="DT52" s="742" t="str">
        <f t="shared" ca="1" si="15"/>
        <v>Bélgica-Egipto</v>
      </c>
      <c r="DU52" s="742"/>
      <c r="DV52" s="742"/>
      <c r="DW52" s="8"/>
    </row>
    <row r="53" spans="1:127">
      <c r="A53" s="743" t="str">
        <f ca="1">+Equipos!B26</f>
        <v>Bélgica</v>
      </c>
      <c r="B53" s="740"/>
      <c r="C53" s="740"/>
      <c r="D53" s="742" t="str">
        <f t="shared" si="155"/>
        <v>Pendiente</v>
      </c>
      <c r="E53" s="742" t="str">
        <f t="shared" si="156"/>
        <v>-</v>
      </c>
      <c r="F53" s="742" t="str">
        <f t="shared" si="157"/>
        <v>-</v>
      </c>
      <c r="G53" s="742"/>
      <c r="H53" s="742" t="str">
        <f t="shared" si="158"/>
        <v>-</v>
      </c>
      <c r="I53" s="742" t="str">
        <f t="shared" si="159"/>
        <v>-</v>
      </c>
      <c r="J53" s="742"/>
      <c r="K53" s="742" t="str">
        <f t="shared" si="160"/>
        <v>-</v>
      </c>
      <c r="L53" s="742" t="str">
        <f t="shared" si="161"/>
        <v>-</v>
      </c>
      <c r="M53" s="742"/>
      <c r="N53" s="742" t="str">
        <f t="shared" si="162"/>
        <v>-</v>
      </c>
      <c r="O53" s="742" t="str">
        <f t="shared" si="163"/>
        <v>-</v>
      </c>
      <c r="P53" s="742"/>
      <c r="Q53" s="742" t="str">
        <f t="shared" si="164"/>
        <v>-</v>
      </c>
      <c r="R53" s="742" t="str">
        <f t="shared" si="165"/>
        <v>-</v>
      </c>
      <c r="S53" s="742"/>
      <c r="T53" s="742" t="str">
        <f t="shared" si="166"/>
        <v>-</v>
      </c>
      <c r="U53" s="742" t="str">
        <f t="shared" si="167"/>
        <v>-</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0</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0</v>
      </c>
      <c r="BG53" s="746">
        <f t="shared" ca="1" si="17"/>
        <v>0</v>
      </c>
      <c r="BH53" s="746">
        <f t="shared" ca="1" si="18"/>
        <v>0</v>
      </c>
      <c r="BI53" s="746">
        <f t="shared" ca="1" si="19"/>
        <v>0</v>
      </c>
      <c r="BJ53" s="746">
        <f t="shared" ca="1" si="20"/>
        <v>0</v>
      </c>
      <c r="BK53" s="746">
        <f t="shared" ca="1" si="21"/>
        <v>0</v>
      </c>
      <c r="BL53" s="746">
        <f t="shared" ca="1" si="27"/>
        <v>0</v>
      </c>
      <c r="BM53" s="746" t="str">
        <f t="shared" ca="1" si="22"/>
        <v>4L</v>
      </c>
      <c r="BN53" s="746" t="str">
        <f t="shared" ca="1" si="23"/>
        <v>4L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1</v>
      </c>
      <c r="BT53" s="755" t="str">
        <f ca="1">IF(COUNTIFS($BS$6:$BS$53,BS53,$BC$6:$BC$53,INDEX(T_Equipos[Grupo],MATCH(BD53,T_Equipos[NombreEquipo],0)))=1,"-","P."&amp;BS53&amp;" ("&amp;COUNTIFS($BS$6:$BS$53,BS53,$BC$6:$BC$53,INDEX(T_Equipos[Grupo],MATCH(BD53,T_Equipos[NombreEquipo],0)))&amp;")")</f>
        <v>P.1 (4)</v>
      </c>
      <c r="BU53" s="756">
        <f t="shared" ca="1" si="36"/>
        <v>0</v>
      </c>
      <c r="BV53" s="756">
        <f t="shared" ca="1" si="37"/>
        <v>0</v>
      </c>
      <c r="BW53" s="756">
        <f t="shared" ca="1" si="38"/>
        <v>0</v>
      </c>
      <c r="BX53" s="756">
        <f t="shared" ca="1" si="39"/>
        <v>0</v>
      </c>
      <c r="BY53" s="756">
        <f ca="1">BS53+COUNTIFS($BT$6:$BT$53,BT53,$BX$6:BX$53,"&gt;"&amp;BX53,$BC$6:$BC$53,INDEX(T_Equipos[Grupo],MATCH(BD53,T_Equipos[NombreEquipo],0)))</f>
        <v>1</v>
      </c>
      <c r="BZ53" s="755" t="str">
        <f ca="1">IF(COUNTIFS($BY$6:$BY$53,BY53,$BC$6:$BC$53,INDEX(T_Equipos[Grupo],MATCH(BD53,T_Equipos[NombreEquipo],0)))=1,"-","P."&amp;BY53&amp;" ("&amp;COUNTIFS($BY$6:$BY$53,BY53,$BC$6:$BC$53,INDEX(T_Equipos[Grupo],MATCH(BD53,T_Equipos[NombreEquipo],0)))&amp;")")</f>
        <v>P.1 (4)</v>
      </c>
      <c r="CA53" s="756">
        <f t="shared" ca="1" si="40"/>
        <v>0</v>
      </c>
      <c r="CB53" s="756">
        <f t="shared" ca="1" si="41"/>
        <v>0</v>
      </c>
      <c r="CC53" s="756">
        <f t="shared" ca="1" si="42"/>
        <v>0</v>
      </c>
      <c r="CD53" s="756">
        <f ca="1">BY53+COUNTIFS($BZ$6:$BZ$53,BZ53,$CC$6:CC$53,"&gt;"&amp;CC53,$BC$6:$BC$53,INDEX(T_Equipos[Grupo],MATCH(BD53,T_Equipos[NombreEquipo],0)))</f>
        <v>1</v>
      </c>
      <c r="CE53" s="755" t="str">
        <f ca="1">IF(COUNTIFS($CD$6:$CD$53,CD53,$BC$6:$BC$53,INDEX(T_Equipos[Grupo],MATCH(BD53,T_Equipos[NombreEquipo],0)))=1,"-","P."&amp;CD53&amp;" ("&amp;COUNTIFS($CD$6:$CD$53,CD53,$BC$6:$BC$53,INDEX(T_Equipos[Grupo],MATCH(BD53,T_Equipos[NombreEquipo],0)))&amp;")")</f>
        <v>P.1 (4)</v>
      </c>
      <c r="CF53" s="756">
        <f t="shared" ca="1" si="43"/>
        <v>0</v>
      </c>
      <c r="CG53" s="756">
        <f ca="1">CD53+COUNTIFS($CE$6:$CE$53,CE53,$CF$6:CF$53,"&gt;"&amp;CF53,$BC$6:$BC$53,INDEX(T_Equipos[Grupo],MATCH(BD53,T_Equipos[NombreEquipo],0)))</f>
        <v>1</v>
      </c>
      <c r="CH53" s="755" t="str">
        <f ca="1">IF(COUNTIFS($CG$6:$CG$53,CG53,$BC$6:$BC$53,INDEX(T_Equipos[Grupo],MATCH(BD53,T_Equipos[NombreEquipo],0)))=1,"-","P."&amp;CG53&amp;" ("&amp;COUNTIFS($CG$6:$CG$53,CG53,$BC$6:$BC$53,INDEX(T_Equipos[Grupo],MATCH(BD53,T_Equipos[NombreEquipo],0)))&amp;")")</f>
        <v>P.1 (4)</v>
      </c>
      <c r="CI53" s="756">
        <f t="shared" ca="1" si="44"/>
        <v>0</v>
      </c>
      <c r="CJ53" s="756">
        <f t="shared" ca="1" si="45"/>
        <v>0</v>
      </c>
      <c r="CK53" s="756">
        <f t="shared" ca="1" si="46"/>
        <v>0</v>
      </c>
      <c r="CL53" s="756">
        <f t="shared" ca="1" si="47"/>
        <v>0</v>
      </c>
      <c r="CM53" s="756">
        <f ca="1">CG53+COUNTIFS($CH$6:$CH$53,CH53,$CL$6:CL$53,"&gt;"&amp;CL53,$BC$6:$BC$53,INDEX(T_Equipos[Grupo],MATCH(BD53,T_Equipos[NombreEquipo],0)))</f>
        <v>1</v>
      </c>
      <c r="CN53" s="755" t="str">
        <f ca="1">IF(COUNTIFS($CM$6:$CM$53,CM53,$BC$6:$BC$53,INDEX(T_Equipos[Grupo],MATCH(BD53,T_Equipos[NombreEquipo],0)))=1,"-","P."&amp;CM53&amp;" ("&amp;COUNTIFS($CM$6:$CM$53,CM53,$BC$6:$BC$53,INDEX(T_Equipos[Grupo],MATCH(BD53,T_Equipos[NombreEquipo],0)))&amp;")")</f>
        <v>P.1 (4)</v>
      </c>
      <c r="CO53" s="756">
        <f t="shared" ca="1" si="48"/>
        <v>0</v>
      </c>
      <c r="CP53" s="756">
        <f t="shared" ca="1" si="49"/>
        <v>0</v>
      </c>
      <c r="CQ53" s="756">
        <f t="shared" ca="1" si="50"/>
        <v>0</v>
      </c>
      <c r="CR53" s="756">
        <f ca="1">CM53+COUNTIFS($CN$6:$CN$53,CN53,$CQ$6:CQ$53,"&gt;"&amp;CQ53,$BC$6:$BC$53,INDEX(T_Equipos[Grupo],MATCH(BD53,T_Equipos[NombreEquipo],0)))</f>
        <v>1</v>
      </c>
      <c r="CS53" s="755" t="str">
        <f ca="1">IF(COUNTIFS($CR$6:$CR$53,CR53,$BC$6:$BC$53,INDEX(T_Equipos[Grupo],MATCH(BD53,T_Equipos[NombreEquipo],0)))=1,"-","P."&amp;CR53&amp;" ("&amp;COUNTIFS($CR$6:$CR$53,CR53,$BC$6:$BC$53,INDEX(T_Equipos[Grupo],MATCH(BD53,T_Equipos[NombreEquipo],0)))&amp;")")</f>
        <v>P.1 (4)</v>
      </c>
      <c r="CT53" s="756">
        <f t="shared" ca="1" si="51"/>
        <v>0</v>
      </c>
      <c r="CU53" s="756">
        <f ca="1">CR53+COUNTIFS($CS$6:$CS$53,CS53,$CT$6:CT$53,"&gt;"&amp;CT53,$BC$6:$BC$53,INDEX(T_Equipos[Grupo],MATCH(BD53,T_Equipos[NombreEquipo],0)))</f>
        <v>1</v>
      </c>
      <c r="CV53" s="755" t="str">
        <f ca="1">IF(COUNTIFS($CU$6:$CU$53,CU53,$BC$6:$BC$53,INDEX(T_Equipos[Grupo],MATCH(BD53,T_Equipos[NombreEquipo],0)))=1,"-","P."&amp;CU53&amp;" ("&amp;COUNTIFS($CU$6:$CU$53,CU53,$BC$6:$BC$53,INDEX(T_Equipos[Grupo],MATCH(BD53,T_Equipos[NombreEquipo],0)))&amp;")")</f>
        <v>P.1 (4)</v>
      </c>
      <c r="CW53" s="755">
        <f t="shared" ca="1" si="30"/>
        <v>0</v>
      </c>
      <c r="CX53" s="755">
        <f ca="1">CU53+COUNTIFS($CV$6:$CV$53,CV53,$CW$6:CW$53,"&gt;"&amp;CW53,$BC$6:$BC$53,INDEX(T_Equipos[Grupo],MATCH(BD53,T_Equipos[NombreEquipo],0)))</f>
        <v>1</v>
      </c>
      <c r="CY53" s="755" t="str">
        <f ca="1">IF(COUNTIFS($CX$6:$CX$53,CX53,$BC$6:$BC$53,INDEX(T_Equipos[Grupo],MATCH(BD53,T_Equipos[NombreEquipo],0)))=1,"-","P."&amp;CX53&amp;" ("&amp;COUNTIFS($CX$6:$CX$53,CX53,$BC$6:$BC$53,INDEX(T_Equipos[Grupo],MATCH(BD53,T_Equipos[NombreEquipo],0)))&amp;")")</f>
        <v>P.1 (4)</v>
      </c>
      <c r="CZ53" s="755">
        <f t="shared" ca="1" si="31"/>
        <v>0</v>
      </c>
      <c r="DA53" s="756">
        <f ca="1">CX53+COUNTIFS($CY$6:$CY$53,CY53,$CZ$6:CZ$53,"&gt;"&amp;CZ53,$BC$6:$BC$53,INDEX(T_Equipos[Grupo],MATCH(BD53,T_Equipos[NombreEquipo],0)))</f>
        <v>1</v>
      </c>
      <c r="DB53" s="755" t="str">
        <f ca="1">IF(COUNTIFS($DA$6:$DA$53,DA53,$BC$6:$BC$53,INDEX(T_Equipos[Grupo],MATCH(BD53,T_Equipos[NombreEquipo],0)))=1,"-","P."&amp;DA53&amp;" ("&amp;COUNTIFS($DA$6:$DA$53,DA53,$BC$6:$BC$53,INDEX(T_Equipos[Grupo],MATCH(BD53,T_Equipos[NombreEquipo],0)))&amp;")")</f>
        <v>P.1 (4)</v>
      </c>
      <c r="DC53" s="754">
        <f ca="1">IF(DB53="-","-",COUNTIFS(T_Equipos[Rank],"&lt;"&amp;INDEX(T_Equipos[Rank],MATCH(BD53,T_Equipos[NombreEquipo],0)),$BC$6:$BC$53,INDEX(T_Equipos[Grupo],MATCH(BD53,T_Equipos[NombreEquipo],0)))+1)</f>
        <v>4</v>
      </c>
      <c r="DD53" s="754">
        <f ca="1">DA53+COUNTIFS($DB$6:$DB$53,DB53,$DC$6:DC$53,"&lt;"&amp;DC53,$BC$6:$BC$53,INDEX(T_Equipos[Grupo],MATCH(BD53,T_Equipos[NombreEquipo],0)))</f>
        <v>4</v>
      </c>
      <c r="DE53" s="754"/>
      <c r="DF53" s="754">
        <f t="shared" ca="1" si="52"/>
        <v>4</v>
      </c>
      <c r="DG53" s="754">
        <f ca="1">IF(DB53="-","-",COUNTIFS(DF$6:DF$53,"&lt;"&amp;DF53,$BC$6:$BC$53,INDEX(T_Equipos[Grupo],MATCH(BD53,T_Equipos[NombreEquipo],0))))</f>
        <v>3</v>
      </c>
      <c r="DH53" s="754">
        <f ca="1">DA53+COUNTIFS(DB$6:DB$53,DB53,DG$6:DG$53,"&lt;"&amp;DG53,$BC$6:$BC$53,INDEX(T_Equipos[Grupo],MATCH(BD53,T_Equipos[NombreEquipo],0)))</f>
        <v>4</v>
      </c>
      <c r="DI53" s="742"/>
      <c r="DJ53" s="742">
        <f t="shared" ca="1" si="53"/>
        <v>1</v>
      </c>
      <c r="DK53" s="742">
        <f t="shared" ca="1" si="24"/>
        <v>0</v>
      </c>
      <c r="DL53" s="742">
        <f t="shared" ca="1" si="33"/>
        <v>1</v>
      </c>
      <c r="DM53" s="736" t="str">
        <f t="shared" ca="1" si="34"/>
        <v>1.1</v>
      </c>
      <c r="DN53" s="742" cm="1">
        <f t="array" aca="1" ref="DN53" ca="1">OFFSET(Horarios!$P$3,DJ53-1,0,DL53,1)</f>
        <v>1</v>
      </c>
      <c r="DO53" s="742"/>
      <c r="DP53" s="742" t="s">
        <v>684</v>
      </c>
      <c r="DQ53" s="742" t="str">
        <f t="shared" ca="1" si="35"/>
        <v>Panamá</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c r="AD54" s="194"/>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Bélgica</v>
      </c>
      <c r="AM54" s="213">
        <f t="shared" ref="AM54:AT57" ca="1" si="172">INDEX($BE$6:$BN$53,MATCH($AL54,$BD$6:$BD$53,0),MATCH(AM$5,$BE$5:$BN$5,0))</f>
        <v>0</v>
      </c>
      <c r="AN54" s="214">
        <f t="shared" ca="1" si="172"/>
        <v>0</v>
      </c>
      <c r="AO54" s="214">
        <f t="shared" ca="1" si="172"/>
        <v>0</v>
      </c>
      <c r="AP54" s="214">
        <f t="shared" ca="1" si="172"/>
        <v>0</v>
      </c>
      <c r="AQ54" s="214">
        <f t="shared" ca="1" si="172"/>
        <v>0</v>
      </c>
      <c r="AR54" s="214">
        <f t="shared" ca="1" si="172"/>
        <v>0</v>
      </c>
      <c r="AS54" s="214">
        <f t="shared" ca="1" si="172"/>
        <v>0</v>
      </c>
      <c r="AT54" s="215">
        <f t="shared" ca="1" si="172"/>
        <v>0</v>
      </c>
      <c r="AU54" s="420">
        <f ca="1">INDEX($DL$6:$DL$53,MATCH(AI54,$DP$6:$DP$53,0))</f>
        <v>1</v>
      </c>
      <c r="AV54" s="217" t="str">
        <f ca="1">INDEX($BD$6:$BD$53,MATCH(AI54,$BM$6:$BM$53,0))</f>
        <v>Bélgica</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c r="AD55" s="194"/>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Egipto</v>
      </c>
      <c r="AM55" s="223">
        <f t="shared" ca="1" si="172"/>
        <v>0</v>
      </c>
      <c r="AN55" s="224">
        <f t="shared" ca="1" si="172"/>
        <v>0</v>
      </c>
      <c r="AO55" s="224">
        <f t="shared" ca="1" si="172"/>
        <v>0</v>
      </c>
      <c r="AP55" s="224">
        <f t="shared" ca="1" si="172"/>
        <v>0</v>
      </c>
      <c r="AQ55" s="224">
        <f t="shared" ca="1" si="172"/>
        <v>0</v>
      </c>
      <c r="AR55" s="224">
        <f t="shared" ca="1" si="172"/>
        <v>0</v>
      </c>
      <c r="AS55" s="224">
        <f t="shared" ca="1" si="172"/>
        <v>0</v>
      </c>
      <c r="AT55" s="225">
        <f t="shared" ca="1" si="172"/>
        <v>0</v>
      </c>
      <c r="AU55" s="420">
        <f ca="1">INDEX($DL$6:$DL$53,MATCH(AI55,$DP$6:$DP$53,0))</f>
        <v>1</v>
      </c>
      <c r="AV55" s="217" t="str">
        <f ca="1">INDEX($BD$6:$BD$53,MATCH(AI55,$BM$6:$BM$53,0))</f>
        <v>Egipto</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Irán</v>
      </c>
      <c r="AM56" s="223">
        <f t="shared" ca="1" si="172"/>
        <v>0</v>
      </c>
      <c r="AN56" s="224">
        <f t="shared" ca="1" si="172"/>
        <v>0</v>
      </c>
      <c r="AO56" s="224">
        <f t="shared" ca="1" si="172"/>
        <v>0</v>
      </c>
      <c r="AP56" s="224">
        <f t="shared" ca="1" si="172"/>
        <v>0</v>
      </c>
      <c r="AQ56" s="224">
        <f t="shared" ca="1" si="172"/>
        <v>0</v>
      </c>
      <c r="AR56" s="224">
        <f t="shared" ca="1" si="172"/>
        <v>0</v>
      </c>
      <c r="AS56" s="224">
        <f t="shared" ca="1" si="172"/>
        <v>0</v>
      </c>
      <c r="AT56" s="225">
        <f t="shared" ca="1" si="172"/>
        <v>0</v>
      </c>
      <c r="AU56" s="420">
        <f ca="1">INDEX($DL$6:$DL$53,MATCH(AI56,$DP$6:$DP$53,0))</f>
        <v>1</v>
      </c>
      <c r="AV56" s="217" t="str">
        <f ca="1">INDEX($BD$6:$BD$53,MATCH(AI56,$BM$6:$BM$53,0))</f>
        <v>Irán</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Nueva Zelanda</v>
      </c>
      <c r="AM57" s="237">
        <f t="shared" ca="1" si="172"/>
        <v>0</v>
      </c>
      <c r="AN57" s="238">
        <f t="shared" ca="1" si="172"/>
        <v>0</v>
      </c>
      <c r="AO57" s="238">
        <f t="shared" ca="1" si="172"/>
        <v>0</v>
      </c>
      <c r="AP57" s="238">
        <f t="shared" ca="1" si="172"/>
        <v>0</v>
      </c>
      <c r="AQ57" s="238">
        <f t="shared" ca="1" si="172"/>
        <v>0</v>
      </c>
      <c r="AR57" s="238">
        <f t="shared" ca="1" si="172"/>
        <v>0</v>
      </c>
      <c r="AS57" s="238">
        <f t="shared" ca="1" si="172"/>
        <v>0</v>
      </c>
      <c r="AT57" s="239">
        <f t="shared" ca="1" si="172"/>
        <v>0</v>
      </c>
      <c r="AU57" s="420">
        <f ca="1">INDEX($DL$6:$DL$53,MATCH(AI57,$DP$6:$DP$53,0))</f>
        <v>1</v>
      </c>
      <c r="AV57" s="217" t="str">
        <f ca="1">INDEX($BD$6:$BD$53,MATCH(AI57,$BM$6:$BM$53,0))</f>
        <v>Nueva Zelanda</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0</v>
      </c>
      <c r="BF58" s="746">
        <f ca="1">+BG58+BH58+BI58</f>
        <v>1</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0</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46">
        <f ca="1">BJ58-BK58</f>
        <v>-1</v>
      </c>
      <c r="BM58" s="746">
        <f ca="1">CB58</f>
        <v>12</v>
      </c>
      <c r="BN58" s="746">
        <f ca="1">CF58</f>
        <v>12</v>
      </c>
      <c r="BO58" s="736" t="str">
        <f>"4"&amp;BC58</f>
        <v>4A</v>
      </c>
      <c r="BP58" s="736"/>
      <c r="BQ58" s="736"/>
      <c r="BR58" s="746">
        <f t="shared" ref="BR58:BR69" ca="1" si="179">+BE58</f>
        <v>0</v>
      </c>
      <c r="BS58" s="746">
        <f ca="1">COUNTIFS(BR$58:BR$69,"&gt;"&amp;BR58)+1</f>
        <v>1</v>
      </c>
      <c r="BT58" s="746" t="str">
        <f ca="1">IF(COUNTIF(BS$58:BS$69,BS58)=1,"-","Pos. "&amp;BS58&amp;" ("&amp;COUNTIF(BS$58:BS$69,BS58)&amp;")")</f>
        <v>Pos. 1 (12)</v>
      </c>
      <c r="BU58" s="746">
        <f t="shared" ref="BU58:BU69" ca="1" si="180">IF(BT58="-","-",BL58)</f>
        <v>-1</v>
      </c>
      <c r="BV58" s="746">
        <f t="shared" ref="BV58:BV69" ca="1" si="181">BS58+COUNTIFS(BT$58:BT$69,BT58,BU$58:BU$69,"&gt;"&amp;BU58)</f>
        <v>12</v>
      </c>
      <c r="BW58" s="746" t="str">
        <f t="shared" ref="BW58:BW69" ca="1" si="182">IF(COUNTIF(BV$58:BV$69,BV58)=1,"-","Pos. "&amp;BV58&amp;" ("&amp;COUNTIF(BV$58:BV$69,BV58)&amp;")")</f>
        <v>-</v>
      </c>
      <c r="BX58" s="746" t="str">
        <f t="shared" ref="BX58:BX69" ca="1" si="183">IF(BW58="-","-",BJ58)</f>
        <v>-</v>
      </c>
      <c r="BY58" s="746">
        <f t="shared" ref="BY58:BY69" ca="1" si="184">BV58+COUNTIFS(BW$58:BW$69,BW58,BX$58:BX$69,"&gt;"&amp;BX58)</f>
        <v>12</v>
      </c>
      <c r="BZ58" s="746" t="str">
        <f t="shared" ref="BZ58:BZ69" ca="1" si="185">IF(COUNTIF(BY$58:BY$69,BY58)=1,"-","Pos. "&amp;BY58&amp;" ("&amp;COUNTIF(BY$58:BY$69,BY58)&amp;")")</f>
        <v>-</v>
      </c>
      <c r="CA58" s="746" t="str">
        <f ca="1">IF(BZ58="-","-",COUNTIF($BD$58:$BD$69,"&gt;"&amp;BD58))</f>
        <v>-</v>
      </c>
      <c r="CB58" s="746">
        <f ca="1">BY58+COUNTIFS(BZ$58:BZ$69,BZ58,CA$58:CA$69,"&gt;"&amp;CA58)</f>
        <v>12</v>
      </c>
      <c r="CC58" s="746"/>
      <c r="CD58" s="746">
        <f ca="1">IF(OR(INDEX($AW$102:$AW$113,MATCH($BD58,$AV$102:$AV$113,0))="",BZ58="-"),CB58,INDEX($AW$102:$AW$113,MATCH($BD58,$AV$102:$AV$113,0))+CB58/1000)</f>
        <v>12</v>
      </c>
      <c r="CE58" s="746" t="str">
        <f ca="1">IF(BZ58="-","-",COUNTIF(CD$58:CD$69,"&lt;"&amp;CD58))</f>
        <v>-</v>
      </c>
      <c r="CF58" s="746">
        <f ca="1">BY58+COUNTIFS(BZ$58:BZ$69,BZ58,CE$58:CE$69,"&lt;"&amp;CE58)</f>
        <v>12</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Arabia Saudita</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0</v>
      </c>
      <c r="BF59" s="746">
        <f t="shared" ref="BF59:BF69" ca="1" si="190">+BG59+BH59+BI59</f>
        <v>0</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0</v>
      </c>
      <c r="BI59" s="746">
        <f t="shared" ca="1" si="176"/>
        <v>0</v>
      </c>
      <c r="BJ59" s="746">
        <f t="shared" ca="1" si="177"/>
        <v>0</v>
      </c>
      <c r="BK59" s="746">
        <f t="shared" ca="1" si="178"/>
        <v>0</v>
      </c>
      <c r="BL59" s="746">
        <f t="shared" ref="BL59:BL69" ca="1" si="193">BJ59-BK59</f>
        <v>0</v>
      </c>
      <c r="BM59" s="746">
        <f t="shared" ref="BM59:BM69" ca="1" si="194">CB59</f>
        <v>4</v>
      </c>
      <c r="BN59" s="746">
        <f t="shared" ref="BN59:BN69" ca="1" si="195">CF59</f>
        <v>4</v>
      </c>
      <c r="BO59" s="736" t="str">
        <f t="shared" ref="BO59:BO69" si="196">"4"&amp;BC59</f>
        <v>4B</v>
      </c>
      <c r="BP59" s="736"/>
      <c r="BQ59" s="736"/>
      <c r="BR59" s="746">
        <f t="shared" ca="1" si="179"/>
        <v>0</v>
      </c>
      <c r="BS59" s="746">
        <f t="shared" ref="BS59:BS69" ca="1" si="197">COUNTIFS(BR$58:BR$69,"&gt;"&amp;BR59)+1</f>
        <v>1</v>
      </c>
      <c r="BT59" s="746" t="str">
        <f t="shared" ref="BT59:BT69" ca="1" si="198">IF(COUNTIF(BS$58:BS$69,BS59)=1,"-","Pos. "&amp;BS59&amp;" ("&amp;COUNTIF(BS$58:BS$69,BS59)&amp;")")</f>
        <v>Pos. 1 (12)</v>
      </c>
      <c r="BU59" s="746">
        <f t="shared" ca="1" si="180"/>
        <v>0</v>
      </c>
      <c r="BV59" s="746">
        <f t="shared" ca="1" si="181"/>
        <v>1</v>
      </c>
      <c r="BW59" s="746" t="str">
        <f t="shared" ca="1" si="182"/>
        <v>Pos. 1 (11)</v>
      </c>
      <c r="BX59" s="746">
        <f t="shared" ca="1" si="183"/>
        <v>0</v>
      </c>
      <c r="BY59" s="746">
        <f t="shared" ca="1" si="184"/>
        <v>1</v>
      </c>
      <c r="BZ59" s="746" t="str">
        <f t="shared" ca="1" si="185"/>
        <v>Pos. 1 (11)</v>
      </c>
      <c r="CA59" s="746">
        <f t="shared" ref="CA59:CA69" ca="1" si="199">IF(BZ59="-","-",COUNTIF($BD$58:$BD$69,"&gt;"&amp;BD59))</f>
        <v>8</v>
      </c>
      <c r="CB59" s="746">
        <f t="shared" ref="CB59:CB68" ca="1" si="200">BY59+COUNTIFS(BZ$58:BZ$69,BZ59,CA$58:CA$69,"&gt;"&amp;CA59)</f>
        <v>4</v>
      </c>
      <c r="CC59" s="746"/>
      <c r="CD59" s="746">
        <f t="shared" ref="CD59:CD69" ca="1" si="201">IF(OR(INDEX($AW$102:$AW$113,MATCH($BD59,$AV$102:$AV$113,0))="",BZ59="-"),CB59,INDEX($AW$102:$AW$113,MATCH($BD59,$AV$102:$AV$113,0))+CB59/1000)</f>
        <v>4</v>
      </c>
      <c r="CE59" s="746">
        <f t="shared" ref="CE59:CE69" ca="1" si="202">IF(BZ59="-","-",COUNTIF(CD$58:CD$69,"&lt;"&amp;CD59))</f>
        <v>3</v>
      </c>
      <c r="CF59" s="746">
        <f t="shared" ref="CF59:CF69" ca="1" si="203">BY59+COUNTIFS(BZ$58:BZ$69,BZ59,CE$58:CE$69,"&lt;"&amp;CE59)</f>
        <v>4</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1</v>
      </c>
      <c r="DK59" s="742"/>
      <c r="DL59" s="742">
        <f t="shared" ref="DL59:DL69" ca="1" si="204">IF(OR($H$113=144,$AJ$99=144),COUNTIF($DJ$58:$DJ$69,DJ59),1)</f>
        <v>1</v>
      </c>
      <c r="DM59" s="736" t="str">
        <f t="shared" ca="1" si="187"/>
        <v>1.1</v>
      </c>
      <c r="DN59" s="742" cm="1">
        <f t="array" aca="1" ref="DN59" ca="1">OFFSET(Horarios!$P$3,DJ59-1,0,DL59,1)</f>
        <v>1</v>
      </c>
      <c r="DO59" s="742"/>
      <c r="DP59" s="742">
        <v>2</v>
      </c>
      <c r="DQ59" s="742" t="str">
        <f t="shared" ref="DQ59:DQ69" ca="1" si="205">INDEX($BD$58:$BD$69,MATCH(DP59,$BM$58:$BM$69,0))</f>
        <v>Australia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Pendiente</v>
      </c>
      <c r="E60" s="742" t="str">
        <f t="shared" ref="E60:E65" si="207">IF(D60="Pendiente","-",INDEX($BT$6:$BT$53,MATCH($AA60,$BD$6:$BD$53,0)))</f>
        <v>-</v>
      </c>
      <c r="F60" s="742" t="str">
        <f t="shared" ref="F60:F65" si="208">IF(D60="Pendiente","-",INDEX($BT$6:$BT$53,MATCH($AF60,$BD$6:$BD$53,0)))</f>
        <v>-</v>
      </c>
      <c r="G60" s="742"/>
      <c r="H60" s="742" t="str">
        <f t="shared" ref="H60:H65" si="209">IF(D60="Pendiente","-",INDEX($BZ$6:$BZ$53,MATCH($AA60,$BD$6:$BD$53,0)))</f>
        <v>-</v>
      </c>
      <c r="I60" s="742" t="str">
        <f t="shared" ref="I60:I65" si="210">IF(D60="Pendiente","-",INDEX($BZ$6:$BZ$53,MATCH($AF60,$BD$6:$BD$53,0)))</f>
        <v>-</v>
      </c>
      <c r="J60" s="742"/>
      <c r="K60" s="742" t="str">
        <f t="shared" ref="K60:K65" si="211">IF(D60="Pendiente","-",INDEX($CE$6:$CE$53,MATCH($AA60,$BD$6:$BD$53,0)))</f>
        <v>-</v>
      </c>
      <c r="L60" s="742" t="str">
        <f t="shared" ref="L60:L65" si="212">IF(D60="Pendiente","-",INDEX($CE$6:$CE$53,MATCH($AF60,$BD$6:$BD$53,0)))</f>
        <v>-</v>
      </c>
      <c r="M60" s="742"/>
      <c r="N60" s="742" t="str">
        <f t="shared" ref="N60:N65" si="213">IF(D60="Pendiente","-",INDEX($CH$6:$CH$53,MATCH($AA60,$BD$6:$BD$53,0)))</f>
        <v>-</v>
      </c>
      <c r="O60" s="742" t="str">
        <f t="shared" ref="O60:O65" si="214">IF(D60="Pendiente","-",INDEX($CH$6:$CH$53,MATCH($AF60,$BD$6:$BD$53,0)))</f>
        <v>-</v>
      </c>
      <c r="P60" s="742"/>
      <c r="Q60" s="742" t="str">
        <f t="shared" ref="Q60:Q65" si="215">IF(D60="Pendiente","-",INDEX($CN$6:$CN$53,MATCH($AA60,$BD$6:$BD$53,0)))</f>
        <v>-</v>
      </c>
      <c r="R60" s="742" t="str">
        <f t="shared" ref="R60:R65" si="216">IF(D60="Pendiente","-",INDEX($CN$6:$CN$53,MATCH($AF60,$BD$6:$BD$53,0)))</f>
        <v>-</v>
      </c>
      <c r="S60" s="742"/>
      <c r="T60" s="742" t="str">
        <f t="shared" ref="T60:T65" si="217">IF(D60="Pendiente","-",INDEX($CS$6:$CS$53,MATCH($AA60,$BD$6:$BD$53,0)))</f>
        <v>-</v>
      </c>
      <c r="U60" s="742" t="str">
        <f t="shared" ref="U60:U65" si="218">IF(D60="Pendiente","-",INDEX($CS$6:$CS$53,MATCH($AF60,$BD$6:$BD$53,0)))</f>
        <v>-</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0</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Haití</v>
      </c>
      <c r="BE60" s="746">
        <f t="shared" ca="1" si="189"/>
        <v>0</v>
      </c>
      <c r="BF60" s="746">
        <f t="shared" ca="1" si="190"/>
        <v>0</v>
      </c>
      <c r="BG60" s="746">
        <f t="shared" ca="1" si="191"/>
        <v>0</v>
      </c>
      <c r="BH60" s="746">
        <f t="shared" ca="1" si="192"/>
        <v>0</v>
      </c>
      <c r="BI60" s="746">
        <f t="shared" ca="1" si="176"/>
        <v>0</v>
      </c>
      <c r="BJ60" s="746">
        <f t="shared" ca="1" si="177"/>
        <v>0</v>
      </c>
      <c r="BK60" s="746">
        <f t="shared" ca="1" si="178"/>
        <v>0</v>
      </c>
      <c r="BL60" s="746">
        <f t="shared" ca="1" si="193"/>
        <v>0</v>
      </c>
      <c r="BM60" s="746">
        <f t="shared" ca="1" si="194"/>
        <v>7</v>
      </c>
      <c r="BN60" s="746">
        <f t="shared" ca="1" si="195"/>
        <v>7</v>
      </c>
      <c r="BO60" s="736" t="str">
        <f t="shared" si="196"/>
        <v>4C</v>
      </c>
      <c r="BP60" s="736"/>
      <c r="BQ60" s="736"/>
      <c r="BR60" s="746">
        <f t="shared" ca="1" si="179"/>
        <v>0</v>
      </c>
      <c r="BS60" s="746">
        <f t="shared" ca="1" si="197"/>
        <v>1</v>
      </c>
      <c r="BT60" s="746" t="str">
        <f t="shared" ca="1" si="198"/>
        <v>Pos. 1 (12)</v>
      </c>
      <c r="BU60" s="746">
        <f t="shared" ca="1" si="180"/>
        <v>0</v>
      </c>
      <c r="BV60" s="746">
        <f t="shared" ca="1" si="181"/>
        <v>1</v>
      </c>
      <c r="BW60" s="746" t="str">
        <f t="shared" ca="1" si="182"/>
        <v>Pos. 1 (11)</v>
      </c>
      <c r="BX60" s="746">
        <f t="shared" ca="1" si="183"/>
        <v>0</v>
      </c>
      <c r="BY60" s="746">
        <f t="shared" ca="1" si="184"/>
        <v>1</v>
      </c>
      <c r="BZ60" s="746" t="str">
        <f t="shared" ca="1" si="185"/>
        <v>Pos. 1 (11)</v>
      </c>
      <c r="CA60" s="746">
        <f t="shared" ca="1" si="199"/>
        <v>5</v>
      </c>
      <c r="CB60" s="746">
        <f t="shared" ca="1" si="200"/>
        <v>7</v>
      </c>
      <c r="CC60" s="746"/>
      <c r="CD60" s="746">
        <f t="shared" ca="1" si="201"/>
        <v>7</v>
      </c>
      <c r="CE60" s="746">
        <f t="shared" ca="1" si="202"/>
        <v>6</v>
      </c>
      <c r="CF60" s="746">
        <f t="shared" ca="1" si="203"/>
        <v>7</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1</v>
      </c>
      <c r="DK60" s="742"/>
      <c r="DL60" s="742">
        <f t="shared" ca="1" si="204"/>
        <v>1</v>
      </c>
      <c r="DM60" s="736" t="str">
        <f t="shared" ca="1" si="187"/>
        <v>1.1</v>
      </c>
      <c r="DN60" s="742" cm="1">
        <f t="array" aca="1" ref="DN60" ca="1">OFFSET(Horarios!$P$3,DJ60-1,0,DL60,1)</f>
        <v>1</v>
      </c>
      <c r="DO60" s="742"/>
      <c r="DP60" s="742">
        <v>3</v>
      </c>
      <c r="DQ60" s="742" t="str">
        <f t="shared" ca="1" si="205"/>
        <v>Austria</v>
      </c>
      <c r="DR60" s="742"/>
      <c r="DS60" s="742"/>
      <c r="DT60" s="742" t="str">
        <f t="shared" ca="1" si="15"/>
        <v>España-Cabo Verde</v>
      </c>
      <c r="DU60" s="742"/>
      <c r="DV60" s="742"/>
      <c r="DW60" s="8"/>
    </row>
    <row r="61" spans="1:127">
      <c r="A61" s="743" t="str">
        <f ca="1">+Equipos!B30</f>
        <v>España</v>
      </c>
      <c r="B61" s="740"/>
      <c r="C61" s="740"/>
      <c r="D61" s="742" t="str">
        <f t="shared" si="206"/>
        <v>Pendiente</v>
      </c>
      <c r="E61" s="742" t="str">
        <f t="shared" si="207"/>
        <v>-</v>
      </c>
      <c r="F61" s="742" t="str">
        <f t="shared" si="208"/>
        <v>-</v>
      </c>
      <c r="G61" s="742"/>
      <c r="H61" s="742" t="str">
        <f t="shared" si="209"/>
        <v>-</v>
      </c>
      <c r="I61" s="742" t="str">
        <f t="shared" si="210"/>
        <v>-</v>
      </c>
      <c r="J61" s="742"/>
      <c r="K61" s="742" t="str">
        <f t="shared" si="211"/>
        <v>-</v>
      </c>
      <c r="L61" s="742" t="str">
        <f t="shared" si="212"/>
        <v>-</v>
      </c>
      <c r="M61" s="742"/>
      <c r="N61" s="742" t="str">
        <f t="shared" si="213"/>
        <v>-</v>
      </c>
      <c r="O61" s="742" t="str">
        <f t="shared" si="214"/>
        <v>-</v>
      </c>
      <c r="P61" s="742"/>
      <c r="Q61" s="742" t="str">
        <f t="shared" si="215"/>
        <v>-</v>
      </c>
      <c r="R61" s="742" t="str">
        <f t="shared" si="216"/>
        <v>-</v>
      </c>
      <c r="S61" s="742"/>
      <c r="T61" s="742" t="str">
        <f t="shared" si="217"/>
        <v>-</v>
      </c>
      <c r="U61" s="742" t="str">
        <f t="shared" si="218"/>
        <v>-</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0</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Australia</v>
      </c>
      <c r="BE61" s="746">
        <f t="shared" ca="1" si="189"/>
        <v>0</v>
      </c>
      <c r="BF61" s="746">
        <f t="shared" ca="1" si="190"/>
        <v>0</v>
      </c>
      <c r="BG61" s="746">
        <f t="shared" ca="1" si="191"/>
        <v>0</v>
      </c>
      <c r="BH61" s="746">
        <f t="shared" ca="1" si="192"/>
        <v>0</v>
      </c>
      <c r="BI61" s="746">
        <f t="shared" ca="1" si="176"/>
        <v>0</v>
      </c>
      <c r="BJ61" s="746">
        <f t="shared" ca="1" si="177"/>
        <v>0</v>
      </c>
      <c r="BK61" s="746">
        <f t="shared" ca="1" si="178"/>
        <v>0</v>
      </c>
      <c r="BL61" s="746">
        <f t="shared" ca="1" si="193"/>
        <v>0</v>
      </c>
      <c r="BM61" s="746">
        <f t="shared" ca="1" si="194"/>
        <v>2</v>
      </c>
      <c r="BN61" s="746">
        <f t="shared" ca="1" si="195"/>
        <v>2</v>
      </c>
      <c r="BO61" s="736" t="str">
        <f t="shared" si="196"/>
        <v>4D</v>
      </c>
      <c r="BP61" s="736"/>
      <c r="BQ61" s="736"/>
      <c r="BR61" s="746">
        <f t="shared" ca="1" si="179"/>
        <v>0</v>
      </c>
      <c r="BS61" s="746">
        <f t="shared" ca="1" si="197"/>
        <v>1</v>
      </c>
      <c r="BT61" s="746" t="str">
        <f t="shared" ca="1" si="198"/>
        <v>Pos. 1 (12)</v>
      </c>
      <c r="BU61" s="746">
        <f t="shared" ca="1" si="180"/>
        <v>0</v>
      </c>
      <c r="BV61" s="746">
        <f t="shared" ca="1" si="181"/>
        <v>1</v>
      </c>
      <c r="BW61" s="746" t="str">
        <f t="shared" ca="1" si="182"/>
        <v>Pos. 1 (11)</v>
      </c>
      <c r="BX61" s="746">
        <f t="shared" ca="1" si="183"/>
        <v>0</v>
      </c>
      <c r="BY61" s="746">
        <f t="shared" ca="1" si="184"/>
        <v>1</v>
      </c>
      <c r="BZ61" s="746" t="str">
        <f t="shared" ca="1" si="185"/>
        <v>Pos. 1 (11)</v>
      </c>
      <c r="CA61" s="746">
        <f t="shared" ca="1" si="199"/>
        <v>10</v>
      </c>
      <c r="CB61" s="746">
        <f t="shared" ca="1" si="200"/>
        <v>2</v>
      </c>
      <c r="CC61" s="746"/>
      <c r="CD61" s="746">
        <f t="shared" ca="1" si="201"/>
        <v>2</v>
      </c>
      <c r="CE61" s="746">
        <f t="shared" ca="1" si="202"/>
        <v>1</v>
      </c>
      <c r="CF61" s="746">
        <f t="shared" ca="1" si="203"/>
        <v>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1</v>
      </c>
      <c r="DK61" s="742"/>
      <c r="DL61" s="742">
        <f t="shared" ca="1" si="204"/>
        <v>1</v>
      </c>
      <c r="DM61" s="736" t="str">
        <f t="shared" ca="1" si="187"/>
        <v>1.1</v>
      </c>
      <c r="DN61" s="742" cm="1">
        <f t="array" aca="1" ref="DN61" ca="1">OFFSET(Horarios!$P$3,DJ61-1,0,DL61,1)</f>
        <v>1</v>
      </c>
      <c r="DO61" s="742"/>
      <c r="DP61" s="742">
        <v>4</v>
      </c>
      <c r="DQ61" s="742" t="str">
        <f t="shared" ca="1" si="205"/>
        <v>Catar</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c r="AD62" s="194"/>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España</v>
      </c>
      <c r="AM62" s="213">
        <f t="shared" ref="AM62:AT65" ca="1" si="223">INDEX($BE$6:$BN$53,MATCH($AL62,$BD$6:$BD$53,0),MATCH(AM$5,$BE$5:$BN$5,0))</f>
        <v>0</v>
      </c>
      <c r="AN62" s="214">
        <f t="shared" ca="1" si="223"/>
        <v>0</v>
      </c>
      <c r="AO62" s="214">
        <f t="shared" ca="1" si="223"/>
        <v>0</v>
      </c>
      <c r="AP62" s="214">
        <f t="shared" ca="1" si="223"/>
        <v>0</v>
      </c>
      <c r="AQ62" s="214">
        <f t="shared" ca="1" si="223"/>
        <v>0</v>
      </c>
      <c r="AR62" s="214">
        <f t="shared" ca="1" si="223"/>
        <v>0</v>
      </c>
      <c r="AS62" s="214">
        <f t="shared" ca="1" si="223"/>
        <v>0</v>
      </c>
      <c r="AT62" s="215">
        <f t="shared" ca="1" si="223"/>
        <v>0</v>
      </c>
      <c r="AU62" s="420">
        <f ca="1">INDEX($DL$6:$DL$53,MATCH(AI62,$DP$6:$DP$53,0))</f>
        <v>1</v>
      </c>
      <c r="AV62" s="217" t="str">
        <f ca="1">INDEX($BD$6:$BD$53,MATCH(AI62,$BM$6:$BM$53,0))</f>
        <v>España</v>
      </c>
      <c r="AW62" s="427"/>
      <c r="AX62" s="218"/>
      <c r="AY62" s="219" t="str">
        <f ca="1">+A61</f>
        <v>España</v>
      </c>
      <c r="AZ62" s="220"/>
      <c r="BA62" s="175"/>
      <c r="BB62" s="757" t="str">
        <f t="shared" si="188"/>
        <v>3E</v>
      </c>
      <c r="BC62" s="754" t="s">
        <v>3</v>
      </c>
      <c r="BD62" s="742" t="str">
        <f t="shared" ca="1" si="175"/>
        <v>Costa de Marfil</v>
      </c>
      <c r="BE62" s="746">
        <f t="shared" ca="1" si="189"/>
        <v>0</v>
      </c>
      <c r="BF62" s="746">
        <f t="shared" ca="1" si="190"/>
        <v>0</v>
      </c>
      <c r="BG62" s="746">
        <f t="shared" ca="1" si="191"/>
        <v>0</v>
      </c>
      <c r="BH62" s="746">
        <f t="shared" ca="1" si="192"/>
        <v>0</v>
      </c>
      <c r="BI62" s="746">
        <f t="shared" ca="1" si="176"/>
        <v>0</v>
      </c>
      <c r="BJ62" s="746">
        <f t="shared" ca="1" si="177"/>
        <v>0</v>
      </c>
      <c r="BK62" s="746">
        <f t="shared" ca="1" si="178"/>
        <v>0</v>
      </c>
      <c r="BL62" s="746">
        <f t="shared" ca="1" si="193"/>
        <v>0</v>
      </c>
      <c r="BM62" s="746">
        <f t="shared" ca="1" si="194"/>
        <v>5</v>
      </c>
      <c r="BN62" s="746">
        <f t="shared" ca="1" si="195"/>
        <v>5</v>
      </c>
      <c r="BO62" s="736" t="str">
        <f t="shared" si="196"/>
        <v>4E</v>
      </c>
      <c r="BP62" s="736"/>
      <c r="BQ62" s="736"/>
      <c r="BR62" s="746">
        <f t="shared" ca="1" si="179"/>
        <v>0</v>
      </c>
      <c r="BS62" s="746">
        <f t="shared" ca="1" si="197"/>
        <v>1</v>
      </c>
      <c r="BT62" s="746" t="str">
        <f t="shared" ca="1" si="198"/>
        <v>Pos. 1 (12)</v>
      </c>
      <c r="BU62" s="746">
        <f t="shared" ca="1" si="180"/>
        <v>0</v>
      </c>
      <c r="BV62" s="746">
        <f t="shared" ca="1" si="181"/>
        <v>1</v>
      </c>
      <c r="BW62" s="746" t="str">
        <f t="shared" ca="1" si="182"/>
        <v>Pos. 1 (11)</v>
      </c>
      <c r="BX62" s="746">
        <f t="shared" ca="1" si="183"/>
        <v>0</v>
      </c>
      <c r="BY62" s="746">
        <f t="shared" ca="1" si="184"/>
        <v>1</v>
      </c>
      <c r="BZ62" s="746" t="str">
        <f t="shared" ca="1" si="185"/>
        <v>Pos. 1 (11)</v>
      </c>
      <c r="CA62" s="746">
        <f t="shared" ca="1" si="199"/>
        <v>7</v>
      </c>
      <c r="CB62" s="746">
        <f t="shared" ca="1" si="200"/>
        <v>5</v>
      </c>
      <c r="CC62" s="746"/>
      <c r="CD62" s="746">
        <f t="shared" ca="1" si="201"/>
        <v>5</v>
      </c>
      <c r="CE62" s="746">
        <f t="shared" ca="1" si="202"/>
        <v>4</v>
      </c>
      <c r="CF62" s="746">
        <f t="shared" ca="1" si="203"/>
        <v>5</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1</v>
      </c>
      <c r="DK62" s="742"/>
      <c r="DL62" s="742">
        <f t="shared" ca="1" si="204"/>
        <v>1</v>
      </c>
      <c r="DM62" s="736" t="str">
        <f t="shared" ca="1" si="187"/>
        <v>1.1</v>
      </c>
      <c r="DN62" s="742" cm="1">
        <f t="array" aca="1" ref="DN62" ca="1">OFFSET(Horarios!$P$3,DJ62-1,0,DL62,1)</f>
        <v>1</v>
      </c>
      <c r="DO62" s="742"/>
      <c r="DP62" s="742">
        <v>5</v>
      </c>
      <c r="DQ62" s="742" t="str">
        <f t="shared" ca="1" si="205"/>
        <v>Costa de Marfil</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c r="AD63" s="194"/>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Cabo Verde</v>
      </c>
      <c r="AM63" s="223">
        <f t="shared" ca="1" si="223"/>
        <v>0</v>
      </c>
      <c r="AN63" s="224">
        <f t="shared" ca="1" si="223"/>
        <v>0</v>
      </c>
      <c r="AO63" s="224">
        <f t="shared" ca="1" si="223"/>
        <v>0</v>
      </c>
      <c r="AP63" s="224">
        <f t="shared" ca="1" si="223"/>
        <v>0</v>
      </c>
      <c r="AQ63" s="224">
        <f t="shared" ca="1" si="223"/>
        <v>0</v>
      </c>
      <c r="AR63" s="224">
        <f t="shared" ca="1" si="223"/>
        <v>0</v>
      </c>
      <c r="AS63" s="224">
        <f t="shared" ca="1" si="223"/>
        <v>0</v>
      </c>
      <c r="AT63" s="225">
        <f t="shared" ca="1" si="223"/>
        <v>0</v>
      </c>
      <c r="AU63" s="420">
        <f ca="1">INDEX($DL$6:$DL$53,MATCH(AI63,$DP$6:$DP$53,0))</f>
        <v>1</v>
      </c>
      <c r="AV63" s="217" t="str">
        <f ca="1">INDEX($BD$6:$BD$53,MATCH(AI63,$BM$6:$BM$53,0))</f>
        <v>Cabo Verde</v>
      </c>
      <c r="AW63" s="427"/>
      <c r="AX63" s="218"/>
      <c r="AY63" s="226" t="str">
        <f ca="1">+A62</f>
        <v>Cabo Verde</v>
      </c>
      <c r="AZ63" s="227"/>
      <c r="BA63" s="175"/>
      <c r="BB63" s="757" t="str">
        <f t="shared" si="188"/>
        <v>3F</v>
      </c>
      <c r="BC63" s="754" t="s">
        <v>4</v>
      </c>
      <c r="BD63" s="742" t="str">
        <f t="shared" ca="1" si="175"/>
        <v>Suecia</v>
      </c>
      <c r="BE63" s="746">
        <f t="shared" ca="1" si="189"/>
        <v>0</v>
      </c>
      <c r="BF63" s="746">
        <f t="shared" ca="1" si="190"/>
        <v>0</v>
      </c>
      <c r="BG63" s="746">
        <f t="shared" ca="1" si="191"/>
        <v>0</v>
      </c>
      <c r="BH63" s="746">
        <f t="shared" ca="1" si="192"/>
        <v>0</v>
      </c>
      <c r="BI63" s="746">
        <f t="shared" ca="1" si="176"/>
        <v>0</v>
      </c>
      <c r="BJ63" s="746">
        <f t="shared" ca="1" si="177"/>
        <v>0</v>
      </c>
      <c r="BK63" s="746">
        <f t="shared" ca="1" si="178"/>
        <v>0</v>
      </c>
      <c r="BL63" s="746">
        <f t="shared" ca="1" si="193"/>
        <v>0</v>
      </c>
      <c r="BM63" s="746">
        <f t="shared" ca="1" si="194"/>
        <v>10</v>
      </c>
      <c r="BN63" s="746">
        <f t="shared" ca="1" si="195"/>
        <v>10</v>
      </c>
      <c r="BO63" s="736" t="str">
        <f t="shared" si="196"/>
        <v>4F</v>
      </c>
      <c r="BP63" s="736"/>
      <c r="BQ63" s="736"/>
      <c r="BR63" s="746">
        <f t="shared" ca="1" si="179"/>
        <v>0</v>
      </c>
      <c r="BS63" s="746">
        <f t="shared" ca="1" si="197"/>
        <v>1</v>
      </c>
      <c r="BT63" s="746" t="str">
        <f t="shared" ca="1" si="198"/>
        <v>Pos. 1 (12)</v>
      </c>
      <c r="BU63" s="746">
        <f t="shared" ca="1" si="180"/>
        <v>0</v>
      </c>
      <c r="BV63" s="746">
        <f t="shared" ca="1" si="181"/>
        <v>1</v>
      </c>
      <c r="BW63" s="746" t="str">
        <f t="shared" ca="1" si="182"/>
        <v>Pos. 1 (11)</v>
      </c>
      <c r="BX63" s="746">
        <f t="shared" ca="1" si="183"/>
        <v>0</v>
      </c>
      <c r="BY63" s="746">
        <f t="shared" ca="1" si="184"/>
        <v>1</v>
      </c>
      <c r="BZ63" s="746" t="str">
        <f t="shared" ca="1" si="185"/>
        <v>Pos. 1 (11)</v>
      </c>
      <c r="CA63" s="746">
        <f t="shared" ca="1" si="199"/>
        <v>1</v>
      </c>
      <c r="CB63" s="746">
        <f t="shared" ca="1" si="200"/>
        <v>10</v>
      </c>
      <c r="CC63" s="746"/>
      <c r="CD63" s="746">
        <f t="shared" ca="1" si="201"/>
        <v>10</v>
      </c>
      <c r="CE63" s="746">
        <f t="shared" ca="1" si="202"/>
        <v>9</v>
      </c>
      <c r="CF63" s="746">
        <f t="shared" ca="1" si="203"/>
        <v>10</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1</v>
      </c>
      <c r="DK63" s="742"/>
      <c r="DL63" s="742">
        <f t="shared" ca="1" si="204"/>
        <v>1</v>
      </c>
      <c r="DM63" s="736" t="str">
        <f t="shared" ca="1" si="187"/>
        <v>1.1</v>
      </c>
      <c r="DN63" s="742" cm="1">
        <f t="array" aca="1" ref="DN63" ca="1">OFFSET(Horarios!$P$3,DJ63-1,0,DL63,1)</f>
        <v>1</v>
      </c>
      <c r="DO63" s="742"/>
      <c r="DP63" s="742">
        <v>6</v>
      </c>
      <c r="DQ63" s="742" t="str">
        <f t="shared" ca="1" si="205"/>
        <v>Ghana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Arabia Saudita</v>
      </c>
      <c r="AM64" s="223">
        <f t="shared" ca="1" si="223"/>
        <v>0</v>
      </c>
      <c r="AN64" s="224">
        <f t="shared" ca="1" si="223"/>
        <v>0</v>
      </c>
      <c r="AO64" s="224">
        <f t="shared" ca="1" si="223"/>
        <v>0</v>
      </c>
      <c r="AP64" s="224">
        <f t="shared" ca="1" si="223"/>
        <v>0</v>
      </c>
      <c r="AQ64" s="224">
        <f t="shared" ca="1" si="223"/>
        <v>0</v>
      </c>
      <c r="AR64" s="224">
        <f t="shared" ca="1" si="223"/>
        <v>0</v>
      </c>
      <c r="AS64" s="224">
        <f t="shared" ca="1" si="223"/>
        <v>0</v>
      </c>
      <c r="AT64" s="225">
        <f t="shared" ca="1" si="223"/>
        <v>0</v>
      </c>
      <c r="AU64" s="420">
        <f ca="1">INDEX($DL$6:$DL$53,MATCH(AI64,$DP$6:$DP$53,0))</f>
        <v>1</v>
      </c>
      <c r="AV64" s="217" t="str">
        <f ca="1">INDEX($BD$6:$BD$53,MATCH(AI64,$BM$6:$BM$53,0))</f>
        <v>Arabia Saudita</v>
      </c>
      <c r="AW64" s="427"/>
      <c r="AX64" s="218"/>
      <c r="AY64" s="219" t="str">
        <f ca="1">+A63</f>
        <v>Arabia Saudita</v>
      </c>
      <c r="AZ64" s="220"/>
      <c r="BA64" s="175"/>
      <c r="BB64" s="757" t="str">
        <f t="shared" si="188"/>
        <v>3G</v>
      </c>
      <c r="BC64" s="754" t="s">
        <v>6</v>
      </c>
      <c r="BD64" s="742" t="str">
        <f t="shared" ca="1" si="175"/>
        <v>Irán</v>
      </c>
      <c r="BE64" s="746">
        <f t="shared" ca="1" si="189"/>
        <v>0</v>
      </c>
      <c r="BF64" s="746">
        <f t="shared" ca="1" si="190"/>
        <v>0</v>
      </c>
      <c r="BG64" s="746">
        <f t="shared" ca="1" si="191"/>
        <v>0</v>
      </c>
      <c r="BH64" s="746">
        <f t="shared" ca="1" si="192"/>
        <v>0</v>
      </c>
      <c r="BI64" s="746">
        <f t="shared" ca="1" si="176"/>
        <v>0</v>
      </c>
      <c r="BJ64" s="746">
        <f t="shared" ca="1" si="177"/>
        <v>0</v>
      </c>
      <c r="BK64" s="746">
        <f t="shared" ca="1" si="178"/>
        <v>0</v>
      </c>
      <c r="BL64" s="746">
        <f t="shared" ca="1" si="193"/>
        <v>0</v>
      </c>
      <c r="BM64" s="746">
        <f t="shared" ca="1" si="194"/>
        <v>9</v>
      </c>
      <c r="BN64" s="746">
        <f t="shared" ca="1" si="195"/>
        <v>9</v>
      </c>
      <c r="BO64" s="736" t="str">
        <f t="shared" si="196"/>
        <v>4G</v>
      </c>
      <c r="BP64" s="736"/>
      <c r="BQ64" s="736"/>
      <c r="BR64" s="746">
        <f t="shared" ca="1" si="179"/>
        <v>0</v>
      </c>
      <c r="BS64" s="746">
        <f t="shared" ca="1" si="197"/>
        <v>1</v>
      </c>
      <c r="BT64" s="746" t="str">
        <f t="shared" ca="1" si="198"/>
        <v>Pos. 1 (12)</v>
      </c>
      <c r="BU64" s="746">
        <f t="shared" ca="1" si="180"/>
        <v>0</v>
      </c>
      <c r="BV64" s="746">
        <f t="shared" ca="1" si="181"/>
        <v>1</v>
      </c>
      <c r="BW64" s="746" t="str">
        <f t="shared" ca="1" si="182"/>
        <v>Pos. 1 (11)</v>
      </c>
      <c r="BX64" s="746">
        <f t="shared" ca="1" si="183"/>
        <v>0</v>
      </c>
      <c r="BY64" s="746">
        <f t="shared" ca="1" si="184"/>
        <v>1</v>
      </c>
      <c r="BZ64" s="746" t="str">
        <f t="shared" ca="1" si="185"/>
        <v>Pos. 1 (11)</v>
      </c>
      <c r="CA64" s="746">
        <f t="shared" ca="1" si="199"/>
        <v>3</v>
      </c>
      <c r="CB64" s="746">
        <f t="shared" ca="1" si="200"/>
        <v>9</v>
      </c>
      <c r="CC64" s="746"/>
      <c r="CD64" s="746">
        <f t="shared" ca="1" si="201"/>
        <v>9</v>
      </c>
      <c r="CE64" s="746">
        <f t="shared" ca="1" si="202"/>
        <v>8</v>
      </c>
      <c r="CF64" s="746">
        <f t="shared" ca="1" si="203"/>
        <v>9</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1</v>
      </c>
      <c r="DK64" s="742"/>
      <c r="DL64" s="742">
        <f t="shared" ca="1" si="204"/>
        <v>1</v>
      </c>
      <c r="DM64" s="736" t="str">
        <f t="shared" ca="1" si="187"/>
        <v>1.1</v>
      </c>
      <c r="DN64" s="742" cm="1">
        <f t="array" aca="1" ref="DN64" ca="1">OFFSET(Horarios!$P$3,DJ64-1,0,DL64,1)</f>
        <v>1</v>
      </c>
      <c r="DO64" s="742"/>
      <c r="DP64" s="742">
        <v>7</v>
      </c>
      <c r="DQ64" s="742" t="str">
        <f t="shared" ca="1" si="205"/>
        <v>Haití</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Uruguay</v>
      </c>
      <c r="AM65" s="237">
        <f t="shared" ca="1" si="223"/>
        <v>0</v>
      </c>
      <c r="AN65" s="238">
        <f t="shared" ca="1" si="223"/>
        <v>0</v>
      </c>
      <c r="AO65" s="238">
        <f t="shared" ca="1" si="223"/>
        <v>0</v>
      </c>
      <c r="AP65" s="238">
        <f t="shared" ca="1" si="223"/>
        <v>0</v>
      </c>
      <c r="AQ65" s="238">
        <f t="shared" ca="1" si="223"/>
        <v>0</v>
      </c>
      <c r="AR65" s="238">
        <f t="shared" ca="1" si="223"/>
        <v>0</v>
      </c>
      <c r="AS65" s="238">
        <f t="shared" ca="1" si="223"/>
        <v>0</v>
      </c>
      <c r="AT65" s="239">
        <f t="shared" ca="1" si="223"/>
        <v>0</v>
      </c>
      <c r="AU65" s="420">
        <f ca="1">INDEX($DL$6:$DL$53,MATCH(AI65,$DP$6:$DP$53,0))</f>
        <v>1</v>
      </c>
      <c r="AV65" s="217" t="str">
        <f ca="1">INDEX($BD$6:$BD$53,MATCH(AI65,$BM$6:$BM$53,0))</f>
        <v>Uruguay</v>
      </c>
      <c r="AW65" s="427"/>
      <c r="AX65" s="218"/>
      <c r="AY65" s="240" t="str">
        <f ca="1">+A64</f>
        <v>Uruguay</v>
      </c>
      <c r="AZ65" s="241"/>
      <c r="BA65" s="175"/>
      <c r="BB65" s="757" t="str">
        <f t="shared" si="188"/>
        <v>3H</v>
      </c>
      <c r="BC65" s="754" t="s">
        <v>437</v>
      </c>
      <c r="BD65" s="742" t="str">
        <f t="shared" ca="1" si="175"/>
        <v>Arabia Saudita</v>
      </c>
      <c r="BE65" s="746">
        <f t="shared" ca="1" si="189"/>
        <v>0</v>
      </c>
      <c r="BF65" s="746">
        <f t="shared" ca="1" si="190"/>
        <v>0</v>
      </c>
      <c r="BG65" s="746">
        <f t="shared" ca="1" si="191"/>
        <v>0</v>
      </c>
      <c r="BH65" s="746">
        <f t="shared" ca="1" si="192"/>
        <v>0</v>
      </c>
      <c r="BI65" s="746">
        <f t="shared" ca="1" si="176"/>
        <v>0</v>
      </c>
      <c r="BJ65" s="746">
        <f t="shared" ca="1" si="177"/>
        <v>0</v>
      </c>
      <c r="BK65" s="746">
        <f t="shared" ca="1" si="178"/>
        <v>0</v>
      </c>
      <c r="BL65" s="746">
        <f t="shared" ca="1" si="193"/>
        <v>0</v>
      </c>
      <c r="BM65" s="746">
        <f t="shared" ca="1" si="194"/>
        <v>1</v>
      </c>
      <c r="BN65" s="746">
        <f t="shared" ca="1" si="195"/>
        <v>1</v>
      </c>
      <c r="BO65" s="736" t="str">
        <f t="shared" si="196"/>
        <v>4H</v>
      </c>
      <c r="BP65" s="736"/>
      <c r="BQ65" s="736"/>
      <c r="BR65" s="746">
        <f t="shared" ca="1" si="179"/>
        <v>0</v>
      </c>
      <c r="BS65" s="746">
        <f t="shared" ca="1" si="197"/>
        <v>1</v>
      </c>
      <c r="BT65" s="746" t="str">
        <f t="shared" ca="1" si="198"/>
        <v>Pos. 1 (12)</v>
      </c>
      <c r="BU65" s="746">
        <f t="shared" ca="1" si="180"/>
        <v>0</v>
      </c>
      <c r="BV65" s="746">
        <f t="shared" ca="1" si="181"/>
        <v>1</v>
      </c>
      <c r="BW65" s="746" t="str">
        <f t="shared" ca="1" si="182"/>
        <v>Pos. 1 (11)</v>
      </c>
      <c r="BX65" s="746">
        <f t="shared" ca="1" si="183"/>
        <v>0</v>
      </c>
      <c r="BY65" s="746">
        <f t="shared" ca="1" si="184"/>
        <v>1</v>
      </c>
      <c r="BZ65" s="746" t="str">
        <f t="shared" ca="1" si="185"/>
        <v>Pos. 1 (11)</v>
      </c>
      <c r="CA65" s="746">
        <f t="shared" ca="1" si="199"/>
        <v>11</v>
      </c>
      <c r="CB65" s="746">
        <f t="shared" ca="1" si="200"/>
        <v>1</v>
      </c>
      <c r="CC65" s="746"/>
      <c r="CD65" s="746">
        <f t="shared" ca="1" si="201"/>
        <v>1</v>
      </c>
      <c r="CE65" s="746">
        <f t="shared" ca="1" si="202"/>
        <v>0</v>
      </c>
      <c r="CF65" s="746">
        <f t="shared" ca="1" si="203"/>
        <v>1</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1</v>
      </c>
      <c r="DK65" s="742"/>
      <c r="DL65" s="742">
        <f t="shared" ca="1" si="204"/>
        <v>1</v>
      </c>
      <c r="DM65" s="736" t="str">
        <f t="shared" ca="1" si="187"/>
        <v>1.1</v>
      </c>
      <c r="DN65" s="742" cm="1">
        <f t="array" aca="1" ref="DN65" ca="1">OFFSET(Horarios!$P$3,DJ65-1,0,DL65,1)</f>
        <v>1</v>
      </c>
      <c r="DO65" s="742"/>
      <c r="DP65" s="742">
        <v>8</v>
      </c>
      <c r="DQ65" s="742" t="str">
        <f t="shared" ca="1" si="205"/>
        <v>Irak</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Irak</v>
      </c>
      <c r="BE66" s="746">
        <f t="shared" ca="1" si="189"/>
        <v>0</v>
      </c>
      <c r="BF66" s="746">
        <f t="shared" ca="1" si="190"/>
        <v>0</v>
      </c>
      <c r="BG66" s="746">
        <f t="shared" ca="1" si="191"/>
        <v>0</v>
      </c>
      <c r="BH66" s="746">
        <f t="shared" ca="1" si="192"/>
        <v>0</v>
      </c>
      <c r="BI66" s="746">
        <f t="shared" ca="1" si="176"/>
        <v>0</v>
      </c>
      <c r="BJ66" s="746">
        <f t="shared" ca="1" si="177"/>
        <v>0</v>
      </c>
      <c r="BK66" s="746">
        <f t="shared" ca="1" si="178"/>
        <v>0</v>
      </c>
      <c r="BL66" s="746">
        <f t="shared" ca="1" si="193"/>
        <v>0</v>
      </c>
      <c r="BM66" s="746">
        <f t="shared" ca="1" si="194"/>
        <v>8</v>
      </c>
      <c r="BN66" s="746">
        <f t="shared" ca="1" si="195"/>
        <v>8</v>
      </c>
      <c r="BO66" s="736" t="str">
        <f t="shared" si="196"/>
        <v>4I</v>
      </c>
      <c r="BP66" s="736"/>
      <c r="BQ66" s="736"/>
      <c r="BR66" s="746">
        <f t="shared" ca="1" si="179"/>
        <v>0</v>
      </c>
      <c r="BS66" s="746">
        <f t="shared" ca="1" si="197"/>
        <v>1</v>
      </c>
      <c r="BT66" s="746" t="str">
        <f t="shared" ca="1" si="198"/>
        <v>Pos. 1 (12)</v>
      </c>
      <c r="BU66" s="746">
        <f t="shared" ca="1" si="180"/>
        <v>0</v>
      </c>
      <c r="BV66" s="746">
        <f t="shared" ca="1" si="181"/>
        <v>1</v>
      </c>
      <c r="BW66" s="746" t="str">
        <f t="shared" ca="1" si="182"/>
        <v>Pos. 1 (11)</v>
      </c>
      <c r="BX66" s="746">
        <f t="shared" ca="1" si="183"/>
        <v>0</v>
      </c>
      <c r="BY66" s="746">
        <f t="shared" ca="1" si="184"/>
        <v>1</v>
      </c>
      <c r="BZ66" s="746" t="str">
        <f t="shared" ca="1" si="185"/>
        <v>Pos. 1 (11)</v>
      </c>
      <c r="CA66" s="746">
        <f t="shared" ca="1" si="199"/>
        <v>4</v>
      </c>
      <c r="CB66" s="746">
        <f t="shared" ca="1" si="200"/>
        <v>8</v>
      </c>
      <c r="CC66" s="746"/>
      <c r="CD66" s="746">
        <f t="shared" ca="1" si="201"/>
        <v>8</v>
      </c>
      <c r="CE66" s="746">
        <f t="shared" ca="1" si="202"/>
        <v>7</v>
      </c>
      <c r="CF66" s="746">
        <f t="shared" ca="1" si="203"/>
        <v>8</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1</v>
      </c>
      <c r="DK66" s="742"/>
      <c r="DL66" s="742">
        <f t="shared" ca="1" si="204"/>
        <v>1</v>
      </c>
      <c r="DM66" s="736" t="str">
        <f t="shared" ca="1" si="187"/>
        <v>1.1</v>
      </c>
      <c r="DN66" s="742" cm="1">
        <f t="array" aca="1" ref="DN66" ca="1">OFFSET(Horarios!$P$3,DJ66-1,0,DL66,1)</f>
        <v>1</v>
      </c>
      <c r="DO66" s="742"/>
      <c r="DP66" s="742">
        <v>9</v>
      </c>
      <c r="DQ66" s="742" t="str">
        <f t="shared" ca="1" si="205"/>
        <v>Irán</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Austria</v>
      </c>
      <c r="BE67" s="746">
        <f t="shared" ca="1" si="189"/>
        <v>0</v>
      </c>
      <c r="BF67" s="746">
        <f t="shared" ca="1" si="190"/>
        <v>0</v>
      </c>
      <c r="BG67" s="746">
        <f t="shared" ca="1" si="191"/>
        <v>0</v>
      </c>
      <c r="BH67" s="746">
        <f t="shared" ca="1" si="192"/>
        <v>0</v>
      </c>
      <c r="BI67" s="746">
        <f t="shared" ca="1" si="176"/>
        <v>0</v>
      </c>
      <c r="BJ67" s="746">
        <f t="shared" ca="1" si="177"/>
        <v>0</v>
      </c>
      <c r="BK67" s="746">
        <f t="shared" ca="1" si="178"/>
        <v>0</v>
      </c>
      <c r="BL67" s="746">
        <f t="shared" ca="1" si="193"/>
        <v>0</v>
      </c>
      <c r="BM67" s="746">
        <f t="shared" ca="1" si="194"/>
        <v>3</v>
      </c>
      <c r="BN67" s="746">
        <f t="shared" ca="1" si="195"/>
        <v>3</v>
      </c>
      <c r="BO67" s="736" t="str">
        <f t="shared" si="196"/>
        <v>4J</v>
      </c>
      <c r="BP67" s="736"/>
      <c r="BQ67" s="736"/>
      <c r="BR67" s="746">
        <f t="shared" ca="1" si="179"/>
        <v>0</v>
      </c>
      <c r="BS67" s="746">
        <f t="shared" ca="1" si="197"/>
        <v>1</v>
      </c>
      <c r="BT67" s="746" t="str">
        <f t="shared" ca="1" si="198"/>
        <v>Pos. 1 (12)</v>
      </c>
      <c r="BU67" s="746">
        <f t="shared" ca="1" si="180"/>
        <v>0</v>
      </c>
      <c r="BV67" s="746">
        <f t="shared" ca="1" si="181"/>
        <v>1</v>
      </c>
      <c r="BW67" s="746" t="str">
        <f t="shared" ca="1" si="182"/>
        <v>Pos. 1 (11)</v>
      </c>
      <c r="BX67" s="746">
        <f t="shared" ca="1" si="183"/>
        <v>0</v>
      </c>
      <c r="BY67" s="746">
        <f t="shared" ca="1" si="184"/>
        <v>1</v>
      </c>
      <c r="BZ67" s="746" t="str">
        <f t="shared" ca="1" si="185"/>
        <v>Pos. 1 (11)</v>
      </c>
      <c r="CA67" s="746">
        <f t="shared" ca="1" si="199"/>
        <v>9</v>
      </c>
      <c r="CB67" s="746">
        <f t="shared" ca="1" si="200"/>
        <v>3</v>
      </c>
      <c r="CC67" s="746"/>
      <c r="CD67" s="746">
        <f t="shared" ca="1" si="201"/>
        <v>3</v>
      </c>
      <c r="CE67" s="746">
        <f t="shared" ca="1" si="202"/>
        <v>2</v>
      </c>
      <c r="CF67" s="746">
        <f t="shared" ca="1" si="203"/>
        <v>3</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v>
      </c>
      <c r="DK67" s="742"/>
      <c r="DL67" s="742">
        <f t="shared" ca="1" si="204"/>
        <v>1</v>
      </c>
      <c r="DM67" s="736" t="str">
        <f t="shared" ca="1" si="187"/>
        <v>1.1</v>
      </c>
      <c r="DN67" s="742" cm="1">
        <f t="array" aca="1" ref="DN67" ca="1">OFFSET(Horarios!$P$3,DJ67-1,0,DL67,1)</f>
        <v>1</v>
      </c>
      <c r="DO67" s="742"/>
      <c r="DP67" s="742">
        <v>10</v>
      </c>
      <c r="DQ67" s="742" t="str">
        <f t="shared" ca="1" si="205"/>
        <v>Suecia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Pendiente</v>
      </c>
      <c r="E68" s="742" t="str">
        <f t="shared" ref="E68:E73" si="226">IF(D68="Pendiente","-",INDEX($BT$6:$BT$53,MATCH($AA68,$BD$6:$BD$53,0)))</f>
        <v>-</v>
      </c>
      <c r="F68" s="742" t="str">
        <f t="shared" ref="F68:F73" si="227">IF(D68="Pendiente","-",INDEX($BT$6:$BT$53,MATCH($AF68,$BD$6:$BD$53,0)))</f>
        <v>-</v>
      </c>
      <c r="G68" s="742"/>
      <c r="H68" s="742" t="str">
        <f t="shared" ref="H68:H73" si="228">IF(D68="Pendiente","-",INDEX($BZ$6:$BZ$53,MATCH($AA68,$BD$6:$BD$53,0)))</f>
        <v>-</v>
      </c>
      <c r="I68" s="742" t="str">
        <f t="shared" ref="I68:I73" si="229">IF(D68="Pendiente","-",INDEX($BZ$6:$BZ$53,MATCH($AF68,$BD$6:$BD$53,0)))</f>
        <v>-</v>
      </c>
      <c r="J68" s="742"/>
      <c r="K68" s="742" t="str">
        <f t="shared" ref="K68:K73" si="230">IF(D68="Pendiente","-",INDEX($CE$6:$CE$53,MATCH($AA68,$BD$6:$BD$53,0)))</f>
        <v>-</v>
      </c>
      <c r="L68" s="742" t="str">
        <f t="shared" ref="L68:L73" si="231">IF(D68="Pendiente","-",INDEX($CE$6:$CE$53,MATCH($AF68,$BD$6:$BD$53,0)))</f>
        <v>-</v>
      </c>
      <c r="M68" s="742"/>
      <c r="N68" s="742" t="str">
        <f t="shared" ref="N68:N73" si="232">IF(D68="Pendiente","-",INDEX($CH$6:$CH$53,MATCH($AA68,$BD$6:$BD$53,0)))</f>
        <v>-</v>
      </c>
      <c r="O68" s="742" t="str">
        <f t="shared" ref="O68:O73" si="233">IF(D68="Pendiente","-",INDEX($CH$6:$CH$53,MATCH($AF68,$BD$6:$BD$53,0)))</f>
        <v>-</v>
      </c>
      <c r="P68" s="742"/>
      <c r="Q68" s="742" t="str">
        <f t="shared" ref="Q68:Q73" si="234">IF(D68="Pendiente","-",INDEX($CN$6:$CN$53,MATCH($AA68,$BD$6:$BD$53,0)))</f>
        <v>-</v>
      </c>
      <c r="R68" s="742" t="str">
        <f t="shared" ref="R68:R73" si="235">IF(D68="Pendiente","-",INDEX($CN$6:$CN$53,MATCH($AF68,$BD$6:$BD$53,0)))</f>
        <v>-</v>
      </c>
      <c r="S68" s="742"/>
      <c r="T68" s="742" t="str">
        <f t="shared" ref="T68:T73" si="236">IF(D68="Pendiente","-",INDEX($CS$6:$CS$53,MATCH($AA68,$BD$6:$BD$53,0)))</f>
        <v>-</v>
      </c>
      <c r="U68" s="742" t="str">
        <f t="shared" ref="U68:U73" si="237">IF(D68="Pendiente","-",INDEX($CS$6:$CS$53,MATCH($AF68,$BD$6:$BD$53,0)))</f>
        <v>-</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0</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Uzbekistán</v>
      </c>
      <c r="BE68" s="746">
        <f t="shared" ca="1" si="189"/>
        <v>0</v>
      </c>
      <c r="BF68" s="746">
        <f t="shared" ca="1" si="190"/>
        <v>0</v>
      </c>
      <c r="BG68" s="746">
        <f t="shared" ca="1" si="191"/>
        <v>0</v>
      </c>
      <c r="BH68" s="746">
        <f t="shared" ca="1" si="192"/>
        <v>0</v>
      </c>
      <c r="BI68" s="746">
        <f t="shared" ca="1" si="176"/>
        <v>0</v>
      </c>
      <c r="BJ68" s="746">
        <f t="shared" ca="1" si="177"/>
        <v>0</v>
      </c>
      <c r="BK68" s="746">
        <f t="shared" ca="1" si="178"/>
        <v>0</v>
      </c>
      <c r="BL68" s="746">
        <f t="shared" ca="1" si="193"/>
        <v>0</v>
      </c>
      <c r="BM68" s="746">
        <f t="shared" ca="1" si="194"/>
        <v>11</v>
      </c>
      <c r="BN68" s="746">
        <f t="shared" ca="1" si="195"/>
        <v>11</v>
      </c>
      <c r="BO68" s="736" t="str">
        <f t="shared" si="196"/>
        <v>4K</v>
      </c>
      <c r="BP68" s="736"/>
      <c r="BQ68" s="736"/>
      <c r="BR68" s="746">
        <f t="shared" ca="1" si="179"/>
        <v>0</v>
      </c>
      <c r="BS68" s="746">
        <f t="shared" ca="1" si="197"/>
        <v>1</v>
      </c>
      <c r="BT68" s="746" t="str">
        <f t="shared" ca="1" si="198"/>
        <v>Pos. 1 (12)</v>
      </c>
      <c r="BU68" s="746">
        <f t="shared" ca="1" si="180"/>
        <v>0</v>
      </c>
      <c r="BV68" s="746">
        <f t="shared" ca="1" si="181"/>
        <v>1</v>
      </c>
      <c r="BW68" s="746" t="str">
        <f t="shared" ca="1" si="182"/>
        <v>Pos. 1 (11)</v>
      </c>
      <c r="BX68" s="746">
        <f t="shared" ca="1" si="183"/>
        <v>0</v>
      </c>
      <c r="BY68" s="746">
        <f t="shared" ca="1" si="184"/>
        <v>1</v>
      </c>
      <c r="BZ68" s="746" t="str">
        <f t="shared" ca="1" si="185"/>
        <v>Pos. 1 (11)</v>
      </c>
      <c r="CA68" s="746">
        <f t="shared" ca="1" si="199"/>
        <v>0</v>
      </c>
      <c r="CB68" s="746">
        <f t="shared" ca="1" si="200"/>
        <v>11</v>
      </c>
      <c r="CC68" s="746"/>
      <c r="CD68" s="746">
        <f t="shared" ca="1" si="201"/>
        <v>11</v>
      </c>
      <c r="CE68" s="746">
        <f t="shared" ca="1" si="202"/>
        <v>10</v>
      </c>
      <c r="CF68" s="746">
        <f t="shared" ca="1" si="203"/>
        <v>11</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v>
      </c>
      <c r="DK68" s="742"/>
      <c r="DL68" s="742">
        <f t="shared" ca="1" si="204"/>
        <v>1</v>
      </c>
      <c r="DM68" s="736" t="str">
        <f t="shared" ca="1" si="187"/>
        <v>1.1</v>
      </c>
      <c r="DN68" s="742" cm="1">
        <f t="array" aca="1" ref="DN68" ca="1">OFFSET(Horarios!$P$3,DJ68-1,0,DL68,1)</f>
        <v>1</v>
      </c>
      <c r="DO68" s="742"/>
      <c r="DP68" s="742">
        <v>11</v>
      </c>
      <c r="DQ68" s="742" t="str">
        <f t="shared" ca="1" si="205"/>
        <v>Uzbekistán</v>
      </c>
      <c r="DR68" s="742"/>
      <c r="DS68" s="742"/>
      <c r="DT68" s="742" t="str">
        <f t="shared" ca="1" si="15"/>
        <v>Francia-Senegal</v>
      </c>
      <c r="DU68" s="742"/>
      <c r="DV68" s="742"/>
      <c r="DW68" s="8"/>
    </row>
    <row r="69" spans="1:127" ht="15.95" customHeight="1">
      <c r="A69" s="743" t="str">
        <f ca="1">+Equipos!B34</f>
        <v>Francia</v>
      </c>
      <c r="B69" s="740"/>
      <c r="C69" s="740"/>
      <c r="D69" s="742" t="str">
        <f t="shared" si="225"/>
        <v>Pendiente</v>
      </c>
      <c r="E69" s="742" t="str">
        <f t="shared" si="226"/>
        <v>-</v>
      </c>
      <c r="F69" s="742" t="str">
        <f t="shared" si="227"/>
        <v>-</v>
      </c>
      <c r="G69" s="742"/>
      <c r="H69" s="742" t="str">
        <f t="shared" si="228"/>
        <v>-</v>
      </c>
      <c r="I69" s="742" t="str">
        <f t="shared" si="229"/>
        <v>-</v>
      </c>
      <c r="J69" s="742"/>
      <c r="K69" s="742" t="str">
        <f t="shared" si="230"/>
        <v>-</v>
      </c>
      <c r="L69" s="742" t="str">
        <f t="shared" si="231"/>
        <v>-</v>
      </c>
      <c r="M69" s="742"/>
      <c r="N69" s="742" t="str">
        <f t="shared" si="232"/>
        <v>-</v>
      </c>
      <c r="O69" s="742" t="str">
        <f t="shared" si="233"/>
        <v>-</v>
      </c>
      <c r="P69" s="742"/>
      <c r="Q69" s="742" t="str">
        <f t="shared" si="234"/>
        <v>-</v>
      </c>
      <c r="R69" s="742" t="str">
        <f t="shared" si="235"/>
        <v>-</v>
      </c>
      <c r="S69" s="742"/>
      <c r="T69" s="742" t="str">
        <f t="shared" si="236"/>
        <v>-</v>
      </c>
      <c r="U69" s="742" t="str">
        <f t="shared" si="237"/>
        <v>-</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0</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Ghana</v>
      </c>
      <c r="BE69" s="746">
        <f t="shared" ca="1" si="189"/>
        <v>0</v>
      </c>
      <c r="BF69" s="746">
        <f t="shared" ca="1" si="190"/>
        <v>0</v>
      </c>
      <c r="BG69" s="746">
        <f t="shared" ca="1" si="191"/>
        <v>0</v>
      </c>
      <c r="BH69" s="746">
        <f t="shared" ca="1" si="192"/>
        <v>0</v>
      </c>
      <c r="BI69" s="746">
        <f t="shared" ca="1" si="176"/>
        <v>0</v>
      </c>
      <c r="BJ69" s="746">
        <f t="shared" ca="1" si="177"/>
        <v>0</v>
      </c>
      <c r="BK69" s="746">
        <f t="shared" ca="1" si="178"/>
        <v>0</v>
      </c>
      <c r="BL69" s="746">
        <f t="shared" ca="1" si="193"/>
        <v>0</v>
      </c>
      <c r="BM69" s="746">
        <f t="shared" ca="1" si="194"/>
        <v>6</v>
      </c>
      <c r="BN69" s="746">
        <f t="shared" ca="1" si="195"/>
        <v>6</v>
      </c>
      <c r="BO69" s="736" t="str">
        <f t="shared" si="196"/>
        <v>4L</v>
      </c>
      <c r="BP69" s="736"/>
      <c r="BQ69" s="736"/>
      <c r="BR69" s="746">
        <f t="shared" ca="1" si="179"/>
        <v>0</v>
      </c>
      <c r="BS69" s="746">
        <f t="shared" ca="1" si="197"/>
        <v>1</v>
      </c>
      <c r="BT69" s="746" t="str">
        <f t="shared" ca="1" si="198"/>
        <v>Pos. 1 (12)</v>
      </c>
      <c r="BU69" s="746">
        <f t="shared" ca="1" si="180"/>
        <v>0</v>
      </c>
      <c r="BV69" s="746">
        <f t="shared" ca="1" si="181"/>
        <v>1</v>
      </c>
      <c r="BW69" s="746" t="str">
        <f t="shared" ca="1" si="182"/>
        <v>Pos. 1 (11)</v>
      </c>
      <c r="BX69" s="746">
        <f t="shared" ca="1" si="183"/>
        <v>0</v>
      </c>
      <c r="BY69" s="746">
        <f t="shared" ca="1" si="184"/>
        <v>1</v>
      </c>
      <c r="BZ69" s="746" t="str">
        <f t="shared" ca="1" si="185"/>
        <v>Pos. 1 (11)</v>
      </c>
      <c r="CA69" s="746">
        <f t="shared" ca="1" si="199"/>
        <v>6</v>
      </c>
      <c r="CB69" s="746">
        <f ca="1">BY69+COUNTIFS(BZ$58:BZ$69,BZ69,CA$58:CA$69,"&gt;"&amp;CA69)</f>
        <v>6</v>
      </c>
      <c r="CC69" s="746"/>
      <c r="CD69" s="746">
        <f t="shared" ca="1" si="201"/>
        <v>6</v>
      </c>
      <c r="CE69" s="746">
        <f t="shared" ca="1" si="202"/>
        <v>5</v>
      </c>
      <c r="CF69" s="746">
        <f t="shared" ca="1" si="203"/>
        <v>6</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República Checa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c r="AD70" s="194"/>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Francia</v>
      </c>
      <c r="AM70" s="213">
        <f t="shared" ref="AM70:AT73" ca="1" si="243">INDEX($BE$6:$BN$53,MATCH($AL70,$BD$6:$BD$53,0),MATCH(AM$5,$BE$5:$BN$5,0))</f>
        <v>0</v>
      </c>
      <c r="AN70" s="214">
        <f t="shared" ca="1" si="243"/>
        <v>0</v>
      </c>
      <c r="AO70" s="214">
        <f t="shared" ca="1" si="243"/>
        <v>0</v>
      </c>
      <c r="AP70" s="214">
        <f t="shared" ca="1" si="243"/>
        <v>0</v>
      </c>
      <c r="AQ70" s="214">
        <f t="shared" ca="1" si="243"/>
        <v>0</v>
      </c>
      <c r="AR70" s="214">
        <f t="shared" ca="1" si="243"/>
        <v>0</v>
      </c>
      <c r="AS70" s="214">
        <f t="shared" ca="1" si="243"/>
        <v>0</v>
      </c>
      <c r="AT70" s="215">
        <f t="shared" ca="1" si="243"/>
        <v>0</v>
      </c>
      <c r="AU70" s="420">
        <f ca="1">INDEX($DL$6:$DL$53,MATCH(AI70,$DP$6:$DP$53,0))</f>
        <v>1</v>
      </c>
      <c r="AV70" s="217" t="str">
        <f ca="1">INDEX($BD$6:$BD$53,MATCH(AI70,$BM$6:$BM$53,0))</f>
        <v>Francia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c r="AD71" s="194"/>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Senegal</v>
      </c>
      <c r="AM71" s="223">
        <f t="shared" ca="1" si="243"/>
        <v>0</v>
      </c>
      <c r="AN71" s="224">
        <f t="shared" ca="1" si="243"/>
        <v>0</v>
      </c>
      <c r="AO71" s="224">
        <f t="shared" ca="1" si="243"/>
        <v>0</v>
      </c>
      <c r="AP71" s="224">
        <f t="shared" ca="1" si="243"/>
        <v>0</v>
      </c>
      <c r="AQ71" s="224">
        <f t="shared" ca="1" si="243"/>
        <v>0</v>
      </c>
      <c r="AR71" s="224">
        <f t="shared" ca="1" si="243"/>
        <v>0</v>
      </c>
      <c r="AS71" s="224">
        <f t="shared" ca="1" si="243"/>
        <v>0</v>
      </c>
      <c r="AT71" s="225">
        <f t="shared" ca="1" si="243"/>
        <v>0</v>
      </c>
      <c r="AU71" s="420">
        <f ca="1">INDEX($DL$6:$DL$53,MATCH(AI71,$DP$6:$DP$53,0))</f>
        <v>1</v>
      </c>
      <c r="AV71" s="217" t="str">
        <f ca="1">INDEX($BD$6:$BD$53,MATCH(AI71,$BM$6:$BM$53,0))</f>
        <v>Senegal</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Irak</v>
      </c>
      <c r="AM72" s="223">
        <f t="shared" ca="1" si="243"/>
        <v>0</v>
      </c>
      <c r="AN72" s="224">
        <f t="shared" ca="1" si="243"/>
        <v>0</v>
      </c>
      <c r="AO72" s="224">
        <f t="shared" ca="1" si="243"/>
        <v>0</v>
      </c>
      <c r="AP72" s="224">
        <f t="shared" ca="1" si="243"/>
        <v>0</v>
      </c>
      <c r="AQ72" s="224">
        <f t="shared" ca="1" si="243"/>
        <v>0</v>
      </c>
      <c r="AR72" s="224">
        <f t="shared" ca="1" si="243"/>
        <v>0</v>
      </c>
      <c r="AS72" s="224">
        <f t="shared" ca="1" si="243"/>
        <v>0</v>
      </c>
      <c r="AT72" s="225">
        <f t="shared" ca="1" si="243"/>
        <v>0</v>
      </c>
      <c r="AU72" s="420">
        <f ca="1">INDEX($DL$6:$DL$53,MATCH(AI72,$DP$6:$DP$53,0))</f>
        <v>1</v>
      </c>
      <c r="AV72" s="217" t="str">
        <f ca="1">INDEX($BD$6:$BD$53,MATCH(AI72,$BM$6:$BM$53,0))</f>
        <v>Irak</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Noruega</v>
      </c>
      <c r="AM73" s="237">
        <f t="shared" ca="1" si="243"/>
        <v>0</v>
      </c>
      <c r="AN73" s="238">
        <f t="shared" ca="1" si="243"/>
        <v>0</v>
      </c>
      <c r="AO73" s="238">
        <f t="shared" ca="1" si="243"/>
        <v>0</v>
      </c>
      <c r="AP73" s="238">
        <f t="shared" ca="1" si="243"/>
        <v>0</v>
      </c>
      <c r="AQ73" s="238">
        <f t="shared" ca="1" si="243"/>
        <v>0</v>
      </c>
      <c r="AR73" s="238">
        <f t="shared" ca="1" si="243"/>
        <v>0</v>
      </c>
      <c r="AS73" s="238">
        <f t="shared" ca="1" si="243"/>
        <v>0</v>
      </c>
      <c r="AT73" s="239">
        <f t="shared" ca="1" si="243"/>
        <v>0</v>
      </c>
      <c r="AU73" s="420">
        <f ca="1">INDEX($DL$6:$DL$53,MATCH(AI73,$DP$6:$DP$53,0))</f>
        <v>1</v>
      </c>
      <c r="AV73" s="217" t="str">
        <f ca="1">INDEX($BD$6:$BD$53,MATCH(AI73,$BM$6:$BM$53,0))</f>
        <v>Noruega</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Pendiente</v>
      </c>
      <c r="E76" s="742" t="str">
        <f t="shared" ref="E76:E81" si="246">IF(D76="Pendiente","-",INDEX($BT$6:$BT$53,MATCH($AA76,$BD$6:$BD$53,0)))</f>
        <v>-</v>
      </c>
      <c r="F76" s="742" t="str">
        <f t="shared" ref="F76:F81" si="247">IF(D76="Pendiente","-",INDEX($BT$6:$BT$53,MATCH($AF76,$BD$6:$BD$53,0)))</f>
        <v>-</v>
      </c>
      <c r="G76" s="742"/>
      <c r="H76" s="742" t="str">
        <f t="shared" ref="H76:H81" si="248">IF(D76="Pendiente","-",INDEX($BZ$6:$BZ$53,MATCH($AA76,$BD$6:$BD$53,0)))</f>
        <v>-</v>
      </c>
      <c r="I76" s="742" t="str">
        <f t="shared" ref="I76:I81" si="249">IF(D76="Pendiente","-",INDEX($BZ$6:$BZ$53,MATCH($AF76,$BD$6:$BD$53,0)))</f>
        <v>-</v>
      </c>
      <c r="J76" s="742"/>
      <c r="K76" s="742" t="str">
        <f t="shared" ref="K76:K81" si="250">IF(D76="Pendiente","-",INDEX($CE$6:$CE$53,MATCH($AA76,$BD$6:$BD$53,0)))</f>
        <v>-</v>
      </c>
      <c r="L76" s="742" t="str">
        <f t="shared" ref="L76:L81" si="251">IF(D76="Pendiente","-",INDEX($CE$6:$CE$53,MATCH($AF76,$BD$6:$BD$53,0)))</f>
        <v>-</v>
      </c>
      <c r="M76" s="742"/>
      <c r="N76" s="742" t="str">
        <f t="shared" ref="N76:N81" si="252">IF(D76="Pendiente","-",INDEX($CH$6:$CH$53,MATCH($AA76,$BD$6:$BD$53,0)))</f>
        <v>-</v>
      </c>
      <c r="O76" s="742" t="str">
        <f t="shared" ref="O76:O81" si="253">IF(D76="Pendiente","-",INDEX($CH$6:$CH$53,MATCH($AF76,$BD$6:$BD$53,0)))</f>
        <v>-</v>
      </c>
      <c r="P76" s="742"/>
      <c r="Q76" s="742" t="str">
        <f t="shared" ref="Q76:Q81" si="254">IF(D76="Pendiente","-",INDEX($CN$6:$CN$53,MATCH($AA76,$BD$6:$BD$53,0)))</f>
        <v>-</v>
      </c>
      <c r="R76" s="742" t="str">
        <f t="shared" ref="R76:R81" si="255">IF(D76="Pendiente","-",INDEX($CN$6:$CN$53,MATCH($AF76,$BD$6:$BD$53,0)))</f>
        <v>-</v>
      </c>
      <c r="S76" s="742"/>
      <c r="T76" s="742" t="str">
        <f t="shared" ref="T76:T81" si="256">IF(D76="Pendiente","-",INDEX($CS$6:$CS$53,MATCH($AA76,$BD$6:$BD$53,0)))</f>
        <v>-</v>
      </c>
      <c r="U76" s="742" t="str">
        <f t="shared" ref="U76:U81" si="257">IF(D76="Pendiente","-",INDEX($CS$6:$CS$53,MATCH($AF76,$BD$6:$BD$53,0)))</f>
        <v>-</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0</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Pendiente</v>
      </c>
      <c r="E77" s="742" t="str">
        <f t="shared" si="246"/>
        <v>-</v>
      </c>
      <c r="F77" s="742" t="str">
        <f t="shared" si="247"/>
        <v>-</v>
      </c>
      <c r="G77" s="742"/>
      <c r="H77" s="742" t="str">
        <f t="shared" si="248"/>
        <v>-</v>
      </c>
      <c r="I77" s="742" t="str">
        <f t="shared" si="249"/>
        <v>-</v>
      </c>
      <c r="J77" s="742"/>
      <c r="K77" s="742" t="str">
        <f t="shared" si="250"/>
        <v>-</v>
      </c>
      <c r="L77" s="742" t="str">
        <f t="shared" si="251"/>
        <v>-</v>
      </c>
      <c r="M77" s="742"/>
      <c r="N77" s="742" t="str">
        <f t="shared" si="252"/>
        <v>-</v>
      </c>
      <c r="O77" s="742" t="str">
        <f t="shared" si="253"/>
        <v>-</v>
      </c>
      <c r="P77" s="742"/>
      <c r="Q77" s="742" t="str">
        <f t="shared" si="254"/>
        <v>-</v>
      </c>
      <c r="R77" s="742" t="str">
        <f t="shared" si="255"/>
        <v>-</v>
      </c>
      <c r="S77" s="742"/>
      <c r="T77" s="742" t="str">
        <f t="shared" si="256"/>
        <v>-</v>
      </c>
      <c r="U77" s="742" t="str">
        <f t="shared" si="257"/>
        <v>-</v>
      </c>
      <c r="V77" s="172"/>
      <c r="W77" s="825"/>
      <c r="X77" s="189">
        <f ca="1">Horarios!C77</f>
        <v>46190</v>
      </c>
      <c r="Y77" s="190">
        <f ca="1">Horarios!C77</f>
        <v>46190</v>
      </c>
      <c r="Z77" s="191" t="str">
        <f>$Z$4</f>
        <v>J1</v>
      </c>
      <c r="AA77" s="192" t="str">
        <f ca="1">A79</f>
        <v>Austria</v>
      </c>
      <c r="AB77" s="478" t="str" cm="1">
        <f t="array" aca="1" ref="AB77" ca="1">Ver_flag_local</f>
        <v/>
      </c>
      <c r="AC77" s="193"/>
      <c r="AD77" s="194"/>
      <c r="AE77" s="483" t="str" cm="1">
        <f t="array" aca="1" ref="AE77" ca="1">Ver_flag_visit</f>
        <v/>
      </c>
      <c r="AF77" s="195" t="str">
        <f ca="1">A80</f>
        <v>Jordania</v>
      </c>
      <c r="AG77" s="413">
        <f t="shared" si="258"/>
        <v>0</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c r="AD78" s="194"/>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0</v>
      </c>
      <c r="AN78" s="214">
        <f t="shared" ca="1" si="262"/>
        <v>0</v>
      </c>
      <c r="AO78" s="214">
        <f t="shared" ca="1" si="262"/>
        <v>0</v>
      </c>
      <c r="AP78" s="214">
        <f t="shared" ca="1" si="262"/>
        <v>0</v>
      </c>
      <c r="AQ78" s="214">
        <f t="shared" ca="1" si="262"/>
        <v>0</v>
      </c>
      <c r="AR78" s="214">
        <f t="shared" ca="1" si="262"/>
        <v>0</v>
      </c>
      <c r="AS78" s="214">
        <f t="shared" ca="1" si="262"/>
        <v>0</v>
      </c>
      <c r="AT78" s="215">
        <f t="shared" ca="1" si="262"/>
        <v>0</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c r="AD79" s="194"/>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Argelia</v>
      </c>
      <c r="AM79" s="223">
        <f t="shared" ca="1" si="262"/>
        <v>0</v>
      </c>
      <c r="AN79" s="224">
        <f t="shared" ca="1" si="262"/>
        <v>0</v>
      </c>
      <c r="AO79" s="224">
        <f t="shared" ca="1" si="262"/>
        <v>0</v>
      </c>
      <c r="AP79" s="224">
        <f t="shared" ca="1" si="262"/>
        <v>0</v>
      </c>
      <c r="AQ79" s="224">
        <f t="shared" ca="1" si="262"/>
        <v>0</v>
      </c>
      <c r="AR79" s="224">
        <f t="shared" ca="1" si="262"/>
        <v>0</v>
      </c>
      <c r="AS79" s="224">
        <f t="shared" ca="1" si="262"/>
        <v>0</v>
      </c>
      <c r="AT79" s="225">
        <f t="shared" ca="1" si="262"/>
        <v>0</v>
      </c>
      <c r="AU79" s="420">
        <f ca="1">INDEX($DL$6:$DL$53,MATCH(AI79,$DP$6:$DP$53,0))</f>
        <v>1</v>
      </c>
      <c r="AV79" s="217" t="str">
        <f ca="1">INDEX($BD$6:$BD$53,MATCH(AI79,$BM$6:$BM$53,0))</f>
        <v>Argelia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Austria</v>
      </c>
      <c r="AM80" s="223">
        <f t="shared" ca="1" si="262"/>
        <v>0</v>
      </c>
      <c r="AN80" s="224">
        <f t="shared" ca="1" si="262"/>
        <v>0</v>
      </c>
      <c r="AO80" s="224">
        <f t="shared" ca="1" si="262"/>
        <v>0</v>
      </c>
      <c r="AP80" s="224">
        <f t="shared" ca="1" si="262"/>
        <v>0</v>
      </c>
      <c r="AQ80" s="224">
        <f t="shared" ca="1" si="262"/>
        <v>0</v>
      </c>
      <c r="AR80" s="224">
        <f t="shared" ca="1" si="262"/>
        <v>0</v>
      </c>
      <c r="AS80" s="224">
        <f t="shared" ca="1" si="262"/>
        <v>0</v>
      </c>
      <c r="AT80" s="225">
        <f t="shared" ca="1" si="262"/>
        <v>0</v>
      </c>
      <c r="AU80" s="420">
        <f ca="1">INDEX($DL$6:$DL$53,MATCH(AI80,$DP$6:$DP$53,0))</f>
        <v>1</v>
      </c>
      <c r="AV80" s="217" t="str">
        <f ca="1">INDEX($BD$6:$BD$53,MATCH(AI80,$BM$6:$BM$53,0))</f>
        <v>Austria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Jordania</v>
      </c>
      <c r="AM81" s="237">
        <f t="shared" ca="1" si="262"/>
        <v>0</v>
      </c>
      <c r="AN81" s="238">
        <f t="shared" ca="1" si="262"/>
        <v>0</v>
      </c>
      <c r="AO81" s="238">
        <f t="shared" ca="1" si="262"/>
        <v>0</v>
      </c>
      <c r="AP81" s="238">
        <f t="shared" ca="1" si="262"/>
        <v>0</v>
      </c>
      <c r="AQ81" s="238">
        <f t="shared" ca="1" si="262"/>
        <v>0</v>
      </c>
      <c r="AR81" s="238">
        <f t="shared" ca="1" si="262"/>
        <v>0</v>
      </c>
      <c r="AS81" s="238">
        <f t="shared" ca="1" si="262"/>
        <v>0</v>
      </c>
      <c r="AT81" s="239">
        <f t="shared" ca="1" si="262"/>
        <v>0</v>
      </c>
      <c r="AU81" s="420">
        <f ca="1">INDEX($DL$6:$DL$53,MATCH(AI81,$DP$6:$DP$53,0))</f>
        <v>1</v>
      </c>
      <c r="AV81" s="217" t="str">
        <f ca="1">INDEX($BD$6:$BD$53,MATCH(AI81,$BM$6:$BM$53,0))</f>
        <v>Jordania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Pendiente</v>
      </c>
      <c r="E84" s="742" t="str">
        <f t="shared" ref="E84:E89" si="265">IF(D84="Pendiente","-",INDEX($BT$6:$BT$53,MATCH($AA84,$BD$6:$BD$53,0)))</f>
        <v>-</v>
      </c>
      <c r="F84" s="742" t="str">
        <f t="shared" ref="F84:F89" si="266">IF(D84="Pendiente","-",INDEX($BT$6:$BT$53,MATCH($AF84,$BD$6:$BD$53,0)))</f>
        <v>-</v>
      </c>
      <c r="G84" s="742"/>
      <c r="H84" s="742" t="str">
        <f t="shared" ref="H84:H89" si="267">IF(D84="Pendiente","-",INDEX($BZ$6:$BZ$53,MATCH($AA84,$BD$6:$BD$53,0)))</f>
        <v>-</v>
      </c>
      <c r="I84" s="742" t="str">
        <f t="shared" ref="I84:I89" si="268">IF(D84="Pendiente","-",INDEX($BZ$6:$BZ$53,MATCH($AF84,$BD$6:$BD$53,0)))</f>
        <v>-</v>
      </c>
      <c r="J84" s="742"/>
      <c r="K84" s="742" t="str">
        <f t="shared" ref="K84:K89" si="269">IF(D84="Pendiente","-",INDEX($CE$6:$CE$53,MATCH($AA84,$BD$6:$BD$53,0)))</f>
        <v>-</v>
      </c>
      <c r="L84" s="742" t="str">
        <f t="shared" ref="L84:L89" si="270">IF(D84="Pendiente","-",INDEX($CE$6:$CE$53,MATCH($AF84,$BD$6:$BD$53,0)))</f>
        <v>-</v>
      </c>
      <c r="M84" s="742"/>
      <c r="N84" s="742" t="str">
        <f t="shared" ref="N84:N89" si="271">IF(D84="Pendiente","-",INDEX($CH$6:$CH$53,MATCH($AA84,$BD$6:$BD$53,0)))</f>
        <v>-</v>
      </c>
      <c r="O84" s="742" t="str">
        <f t="shared" ref="O84:O89" si="272">IF(D84="Pendiente","-",INDEX($CH$6:$CH$53,MATCH($AF84,$BD$6:$BD$53,0)))</f>
        <v>-</v>
      </c>
      <c r="P84" s="742"/>
      <c r="Q84" s="742" t="str">
        <f t="shared" ref="Q84:Q89" si="273">IF(D84="Pendiente","-",INDEX($CN$6:$CN$53,MATCH($AA84,$BD$6:$BD$53,0)))</f>
        <v>-</v>
      </c>
      <c r="R84" s="742" t="str">
        <f t="shared" ref="R84:R89" si="274">IF(D84="Pendiente","-",INDEX($CN$6:$CN$53,MATCH($AF84,$BD$6:$BD$53,0)))</f>
        <v>-</v>
      </c>
      <c r="S84" s="742"/>
      <c r="T84" s="742" t="str">
        <f t="shared" ref="T84:T89" si="275">IF(D84="Pendiente","-",INDEX($CS$6:$CS$53,MATCH($AA84,$BD$6:$BD$53,0)))</f>
        <v>-</v>
      </c>
      <c r="U84" s="742" t="str">
        <f t="shared" ref="U84:U89" si="276">IF(D84="Pendiente","-",INDEX($CS$6:$CS$53,MATCH($AF84,$BD$6:$BD$53,0)))</f>
        <v>-</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c r="AD84" s="194"/>
      <c r="AE84" s="483" t="str" cm="1">
        <f t="array" aca="1" ref="AE84" ca="1">Ver_flag_visit</f>
        <v/>
      </c>
      <c r="AF84" s="195" t="str">
        <f ca="1">A86</f>
        <v>RD Congo</v>
      </c>
      <c r="AG84" s="413">
        <f t="shared" ref="AG84:AG89" si="277">IF(NOT(OR(ISBLANK(AC84),ISBLANK(AD84))),1,0)</f>
        <v>0</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Pendiente</v>
      </c>
      <c r="E85" s="742" t="str">
        <f t="shared" si="265"/>
        <v>-</v>
      </c>
      <c r="F85" s="742" t="str">
        <f t="shared" si="266"/>
        <v>-</v>
      </c>
      <c r="G85" s="742"/>
      <c r="H85" s="742" t="str">
        <f t="shared" si="267"/>
        <v>-</v>
      </c>
      <c r="I85" s="742" t="str">
        <f t="shared" si="268"/>
        <v>-</v>
      </c>
      <c r="J85" s="742"/>
      <c r="K85" s="742" t="str">
        <f t="shared" si="269"/>
        <v>-</v>
      </c>
      <c r="L85" s="742" t="str">
        <f t="shared" si="270"/>
        <v>-</v>
      </c>
      <c r="M85" s="742"/>
      <c r="N85" s="742" t="str">
        <f t="shared" si="271"/>
        <v>-</v>
      </c>
      <c r="O85" s="742" t="str">
        <f t="shared" si="272"/>
        <v>-</v>
      </c>
      <c r="P85" s="742"/>
      <c r="Q85" s="742" t="str">
        <f t="shared" si="273"/>
        <v>-</v>
      </c>
      <c r="R85" s="742" t="str">
        <f t="shared" si="274"/>
        <v>-</v>
      </c>
      <c r="S85" s="742"/>
      <c r="T85" s="742" t="str">
        <f t="shared" si="275"/>
        <v>-</v>
      </c>
      <c r="U85" s="742" t="str">
        <f t="shared"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c r="AD85" s="194"/>
      <c r="AE85" s="483" t="str" cm="1">
        <f t="array" aca="1" ref="AE85" ca="1">Ver_flag_visit</f>
        <v/>
      </c>
      <c r="AF85" s="195" t="str">
        <f ca="1">A88</f>
        <v>Colombia</v>
      </c>
      <c r="AG85" s="413">
        <f t="shared" si="277"/>
        <v>0</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c r="AD86" s="194"/>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Portugal</v>
      </c>
      <c r="AM86" s="213">
        <f t="shared" ref="AM86:AT89" ca="1" si="281">INDEX($BE$6:$BN$53,MATCH($AL86,$BD$6:$BD$53,0),MATCH(AM$5,$BE$5:$BN$5,0))</f>
        <v>0</v>
      </c>
      <c r="AN86" s="214">
        <f t="shared" ca="1" si="281"/>
        <v>0</v>
      </c>
      <c r="AO86" s="214">
        <f t="shared" ca="1" si="281"/>
        <v>0</v>
      </c>
      <c r="AP86" s="214">
        <f t="shared" ca="1" si="281"/>
        <v>0</v>
      </c>
      <c r="AQ86" s="214">
        <f t="shared" ca="1" si="281"/>
        <v>0</v>
      </c>
      <c r="AR86" s="214">
        <f t="shared" ca="1" si="281"/>
        <v>0</v>
      </c>
      <c r="AS86" s="214">
        <f t="shared" ca="1" si="281"/>
        <v>0</v>
      </c>
      <c r="AT86" s="215">
        <f t="shared" ca="1" si="281"/>
        <v>0</v>
      </c>
      <c r="AU86" s="420">
        <f ca="1">INDEX($DL$6:$DL$53,MATCH(AI86,$DP$6:$DP$53,0))</f>
        <v>1</v>
      </c>
      <c r="AV86" s="217" t="str">
        <f ca="1">INDEX($BD$6:$BD$53,MATCH(AI86,$BM$6:$BM$53,0))</f>
        <v>Portugal</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c r="AD87" s="194"/>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RD Congo</v>
      </c>
      <c r="AM87" s="223">
        <f t="shared" ca="1" si="281"/>
        <v>0</v>
      </c>
      <c r="AN87" s="224">
        <f t="shared" ca="1" si="281"/>
        <v>0</v>
      </c>
      <c r="AO87" s="224">
        <f t="shared" ca="1" si="281"/>
        <v>0</v>
      </c>
      <c r="AP87" s="224">
        <f t="shared" ca="1" si="281"/>
        <v>0</v>
      </c>
      <c r="AQ87" s="224">
        <f t="shared" ca="1" si="281"/>
        <v>0</v>
      </c>
      <c r="AR87" s="224">
        <f t="shared" ca="1" si="281"/>
        <v>0</v>
      </c>
      <c r="AS87" s="224">
        <f t="shared" ca="1" si="281"/>
        <v>0</v>
      </c>
      <c r="AT87" s="225">
        <f t="shared" ca="1" si="281"/>
        <v>0</v>
      </c>
      <c r="AU87" s="420">
        <f ca="1">INDEX($DL$6:$DL$53,MATCH(AI87,$DP$6:$DP$53,0))</f>
        <v>1</v>
      </c>
      <c r="AV87" s="217" t="str">
        <f ca="1">INDEX($BD$6:$BD$53,MATCH(AI87,$BM$6:$BM$53,0))</f>
        <v>RD Congo</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Uzbekistán</v>
      </c>
      <c r="AM88" s="223">
        <f t="shared" ca="1" si="281"/>
        <v>0</v>
      </c>
      <c r="AN88" s="224">
        <f t="shared" ca="1" si="281"/>
        <v>0</v>
      </c>
      <c r="AO88" s="224">
        <f t="shared" ca="1" si="281"/>
        <v>0</v>
      </c>
      <c r="AP88" s="224">
        <f t="shared" ca="1" si="281"/>
        <v>0</v>
      </c>
      <c r="AQ88" s="224">
        <f t="shared" ca="1" si="281"/>
        <v>0</v>
      </c>
      <c r="AR88" s="224">
        <f t="shared" ca="1" si="281"/>
        <v>0</v>
      </c>
      <c r="AS88" s="224">
        <f t="shared" ca="1" si="281"/>
        <v>0</v>
      </c>
      <c r="AT88" s="225">
        <f t="shared" ca="1" si="281"/>
        <v>0</v>
      </c>
      <c r="AU88" s="420">
        <f ca="1">INDEX($DL$6:$DL$53,MATCH(AI88,$DP$6:$DP$53,0))</f>
        <v>1</v>
      </c>
      <c r="AV88" s="217" t="str">
        <f ca="1">INDEX($BD$6:$BD$53,MATCH(AI88,$BM$6:$BM$53,0))</f>
        <v>Uzbekistán</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Colombia</v>
      </c>
      <c r="AM89" s="237">
        <f t="shared" ca="1" si="281"/>
        <v>0</v>
      </c>
      <c r="AN89" s="238">
        <f t="shared" ca="1" si="281"/>
        <v>0</v>
      </c>
      <c r="AO89" s="238">
        <f t="shared" ca="1" si="281"/>
        <v>0</v>
      </c>
      <c r="AP89" s="238">
        <f t="shared" ca="1" si="281"/>
        <v>0</v>
      </c>
      <c r="AQ89" s="238">
        <f t="shared" ca="1" si="281"/>
        <v>0</v>
      </c>
      <c r="AR89" s="238">
        <f t="shared" ca="1" si="281"/>
        <v>0</v>
      </c>
      <c r="AS89" s="238">
        <f t="shared" ca="1" si="281"/>
        <v>0</v>
      </c>
      <c r="AT89" s="239">
        <f t="shared" ca="1" si="281"/>
        <v>0</v>
      </c>
      <c r="AU89" s="420">
        <f ca="1">INDEX($DL$6:$DL$53,MATCH(AI89,$DP$6:$DP$53,0))</f>
        <v>1</v>
      </c>
      <c r="AV89" s="217" t="str">
        <f ca="1">INDEX($BD$6:$BD$53,MATCH(AI89,$BM$6:$BM$53,0))</f>
        <v>Colombia</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Pendiente</v>
      </c>
      <c r="E92" s="742" t="str">
        <f t="shared" ref="E92:E97" si="284">IF(D92="Pendiente","-",INDEX($BT$6:$BT$53,MATCH($AA92,$BD$6:$BD$53,0)))</f>
        <v>-</v>
      </c>
      <c r="F92" s="742" t="str">
        <f t="shared" ref="F92:F97" si="285">IF(D92="Pendiente","-",INDEX($BT$6:$BT$53,MATCH($AF92,$BD$6:$BD$53,0)))</f>
        <v>-</v>
      </c>
      <c r="G92" s="742"/>
      <c r="H92" s="742" t="str">
        <f t="shared" ref="H92:H97" si="286">IF(D92="Pendiente","-",INDEX($BZ$6:$BZ$53,MATCH($AA92,$BD$6:$BD$53,0)))</f>
        <v>-</v>
      </c>
      <c r="I92" s="742" t="str">
        <f t="shared" ref="I92:I97" si="287">IF(D92="Pendiente","-",INDEX($BZ$6:$BZ$53,MATCH($AF92,$BD$6:$BD$53,0)))</f>
        <v>-</v>
      </c>
      <c r="J92" s="742"/>
      <c r="K92" s="742" t="str">
        <f t="shared" ref="K92:K97" si="288">IF(D92="Pendiente","-",INDEX($CE$6:$CE$53,MATCH($AA92,$BD$6:$BD$53,0)))</f>
        <v>-</v>
      </c>
      <c r="L92" s="742" t="str">
        <f t="shared" ref="L92:L97" si="289">IF(D92="Pendiente","-",INDEX($CE$6:$CE$53,MATCH($AF92,$BD$6:$BD$53,0)))</f>
        <v>-</v>
      </c>
      <c r="M92" s="742"/>
      <c r="N92" s="742" t="str">
        <f t="shared" ref="N92:N97" si="290">IF(D92="Pendiente","-",INDEX($CH$6:$CH$53,MATCH($AA92,$BD$6:$BD$53,0)))</f>
        <v>-</v>
      </c>
      <c r="O92" s="742" t="str">
        <f t="shared" ref="O92:O97" si="291">IF(D92="Pendiente","-",INDEX($CH$6:$CH$53,MATCH($AF92,$BD$6:$BD$53,0)))</f>
        <v>-</v>
      </c>
      <c r="P92" s="742"/>
      <c r="Q92" s="742" t="str">
        <f t="shared" ref="Q92:Q97" si="292">IF(D92="Pendiente","-",INDEX($CN$6:$CN$53,MATCH($AA92,$BD$6:$BD$53,0)))</f>
        <v>-</v>
      </c>
      <c r="R92" s="742" t="str">
        <f t="shared" ref="R92:R97" si="293">IF(D92="Pendiente","-",INDEX($CN$6:$CN$53,MATCH($AF92,$BD$6:$BD$53,0)))</f>
        <v>-</v>
      </c>
      <c r="S92" s="742"/>
      <c r="T92" s="742" t="str">
        <f t="shared" ref="T92:T97" si="294">IF(D92="Pendiente","-",INDEX($CS$6:$CS$53,MATCH($AA92,$BD$6:$BD$53,0)))</f>
        <v>-</v>
      </c>
      <c r="U92" s="742" t="str">
        <f t="shared" ref="U92:U97" si="295">IF(D92="Pendiente","-",INDEX($CS$6:$CS$53,MATCH($AF92,$BD$6:$BD$53,0)))</f>
        <v>-</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c r="AD92" s="194"/>
      <c r="AE92" s="483" t="str" cm="1">
        <f t="array" aca="1" ref="AE92" ca="1">Ver_flag_visit</f>
        <v/>
      </c>
      <c r="AF92" s="195" t="str">
        <f ca="1">A94</f>
        <v>Croacia</v>
      </c>
      <c r="AG92" s="413">
        <f t="shared" ref="AG92:AG97" si="296">IF(NOT(OR(ISBLANK(AC92),ISBLANK(AD92))),1,0)</f>
        <v>0</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Pendiente</v>
      </c>
      <c r="E93" s="742" t="str">
        <f t="shared" si="284"/>
        <v>-</v>
      </c>
      <c r="F93" s="742" t="str">
        <f t="shared" si="285"/>
        <v>-</v>
      </c>
      <c r="G93" s="742"/>
      <c r="H93" s="742" t="str">
        <f t="shared" si="286"/>
        <v>-</v>
      </c>
      <c r="I93" s="742" t="str">
        <f t="shared" si="287"/>
        <v>-</v>
      </c>
      <c r="J93" s="742"/>
      <c r="K93" s="742" t="str">
        <f t="shared" si="288"/>
        <v>-</v>
      </c>
      <c r="L93" s="742" t="str">
        <f t="shared" si="289"/>
        <v>-</v>
      </c>
      <c r="M93" s="742"/>
      <c r="N93" s="742" t="str">
        <f t="shared" si="290"/>
        <v>-</v>
      </c>
      <c r="O93" s="742" t="str">
        <f t="shared" si="291"/>
        <v>-</v>
      </c>
      <c r="P93" s="742"/>
      <c r="Q93" s="742" t="str">
        <f t="shared" si="292"/>
        <v>-</v>
      </c>
      <c r="R93" s="742" t="str">
        <f t="shared" si="293"/>
        <v>-</v>
      </c>
      <c r="S93" s="742"/>
      <c r="T93" s="742" t="str">
        <f t="shared" si="294"/>
        <v>-</v>
      </c>
      <c r="U93" s="742" t="str">
        <f t="shared" si="295"/>
        <v>-</v>
      </c>
      <c r="V93" s="172"/>
      <c r="W93" s="827"/>
      <c r="X93" s="189">
        <f ca="1">Horarios!C93</f>
        <v>46190.791666666664</v>
      </c>
      <c r="Y93" s="190">
        <f ca="1">Horarios!C93</f>
        <v>46190.791666666664</v>
      </c>
      <c r="Z93" s="191" t="str">
        <f>$Z$4</f>
        <v>J1</v>
      </c>
      <c r="AA93" s="192" t="str">
        <f ca="1">A95</f>
        <v>Ghana</v>
      </c>
      <c r="AB93" s="478" t="str" cm="1">
        <f t="array" aca="1" ref="AB93" ca="1">Ver_flag_local</f>
        <v/>
      </c>
      <c r="AC93" s="193"/>
      <c r="AD93" s="194"/>
      <c r="AE93" s="483" t="str" cm="1">
        <f t="array" aca="1" ref="AE93" ca="1">Ver_flag_visit</f>
        <v/>
      </c>
      <c r="AF93" s="195" t="str">
        <f ca="1">A96</f>
        <v>Panamá</v>
      </c>
      <c r="AG93" s="413">
        <f t="shared" si="296"/>
        <v>0</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c r="AD94" s="194"/>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0</v>
      </c>
      <c r="AN94" s="214">
        <f t="shared" ca="1" si="300"/>
        <v>0</v>
      </c>
      <c r="AO94" s="214">
        <f t="shared" ca="1" si="300"/>
        <v>0</v>
      </c>
      <c r="AP94" s="214">
        <f t="shared" ca="1" si="300"/>
        <v>0</v>
      </c>
      <c r="AQ94" s="214">
        <f t="shared" ca="1" si="300"/>
        <v>0</v>
      </c>
      <c r="AR94" s="214">
        <f t="shared" ca="1" si="300"/>
        <v>0</v>
      </c>
      <c r="AS94" s="214">
        <f t="shared" ca="1" si="300"/>
        <v>0</v>
      </c>
      <c r="AT94" s="215">
        <f t="shared" ca="1" si="300"/>
        <v>0</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c r="AD95" s="194"/>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Croacia</v>
      </c>
      <c r="AM95" s="223">
        <f t="shared" ca="1" si="300"/>
        <v>0</v>
      </c>
      <c r="AN95" s="224">
        <f t="shared" ca="1" si="300"/>
        <v>0</v>
      </c>
      <c r="AO95" s="224">
        <f t="shared" ca="1" si="300"/>
        <v>0</v>
      </c>
      <c r="AP95" s="224">
        <f t="shared" ca="1" si="300"/>
        <v>0</v>
      </c>
      <c r="AQ95" s="224">
        <f t="shared" ca="1" si="300"/>
        <v>0</v>
      </c>
      <c r="AR95" s="224">
        <f t="shared" ca="1" si="300"/>
        <v>0</v>
      </c>
      <c r="AS95" s="224">
        <f t="shared" ca="1" si="300"/>
        <v>0</v>
      </c>
      <c r="AT95" s="225">
        <f t="shared" ca="1" si="300"/>
        <v>0</v>
      </c>
      <c r="AU95" s="420">
        <f ca="1">INDEX($DL$6:$DL$53,MATCH(AI95,$DP$6:$DP$53,0))</f>
        <v>1</v>
      </c>
      <c r="AV95" s="217" t="str">
        <f ca="1">INDEX($BD$6:$BD$53,MATCH(AI95,$BM$6:$BM$53,0))</f>
        <v>Croacia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Ghana</v>
      </c>
      <c r="AM96" s="223">
        <f t="shared" ca="1" si="300"/>
        <v>0</v>
      </c>
      <c r="AN96" s="224">
        <f t="shared" ca="1" si="300"/>
        <v>0</v>
      </c>
      <c r="AO96" s="224">
        <f t="shared" ca="1" si="300"/>
        <v>0</v>
      </c>
      <c r="AP96" s="224">
        <f t="shared" ca="1" si="300"/>
        <v>0</v>
      </c>
      <c r="AQ96" s="224">
        <f t="shared" ca="1" si="300"/>
        <v>0</v>
      </c>
      <c r="AR96" s="224">
        <f t="shared" ca="1" si="300"/>
        <v>0</v>
      </c>
      <c r="AS96" s="224">
        <f t="shared" ca="1" si="300"/>
        <v>0</v>
      </c>
      <c r="AT96" s="225">
        <f t="shared" ca="1" si="300"/>
        <v>0</v>
      </c>
      <c r="AU96" s="420">
        <f ca="1">INDEX($DL$6:$DL$53,MATCH(AI96,$DP$6:$DP$53,0))</f>
        <v>1</v>
      </c>
      <c r="AV96" s="217" t="str">
        <f ca="1">INDEX($BD$6:$BD$53,MATCH(AI96,$BM$6:$BM$53,0))</f>
        <v>Ghana</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Panamá</v>
      </c>
      <c r="AM97" s="237">
        <f t="shared" ca="1" si="300"/>
        <v>0</v>
      </c>
      <c r="AN97" s="238">
        <f t="shared" ca="1" si="300"/>
        <v>0</v>
      </c>
      <c r="AO97" s="238">
        <f t="shared" ca="1" si="300"/>
        <v>0</v>
      </c>
      <c r="AP97" s="238">
        <f t="shared" ca="1" si="300"/>
        <v>0</v>
      </c>
      <c r="AQ97" s="238">
        <f t="shared" ca="1" si="300"/>
        <v>0</v>
      </c>
      <c r="AR97" s="238">
        <f t="shared" ca="1" si="300"/>
        <v>0</v>
      </c>
      <c r="AS97" s="238">
        <f t="shared" ca="1" si="300"/>
        <v>0</v>
      </c>
      <c r="AT97" s="239">
        <f t="shared" ca="1" si="300"/>
        <v>0</v>
      </c>
      <c r="AU97" s="420">
        <f ca="1">INDEX($DL$6:$DL$53,MATCH(AI97,$DP$6:$DP$53,0))</f>
        <v>1</v>
      </c>
      <c r="AV97" s="217" t="str">
        <f ca="1">INDEX($BD$6:$BD$53,MATCH(AI97,$BM$6:$BM$53,0))</f>
        <v>Panamá</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La clasificación de los mejores terceros aparece al final de la J1</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4</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c>
      <c r="AZ101" s="424" t="str">
        <f ca="1">+IF(OR($H$113&gt;=48,$AJ$99=144),BI112,"")</f>
        <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0</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3A</v>
      </c>
      <c r="AM102" s="284" t="str">
        <f t="shared" ref="AM102:AT102" ca="1" si="311">+IF($H$113&gt;=48,INDEX($BE$58:$BN$69,MATCH($AL102,$BD$58:$BD$69,0),MATCH(AM$5,$BE$57:$BN$57,0)),$BB58)</f>
        <v>3A</v>
      </c>
      <c r="AN102" s="285" t="str">
        <f t="shared" ca="1" si="311"/>
        <v>3A</v>
      </c>
      <c r="AO102" s="285" t="str">
        <f t="shared" ca="1" si="311"/>
        <v>3A</v>
      </c>
      <c r="AP102" s="285" t="str">
        <f t="shared" ca="1" si="311"/>
        <v>3A</v>
      </c>
      <c r="AQ102" s="286" t="str">
        <f t="shared" ca="1" si="311"/>
        <v>3A</v>
      </c>
      <c r="AR102" s="286" t="str">
        <f t="shared" ca="1" si="311"/>
        <v>3A</v>
      </c>
      <c r="AS102" s="286" t="str">
        <f t="shared" ca="1" si="311"/>
        <v>3A</v>
      </c>
      <c r="AT102" s="287" t="str">
        <f t="shared" ca="1" si="311"/>
        <v>3A</v>
      </c>
      <c r="AU102" s="420" t="str">
        <f t="shared" ref="AU102:AU113" ca="1" si="312">IF($H$113=144,INDEX($DL$58:$DL$69,MATCH(AI102,$DP$58:$DP$69,0)),"")</f>
        <v/>
      </c>
      <c r="AV102" s="217" t="str">
        <f t="shared" ref="AV102:AV113" ca="1" si="313">INDEX($BD$58:$BD$69,MATCH(AI102,$BM$58:$BM$69,0))</f>
        <v>Arabia Saudita</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0</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3B</v>
      </c>
      <c r="AM103" s="290" t="str">
        <f t="shared" ref="AM103:AT103" ca="1" si="314">+IF($H$113&gt;=48,INDEX($BE$58:$BN$69,MATCH($AL103,$BD$58:$BD$69,0),MATCH(AM$5,$BE$57:$BN$57,0)),$BB59)</f>
        <v>3B</v>
      </c>
      <c r="AN103" s="291" t="str">
        <f t="shared" ca="1" si="314"/>
        <v>3B</v>
      </c>
      <c r="AO103" s="291" t="str">
        <f t="shared" ca="1" si="314"/>
        <v>3B</v>
      </c>
      <c r="AP103" s="291" t="str">
        <f t="shared" ca="1" si="314"/>
        <v>3B</v>
      </c>
      <c r="AQ103" s="291" t="str">
        <f t="shared" ca="1" si="314"/>
        <v>3B</v>
      </c>
      <c r="AR103" s="291" t="str">
        <f t="shared" ca="1" si="314"/>
        <v>3B</v>
      </c>
      <c r="AS103" s="291" t="str">
        <f t="shared" ca="1" si="314"/>
        <v>3B</v>
      </c>
      <c r="AT103" s="292" t="str">
        <f t="shared" ca="1" si="314"/>
        <v>3B</v>
      </c>
      <c r="AU103" s="420" t="str">
        <f t="shared" ca="1" si="312"/>
        <v/>
      </c>
      <c r="AV103" s="217" t="str">
        <f t="shared" ca="1" si="313"/>
        <v>Australia</v>
      </c>
      <c r="AW103" s="427"/>
      <c r="AX103" s="288"/>
      <c r="AY103" s="293"/>
      <c r="AZ103" s="294" t="str">
        <f t="shared" ref="AZ103:AZ110" ca="1" si="315">+IF(OR($H$113&gt;=48,$AJ$99=144),BF117&amp;" - "&amp;BG117,"")</f>
        <v/>
      </c>
      <c r="BA103" s="175"/>
      <c r="BB103" s="736"/>
      <c r="BC103" s="742"/>
      <c r="BD103" s="736"/>
      <c r="BE103" s="736"/>
      <c r="BF103" s="736" t="str">
        <f t="shared" ref="BF103:BF110" ca="1" si="316">IFERROR(INDEX($BC$6:$BC$53,MATCH(AL102,$BD$6:$BD$53,0)),"")</f>
        <v/>
      </c>
      <c r="BG103" s="736">
        <f t="shared" ref="BG103:BG110" ca="1" si="317">COUNTIF($BF$103:$BF$110,"&lt;="&amp;BF103)</f>
        <v>0</v>
      </c>
      <c r="BH103" s="736"/>
      <c r="BI103" s="742">
        <v>1</v>
      </c>
      <c r="BJ103" s="736" t="str">
        <f t="shared" ref="BJ103:BJ110" ca="1" si="318">IFERROR(INDEX($BF$103:$BF$110,MATCH(BI103,$BG$103:$BG$110,0)),"Grupo")</f>
        <v>Grupo</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0</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3C</v>
      </c>
      <c r="AM104" s="290" t="str">
        <f t="shared" ref="AM104:AT104" ca="1" si="319">+IF($H$113&gt;=48,INDEX($BE$58:$BN$69,MATCH($AL104,$BD$58:$BD$69,0),MATCH(AM$5,$BE$57:$BN$57,0)),$BB60)</f>
        <v>3C</v>
      </c>
      <c r="AN104" s="291" t="str">
        <f t="shared" ca="1" si="319"/>
        <v>3C</v>
      </c>
      <c r="AO104" s="291" t="str">
        <f t="shared" ca="1" si="319"/>
        <v>3C</v>
      </c>
      <c r="AP104" s="291" t="str">
        <f t="shared" ca="1" si="319"/>
        <v>3C</v>
      </c>
      <c r="AQ104" s="291" t="str">
        <f t="shared" ca="1" si="319"/>
        <v>3C</v>
      </c>
      <c r="AR104" s="291" t="str">
        <f t="shared" ca="1" si="319"/>
        <v>3C</v>
      </c>
      <c r="AS104" s="291" t="str">
        <f t="shared" ca="1" si="319"/>
        <v>3C</v>
      </c>
      <c r="AT104" s="292" t="str">
        <f t="shared" ca="1" si="319"/>
        <v>3C</v>
      </c>
      <c r="AU104" s="420" t="str">
        <f t="shared" ca="1" si="312"/>
        <v/>
      </c>
      <c r="AV104" s="217" t="str">
        <f t="shared" ca="1" si="313"/>
        <v>Austria</v>
      </c>
      <c r="AW104" s="427"/>
      <c r="AX104" s="288"/>
      <c r="AY104" s="293"/>
      <c r="AZ104" s="294" t="str">
        <f t="shared" ca="1" si="315"/>
        <v/>
      </c>
      <c r="BA104" s="175"/>
      <c r="BB104" s="736"/>
      <c r="BC104" s="742"/>
      <c r="BD104" s="736"/>
      <c r="BE104" s="736"/>
      <c r="BF104" s="736" t="str">
        <f t="shared" ca="1" si="316"/>
        <v/>
      </c>
      <c r="BG104" s="736">
        <f t="shared" ca="1" si="317"/>
        <v>0</v>
      </c>
      <c r="BH104" s="736"/>
      <c r="BI104" s="742">
        <v>2</v>
      </c>
      <c r="BJ104" s="736" t="str">
        <f t="shared" ca="1" si="318"/>
        <v>Grupo</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0</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3D</v>
      </c>
      <c r="AM105" s="290" t="str">
        <f t="shared" ref="AM105:AT105" ca="1" si="320">+IF($H$113&gt;=48,INDEX($BE$58:$BN$69,MATCH($AL105,$BD$58:$BD$69,0),MATCH(AM$5,$BE$57:$BN$57,0)),$BB61)</f>
        <v>3D</v>
      </c>
      <c r="AN105" s="291" t="str">
        <f t="shared" ca="1" si="320"/>
        <v>3D</v>
      </c>
      <c r="AO105" s="291" t="str">
        <f t="shared" ca="1" si="320"/>
        <v>3D</v>
      </c>
      <c r="AP105" s="291" t="str">
        <f t="shared" ca="1" si="320"/>
        <v>3D</v>
      </c>
      <c r="AQ105" s="291" t="str">
        <f t="shared" ca="1" si="320"/>
        <v>3D</v>
      </c>
      <c r="AR105" s="291" t="str">
        <f t="shared" ca="1" si="320"/>
        <v>3D</v>
      </c>
      <c r="AS105" s="291" t="str">
        <f t="shared" ca="1" si="320"/>
        <v>3D</v>
      </c>
      <c r="AT105" s="292" t="str">
        <f t="shared" ca="1" si="320"/>
        <v>3D</v>
      </c>
      <c r="AU105" s="420" t="str">
        <f t="shared" ca="1" si="312"/>
        <v/>
      </c>
      <c r="AV105" s="217" t="str">
        <f t="shared" ca="1" si="313"/>
        <v>Catar</v>
      </c>
      <c r="AW105" s="427"/>
      <c r="AX105" s="288"/>
      <c r="AY105" s="293"/>
      <c r="AZ105" s="294" t="str">
        <f t="shared" ca="1" si="315"/>
        <v/>
      </c>
      <c r="BA105" s="175"/>
      <c r="BB105" s="736"/>
      <c r="BC105" s="742"/>
      <c r="BD105" s="736"/>
      <c r="BE105" s="736"/>
      <c r="BF105" s="736" t="str">
        <f t="shared" ca="1" si="316"/>
        <v/>
      </c>
      <c r="BG105" s="736">
        <f t="shared" ca="1" si="317"/>
        <v>0</v>
      </c>
      <c r="BH105" s="736"/>
      <c r="BI105" s="742">
        <v>3</v>
      </c>
      <c r="BJ105" s="736" t="str">
        <f t="shared" ca="1" si="318"/>
        <v>Grupo</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0</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3E</v>
      </c>
      <c r="AM106" s="290" t="str">
        <f t="shared" ref="AM106:AT106" ca="1" si="321">+IF($H$113&gt;=48,INDEX($BE$58:$BN$69,MATCH($AL106,$BD$58:$BD$69,0),MATCH(AM$5,$BE$57:$BN$57,0)),$BB62)</f>
        <v>3E</v>
      </c>
      <c r="AN106" s="291" t="str">
        <f t="shared" ca="1" si="321"/>
        <v>3E</v>
      </c>
      <c r="AO106" s="291" t="str">
        <f t="shared" ca="1" si="321"/>
        <v>3E</v>
      </c>
      <c r="AP106" s="291" t="str">
        <f t="shared" ca="1" si="321"/>
        <v>3E</v>
      </c>
      <c r="AQ106" s="291" t="str">
        <f t="shared" ca="1" si="321"/>
        <v>3E</v>
      </c>
      <c r="AR106" s="291" t="str">
        <f t="shared" ca="1" si="321"/>
        <v>3E</v>
      </c>
      <c r="AS106" s="291" t="str">
        <f t="shared" ca="1" si="321"/>
        <v>3E</v>
      </c>
      <c r="AT106" s="292" t="str">
        <f t="shared" ca="1" si="321"/>
        <v>3E</v>
      </c>
      <c r="AU106" s="420" t="str">
        <f t="shared" ca="1" si="312"/>
        <v/>
      </c>
      <c r="AV106" s="217" t="str">
        <f t="shared" ca="1" si="313"/>
        <v>Costa de Marfil</v>
      </c>
      <c r="AW106" s="427"/>
      <c r="AX106" s="288"/>
      <c r="AY106" s="293"/>
      <c r="AZ106" s="294" t="str">
        <f t="shared" ca="1" si="315"/>
        <v/>
      </c>
      <c r="BA106" s="175"/>
      <c r="BB106" s="736"/>
      <c r="BC106" s="742"/>
      <c r="BD106" s="736"/>
      <c r="BE106" s="736"/>
      <c r="BF106" s="736" t="str">
        <f t="shared" ca="1" si="316"/>
        <v/>
      </c>
      <c r="BG106" s="736">
        <f t="shared" ca="1" si="317"/>
        <v>0</v>
      </c>
      <c r="BH106" s="736"/>
      <c r="BI106" s="742">
        <v>4</v>
      </c>
      <c r="BJ106" s="736" t="str">
        <f t="shared" ca="1" si="318"/>
        <v>Grupo</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0</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3F</v>
      </c>
      <c r="AM107" s="290" t="str">
        <f t="shared" ref="AM107:AT107" ca="1" si="322">+IF($H$113&gt;=48,INDEX($BE$58:$BN$69,MATCH($AL107,$BD$58:$BD$69,0),MATCH(AM$5,$BE$57:$BN$57,0)),$BB63)</f>
        <v>3F</v>
      </c>
      <c r="AN107" s="291" t="str">
        <f t="shared" ca="1" si="322"/>
        <v>3F</v>
      </c>
      <c r="AO107" s="291" t="str">
        <f t="shared" ca="1" si="322"/>
        <v>3F</v>
      </c>
      <c r="AP107" s="291" t="str">
        <f t="shared" ca="1" si="322"/>
        <v>3F</v>
      </c>
      <c r="AQ107" s="291" t="str">
        <f t="shared" ca="1" si="322"/>
        <v>3F</v>
      </c>
      <c r="AR107" s="291" t="str">
        <f t="shared" ca="1" si="322"/>
        <v>3F</v>
      </c>
      <c r="AS107" s="291" t="str">
        <f t="shared" ca="1" si="322"/>
        <v>3F</v>
      </c>
      <c r="AT107" s="292" t="str">
        <f t="shared" ca="1" si="322"/>
        <v>3F</v>
      </c>
      <c r="AU107" s="420" t="str">
        <f t="shared" ca="1" si="312"/>
        <v/>
      </c>
      <c r="AV107" s="217" t="str">
        <f ca="1">INDEX($BD$58:$BD$69,MATCH(AI107,$BM$58:$BM$69,0))</f>
        <v>Ghana</v>
      </c>
      <c r="AW107" s="427"/>
      <c r="AX107" s="288"/>
      <c r="AY107" s="293"/>
      <c r="AZ107" s="294" t="str">
        <f t="shared" ca="1" si="315"/>
        <v/>
      </c>
      <c r="BA107" s="175"/>
      <c r="BB107" s="736"/>
      <c r="BC107" s="742"/>
      <c r="BD107" s="736"/>
      <c r="BE107" s="742"/>
      <c r="BF107" s="736" t="str">
        <f t="shared" ca="1" si="316"/>
        <v/>
      </c>
      <c r="BG107" s="736">
        <f t="shared" ca="1" si="317"/>
        <v>0</v>
      </c>
      <c r="BH107" s="736"/>
      <c r="BI107" s="736">
        <v>5</v>
      </c>
      <c r="BJ107" s="736" t="str">
        <f t="shared" ca="1" si="318"/>
        <v>Grupo</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0</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3G</v>
      </c>
      <c r="AM108" s="290" t="str">
        <f t="shared" ref="AM108:AT108" ca="1" si="323">+IF($H$113&gt;=48,INDEX($BE$58:$BN$69,MATCH($AL108,$BD$58:$BD$69,0),MATCH(AM$5,$BE$57:$BN$57,0)),$BB64)</f>
        <v>3G</v>
      </c>
      <c r="AN108" s="291" t="str">
        <f t="shared" ca="1" si="323"/>
        <v>3G</v>
      </c>
      <c r="AO108" s="291" t="str">
        <f t="shared" ca="1" si="323"/>
        <v>3G</v>
      </c>
      <c r="AP108" s="291" t="str">
        <f t="shared" ca="1" si="323"/>
        <v>3G</v>
      </c>
      <c r="AQ108" s="291" t="str">
        <f t="shared" ca="1" si="323"/>
        <v>3G</v>
      </c>
      <c r="AR108" s="291" t="str">
        <f t="shared" ca="1" si="323"/>
        <v>3G</v>
      </c>
      <c r="AS108" s="291" t="str">
        <f t="shared" ca="1" si="323"/>
        <v>3G</v>
      </c>
      <c r="AT108" s="292" t="str">
        <f t="shared" ca="1" si="323"/>
        <v>3G</v>
      </c>
      <c r="AU108" s="420" t="str">
        <f t="shared" ca="1" si="312"/>
        <v/>
      </c>
      <c r="AV108" s="217" t="str">
        <f t="shared" ca="1" si="313"/>
        <v>Haití</v>
      </c>
      <c r="AW108" s="427"/>
      <c r="AX108" s="288"/>
      <c r="AY108" s="293"/>
      <c r="AZ108" s="294" t="str">
        <f t="shared" ca="1" si="315"/>
        <v/>
      </c>
      <c r="BA108" s="175"/>
      <c r="BB108" s="736"/>
      <c r="BC108" s="736"/>
      <c r="BD108" s="736"/>
      <c r="BE108" s="742"/>
      <c r="BF108" s="736" t="str">
        <f t="shared" ca="1" si="316"/>
        <v/>
      </c>
      <c r="BG108" s="736">
        <f t="shared" ca="1" si="317"/>
        <v>0</v>
      </c>
      <c r="BH108" s="736"/>
      <c r="BI108" s="736">
        <v>6</v>
      </c>
      <c r="BJ108" s="736" t="str">
        <f t="shared" ca="1" si="318"/>
        <v>Grupo</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0</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3H</v>
      </c>
      <c r="AM109" s="290" t="str">
        <f t="shared" ref="AM109:AT109" ca="1" si="324">+IF($H$113&gt;=48,INDEX($BE$58:$BN$69,MATCH($AL109,$BD$58:$BD$69,0),MATCH(AM$5,$BE$57:$BN$57,0)),$BB65)</f>
        <v>3H</v>
      </c>
      <c r="AN109" s="291" t="str">
        <f t="shared" ca="1" si="324"/>
        <v>3H</v>
      </c>
      <c r="AO109" s="291" t="str">
        <f t="shared" ca="1" si="324"/>
        <v>3H</v>
      </c>
      <c r="AP109" s="291" t="str">
        <f t="shared" ca="1" si="324"/>
        <v>3H</v>
      </c>
      <c r="AQ109" s="291" t="str">
        <f t="shared" ca="1" si="324"/>
        <v>3H</v>
      </c>
      <c r="AR109" s="291" t="str">
        <f t="shared" ca="1" si="324"/>
        <v>3H</v>
      </c>
      <c r="AS109" s="291" t="str">
        <f t="shared" ca="1" si="324"/>
        <v>3H</v>
      </c>
      <c r="AT109" s="292" t="str">
        <f t="shared" ca="1" si="324"/>
        <v>3H</v>
      </c>
      <c r="AU109" s="420" t="str">
        <f t="shared" ca="1" si="312"/>
        <v/>
      </c>
      <c r="AV109" s="217" t="str">
        <f t="shared" ca="1" si="313"/>
        <v>Irak</v>
      </c>
      <c r="AW109" s="427"/>
      <c r="AX109" s="288"/>
      <c r="AY109" s="293"/>
      <c r="AZ109" s="294" t="str">
        <f t="shared" ca="1" si="315"/>
        <v/>
      </c>
      <c r="BA109" s="175"/>
      <c r="BB109" s="736"/>
      <c r="BC109" s="736"/>
      <c r="BD109" s="736"/>
      <c r="BE109" s="742"/>
      <c r="BF109" s="736" t="str">
        <f t="shared" ca="1" si="316"/>
        <v/>
      </c>
      <c r="BG109" s="736">
        <f t="shared" ca="1" si="317"/>
        <v>0</v>
      </c>
      <c r="BH109" s="736"/>
      <c r="BI109" s="736">
        <v>7</v>
      </c>
      <c r="BJ109" s="736" t="str">
        <f t="shared" ca="1" si="318"/>
        <v>Grupo</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0</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3I</v>
      </c>
      <c r="AM110" s="290" t="str">
        <f t="shared" ref="AM110:AT110" ca="1" si="325">+IF($H$113&gt;=48,INDEX($BE$58:$BN$69,MATCH($AL110,$BD$58:$BD$69,0),MATCH(AM$5,$BE$57:$BN$57,0)),$BB66)</f>
        <v>3I</v>
      </c>
      <c r="AN110" s="291" t="str">
        <f t="shared" ca="1" si="325"/>
        <v>3I</v>
      </c>
      <c r="AO110" s="291" t="str">
        <f t="shared" ca="1" si="325"/>
        <v>3I</v>
      </c>
      <c r="AP110" s="291" t="str">
        <f t="shared" ca="1" si="325"/>
        <v>3I</v>
      </c>
      <c r="AQ110" s="291" t="str">
        <f t="shared" ca="1" si="325"/>
        <v>3I</v>
      </c>
      <c r="AR110" s="291" t="str">
        <f t="shared" ca="1" si="325"/>
        <v>3I</v>
      </c>
      <c r="AS110" s="291" t="str">
        <f t="shared" ca="1" si="325"/>
        <v>3I</v>
      </c>
      <c r="AT110" s="292" t="str">
        <f t="shared" ca="1" si="325"/>
        <v>3I</v>
      </c>
      <c r="AU110" s="420" t="str">
        <f t="shared" ca="1" si="312"/>
        <v/>
      </c>
      <c r="AV110" s="217" t="str">
        <f t="shared" ca="1" si="313"/>
        <v>Irán</v>
      </c>
      <c r="AW110" s="427"/>
      <c r="AX110" s="288"/>
      <c r="AY110" s="293"/>
      <c r="AZ110" s="294" t="str">
        <f t="shared" ca="1" si="315"/>
        <v/>
      </c>
      <c r="BA110" s="175"/>
      <c r="BB110" s="736"/>
      <c r="BC110" s="736"/>
      <c r="BD110" s="736"/>
      <c r="BE110" s="742"/>
      <c r="BF110" s="736" t="str">
        <f t="shared" ca="1" si="316"/>
        <v/>
      </c>
      <c r="BG110" s="736">
        <f t="shared" ca="1" si="317"/>
        <v>0</v>
      </c>
      <c r="BH110" s="736"/>
      <c r="BI110" s="742">
        <v>8</v>
      </c>
      <c r="BJ110" s="736" t="str">
        <f t="shared" ca="1" si="318"/>
        <v>Grupo</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0</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3J</v>
      </c>
      <c r="AM111" s="290" t="str">
        <f t="shared" ref="AM111:AT111" ca="1" si="326">+IF($H$113&gt;=48,INDEX($BE$58:$BN$69,MATCH($AL111,$BD$58:$BD$69,0),MATCH(AM$5,$BE$57:$BN$57,0)),$BB67)</f>
        <v>3J</v>
      </c>
      <c r="AN111" s="291" t="str">
        <f t="shared" ca="1" si="326"/>
        <v>3J</v>
      </c>
      <c r="AO111" s="291" t="str">
        <f t="shared" ca="1" si="326"/>
        <v>3J</v>
      </c>
      <c r="AP111" s="291" t="str">
        <f t="shared" ca="1" si="326"/>
        <v>3J</v>
      </c>
      <c r="AQ111" s="291" t="str">
        <f t="shared" ca="1" si="326"/>
        <v>3J</v>
      </c>
      <c r="AR111" s="291" t="str">
        <f t="shared" ca="1" si="326"/>
        <v>3J</v>
      </c>
      <c r="AS111" s="291" t="str">
        <f t="shared" ca="1" si="326"/>
        <v>3J</v>
      </c>
      <c r="AT111" s="292" t="str">
        <f t="shared" ca="1" si="326"/>
        <v>3J</v>
      </c>
      <c r="AU111" s="420" t="str">
        <f t="shared" ca="1" si="312"/>
        <v/>
      </c>
      <c r="AV111" s="217" t="str">
        <f t="shared" ca="1" si="313"/>
        <v>Suecia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0</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3K</v>
      </c>
      <c r="AM112" s="290" t="str">
        <f t="shared" ref="AM112:AT112" ca="1" si="327">+IF($H$113&gt;=48,INDEX($BE$58:$BN$69,MATCH($AL112,$BD$58:$BD$69,0),MATCH(AM$5,$BE$57:$BN$57,0)),$BB68)</f>
        <v>3K</v>
      </c>
      <c r="AN112" s="291" t="str">
        <f t="shared" ca="1" si="327"/>
        <v>3K</v>
      </c>
      <c r="AO112" s="291" t="str">
        <f t="shared" ca="1" si="327"/>
        <v>3K</v>
      </c>
      <c r="AP112" s="291" t="str">
        <f t="shared" ca="1" si="327"/>
        <v>3K</v>
      </c>
      <c r="AQ112" s="291" t="str">
        <f t="shared" ca="1" si="327"/>
        <v>3K</v>
      </c>
      <c r="AR112" s="291" t="str">
        <f t="shared" ca="1" si="327"/>
        <v>3K</v>
      </c>
      <c r="AS112" s="291" t="str">
        <f t="shared" ca="1" si="327"/>
        <v>3K</v>
      </c>
      <c r="AT112" s="292" t="str">
        <f t="shared" ca="1" si="327"/>
        <v>3K</v>
      </c>
      <c r="AU112" s="420" t="str">
        <f t="shared" ca="1" si="312"/>
        <v/>
      </c>
      <c r="AV112" s="217" t="str">
        <f t="shared" ca="1" si="313"/>
        <v>Uzbekistán</v>
      </c>
      <c r="AW112" s="427"/>
      <c r="AX112" s="288"/>
      <c r="AY112" s="295"/>
      <c r="AZ112" s="295"/>
      <c r="BA112" s="175"/>
      <c r="BB112" s="736"/>
      <c r="BC112" s="736"/>
      <c r="BD112" s="744"/>
      <c r="BE112" s="736"/>
      <c r="BF112" s="736"/>
      <c r="BG112" s="736"/>
      <c r="BH112" s="736"/>
      <c r="BI112" s="736" t="str">
        <f ca="1">IFERROR(CONCATENATE(BJ103,BJ104,BJ105,BJ106,BJ107,BJ108,BJ109,BJ110),"¿A/B/C/D/E/F/G/H/I/J/K/L?")</f>
        <v>GrupoGrupoGrupoGrupoGrupoGrupoGrupoGrupo</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4</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3L</v>
      </c>
      <c r="AM113" s="237" t="str">
        <f t="shared" ref="AM113:AT113" ca="1" si="328">+IF($H$113&gt;=48,INDEX($BE$58:$BN$69,MATCH($AL113,$BD$58:$BD$69,0),MATCH(AM$5,$BE$57:$BN$57,0)),$BB69)</f>
        <v>3L</v>
      </c>
      <c r="AN113" s="238" t="str">
        <f t="shared" ca="1" si="328"/>
        <v>3L</v>
      </c>
      <c r="AO113" s="238" t="str">
        <f t="shared" ca="1" si="328"/>
        <v>3L</v>
      </c>
      <c r="AP113" s="238" t="str">
        <f t="shared" ca="1" si="328"/>
        <v>3L</v>
      </c>
      <c r="AQ113" s="238" t="str">
        <f t="shared" ca="1" si="328"/>
        <v>3L</v>
      </c>
      <c r="AR113" s="238" t="str">
        <f t="shared" ca="1" si="328"/>
        <v>3L</v>
      </c>
      <c r="AS113" s="238" t="str">
        <f t="shared" ca="1" si="328"/>
        <v>3L</v>
      </c>
      <c r="AT113" s="239" t="str">
        <f t="shared" ca="1" si="328"/>
        <v>3L</v>
      </c>
      <c r="AU113" s="420" t="str">
        <f t="shared" ca="1" si="312"/>
        <v/>
      </c>
      <c r="AV113" s="217" t="str">
        <f t="shared" ca="1" si="313"/>
        <v>República Checa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e">
        <f ca="1">+INDEX(Combinaciones3!$P$2:$W$496,MATCH(1,Combinaciones3!$B$2:$B$497,0),MATCH(WORLDCUP!BF117,Combinaciones3!$P$1:$W$1,0))</f>
        <v>#N/A</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e">
        <f ca="1">+INDEX(Combinaciones3!$P$2:$W$496,MATCH(1,Combinaciones3!$B$2:$B$497,0),MATCH(WORLDCUP!BF118,Combinaciones3!$P$1:$W$1,0))</f>
        <v>#N/A</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e">
        <f ca="1">+INDEX(Combinaciones3!$P$2:$W$496,MATCH(1,Combinaciones3!$B$2:$B$497,0),MATCH(WORLDCUP!BF119,Combinaciones3!$P$1:$W$1,0))</f>
        <v>#N/A</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e">
        <f ca="1">+INDEX(Combinaciones3!$P$2:$W$496,MATCH(1,Combinaciones3!$B$2:$B$497,0),MATCH(WORLDCUP!BF120,Combinaciones3!$P$1:$W$1,0))</f>
        <v>#N/A</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e">
        <f ca="1">+INDEX(Combinaciones3!$P$2:$W$496,MATCH(1,Combinaciones3!$B$2:$B$497,0),MATCH(WORLDCUP!BF121,Combinaciones3!$P$1:$W$1,0))</f>
        <v>#N/A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e">
        <f ca="1">+INDEX(Combinaciones3!$P$2:$W$496,MATCH(1,Combinaciones3!$B$2:$B$497,0),MATCH(WORLDCUP!BF122,Combinaciones3!$P$1:$W$1,0))</f>
        <v>#N/A</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e">
        <f ca="1">+INDEX(Combinaciones3!$P$2:$W$496,MATCH(1,Combinaciones3!$B$2:$B$497,0),MATCH(WORLDCUP!BF123,Combinaciones3!$P$1:$W$1,0))</f>
        <v>#N/A</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e">
        <f ca="1">+INDEX(Combinaciones3!$P$2:$W$496,MATCH(1,Combinaciones3!$B$2:$B$497,0),MATCH(WORLDCUP!BF124,Combinaciones3!$P$1:$W$1,0))</f>
        <v>#N/A</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2</v>
      </c>
      <c r="W1" s="87"/>
      <c r="X1" s="65"/>
      <c r="Y1" s="87">
        <f ca="1">+IFERROR(RANK(Y2,OFFSET($S$2,0,0,1,$D$5*3),0),"-")</f>
        <v>3</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1.9981</v>
      </c>
      <c r="T2" s="87"/>
      <c r="U2" s="65"/>
      <c r="V2" s="87">
        <f t="shared" ref="V2" ca="1" si="0">V4-(COLUMN()/10000)</f>
        <v>1.9978</v>
      </c>
      <c r="W2" s="87"/>
      <c r="X2" s="65"/>
      <c r="Y2" s="87">
        <f t="shared" ref="Y2" ca="1" si="1">Y4-(COLUMN()/10000)</f>
        <v>-2.5000000000000001E-3</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1</v>
      </c>
      <c r="W3" s="87"/>
      <c r="X3" s="65"/>
      <c r="Y3" s="87">
        <f ca="1">RANK(Y4,OFFSET($S$4,0,0,1,$D$5*3),0)</f>
        <v>3</v>
      </c>
      <c r="Z3" s="87"/>
      <c r="AA3" s="65"/>
      <c r="AB3" s="87">
        <f ca="1">RANK(AB4,OFFSET($S$4,0,0,1,$D$5*3),0)</f>
        <v>3</v>
      </c>
      <c r="AC3" s="87"/>
      <c r="AD3" s="65"/>
      <c r="AE3" s="87">
        <f ca="1">RANK(AE4,OFFSET($S$4,0,0,1,$D$5*3),0)</f>
        <v>3</v>
      </c>
      <c r="AF3" s="87"/>
      <c r="AG3" s="65"/>
      <c r="AH3" s="87">
        <f ca="1">RANK(AH4,OFFSET($S$4,0,0,1,$D$5*3),0)</f>
        <v>3</v>
      </c>
      <c r="AI3" s="87"/>
      <c r="AJ3" s="65"/>
      <c r="AK3" s="87">
        <f ca="1">RANK(AK4,OFFSET($S$4,0,0,1,$D$5*3),0)</f>
        <v>3</v>
      </c>
      <c r="AL3" s="87"/>
      <c r="AM3" s="65"/>
      <c r="AN3" s="87">
        <f ca="1">RANK(AN4,OFFSET($S$4,0,0,1,$D$5*3),0)</f>
        <v>3</v>
      </c>
      <c r="AO3" s="87"/>
      <c r="AP3" s="65"/>
      <c r="AQ3" s="87">
        <f ca="1">RANK(AQ4,OFFSET($S$4,0,0,1,$D$5*3),0)</f>
        <v>3</v>
      </c>
      <c r="AR3" s="87"/>
      <c r="AS3" s="65"/>
      <c r="AT3" s="87">
        <f ca="1">RANK(AT4,OFFSET($S$4,0,0,1,$D$5*3),0)</f>
        <v>3</v>
      </c>
      <c r="AU3" s="87"/>
      <c r="AV3" s="65"/>
      <c r="AW3" s="87">
        <f ca="1">RANK(AW4,OFFSET($S$4,0,0,1,$D$5*3),0)</f>
        <v>3</v>
      </c>
      <c r="AX3" s="87"/>
      <c r="AY3" s="65"/>
      <c r="AZ3" s="87">
        <f ca="1">RANK(AZ4,OFFSET($S$4,0,0,1,$D$5*3),0)</f>
        <v>3</v>
      </c>
      <c r="BA3" s="87"/>
      <c r="BB3" s="65"/>
      <c r="BC3" s="87">
        <f ca="1">RANK(BC4,OFFSET($S$4,0,0,1,$D$5*3),0)</f>
        <v>3</v>
      </c>
      <c r="BD3" s="87"/>
      <c r="BE3" s="65"/>
      <c r="BF3" s="87">
        <f ca="1">RANK(BF4,OFFSET($S$4,0,0,1,$D$5*3),0)</f>
        <v>3</v>
      </c>
      <c r="BG3" s="87"/>
      <c r="BH3" s="65"/>
      <c r="BI3" s="87">
        <f ca="1">RANK(BI4,OFFSET($S$4,0,0,1,$D$5*3),0)</f>
        <v>3</v>
      </c>
      <c r="BJ3" s="87"/>
      <c r="BK3" s="65"/>
      <c r="BL3" s="87">
        <f ca="1">RANK(BL4,OFFSET($S$4,0,0,1,$D$5*3),0)</f>
        <v>3</v>
      </c>
      <c r="BM3" s="87"/>
      <c r="BN3" s="65"/>
      <c r="BO3" s="87">
        <f ca="1">RANK(BO4,OFFSET($S$4,0,0,1,$D$5*3),0)</f>
        <v>3</v>
      </c>
      <c r="BP3" s="87"/>
      <c r="BQ3" s="65"/>
      <c r="BR3" s="87">
        <f ca="1">RANK(BR4,OFFSET($S$4,0,0,1,$D$5*3),0)</f>
        <v>3</v>
      </c>
      <c r="BS3" s="87"/>
      <c r="BT3" s="65"/>
      <c r="BU3" s="87">
        <f ca="1">RANK(BU4,OFFSET($S$4,0,0,1,$D$5*3),0)</f>
        <v>3</v>
      </c>
      <c r="BV3" s="87"/>
      <c r="BW3" s="65"/>
      <c r="BX3" s="87">
        <f ca="1">RANK(BX4,OFFSET($S$4,0,0,1,$D$5*3),0)</f>
        <v>3</v>
      </c>
      <c r="BY3" s="87"/>
      <c r="BZ3" s="65"/>
      <c r="CA3" s="87">
        <f ca="1">RANK(CA4,OFFSET($S$4,0,0,1,$D$5*3),0)</f>
        <v>3</v>
      </c>
      <c r="CB3" s="87"/>
      <c r="CC3" s="65"/>
      <c r="CD3" s="87">
        <f ca="1">RANK(CD4,OFFSET($S$4,0,0,1,$D$5*3),0)</f>
        <v>3</v>
      </c>
      <c r="CE3" s="87"/>
      <c r="CF3" s="65"/>
      <c r="CG3" s="87">
        <f ca="1">RANK(CG4,OFFSET($S$4,0,0,1,$D$5*3),0)</f>
        <v>3</v>
      </c>
      <c r="CH3" s="87"/>
      <c r="CI3" s="65"/>
      <c r="CJ3" s="87">
        <f ca="1">RANK(CJ4,OFFSET($S$4,0,0,1,$D$5*3),0)</f>
        <v>3</v>
      </c>
      <c r="CK3" s="87"/>
      <c r="CL3" s="65"/>
      <c r="CM3" s="87">
        <f ca="1">RANK(CM4,OFFSET($S$4,0,0,1,$D$5*3),0)</f>
        <v>3</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2</v>
      </c>
      <c r="T4" s="68"/>
      <c r="U4" s="65"/>
      <c r="V4" s="67">
        <f ca="1">SUM(W6:W259)/2</f>
        <v>2</v>
      </c>
      <c r="W4" s="68"/>
      <c r="X4" s="65"/>
      <c r="Y4" s="67">
        <f ca="1">SUM(Z6:Z259)/2</f>
        <v>0</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v>
      </c>
      <c r="N8" s="25" t="str">
        <f>IF(OR(WORLDCUP!AC12="",WORLDCUP!AD12=""),"",IF(WORLDCUP!AC12&gt;WORLDCUP!AD12,"1",IF(WORLDCUP!AC12&lt;WORLDCUP!AD12,"2","X")))</f>
        <v/>
      </c>
      <c r="O8" s="25">
        <f>WORLDCUP!AC12</f>
        <v>0</v>
      </c>
      <c r="P8" s="25">
        <f>WORLDCUP!AD12</f>
        <v>0</v>
      </c>
      <c r="Q8" s="25">
        <f t="shared" ref="Q8:Q70" si="51">ABS(O8-P8)</f>
        <v>0</v>
      </c>
      <c r="R8" s="49"/>
      <c r="S8" s="74" t="s">
        <v>1944</v>
      </c>
      <c r="T8" s="73">
        <f t="shared" si="48"/>
        <v>0</v>
      </c>
      <c r="U8" s="65"/>
      <c r="V8" s="74" t="s">
        <v>1942</v>
      </c>
      <c r="W8" s="73">
        <f t="shared" si="49"/>
        <v>0</v>
      </c>
      <c r="X8" s="65"/>
      <c r="Y8" s="74" t="s">
        <v>1944</v>
      </c>
      <c r="Z8" s="73">
        <f t="shared" si="50"/>
        <v>0</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v>
      </c>
      <c r="N9" s="25" t="str">
        <f>IF(OR(WORLDCUP!AC13="",WORLDCUP!AD13=""),"",IF(WORLDCUP!AC13&gt;WORLDCUP!AD13,"1",IF(WORLDCUP!AC13&lt;WORLDCUP!AD13,"2","X")))</f>
        <v/>
      </c>
      <c r="O9" s="25">
        <f>WORLDCUP!AC13</f>
        <v>0</v>
      </c>
      <c r="P9" s="25">
        <f>WORLDCUP!AD13</f>
        <v>0</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v>
      </c>
      <c r="N10" s="25" t="str">
        <f>IF(OR(WORLDCUP!AC20="",WORLDCUP!AD20=""),"",IF(WORLDCUP!AC20&gt;WORLDCUP!AD20,"1",IF(WORLDCUP!AC20&lt;WORLDCUP!AD20,"2","X")))</f>
        <v/>
      </c>
      <c r="O10" s="25">
        <f>WORLDCUP!AC20</f>
        <v>0</v>
      </c>
      <c r="P10" s="25">
        <f>WORLDCUP!AD20</f>
        <v>0</v>
      </c>
      <c r="Q10" s="25">
        <f t="shared" si="51"/>
        <v>0</v>
      </c>
      <c r="R10" s="49"/>
      <c r="S10" s="74" t="s">
        <v>1942</v>
      </c>
      <c r="T10" s="73">
        <f t="shared" si="48"/>
        <v>0</v>
      </c>
      <c r="U10" s="65"/>
      <c r="V10" s="74" t="s">
        <v>1948</v>
      </c>
      <c r="W10" s="73">
        <f t="shared" si="49"/>
        <v>0</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v>
      </c>
      <c r="N11" s="25" t="str">
        <f>IF(OR(WORLDCUP!AC21="",WORLDCUP!AD21=""),"",IF(WORLDCUP!AC21&gt;WORLDCUP!AD21,"1",IF(WORLDCUP!AC21&lt;WORLDCUP!AD21,"2","X")))</f>
        <v/>
      </c>
      <c r="O11" s="25">
        <f>WORLDCUP!AC21</f>
        <v>0</v>
      </c>
      <c r="P11" s="25">
        <f>WORLDCUP!AD21</f>
        <v>0</v>
      </c>
      <c r="Q11" s="25">
        <f t="shared" si="51"/>
        <v>0</v>
      </c>
      <c r="R11" s="49"/>
      <c r="S11" s="74" t="s">
        <v>1945</v>
      </c>
      <c r="T11" s="73">
        <f t="shared" si="48"/>
        <v>0</v>
      </c>
      <c r="U11" s="65"/>
      <c r="V11" s="74" t="s">
        <v>1953</v>
      </c>
      <c r="W11" s="73">
        <f t="shared" si="49"/>
        <v>0</v>
      </c>
      <c r="X11" s="65"/>
      <c r="Y11" s="74" t="s">
        <v>1943</v>
      </c>
      <c r="Z11" s="73">
        <f t="shared" si="50"/>
        <v>0</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v>
      </c>
      <c r="N12" s="25" t="str">
        <f>IF(OR(WORLDCUP!AC28="",WORLDCUP!AD28=""),"",IF(WORLDCUP!AC28&gt;WORLDCUP!AD28,"1",IF(WORLDCUP!AC28&lt;WORLDCUP!AD28,"2","X")))</f>
        <v/>
      </c>
      <c r="O12" s="25">
        <f>WORLDCUP!AC28</f>
        <v>0</v>
      </c>
      <c r="P12" s="25">
        <f>WORLDCUP!AD28</f>
        <v>0</v>
      </c>
      <c r="Q12" s="25">
        <f t="shared" si="51"/>
        <v>0</v>
      </c>
      <c r="R12" s="49"/>
      <c r="S12" s="74" t="s">
        <v>1946</v>
      </c>
      <c r="T12" s="73">
        <f t="shared" si="48"/>
        <v>0</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v>
      </c>
      <c r="N13" s="25" t="str">
        <f>IF(OR(WORLDCUP!AC29="",WORLDCUP!AD29=""),"",IF(WORLDCUP!AC29&gt;WORLDCUP!AD29,"1",IF(WORLDCUP!AC29&lt;WORLDCUP!AD29,"2","X")))</f>
        <v/>
      </c>
      <c r="O13" s="25">
        <f>WORLDCUP!AC29</f>
        <v>0</v>
      </c>
      <c r="P13" s="25">
        <f>WORLDCUP!AD29</f>
        <v>0</v>
      </c>
      <c r="Q13" s="25">
        <f t="shared" si="51"/>
        <v>0</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v>
      </c>
      <c r="N14" s="25" t="str">
        <f>IF(OR(WORLDCUP!AC36="",WORLDCUP!AD36=""),"",IF(WORLDCUP!AC36&gt;WORLDCUP!AD36,"1",IF(WORLDCUP!AC36&lt;WORLDCUP!AD36,"2","X")))</f>
        <v/>
      </c>
      <c r="O14" s="25">
        <f>WORLDCUP!AC36</f>
        <v>0</v>
      </c>
      <c r="P14" s="25">
        <f>WORLDCUP!AD36</f>
        <v>0</v>
      </c>
      <c r="Q14" s="25">
        <f t="shared" si="51"/>
        <v>0</v>
      </c>
      <c r="R14" s="49"/>
      <c r="S14" s="74" t="s">
        <v>1947</v>
      </c>
      <c r="T14" s="73">
        <f t="shared" si="48"/>
        <v>0</v>
      </c>
      <c r="U14" s="65"/>
      <c r="V14" s="74" t="s">
        <v>1947</v>
      </c>
      <c r="W14" s="73">
        <f t="shared" si="49"/>
        <v>0</v>
      </c>
      <c r="X14" s="65"/>
      <c r="Y14" s="74" t="s">
        <v>2033</v>
      </c>
      <c r="Z14" s="73">
        <f t="shared" si="50"/>
        <v>0</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v>
      </c>
      <c r="N15" s="25" t="str">
        <f>IF(OR(WORLDCUP!AC37="",WORLDCUP!AD37=""),"",IF(WORLDCUP!AC37&gt;WORLDCUP!AD37,"1",IF(WORLDCUP!AC37&lt;WORLDCUP!AD37,"2","X")))</f>
        <v/>
      </c>
      <c r="O15" s="25">
        <f>WORLDCUP!AC37</f>
        <v>0</v>
      </c>
      <c r="P15" s="25">
        <f>WORLDCUP!AD37</f>
        <v>0</v>
      </c>
      <c r="Q15" s="25">
        <f t="shared" si="51"/>
        <v>0</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v>
      </c>
      <c r="N16" s="25" t="str">
        <f>IF(OR(WORLDCUP!AC44="",WORLDCUP!AD44=""),"",IF(WORLDCUP!AC44&gt;WORLDCUP!AD44,"1",IF(WORLDCUP!AC44&lt;WORLDCUP!AD44,"2","X")))</f>
        <v/>
      </c>
      <c r="O16" s="25">
        <f>WORLDCUP!AC44</f>
        <v>0</v>
      </c>
      <c r="P16" s="25">
        <f>WORLDCUP!AD44</f>
        <v>0</v>
      </c>
      <c r="Q16" s="25">
        <f t="shared" si="51"/>
        <v>0</v>
      </c>
      <c r="R16" s="49"/>
      <c r="S16" s="74" t="s">
        <v>1948</v>
      </c>
      <c r="T16" s="73">
        <f t="shared" si="48"/>
        <v>0</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v>
      </c>
      <c r="N17" s="25" t="str">
        <f>IF(OR(WORLDCUP!AC45="",WORLDCUP!AD45=""),"",IF(WORLDCUP!AC45&gt;WORLDCUP!AD45,"1",IF(WORLDCUP!AC45&lt;WORLDCUP!AD45,"2","X")))</f>
        <v/>
      </c>
      <c r="O17" s="25">
        <f>WORLDCUP!AC45</f>
        <v>0</v>
      </c>
      <c r="P17" s="25">
        <f>WORLDCUP!AD45</f>
        <v>0</v>
      </c>
      <c r="Q17" s="25">
        <f t="shared" si="51"/>
        <v>0</v>
      </c>
      <c r="R17" s="49"/>
      <c r="S17" s="74" t="s">
        <v>1942</v>
      </c>
      <c r="T17" s="73">
        <f t="shared" si="48"/>
        <v>0</v>
      </c>
      <c r="U17" s="65"/>
      <c r="V17" s="74" t="s">
        <v>1942</v>
      </c>
      <c r="W17" s="73">
        <f t="shared" si="49"/>
        <v>0</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v>
      </c>
      <c r="N18" s="25" t="str">
        <f>IF(OR(WORLDCUP!AC52="",WORLDCUP!AD52=""),"",IF(WORLDCUP!AC52&gt;WORLDCUP!AD52,"1",IF(WORLDCUP!AC52&lt;WORLDCUP!AD52,"2","X")))</f>
        <v/>
      </c>
      <c r="O18" s="25">
        <f>WORLDCUP!AC52</f>
        <v>0</v>
      </c>
      <c r="P18" s="25">
        <f>WORLDCUP!AD52</f>
        <v>0</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v>
      </c>
      <c r="N19" s="25" t="str">
        <f>IF(OR(WORLDCUP!AC53="",WORLDCUP!AD53=""),"",IF(WORLDCUP!AC53&gt;WORLDCUP!AD53,"1",IF(WORLDCUP!AC53&lt;WORLDCUP!AD53,"2","X")))</f>
        <v/>
      </c>
      <c r="O19" s="25">
        <f>WORLDCUP!AC53</f>
        <v>0</v>
      </c>
      <c r="P19" s="25">
        <f>WORLDCUP!AD53</f>
        <v>0</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v>
      </c>
      <c r="N20" s="25" t="str">
        <f>IF(OR(WORLDCUP!AC60="",WORLDCUP!AD60=""),"",IF(WORLDCUP!AC60&gt;WORLDCUP!AD60,"1",IF(WORLDCUP!AC60&lt;WORLDCUP!AD60,"2","X")))</f>
        <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v>
      </c>
      <c r="N21" s="25" t="str">
        <f>IF(OR(WORLDCUP!AC61="",WORLDCUP!AD61=""),"",IF(WORLDCUP!AC61&gt;WORLDCUP!AD61,"1",IF(WORLDCUP!AC61&lt;WORLDCUP!AD61,"2","X")))</f>
        <v/>
      </c>
      <c r="O21" s="25">
        <f>WORLDCUP!AC61</f>
        <v>0</v>
      </c>
      <c r="P21" s="25">
        <f>WORLDCUP!AD61</f>
        <v>0</v>
      </c>
      <c r="Q21" s="25">
        <f t="shared" si="51"/>
        <v>0</v>
      </c>
      <c r="R21" s="49"/>
      <c r="S21" s="74" t="s">
        <v>1945</v>
      </c>
      <c r="T21" s="73">
        <f t="shared" si="48"/>
        <v>0</v>
      </c>
      <c r="U21" s="65"/>
      <c r="V21" s="74" t="s">
        <v>1943</v>
      </c>
      <c r="W21" s="73">
        <f t="shared" si="49"/>
        <v>0</v>
      </c>
      <c r="X21" s="65"/>
      <c r="Y21" s="74" t="s">
        <v>1944</v>
      </c>
      <c r="Z21" s="73">
        <f t="shared" si="53"/>
        <v>0</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v>
      </c>
      <c r="N22" s="25" t="str">
        <f>IF(OR(WORLDCUP!AC68="",WORLDCUP!AD68=""),"",IF(WORLDCUP!AC68&gt;WORLDCUP!AD68,"1",IF(WORLDCUP!AC68&lt;WORLDCUP!AD68,"2","X")))</f>
        <v/>
      </c>
      <c r="O22" s="25">
        <f>WORLDCUP!AC68</f>
        <v>0</v>
      </c>
      <c r="P22" s="25">
        <f>WORLDCUP!AD68</f>
        <v>0</v>
      </c>
      <c r="Q22" s="25">
        <f t="shared" si="51"/>
        <v>0</v>
      </c>
      <c r="R22" s="49"/>
      <c r="S22" s="74" t="s">
        <v>1946</v>
      </c>
      <c r="T22" s="73">
        <f t="shared" si="48"/>
        <v>0</v>
      </c>
      <c r="U22" s="65"/>
      <c r="V22" s="74" t="s">
        <v>1942</v>
      </c>
      <c r="W22" s="73">
        <f t="shared" si="49"/>
        <v>0</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v>
      </c>
      <c r="N23" s="25" t="str">
        <f>IF(OR(WORLDCUP!AC69="",WORLDCUP!AD69=""),"",IF(WORLDCUP!AC69&gt;WORLDCUP!AD69,"1",IF(WORLDCUP!AC69&lt;WORLDCUP!AD69,"2","X")))</f>
        <v/>
      </c>
      <c r="O23" s="25">
        <f>WORLDCUP!AC69</f>
        <v>0</v>
      </c>
      <c r="P23" s="25">
        <f>WORLDCUP!AD69</f>
        <v>0</v>
      </c>
      <c r="Q23" s="25">
        <f t="shared" si="51"/>
        <v>0</v>
      </c>
      <c r="R23" s="49"/>
      <c r="S23" s="74" t="s">
        <v>1943</v>
      </c>
      <c r="T23" s="73">
        <f t="shared" si="48"/>
        <v>0</v>
      </c>
      <c r="U23" s="65"/>
      <c r="V23" s="74" t="s">
        <v>1995</v>
      </c>
      <c r="W23" s="73">
        <f t="shared" si="49"/>
        <v>0</v>
      </c>
      <c r="X23" s="65"/>
      <c r="Y23" s="74" t="s">
        <v>1955</v>
      </c>
      <c r="Z23" s="73">
        <f t="shared" si="53"/>
        <v>0</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v>
      </c>
      <c r="N24" s="25" t="str">
        <f>IF(OR(WORLDCUP!AC76="",WORLDCUP!AD76=""),"",IF(WORLDCUP!AC76&gt;WORLDCUP!AD76,"1",IF(WORLDCUP!AC76&lt;WORLDCUP!AD76,"2","X")))</f>
        <v/>
      </c>
      <c r="O24" s="25">
        <f>WORLDCUP!AC76</f>
        <v>0</v>
      </c>
      <c r="P24" s="25">
        <f>WORLDCUP!AD76</f>
        <v>0</v>
      </c>
      <c r="Q24" s="25">
        <f t="shared" si="51"/>
        <v>0</v>
      </c>
      <c r="R24" s="49"/>
      <c r="S24" s="76" t="s">
        <v>1950</v>
      </c>
      <c r="T24" s="77">
        <f t="shared" si="48"/>
        <v>0</v>
      </c>
      <c r="U24" s="65"/>
      <c r="V24" s="76" t="s">
        <v>1950</v>
      </c>
      <c r="W24" s="77">
        <f t="shared" si="49"/>
        <v>0</v>
      </c>
      <c r="X24" s="65"/>
      <c r="Y24" s="76" t="s">
        <v>1942</v>
      </c>
      <c r="Z24" s="77">
        <f t="shared" si="53"/>
        <v>0</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v>
      </c>
      <c r="N25" s="25" t="str">
        <f>IF(OR(WORLDCUP!AC77="",WORLDCUP!AD77=""),"",IF(WORLDCUP!AC77&gt;WORLDCUP!AD77,"1",IF(WORLDCUP!AC77&lt;WORLDCUP!AD77,"2","X")))</f>
        <v/>
      </c>
      <c r="O25" s="25">
        <f>WORLDCUP!AC77</f>
        <v>0</v>
      </c>
      <c r="P25" s="25">
        <f>WORLDCUP!AD77</f>
        <v>0</v>
      </c>
      <c r="Q25" s="25">
        <f t="shared" si="51"/>
        <v>0</v>
      </c>
      <c r="R25" s="49"/>
      <c r="S25" s="74" t="s">
        <v>1951</v>
      </c>
      <c r="T25" s="73">
        <f t="shared" si="48"/>
        <v>0</v>
      </c>
      <c r="U25" s="65"/>
      <c r="V25" s="74" t="s">
        <v>1951</v>
      </c>
      <c r="W25" s="73">
        <f t="shared" si="49"/>
        <v>0</v>
      </c>
      <c r="X25" s="65"/>
      <c r="Y25" s="74" t="s">
        <v>1949</v>
      </c>
      <c r="Z25" s="73">
        <f t="shared" si="53"/>
        <v>0</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v>
      </c>
      <c r="N26" s="25" t="str">
        <f>IF(OR(WORLDCUP!AC84="",WORLDCUP!AD84=""),"",IF(WORLDCUP!AC84&gt;WORLDCUP!AD84,"1",IF(WORLDCUP!AC84&lt;WORLDCUP!AD84,"2","X")))</f>
        <v/>
      </c>
      <c r="O26" s="25">
        <f>WORLDCUP!AC84</f>
        <v>0</v>
      </c>
      <c r="P26" s="25">
        <f>WORLDCUP!AD84</f>
        <v>0</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v>
      </c>
      <c r="N27" s="25" t="str">
        <f>IF(OR(WORLDCUP!AC85="",WORLDCUP!AD85=""),"",IF(WORLDCUP!AC85&gt;WORLDCUP!AD85,"1",IF(WORLDCUP!AC85&lt;WORLDCUP!AD85,"2","X")))</f>
        <v/>
      </c>
      <c r="O27" s="25">
        <f>WORLDCUP!AC85</f>
        <v>0</v>
      </c>
      <c r="P27" s="25">
        <f>WORLDCUP!AD85</f>
        <v>0</v>
      </c>
      <c r="Q27" s="25">
        <f t="shared" si="51"/>
        <v>0</v>
      </c>
      <c r="R27" s="49"/>
      <c r="S27" s="74" t="s">
        <v>1945</v>
      </c>
      <c r="T27" s="73">
        <f t="shared" si="48"/>
        <v>0</v>
      </c>
      <c r="U27" s="65"/>
      <c r="V27" s="74" t="s">
        <v>1945</v>
      </c>
      <c r="W27" s="73">
        <f t="shared" si="49"/>
        <v>0</v>
      </c>
      <c r="X27" s="65"/>
      <c r="Y27" s="74" t="s">
        <v>1945</v>
      </c>
      <c r="Z27" s="73">
        <f t="shared" si="53"/>
        <v>0</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v>
      </c>
      <c r="N28" s="25" t="str">
        <f>IF(OR(WORLDCUP!AC92="",WORLDCUP!AD92=""),"",IF(WORLDCUP!AC92&gt;WORLDCUP!AD92,"1",IF(WORLDCUP!AC92&lt;WORLDCUP!AD92,"2","X")))</f>
        <v/>
      </c>
      <c r="O28" s="25">
        <f>WORLDCUP!AC92</f>
        <v>0</v>
      </c>
      <c r="P28" s="25">
        <f>WORLDCUP!AD92</f>
        <v>0</v>
      </c>
      <c r="Q28" s="25">
        <f t="shared" si="51"/>
        <v>0</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1944</v>
      </c>
      <c r="W28" s="73">
        <f t="shared" si="49"/>
        <v>0</v>
      </c>
      <c r="X28" s="65"/>
      <c r="Y28" s="74" t="s">
        <v>1952</v>
      </c>
      <c r="Z28" s="73">
        <f t="shared" si="53"/>
        <v>0</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v>
      </c>
      <c r="N29" s="25" t="str">
        <f>IF(OR(WORLDCUP!AC93="",WORLDCUP!AD93=""),"",IF(WORLDCUP!AC93&gt;WORLDCUP!AD93,"1",IF(WORLDCUP!AC93&lt;WORLDCUP!AD93,"2","X")))</f>
        <v/>
      </c>
      <c r="O29" s="25">
        <f>WORLDCUP!AC93</f>
        <v>0</v>
      </c>
      <c r="P29" s="25">
        <f>WORLDCUP!AD93</f>
        <v>0</v>
      </c>
      <c r="Q29" s="25">
        <f t="shared" si="51"/>
        <v>0</v>
      </c>
      <c r="R29" s="49"/>
      <c r="S29" s="78" t="s">
        <v>1951</v>
      </c>
      <c r="T29" s="79">
        <f t="shared" si="54"/>
        <v>0</v>
      </c>
      <c r="U29" s="65"/>
      <c r="V29" s="78" t="s">
        <v>1942</v>
      </c>
      <c r="W29" s="79">
        <f t="shared" si="49"/>
        <v>0</v>
      </c>
      <c r="X29" s="65"/>
      <c r="Y29" s="78" t="s">
        <v>1942</v>
      </c>
      <c r="Z29" s="79">
        <f t="shared" si="53"/>
        <v>0</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v>
      </c>
      <c r="N30" s="25" t="str">
        <f>IF(OR(WORLDCUP!AC6="",WORLDCUP!AD6=""),"",IF(WORLDCUP!AC6&gt;WORLDCUP!AD6,"1",IF(WORLDCUP!AC6&lt;WORLDCUP!AD6,"2","X")))</f>
        <v/>
      </c>
      <c r="O30" s="25">
        <f>WORLDCUP!AC6</f>
        <v>0</v>
      </c>
      <c r="P30" s="25">
        <f>WORLDCUP!AD6</f>
        <v>0</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2</v>
      </c>
      <c r="U78" s="64"/>
      <c r="V78" s="82"/>
      <c r="W78" s="83">
        <f>SUM(W6:W77)</f>
        <v>2</v>
      </c>
      <c r="X78" s="64"/>
      <c r="Y78" s="82"/>
      <c r="Z78" s="83">
        <f t="shared" ref="Z78" si="68">SUM(Z6:Z77)</f>
        <v>0</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abSelected="1"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2</v>
      </c>
      <c r="E5" s="92" cm="1">
        <f t="array" aca="1" ref="E5" ca="1">IFERROR(INDEX(Rango_Admin_Clas_Total,E$2,MATCH($A5,Rango_Admin_Clas_Primera,0)+1),"-")</f>
        <v>2</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1</v>
      </c>
      <c r="C6" s="18" t="str">
        <f ca="1">IFERROR(HLOOKUP(A6,Rango_Admin_Clas,5,FALSE),"-")</f>
        <v>Erika</v>
      </c>
      <c r="D6" s="91">
        <f ca="1">IFERROR(HLOOKUP(A6,Rango_Admin_Clas,4,FALSE),"-")</f>
        <v>2</v>
      </c>
      <c r="E6" s="92" cm="1">
        <f t="array" aca="1" ref="E6" ca="1">IFERROR(INDEX(Rango_Admin_Clas_Total,E$2,MATCH($A6,Rango_Admin_Clas_Primera,0)+1),"-")</f>
        <v>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Maria Delgado</v>
      </c>
      <c r="D7" s="91">
        <f ca="1">IFERROR(HLOOKUP(A7,Rango_Admin_Clas,4,FALSE),"-")</f>
        <v>0</v>
      </c>
      <c r="E7" s="92" cm="1">
        <f t="array" aca="1" ref="E7" ca="1">IFERROR(INDEX(Rango_Admin_Clas_Total,E$2,MATCH($A7,Rango_Admin_Clas_Primera,0)+1),"-")</f>
        <v>0</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1.9230769230769232E-2</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5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t="str">
        <f>IF(ISBLANK(INDEX(WORLDCUP!$AC$4:$AC$147,MATCH(M3,WORLDCUP!$AH$4:$AH$147,0))),"",INDEX(WORLDCUP!$AC$4:$AC$147,MATCH(M3,WORLDCUP!$AH$4:$AH$147,0)))</f>
        <v/>
      </c>
      <c r="Q3" s="503" t="str">
        <f>IF(ISBLANK(INDEX(WORLDCUP!$AD$4:$AD$147,MATCH(M3,WORLDCUP!$AH$4:$AH$147,0))),"",INDEX(WORLDCUP!$AD$4:$AD$147,MATCH(M3,WORLDCUP!$AH$4:$AH$147,0)))</f>
        <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t="str">
        <f>IF(ISBLANK(INDEX(WORLDCUP!$AC$4:$AC$147,MATCH(M4,WORLDCUP!$AH$4:$AH$147,0))),"",INDEX(WORLDCUP!$AC$4:$AC$147,MATCH(M4,WORLDCUP!$AH$4:$AH$147,0)))</f>
        <v/>
      </c>
      <c r="Q4" s="530" t="str">
        <f>IF(ISBLANK(INDEX(WORLDCUP!$AD$4:$AD$147,MATCH(M4,WORLDCUP!$AH$4:$AH$147,0))),"",INDEX(WORLDCUP!$AD$4:$AD$147,MATCH(M4,WORLDCUP!$AH$4:$AH$147,0)))</f>
        <v/>
      </c>
      <c r="R4" s="531" t="str">
        <f ca="1">+MID(INDEX(WORLDCUP!$AF$4:$AF$147,MATCH(M4,WORLDCUP!$AH$4:$AH$147,0)),1,3)</f>
        <v>Nue</v>
      </c>
      <c r="S4" s="532">
        <v>1</v>
      </c>
      <c r="T4" s="533" t="str">
        <f ca="1">+MID(INDEX(WORLDCUP!$AL$6:$AL$97,MATCH(X4,WORLDCUP!$AI$6:$AI$97,0)),1,3)</f>
        <v>Bél</v>
      </c>
      <c r="U4" s="534">
        <f ca="1">+INDEX(WORLDCUP!$AM$6:$AM$97,MATCH(X4,WORLDCUP!$AI$6:$AI$97,0))</f>
        <v>0</v>
      </c>
      <c r="V4" s="535">
        <f ca="1">+INDEX(WORLDCUP!$AT$6:$AT$97,MATCH(X4,WORLDCUP!$AI$6:$AI$97,0))</f>
        <v>0</v>
      </c>
      <c r="W4" s="536" t="str">
        <f ca="1">+INDEX(WORLDCUP!$AR$6:$AR$97,MATCH(X4,WORLDCUP!$AI$6:$AI$97,0))&amp;"-"&amp;INDEX(WORLDCUP!$AS$6:$AS$97,MATCH(X4,WORLDCUP!$AI$6:$AI$97,0))</f>
        <v>0-0</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t="str">
        <f>IF(ISBLANK(INDEX(WORLDCUP!$AC$4:$AC$147,MATCH(A5,WORLDCUP!$AH$4:$AH$147,0))),"",INDEX(WORLDCUP!$AC$4:$AC$147,MATCH(A5,WORLDCUP!$AH$4:$AH$147,0)))</f>
        <v/>
      </c>
      <c r="E5" s="530" t="str">
        <f>IF(ISBLANK(INDEX(WORLDCUP!$AD$4:$AD$147,MATCH(A5,WORLDCUP!$AH$4:$AH$147,0))),"",INDEX(WORLDCUP!$AD$4:$AD$147,MATCH(A5,WORLDCUP!$AH$4:$AH$147,0)))</f>
        <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Egi</v>
      </c>
      <c r="U5" s="223">
        <f ca="1">+INDEX(WORLDCUP!$AM$6:$AM$97,MATCH(X5,WORLDCUP!$AI$6:$AI$97,0))</f>
        <v>0</v>
      </c>
      <c r="V5" s="224">
        <f ca="1">+INDEX(WORLDCUP!$AT$6:$AT$97,MATCH(X5,WORLDCUP!$AI$6:$AI$97,0))</f>
        <v>0</v>
      </c>
      <c r="W5" s="225" t="str">
        <f ca="1">+INDEX(WORLDCUP!$AR$6:$AR$97,MATCH(X5,WORLDCUP!$AI$6:$AI$97,0))&amp;"-"&amp;INDEX(WORLDCUP!$AS$6:$AS$97,MATCH(X5,WORLDCUP!$AI$6:$AI$97,0))</f>
        <v>0-0</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0</v>
      </c>
      <c r="J6" s="224">
        <f ca="1">+INDEX(WORLDCUP!$AT$6:$AT$97,MATCH(L6,WORLDCUP!$AI$6:$AI$97,0))</f>
        <v>-1</v>
      </c>
      <c r="K6" s="225" t="str">
        <f ca="1">+INDEX(WORLDCUP!$AR$6:$AR$97,MATCH(L6,WORLDCUP!$AI$6:$AI$97,0))&amp;"-"&amp;INDEX(WORLDCUP!$AS$6:$AS$97,MATCH(L6,WORLDCUP!$AI$6:$AI$97,0))</f>
        <v>1-2</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Irá</v>
      </c>
      <c r="U6" s="223">
        <f ca="1">+INDEX(WORLDCUP!$AM$6:$AM$97,MATCH(X6,WORLDCUP!$AI$6:$AI$97,0))</f>
        <v>0</v>
      </c>
      <c r="V6" s="224">
        <f ca="1">+INDEX(WORLDCUP!$AT$6:$AT$97,MATCH(X6,WORLDCUP!$AI$6:$AI$97,0))</f>
        <v>0</v>
      </c>
      <c r="W6" s="225" t="str">
        <f ca="1">+INDEX(WORLDCUP!$AR$6:$AR$97,MATCH(X6,WORLDCUP!$AI$6:$AI$97,0))&amp;"-"&amp;INDEX(WORLDCUP!$AS$6:$AS$97,MATCH(X6,WORLDCUP!$AI$6:$AI$97,0))</f>
        <v>0-0</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0</v>
      </c>
      <c r="J7" s="563">
        <f ca="1">+INDEX(WORLDCUP!$AT$6:$AT$97,MATCH(L7,WORLDCUP!$AI$6:$AI$97,0))</f>
        <v>-2</v>
      </c>
      <c r="K7" s="564" t="str">
        <f ca="1">+INDEX(WORLDCUP!$AR$6:$AR$97,MATCH(L7,WORLDCUP!$AI$6:$AI$97,0))&amp;"-"&amp;INDEX(WORLDCUP!$AS$6:$AS$97,MATCH(L7,WORLDCUP!$AI$6:$AI$97,0))</f>
        <v>0-2</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Nue</v>
      </c>
      <c r="U7" s="562">
        <f ca="1">+INDEX(WORLDCUP!$AM$6:$AM$97,MATCH(X7,WORLDCUP!$AI$6:$AI$97,0))</f>
        <v>0</v>
      </c>
      <c r="V7" s="563">
        <f ca="1">+INDEX(WORLDCUP!$AT$6:$AT$97,MATCH(X7,WORLDCUP!$AI$6:$AI$97,0))</f>
        <v>0</v>
      </c>
      <c r="W7" s="564" t="str">
        <f ca="1">+INDEX(WORLDCUP!$AR$6:$AR$97,MATCH(X7,WORLDCUP!$AI$6:$AI$97,0))&amp;"-"&amp;INDEX(WORLDCUP!$AS$6:$AS$97,MATCH(X7,WORLDCUP!$AI$6:$AI$97,0))</f>
        <v>0-0</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t="str">
        <f>IF(ISBLANK(INDEX(WORLDCUP!$AC$4:$AC$147,MATCH(A11,WORLDCUP!$AH$4:$AH$147,0))),"",INDEX(WORLDCUP!$AC$4:$AC$147,MATCH(A11,WORLDCUP!$AH$4:$AH$147,0)))</f>
        <v/>
      </c>
      <c r="E11" s="503" t="str">
        <f>IF(ISBLANK(INDEX(WORLDCUP!$AD$4:$AD$147,MATCH(A11,WORLDCUP!$AH$4:$AH$147,0))),"",INDEX(WORLDCUP!$AD$4:$AD$147,MATCH(A11,WORLDCUP!$AH$4:$AH$147,0)))</f>
        <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t="str">
        <f>IF(ISBLANK(INDEX(WORLDCUP!$AC$4:$AC$147,MATCH(M11,WORLDCUP!$AH$4:$AH$147,0))),"",INDEX(WORLDCUP!$AC$4:$AC$147,MATCH(M11,WORLDCUP!$AH$4:$AH$147,0)))</f>
        <v/>
      </c>
      <c r="Q11" s="503" t="str">
        <f>IF(ISBLANK(INDEX(WORLDCUP!$AD$4:$AD$147,MATCH(M11,WORLDCUP!$AH$4:$AH$147,0))),"",INDEX(WORLDCUP!$AD$4:$AD$147,MATCH(M11,WORLDCUP!$AH$4:$AH$147,0)))</f>
        <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t="str">
        <f>IF(ISBLANK(INDEX(WORLDCUP!$AC$4:$AC$147,MATCH(A12,WORLDCUP!$AH$4:$AH$147,0))),"",INDEX(WORLDCUP!$AC$4:$AC$147,MATCH(A12,WORLDCUP!$AH$4:$AH$147,0)))</f>
        <v/>
      </c>
      <c r="E12" s="530" t="str">
        <f>IF(ISBLANK(INDEX(WORLDCUP!$AD$4:$AD$147,MATCH(A12,WORLDCUP!$AH$4:$AH$147,0))),"",INDEX(WORLDCUP!$AD$4:$AD$147,MATCH(A12,WORLDCUP!$AH$4:$AH$147,0)))</f>
        <v/>
      </c>
      <c r="F12" s="531" t="str">
        <f ca="1">+MID(INDEX(WORLDCUP!$AF$4:$AF$147,MATCH(A12,WORLDCUP!$AH$4:$AH$147,0)),1,3)</f>
        <v>Sui</v>
      </c>
      <c r="G12" s="532">
        <v>1</v>
      </c>
      <c r="H12" s="533" t="str">
        <f ca="1">+MID(INDEX(WORLDCUP!$AL$6:$AL$97,MATCH(L12,WORLDCUP!$AI$6:$AI$97,0)),1,3)</f>
        <v>Can</v>
      </c>
      <c r="I12" s="534">
        <f ca="1">+INDEX(WORLDCUP!$AM$6:$AM$97,MATCH(L12,WORLDCUP!$AI$6:$AI$97,0))</f>
        <v>0</v>
      </c>
      <c r="J12" s="535">
        <f ca="1">+INDEX(WORLDCUP!$AT$6:$AT$97,MATCH(L12,WORLDCUP!$AI$6:$AI$97,0))</f>
        <v>0</v>
      </c>
      <c r="K12" s="536" t="str">
        <f ca="1">+INDEX(WORLDCUP!$AR$6:$AR$97,MATCH(L12,WORLDCUP!$AI$6:$AI$97,0))&amp;"-"&amp;INDEX(WORLDCUP!$AS$6:$AS$97,MATCH(L12,WORLDCUP!$AI$6:$AI$97,0))</f>
        <v>0-0</v>
      </c>
      <c r="L12" s="19" t="s">
        <v>648</v>
      </c>
      <c r="M12" s="19">
        <v>13</v>
      </c>
      <c r="N12" s="590"/>
      <c r="O12" s="529" t="str">
        <f ca="1">+MID(INDEX(WORLDCUP!$AA$4:$AA$147,MATCH(M12,WORLDCUP!$AH$4:$AH$147,0)),1,3)</f>
        <v>Ara</v>
      </c>
      <c r="P12" s="530" t="str">
        <f>IF(ISBLANK(INDEX(WORLDCUP!$AC$4:$AC$147,MATCH(M12,WORLDCUP!$AH$4:$AH$147,0))),"",INDEX(WORLDCUP!$AC$4:$AC$147,MATCH(M12,WORLDCUP!$AH$4:$AH$147,0)))</f>
        <v/>
      </c>
      <c r="Q12" s="530" t="str">
        <f>IF(ISBLANK(INDEX(WORLDCUP!$AD$4:$AD$147,MATCH(M12,WORLDCUP!$AH$4:$AH$147,0))),"",INDEX(WORLDCUP!$AD$4:$AD$147,MATCH(M12,WORLDCUP!$AH$4:$AH$147,0)))</f>
        <v/>
      </c>
      <c r="R12" s="531" t="str">
        <f ca="1">+MID(INDEX(WORLDCUP!$AF$4:$AF$147,MATCH(M12,WORLDCUP!$AH$4:$AH$147,0)),1,3)</f>
        <v>Uru</v>
      </c>
      <c r="S12" s="532">
        <v>1</v>
      </c>
      <c r="T12" s="533" t="str">
        <f ca="1">+MID(INDEX(WORLDCUP!$AL$6:$AL$97,MATCH(X12,WORLDCUP!$AI$6:$AI$97,0)),1,3)</f>
        <v>Esp</v>
      </c>
      <c r="U12" s="534">
        <f ca="1">+INDEX(WORLDCUP!$AM$6:$AM$97,MATCH(X12,WORLDCUP!$AI$6:$AI$97,0))</f>
        <v>0</v>
      </c>
      <c r="V12" s="535">
        <f ca="1">+INDEX(WORLDCUP!$AT$6:$AT$97,MATCH(X12,WORLDCUP!$AI$6:$AI$97,0))</f>
        <v>0</v>
      </c>
      <c r="W12" s="536" t="str">
        <f ca="1">+INDEX(WORLDCUP!$AR$6:$AR$97,MATCH(X12,WORLDCUP!$AI$6:$AI$97,0))&amp;"-"&amp;INDEX(WORLDCUP!$AS$6:$AS$97,MATCH(X12,WORLDCUP!$AI$6:$AI$97,0))</f>
        <v>0-0</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0</v>
      </c>
      <c r="J13" s="224">
        <f ca="1">+INDEX(WORLDCUP!$AT$6:$AT$97,MATCH(L13,WORLDCUP!$AI$6:$AI$97,0))</f>
        <v>0</v>
      </c>
      <c r="K13" s="225" t="str">
        <f ca="1">+INDEX(WORLDCUP!$AR$6:$AR$97,MATCH(L13,WORLDCUP!$AI$6:$AI$97,0))&amp;"-"&amp;INDEX(WORLDCUP!$AS$6:$AS$97,MATCH(L13,WORLDCUP!$AI$6:$AI$97,0))</f>
        <v>0-0</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Cab</v>
      </c>
      <c r="U13" s="223">
        <f ca="1">+INDEX(WORLDCUP!$AM$6:$AM$97,MATCH(X13,WORLDCUP!$AI$6:$AI$97,0))</f>
        <v>0</v>
      </c>
      <c r="V13" s="224">
        <f ca="1">+INDEX(WORLDCUP!$AT$6:$AT$97,MATCH(X13,WORLDCUP!$AI$6:$AI$97,0))</f>
        <v>0</v>
      </c>
      <c r="W13" s="225" t="str">
        <f ca="1">+INDEX(WORLDCUP!$AR$6:$AR$97,MATCH(X13,WORLDCUP!$AI$6:$AI$97,0))&amp;"-"&amp;INDEX(WORLDCUP!$AS$6:$AS$97,MATCH(X13,WORLDCUP!$AI$6:$AI$97,0))</f>
        <v>0-0</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0</v>
      </c>
      <c r="J14" s="224">
        <f ca="1">+INDEX(WORLDCUP!$AT$6:$AT$97,MATCH(L14,WORLDCUP!$AI$6:$AI$97,0))</f>
        <v>0</v>
      </c>
      <c r="K14" s="225" t="str">
        <f ca="1">+INDEX(WORLDCUP!$AR$6:$AR$97,MATCH(L14,WORLDCUP!$AI$6:$AI$97,0))&amp;"-"&amp;INDEX(WORLDCUP!$AS$6:$AS$97,MATCH(L14,WORLDCUP!$AI$6:$AI$97,0))</f>
        <v>0-0</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Ara</v>
      </c>
      <c r="U14" s="223">
        <f ca="1">+INDEX(WORLDCUP!$AM$6:$AM$97,MATCH(X14,WORLDCUP!$AI$6:$AI$97,0))</f>
        <v>0</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0</v>
      </c>
      <c r="J15" s="563">
        <f ca="1">+INDEX(WORLDCUP!$AT$6:$AT$97,MATCH(L15,WORLDCUP!$AI$6:$AI$97,0))</f>
        <v>0</v>
      </c>
      <c r="K15" s="564" t="str">
        <f ca="1">+INDEX(WORLDCUP!$AR$6:$AR$97,MATCH(L15,WORLDCUP!$AI$6:$AI$97,0))&amp;"-"&amp;INDEX(WORLDCUP!$AS$6:$AS$97,MATCH(L15,WORLDCUP!$AI$6:$AI$97,0))</f>
        <v>0-0</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Uru</v>
      </c>
      <c r="U15" s="562">
        <f ca="1">+INDEX(WORLDCUP!$AM$6:$AM$97,MATCH(X15,WORLDCUP!$AI$6:$AI$97,0))</f>
        <v>0</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t="str">
        <f>IF(ISBLANK(INDEX(WORLDCUP!$AC$4:$AC$147,MATCH(A19,WORLDCUP!$AH$4:$AH$147,0))),"",INDEX(WORLDCUP!$AC$4:$AC$147,MATCH(A19,WORLDCUP!$AH$4:$AH$147,0)))</f>
        <v/>
      </c>
      <c r="E19" s="503" t="str">
        <f>IF(ISBLANK(INDEX(WORLDCUP!$AD$4:$AD$147,MATCH(A19,WORLDCUP!$AH$4:$AH$147,0))),"",INDEX(WORLDCUP!$AD$4:$AD$147,MATCH(A19,WORLDCUP!$AH$4:$AH$147,0)))</f>
        <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t="str">
        <f>IF(ISBLANK(INDEX(WORLDCUP!$AC$4:$AC$147,MATCH(M19,WORLDCUP!$AH$4:$AH$147,0))),"",INDEX(WORLDCUP!$AC$4:$AC$147,MATCH(M19,WORLDCUP!$AH$4:$AH$147,0)))</f>
        <v/>
      </c>
      <c r="Q19" s="503" t="str">
        <f>IF(ISBLANK(INDEX(WORLDCUP!$AD$4:$AD$147,MATCH(M19,WORLDCUP!$AH$4:$AH$147,0))),"",INDEX(WORLDCUP!$AD$4:$AD$147,MATCH(M19,WORLDCUP!$AH$4:$AH$147,0)))</f>
        <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t="str">
        <f>IF(ISBLANK(INDEX(WORLDCUP!$AC$4:$AC$147,MATCH(A20,WORLDCUP!$AH$4:$AH$147,0))),"",INDEX(WORLDCUP!$AC$4:$AC$147,MATCH(A20,WORLDCUP!$AH$4:$AH$147,0)))</f>
        <v/>
      </c>
      <c r="E20" s="530" t="str">
        <f>IF(ISBLANK(INDEX(WORLDCUP!$AD$4:$AD$147,MATCH(A20,WORLDCUP!$AH$4:$AH$147,0))),"",INDEX(WORLDCUP!$AD$4:$AD$147,MATCH(A20,WORLDCUP!$AH$4:$AH$147,0)))</f>
        <v/>
      </c>
      <c r="F20" s="531" t="str">
        <f ca="1">+MID(INDEX(WORLDCUP!$AF$4:$AF$147,MATCH(A20,WORLDCUP!$AH$4:$AH$147,0)),1,3)</f>
        <v>Esc</v>
      </c>
      <c r="G20" s="532">
        <v>1</v>
      </c>
      <c r="H20" s="533" t="str">
        <f ca="1">+MID(INDEX(WORLDCUP!$AL$6:$AL$97,MATCH(L20,WORLDCUP!$AI$6:$AI$97,0)),1,3)</f>
        <v>Bra</v>
      </c>
      <c r="I20" s="534">
        <f ca="1">+INDEX(WORLDCUP!$AM$6:$AM$97,MATCH(L20,WORLDCUP!$AI$6:$AI$97,0))</f>
        <v>0</v>
      </c>
      <c r="J20" s="535">
        <f ca="1">+INDEX(WORLDCUP!$AT$6:$AT$97,MATCH(L20,WORLDCUP!$AI$6:$AI$97,0))</f>
        <v>0</v>
      </c>
      <c r="K20" s="536" t="str">
        <f ca="1">+INDEX(WORLDCUP!$AR$6:$AR$97,MATCH(L20,WORLDCUP!$AI$6:$AI$97,0))&amp;"-"&amp;INDEX(WORLDCUP!$AS$6:$AS$97,MATCH(L20,WORLDCUP!$AI$6:$AI$97,0))</f>
        <v>0-0</v>
      </c>
      <c r="L20" s="19" t="s">
        <v>651</v>
      </c>
      <c r="M20" s="19">
        <v>18</v>
      </c>
      <c r="N20" s="607"/>
      <c r="O20" s="529" t="str">
        <f ca="1">+MID(INDEX(WORLDCUP!$AA$4:$AA$147,MATCH(M20,WORLDCUP!$AH$4:$AH$147,0)),1,3)</f>
        <v>Ira</v>
      </c>
      <c r="P20" s="530" t="str">
        <f>IF(ISBLANK(INDEX(WORLDCUP!$AC$4:$AC$147,MATCH(M20,WORLDCUP!$AH$4:$AH$147,0))),"",INDEX(WORLDCUP!$AC$4:$AC$147,MATCH(M20,WORLDCUP!$AH$4:$AH$147,0)))</f>
        <v/>
      </c>
      <c r="Q20" s="530" t="str">
        <f>IF(ISBLANK(INDEX(WORLDCUP!$AD$4:$AD$147,MATCH(M20,WORLDCUP!$AH$4:$AH$147,0))),"",INDEX(WORLDCUP!$AD$4:$AD$147,MATCH(M20,WORLDCUP!$AH$4:$AH$147,0)))</f>
        <v/>
      </c>
      <c r="R20" s="531" t="str">
        <f ca="1">+MID(INDEX(WORLDCUP!$AF$4:$AF$147,MATCH(M20,WORLDCUP!$AH$4:$AH$147,0)),1,3)</f>
        <v>Nor</v>
      </c>
      <c r="S20" s="532">
        <v>1</v>
      </c>
      <c r="T20" s="533" t="str">
        <f ca="1">+MID(INDEX(WORLDCUP!$AL$6:$AL$97,MATCH(X20,WORLDCUP!$AI$6:$AI$97,0)),1,3)</f>
        <v>Fra</v>
      </c>
      <c r="U20" s="534">
        <f ca="1">+INDEX(WORLDCUP!$AM$6:$AM$97,MATCH(X20,WORLDCUP!$AI$6:$AI$97,0))</f>
        <v>0</v>
      </c>
      <c r="V20" s="535">
        <f ca="1">+INDEX(WORLDCUP!$AT$6:$AT$97,MATCH(X20,WORLDCUP!$AI$6:$AI$97,0))</f>
        <v>0</v>
      </c>
      <c r="W20" s="536" t="str">
        <f ca="1">+INDEX(WORLDCUP!$AR$6:$AR$97,MATCH(X20,WORLDCUP!$AI$6:$AI$97,0))&amp;"-"&amp;INDEX(WORLDCUP!$AS$6:$AS$97,MATCH(X20,WORLDCUP!$AI$6:$AI$97,0))</f>
        <v>0-0</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Mar</v>
      </c>
      <c r="I21" s="223">
        <f ca="1">+INDEX(WORLDCUP!$AM$6:$AM$97,MATCH(L21,WORLDCUP!$AI$6:$AI$97,0))</f>
        <v>0</v>
      </c>
      <c r="J21" s="224">
        <f ca="1">+INDEX(WORLDCUP!$AT$6:$AT$97,MATCH(L21,WORLDCUP!$AI$6:$AI$97,0))</f>
        <v>0</v>
      </c>
      <c r="K21" s="225" t="str">
        <f ca="1">+INDEX(WORLDCUP!$AR$6:$AR$97,MATCH(L21,WORLDCUP!$AI$6:$AI$97,0))&amp;"-"&amp;INDEX(WORLDCUP!$AS$6:$AS$97,MATCH(L21,WORLDCUP!$AI$6:$AI$97,0))</f>
        <v>0-0</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Sen</v>
      </c>
      <c r="U21" s="223">
        <f ca="1">+INDEX(WORLDCUP!$AM$6:$AM$97,MATCH(X21,WORLDCUP!$AI$6:$AI$97,0))</f>
        <v>0</v>
      </c>
      <c r="V21" s="224">
        <f ca="1">+INDEX(WORLDCUP!$AT$6:$AT$97,MATCH(X21,WORLDCUP!$AI$6:$AI$97,0))</f>
        <v>0</v>
      </c>
      <c r="W21" s="225" t="str">
        <f ca="1">+INDEX(WORLDCUP!$AR$6:$AR$97,MATCH(X21,WORLDCUP!$AI$6:$AI$97,0))&amp;"-"&amp;INDEX(WORLDCUP!$AS$6:$AS$97,MATCH(X21,WORLDCUP!$AI$6:$AI$97,0))</f>
        <v>0-0</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Hai</v>
      </c>
      <c r="I22" s="223">
        <f ca="1">+INDEX(WORLDCUP!$AM$6:$AM$97,MATCH(L22,WORLDCUP!$AI$6:$AI$97,0))</f>
        <v>0</v>
      </c>
      <c r="J22" s="224">
        <f ca="1">+INDEX(WORLDCUP!$AT$6:$AT$97,MATCH(L22,WORLDCUP!$AI$6:$AI$97,0))</f>
        <v>0</v>
      </c>
      <c r="K22" s="225" t="str">
        <f ca="1">+INDEX(WORLDCUP!$AR$6:$AR$97,MATCH(L22,WORLDCUP!$AI$6:$AI$97,0))&amp;"-"&amp;INDEX(WORLDCUP!$AS$6:$AS$97,MATCH(L22,WORLDCUP!$AI$6:$AI$97,0))</f>
        <v>0-0</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Ira</v>
      </c>
      <c r="U22" s="223">
        <f ca="1">+INDEX(WORLDCUP!$AM$6:$AM$97,MATCH(X22,WORLDCUP!$AI$6:$AI$97,0))</f>
        <v>0</v>
      </c>
      <c r="V22" s="224">
        <f ca="1">+INDEX(WORLDCUP!$AT$6:$AT$97,MATCH(X22,WORLDCUP!$AI$6:$AI$97,0))</f>
        <v>0</v>
      </c>
      <c r="W22" s="225" t="str">
        <f ca="1">+INDEX(WORLDCUP!$AR$6:$AR$97,MATCH(X22,WORLDCUP!$AI$6:$AI$97,0))&amp;"-"&amp;INDEX(WORLDCUP!$AS$6:$AS$97,MATCH(X22,WORLDCUP!$AI$6:$AI$97,0))</f>
        <v>0-0</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Esc</v>
      </c>
      <c r="I23" s="562">
        <f ca="1">+INDEX(WORLDCUP!$AM$6:$AM$97,MATCH(L23,WORLDCUP!$AI$6:$AI$97,0))</f>
        <v>0</v>
      </c>
      <c r="J23" s="563">
        <f ca="1">+INDEX(WORLDCUP!$AT$6:$AT$97,MATCH(L23,WORLDCUP!$AI$6:$AI$97,0))</f>
        <v>0</v>
      </c>
      <c r="K23" s="564" t="str">
        <f ca="1">+INDEX(WORLDCUP!$AR$6:$AR$97,MATCH(L23,WORLDCUP!$AI$6:$AI$97,0))&amp;"-"&amp;INDEX(WORLDCUP!$AS$6:$AS$97,MATCH(L23,WORLDCUP!$AI$6:$AI$97,0))</f>
        <v>0-0</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Nor</v>
      </c>
      <c r="U23" s="562">
        <f ca="1">+INDEX(WORLDCUP!$AM$6:$AM$97,MATCH(X23,WORLDCUP!$AI$6:$AI$97,0))</f>
        <v>0</v>
      </c>
      <c r="V23" s="563">
        <f ca="1">+INDEX(WORLDCUP!$AT$6:$AT$97,MATCH(X23,WORLDCUP!$AI$6:$AI$97,0))</f>
        <v>0</v>
      </c>
      <c r="W23" s="564" t="str">
        <f ca="1">+INDEX(WORLDCUP!$AR$6:$AR$97,MATCH(X23,WORLDCUP!$AI$6:$AI$97,0))&amp;"-"&amp;INDEX(WORLDCUP!$AS$6:$AS$97,MATCH(X23,WORLDCUP!$AI$6:$AI$97,0))</f>
        <v>0-0</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t="str">
        <f>IF(ISBLANK(INDEX(WORLDCUP!$AC$4:$AC$147,MATCH(A27,WORLDCUP!$AH$4:$AH$147,0))),"",INDEX(WORLDCUP!$AC$4:$AC$147,MATCH(A27,WORLDCUP!$AH$4:$AH$147,0)))</f>
        <v/>
      </c>
      <c r="E27" s="503" t="str">
        <f>IF(ISBLANK(INDEX(WORLDCUP!$AD$4:$AD$147,MATCH(A27,WORLDCUP!$AH$4:$AH$147,0))),"",INDEX(WORLDCUP!$AD$4:$AD$147,MATCH(A27,WORLDCUP!$AH$4:$AH$147,0)))</f>
        <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t="str">
        <f>IF(ISBLANK(INDEX(WORLDCUP!$AC$4:$AC$147,MATCH(M27,WORLDCUP!$AH$4:$AH$147,0))),"",INDEX(WORLDCUP!$AC$4:$AC$147,MATCH(M27,WORLDCUP!$AH$4:$AH$147,0)))</f>
        <v/>
      </c>
      <c r="Q27" s="503" t="str">
        <f>IF(ISBLANK(INDEX(WORLDCUP!$AD$4:$AD$147,MATCH(M27,WORLDCUP!$AH$4:$AH$147,0))),"",INDEX(WORLDCUP!$AD$4:$AD$147,MATCH(M27,WORLDCUP!$AH$4:$AH$147,0)))</f>
        <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t="str">
        <f>IF(ISBLANK(INDEX(WORLDCUP!$AC$4:$AC$147,MATCH(A28,WORLDCUP!$AH$4:$AH$147,0))),"",INDEX(WORLDCUP!$AC$4:$AC$147,MATCH(A28,WORLDCUP!$AH$4:$AH$147,0)))</f>
        <v/>
      </c>
      <c r="E28" s="530" t="str">
        <f>IF(ISBLANK(INDEX(WORLDCUP!$AD$4:$AD$147,MATCH(A28,WORLDCUP!$AH$4:$AH$147,0))),"",INDEX(WORLDCUP!$AD$4:$AD$147,MATCH(A28,WORLDCUP!$AH$4:$AH$147,0)))</f>
        <v/>
      </c>
      <c r="F28" s="531" t="str">
        <f ca="1">+MID(INDEX(WORLDCUP!$AF$4:$AF$147,MATCH(A28,WORLDCUP!$AH$4:$AH$147,0)),1,3)</f>
        <v>Tur</v>
      </c>
      <c r="G28" s="532">
        <v>1</v>
      </c>
      <c r="H28" s="533" t="str">
        <f ca="1">+MID(INDEX(WORLDCUP!$AL$6:$AL$97,MATCH(L28,WORLDCUP!$AI$6:$AI$97,0)),1,3)</f>
        <v>Est</v>
      </c>
      <c r="I28" s="534">
        <f ca="1">+INDEX(WORLDCUP!$AM$6:$AM$97,MATCH(L28,WORLDCUP!$AI$6:$AI$97,0))</f>
        <v>0</v>
      </c>
      <c r="J28" s="535">
        <f ca="1">+INDEX(WORLDCUP!$AT$6:$AT$97,MATCH(L28,WORLDCUP!$AI$6:$AI$97,0))</f>
        <v>0</v>
      </c>
      <c r="K28" s="536" t="str">
        <f ca="1">+INDEX(WORLDCUP!$AR$6:$AR$97,MATCH(L28,WORLDCUP!$AI$6:$AI$97,0))&amp;"-"&amp;INDEX(WORLDCUP!$AS$6:$AS$97,MATCH(L28,WORLDCUP!$AI$6:$AI$97,0))</f>
        <v>0-0</v>
      </c>
      <c r="L28" s="19" t="s">
        <v>658</v>
      </c>
      <c r="M28" s="19">
        <v>20</v>
      </c>
      <c r="N28" s="631"/>
      <c r="O28" s="529" t="str">
        <f ca="1">+MID(INDEX(WORLDCUP!$AA$4:$AA$147,MATCH(M28,WORLDCUP!$AH$4:$AH$147,0)),1,3)</f>
        <v>Aus</v>
      </c>
      <c r="P28" s="530" t="str">
        <f>IF(ISBLANK(INDEX(WORLDCUP!$AC$4:$AC$147,MATCH(M28,WORLDCUP!$AH$4:$AH$147,0))),"",INDEX(WORLDCUP!$AC$4:$AC$147,MATCH(M28,WORLDCUP!$AH$4:$AH$147,0)))</f>
        <v/>
      </c>
      <c r="Q28" s="530" t="str">
        <f>IF(ISBLANK(INDEX(WORLDCUP!$AD$4:$AD$147,MATCH(M28,WORLDCUP!$AH$4:$AH$147,0))),"",INDEX(WORLDCUP!$AD$4:$AD$147,MATCH(M28,WORLDCUP!$AH$4:$AH$147,0)))</f>
        <v/>
      </c>
      <c r="R28" s="531" t="str">
        <f ca="1">+MID(INDEX(WORLDCUP!$AF$4:$AF$147,MATCH(M28,WORLDCUP!$AH$4:$AH$147,0)),1,3)</f>
        <v>Jor</v>
      </c>
      <c r="S28" s="532">
        <v>1</v>
      </c>
      <c r="T28" s="533" t="str">
        <f ca="1">+MID(INDEX(WORLDCUP!$AL$6:$AL$97,MATCH(X28,WORLDCUP!$AI$6:$AI$97,0)),1,3)</f>
        <v>Arg</v>
      </c>
      <c r="U28" s="534">
        <f ca="1">+INDEX(WORLDCUP!$AM$6:$AM$97,MATCH(X28,WORLDCUP!$AI$6:$AI$97,0))</f>
        <v>0</v>
      </c>
      <c r="V28" s="535">
        <f ca="1">+INDEX(WORLDCUP!$AT$6:$AT$97,MATCH(X28,WORLDCUP!$AI$6:$AI$97,0))</f>
        <v>0</v>
      </c>
      <c r="W28" s="536" t="str">
        <f ca="1">+INDEX(WORLDCUP!$AR$6:$AR$97,MATCH(X28,WORLDCUP!$AI$6:$AI$97,0))&amp;"-"&amp;INDEX(WORLDCUP!$AS$6:$AS$97,MATCH(X28,WORLDCUP!$AI$6:$AI$97,0))</f>
        <v>0-0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Par</v>
      </c>
      <c r="I29" s="223">
        <f ca="1">+INDEX(WORLDCUP!$AM$6:$AM$97,MATCH(L29,WORLDCUP!$AI$6:$AI$97,0))</f>
        <v>0</v>
      </c>
      <c r="J29" s="224">
        <f ca="1">+INDEX(WORLDCUP!$AT$6:$AT$97,MATCH(L29,WORLDCUP!$AI$6:$AI$97,0))</f>
        <v>0</v>
      </c>
      <c r="K29" s="225" t="str">
        <f ca="1">+INDEX(WORLDCUP!$AR$6:$AR$97,MATCH(L29,WORLDCUP!$AI$6:$AI$97,0))&amp;"-"&amp;INDEX(WORLDCUP!$AS$6:$AS$97,MATCH(L29,WORLDCUP!$AI$6:$AI$97,0))</f>
        <v>0-0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Arg</v>
      </c>
      <c r="U29" s="223">
        <f ca="1">+INDEX(WORLDCUP!$AM$6:$AM$97,MATCH(X29,WORLDCUP!$AI$6:$AI$97,0))</f>
        <v>0</v>
      </c>
      <c r="V29" s="224">
        <f ca="1">+INDEX(WORLDCUP!$AT$6:$AT$97,MATCH(X29,WORLDCUP!$AI$6:$AI$97,0))</f>
        <v>0</v>
      </c>
      <c r="W29" s="225" t="str">
        <f ca="1">+INDEX(WORLDCUP!$AR$6:$AR$97,MATCH(X29,WORLDCUP!$AI$6:$AI$97,0))&amp;"-"&amp;INDEX(WORLDCUP!$AS$6:$AS$97,MATCH(X29,WORLDCUP!$AI$6:$AI$97,0))</f>
        <v>0-0</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Aus</v>
      </c>
      <c r="I30" s="223">
        <f ca="1">+INDEX(WORLDCUP!$AM$6:$AM$97,MATCH(L30,WORLDCUP!$AI$6:$AI$97,0))</f>
        <v>0</v>
      </c>
      <c r="J30" s="224">
        <f ca="1">+INDEX(WORLDCUP!$AT$6:$AT$97,MATCH(L30,WORLDCUP!$AI$6:$AI$97,0))</f>
        <v>0</v>
      </c>
      <c r="K30" s="225" t="str">
        <f ca="1">+INDEX(WORLDCUP!$AR$6:$AR$97,MATCH(L30,WORLDCUP!$AI$6:$AI$97,0))&amp;"-"&amp;INDEX(WORLDCUP!$AS$6:$AS$97,MATCH(L30,WORLDCUP!$AI$6:$AI$97,0))</f>
        <v>0-0</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Aus</v>
      </c>
      <c r="U30" s="223">
        <f ca="1">+INDEX(WORLDCUP!$AM$6:$AM$97,MATCH(X30,WORLDCUP!$AI$6:$AI$97,0))</f>
        <v>0</v>
      </c>
      <c r="V30" s="224">
        <f ca="1">+INDEX(WORLDCUP!$AT$6:$AT$97,MATCH(X30,WORLDCUP!$AI$6:$AI$97,0))</f>
        <v>0</v>
      </c>
      <c r="W30" s="225" t="str">
        <f ca="1">+INDEX(WORLDCUP!$AR$6:$AR$97,MATCH(X30,WORLDCUP!$AI$6:$AI$97,0))&amp;"-"&amp;INDEX(WORLDCUP!$AS$6:$AS$97,MATCH(X30,WORLDCUP!$AI$6:$AI$97,0))</f>
        <v>0-0</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Tur</v>
      </c>
      <c r="I31" s="562">
        <f ca="1">+INDEX(WORLDCUP!$AM$6:$AM$97,MATCH(L31,WORLDCUP!$AI$6:$AI$97,0))</f>
        <v>0</v>
      </c>
      <c r="J31" s="563">
        <f ca="1">+INDEX(WORLDCUP!$AT$6:$AT$97,MATCH(L31,WORLDCUP!$AI$6:$AI$97,0))</f>
        <v>0</v>
      </c>
      <c r="K31" s="564" t="str">
        <f ca="1">+INDEX(WORLDCUP!$AR$6:$AR$97,MATCH(L31,WORLDCUP!$AI$6:$AI$97,0))&amp;"-"&amp;INDEX(WORLDCUP!$AS$6:$AS$97,MATCH(L31,WORLDCUP!$AI$6:$AI$97,0))</f>
        <v>0-0</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Jor</v>
      </c>
      <c r="U31" s="562">
        <f ca="1">+INDEX(WORLDCUP!$AM$6:$AM$97,MATCH(X31,WORLDCUP!$AI$6:$AI$97,0))</f>
        <v>0</v>
      </c>
      <c r="V31" s="563">
        <f ca="1">+INDEX(WORLDCUP!$AT$6:$AT$97,MATCH(X31,WORLDCUP!$AI$6:$AI$97,0))</f>
        <v>0</v>
      </c>
      <c r="W31" s="564" t="str">
        <f ca="1">+INDEX(WORLDCUP!$AR$6:$AR$97,MATCH(X31,WORLDCUP!$AI$6:$AI$97,0))&amp;"-"&amp;INDEX(WORLDCUP!$AS$6:$AS$97,MATCH(X31,WORLDCUP!$AI$6:$AI$97,0))</f>
        <v>0-0</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t="str">
        <f>IF(ISBLANK(INDEX(WORLDCUP!$AC$4:$AC$147,MATCH(A35,WORLDCUP!$AH$4:$AH$147,0))),"",INDEX(WORLDCUP!$AC$4:$AC$147,MATCH(A35,WORLDCUP!$AH$4:$AH$147,0)))</f>
        <v/>
      </c>
      <c r="E35" s="503" t="str">
        <f>IF(ISBLANK(INDEX(WORLDCUP!$AD$4:$AD$147,MATCH(A35,WORLDCUP!$AH$4:$AH$147,0))),"",INDEX(WORLDCUP!$AD$4:$AD$147,MATCH(A35,WORLDCUP!$AH$4:$AH$147,0)))</f>
        <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t="str">
        <f>IF(ISBLANK(INDEX(WORLDCUP!$AC$4:$AC$147,MATCH(M35,WORLDCUP!$AH$4:$AH$147,0))),"",INDEX(WORLDCUP!$AC$4:$AC$147,MATCH(M35,WORLDCUP!$AH$4:$AH$147,0)))</f>
        <v/>
      </c>
      <c r="Q35" s="503" t="str">
        <f>IF(ISBLANK(INDEX(WORLDCUP!$AD$4:$AD$147,MATCH(M35,WORLDCUP!$AH$4:$AH$147,0))),"",INDEX(WORLDCUP!$AD$4:$AD$147,MATCH(M35,WORLDCUP!$AH$4:$AH$147,0)))</f>
        <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t="str">
        <f>IF(ISBLANK(INDEX(WORLDCUP!$AC$4:$AC$147,MATCH(A36,WORLDCUP!$AH$4:$AH$147,0))),"",INDEX(WORLDCUP!$AC$4:$AC$147,MATCH(A36,WORLDCUP!$AH$4:$AH$147,0)))</f>
        <v/>
      </c>
      <c r="E36" s="530" t="str">
        <f>IF(ISBLANK(INDEX(WORLDCUP!$AD$4:$AD$147,MATCH(A36,WORLDCUP!$AH$4:$AH$147,0))),"",INDEX(WORLDCUP!$AD$4:$AD$147,MATCH(A36,WORLDCUP!$AH$4:$AH$147,0)))</f>
        <v/>
      </c>
      <c r="F36" s="531" t="str">
        <f ca="1">+MID(INDEX(WORLDCUP!$AF$4:$AF$147,MATCH(A36,WORLDCUP!$AH$4:$AH$147,0)),1,3)</f>
        <v>Ecu</v>
      </c>
      <c r="G36" s="532">
        <v>1</v>
      </c>
      <c r="H36" s="533" t="str">
        <f ca="1">+MID(INDEX(WORLDCUP!$AL$6:$AL$97,MATCH(L36,WORLDCUP!$AI$6:$AI$97,0)),1,3)</f>
        <v>Ale</v>
      </c>
      <c r="I36" s="534">
        <f ca="1">+INDEX(WORLDCUP!$AM$6:$AM$97,MATCH(L36,WORLDCUP!$AI$6:$AI$97,0))</f>
        <v>0</v>
      </c>
      <c r="J36" s="535">
        <f ca="1">+INDEX(WORLDCUP!$AT$6:$AT$97,MATCH(L36,WORLDCUP!$AI$6:$AI$97,0))</f>
        <v>0</v>
      </c>
      <c r="K36" s="536" t="str">
        <f ca="1">+INDEX(WORLDCUP!$AR$6:$AR$97,MATCH(L36,WORLDCUP!$AI$6:$AI$97,0))&amp;"-"&amp;INDEX(WORLDCUP!$AS$6:$AS$97,MATCH(L36,WORLDCUP!$AI$6:$AI$97,0))</f>
        <v>0-0</v>
      </c>
      <c r="L36" s="19" t="s">
        <v>661</v>
      </c>
      <c r="M36" s="19">
        <v>24</v>
      </c>
      <c r="N36" s="647"/>
      <c r="O36" s="529" t="str">
        <f ca="1">+MID(INDEX(WORLDCUP!$AA$4:$AA$147,MATCH(M36,WORLDCUP!$AH$4:$AH$147,0)),1,3)</f>
        <v>Uzb</v>
      </c>
      <c r="P36" s="530" t="str">
        <f>IF(ISBLANK(INDEX(WORLDCUP!$AC$4:$AC$147,MATCH(M36,WORLDCUP!$AH$4:$AH$147,0))),"",INDEX(WORLDCUP!$AC$4:$AC$147,MATCH(M36,WORLDCUP!$AH$4:$AH$147,0)))</f>
        <v/>
      </c>
      <c r="Q36" s="530" t="str">
        <f>IF(ISBLANK(INDEX(WORLDCUP!$AD$4:$AD$147,MATCH(M36,WORLDCUP!$AH$4:$AH$147,0))),"",INDEX(WORLDCUP!$AD$4:$AD$147,MATCH(M36,WORLDCUP!$AH$4:$AH$147,0)))</f>
        <v/>
      </c>
      <c r="R36" s="531" t="str">
        <f ca="1">+MID(INDEX(WORLDCUP!$AF$4:$AF$147,MATCH(M36,WORLDCUP!$AH$4:$AH$147,0)),1,3)</f>
        <v>Col</v>
      </c>
      <c r="S36" s="532">
        <v>1</v>
      </c>
      <c r="T36" s="533" t="str">
        <f ca="1">+MID(INDEX(WORLDCUP!$AL$6:$AL$97,MATCH(X36,WORLDCUP!$AI$6:$AI$97,0)),1,3)</f>
        <v>Por</v>
      </c>
      <c r="U36" s="534">
        <f ca="1">+INDEX(WORLDCUP!$AM$6:$AM$97,MATCH(X36,WORLDCUP!$AI$6:$AI$97,0))</f>
        <v>0</v>
      </c>
      <c r="V36" s="535">
        <f ca="1">+INDEX(WORLDCUP!$AT$6:$AT$97,MATCH(X36,WORLDCUP!$AI$6:$AI$97,0))</f>
        <v>0</v>
      </c>
      <c r="W36" s="536" t="str">
        <f ca="1">+INDEX(WORLDCUP!$AR$6:$AR$97,MATCH(X36,WORLDCUP!$AI$6:$AI$97,0))&amp;"-"&amp;INDEX(WORLDCUP!$AS$6:$AS$97,MATCH(X36,WORLDCUP!$AI$6:$AI$97,0))</f>
        <v>0-0</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Cur</v>
      </c>
      <c r="I37" s="223">
        <f ca="1">+INDEX(WORLDCUP!$AM$6:$AM$97,MATCH(L37,WORLDCUP!$AI$6:$AI$97,0))</f>
        <v>0</v>
      </c>
      <c r="J37" s="224">
        <f ca="1">+INDEX(WORLDCUP!$AT$6:$AT$97,MATCH(L37,WORLDCUP!$AI$6:$AI$97,0))</f>
        <v>0</v>
      </c>
      <c r="K37" s="225" t="str">
        <f ca="1">+INDEX(WORLDCUP!$AR$6:$AR$97,MATCH(L37,WORLDCUP!$AI$6:$AI$97,0))&amp;"-"&amp;INDEX(WORLDCUP!$AS$6:$AS$97,MATCH(L37,WORLDCUP!$AI$6:$AI$97,0))</f>
        <v>0-0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 xml:space="preserve">RD </v>
      </c>
      <c r="U37" s="223">
        <f ca="1">+INDEX(WORLDCUP!$AM$6:$AM$97,MATCH(X37,WORLDCUP!$AI$6:$AI$97,0))</f>
        <v>0</v>
      </c>
      <c r="V37" s="224">
        <f ca="1">+INDEX(WORLDCUP!$AT$6:$AT$97,MATCH(X37,WORLDCUP!$AI$6:$AI$97,0))</f>
        <v>0</v>
      </c>
      <c r="W37" s="225" t="str">
        <f ca="1">+INDEX(WORLDCUP!$AR$6:$AR$97,MATCH(X37,WORLDCUP!$AI$6:$AI$97,0))&amp;"-"&amp;INDEX(WORLDCUP!$AS$6:$AS$97,MATCH(X37,WORLDCUP!$AI$6:$AI$97,0))</f>
        <v>0-0</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Cos</v>
      </c>
      <c r="I38" s="223">
        <f ca="1">+INDEX(WORLDCUP!$AM$6:$AM$97,MATCH(L38,WORLDCUP!$AI$6:$AI$97,0))</f>
        <v>0</v>
      </c>
      <c r="J38" s="224">
        <f ca="1">+INDEX(WORLDCUP!$AT$6:$AT$97,MATCH(L38,WORLDCUP!$AI$6:$AI$97,0))</f>
        <v>0</v>
      </c>
      <c r="K38" s="225" t="str">
        <f ca="1">+INDEX(WORLDCUP!$AR$6:$AR$97,MATCH(L38,WORLDCUP!$AI$6:$AI$97,0))&amp;"-"&amp;INDEX(WORLDCUP!$AS$6:$AS$97,MATCH(L38,WORLDCUP!$AI$6:$AI$97,0))</f>
        <v>0-0</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Uzb</v>
      </c>
      <c r="U38" s="223">
        <f ca="1">+INDEX(WORLDCUP!$AM$6:$AM$97,MATCH(X38,WORLDCUP!$AI$6:$AI$97,0))</f>
        <v>0</v>
      </c>
      <c r="V38" s="224">
        <f ca="1">+INDEX(WORLDCUP!$AT$6:$AT$97,MATCH(X38,WORLDCUP!$AI$6:$AI$97,0))</f>
        <v>0</v>
      </c>
      <c r="W38" s="225" t="str">
        <f ca="1">+INDEX(WORLDCUP!$AR$6:$AR$97,MATCH(X38,WORLDCUP!$AI$6:$AI$97,0))&amp;"-"&amp;INDEX(WORLDCUP!$AS$6:$AS$97,MATCH(X38,WORLDCUP!$AI$6:$AI$97,0))</f>
        <v>0-0</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Ecu</v>
      </c>
      <c r="I39" s="562">
        <f ca="1">+INDEX(WORLDCUP!$AM$6:$AM$97,MATCH(L39,WORLDCUP!$AI$6:$AI$97,0))</f>
        <v>0</v>
      </c>
      <c r="J39" s="563">
        <f ca="1">+INDEX(WORLDCUP!$AT$6:$AT$97,MATCH(L39,WORLDCUP!$AI$6:$AI$97,0))</f>
        <v>0</v>
      </c>
      <c r="K39" s="564" t="str">
        <f ca="1">+INDEX(WORLDCUP!$AR$6:$AR$97,MATCH(L39,WORLDCUP!$AI$6:$AI$97,0))&amp;"-"&amp;INDEX(WORLDCUP!$AS$6:$AS$97,MATCH(L39,WORLDCUP!$AI$6:$AI$97,0))</f>
        <v>0-0</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Col</v>
      </c>
      <c r="U39" s="562">
        <f ca="1">+INDEX(WORLDCUP!$AM$6:$AM$97,MATCH(X39,WORLDCUP!$AI$6:$AI$97,0))</f>
        <v>0</v>
      </c>
      <c r="V39" s="563">
        <f ca="1">+INDEX(WORLDCUP!$AT$6:$AT$97,MATCH(X39,WORLDCUP!$AI$6:$AI$97,0))</f>
        <v>0</v>
      </c>
      <c r="W39" s="564" t="str">
        <f ca="1">+INDEX(WORLDCUP!$AR$6:$AR$97,MATCH(X39,WORLDCUP!$AI$6:$AI$97,0))&amp;"-"&amp;INDEX(WORLDCUP!$AS$6:$AS$97,MATCH(X39,WORLDCUP!$AI$6:$AI$97,0))</f>
        <v>0-0</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t="str">
        <f>IF(ISBLANK(INDEX(WORLDCUP!$AC$4:$AC$147,MATCH(A43,WORLDCUP!$AH$4:$AH$147,0))),"",INDEX(WORLDCUP!$AC$4:$AC$147,MATCH(A43,WORLDCUP!$AH$4:$AH$147,0)))</f>
        <v/>
      </c>
      <c r="E43" s="503" t="str">
        <f>IF(ISBLANK(INDEX(WORLDCUP!$AD$4:$AD$147,MATCH(A43,WORLDCUP!$AH$4:$AH$147,0))),"",INDEX(WORLDCUP!$AD$4:$AD$147,MATCH(A43,WORLDCUP!$AH$4:$AH$147,0)))</f>
        <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t="str">
        <f>IF(ISBLANK(INDEX(WORLDCUP!$AC$4:$AC$147,MATCH(M43,WORLDCUP!$AH$4:$AH$147,0))),"",INDEX(WORLDCUP!$AC$4:$AC$147,MATCH(M43,WORLDCUP!$AH$4:$AH$147,0)))</f>
        <v/>
      </c>
      <c r="Q43" s="503" t="str">
        <f>IF(ISBLANK(INDEX(WORLDCUP!$AD$4:$AD$147,MATCH(M43,WORLDCUP!$AH$4:$AH$147,0))),"",INDEX(WORLDCUP!$AD$4:$AD$147,MATCH(M43,WORLDCUP!$AH$4:$AH$147,0)))</f>
        <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t="str">
        <f>IF(ISBLANK(INDEX(WORLDCUP!$AC$4:$AC$147,MATCH(A44,WORLDCUP!$AH$4:$AH$147,0))),"",INDEX(WORLDCUP!$AC$4:$AC$147,MATCH(A44,WORLDCUP!$AH$4:$AH$147,0)))</f>
        <v/>
      </c>
      <c r="E44" s="530" t="str">
        <f>IF(ISBLANK(INDEX(WORLDCUP!$AD$4:$AD$147,MATCH(A44,WORLDCUP!$AH$4:$AH$147,0))),"",INDEX(WORLDCUP!$AD$4:$AD$147,MATCH(A44,WORLDCUP!$AH$4:$AH$147,0)))</f>
        <v/>
      </c>
      <c r="F44" s="531" t="str">
        <f ca="1">+MID(INDEX(WORLDCUP!$AF$4:$AF$147,MATCH(A44,WORLDCUP!$AH$4:$AH$147,0)),1,3)</f>
        <v>Tún</v>
      </c>
      <c r="G44" s="532">
        <v>1</v>
      </c>
      <c r="H44" s="533" t="str">
        <f ca="1">+MID(INDEX(WORLDCUP!$AL$6:$AL$97,MATCH(L44,WORLDCUP!$AI$6:$AI$97,0)),1,3)</f>
        <v>Paí</v>
      </c>
      <c r="I44" s="534">
        <f ca="1">+INDEX(WORLDCUP!$AM$6:$AM$97,MATCH(L44,WORLDCUP!$AI$6:$AI$97,0))</f>
        <v>0</v>
      </c>
      <c r="J44" s="535">
        <f ca="1">+INDEX(WORLDCUP!$AT$6:$AT$97,MATCH(L44,WORLDCUP!$AI$6:$AI$97,0))</f>
        <v>0</v>
      </c>
      <c r="K44" s="536" t="str">
        <f ca="1">+INDEX(WORLDCUP!$AR$6:$AR$97,MATCH(L44,WORLDCUP!$AI$6:$AI$97,0))&amp;"-"&amp;INDEX(WORLDCUP!$AS$6:$AS$97,MATCH(L44,WORLDCUP!$AI$6:$AI$97,0))</f>
        <v>0-0</v>
      </c>
      <c r="L44" s="19" t="s">
        <v>664</v>
      </c>
      <c r="M44" s="19">
        <v>21</v>
      </c>
      <c r="N44" s="654"/>
      <c r="O44" s="529" t="str">
        <f ca="1">+MID(INDEX(WORLDCUP!$AA$4:$AA$147,MATCH(M44,WORLDCUP!$AH$4:$AH$147,0)),1,3)</f>
        <v>Gha</v>
      </c>
      <c r="P44" s="530" t="str">
        <f>IF(ISBLANK(INDEX(WORLDCUP!$AC$4:$AC$147,MATCH(M44,WORLDCUP!$AH$4:$AH$147,0))),"",INDEX(WORLDCUP!$AC$4:$AC$147,MATCH(M44,WORLDCUP!$AH$4:$AH$147,0)))</f>
        <v/>
      </c>
      <c r="Q44" s="530" t="str">
        <f>IF(ISBLANK(INDEX(WORLDCUP!$AD$4:$AD$147,MATCH(M44,WORLDCUP!$AH$4:$AH$147,0))),"",INDEX(WORLDCUP!$AD$4:$AD$147,MATCH(M44,WORLDCUP!$AH$4:$AH$147,0)))</f>
        <v/>
      </c>
      <c r="R44" s="531" t="str">
        <f ca="1">+MID(INDEX(WORLDCUP!$AF$4:$AF$147,MATCH(M44,WORLDCUP!$AH$4:$AH$147,0)),1,3)</f>
        <v>Pan</v>
      </c>
      <c r="S44" s="532">
        <v>1</v>
      </c>
      <c r="T44" s="533" t="str">
        <f ca="1">+MID(INDEX(WORLDCUP!$AL$6:$AL$97,MATCH(X44,WORLDCUP!$AI$6:$AI$97,0)),1,3)</f>
        <v>Ing</v>
      </c>
      <c r="U44" s="534">
        <f ca="1">+INDEX(WORLDCUP!$AM$6:$AM$97,MATCH(X44,WORLDCUP!$AI$6:$AI$97,0))</f>
        <v>0</v>
      </c>
      <c r="V44" s="535">
        <f ca="1">+INDEX(WORLDCUP!$AT$6:$AT$97,MATCH(X44,WORLDCUP!$AI$6:$AI$97,0))</f>
        <v>0</v>
      </c>
      <c r="W44" s="536" t="str">
        <f ca="1">+INDEX(WORLDCUP!$AR$6:$AR$97,MATCH(X44,WORLDCUP!$AI$6:$AI$97,0))&amp;"-"&amp;INDEX(WORLDCUP!$AS$6:$AS$97,MATCH(X44,WORLDCUP!$AI$6:$AI$97,0))</f>
        <v>0-0</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Jap</v>
      </c>
      <c r="I45" s="223">
        <f ca="1">+INDEX(WORLDCUP!$AM$6:$AM$97,MATCH(L45,WORLDCUP!$AI$6:$AI$97,0))</f>
        <v>0</v>
      </c>
      <c r="J45" s="224">
        <f ca="1">+INDEX(WORLDCUP!$AT$6:$AT$97,MATCH(L45,WORLDCUP!$AI$6:$AI$97,0))</f>
        <v>0</v>
      </c>
      <c r="K45" s="225" t="str">
        <f ca="1">+INDEX(WORLDCUP!$AR$6:$AR$97,MATCH(L45,WORLDCUP!$AI$6:$AI$97,0))&amp;"-"&amp;INDEX(WORLDCUP!$AS$6:$AS$97,MATCH(L45,WORLDCUP!$AI$6:$AI$97,0))</f>
        <v>0-0</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Cro</v>
      </c>
      <c r="U45" s="223">
        <f ca="1">+INDEX(WORLDCUP!$AM$6:$AM$97,MATCH(X45,WORLDCUP!$AI$6:$AI$97,0))</f>
        <v>0</v>
      </c>
      <c r="V45" s="224">
        <f ca="1">+INDEX(WORLDCUP!$AT$6:$AT$97,MATCH(X45,WORLDCUP!$AI$6:$AI$97,0))</f>
        <v>0</v>
      </c>
      <c r="W45" s="225" t="str">
        <f ca="1">+INDEX(WORLDCUP!$AR$6:$AR$97,MATCH(X45,WORLDCUP!$AI$6:$AI$97,0))&amp;"-"&amp;INDEX(WORLDCUP!$AS$6:$AS$97,MATCH(X45,WORLDCUP!$AI$6:$AI$97,0))</f>
        <v>0-0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Sue</v>
      </c>
      <c r="I46" s="223">
        <f ca="1">+INDEX(WORLDCUP!$AM$6:$AM$97,MATCH(L46,WORLDCUP!$AI$6:$AI$97,0))</f>
        <v>0</v>
      </c>
      <c r="J46" s="224">
        <f ca="1">+INDEX(WORLDCUP!$AT$6:$AT$97,MATCH(L46,WORLDCUP!$AI$6:$AI$97,0))</f>
        <v>0</v>
      </c>
      <c r="K46" s="225" t="str">
        <f ca="1">+INDEX(WORLDCUP!$AR$6:$AR$97,MATCH(L46,WORLDCUP!$AI$6:$AI$97,0))&amp;"-"&amp;INDEX(WORLDCUP!$AS$6:$AS$97,MATCH(L46,WORLDCUP!$AI$6:$AI$97,0))</f>
        <v>0-0</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Gha</v>
      </c>
      <c r="U46" s="223">
        <f ca="1">+INDEX(WORLDCUP!$AM$6:$AM$97,MATCH(X46,WORLDCUP!$AI$6:$AI$97,0))</f>
        <v>0</v>
      </c>
      <c r="V46" s="224">
        <f ca="1">+INDEX(WORLDCUP!$AT$6:$AT$97,MATCH(X46,WORLDCUP!$AI$6:$AI$97,0))</f>
        <v>0</v>
      </c>
      <c r="W46" s="225" t="str">
        <f ca="1">+INDEX(WORLDCUP!$AR$6:$AR$97,MATCH(X46,WORLDCUP!$AI$6:$AI$97,0))&amp;"-"&amp;INDEX(WORLDCUP!$AS$6:$AS$97,MATCH(X46,WORLDCUP!$AI$6:$AI$97,0))</f>
        <v>0-0</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0</v>
      </c>
      <c r="K47" s="564" t="str">
        <f ca="1">+INDEX(WORLDCUP!$AR$6:$AR$97,MATCH(L47,WORLDCUP!$AI$6:$AI$97,0))&amp;"-"&amp;INDEX(WORLDCUP!$AS$6:$AS$97,MATCH(L47,WORLDCUP!$AI$6:$AI$97,0))</f>
        <v>0-0</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Pan</v>
      </c>
      <c r="U47" s="562">
        <f ca="1">+INDEX(WORLDCUP!$AM$6:$AM$97,MATCH(X47,WORLDCUP!$AI$6:$AI$97,0))</f>
        <v>0</v>
      </c>
      <c r="V47" s="563">
        <f ca="1">+INDEX(WORLDCUP!$AT$6:$AT$97,MATCH(X47,WORLDCUP!$AI$6:$AI$97,0))</f>
        <v>0</v>
      </c>
      <c r="W47" s="564" t="str">
        <f ca="1">+INDEX(WORLDCUP!$AR$6:$AR$97,MATCH(X47,WORLDCUP!$AI$6:$AI$97,0))&amp;"-"&amp;INDEX(WORLDCUP!$AS$6:$AS$97,MATCH(X47,WORLDCUP!$AI$6:$AI$97,0))</f>
        <v>0-0</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Costa de Marfil</v>
      </c>
      <c r="D2" s="11" t="str">
        <f ca="1">+WORLDCUP!BD67</f>
        <v>Austria</v>
      </c>
      <c r="E2" s="11" t="str">
        <f ca="1">+WORLDCUP!BD66</f>
        <v>Irak</v>
      </c>
      <c r="F2" s="11" t="str">
        <f ca="1">+WORLDCUP!BD63</f>
        <v>Suecia</v>
      </c>
      <c r="G2" s="11" t="str">
        <f ca="1">+WORLDCUP!BD65</f>
        <v>Arabia Saudita</v>
      </c>
      <c r="H2" s="11" t="str">
        <f ca="1">+WORLDCUP!BD64</f>
        <v>Irán</v>
      </c>
      <c r="I2" s="11" t="str">
        <f ca="1">+WORLDCUP!BD69</f>
        <v>Ghana</v>
      </c>
      <c r="J2" s="11" t="str">
        <f ca="1">+WORLDCUP!BD68</f>
        <v>Uzbekistán</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Arabia Saudita</v>
      </c>
      <c r="D3" s="11" t="str">
        <f ca="1">+WORLDCUP!BD64</f>
        <v>Irán</v>
      </c>
      <c r="E3" s="11" t="str">
        <f ca="1">+WORLDCUP!BD66</f>
        <v>Irak</v>
      </c>
      <c r="F3" s="11" t="str">
        <f ca="1">+WORLDCUP!BD61</f>
        <v>Australia</v>
      </c>
      <c r="G3" s="11" t="str">
        <f ca="1">+WORLDCUP!BD67</f>
        <v>Austria</v>
      </c>
      <c r="H3" s="11" t="str">
        <f ca="1">+WORLDCUP!BD63</f>
        <v>Suecia</v>
      </c>
      <c r="I3" s="11" t="str">
        <f ca="1">+WORLDCUP!BD69</f>
        <v>Ghana</v>
      </c>
      <c r="J3" s="11" t="str">
        <f ca="1">+WORLDCUP!BD68</f>
        <v>Uzbekistán</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Costa de Marfil</v>
      </c>
      <c r="D4" s="11" t="str">
        <f ca="1">+WORLDCUP!BD67</f>
        <v>Austria</v>
      </c>
      <c r="E4" s="11" t="str">
        <f ca="1">+WORLDCUP!BD66</f>
        <v>Irak</v>
      </c>
      <c r="F4" s="11" t="str">
        <f ca="1">+WORLDCUP!BD61</f>
        <v>Australia</v>
      </c>
      <c r="G4" s="11" t="str">
        <f ca="1">+WORLDCUP!BD65</f>
        <v>Arabia Saudita</v>
      </c>
      <c r="H4" s="11" t="str">
        <f ca="1">+WORLDCUP!BD64</f>
        <v>Irán</v>
      </c>
      <c r="I4" s="11" t="str">
        <f ca="1">+WORLDCUP!BD69</f>
        <v>Ghana</v>
      </c>
      <c r="J4" s="11" t="str">
        <f ca="1">+WORLDCUP!BD68</f>
        <v>Uzbekistán</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Costa de Marfil</v>
      </c>
      <c r="D5" s="11" t="str">
        <f ca="1">+WORLDCUP!BD67</f>
        <v>Austria</v>
      </c>
      <c r="E5" s="11" t="str">
        <f ca="1">+WORLDCUP!BD66</f>
        <v>Irak</v>
      </c>
      <c r="F5" s="11" t="str">
        <f ca="1">+WORLDCUP!BD61</f>
        <v>Australia</v>
      </c>
      <c r="G5" s="11" t="str">
        <f ca="1">+WORLDCUP!BD65</f>
        <v>Arabia Saudita</v>
      </c>
      <c r="H5" s="11" t="str">
        <f ca="1">+WORLDCUP!BD63</f>
        <v>Suecia</v>
      </c>
      <c r="I5" s="11" t="str">
        <f ca="1">+WORLDCUP!BD69</f>
        <v>Ghana</v>
      </c>
      <c r="J5" s="11" t="str">
        <f ca="1">+WORLDCUP!BD68</f>
        <v>Uzbekistán</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Costa de Marfil</v>
      </c>
      <c r="D6" s="11" t="str">
        <f ca="1">+WORLDCUP!BD64</f>
        <v>Irán</v>
      </c>
      <c r="E6" s="11" t="str">
        <f ca="1">+WORLDCUP!BD66</f>
        <v>Irak</v>
      </c>
      <c r="F6" s="11" t="str">
        <f ca="1">+WORLDCUP!BD61</f>
        <v>Australia</v>
      </c>
      <c r="G6" s="11" t="str">
        <f ca="1">+WORLDCUP!BD67</f>
        <v>Austria</v>
      </c>
      <c r="H6" s="11" t="str">
        <f ca="1">+WORLDCUP!BD63</f>
        <v>Suecia</v>
      </c>
      <c r="I6" s="11" t="str">
        <f ca="1">+WORLDCUP!BD69</f>
        <v>Ghana</v>
      </c>
      <c r="J6" s="11" t="str">
        <f ca="1">+WORLDCUP!BD68</f>
        <v>Uzbekistán</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Costa de Marfil</v>
      </c>
      <c r="D7" s="11" t="str">
        <f ca="1">+WORLDCUP!BD64</f>
        <v>Irán</v>
      </c>
      <c r="E7" s="11" t="str">
        <f ca="1">+WORLDCUP!BD67</f>
        <v>Austria</v>
      </c>
      <c r="F7" s="11" t="str">
        <f ca="1">+WORLDCUP!BD61</f>
        <v>Australia</v>
      </c>
      <c r="G7" s="11" t="str">
        <f ca="1">+WORLDCUP!BD65</f>
        <v>Arabia Saudita</v>
      </c>
      <c r="H7" s="11" t="str">
        <f ca="1">+WORLDCUP!BD63</f>
        <v>Suecia</v>
      </c>
      <c r="I7" s="11" t="str">
        <f ca="1">+WORLDCUP!BD69</f>
        <v>Ghana</v>
      </c>
      <c r="J7" s="11" t="str">
        <f ca="1">+WORLDCUP!BD68</f>
        <v>Uzbekistán</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Costa de Marfil</v>
      </c>
      <c r="D8" s="11" t="str">
        <f ca="1">+WORLDCUP!BD64</f>
        <v>Irán</v>
      </c>
      <c r="E8" s="11" t="str">
        <f ca="1">+WORLDCUP!BD66</f>
        <v>Irak</v>
      </c>
      <c r="F8" s="11" t="str">
        <f ca="1">+WORLDCUP!BD61</f>
        <v>Australia</v>
      </c>
      <c r="G8" s="11" t="str">
        <f ca="1">+WORLDCUP!BD65</f>
        <v>Arabia Saudita</v>
      </c>
      <c r="H8" s="11" t="str">
        <f ca="1">+WORLDCUP!BD63</f>
        <v>Suecia</v>
      </c>
      <c r="I8" s="11" t="str">
        <f ca="1">+WORLDCUP!BD69</f>
        <v>Ghana</v>
      </c>
      <c r="J8" s="11" t="str">
        <f ca="1">+WORLDCUP!BD68</f>
        <v>Uzbekistán</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Costa de Marfil</v>
      </c>
      <c r="D9" s="11" t="str">
        <f ca="1">+WORLDCUP!BD64</f>
        <v>Irán</v>
      </c>
      <c r="E9" s="11" t="str">
        <f ca="1">+WORLDCUP!BD67</f>
        <v>Austria</v>
      </c>
      <c r="F9" s="11" t="str">
        <f ca="1">+WORLDCUP!BD61</f>
        <v>Australia</v>
      </c>
      <c r="G9" s="11" t="str">
        <f ca="1">+WORLDCUP!BD65</f>
        <v>Arabia Saudita</v>
      </c>
      <c r="H9" s="11" t="str">
        <f ca="1">+WORLDCUP!BD63</f>
        <v>Suecia</v>
      </c>
      <c r="I9" s="11" t="str">
        <f ca="1">+WORLDCUP!BD69</f>
        <v>Ghana</v>
      </c>
      <c r="J9" s="11" t="str">
        <f ca="1">+WORLDCUP!BD66</f>
        <v>Irak</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Costa de Marfil</v>
      </c>
      <c r="D10" s="11" t="str">
        <f ca="1">+WORLDCUP!BD64</f>
        <v>Irán</v>
      </c>
      <c r="E10" s="11" t="str">
        <f ca="1">+WORLDCUP!BD67</f>
        <v>Austria</v>
      </c>
      <c r="F10" s="11" t="str">
        <f ca="1">+WORLDCUP!BD61</f>
        <v>Australia</v>
      </c>
      <c r="G10" s="11" t="str">
        <f ca="1">+WORLDCUP!BD65</f>
        <v>Arabia Saudita</v>
      </c>
      <c r="H10" s="11" t="str">
        <f ca="1">+WORLDCUP!BD63</f>
        <v>Suecia</v>
      </c>
      <c r="I10" s="11" t="str">
        <f ca="1">+WORLDCUP!BD66</f>
        <v>Irak</v>
      </c>
      <c r="J10" s="11" t="str">
        <f ca="1">+WORLDCUP!BD68</f>
        <v>Uzbekistán</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Arabia Saudita</v>
      </c>
      <c r="D11" s="11" t="str">
        <f ca="1">+WORLDCUP!BD64</f>
        <v>Irán</v>
      </c>
      <c r="E11" s="11" t="str">
        <f ca="1">+WORLDCUP!BD66</f>
        <v>Irak</v>
      </c>
      <c r="F11" s="11" t="str">
        <f ca="1">+WORLDCUP!BD60</f>
        <v>Haití</v>
      </c>
      <c r="G11" s="11" t="str">
        <f ca="1">+WORLDCUP!BD67</f>
        <v>Austria</v>
      </c>
      <c r="H11" s="11" t="str">
        <f ca="1">+WORLDCUP!BD63</f>
        <v>Suecia</v>
      </c>
      <c r="I11" s="11" t="str">
        <f ca="1">+WORLDCUP!BD69</f>
        <v>Ghana</v>
      </c>
      <c r="J11" s="11" t="str">
        <f ca="1">+WORLDCUP!BD68</f>
        <v>Uzbekistán</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Costa de Marfil</v>
      </c>
      <c r="D12" s="11" t="str">
        <f ca="1">+WORLDCUP!BD67</f>
        <v>Austria</v>
      </c>
      <c r="E12" s="11" t="str">
        <f ca="1">+WORLDCUP!BD66</f>
        <v>Irak</v>
      </c>
      <c r="F12" s="11" t="str">
        <f ca="1">+WORLDCUP!BD60</f>
        <v>Haití</v>
      </c>
      <c r="G12" s="11" t="str">
        <f ca="1">+WORLDCUP!BD65</f>
        <v>Arabia Saudita</v>
      </c>
      <c r="H12" s="11" t="str">
        <f ca="1">+WORLDCUP!BD64</f>
        <v>Irán</v>
      </c>
      <c r="I12" s="11" t="str">
        <f ca="1">+WORLDCUP!BD69</f>
        <v>Ghana</v>
      </c>
      <c r="J12" s="11" t="str">
        <f ca="1">+WORLDCUP!BD68</f>
        <v>Uzbekistán</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Costa de Marfil</v>
      </c>
      <c r="D13" s="11" t="str">
        <f ca="1">+WORLDCUP!BD67</f>
        <v>Austria</v>
      </c>
      <c r="E13" s="11" t="str">
        <f ca="1">+WORLDCUP!BD66</f>
        <v>Irak</v>
      </c>
      <c r="F13" s="11" t="str">
        <f ca="1">+WORLDCUP!BD60</f>
        <v>Haití</v>
      </c>
      <c r="G13" s="11" t="str">
        <f ca="1">+WORLDCUP!BD65</f>
        <v>Arabia Saudita</v>
      </c>
      <c r="H13" s="11" t="str">
        <f ca="1">+WORLDCUP!BD63</f>
        <v>Suecia</v>
      </c>
      <c r="I13" s="11" t="str">
        <f ca="1">+WORLDCUP!BD69</f>
        <v>Ghana</v>
      </c>
      <c r="J13" s="11" t="str">
        <f ca="1">+WORLDCUP!BD68</f>
        <v>Uzbekistán</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Costa de Marfil</v>
      </c>
      <c r="D14" s="11" t="str">
        <f ca="1">+WORLDCUP!BD64</f>
        <v>Irán</v>
      </c>
      <c r="E14" s="11" t="str">
        <f ca="1">+WORLDCUP!BD66</f>
        <v>Irak</v>
      </c>
      <c r="F14" s="11" t="str">
        <f ca="1">+WORLDCUP!BD60</f>
        <v>Haití</v>
      </c>
      <c r="G14" s="11" t="str">
        <f ca="1">+WORLDCUP!BD67</f>
        <v>Austria</v>
      </c>
      <c r="H14" s="11" t="str">
        <f ca="1">+WORLDCUP!BD63</f>
        <v>Suecia</v>
      </c>
      <c r="I14" s="11" t="str">
        <f ca="1">+WORLDCUP!BD69</f>
        <v>Ghana</v>
      </c>
      <c r="J14" s="11" t="str">
        <f ca="1">+WORLDCUP!BD68</f>
        <v>Uzbekistán</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Costa de Marfil</v>
      </c>
      <c r="D15" s="11" t="str">
        <f ca="1">+WORLDCUP!BD64</f>
        <v>Irán</v>
      </c>
      <c r="E15" s="11" t="str">
        <f ca="1">+WORLDCUP!BD67</f>
        <v>Austria</v>
      </c>
      <c r="F15" s="11" t="str">
        <f ca="1">+WORLDCUP!BD60</f>
        <v>Haití</v>
      </c>
      <c r="G15" s="11" t="str">
        <f ca="1">+WORLDCUP!BD65</f>
        <v>Arabia Saudita</v>
      </c>
      <c r="H15" s="11" t="str">
        <f ca="1">+WORLDCUP!BD63</f>
        <v>Suecia</v>
      </c>
      <c r="I15" s="11" t="str">
        <f ca="1">+WORLDCUP!BD69</f>
        <v>Ghana</v>
      </c>
      <c r="J15" s="11" t="str">
        <f ca="1">+WORLDCUP!BD68</f>
        <v>Uzbekistán</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Costa de Marfil</v>
      </c>
      <c r="D16" s="11" t="str">
        <f ca="1">+WORLDCUP!BD64</f>
        <v>Irán</v>
      </c>
      <c r="E16" s="11" t="str">
        <f ca="1">+WORLDCUP!BD66</f>
        <v>Irak</v>
      </c>
      <c r="F16" s="11" t="str">
        <f ca="1">+WORLDCUP!BD60</f>
        <v>Haití</v>
      </c>
      <c r="G16" s="11" t="str">
        <f ca="1">+WORLDCUP!BD65</f>
        <v>Arabia Saudita</v>
      </c>
      <c r="H16" s="11" t="str">
        <f ca="1">+WORLDCUP!BD63</f>
        <v>Suecia</v>
      </c>
      <c r="I16" s="11" t="str">
        <f ca="1">+WORLDCUP!BD69</f>
        <v>Ghana</v>
      </c>
      <c r="J16" s="11" t="str">
        <f ca="1">+WORLDCUP!BD68</f>
        <v>Uzbekistán</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Costa de Marfil</v>
      </c>
      <c r="D17" s="11" t="str">
        <f ca="1">+WORLDCUP!BD64</f>
        <v>Irán</v>
      </c>
      <c r="E17" s="11" t="str">
        <f ca="1">+WORLDCUP!BD67</f>
        <v>Austria</v>
      </c>
      <c r="F17" s="11" t="str">
        <f ca="1">+WORLDCUP!BD60</f>
        <v>Haití</v>
      </c>
      <c r="G17" s="11" t="str">
        <f ca="1">+WORLDCUP!BD65</f>
        <v>Arabia Saudita</v>
      </c>
      <c r="H17" s="11" t="str">
        <f ca="1">+WORLDCUP!BD63</f>
        <v>Suecia</v>
      </c>
      <c r="I17" s="11" t="str">
        <f ca="1">+WORLDCUP!BD69</f>
        <v>Ghana</v>
      </c>
      <c r="J17" s="11" t="str">
        <f ca="1">+WORLDCUP!BD66</f>
        <v>Irak</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Costa de Marfil</v>
      </c>
      <c r="D18" s="11" t="str">
        <f ca="1">+WORLDCUP!BD64</f>
        <v>Irán</v>
      </c>
      <c r="E18" s="11" t="str">
        <f ca="1">+WORLDCUP!BD67</f>
        <v>Austria</v>
      </c>
      <c r="F18" s="11" t="str">
        <f ca="1">+WORLDCUP!BD60</f>
        <v>Haití</v>
      </c>
      <c r="G18" s="11" t="str">
        <f ca="1">+WORLDCUP!BD65</f>
        <v>Arabia Saudita</v>
      </c>
      <c r="H18" s="11" t="str">
        <f ca="1">+WORLDCUP!BD63</f>
        <v>Suecia</v>
      </c>
      <c r="I18" s="11" t="str">
        <f ca="1">+WORLDCUP!BD66</f>
        <v>Irak</v>
      </c>
      <c r="J18" s="11" t="str">
        <f ca="1">+WORLDCUP!BD68</f>
        <v>Uzbekistán</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Arabia Saudita</v>
      </c>
      <c r="D19" s="11" t="str">
        <f ca="1">+WORLDCUP!BD64</f>
        <v>Irán</v>
      </c>
      <c r="E19" s="11" t="str">
        <f ca="1">+WORLDCUP!BD66</f>
        <v>Irak</v>
      </c>
      <c r="F19" s="11" t="str">
        <f ca="1">+WORLDCUP!BD60</f>
        <v>Haití</v>
      </c>
      <c r="G19" s="11" t="str">
        <f ca="1">+WORLDCUP!BD67</f>
        <v>Austria</v>
      </c>
      <c r="H19" s="11" t="str">
        <f ca="1">+WORLDCUP!BD61</f>
        <v>Australia</v>
      </c>
      <c r="I19" s="11" t="str">
        <f ca="1">+WORLDCUP!BD69</f>
        <v>Ghana</v>
      </c>
      <c r="J19" s="11" t="str">
        <f ca="1">+WORLDCUP!BD68</f>
        <v>Uzbekistán</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Haití</v>
      </c>
      <c r="D20" s="11" t="str">
        <f ca="1">+WORLDCUP!BD67</f>
        <v>Austria</v>
      </c>
      <c r="E20" s="11" t="str">
        <f ca="1">+WORLDCUP!BD66</f>
        <v>Irak</v>
      </c>
      <c r="F20" s="11" t="str">
        <f ca="1">+WORLDCUP!BD61</f>
        <v>Australia</v>
      </c>
      <c r="G20" s="11" t="str">
        <f ca="1">+WORLDCUP!BD65</f>
        <v>Arabia Saudita</v>
      </c>
      <c r="H20" s="11" t="str">
        <f ca="1">+WORLDCUP!BD63</f>
        <v>Suecia</v>
      </c>
      <c r="I20" s="11" t="str">
        <f ca="1">+WORLDCUP!BD69</f>
        <v>Ghana</v>
      </c>
      <c r="J20" s="11" t="str">
        <f ca="1">+WORLDCUP!BD68</f>
        <v>Uzbekistán</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Haití</v>
      </c>
      <c r="D21" s="11" t="str">
        <f ca="1">+WORLDCUP!BD64</f>
        <v>Irán</v>
      </c>
      <c r="E21" s="11" t="str">
        <f ca="1">+WORLDCUP!BD66</f>
        <v>Irak</v>
      </c>
      <c r="F21" s="11" t="str">
        <f ca="1">+WORLDCUP!BD61</f>
        <v>Australia</v>
      </c>
      <c r="G21" s="11" t="str">
        <f ca="1">+WORLDCUP!BD67</f>
        <v>Austria</v>
      </c>
      <c r="H21" s="11" t="str">
        <f ca="1">+WORLDCUP!BD63</f>
        <v>Suecia</v>
      </c>
      <c r="I21" s="11" t="str">
        <f ca="1">+WORLDCUP!BD69</f>
        <v>Ghana</v>
      </c>
      <c r="J21" s="11" t="str">
        <f ca="1">+WORLDCUP!BD68</f>
        <v>Uzbekistán</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Haití</v>
      </c>
      <c r="D22" s="11" t="str">
        <f ca="1">+WORLDCUP!BD64</f>
        <v>Irán</v>
      </c>
      <c r="E22" s="11" t="str">
        <f ca="1">+WORLDCUP!BD67</f>
        <v>Austria</v>
      </c>
      <c r="F22" s="11" t="str">
        <f ca="1">+WORLDCUP!BD61</f>
        <v>Australia</v>
      </c>
      <c r="G22" s="11" t="str">
        <f ca="1">+WORLDCUP!BD65</f>
        <v>Arabia Saudita</v>
      </c>
      <c r="H22" s="11" t="str">
        <f ca="1">+WORLDCUP!BD63</f>
        <v>Suecia</v>
      </c>
      <c r="I22" s="11" t="str">
        <f ca="1">+WORLDCUP!BD69</f>
        <v>Ghana</v>
      </c>
      <c r="J22" s="11" t="str">
        <f ca="1">+WORLDCUP!BD68</f>
        <v>Uzbekistán</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Haití</v>
      </c>
      <c r="D23" s="11" t="str">
        <f ca="1">+WORLDCUP!BD64</f>
        <v>Irán</v>
      </c>
      <c r="E23" s="11" t="str">
        <f ca="1">+WORLDCUP!BD66</f>
        <v>Irak</v>
      </c>
      <c r="F23" s="11" t="str">
        <f ca="1">+WORLDCUP!BD61</f>
        <v>Australia</v>
      </c>
      <c r="G23" s="11" t="str">
        <f ca="1">+WORLDCUP!BD65</f>
        <v>Arabia Saudita</v>
      </c>
      <c r="H23" s="11" t="str">
        <f ca="1">+WORLDCUP!BD63</f>
        <v>Suecia</v>
      </c>
      <c r="I23" s="11" t="str">
        <f ca="1">+WORLDCUP!BD69</f>
        <v>Ghana</v>
      </c>
      <c r="J23" s="11" t="str">
        <f ca="1">+WORLDCUP!BD68</f>
        <v>Uzbekistán</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Haití</v>
      </c>
      <c r="D24" s="11" t="str">
        <f ca="1">+WORLDCUP!BD64</f>
        <v>Irán</v>
      </c>
      <c r="E24" s="11" t="str">
        <f ca="1">+WORLDCUP!BD67</f>
        <v>Austria</v>
      </c>
      <c r="F24" s="11" t="str">
        <f ca="1">+WORLDCUP!BD61</f>
        <v>Australia</v>
      </c>
      <c r="G24" s="11" t="str">
        <f ca="1">+WORLDCUP!BD65</f>
        <v>Arabia Saudita</v>
      </c>
      <c r="H24" s="11" t="str">
        <f ca="1">+WORLDCUP!BD63</f>
        <v>Suecia</v>
      </c>
      <c r="I24" s="11" t="str">
        <f ca="1">+WORLDCUP!BD69</f>
        <v>Ghana</v>
      </c>
      <c r="J24" s="11" t="str">
        <f ca="1">+WORLDCUP!BD66</f>
        <v>Irak</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Haití</v>
      </c>
      <c r="D25" s="11" t="str">
        <f ca="1">+WORLDCUP!BD64</f>
        <v>Irán</v>
      </c>
      <c r="E25" s="11" t="str">
        <f ca="1">+WORLDCUP!BD67</f>
        <v>Austria</v>
      </c>
      <c r="F25" s="11" t="str">
        <f ca="1">+WORLDCUP!BD61</f>
        <v>Australia</v>
      </c>
      <c r="G25" s="11" t="str">
        <f ca="1">+WORLDCUP!BD65</f>
        <v>Arabia Saudita</v>
      </c>
      <c r="H25" s="11" t="str">
        <f ca="1">+WORLDCUP!BD63</f>
        <v>Suecia</v>
      </c>
      <c r="I25" s="11" t="str">
        <f ca="1">+WORLDCUP!BD66</f>
        <v>Irak</v>
      </c>
      <c r="J25" s="11" t="str">
        <f ca="1">+WORLDCUP!BD68</f>
        <v>Uzbekistán</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Costa de Marfil</v>
      </c>
      <c r="D26" s="11" t="str">
        <f ca="1">+WORLDCUP!BD67</f>
        <v>Austria</v>
      </c>
      <c r="E26" s="11" t="str">
        <f ca="1">+WORLDCUP!BD66</f>
        <v>Irak</v>
      </c>
      <c r="F26" s="11" t="str">
        <f ca="1">+WORLDCUP!BD60</f>
        <v>Haití</v>
      </c>
      <c r="G26" s="11" t="str">
        <f ca="1">+WORLDCUP!BD65</f>
        <v>Arabia Saudita</v>
      </c>
      <c r="H26" s="11" t="str">
        <f ca="1">+WORLDCUP!BD61</f>
        <v>Australia</v>
      </c>
      <c r="I26" s="11" t="str">
        <f ca="1">+WORLDCUP!BD69</f>
        <v>Ghana</v>
      </c>
      <c r="J26" s="11" t="str">
        <f ca="1">+WORLDCUP!BD68</f>
        <v>Uzbekistán</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Costa de Marfil</v>
      </c>
      <c r="D27" s="11" t="str">
        <f ca="1">+WORLDCUP!BD64</f>
        <v>Irán</v>
      </c>
      <c r="E27" s="11" t="str">
        <f ca="1">+WORLDCUP!BD66</f>
        <v>Irak</v>
      </c>
      <c r="F27" s="11" t="str">
        <f ca="1">+WORLDCUP!BD60</f>
        <v>Haití</v>
      </c>
      <c r="G27" s="11" t="str">
        <f ca="1">+WORLDCUP!BD67</f>
        <v>Austria</v>
      </c>
      <c r="H27" s="11" t="str">
        <f ca="1">+WORLDCUP!BD61</f>
        <v>Australia</v>
      </c>
      <c r="I27" s="11" t="str">
        <f ca="1">+WORLDCUP!BD69</f>
        <v>Ghana</v>
      </c>
      <c r="J27" s="11" t="str">
        <f ca="1">+WORLDCUP!BD68</f>
        <v>Uzbekistán</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Costa de Marfil</v>
      </c>
      <c r="D28" s="11" t="str">
        <f ca="1">+WORLDCUP!BD64</f>
        <v>Irán</v>
      </c>
      <c r="E28" s="11" t="str">
        <f ca="1">+WORLDCUP!BD67</f>
        <v>Austria</v>
      </c>
      <c r="F28" s="11" t="str">
        <f ca="1">+WORLDCUP!BD60</f>
        <v>Haití</v>
      </c>
      <c r="G28" s="11" t="str">
        <f ca="1">+WORLDCUP!BD65</f>
        <v>Arabia Saudita</v>
      </c>
      <c r="H28" s="11" t="str">
        <f ca="1">+WORLDCUP!BD61</f>
        <v>Australia</v>
      </c>
      <c r="I28" s="11" t="str">
        <f ca="1">+WORLDCUP!BD69</f>
        <v>Ghana</v>
      </c>
      <c r="J28" s="11" t="str">
        <f ca="1">+WORLDCUP!BD68</f>
        <v>Uzbekistán</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Costa de Marfil</v>
      </c>
      <c r="D29" s="11" t="str">
        <f ca="1">+WORLDCUP!BD64</f>
        <v>Irán</v>
      </c>
      <c r="E29" s="11" t="str">
        <f ca="1">+WORLDCUP!BD66</f>
        <v>Irak</v>
      </c>
      <c r="F29" s="11" t="str">
        <f ca="1">+WORLDCUP!BD60</f>
        <v>Haití</v>
      </c>
      <c r="G29" s="11" t="str">
        <f ca="1">+WORLDCUP!BD65</f>
        <v>Arabia Saudita</v>
      </c>
      <c r="H29" s="11" t="str">
        <f ca="1">+WORLDCUP!BD61</f>
        <v>Australia</v>
      </c>
      <c r="I29" s="11" t="str">
        <f ca="1">+WORLDCUP!BD69</f>
        <v>Ghana</v>
      </c>
      <c r="J29" s="11" t="str">
        <f ca="1">+WORLDCUP!BD68</f>
        <v>Uzbekistán</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Costa de Marfil</v>
      </c>
      <c r="D30" s="11" t="str">
        <f ca="1">+WORLDCUP!BD64</f>
        <v>Irán</v>
      </c>
      <c r="E30" s="11" t="str">
        <f ca="1">+WORLDCUP!BD67</f>
        <v>Austria</v>
      </c>
      <c r="F30" s="11" t="str">
        <f ca="1">+WORLDCUP!BD60</f>
        <v>Haití</v>
      </c>
      <c r="G30" s="11" t="str">
        <f ca="1">+WORLDCUP!BD65</f>
        <v>Arabia Saudita</v>
      </c>
      <c r="H30" s="11" t="str">
        <f ca="1">+WORLDCUP!BD61</f>
        <v>Australia</v>
      </c>
      <c r="I30" s="11" t="str">
        <f ca="1">+WORLDCUP!BD69</f>
        <v>Ghana</v>
      </c>
      <c r="J30" s="11" t="str">
        <f ca="1">+WORLDCUP!BD66</f>
        <v>Irak</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Costa de Marfil</v>
      </c>
      <c r="D31" s="11" t="str">
        <f ca="1">+WORLDCUP!BD64</f>
        <v>Irán</v>
      </c>
      <c r="E31" s="11" t="str">
        <f ca="1">+WORLDCUP!BD67</f>
        <v>Austria</v>
      </c>
      <c r="F31" s="11" t="str">
        <f ca="1">+WORLDCUP!BD60</f>
        <v>Haití</v>
      </c>
      <c r="G31" s="11" t="str">
        <f ca="1">+WORLDCUP!BD65</f>
        <v>Arabia Saudita</v>
      </c>
      <c r="H31" s="11" t="str">
        <f ca="1">+WORLDCUP!BD61</f>
        <v>Australia</v>
      </c>
      <c r="I31" s="11" t="str">
        <f ca="1">+WORLDCUP!BD66</f>
        <v>Irak</v>
      </c>
      <c r="J31" s="11" t="str">
        <f ca="1">+WORLDCUP!BD68</f>
        <v>Uzbekistán</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Haití</v>
      </c>
      <c r="D32" s="11" t="str">
        <f ca="1">+WORLDCUP!BD67</f>
        <v>Austria</v>
      </c>
      <c r="E32" s="11" t="str">
        <f ca="1">+WORLDCUP!BD62</f>
        <v>Costa de Marfil</v>
      </c>
      <c r="F32" s="11" t="str">
        <f ca="1">+WORLDCUP!BD61</f>
        <v>Australia</v>
      </c>
      <c r="G32" s="11" t="str">
        <f ca="1">+WORLDCUP!BD66</f>
        <v>Irak</v>
      </c>
      <c r="H32" s="11" t="str">
        <f ca="1">+WORLDCUP!BD63</f>
        <v>Suecia</v>
      </c>
      <c r="I32" s="11" t="str">
        <f ca="1">+WORLDCUP!BD69</f>
        <v>Ghana</v>
      </c>
      <c r="J32" s="11" t="str">
        <f ca="1">+WORLDCUP!BD68</f>
        <v>Uzbekistán</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Haití</v>
      </c>
      <c r="D33" s="11" t="str">
        <f ca="1">+WORLDCUP!BD67</f>
        <v>Austria</v>
      </c>
      <c r="E33" s="11" t="str">
        <f ca="1">+WORLDCUP!BD62</f>
        <v>Costa de Marfil</v>
      </c>
      <c r="F33" s="11" t="str">
        <f ca="1">+WORLDCUP!BD61</f>
        <v>Australia</v>
      </c>
      <c r="G33" s="11" t="str">
        <f ca="1">+WORLDCUP!BD65</f>
        <v>Arabia Saudita</v>
      </c>
      <c r="H33" s="11" t="str">
        <f ca="1">+WORLDCUP!BD63</f>
        <v>Suecia</v>
      </c>
      <c r="I33" s="11" t="str">
        <f ca="1">+WORLDCUP!BD69</f>
        <v>Ghana</v>
      </c>
      <c r="J33" s="11" t="str">
        <f ca="1">+WORLDCUP!BD68</f>
        <v>Uzbekistán</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Haití</v>
      </c>
      <c r="D34" s="11" t="str">
        <f ca="1">+WORLDCUP!BD62</f>
        <v>Costa de Marfil</v>
      </c>
      <c r="E34" s="11" t="str">
        <f ca="1">+WORLDCUP!BD66</f>
        <v>Irak</v>
      </c>
      <c r="F34" s="11" t="str">
        <f ca="1">+WORLDCUP!BD61</f>
        <v>Australia</v>
      </c>
      <c r="G34" s="11" t="str">
        <f ca="1">+WORLDCUP!BD65</f>
        <v>Arabia Saudita</v>
      </c>
      <c r="H34" s="11" t="str">
        <f ca="1">+WORLDCUP!BD63</f>
        <v>Suecia</v>
      </c>
      <c r="I34" s="11" t="str">
        <f ca="1">+WORLDCUP!BD69</f>
        <v>Ghana</v>
      </c>
      <c r="J34" s="11" t="str">
        <f ca="1">+WORLDCUP!BD68</f>
        <v>Uzbekistán</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Haití</v>
      </c>
      <c r="D35" s="11" t="str">
        <f ca="1">+WORLDCUP!BD67</f>
        <v>Austria</v>
      </c>
      <c r="E35" s="11" t="str">
        <f ca="1">+WORLDCUP!BD62</f>
        <v>Costa de Marfil</v>
      </c>
      <c r="F35" s="11" t="str">
        <f ca="1">+WORLDCUP!BD61</f>
        <v>Australia</v>
      </c>
      <c r="G35" s="11" t="str">
        <f ca="1">+WORLDCUP!BD65</f>
        <v>Arabia Saudita</v>
      </c>
      <c r="H35" s="11" t="str">
        <f ca="1">+WORLDCUP!BD63</f>
        <v>Suecia</v>
      </c>
      <c r="I35" s="11" t="str">
        <f ca="1">+WORLDCUP!BD69</f>
        <v>Ghana</v>
      </c>
      <c r="J35" s="11" t="str">
        <f ca="1">+WORLDCUP!BD66</f>
        <v>Irak</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Haití</v>
      </c>
      <c r="D36" s="11" t="str">
        <f ca="1">+WORLDCUP!BD67</f>
        <v>Austria</v>
      </c>
      <c r="E36" s="11" t="str">
        <f ca="1">+WORLDCUP!BD62</f>
        <v>Costa de Marfil</v>
      </c>
      <c r="F36" s="11" t="str">
        <f ca="1">+WORLDCUP!BD61</f>
        <v>Australia</v>
      </c>
      <c r="G36" s="11" t="str">
        <f ca="1">+WORLDCUP!BD65</f>
        <v>Arabia Saudita</v>
      </c>
      <c r="H36" s="11" t="str">
        <f ca="1">+WORLDCUP!BD63</f>
        <v>Suecia</v>
      </c>
      <c r="I36" s="11" t="str">
        <f ca="1">+WORLDCUP!BD66</f>
        <v>Irak</v>
      </c>
      <c r="J36" s="11" t="str">
        <f ca="1">+WORLDCUP!BD68</f>
        <v>Uzbekistán</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Haití</v>
      </c>
      <c r="D37" s="11" t="str">
        <f ca="1">+WORLDCUP!BD64</f>
        <v>Irán</v>
      </c>
      <c r="E37" s="11" t="str">
        <f ca="1">+WORLDCUP!BD62</f>
        <v>Costa de Marfil</v>
      </c>
      <c r="F37" s="11" t="str">
        <f ca="1">+WORLDCUP!BD61</f>
        <v>Australia</v>
      </c>
      <c r="G37" s="11" t="str">
        <f ca="1">+WORLDCUP!BD67</f>
        <v>Austria</v>
      </c>
      <c r="H37" s="11" t="str">
        <f ca="1">+WORLDCUP!BD63</f>
        <v>Suecia</v>
      </c>
      <c r="I37" s="11" t="str">
        <f ca="1">+WORLDCUP!BD69</f>
        <v>Ghana</v>
      </c>
      <c r="J37" s="11" t="str">
        <f ca="1">+WORLDCUP!BD68</f>
        <v>Uzbekistán</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Haití</v>
      </c>
      <c r="D38" s="11" t="str">
        <f ca="1">+WORLDCUP!BD64</f>
        <v>Irán</v>
      </c>
      <c r="E38" s="11" t="str">
        <f ca="1">+WORLDCUP!BD62</f>
        <v>Costa de Marfil</v>
      </c>
      <c r="F38" s="11" t="str">
        <f ca="1">+WORLDCUP!BD61</f>
        <v>Australia</v>
      </c>
      <c r="G38" s="11" t="str">
        <f ca="1">+WORLDCUP!BD66</f>
        <v>Irak</v>
      </c>
      <c r="H38" s="11" t="str">
        <f ca="1">+WORLDCUP!BD63</f>
        <v>Suecia</v>
      </c>
      <c r="I38" s="11" t="str">
        <f ca="1">+WORLDCUP!BD69</f>
        <v>Ghana</v>
      </c>
      <c r="J38" s="11" t="str">
        <f ca="1">+WORLDCUP!BD68</f>
        <v>Uzbekistán</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Haití</v>
      </c>
      <c r="D39" s="11" t="str">
        <f ca="1">+WORLDCUP!BD64</f>
        <v>Irán</v>
      </c>
      <c r="E39" s="11" t="str">
        <f ca="1">+WORLDCUP!BD62</f>
        <v>Costa de Marfil</v>
      </c>
      <c r="F39" s="11" t="str">
        <f ca="1">+WORLDCUP!BD61</f>
        <v>Australia</v>
      </c>
      <c r="G39" s="11" t="str">
        <f ca="1">+WORLDCUP!BD67</f>
        <v>Austria</v>
      </c>
      <c r="H39" s="11" t="str">
        <f ca="1">+WORLDCUP!BD63</f>
        <v>Suecia</v>
      </c>
      <c r="I39" s="11" t="str">
        <f ca="1">+WORLDCUP!BD69</f>
        <v>Ghana</v>
      </c>
      <c r="J39" s="11" t="str">
        <f ca="1">+WORLDCUP!BD66</f>
        <v>Irak</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Haití</v>
      </c>
      <c r="D40" s="11" t="str">
        <f ca="1">+WORLDCUP!BD64</f>
        <v>Irán</v>
      </c>
      <c r="E40" s="11" t="str">
        <f ca="1">+WORLDCUP!BD62</f>
        <v>Costa de Marfil</v>
      </c>
      <c r="F40" s="11" t="str">
        <f ca="1">+WORLDCUP!BD61</f>
        <v>Australia</v>
      </c>
      <c r="G40" s="11" t="str">
        <f ca="1">+WORLDCUP!BD67</f>
        <v>Austria</v>
      </c>
      <c r="H40" s="11" t="str">
        <f ca="1">+WORLDCUP!BD63</f>
        <v>Suecia</v>
      </c>
      <c r="I40" s="11" t="str">
        <f ca="1">+WORLDCUP!BD66</f>
        <v>Irak</v>
      </c>
      <c r="J40" s="11" t="str">
        <f ca="1">+WORLDCUP!BD68</f>
        <v>Uzbekistán</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Haití</v>
      </c>
      <c r="D41" s="11" t="str">
        <f ca="1">+WORLDCUP!BD64</f>
        <v>Irán</v>
      </c>
      <c r="E41" s="11" t="str">
        <f ca="1">+WORLDCUP!BD62</f>
        <v>Costa de Marfil</v>
      </c>
      <c r="F41" s="11" t="str">
        <f ca="1">+WORLDCUP!BD61</f>
        <v>Australia</v>
      </c>
      <c r="G41" s="11" t="str">
        <f ca="1">+WORLDCUP!BD65</f>
        <v>Arabia Saudita</v>
      </c>
      <c r="H41" s="11" t="str">
        <f ca="1">+WORLDCUP!BD63</f>
        <v>Suecia</v>
      </c>
      <c r="I41" s="11" t="str">
        <f ca="1">+WORLDCUP!BD69</f>
        <v>Ghana</v>
      </c>
      <c r="J41" s="11" t="str">
        <f ca="1">+WORLDCUP!BD68</f>
        <v>Uzbekistán</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Haití</v>
      </c>
      <c r="D42" s="11" t="str">
        <f ca="1">+WORLDCUP!BD64</f>
        <v>Irán</v>
      </c>
      <c r="E42" s="11" t="str">
        <f ca="1">+WORLDCUP!BD67</f>
        <v>Austria</v>
      </c>
      <c r="F42" s="11" t="str">
        <f ca="1">+WORLDCUP!BD61</f>
        <v>Australia</v>
      </c>
      <c r="G42" s="11" t="str">
        <f ca="1">+WORLDCUP!BD65</f>
        <v>Arabia Saudita</v>
      </c>
      <c r="H42" s="11" t="str">
        <f ca="1">+WORLDCUP!BD63</f>
        <v>Suecia</v>
      </c>
      <c r="I42" s="11" t="str">
        <f ca="1">+WORLDCUP!BD69</f>
        <v>Ghana</v>
      </c>
      <c r="J42" s="11" t="str">
        <f ca="1">+WORLDCUP!BD62</f>
        <v>Costa de Marfil</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Haití</v>
      </c>
      <c r="D43" s="11" t="str">
        <f ca="1">+WORLDCUP!BD64</f>
        <v>Irán</v>
      </c>
      <c r="E43" s="11" t="str">
        <f ca="1">+WORLDCUP!BD67</f>
        <v>Austria</v>
      </c>
      <c r="F43" s="11" t="str">
        <f ca="1">+WORLDCUP!BD61</f>
        <v>Australia</v>
      </c>
      <c r="G43" s="11" t="str">
        <f ca="1">+WORLDCUP!BD65</f>
        <v>Arabia Saudita</v>
      </c>
      <c r="H43" s="11" t="str">
        <f ca="1">+WORLDCUP!BD63</f>
        <v>Suecia</v>
      </c>
      <c r="I43" s="11" t="str">
        <f ca="1">+WORLDCUP!BD62</f>
        <v>Costa de Marfil</v>
      </c>
      <c r="J43" s="11" t="str">
        <f ca="1">+WORLDCUP!BD68</f>
        <v>Uzbekistán</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Haití</v>
      </c>
      <c r="D44" s="11" t="str">
        <f ca="1">+WORLDCUP!BD64</f>
        <v>Irán</v>
      </c>
      <c r="E44" s="11" t="str">
        <f ca="1">+WORLDCUP!BD62</f>
        <v>Costa de Marfil</v>
      </c>
      <c r="F44" s="11" t="str">
        <f ca="1">+WORLDCUP!BD61</f>
        <v>Australia</v>
      </c>
      <c r="G44" s="11" t="str">
        <f ca="1">+WORLDCUP!BD65</f>
        <v>Arabia Saudita</v>
      </c>
      <c r="H44" s="11" t="str">
        <f ca="1">+WORLDCUP!BD63</f>
        <v>Suecia</v>
      </c>
      <c r="I44" s="11" t="str">
        <f ca="1">+WORLDCUP!BD69</f>
        <v>Ghana</v>
      </c>
      <c r="J44" s="11" t="str">
        <f ca="1">+WORLDCUP!BD66</f>
        <v>Irak</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Haití</v>
      </c>
      <c r="D45" s="11" t="str">
        <f ca="1">+WORLDCUP!BD64</f>
        <v>Irán</v>
      </c>
      <c r="E45" s="11" t="str">
        <f ca="1">+WORLDCUP!BD62</f>
        <v>Costa de Marfil</v>
      </c>
      <c r="F45" s="11" t="str">
        <f ca="1">+WORLDCUP!BD61</f>
        <v>Australia</v>
      </c>
      <c r="G45" s="11" t="str">
        <f ca="1">+WORLDCUP!BD65</f>
        <v>Arabia Saudita</v>
      </c>
      <c r="H45" s="11" t="str">
        <f ca="1">+WORLDCUP!BD63</f>
        <v>Suecia</v>
      </c>
      <c r="I45" s="11" t="str">
        <f ca="1">+WORLDCUP!BD66</f>
        <v>Irak</v>
      </c>
      <c r="J45" s="11" t="str">
        <f ca="1">+WORLDCUP!BD68</f>
        <v>Uzbekistán</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Haití</v>
      </c>
      <c r="D46" s="11" t="str">
        <f ca="1">+WORLDCUP!BD64</f>
        <v>Irán</v>
      </c>
      <c r="E46" s="11" t="str">
        <f ca="1">+WORLDCUP!BD67</f>
        <v>Austria</v>
      </c>
      <c r="F46" s="11" t="str">
        <f ca="1">+WORLDCUP!BD61</f>
        <v>Australia</v>
      </c>
      <c r="G46" s="11" t="str">
        <f ca="1">+WORLDCUP!BD65</f>
        <v>Arabia Saudita</v>
      </c>
      <c r="H46" s="11" t="str">
        <f ca="1">+WORLDCUP!BD63</f>
        <v>Suecia</v>
      </c>
      <c r="I46" s="11" t="str">
        <f ca="1">+WORLDCUP!BD62</f>
        <v>Costa de Marfil</v>
      </c>
      <c r="J46" s="11" t="str">
        <f ca="1">+WORLDCUP!BD66</f>
        <v>Irak</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Arabia Saudita</v>
      </c>
      <c r="D47" s="11" t="str">
        <f ca="1">+WORLDCUP!BD67</f>
        <v>Austria</v>
      </c>
      <c r="E47" s="11" t="str">
        <f ca="1">+WORLDCUP!BD59</f>
        <v>Catar</v>
      </c>
      <c r="F47" s="11" t="str">
        <f ca="1">+WORLDCUP!BD63</f>
        <v>Suecia</v>
      </c>
      <c r="G47" s="11" t="str">
        <f ca="1">+WORLDCUP!BD66</f>
        <v>Irak</v>
      </c>
      <c r="H47" s="11" t="str">
        <f ca="1">+WORLDCUP!BD64</f>
        <v>Irán</v>
      </c>
      <c r="I47" s="11" t="str">
        <f ca="1">+WORLDCUP!BD69</f>
        <v>Ghana</v>
      </c>
      <c r="J47" s="11" t="str">
        <f ca="1">+WORLDCUP!BD68</f>
        <v>Uzbekistán</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Costa de Marfil</v>
      </c>
      <c r="D48" s="11" t="str">
        <f ca="1">+WORLDCUP!BD67</f>
        <v>Austria</v>
      </c>
      <c r="E48" s="11" t="str">
        <f ca="1">+WORLDCUP!BD66</f>
        <v>Irak</v>
      </c>
      <c r="F48" s="11" t="str">
        <f ca="1">+WORLDCUP!BD59</f>
        <v>Catar</v>
      </c>
      <c r="G48" s="11" t="str">
        <f ca="1">+WORLDCUP!BD65</f>
        <v>Arabia Saudita</v>
      </c>
      <c r="H48" s="11" t="str">
        <f ca="1">+WORLDCUP!BD64</f>
        <v>Irán</v>
      </c>
      <c r="I48" s="11" t="str">
        <f ca="1">+WORLDCUP!BD69</f>
        <v>Ghana</v>
      </c>
      <c r="J48" s="11" t="str">
        <f ca="1">+WORLDCUP!BD68</f>
        <v>Uzbekistán</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Costa de Marfil</v>
      </c>
      <c r="D49" s="11" t="str">
        <f ca="1">+WORLDCUP!BD67</f>
        <v>Austria</v>
      </c>
      <c r="E49" s="11" t="str">
        <f ca="1">+WORLDCUP!BD59</f>
        <v>Catar</v>
      </c>
      <c r="F49" s="11" t="str">
        <f ca="1">+WORLDCUP!BD63</f>
        <v>Suecia</v>
      </c>
      <c r="G49" s="11" t="str">
        <f ca="1">+WORLDCUP!BD66</f>
        <v>Irak</v>
      </c>
      <c r="H49" s="11" t="str">
        <f ca="1">+WORLDCUP!BD65</f>
        <v>Arabia Saudita</v>
      </c>
      <c r="I49" s="11" t="str">
        <f ca="1">+WORLDCUP!BD69</f>
        <v>Ghana</v>
      </c>
      <c r="J49" s="11" t="str">
        <f ca="1">+WORLDCUP!BD68</f>
        <v>Uzbekistán</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Costa de Marfil</v>
      </c>
      <c r="D50" s="11" t="str">
        <f ca="1">+WORLDCUP!BD67</f>
        <v>Austria</v>
      </c>
      <c r="E50" s="11" t="str">
        <f ca="1">+WORLDCUP!BD59</f>
        <v>Catar</v>
      </c>
      <c r="F50" s="11" t="str">
        <f ca="1">+WORLDCUP!BD63</f>
        <v>Suecia</v>
      </c>
      <c r="G50" s="11" t="str">
        <f ca="1">+WORLDCUP!BD66</f>
        <v>Irak</v>
      </c>
      <c r="H50" s="11" t="str">
        <f ca="1">+WORLDCUP!BD64</f>
        <v>Irán</v>
      </c>
      <c r="I50" s="11" t="str">
        <f ca="1">+WORLDCUP!BD69</f>
        <v>Ghana</v>
      </c>
      <c r="J50" s="11" t="str">
        <f ca="1">+WORLDCUP!BD68</f>
        <v>Uzbekistán</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Costa de Marfil</v>
      </c>
      <c r="D51" s="11" t="str">
        <f ca="1">+WORLDCUP!BD67</f>
        <v>Austria</v>
      </c>
      <c r="E51" s="11" t="str">
        <f ca="1">+WORLDCUP!BD59</f>
        <v>Catar</v>
      </c>
      <c r="F51" s="11" t="str">
        <f ca="1">+WORLDCUP!BD63</f>
        <v>Suecia</v>
      </c>
      <c r="G51" s="11" t="str">
        <f ca="1">+WORLDCUP!BD65</f>
        <v>Arabia Saudita</v>
      </c>
      <c r="H51" s="11" t="str">
        <f ca="1">+WORLDCUP!BD64</f>
        <v>Irán</v>
      </c>
      <c r="I51" s="11" t="str">
        <f ca="1">+WORLDCUP!BD69</f>
        <v>Ghana</v>
      </c>
      <c r="J51" s="11" t="str">
        <f ca="1">+WORLDCUP!BD68</f>
        <v>Uzbekistán</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Costa de Marfil</v>
      </c>
      <c r="D52" s="11" t="str">
        <f ca="1">+WORLDCUP!BD64</f>
        <v>Irán</v>
      </c>
      <c r="E52" s="11" t="str">
        <f ca="1">+WORLDCUP!BD59</f>
        <v>Catar</v>
      </c>
      <c r="F52" s="11" t="str">
        <f ca="1">+WORLDCUP!BD63</f>
        <v>Suecia</v>
      </c>
      <c r="G52" s="11" t="str">
        <f ca="1">+WORLDCUP!BD66</f>
        <v>Irak</v>
      </c>
      <c r="H52" s="11" t="str">
        <f ca="1">+WORLDCUP!BD65</f>
        <v>Arabia Saudita</v>
      </c>
      <c r="I52" s="11" t="str">
        <f ca="1">+WORLDCUP!BD69</f>
        <v>Ghana</v>
      </c>
      <c r="J52" s="11" t="str">
        <f ca="1">+WORLDCUP!BD68</f>
        <v>Uzbekistán</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Costa de Marfil</v>
      </c>
      <c r="D53" s="11" t="str">
        <f ca="1">+WORLDCUP!BD67</f>
        <v>Austria</v>
      </c>
      <c r="E53" s="11" t="str">
        <f ca="1">+WORLDCUP!BD59</f>
        <v>Catar</v>
      </c>
      <c r="F53" s="11" t="str">
        <f ca="1">+WORLDCUP!BD63</f>
        <v>Suecia</v>
      </c>
      <c r="G53" s="11" t="str">
        <f ca="1">+WORLDCUP!BD65</f>
        <v>Arabia Saudita</v>
      </c>
      <c r="H53" s="11" t="str">
        <f ca="1">+WORLDCUP!BD64</f>
        <v>Irán</v>
      </c>
      <c r="I53" s="11" t="str">
        <f ca="1">+WORLDCUP!BD69</f>
        <v>Ghana</v>
      </c>
      <c r="J53" s="11" t="str">
        <f ca="1">+WORLDCUP!BD66</f>
        <v>Irak</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Costa de Marfil</v>
      </c>
      <c r="D54" s="11" t="str">
        <f ca="1">+WORLDCUP!BD67</f>
        <v>Austria</v>
      </c>
      <c r="E54" s="11" t="str">
        <f ca="1">+WORLDCUP!BD59</f>
        <v>Catar</v>
      </c>
      <c r="F54" s="11" t="str">
        <f ca="1">+WORLDCUP!BD63</f>
        <v>Suecia</v>
      </c>
      <c r="G54" s="11" t="str">
        <f ca="1">+WORLDCUP!BD65</f>
        <v>Arabia Saudita</v>
      </c>
      <c r="H54" s="11" t="str">
        <f ca="1">+WORLDCUP!BD64</f>
        <v>Irán</v>
      </c>
      <c r="I54" s="11" t="str">
        <f ca="1">+WORLDCUP!BD66</f>
        <v>Irak</v>
      </c>
      <c r="J54" s="11" t="str">
        <f ca="1">+WORLDCUP!BD68</f>
        <v>Uzbekistán</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Arabia Saudita</v>
      </c>
      <c r="D55" s="11" t="str">
        <f ca="1">+WORLDCUP!BD67</f>
        <v>Austria</v>
      </c>
      <c r="E55" s="11" t="str">
        <f ca="1">+WORLDCUP!BD59</f>
        <v>Catar</v>
      </c>
      <c r="F55" s="11" t="str">
        <f ca="1">+WORLDCUP!BD61</f>
        <v>Australia</v>
      </c>
      <c r="G55" s="11" t="str">
        <f ca="1">+WORLDCUP!BD66</f>
        <v>Irak</v>
      </c>
      <c r="H55" s="11" t="str">
        <f ca="1">+WORLDCUP!BD64</f>
        <v>Irán</v>
      </c>
      <c r="I55" s="11" t="str">
        <f ca="1">+WORLDCUP!BD69</f>
        <v>Ghana</v>
      </c>
      <c r="J55" s="11" t="str">
        <f ca="1">+WORLDCUP!BD68</f>
        <v>Uzbekistán</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Arabia Saudita</v>
      </c>
      <c r="D56" s="11" t="str">
        <f ca="1">+WORLDCUP!BD67</f>
        <v>Austria</v>
      </c>
      <c r="E56" s="11" t="str">
        <f ca="1">+WORLDCUP!BD59</f>
        <v>Catar</v>
      </c>
      <c r="F56" s="11" t="str">
        <f ca="1">+WORLDCUP!BD61</f>
        <v>Australia</v>
      </c>
      <c r="G56" s="11" t="str">
        <f ca="1">+WORLDCUP!BD66</f>
        <v>Irak</v>
      </c>
      <c r="H56" s="11" t="str">
        <f ca="1">+WORLDCUP!BD63</f>
        <v>Suecia</v>
      </c>
      <c r="I56" s="11" t="str">
        <f ca="1">+WORLDCUP!BD69</f>
        <v>Ghana</v>
      </c>
      <c r="J56" s="11" t="str">
        <f ca="1">+WORLDCUP!BD68</f>
        <v>Uzbekistán</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Irak</v>
      </c>
      <c r="D57" s="11" t="str">
        <f ca="1">+WORLDCUP!BD64</f>
        <v>Irán</v>
      </c>
      <c r="E57" s="11" t="str">
        <f ca="1">+WORLDCUP!BD59</f>
        <v>Catar</v>
      </c>
      <c r="F57" s="11" t="str">
        <f ca="1">+WORLDCUP!BD61</f>
        <v>Australia</v>
      </c>
      <c r="G57" s="11" t="str">
        <f ca="1">+WORLDCUP!BD67</f>
        <v>Austria</v>
      </c>
      <c r="H57" s="11" t="str">
        <f ca="1">+WORLDCUP!BD63</f>
        <v>Suecia</v>
      </c>
      <c r="I57" s="11" t="str">
        <f ca="1">+WORLDCUP!BD69</f>
        <v>Ghana</v>
      </c>
      <c r="J57" s="11" t="str">
        <f ca="1">+WORLDCUP!BD68</f>
        <v>Uzbekistán</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Arabia Saudita</v>
      </c>
      <c r="D58" s="11" t="str">
        <f ca="1">+WORLDCUP!BD64</f>
        <v>Irán</v>
      </c>
      <c r="E58" s="11" t="str">
        <f ca="1">+WORLDCUP!BD59</f>
        <v>Catar</v>
      </c>
      <c r="F58" s="11" t="str">
        <f ca="1">+WORLDCUP!BD61</f>
        <v>Australia</v>
      </c>
      <c r="G58" s="11" t="str">
        <f ca="1">+WORLDCUP!BD67</f>
        <v>Austria</v>
      </c>
      <c r="H58" s="11" t="str">
        <f ca="1">+WORLDCUP!BD63</f>
        <v>Suecia</v>
      </c>
      <c r="I58" s="11" t="str">
        <f ca="1">+WORLDCUP!BD69</f>
        <v>Ghana</v>
      </c>
      <c r="J58" s="11" t="str">
        <f ca="1">+WORLDCUP!BD68</f>
        <v>Uzbekistán</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Arabia Saudita</v>
      </c>
      <c r="D59" s="11" t="str">
        <f ca="1">+WORLDCUP!BD64</f>
        <v>Irán</v>
      </c>
      <c r="E59" s="11" t="str">
        <f ca="1">+WORLDCUP!BD59</f>
        <v>Catar</v>
      </c>
      <c r="F59" s="11" t="str">
        <f ca="1">+WORLDCUP!BD61</f>
        <v>Australia</v>
      </c>
      <c r="G59" s="11" t="str">
        <f ca="1">+WORLDCUP!BD66</f>
        <v>Irak</v>
      </c>
      <c r="H59" s="11" t="str">
        <f ca="1">+WORLDCUP!BD63</f>
        <v>Suecia</v>
      </c>
      <c r="I59" s="11" t="str">
        <f ca="1">+WORLDCUP!BD69</f>
        <v>Ghana</v>
      </c>
      <c r="J59" s="11" t="str">
        <f ca="1">+WORLDCUP!BD68</f>
        <v>Uzbekistán</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Arabia Saudita</v>
      </c>
      <c r="D60" s="11" t="str">
        <f ca="1">+WORLDCUP!BD64</f>
        <v>Irán</v>
      </c>
      <c r="E60" s="11" t="str">
        <f ca="1">+WORLDCUP!BD59</f>
        <v>Catar</v>
      </c>
      <c r="F60" s="11" t="str">
        <f ca="1">+WORLDCUP!BD61</f>
        <v>Australia</v>
      </c>
      <c r="G60" s="11" t="str">
        <f ca="1">+WORLDCUP!BD67</f>
        <v>Austria</v>
      </c>
      <c r="H60" s="11" t="str">
        <f ca="1">+WORLDCUP!BD63</f>
        <v>Suecia</v>
      </c>
      <c r="I60" s="11" t="str">
        <f ca="1">+WORLDCUP!BD69</f>
        <v>Ghana</v>
      </c>
      <c r="J60" s="11" t="str">
        <f ca="1">+WORLDCUP!BD66</f>
        <v>Irak</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Arabia Saudita</v>
      </c>
      <c r="D61" s="11" t="str">
        <f ca="1">+WORLDCUP!BD64</f>
        <v>Irán</v>
      </c>
      <c r="E61" s="11" t="str">
        <f ca="1">+WORLDCUP!BD59</f>
        <v>Catar</v>
      </c>
      <c r="F61" s="11" t="str">
        <f ca="1">+WORLDCUP!BD61</f>
        <v>Australia</v>
      </c>
      <c r="G61" s="11" t="str">
        <f ca="1">+WORLDCUP!BD67</f>
        <v>Austria</v>
      </c>
      <c r="H61" s="11" t="str">
        <f ca="1">+WORLDCUP!BD63</f>
        <v>Suecia</v>
      </c>
      <c r="I61" s="11" t="str">
        <f ca="1">+WORLDCUP!BD66</f>
        <v>Irak</v>
      </c>
      <c r="J61" s="11" t="str">
        <f ca="1">+WORLDCUP!BD68</f>
        <v>Uzbekistán</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Costa de Marfil</v>
      </c>
      <c r="D62" s="11" t="str">
        <f ca="1">+WORLDCUP!BD67</f>
        <v>Austria</v>
      </c>
      <c r="E62" s="11" t="str">
        <f ca="1">+WORLDCUP!BD59</f>
        <v>Catar</v>
      </c>
      <c r="F62" s="11" t="str">
        <f ca="1">+WORLDCUP!BD61</f>
        <v>Australia</v>
      </c>
      <c r="G62" s="11" t="str">
        <f ca="1">+WORLDCUP!BD66</f>
        <v>Irak</v>
      </c>
      <c r="H62" s="11" t="str">
        <f ca="1">+WORLDCUP!BD65</f>
        <v>Arabia Saudita</v>
      </c>
      <c r="I62" s="11" t="str">
        <f ca="1">+WORLDCUP!BD69</f>
        <v>Ghana</v>
      </c>
      <c r="J62" s="11" t="str">
        <f ca="1">+WORLDCUP!BD68</f>
        <v>Uzbekistán</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Costa de Marfil</v>
      </c>
      <c r="D63" s="11" t="str">
        <f ca="1">+WORLDCUP!BD67</f>
        <v>Austria</v>
      </c>
      <c r="E63" s="11" t="str">
        <f ca="1">+WORLDCUP!BD59</f>
        <v>Catar</v>
      </c>
      <c r="F63" s="11" t="str">
        <f ca="1">+WORLDCUP!BD61</f>
        <v>Australia</v>
      </c>
      <c r="G63" s="11" t="str">
        <f ca="1">+WORLDCUP!BD66</f>
        <v>Irak</v>
      </c>
      <c r="H63" s="11" t="str">
        <f ca="1">+WORLDCUP!BD64</f>
        <v>Irán</v>
      </c>
      <c r="I63" s="11" t="str">
        <f ca="1">+WORLDCUP!BD69</f>
        <v>Ghana</v>
      </c>
      <c r="J63" s="11" t="str">
        <f ca="1">+WORLDCUP!BD68</f>
        <v>Uzbekistán</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Costa de Marfil</v>
      </c>
      <c r="D64" s="11" t="str">
        <f ca="1">+WORLDCUP!BD67</f>
        <v>Austria</v>
      </c>
      <c r="E64" s="11" t="str">
        <f ca="1">+WORLDCUP!BD59</f>
        <v>Catar</v>
      </c>
      <c r="F64" s="11" t="str">
        <f ca="1">+WORLDCUP!BD61</f>
        <v>Australia</v>
      </c>
      <c r="G64" s="11" t="str">
        <f ca="1">+WORLDCUP!BD65</f>
        <v>Arabia Saudita</v>
      </c>
      <c r="H64" s="11" t="str">
        <f ca="1">+WORLDCUP!BD64</f>
        <v>Irán</v>
      </c>
      <c r="I64" s="11" t="str">
        <f ca="1">+WORLDCUP!BD69</f>
        <v>Ghana</v>
      </c>
      <c r="J64" s="11" t="str">
        <f ca="1">+WORLDCUP!BD68</f>
        <v>Uzbekistán</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Costa de Marfil</v>
      </c>
      <c r="D65" s="11" t="str">
        <f ca="1">+WORLDCUP!BD64</f>
        <v>Irán</v>
      </c>
      <c r="E65" s="11" t="str">
        <f ca="1">+WORLDCUP!BD59</f>
        <v>Catar</v>
      </c>
      <c r="F65" s="11" t="str">
        <f ca="1">+WORLDCUP!BD61</f>
        <v>Australia</v>
      </c>
      <c r="G65" s="11" t="str">
        <f ca="1">+WORLDCUP!BD66</f>
        <v>Irak</v>
      </c>
      <c r="H65" s="11" t="str">
        <f ca="1">+WORLDCUP!BD65</f>
        <v>Arabia Saudita</v>
      </c>
      <c r="I65" s="11" t="str">
        <f ca="1">+WORLDCUP!BD69</f>
        <v>Ghana</v>
      </c>
      <c r="J65" s="11" t="str">
        <f ca="1">+WORLDCUP!BD68</f>
        <v>Uzbekistán</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Costa de Marfil</v>
      </c>
      <c r="D66" s="11" t="str">
        <f ca="1">+WORLDCUP!BD67</f>
        <v>Austria</v>
      </c>
      <c r="E66" s="11" t="str">
        <f ca="1">+WORLDCUP!BD59</f>
        <v>Catar</v>
      </c>
      <c r="F66" s="11" t="str">
        <f ca="1">+WORLDCUP!BD61</f>
        <v>Australia</v>
      </c>
      <c r="G66" s="11" t="str">
        <f ca="1">+WORLDCUP!BD65</f>
        <v>Arabia Saudita</v>
      </c>
      <c r="H66" s="11" t="str">
        <f ca="1">+WORLDCUP!BD64</f>
        <v>Irán</v>
      </c>
      <c r="I66" s="11" t="str">
        <f ca="1">+WORLDCUP!BD69</f>
        <v>Ghana</v>
      </c>
      <c r="J66" s="11" t="str">
        <f ca="1">+WORLDCUP!BD66</f>
        <v>Irak</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Costa de Marfil</v>
      </c>
      <c r="D67" s="11" t="str">
        <f ca="1">+WORLDCUP!BD67</f>
        <v>Austria</v>
      </c>
      <c r="E67" s="11" t="str">
        <f ca="1">+WORLDCUP!BD59</f>
        <v>Catar</v>
      </c>
      <c r="F67" s="11" t="str">
        <f ca="1">+WORLDCUP!BD61</f>
        <v>Australia</v>
      </c>
      <c r="G67" s="11" t="str">
        <f ca="1">+WORLDCUP!BD65</f>
        <v>Arabia Saudita</v>
      </c>
      <c r="H67" s="11" t="str">
        <f ca="1">+WORLDCUP!BD64</f>
        <v>Irán</v>
      </c>
      <c r="I67" s="11" t="str">
        <f ca="1">+WORLDCUP!BD66</f>
        <v>Irak</v>
      </c>
      <c r="J67" s="11" t="str">
        <f ca="1">+WORLDCUP!BD68</f>
        <v>Uzbekistán</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Costa de Marfil</v>
      </c>
      <c r="D68" s="11" t="str">
        <f ca="1">+WORLDCUP!BD67</f>
        <v>Austria</v>
      </c>
      <c r="E68" s="11" t="str">
        <f ca="1">+WORLDCUP!BD59</f>
        <v>Catar</v>
      </c>
      <c r="F68" s="11" t="str">
        <f ca="1">+WORLDCUP!BD61</f>
        <v>Australia</v>
      </c>
      <c r="G68" s="11" t="str">
        <f ca="1">+WORLDCUP!BD66</f>
        <v>Irak</v>
      </c>
      <c r="H68" s="11" t="str">
        <f ca="1">+WORLDCUP!BD63</f>
        <v>Suecia</v>
      </c>
      <c r="I68" s="11" t="str">
        <f ca="1">+WORLDCUP!BD69</f>
        <v>Ghana</v>
      </c>
      <c r="J68" s="11" t="str">
        <f ca="1">+WORLDCUP!BD68</f>
        <v>Uzbekistán</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Costa de Marfil</v>
      </c>
      <c r="D69" s="11" t="str">
        <f ca="1">+WORLDCUP!BD67</f>
        <v>Austria</v>
      </c>
      <c r="E69" s="11" t="str">
        <f ca="1">+WORLDCUP!BD59</f>
        <v>Catar</v>
      </c>
      <c r="F69" s="11" t="str">
        <f ca="1">+WORLDCUP!BD61</f>
        <v>Australia</v>
      </c>
      <c r="G69" s="11" t="str">
        <f ca="1">+WORLDCUP!BD65</f>
        <v>Arabia Saudita</v>
      </c>
      <c r="H69" s="11" t="str">
        <f ca="1">+WORLDCUP!BD63</f>
        <v>Suecia</v>
      </c>
      <c r="I69" s="11" t="str">
        <f ca="1">+WORLDCUP!BD69</f>
        <v>Ghana</v>
      </c>
      <c r="J69" s="11" t="str">
        <f ca="1">+WORLDCUP!BD68</f>
        <v>Uzbekistán</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Costa de Marfil</v>
      </c>
      <c r="D70" s="11" t="str">
        <f ca="1">+WORLDCUP!BD66</f>
        <v>Irak</v>
      </c>
      <c r="E70" s="11" t="str">
        <f ca="1">+WORLDCUP!BD59</f>
        <v>Catar</v>
      </c>
      <c r="F70" s="11" t="str">
        <f ca="1">+WORLDCUP!BD61</f>
        <v>Australia</v>
      </c>
      <c r="G70" s="11" t="str">
        <f ca="1">+WORLDCUP!BD65</f>
        <v>Arabia Saudita</v>
      </c>
      <c r="H70" s="11" t="str">
        <f ca="1">+WORLDCUP!BD63</f>
        <v>Suecia</v>
      </c>
      <c r="I70" s="11" t="str">
        <f ca="1">+WORLDCUP!BD69</f>
        <v>Ghana</v>
      </c>
      <c r="J70" s="11" t="str">
        <f ca="1">+WORLDCUP!BD68</f>
        <v>Uzbekistán</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Costa de Marfil</v>
      </c>
      <c r="D71" s="11" t="str">
        <f ca="1">+WORLDCUP!BD67</f>
        <v>Austria</v>
      </c>
      <c r="E71" s="11" t="str">
        <f ca="1">+WORLDCUP!BD59</f>
        <v>Catar</v>
      </c>
      <c r="F71" s="11" t="str">
        <f ca="1">+WORLDCUP!BD61</f>
        <v>Australia</v>
      </c>
      <c r="G71" s="11" t="str">
        <f ca="1">+WORLDCUP!BD65</f>
        <v>Arabia Saudita</v>
      </c>
      <c r="H71" s="11" t="str">
        <f ca="1">+WORLDCUP!BD63</f>
        <v>Suecia</v>
      </c>
      <c r="I71" s="11" t="str">
        <f ca="1">+WORLDCUP!BD69</f>
        <v>Ghana</v>
      </c>
      <c r="J71" s="11" t="str">
        <f ca="1">+WORLDCUP!BD66</f>
        <v>Irak</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Costa de Marfil</v>
      </c>
      <c r="D72" s="11" t="str">
        <f ca="1">+WORLDCUP!BD67</f>
        <v>Austria</v>
      </c>
      <c r="E72" s="11" t="str">
        <f ca="1">+WORLDCUP!BD59</f>
        <v>Catar</v>
      </c>
      <c r="F72" s="11" t="str">
        <f ca="1">+WORLDCUP!BD61</f>
        <v>Australia</v>
      </c>
      <c r="G72" s="11" t="str">
        <f ca="1">+WORLDCUP!BD65</f>
        <v>Arabia Saudita</v>
      </c>
      <c r="H72" s="11" t="str">
        <f ca="1">+WORLDCUP!BD63</f>
        <v>Suecia</v>
      </c>
      <c r="I72" s="11" t="str">
        <f ca="1">+WORLDCUP!BD66</f>
        <v>Irak</v>
      </c>
      <c r="J72" s="11" t="str">
        <f ca="1">+WORLDCUP!BD68</f>
        <v>Uzbekistán</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Costa de Marfil</v>
      </c>
      <c r="D73" s="11" t="str">
        <f ca="1">+WORLDCUP!BD64</f>
        <v>Irán</v>
      </c>
      <c r="E73" s="11" t="str">
        <f ca="1">+WORLDCUP!BD59</f>
        <v>Catar</v>
      </c>
      <c r="F73" s="11" t="str">
        <f ca="1">+WORLDCUP!BD61</f>
        <v>Australia</v>
      </c>
      <c r="G73" s="11" t="str">
        <f ca="1">+WORLDCUP!BD67</f>
        <v>Austria</v>
      </c>
      <c r="H73" s="11" t="str">
        <f ca="1">+WORLDCUP!BD63</f>
        <v>Suecia</v>
      </c>
      <c r="I73" s="11" t="str">
        <f ca="1">+WORLDCUP!BD69</f>
        <v>Ghana</v>
      </c>
      <c r="J73" s="11" t="str">
        <f ca="1">+WORLDCUP!BD68</f>
        <v>Uzbekistán</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Costa de Marfil</v>
      </c>
      <c r="D74" s="11" t="str">
        <f ca="1">+WORLDCUP!BD64</f>
        <v>Irán</v>
      </c>
      <c r="E74" s="11" t="str">
        <f ca="1">+WORLDCUP!BD59</f>
        <v>Catar</v>
      </c>
      <c r="F74" s="11" t="str">
        <f ca="1">+WORLDCUP!BD61</f>
        <v>Australia</v>
      </c>
      <c r="G74" s="11" t="str">
        <f ca="1">+WORLDCUP!BD66</f>
        <v>Irak</v>
      </c>
      <c r="H74" s="11" t="str">
        <f ca="1">+WORLDCUP!BD63</f>
        <v>Suecia</v>
      </c>
      <c r="I74" s="11" t="str">
        <f ca="1">+WORLDCUP!BD69</f>
        <v>Ghana</v>
      </c>
      <c r="J74" s="11" t="str">
        <f ca="1">+WORLDCUP!BD68</f>
        <v>Uzbekistán</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Costa de Marfil</v>
      </c>
      <c r="D75" s="11" t="str">
        <f ca="1">+WORLDCUP!BD64</f>
        <v>Irán</v>
      </c>
      <c r="E75" s="11" t="str">
        <f ca="1">+WORLDCUP!BD59</f>
        <v>Catar</v>
      </c>
      <c r="F75" s="11" t="str">
        <f ca="1">+WORLDCUP!BD61</f>
        <v>Australia</v>
      </c>
      <c r="G75" s="11" t="str">
        <f ca="1">+WORLDCUP!BD67</f>
        <v>Austria</v>
      </c>
      <c r="H75" s="11" t="str">
        <f ca="1">+WORLDCUP!BD63</f>
        <v>Suecia</v>
      </c>
      <c r="I75" s="11" t="str">
        <f ca="1">+WORLDCUP!BD69</f>
        <v>Ghana</v>
      </c>
      <c r="J75" s="11" t="str">
        <f ca="1">+WORLDCUP!BD66</f>
        <v>Irak</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Costa de Marfil</v>
      </c>
      <c r="D76" s="11" t="str">
        <f ca="1">+WORLDCUP!BD64</f>
        <v>Irán</v>
      </c>
      <c r="E76" s="11" t="str">
        <f ca="1">+WORLDCUP!BD59</f>
        <v>Catar</v>
      </c>
      <c r="F76" s="11" t="str">
        <f ca="1">+WORLDCUP!BD61</f>
        <v>Australia</v>
      </c>
      <c r="G76" s="11" t="str">
        <f ca="1">+WORLDCUP!BD67</f>
        <v>Austria</v>
      </c>
      <c r="H76" s="11" t="str">
        <f ca="1">+WORLDCUP!BD63</f>
        <v>Suecia</v>
      </c>
      <c r="I76" s="11" t="str">
        <f ca="1">+WORLDCUP!BD66</f>
        <v>Irak</v>
      </c>
      <c r="J76" s="11" t="str">
        <f ca="1">+WORLDCUP!BD68</f>
        <v>Uzbekistán</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Costa de Marfil</v>
      </c>
      <c r="D77" s="11" t="str">
        <f ca="1">+WORLDCUP!BD64</f>
        <v>Irán</v>
      </c>
      <c r="E77" s="11" t="str">
        <f ca="1">+WORLDCUP!BD59</f>
        <v>Catar</v>
      </c>
      <c r="F77" s="11" t="str">
        <f ca="1">+WORLDCUP!BD61</f>
        <v>Australia</v>
      </c>
      <c r="G77" s="11" t="str">
        <f ca="1">+WORLDCUP!BD65</f>
        <v>Arabia Saudita</v>
      </c>
      <c r="H77" s="11" t="str">
        <f ca="1">+WORLDCUP!BD63</f>
        <v>Suecia</v>
      </c>
      <c r="I77" s="11" t="str">
        <f ca="1">+WORLDCUP!BD69</f>
        <v>Ghana</v>
      </c>
      <c r="J77" s="11" t="str">
        <f ca="1">+WORLDCUP!BD68</f>
        <v>Uzbekistán</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Arabia Saudita</v>
      </c>
      <c r="D78" s="11" t="str">
        <f ca="1">+WORLDCUP!BD64</f>
        <v>Irán</v>
      </c>
      <c r="E78" s="11" t="str">
        <f ca="1">+WORLDCUP!BD59</f>
        <v>Catar</v>
      </c>
      <c r="F78" s="11" t="str">
        <f ca="1">+WORLDCUP!BD61</f>
        <v>Australia</v>
      </c>
      <c r="G78" s="11" t="str">
        <f ca="1">+WORLDCUP!BD67</f>
        <v>Austria</v>
      </c>
      <c r="H78" s="11" t="str">
        <f ca="1">+WORLDCUP!BD63</f>
        <v>Suecia</v>
      </c>
      <c r="I78" s="11" t="str">
        <f ca="1">+WORLDCUP!BD69</f>
        <v>Ghana</v>
      </c>
      <c r="J78" s="11" t="str">
        <f ca="1">+WORLDCUP!BD62</f>
        <v>Costa de Marfil</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Arabia Saudita</v>
      </c>
      <c r="D79" s="11" t="str">
        <f ca="1">+WORLDCUP!BD64</f>
        <v>Irán</v>
      </c>
      <c r="E79" s="11" t="str">
        <f ca="1">+WORLDCUP!BD59</f>
        <v>Catar</v>
      </c>
      <c r="F79" s="11" t="str">
        <f ca="1">+WORLDCUP!BD61</f>
        <v>Australia</v>
      </c>
      <c r="G79" s="11" t="str">
        <f ca="1">+WORLDCUP!BD67</f>
        <v>Austria</v>
      </c>
      <c r="H79" s="11" t="str">
        <f ca="1">+WORLDCUP!BD63</f>
        <v>Suecia</v>
      </c>
      <c r="I79" s="11" t="str">
        <f ca="1">+WORLDCUP!BD62</f>
        <v>Costa de Marfil</v>
      </c>
      <c r="J79" s="11" t="str">
        <f ca="1">+WORLDCUP!BD68</f>
        <v>Uzbekistán</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Costa de Marfil</v>
      </c>
      <c r="D80" s="11" t="str">
        <f ca="1">+WORLDCUP!BD64</f>
        <v>Irán</v>
      </c>
      <c r="E80" s="11" t="str">
        <f ca="1">+WORLDCUP!BD59</f>
        <v>Catar</v>
      </c>
      <c r="F80" s="11" t="str">
        <f ca="1">+WORLDCUP!BD61</f>
        <v>Australia</v>
      </c>
      <c r="G80" s="11" t="str">
        <f ca="1">+WORLDCUP!BD65</f>
        <v>Arabia Saudita</v>
      </c>
      <c r="H80" s="11" t="str">
        <f ca="1">+WORLDCUP!BD63</f>
        <v>Suecia</v>
      </c>
      <c r="I80" s="11" t="str">
        <f ca="1">+WORLDCUP!BD69</f>
        <v>Ghana</v>
      </c>
      <c r="J80" s="11" t="str">
        <f ca="1">+WORLDCUP!BD66</f>
        <v>Irak</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Costa de Marfil</v>
      </c>
      <c r="D81" s="11" t="str">
        <f ca="1">+WORLDCUP!BD64</f>
        <v>Irán</v>
      </c>
      <c r="E81" s="11" t="str">
        <f ca="1">+WORLDCUP!BD59</f>
        <v>Catar</v>
      </c>
      <c r="F81" s="11" t="str">
        <f ca="1">+WORLDCUP!BD61</f>
        <v>Australia</v>
      </c>
      <c r="G81" s="11" t="str">
        <f ca="1">+WORLDCUP!BD65</f>
        <v>Arabia Saudita</v>
      </c>
      <c r="H81" s="11" t="str">
        <f ca="1">+WORLDCUP!BD63</f>
        <v>Suecia</v>
      </c>
      <c r="I81" s="11" t="str">
        <f ca="1">+WORLDCUP!BD66</f>
        <v>Irak</v>
      </c>
      <c r="J81" s="11" t="str">
        <f ca="1">+WORLDCUP!BD68</f>
        <v>Uzbekistán</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Arabia Saudita</v>
      </c>
      <c r="D82" s="11" t="str">
        <f ca="1">+WORLDCUP!BD64</f>
        <v>Irán</v>
      </c>
      <c r="E82" s="11" t="str">
        <f ca="1">+WORLDCUP!BD59</f>
        <v>Catar</v>
      </c>
      <c r="F82" s="11" t="str">
        <f ca="1">+WORLDCUP!BD61</f>
        <v>Australia</v>
      </c>
      <c r="G82" s="11" t="str">
        <f ca="1">+WORLDCUP!BD67</f>
        <v>Austria</v>
      </c>
      <c r="H82" s="11" t="str">
        <f ca="1">+WORLDCUP!BD63</f>
        <v>Suecia</v>
      </c>
      <c r="I82" s="11" t="str">
        <f ca="1">+WORLDCUP!BD62</f>
        <v>Costa de Marfil</v>
      </c>
      <c r="J82" s="11" t="str">
        <f ca="1">+WORLDCUP!BD66</f>
        <v>Irak</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Arabia Saudita</v>
      </c>
      <c r="D83" s="11" t="str">
        <f ca="1">+WORLDCUP!BD67</f>
        <v>Austria</v>
      </c>
      <c r="E83" s="11" t="str">
        <f ca="1">+WORLDCUP!BD59</f>
        <v>Catar</v>
      </c>
      <c r="F83" s="11" t="str">
        <f ca="1">+WORLDCUP!BD60</f>
        <v>Haití</v>
      </c>
      <c r="G83" s="11" t="str">
        <f ca="1">+WORLDCUP!BD66</f>
        <v>Irak</v>
      </c>
      <c r="H83" s="11" t="str">
        <f ca="1">+WORLDCUP!BD64</f>
        <v>Irán</v>
      </c>
      <c r="I83" s="11" t="str">
        <f ca="1">+WORLDCUP!BD69</f>
        <v>Ghana</v>
      </c>
      <c r="J83" s="11" t="str">
        <f ca="1">+WORLDCUP!BD68</f>
        <v>Uzbekistán</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Arabia Saudita</v>
      </c>
      <c r="D84" s="11" t="str">
        <f ca="1">+WORLDCUP!BD67</f>
        <v>Austria</v>
      </c>
      <c r="E84" s="11" t="str">
        <f ca="1">+WORLDCUP!BD59</f>
        <v>Catar</v>
      </c>
      <c r="F84" s="11" t="str">
        <f ca="1">+WORLDCUP!BD60</f>
        <v>Haití</v>
      </c>
      <c r="G84" s="11" t="str">
        <f ca="1">+WORLDCUP!BD66</f>
        <v>Irak</v>
      </c>
      <c r="H84" s="11" t="str">
        <f ca="1">+WORLDCUP!BD63</f>
        <v>Suecia</v>
      </c>
      <c r="I84" s="11" t="str">
        <f ca="1">+WORLDCUP!BD69</f>
        <v>Ghana</v>
      </c>
      <c r="J84" s="11" t="str">
        <f ca="1">+WORLDCUP!BD68</f>
        <v>Uzbekistán</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Irak</v>
      </c>
      <c r="D85" s="11" t="str">
        <f ca="1">+WORLDCUP!BD64</f>
        <v>Irán</v>
      </c>
      <c r="E85" s="11" t="str">
        <f ca="1">+WORLDCUP!BD59</f>
        <v>Catar</v>
      </c>
      <c r="F85" s="11" t="str">
        <f ca="1">+WORLDCUP!BD60</f>
        <v>Haití</v>
      </c>
      <c r="G85" s="11" t="str">
        <f ca="1">+WORLDCUP!BD67</f>
        <v>Austria</v>
      </c>
      <c r="H85" s="11" t="str">
        <f ca="1">+WORLDCUP!BD63</f>
        <v>Suecia</v>
      </c>
      <c r="I85" s="11" t="str">
        <f ca="1">+WORLDCUP!BD69</f>
        <v>Ghana</v>
      </c>
      <c r="J85" s="11" t="str">
        <f ca="1">+WORLDCUP!BD68</f>
        <v>Uzbekistán</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Arabia Saudita</v>
      </c>
      <c r="D86" s="11" t="str">
        <f ca="1">+WORLDCUP!BD64</f>
        <v>Irán</v>
      </c>
      <c r="E86" s="11" t="str">
        <f ca="1">+WORLDCUP!BD59</f>
        <v>Catar</v>
      </c>
      <c r="F86" s="11" t="str">
        <f ca="1">+WORLDCUP!BD60</f>
        <v>Haití</v>
      </c>
      <c r="G86" s="11" t="str">
        <f ca="1">+WORLDCUP!BD67</f>
        <v>Austria</v>
      </c>
      <c r="H86" s="11" t="str">
        <f ca="1">+WORLDCUP!BD63</f>
        <v>Suecia</v>
      </c>
      <c r="I86" s="11" t="str">
        <f ca="1">+WORLDCUP!BD69</f>
        <v>Ghana</v>
      </c>
      <c r="J86" s="11" t="str">
        <f ca="1">+WORLDCUP!BD68</f>
        <v>Uzbekistán</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Arabia Saudita</v>
      </c>
      <c r="D87" s="11" t="str">
        <f ca="1">+WORLDCUP!BD64</f>
        <v>Irán</v>
      </c>
      <c r="E87" s="11" t="str">
        <f ca="1">+WORLDCUP!BD59</f>
        <v>Catar</v>
      </c>
      <c r="F87" s="11" t="str">
        <f ca="1">+WORLDCUP!BD60</f>
        <v>Haití</v>
      </c>
      <c r="G87" s="11" t="str">
        <f ca="1">+WORLDCUP!BD66</f>
        <v>Irak</v>
      </c>
      <c r="H87" s="11" t="str">
        <f ca="1">+WORLDCUP!BD63</f>
        <v>Suecia</v>
      </c>
      <c r="I87" s="11" t="str">
        <f ca="1">+WORLDCUP!BD69</f>
        <v>Ghana</v>
      </c>
      <c r="J87" s="11" t="str">
        <f ca="1">+WORLDCUP!BD68</f>
        <v>Uzbekistán</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Arabia Saudita</v>
      </c>
      <c r="D88" s="11" t="str">
        <f ca="1">+WORLDCUP!BD64</f>
        <v>Irán</v>
      </c>
      <c r="E88" s="11" t="str">
        <f ca="1">+WORLDCUP!BD59</f>
        <v>Catar</v>
      </c>
      <c r="F88" s="11" t="str">
        <f ca="1">+WORLDCUP!BD60</f>
        <v>Haití</v>
      </c>
      <c r="G88" s="11" t="str">
        <f ca="1">+WORLDCUP!BD67</f>
        <v>Austria</v>
      </c>
      <c r="H88" s="11" t="str">
        <f ca="1">+WORLDCUP!BD63</f>
        <v>Suecia</v>
      </c>
      <c r="I88" s="11" t="str">
        <f ca="1">+WORLDCUP!BD69</f>
        <v>Ghana</v>
      </c>
      <c r="J88" s="11" t="str">
        <f ca="1">+WORLDCUP!BD66</f>
        <v>Irak</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Arabia Saudita</v>
      </c>
      <c r="D89" s="11" t="str">
        <f ca="1">+WORLDCUP!BD64</f>
        <v>Irán</v>
      </c>
      <c r="E89" s="11" t="str">
        <f ca="1">+WORLDCUP!BD59</f>
        <v>Catar</v>
      </c>
      <c r="F89" s="11" t="str">
        <f ca="1">+WORLDCUP!BD60</f>
        <v>Haití</v>
      </c>
      <c r="G89" s="11" t="str">
        <f ca="1">+WORLDCUP!BD67</f>
        <v>Austria</v>
      </c>
      <c r="H89" s="11" t="str">
        <f ca="1">+WORLDCUP!BD63</f>
        <v>Suecia</v>
      </c>
      <c r="I89" s="11" t="str">
        <f ca="1">+WORLDCUP!BD66</f>
        <v>Irak</v>
      </c>
      <c r="J89" s="11" t="str">
        <f ca="1">+WORLDCUP!BD68</f>
        <v>Uzbekistán</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Costa de Marfil</v>
      </c>
      <c r="D90" s="11" t="str">
        <f ca="1">+WORLDCUP!BD67</f>
        <v>Austria</v>
      </c>
      <c r="E90" s="11" t="str">
        <f ca="1">+WORLDCUP!BD59</f>
        <v>Catar</v>
      </c>
      <c r="F90" s="11" t="str">
        <f ca="1">+WORLDCUP!BD60</f>
        <v>Haití</v>
      </c>
      <c r="G90" s="11" t="str">
        <f ca="1">+WORLDCUP!BD66</f>
        <v>Irak</v>
      </c>
      <c r="H90" s="11" t="str">
        <f ca="1">+WORLDCUP!BD65</f>
        <v>Arabia Saudita</v>
      </c>
      <c r="I90" s="11" t="str">
        <f ca="1">+WORLDCUP!BD69</f>
        <v>Ghana</v>
      </c>
      <c r="J90" s="11" t="str">
        <f ca="1">+WORLDCUP!BD68</f>
        <v>Uzbekistán</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Costa de Marfil</v>
      </c>
      <c r="D91" s="11" t="str">
        <f ca="1">+WORLDCUP!BD67</f>
        <v>Austria</v>
      </c>
      <c r="E91" s="11" t="str">
        <f ca="1">+WORLDCUP!BD59</f>
        <v>Catar</v>
      </c>
      <c r="F91" s="11" t="str">
        <f ca="1">+WORLDCUP!BD60</f>
        <v>Haití</v>
      </c>
      <c r="G91" s="11" t="str">
        <f ca="1">+WORLDCUP!BD66</f>
        <v>Irak</v>
      </c>
      <c r="H91" s="11" t="str">
        <f ca="1">+WORLDCUP!BD64</f>
        <v>Irán</v>
      </c>
      <c r="I91" s="11" t="str">
        <f ca="1">+WORLDCUP!BD69</f>
        <v>Ghana</v>
      </c>
      <c r="J91" s="11" t="str">
        <f ca="1">+WORLDCUP!BD68</f>
        <v>Uzbekistán</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Costa de Marfil</v>
      </c>
      <c r="D92" s="11" t="str">
        <f ca="1">+WORLDCUP!BD67</f>
        <v>Austria</v>
      </c>
      <c r="E92" s="11" t="str">
        <f ca="1">+WORLDCUP!BD59</f>
        <v>Catar</v>
      </c>
      <c r="F92" s="11" t="str">
        <f ca="1">+WORLDCUP!BD60</f>
        <v>Haití</v>
      </c>
      <c r="G92" s="11" t="str">
        <f ca="1">+WORLDCUP!BD65</f>
        <v>Arabia Saudita</v>
      </c>
      <c r="H92" s="11" t="str">
        <f ca="1">+WORLDCUP!BD64</f>
        <v>Irán</v>
      </c>
      <c r="I92" s="11" t="str">
        <f ca="1">+WORLDCUP!BD69</f>
        <v>Ghana</v>
      </c>
      <c r="J92" s="11" t="str">
        <f ca="1">+WORLDCUP!BD68</f>
        <v>Uzbekistán</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Costa de Marfil</v>
      </c>
      <c r="D93" s="11" t="str">
        <f ca="1">+WORLDCUP!BD64</f>
        <v>Irán</v>
      </c>
      <c r="E93" s="11" t="str">
        <f ca="1">+WORLDCUP!BD59</f>
        <v>Catar</v>
      </c>
      <c r="F93" s="11" t="str">
        <f ca="1">+WORLDCUP!BD60</f>
        <v>Haití</v>
      </c>
      <c r="G93" s="11" t="str">
        <f ca="1">+WORLDCUP!BD66</f>
        <v>Irak</v>
      </c>
      <c r="H93" s="11" t="str">
        <f ca="1">+WORLDCUP!BD65</f>
        <v>Arabia Saudita</v>
      </c>
      <c r="I93" s="11" t="str">
        <f ca="1">+WORLDCUP!BD69</f>
        <v>Ghana</v>
      </c>
      <c r="J93" s="11" t="str">
        <f ca="1">+WORLDCUP!BD68</f>
        <v>Uzbekistán</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Costa de Marfil</v>
      </c>
      <c r="D94" s="11" t="str">
        <f ca="1">+WORLDCUP!BD67</f>
        <v>Austria</v>
      </c>
      <c r="E94" s="11" t="str">
        <f ca="1">+WORLDCUP!BD59</f>
        <v>Catar</v>
      </c>
      <c r="F94" s="11" t="str">
        <f ca="1">+WORLDCUP!BD60</f>
        <v>Haití</v>
      </c>
      <c r="G94" s="11" t="str">
        <f ca="1">+WORLDCUP!BD65</f>
        <v>Arabia Saudita</v>
      </c>
      <c r="H94" s="11" t="str">
        <f ca="1">+WORLDCUP!BD64</f>
        <v>Irán</v>
      </c>
      <c r="I94" s="11" t="str">
        <f ca="1">+WORLDCUP!BD69</f>
        <v>Ghana</v>
      </c>
      <c r="J94" s="11" t="str">
        <f ca="1">+WORLDCUP!BD66</f>
        <v>Irak</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Costa de Marfil</v>
      </c>
      <c r="D95" s="11" t="str">
        <f ca="1">+WORLDCUP!BD67</f>
        <v>Austria</v>
      </c>
      <c r="E95" s="11" t="str">
        <f ca="1">+WORLDCUP!BD59</f>
        <v>Catar</v>
      </c>
      <c r="F95" s="11" t="str">
        <f ca="1">+WORLDCUP!BD60</f>
        <v>Haití</v>
      </c>
      <c r="G95" s="11" t="str">
        <f ca="1">+WORLDCUP!BD65</f>
        <v>Arabia Saudita</v>
      </c>
      <c r="H95" s="11" t="str">
        <f ca="1">+WORLDCUP!BD64</f>
        <v>Irán</v>
      </c>
      <c r="I95" s="11" t="str">
        <f ca="1">+WORLDCUP!BD66</f>
        <v>Irak</v>
      </c>
      <c r="J95" s="11" t="str">
        <f ca="1">+WORLDCUP!BD68</f>
        <v>Uzbekistán</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Costa de Marfil</v>
      </c>
      <c r="D96" s="11" t="str">
        <f ca="1">+WORLDCUP!BD67</f>
        <v>Austria</v>
      </c>
      <c r="E96" s="11" t="str">
        <f ca="1">+WORLDCUP!BD59</f>
        <v>Catar</v>
      </c>
      <c r="F96" s="11" t="str">
        <f ca="1">+WORLDCUP!BD60</f>
        <v>Haití</v>
      </c>
      <c r="G96" s="11" t="str">
        <f ca="1">+WORLDCUP!BD66</f>
        <v>Irak</v>
      </c>
      <c r="H96" s="11" t="str">
        <f ca="1">+WORLDCUP!BD63</f>
        <v>Suecia</v>
      </c>
      <c r="I96" s="11" t="str">
        <f ca="1">+WORLDCUP!BD69</f>
        <v>Ghana</v>
      </c>
      <c r="J96" s="11" t="str">
        <f ca="1">+WORLDCUP!BD68</f>
        <v>Uzbekistán</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Costa de Marfil</v>
      </c>
      <c r="D97" s="11" t="str">
        <f ca="1">+WORLDCUP!BD67</f>
        <v>Austria</v>
      </c>
      <c r="E97" s="11" t="str">
        <f ca="1">+WORLDCUP!BD59</f>
        <v>Catar</v>
      </c>
      <c r="F97" s="11" t="str">
        <f ca="1">+WORLDCUP!BD60</f>
        <v>Haití</v>
      </c>
      <c r="G97" s="11" t="str">
        <f ca="1">+WORLDCUP!BD65</f>
        <v>Arabia Saudita</v>
      </c>
      <c r="H97" s="11" t="str">
        <f ca="1">+WORLDCUP!BD63</f>
        <v>Suecia</v>
      </c>
      <c r="I97" s="11" t="str">
        <f ca="1">+WORLDCUP!BD69</f>
        <v>Ghana</v>
      </c>
      <c r="J97" s="11" t="str">
        <f ca="1">+WORLDCUP!BD68</f>
        <v>Uzbekistán</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Costa de Marfil</v>
      </c>
      <c r="D98" s="11" t="str">
        <f ca="1">+WORLDCUP!BD66</f>
        <v>Irak</v>
      </c>
      <c r="E98" s="11" t="str">
        <f ca="1">+WORLDCUP!BD59</f>
        <v>Catar</v>
      </c>
      <c r="F98" s="11" t="str">
        <f ca="1">+WORLDCUP!BD60</f>
        <v>Haití</v>
      </c>
      <c r="G98" s="11" t="str">
        <f ca="1">+WORLDCUP!BD65</f>
        <v>Arabia Saudita</v>
      </c>
      <c r="H98" s="11" t="str">
        <f ca="1">+WORLDCUP!BD63</f>
        <v>Suecia</v>
      </c>
      <c r="I98" s="11" t="str">
        <f ca="1">+WORLDCUP!BD69</f>
        <v>Ghana</v>
      </c>
      <c r="J98" s="11" t="str">
        <f ca="1">+WORLDCUP!BD68</f>
        <v>Uzbekistán</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Costa de Marfil</v>
      </c>
      <c r="D99" s="11" t="str">
        <f ca="1">+WORLDCUP!BD67</f>
        <v>Austria</v>
      </c>
      <c r="E99" s="11" t="str">
        <f ca="1">+WORLDCUP!BD59</f>
        <v>Catar</v>
      </c>
      <c r="F99" s="11" t="str">
        <f ca="1">+WORLDCUP!BD60</f>
        <v>Haití</v>
      </c>
      <c r="G99" s="11" t="str">
        <f ca="1">+WORLDCUP!BD65</f>
        <v>Arabia Saudita</v>
      </c>
      <c r="H99" s="11" t="str">
        <f ca="1">+WORLDCUP!BD63</f>
        <v>Suecia</v>
      </c>
      <c r="I99" s="11" t="str">
        <f ca="1">+WORLDCUP!BD69</f>
        <v>Ghana</v>
      </c>
      <c r="J99" s="11" t="str">
        <f ca="1">+WORLDCUP!BD66</f>
        <v>Irak</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Costa de Marfil</v>
      </c>
      <c r="D100" s="11" t="str">
        <f ca="1">+WORLDCUP!BD67</f>
        <v>Austria</v>
      </c>
      <c r="E100" s="11" t="str">
        <f ca="1">+WORLDCUP!BD59</f>
        <v>Catar</v>
      </c>
      <c r="F100" s="11" t="str">
        <f ca="1">+WORLDCUP!BD60</f>
        <v>Haití</v>
      </c>
      <c r="G100" s="11" t="str">
        <f ca="1">+WORLDCUP!BD65</f>
        <v>Arabia Saudita</v>
      </c>
      <c r="H100" s="11" t="str">
        <f ca="1">+WORLDCUP!BD63</f>
        <v>Suecia</v>
      </c>
      <c r="I100" s="11" t="str">
        <f ca="1">+WORLDCUP!BD66</f>
        <v>Irak</v>
      </c>
      <c r="J100" s="11" t="str">
        <f ca="1">+WORLDCUP!BD68</f>
        <v>Uzbekistán</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Costa de Marfil</v>
      </c>
      <c r="D101" s="11" t="str">
        <f ca="1">+WORLDCUP!BD64</f>
        <v>Irán</v>
      </c>
      <c r="E101" s="11" t="str">
        <f ca="1">+WORLDCUP!BD59</f>
        <v>Catar</v>
      </c>
      <c r="F101" s="11" t="str">
        <f ca="1">+WORLDCUP!BD60</f>
        <v>Haití</v>
      </c>
      <c r="G101" s="11" t="str">
        <f ca="1">+WORLDCUP!BD67</f>
        <v>Austria</v>
      </c>
      <c r="H101" s="11" t="str">
        <f ca="1">+WORLDCUP!BD63</f>
        <v>Suecia</v>
      </c>
      <c r="I101" s="11" t="str">
        <f ca="1">+WORLDCUP!BD69</f>
        <v>Ghana</v>
      </c>
      <c r="J101" s="11" t="str">
        <f ca="1">+WORLDCUP!BD68</f>
        <v>Uzbekistán</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Costa de Marfil</v>
      </c>
      <c r="D102" s="11" t="str">
        <f ca="1">+WORLDCUP!BD64</f>
        <v>Irán</v>
      </c>
      <c r="E102" s="11" t="str">
        <f ca="1">+WORLDCUP!BD59</f>
        <v>Catar</v>
      </c>
      <c r="F102" s="11" t="str">
        <f ca="1">+WORLDCUP!BD60</f>
        <v>Haití</v>
      </c>
      <c r="G102" s="11" t="str">
        <f ca="1">+WORLDCUP!BD66</f>
        <v>Irak</v>
      </c>
      <c r="H102" s="11" t="str">
        <f ca="1">+WORLDCUP!BD63</f>
        <v>Suecia</v>
      </c>
      <c r="I102" s="11" t="str">
        <f ca="1">+WORLDCUP!BD69</f>
        <v>Ghana</v>
      </c>
      <c r="J102" s="11" t="str">
        <f ca="1">+WORLDCUP!BD68</f>
        <v>Uzbekistán</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Costa de Marfil</v>
      </c>
      <c r="D103" s="11" t="str">
        <f ca="1">+WORLDCUP!BD64</f>
        <v>Irán</v>
      </c>
      <c r="E103" s="11" t="str">
        <f ca="1">+WORLDCUP!BD59</f>
        <v>Catar</v>
      </c>
      <c r="F103" s="11" t="str">
        <f ca="1">+WORLDCUP!BD60</f>
        <v>Haití</v>
      </c>
      <c r="G103" s="11" t="str">
        <f ca="1">+WORLDCUP!BD67</f>
        <v>Austria</v>
      </c>
      <c r="H103" s="11" t="str">
        <f ca="1">+WORLDCUP!BD63</f>
        <v>Suecia</v>
      </c>
      <c r="I103" s="11" t="str">
        <f ca="1">+WORLDCUP!BD69</f>
        <v>Ghana</v>
      </c>
      <c r="J103" s="11" t="str">
        <f ca="1">+WORLDCUP!BD66</f>
        <v>Irak</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Costa de Marfil</v>
      </c>
      <c r="D104" s="11" t="str">
        <f ca="1">+WORLDCUP!BD64</f>
        <v>Irán</v>
      </c>
      <c r="E104" s="11" t="str">
        <f ca="1">+WORLDCUP!BD59</f>
        <v>Catar</v>
      </c>
      <c r="F104" s="11" t="str">
        <f ca="1">+WORLDCUP!BD60</f>
        <v>Haití</v>
      </c>
      <c r="G104" s="11" t="str">
        <f ca="1">+WORLDCUP!BD67</f>
        <v>Austria</v>
      </c>
      <c r="H104" s="11" t="str">
        <f ca="1">+WORLDCUP!BD63</f>
        <v>Suecia</v>
      </c>
      <c r="I104" s="11" t="str">
        <f ca="1">+WORLDCUP!BD66</f>
        <v>Irak</v>
      </c>
      <c r="J104" s="11" t="str">
        <f ca="1">+WORLDCUP!BD68</f>
        <v>Uzbekistán</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Costa de Marfil</v>
      </c>
      <c r="D105" s="11" t="str">
        <f ca="1">+WORLDCUP!BD64</f>
        <v>Irán</v>
      </c>
      <c r="E105" s="11" t="str">
        <f ca="1">+WORLDCUP!BD59</f>
        <v>Catar</v>
      </c>
      <c r="F105" s="11" t="str">
        <f ca="1">+WORLDCUP!BD60</f>
        <v>Haití</v>
      </c>
      <c r="G105" s="11" t="str">
        <f ca="1">+WORLDCUP!BD65</f>
        <v>Arabia Saudita</v>
      </c>
      <c r="H105" s="11" t="str">
        <f ca="1">+WORLDCUP!BD63</f>
        <v>Suecia</v>
      </c>
      <c r="I105" s="11" t="str">
        <f ca="1">+WORLDCUP!BD69</f>
        <v>Ghana</v>
      </c>
      <c r="J105" s="11" t="str">
        <f ca="1">+WORLDCUP!BD68</f>
        <v>Uzbekistán</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Arabia Saudita</v>
      </c>
      <c r="D106" s="11" t="str">
        <f ca="1">+WORLDCUP!BD64</f>
        <v>Irán</v>
      </c>
      <c r="E106" s="11" t="str">
        <f ca="1">+WORLDCUP!BD59</f>
        <v>Catar</v>
      </c>
      <c r="F106" s="11" t="str">
        <f ca="1">+WORLDCUP!BD60</f>
        <v>Haití</v>
      </c>
      <c r="G106" s="11" t="str">
        <f ca="1">+WORLDCUP!BD67</f>
        <v>Austria</v>
      </c>
      <c r="H106" s="11" t="str">
        <f ca="1">+WORLDCUP!BD63</f>
        <v>Suecia</v>
      </c>
      <c r="I106" s="11" t="str">
        <f ca="1">+WORLDCUP!BD69</f>
        <v>Ghana</v>
      </c>
      <c r="J106" s="11" t="str">
        <f ca="1">+WORLDCUP!BD62</f>
        <v>Costa de Marfil</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Arabia Saudita</v>
      </c>
      <c r="D107" s="11" t="str">
        <f ca="1">+WORLDCUP!BD64</f>
        <v>Irán</v>
      </c>
      <c r="E107" s="11" t="str">
        <f ca="1">+WORLDCUP!BD59</f>
        <v>Catar</v>
      </c>
      <c r="F107" s="11" t="str">
        <f ca="1">+WORLDCUP!BD60</f>
        <v>Haití</v>
      </c>
      <c r="G107" s="11" t="str">
        <f ca="1">+WORLDCUP!BD67</f>
        <v>Austria</v>
      </c>
      <c r="H107" s="11" t="str">
        <f ca="1">+WORLDCUP!BD63</f>
        <v>Suecia</v>
      </c>
      <c r="I107" s="11" t="str">
        <f ca="1">+WORLDCUP!BD62</f>
        <v>Costa de Marfil</v>
      </c>
      <c r="J107" s="11" t="str">
        <f ca="1">+WORLDCUP!BD68</f>
        <v>Uzbekistán</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Costa de Marfil</v>
      </c>
      <c r="D108" s="11" t="str">
        <f ca="1">+WORLDCUP!BD64</f>
        <v>Irán</v>
      </c>
      <c r="E108" s="11" t="str">
        <f ca="1">+WORLDCUP!BD59</f>
        <v>Catar</v>
      </c>
      <c r="F108" s="11" t="str">
        <f ca="1">+WORLDCUP!BD60</f>
        <v>Haití</v>
      </c>
      <c r="G108" s="11" t="str">
        <f ca="1">+WORLDCUP!BD65</f>
        <v>Arabia Saudita</v>
      </c>
      <c r="H108" s="11" t="str">
        <f ca="1">+WORLDCUP!BD63</f>
        <v>Suecia</v>
      </c>
      <c r="I108" s="11" t="str">
        <f ca="1">+WORLDCUP!BD69</f>
        <v>Ghana</v>
      </c>
      <c r="J108" s="11" t="str">
        <f ca="1">+WORLDCUP!BD66</f>
        <v>Irak</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Costa de Marfil</v>
      </c>
      <c r="D109" s="11" t="str">
        <f ca="1">+WORLDCUP!BD64</f>
        <v>Irán</v>
      </c>
      <c r="E109" s="11" t="str">
        <f ca="1">+WORLDCUP!BD59</f>
        <v>Catar</v>
      </c>
      <c r="F109" s="11" t="str">
        <f ca="1">+WORLDCUP!BD60</f>
        <v>Haití</v>
      </c>
      <c r="G109" s="11" t="str">
        <f ca="1">+WORLDCUP!BD65</f>
        <v>Arabia Saudita</v>
      </c>
      <c r="H109" s="11" t="str">
        <f ca="1">+WORLDCUP!BD63</f>
        <v>Suecia</v>
      </c>
      <c r="I109" s="11" t="str">
        <f ca="1">+WORLDCUP!BD66</f>
        <v>Irak</v>
      </c>
      <c r="J109" s="11" t="str">
        <f ca="1">+WORLDCUP!BD68</f>
        <v>Uzbekistán</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Arabia Saudita</v>
      </c>
      <c r="D110" s="11" t="str">
        <f ca="1">+WORLDCUP!BD64</f>
        <v>Irán</v>
      </c>
      <c r="E110" s="11" t="str">
        <f ca="1">+WORLDCUP!BD59</f>
        <v>Catar</v>
      </c>
      <c r="F110" s="11" t="str">
        <f ca="1">+WORLDCUP!BD60</f>
        <v>Haití</v>
      </c>
      <c r="G110" s="11" t="str">
        <f ca="1">+WORLDCUP!BD67</f>
        <v>Austria</v>
      </c>
      <c r="H110" s="11" t="str">
        <f ca="1">+WORLDCUP!BD63</f>
        <v>Suecia</v>
      </c>
      <c r="I110" s="11" t="str">
        <f ca="1">+WORLDCUP!BD62</f>
        <v>Costa de Marfil</v>
      </c>
      <c r="J110" s="11" t="str">
        <f ca="1">+WORLDCUP!BD66</f>
        <v>Irak</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Arabia Saudita</v>
      </c>
      <c r="D111" s="11" t="str">
        <f ca="1">+WORLDCUP!BD67</f>
        <v>Austria</v>
      </c>
      <c r="E111" s="11" t="str">
        <f ca="1">+WORLDCUP!BD59</f>
        <v>Catar</v>
      </c>
      <c r="F111" s="11" t="str">
        <f ca="1">+WORLDCUP!BD60</f>
        <v>Haití</v>
      </c>
      <c r="G111" s="11" t="str">
        <f ca="1">+WORLDCUP!BD66</f>
        <v>Irak</v>
      </c>
      <c r="H111" s="11" t="str">
        <f ca="1">+WORLDCUP!BD61</f>
        <v>Australia</v>
      </c>
      <c r="I111" s="11" t="str">
        <f ca="1">+WORLDCUP!BD69</f>
        <v>Ghana</v>
      </c>
      <c r="J111" s="11" t="str">
        <f ca="1">+WORLDCUP!BD68</f>
        <v>Uzbekistán</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Irak</v>
      </c>
      <c r="D112" s="11" t="str">
        <f ca="1">+WORLDCUP!BD64</f>
        <v>Irán</v>
      </c>
      <c r="E112" s="11" t="str">
        <f ca="1">+WORLDCUP!BD59</f>
        <v>Catar</v>
      </c>
      <c r="F112" s="11" t="str">
        <f ca="1">+WORLDCUP!BD60</f>
        <v>Haití</v>
      </c>
      <c r="G112" s="11" t="str">
        <f ca="1">+WORLDCUP!BD67</f>
        <v>Austria</v>
      </c>
      <c r="H112" s="11" t="str">
        <f ca="1">+WORLDCUP!BD61</f>
        <v>Australia</v>
      </c>
      <c r="I112" s="11" t="str">
        <f ca="1">+WORLDCUP!BD69</f>
        <v>Ghana</v>
      </c>
      <c r="J112" s="11" t="str">
        <f ca="1">+WORLDCUP!BD68</f>
        <v>Uzbekistán</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Arabia Saudita</v>
      </c>
      <c r="D113" s="11" t="str">
        <f ca="1">+WORLDCUP!BD64</f>
        <v>Irán</v>
      </c>
      <c r="E113" s="11" t="str">
        <f ca="1">+WORLDCUP!BD59</f>
        <v>Catar</v>
      </c>
      <c r="F113" s="11" t="str">
        <f ca="1">+WORLDCUP!BD60</f>
        <v>Haití</v>
      </c>
      <c r="G113" s="11" t="str">
        <f ca="1">+WORLDCUP!BD67</f>
        <v>Austria</v>
      </c>
      <c r="H113" s="11" t="str">
        <f ca="1">+WORLDCUP!BD61</f>
        <v>Australia</v>
      </c>
      <c r="I113" s="11" t="str">
        <f ca="1">+WORLDCUP!BD69</f>
        <v>Ghana</v>
      </c>
      <c r="J113" s="11" t="str">
        <f ca="1">+WORLDCUP!BD68</f>
        <v>Uzbekistán</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Arabia Saudita</v>
      </c>
      <c r="D114" s="11" t="str">
        <f ca="1">+WORLDCUP!BD64</f>
        <v>Irán</v>
      </c>
      <c r="E114" s="11" t="str">
        <f ca="1">+WORLDCUP!BD59</f>
        <v>Catar</v>
      </c>
      <c r="F114" s="11" t="str">
        <f ca="1">+WORLDCUP!BD60</f>
        <v>Haití</v>
      </c>
      <c r="G114" s="11" t="str">
        <f ca="1">+WORLDCUP!BD66</f>
        <v>Irak</v>
      </c>
      <c r="H114" s="11" t="str">
        <f ca="1">+WORLDCUP!BD61</f>
        <v>Australia</v>
      </c>
      <c r="I114" s="11" t="str">
        <f ca="1">+WORLDCUP!BD69</f>
        <v>Ghana</v>
      </c>
      <c r="J114" s="11" t="str">
        <f ca="1">+WORLDCUP!BD68</f>
        <v>Uzbekistán</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Arabia Saudita</v>
      </c>
      <c r="D115" s="11" t="str">
        <f ca="1">+WORLDCUP!BD64</f>
        <v>Irán</v>
      </c>
      <c r="E115" s="11" t="str">
        <f ca="1">+WORLDCUP!BD59</f>
        <v>Catar</v>
      </c>
      <c r="F115" s="11" t="str">
        <f ca="1">+WORLDCUP!BD60</f>
        <v>Haití</v>
      </c>
      <c r="G115" s="11" t="str">
        <f ca="1">+WORLDCUP!BD67</f>
        <v>Austria</v>
      </c>
      <c r="H115" s="11" t="str">
        <f ca="1">+WORLDCUP!BD61</f>
        <v>Australia</v>
      </c>
      <c r="I115" s="11" t="str">
        <f ca="1">+WORLDCUP!BD69</f>
        <v>Ghana</v>
      </c>
      <c r="J115" s="11" t="str">
        <f ca="1">+WORLDCUP!BD66</f>
        <v>Irak</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Arabia Saudita</v>
      </c>
      <c r="D116" s="11" t="str">
        <f ca="1">+WORLDCUP!BD64</f>
        <v>Irán</v>
      </c>
      <c r="E116" s="11" t="str">
        <f ca="1">+WORLDCUP!BD59</f>
        <v>Catar</v>
      </c>
      <c r="F116" s="11" t="str">
        <f ca="1">+WORLDCUP!BD60</f>
        <v>Haití</v>
      </c>
      <c r="G116" s="11" t="str">
        <f ca="1">+WORLDCUP!BD67</f>
        <v>Austria</v>
      </c>
      <c r="H116" s="11" t="str">
        <f ca="1">+WORLDCUP!BD61</f>
        <v>Australia</v>
      </c>
      <c r="I116" s="11" t="str">
        <f ca="1">+WORLDCUP!BD66</f>
        <v>Irak</v>
      </c>
      <c r="J116" s="11" t="str">
        <f ca="1">+WORLDCUP!BD68</f>
        <v>Uzbekistán</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Haití</v>
      </c>
      <c r="D117" s="11" t="str">
        <f ca="1">+WORLDCUP!BD67</f>
        <v>Austria</v>
      </c>
      <c r="E117" s="11" t="str">
        <f ca="1">+WORLDCUP!BD59</f>
        <v>Catar</v>
      </c>
      <c r="F117" s="11" t="str">
        <f ca="1">+WORLDCUP!BD61</f>
        <v>Australia</v>
      </c>
      <c r="G117" s="11" t="str">
        <f ca="1">+WORLDCUP!BD66</f>
        <v>Irak</v>
      </c>
      <c r="H117" s="11" t="str">
        <f ca="1">+WORLDCUP!BD63</f>
        <v>Suecia</v>
      </c>
      <c r="I117" s="11" t="str">
        <f ca="1">+WORLDCUP!BD69</f>
        <v>Ghana</v>
      </c>
      <c r="J117" s="11" t="str">
        <f ca="1">+WORLDCUP!BD68</f>
        <v>Uzbekistán</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Haití</v>
      </c>
      <c r="D118" s="11" t="str">
        <f ca="1">+WORLDCUP!BD67</f>
        <v>Austria</v>
      </c>
      <c r="E118" s="11" t="str">
        <f ca="1">+WORLDCUP!BD59</f>
        <v>Catar</v>
      </c>
      <c r="F118" s="11" t="str">
        <f ca="1">+WORLDCUP!BD61</f>
        <v>Australia</v>
      </c>
      <c r="G118" s="11" t="str">
        <f ca="1">+WORLDCUP!BD65</f>
        <v>Arabia Saudita</v>
      </c>
      <c r="H118" s="11" t="str">
        <f ca="1">+WORLDCUP!BD63</f>
        <v>Suecia</v>
      </c>
      <c r="I118" s="11" t="str">
        <f ca="1">+WORLDCUP!BD69</f>
        <v>Ghana</v>
      </c>
      <c r="J118" s="11" t="str">
        <f ca="1">+WORLDCUP!BD68</f>
        <v>Uzbekistán</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Haití</v>
      </c>
      <c r="D119" s="11" t="str">
        <f ca="1">+WORLDCUP!BD66</f>
        <v>Irak</v>
      </c>
      <c r="E119" s="11" t="str">
        <f ca="1">+WORLDCUP!BD59</f>
        <v>Catar</v>
      </c>
      <c r="F119" s="11" t="str">
        <f ca="1">+WORLDCUP!BD61</f>
        <v>Australia</v>
      </c>
      <c r="G119" s="11" t="str">
        <f ca="1">+WORLDCUP!BD65</f>
        <v>Arabia Saudita</v>
      </c>
      <c r="H119" s="11" t="str">
        <f ca="1">+WORLDCUP!BD63</f>
        <v>Suecia</v>
      </c>
      <c r="I119" s="11" t="str">
        <f ca="1">+WORLDCUP!BD69</f>
        <v>Ghana</v>
      </c>
      <c r="J119" s="11" t="str">
        <f ca="1">+WORLDCUP!BD68</f>
        <v>Uzbekistán</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Haití</v>
      </c>
      <c r="D120" s="11" t="str">
        <f ca="1">+WORLDCUP!BD67</f>
        <v>Austria</v>
      </c>
      <c r="E120" s="11" t="str">
        <f ca="1">+WORLDCUP!BD59</f>
        <v>Catar</v>
      </c>
      <c r="F120" s="11" t="str">
        <f ca="1">+WORLDCUP!BD61</f>
        <v>Australia</v>
      </c>
      <c r="G120" s="11" t="str">
        <f ca="1">+WORLDCUP!BD65</f>
        <v>Arabia Saudita</v>
      </c>
      <c r="H120" s="11" t="str">
        <f ca="1">+WORLDCUP!BD63</f>
        <v>Suecia</v>
      </c>
      <c r="I120" s="11" t="str">
        <f ca="1">+WORLDCUP!BD69</f>
        <v>Ghana</v>
      </c>
      <c r="J120" s="11" t="str">
        <f ca="1">+WORLDCUP!BD66</f>
        <v>Irak</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Haití</v>
      </c>
      <c r="D121" s="11" t="str">
        <f ca="1">+WORLDCUP!BD67</f>
        <v>Austria</v>
      </c>
      <c r="E121" s="11" t="str">
        <f ca="1">+WORLDCUP!BD59</f>
        <v>Catar</v>
      </c>
      <c r="F121" s="11" t="str">
        <f ca="1">+WORLDCUP!BD61</f>
        <v>Australia</v>
      </c>
      <c r="G121" s="11" t="str">
        <f ca="1">+WORLDCUP!BD65</f>
        <v>Arabia Saudita</v>
      </c>
      <c r="H121" s="11" t="str">
        <f ca="1">+WORLDCUP!BD63</f>
        <v>Suecia</v>
      </c>
      <c r="I121" s="11" t="str">
        <f ca="1">+WORLDCUP!BD66</f>
        <v>Irak</v>
      </c>
      <c r="J121" s="11" t="str">
        <f ca="1">+WORLDCUP!BD68</f>
        <v>Uzbekistán</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Haití</v>
      </c>
      <c r="D122" s="11" t="str">
        <f ca="1">+WORLDCUP!BD64</f>
        <v>Irán</v>
      </c>
      <c r="E122" s="11" t="str">
        <f ca="1">+WORLDCUP!BD59</f>
        <v>Catar</v>
      </c>
      <c r="F122" s="11" t="str">
        <f ca="1">+WORLDCUP!BD61</f>
        <v>Australia</v>
      </c>
      <c r="G122" s="11" t="str">
        <f ca="1">+WORLDCUP!BD67</f>
        <v>Austria</v>
      </c>
      <c r="H122" s="11" t="str">
        <f ca="1">+WORLDCUP!BD63</f>
        <v>Suecia</v>
      </c>
      <c r="I122" s="11" t="str">
        <f ca="1">+WORLDCUP!BD69</f>
        <v>Ghana</v>
      </c>
      <c r="J122" s="11" t="str">
        <f ca="1">+WORLDCUP!BD68</f>
        <v>Uzbekistán</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Haití</v>
      </c>
      <c r="D123" s="11" t="str">
        <f ca="1">+WORLDCUP!BD64</f>
        <v>Irán</v>
      </c>
      <c r="E123" s="11" t="str">
        <f ca="1">+WORLDCUP!BD59</f>
        <v>Catar</v>
      </c>
      <c r="F123" s="11" t="str">
        <f ca="1">+WORLDCUP!BD61</f>
        <v>Australia</v>
      </c>
      <c r="G123" s="11" t="str">
        <f ca="1">+WORLDCUP!BD66</f>
        <v>Irak</v>
      </c>
      <c r="H123" s="11" t="str">
        <f ca="1">+WORLDCUP!BD63</f>
        <v>Suecia</v>
      </c>
      <c r="I123" s="11" t="str">
        <f ca="1">+WORLDCUP!BD69</f>
        <v>Ghana</v>
      </c>
      <c r="J123" s="11" t="str">
        <f ca="1">+WORLDCUP!BD68</f>
        <v>Uzbekistán</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Haití</v>
      </c>
      <c r="D124" s="11" t="str">
        <f ca="1">+WORLDCUP!BD64</f>
        <v>Irán</v>
      </c>
      <c r="E124" s="11" t="str">
        <f ca="1">+WORLDCUP!BD59</f>
        <v>Catar</v>
      </c>
      <c r="F124" s="11" t="str">
        <f ca="1">+WORLDCUP!BD61</f>
        <v>Australia</v>
      </c>
      <c r="G124" s="11" t="str">
        <f ca="1">+WORLDCUP!BD67</f>
        <v>Austria</v>
      </c>
      <c r="H124" s="11" t="str">
        <f ca="1">+WORLDCUP!BD63</f>
        <v>Suecia</v>
      </c>
      <c r="I124" s="11" t="str">
        <f ca="1">+WORLDCUP!BD69</f>
        <v>Ghana</v>
      </c>
      <c r="J124" s="11" t="str">
        <f ca="1">+WORLDCUP!BD66</f>
        <v>Irak</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Haití</v>
      </c>
      <c r="D125" s="11" t="str">
        <f ca="1">+WORLDCUP!BD64</f>
        <v>Irán</v>
      </c>
      <c r="E125" s="11" t="str">
        <f ca="1">+WORLDCUP!BD59</f>
        <v>Catar</v>
      </c>
      <c r="F125" s="11" t="str">
        <f ca="1">+WORLDCUP!BD61</f>
        <v>Australia</v>
      </c>
      <c r="G125" s="11" t="str">
        <f ca="1">+WORLDCUP!BD67</f>
        <v>Austria</v>
      </c>
      <c r="H125" s="11" t="str">
        <f ca="1">+WORLDCUP!BD63</f>
        <v>Suecia</v>
      </c>
      <c r="I125" s="11" t="str">
        <f ca="1">+WORLDCUP!BD66</f>
        <v>Irak</v>
      </c>
      <c r="J125" s="11" t="str">
        <f ca="1">+WORLDCUP!BD68</f>
        <v>Uzbekistán</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Haití</v>
      </c>
      <c r="D126" s="11" t="str">
        <f ca="1">+WORLDCUP!BD64</f>
        <v>Irán</v>
      </c>
      <c r="E126" s="11" t="str">
        <f ca="1">+WORLDCUP!BD59</f>
        <v>Catar</v>
      </c>
      <c r="F126" s="11" t="str">
        <f ca="1">+WORLDCUP!BD61</f>
        <v>Australia</v>
      </c>
      <c r="G126" s="11" t="str">
        <f ca="1">+WORLDCUP!BD65</f>
        <v>Arabia Saudita</v>
      </c>
      <c r="H126" s="11" t="str">
        <f ca="1">+WORLDCUP!BD63</f>
        <v>Suecia</v>
      </c>
      <c r="I126" s="11" t="str">
        <f ca="1">+WORLDCUP!BD69</f>
        <v>Ghana</v>
      </c>
      <c r="J126" s="11" t="str">
        <f ca="1">+WORLDCUP!BD68</f>
        <v>Uzbekistán</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Haití</v>
      </c>
      <c r="D127" s="11" t="str">
        <f ca="1">+WORLDCUP!BD64</f>
        <v>Irán</v>
      </c>
      <c r="E127" s="11" t="str">
        <f ca="1">+WORLDCUP!BD59</f>
        <v>Catar</v>
      </c>
      <c r="F127" s="11" t="str">
        <f ca="1">+WORLDCUP!BD61</f>
        <v>Australia</v>
      </c>
      <c r="G127" s="11" t="str">
        <f ca="1">+WORLDCUP!BD65</f>
        <v>Arabia Saudita</v>
      </c>
      <c r="H127" s="11" t="str">
        <f ca="1">+WORLDCUP!BD63</f>
        <v>Suecia</v>
      </c>
      <c r="I127" s="11" t="str">
        <f ca="1">+WORLDCUP!BD69</f>
        <v>Ghana</v>
      </c>
      <c r="J127" s="11" t="str">
        <f ca="1">+WORLDCUP!BD67</f>
        <v>Austria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Arabia Saudita</v>
      </c>
      <c r="D128" s="11" t="str">
        <f ca="1">+WORLDCUP!BD64</f>
        <v>Irán</v>
      </c>
      <c r="E128" s="11" t="str">
        <f ca="1">+WORLDCUP!BD59</f>
        <v>Catar</v>
      </c>
      <c r="F128" s="11" t="str">
        <f ca="1">+WORLDCUP!BD60</f>
        <v>Haití</v>
      </c>
      <c r="G128" s="11" t="str">
        <f ca="1">+WORLDCUP!BD67</f>
        <v>Austria</v>
      </c>
      <c r="H128" s="11" t="str">
        <f ca="1">+WORLDCUP!BD63</f>
        <v>Suecia</v>
      </c>
      <c r="I128" s="11" t="str">
        <f ca="1">+WORLDCUP!BD61</f>
        <v>Australia</v>
      </c>
      <c r="J128" s="11" t="str">
        <f ca="1">+WORLDCUP!BD68</f>
        <v>Uzbekistán</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Haití</v>
      </c>
      <c r="D129" s="11" t="str">
        <f ca="1">+WORLDCUP!BD64</f>
        <v>Irán</v>
      </c>
      <c r="E129" s="11" t="str">
        <f ca="1">+WORLDCUP!BD59</f>
        <v>Catar</v>
      </c>
      <c r="F129" s="11" t="str">
        <f ca="1">+WORLDCUP!BD61</f>
        <v>Australia</v>
      </c>
      <c r="G129" s="11" t="str">
        <f ca="1">+WORLDCUP!BD65</f>
        <v>Arabia Saudita</v>
      </c>
      <c r="H129" s="11" t="str">
        <f ca="1">+WORLDCUP!BD63</f>
        <v>Suecia</v>
      </c>
      <c r="I129" s="11" t="str">
        <f ca="1">+WORLDCUP!BD69</f>
        <v>Ghana</v>
      </c>
      <c r="J129" s="11" t="str">
        <f ca="1">+WORLDCUP!BD66</f>
        <v>Irak</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Haití</v>
      </c>
      <c r="D130" s="11" t="str">
        <f ca="1">+WORLDCUP!BD64</f>
        <v>Irán</v>
      </c>
      <c r="E130" s="11" t="str">
        <f ca="1">+WORLDCUP!BD59</f>
        <v>Catar</v>
      </c>
      <c r="F130" s="11" t="str">
        <f ca="1">+WORLDCUP!BD61</f>
        <v>Australia</v>
      </c>
      <c r="G130" s="11" t="str">
        <f ca="1">+WORLDCUP!BD65</f>
        <v>Arabia Saudita</v>
      </c>
      <c r="H130" s="11" t="str">
        <f ca="1">+WORLDCUP!BD63</f>
        <v>Suecia</v>
      </c>
      <c r="I130" s="11" t="str">
        <f ca="1">+WORLDCUP!BD66</f>
        <v>Irak</v>
      </c>
      <c r="J130" s="11" t="str">
        <f ca="1">+WORLDCUP!BD68</f>
        <v>Uzbekistán</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Arabia Saudita</v>
      </c>
      <c r="D131" s="11" t="str">
        <f ca="1">+WORLDCUP!BD64</f>
        <v>Irán</v>
      </c>
      <c r="E131" s="11" t="str">
        <f ca="1">+WORLDCUP!BD59</f>
        <v>Catar</v>
      </c>
      <c r="F131" s="11" t="str">
        <f ca="1">+WORLDCUP!BD60</f>
        <v>Haití</v>
      </c>
      <c r="G131" s="11" t="str">
        <f ca="1">+WORLDCUP!BD67</f>
        <v>Austria</v>
      </c>
      <c r="H131" s="11" t="str">
        <f ca="1">+WORLDCUP!BD63</f>
        <v>Suecia</v>
      </c>
      <c r="I131" s="11" t="str">
        <f ca="1">+WORLDCUP!BD61</f>
        <v>Australia</v>
      </c>
      <c r="J131" s="11" t="str">
        <f ca="1">+WORLDCUP!BD66</f>
        <v>Irak</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Costa de Marfil</v>
      </c>
      <c r="D132" s="11" t="str">
        <f ca="1">+WORLDCUP!BD67</f>
        <v>Austria</v>
      </c>
      <c r="E132" s="11" t="str">
        <f ca="1">+WORLDCUP!BD59</f>
        <v>Catar</v>
      </c>
      <c r="F132" s="11" t="str">
        <f ca="1">+WORLDCUP!BD60</f>
        <v>Haití</v>
      </c>
      <c r="G132" s="11" t="str">
        <f ca="1">+WORLDCUP!BD66</f>
        <v>Irak</v>
      </c>
      <c r="H132" s="11" t="str">
        <f ca="1">+WORLDCUP!BD61</f>
        <v>Australia</v>
      </c>
      <c r="I132" s="11" t="str">
        <f ca="1">+WORLDCUP!BD69</f>
        <v>Ghana</v>
      </c>
      <c r="J132" s="11" t="str">
        <f ca="1">+WORLDCUP!BD68</f>
        <v>Uzbekistán</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Costa de Marfil</v>
      </c>
      <c r="D133" s="11" t="str">
        <f ca="1">+WORLDCUP!BD67</f>
        <v>Austria</v>
      </c>
      <c r="E133" s="11" t="str">
        <f ca="1">+WORLDCUP!BD59</f>
        <v>Catar</v>
      </c>
      <c r="F133" s="11" t="str">
        <f ca="1">+WORLDCUP!BD60</f>
        <v>Haití</v>
      </c>
      <c r="G133" s="11" t="str">
        <f ca="1">+WORLDCUP!BD65</f>
        <v>Arabia Saudita</v>
      </c>
      <c r="H133" s="11" t="str">
        <f ca="1">+WORLDCUP!BD61</f>
        <v>Australia</v>
      </c>
      <c r="I133" s="11" t="str">
        <f ca="1">+WORLDCUP!BD69</f>
        <v>Ghana</v>
      </c>
      <c r="J133" s="11" t="str">
        <f ca="1">+WORLDCUP!BD68</f>
        <v>Uzbekistán</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Costa de Marfil</v>
      </c>
      <c r="D134" s="11" t="str">
        <f ca="1">+WORLDCUP!BD66</f>
        <v>Irak</v>
      </c>
      <c r="E134" s="11" t="str">
        <f ca="1">+WORLDCUP!BD59</f>
        <v>Catar</v>
      </c>
      <c r="F134" s="11" t="str">
        <f ca="1">+WORLDCUP!BD60</f>
        <v>Haití</v>
      </c>
      <c r="G134" s="11" t="str">
        <f ca="1">+WORLDCUP!BD65</f>
        <v>Arabia Saudita</v>
      </c>
      <c r="H134" s="11" t="str">
        <f ca="1">+WORLDCUP!BD61</f>
        <v>Australia</v>
      </c>
      <c r="I134" s="11" t="str">
        <f ca="1">+WORLDCUP!BD69</f>
        <v>Ghana</v>
      </c>
      <c r="J134" s="11" t="str">
        <f ca="1">+WORLDCUP!BD68</f>
        <v>Uzbekistán</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Costa de Marfil</v>
      </c>
      <c r="D135" s="11" t="str">
        <f ca="1">+WORLDCUP!BD67</f>
        <v>Austria</v>
      </c>
      <c r="E135" s="11" t="str">
        <f ca="1">+WORLDCUP!BD59</f>
        <v>Catar</v>
      </c>
      <c r="F135" s="11" t="str">
        <f ca="1">+WORLDCUP!BD60</f>
        <v>Haití</v>
      </c>
      <c r="G135" s="11" t="str">
        <f ca="1">+WORLDCUP!BD65</f>
        <v>Arabia Saudita</v>
      </c>
      <c r="H135" s="11" t="str">
        <f ca="1">+WORLDCUP!BD61</f>
        <v>Australia</v>
      </c>
      <c r="I135" s="11" t="str">
        <f ca="1">+WORLDCUP!BD69</f>
        <v>Ghana</v>
      </c>
      <c r="J135" s="11" t="str">
        <f ca="1">+WORLDCUP!BD66</f>
        <v>Irak</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Costa de Marfil</v>
      </c>
      <c r="D136" s="11" t="str">
        <f ca="1">+WORLDCUP!BD67</f>
        <v>Austria</v>
      </c>
      <c r="E136" s="11" t="str">
        <f ca="1">+WORLDCUP!BD59</f>
        <v>Catar</v>
      </c>
      <c r="F136" s="11" t="str">
        <f ca="1">+WORLDCUP!BD60</f>
        <v>Haití</v>
      </c>
      <c r="G136" s="11" t="str">
        <f ca="1">+WORLDCUP!BD65</f>
        <v>Arabia Saudita</v>
      </c>
      <c r="H136" s="11" t="str">
        <f ca="1">+WORLDCUP!BD61</f>
        <v>Australia</v>
      </c>
      <c r="I136" s="11" t="str">
        <f ca="1">+WORLDCUP!BD66</f>
        <v>Irak</v>
      </c>
      <c r="J136" s="11" t="str">
        <f ca="1">+WORLDCUP!BD68</f>
        <v>Uzbekistán</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Costa de Marfil</v>
      </c>
      <c r="D137" s="11" t="str">
        <f ca="1">+WORLDCUP!BD64</f>
        <v>Irán</v>
      </c>
      <c r="E137" s="11" t="str">
        <f ca="1">+WORLDCUP!BD59</f>
        <v>Catar</v>
      </c>
      <c r="F137" s="11" t="str">
        <f ca="1">+WORLDCUP!BD60</f>
        <v>Haití</v>
      </c>
      <c r="G137" s="11" t="str">
        <f ca="1">+WORLDCUP!BD67</f>
        <v>Austria</v>
      </c>
      <c r="H137" s="11" t="str">
        <f ca="1">+WORLDCUP!BD61</f>
        <v>Australia</v>
      </c>
      <c r="I137" s="11" t="str">
        <f ca="1">+WORLDCUP!BD69</f>
        <v>Ghana</v>
      </c>
      <c r="J137" s="11" t="str">
        <f ca="1">+WORLDCUP!BD68</f>
        <v>Uzbekistán</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Costa de Marfil</v>
      </c>
      <c r="D138" s="11" t="str">
        <f ca="1">+WORLDCUP!BD64</f>
        <v>Irán</v>
      </c>
      <c r="E138" s="11" t="str">
        <f ca="1">+WORLDCUP!BD59</f>
        <v>Catar</v>
      </c>
      <c r="F138" s="11" t="str">
        <f ca="1">+WORLDCUP!BD60</f>
        <v>Haití</v>
      </c>
      <c r="G138" s="11" t="str">
        <f ca="1">+WORLDCUP!BD66</f>
        <v>Irak</v>
      </c>
      <c r="H138" s="11" t="str">
        <f ca="1">+WORLDCUP!BD61</f>
        <v>Australia</v>
      </c>
      <c r="I138" s="11" t="str">
        <f ca="1">+WORLDCUP!BD69</f>
        <v>Ghana</v>
      </c>
      <c r="J138" s="11" t="str">
        <f ca="1">+WORLDCUP!BD68</f>
        <v>Uzbekistán</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Costa de Marfil</v>
      </c>
      <c r="D139" s="11" t="str">
        <f ca="1">+WORLDCUP!BD64</f>
        <v>Irán</v>
      </c>
      <c r="E139" s="11" t="str">
        <f ca="1">+WORLDCUP!BD59</f>
        <v>Catar</v>
      </c>
      <c r="F139" s="11" t="str">
        <f ca="1">+WORLDCUP!BD60</f>
        <v>Haití</v>
      </c>
      <c r="G139" s="11" t="str">
        <f ca="1">+WORLDCUP!BD67</f>
        <v>Austria</v>
      </c>
      <c r="H139" s="11" t="str">
        <f ca="1">+WORLDCUP!BD61</f>
        <v>Australia</v>
      </c>
      <c r="I139" s="11" t="str">
        <f ca="1">+WORLDCUP!BD69</f>
        <v>Ghana</v>
      </c>
      <c r="J139" s="11" t="str">
        <f ca="1">+WORLDCUP!BD66</f>
        <v>Irak</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Costa de Marfil</v>
      </c>
      <c r="D140" s="11" t="str">
        <f ca="1">+WORLDCUP!BD64</f>
        <v>Irán</v>
      </c>
      <c r="E140" s="11" t="str">
        <f ca="1">+WORLDCUP!BD59</f>
        <v>Catar</v>
      </c>
      <c r="F140" s="11" t="str">
        <f ca="1">+WORLDCUP!BD60</f>
        <v>Haití</v>
      </c>
      <c r="G140" s="11" t="str">
        <f ca="1">+WORLDCUP!BD67</f>
        <v>Austria</v>
      </c>
      <c r="H140" s="11" t="str">
        <f ca="1">+WORLDCUP!BD61</f>
        <v>Australia</v>
      </c>
      <c r="I140" s="11" t="str">
        <f ca="1">+WORLDCUP!BD66</f>
        <v>Irak</v>
      </c>
      <c r="J140" s="11" t="str">
        <f ca="1">+WORLDCUP!BD68</f>
        <v>Uzbekistán</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Costa de Marfil</v>
      </c>
      <c r="D141" s="11" t="str">
        <f ca="1">+WORLDCUP!BD64</f>
        <v>Irán</v>
      </c>
      <c r="E141" s="11" t="str">
        <f ca="1">+WORLDCUP!BD59</f>
        <v>Catar</v>
      </c>
      <c r="F141" s="11" t="str">
        <f ca="1">+WORLDCUP!BD60</f>
        <v>Haití</v>
      </c>
      <c r="G141" s="11" t="str">
        <f ca="1">+WORLDCUP!BD65</f>
        <v>Arabia Saudita</v>
      </c>
      <c r="H141" s="11" t="str">
        <f ca="1">+WORLDCUP!BD61</f>
        <v>Australia</v>
      </c>
      <c r="I141" s="11" t="str">
        <f ca="1">+WORLDCUP!BD69</f>
        <v>Ghana</v>
      </c>
      <c r="J141" s="11" t="str">
        <f ca="1">+WORLDCUP!BD68</f>
        <v>Uzbekistán</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Arabia Saudita</v>
      </c>
      <c r="D142" s="11" t="str">
        <f ca="1">+WORLDCUP!BD64</f>
        <v>Irán</v>
      </c>
      <c r="E142" s="11" t="str">
        <f ca="1">+WORLDCUP!BD59</f>
        <v>Catar</v>
      </c>
      <c r="F142" s="11" t="str">
        <f ca="1">+WORLDCUP!BD60</f>
        <v>Haití</v>
      </c>
      <c r="G142" s="11" t="str">
        <f ca="1">+WORLDCUP!BD67</f>
        <v>Austria</v>
      </c>
      <c r="H142" s="11" t="str">
        <f ca="1">+WORLDCUP!BD61</f>
        <v>Australia</v>
      </c>
      <c r="I142" s="11" t="str">
        <f ca="1">+WORLDCUP!BD69</f>
        <v>Ghana</v>
      </c>
      <c r="J142" s="11" t="str">
        <f ca="1">+WORLDCUP!BD62</f>
        <v>Costa de Marfil</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Arabia Saudita</v>
      </c>
      <c r="D143" s="11" t="str">
        <f ca="1">+WORLDCUP!BD64</f>
        <v>Irán</v>
      </c>
      <c r="E143" s="11" t="str">
        <f ca="1">+WORLDCUP!BD59</f>
        <v>Catar</v>
      </c>
      <c r="F143" s="11" t="str">
        <f ca="1">+WORLDCUP!BD60</f>
        <v>Haití</v>
      </c>
      <c r="G143" s="11" t="str">
        <f ca="1">+WORLDCUP!BD67</f>
        <v>Austria</v>
      </c>
      <c r="H143" s="11" t="str">
        <f ca="1">+WORLDCUP!BD61</f>
        <v>Australia</v>
      </c>
      <c r="I143" s="11" t="str">
        <f ca="1">+WORLDCUP!BD62</f>
        <v>Costa de Marfil</v>
      </c>
      <c r="J143" s="11" t="str">
        <f ca="1">+WORLDCUP!BD68</f>
        <v>Uzbekistán</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Costa de Marfil</v>
      </c>
      <c r="D144" s="11" t="str">
        <f ca="1">+WORLDCUP!BD64</f>
        <v>Irán</v>
      </c>
      <c r="E144" s="11" t="str">
        <f ca="1">+WORLDCUP!BD59</f>
        <v>Catar</v>
      </c>
      <c r="F144" s="11" t="str">
        <f ca="1">+WORLDCUP!BD60</f>
        <v>Haití</v>
      </c>
      <c r="G144" s="11" t="str">
        <f ca="1">+WORLDCUP!BD65</f>
        <v>Arabia Saudita</v>
      </c>
      <c r="H144" s="11" t="str">
        <f ca="1">+WORLDCUP!BD61</f>
        <v>Australia</v>
      </c>
      <c r="I144" s="11" t="str">
        <f ca="1">+WORLDCUP!BD69</f>
        <v>Ghana</v>
      </c>
      <c r="J144" s="11" t="str">
        <f ca="1">+WORLDCUP!BD66</f>
        <v>Irak</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Costa de Marfil</v>
      </c>
      <c r="D145" s="11" t="str">
        <f ca="1">+WORLDCUP!BD64</f>
        <v>Irán</v>
      </c>
      <c r="E145" s="11" t="str">
        <f ca="1">+WORLDCUP!BD59</f>
        <v>Catar</v>
      </c>
      <c r="F145" s="11" t="str">
        <f ca="1">+WORLDCUP!BD60</f>
        <v>Haití</v>
      </c>
      <c r="G145" s="11" t="str">
        <f ca="1">+WORLDCUP!BD65</f>
        <v>Arabia Saudita</v>
      </c>
      <c r="H145" s="11" t="str">
        <f ca="1">+WORLDCUP!BD61</f>
        <v>Australia</v>
      </c>
      <c r="I145" s="11" t="str">
        <f ca="1">+WORLDCUP!BD66</f>
        <v>Irak</v>
      </c>
      <c r="J145" s="11" t="str">
        <f ca="1">+WORLDCUP!BD68</f>
        <v>Uzbekistán</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Arabia Saudita</v>
      </c>
      <c r="D146" s="11" t="str">
        <f ca="1">+WORLDCUP!BD64</f>
        <v>Irán</v>
      </c>
      <c r="E146" s="11" t="str">
        <f ca="1">+WORLDCUP!BD59</f>
        <v>Catar</v>
      </c>
      <c r="F146" s="11" t="str">
        <f ca="1">+WORLDCUP!BD60</f>
        <v>Haití</v>
      </c>
      <c r="G146" s="11" t="str">
        <f ca="1">+WORLDCUP!BD67</f>
        <v>Austria</v>
      </c>
      <c r="H146" s="11" t="str">
        <f ca="1">+WORLDCUP!BD61</f>
        <v>Australia</v>
      </c>
      <c r="I146" s="11" t="str">
        <f ca="1">+WORLDCUP!BD62</f>
        <v>Costa de Marfil</v>
      </c>
      <c r="J146" s="11" t="str">
        <f ca="1">+WORLDCUP!BD66</f>
        <v>Irak</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Haití</v>
      </c>
      <c r="D147" s="11" t="str">
        <f ca="1">+WORLDCUP!BD67</f>
        <v>Austria</v>
      </c>
      <c r="E147" s="11" t="str">
        <f ca="1">+WORLDCUP!BD59</f>
        <v>Catar</v>
      </c>
      <c r="F147" s="11" t="str">
        <f ca="1">+WORLDCUP!BD61</f>
        <v>Australia</v>
      </c>
      <c r="G147" s="11" t="str">
        <f ca="1">+WORLDCUP!BD62</f>
        <v>Costa de Marfil</v>
      </c>
      <c r="H147" s="11" t="str">
        <f ca="1">+WORLDCUP!BD63</f>
        <v>Suecia</v>
      </c>
      <c r="I147" s="11" t="str">
        <f ca="1">+WORLDCUP!BD69</f>
        <v>Ghana</v>
      </c>
      <c r="J147" s="11" t="str">
        <f ca="1">+WORLDCUP!BD68</f>
        <v>Uzbekistán</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Haití</v>
      </c>
      <c r="D148" s="11" t="str">
        <f ca="1">+WORLDCUP!BD62</f>
        <v>Costa de Marfil</v>
      </c>
      <c r="E148" s="11" t="str">
        <f ca="1">+WORLDCUP!BD59</f>
        <v>Catar</v>
      </c>
      <c r="F148" s="11" t="str">
        <f ca="1">+WORLDCUP!BD61</f>
        <v>Australia</v>
      </c>
      <c r="G148" s="11" t="str">
        <f ca="1">+WORLDCUP!BD66</f>
        <v>Irak</v>
      </c>
      <c r="H148" s="11" t="str">
        <f ca="1">+WORLDCUP!BD63</f>
        <v>Suecia</v>
      </c>
      <c r="I148" s="11" t="str">
        <f ca="1">+WORLDCUP!BD69</f>
        <v>Ghana</v>
      </c>
      <c r="J148" s="11" t="str">
        <f ca="1">+WORLDCUP!BD68</f>
        <v>Uzbekistán</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Haití</v>
      </c>
      <c r="D149" s="11" t="str">
        <f ca="1">+WORLDCUP!BD67</f>
        <v>Austria</v>
      </c>
      <c r="E149" s="11" t="str">
        <f ca="1">+WORLDCUP!BD59</f>
        <v>Catar</v>
      </c>
      <c r="F149" s="11" t="str">
        <f ca="1">+WORLDCUP!BD61</f>
        <v>Australia</v>
      </c>
      <c r="G149" s="11" t="str">
        <f ca="1">+WORLDCUP!BD62</f>
        <v>Costa de Marfil</v>
      </c>
      <c r="H149" s="11" t="str">
        <f ca="1">+WORLDCUP!BD63</f>
        <v>Suecia</v>
      </c>
      <c r="I149" s="11" t="str">
        <f ca="1">+WORLDCUP!BD69</f>
        <v>Ghana</v>
      </c>
      <c r="J149" s="11" t="str">
        <f ca="1">+WORLDCUP!BD66</f>
        <v>Irak</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Haití</v>
      </c>
      <c r="D150" s="11" t="str">
        <f ca="1">+WORLDCUP!BD67</f>
        <v>Austria</v>
      </c>
      <c r="E150" s="11" t="str">
        <f ca="1">+WORLDCUP!BD59</f>
        <v>Catar</v>
      </c>
      <c r="F150" s="11" t="str">
        <f ca="1">+WORLDCUP!BD61</f>
        <v>Australia</v>
      </c>
      <c r="G150" s="11" t="str">
        <f ca="1">+WORLDCUP!BD62</f>
        <v>Costa de Marfil</v>
      </c>
      <c r="H150" s="11" t="str">
        <f ca="1">+WORLDCUP!BD63</f>
        <v>Suecia</v>
      </c>
      <c r="I150" s="11" t="str">
        <f ca="1">+WORLDCUP!BD66</f>
        <v>Irak</v>
      </c>
      <c r="J150" s="11" t="str">
        <f ca="1">+WORLDCUP!BD68</f>
        <v>Uzbekistán</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Haití</v>
      </c>
      <c r="D151" s="11" t="str">
        <f ca="1">+WORLDCUP!BD62</f>
        <v>Costa de Marfil</v>
      </c>
      <c r="E151" s="11" t="str">
        <f ca="1">+WORLDCUP!BD59</f>
        <v>Catar</v>
      </c>
      <c r="F151" s="11" t="str">
        <f ca="1">+WORLDCUP!BD61</f>
        <v>Australia</v>
      </c>
      <c r="G151" s="11" t="str">
        <f ca="1">+WORLDCUP!BD65</f>
        <v>Arabia Saudita</v>
      </c>
      <c r="H151" s="11" t="str">
        <f ca="1">+WORLDCUP!BD63</f>
        <v>Suecia</v>
      </c>
      <c r="I151" s="11" t="str">
        <f ca="1">+WORLDCUP!BD69</f>
        <v>Ghana</v>
      </c>
      <c r="J151" s="11" t="str">
        <f ca="1">+WORLDCUP!BD68</f>
        <v>Uzbekistán</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Haití</v>
      </c>
      <c r="D152" s="11" t="str">
        <f ca="1">+WORLDCUP!BD67</f>
        <v>Austria</v>
      </c>
      <c r="E152" s="11" t="str">
        <f ca="1">+WORLDCUP!BD59</f>
        <v>Catar</v>
      </c>
      <c r="F152" s="11" t="str">
        <f ca="1">+WORLDCUP!BD61</f>
        <v>Australia</v>
      </c>
      <c r="G152" s="11" t="str">
        <f ca="1">+WORLDCUP!BD65</f>
        <v>Arabia Saudita</v>
      </c>
      <c r="H152" s="11" t="str">
        <f ca="1">+WORLDCUP!BD63</f>
        <v>Suecia</v>
      </c>
      <c r="I152" s="11" t="str">
        <f ca="1">+WORLDCUP!BD69</f>
        <v>Ghana</v>
      </c>
      <c r="J152" s="11" t="str">
        <f ca="1">+WORLDCUP!BD62</f>
        <v>Costa de Marfil</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Haití</v>
      </c>
      <c r="D153" s="11" t="str">
        <f ca="1">+WORLDCUP!BD67</f>
        <v>Austria</v>
      </c>
      <c r="E153" s="11" t="str">
        <f ca="1">+WORLDCUP!BD59</f>
        <v>Catar</v>
      </c>
      <c r="F153" s="11" t="str">
        <f ca="1">+WORLDCUP!BD61</f>
        <v>Australia</v>
      </c>
      <c r="G153" s="11" t="str">
        <f ca="1">+WORLDCUP!BD65</f>
        <v>Arabia Saudita</v>
      </c>
      <c r="H153" s="11" t="str">
        <f ca="1">+WORLDCUP!BD63</f>
        <v>Suecia</v>
      </c>
      <c r="I153" s="11" t="str">
        <f ca="1">+WORLDCUP!BD62</f>
        <v>Costa de Marfil</v>
      </c>
      <c r="J153" s="11" t="str">
        <f ca="1">+WORLDCUP!BD68</f>
        <v>Uzbekistán</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Haití</v>
      </c>
      <c r="D154" s="11" t="str">
        <f ca="1">+WORLDCUP!BD62</f>
        <v>Costa de Marfil</v>
      </c>
      <c r="E154" s="11" t="str">
        <f ca="1">+WORLDCUP!BD59</f>
        <v>Catar</v>
      </c>
      <c r="F154" s="11" t="str">
        <f ca="1">+WORLDCUP!BD61</f>
        <v>Australia</v>
      </c>
      <c r="G154" s="11" t="str">
        <f ca="1">+WORLDCUP!BD65</f>
        <v>Arabia Saudita</v>
      </c>
      <c r="H154" s="11" t="str">
        <f ca="1">+WORLDCUP!BD63</f>
        <v>Suecia</v>
      </c>
      <c r="I154" s="11" t="str">
        <f ca="1">+WORLDCUP!BD69</f>
        <v>Ghana</v>
      </c>
      <c r="J154" s="11" t="str">
        <f ca="1">+WORLDCUP!BD66</f>
        <v>Irak</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Haití</v>
      </c>
      <c r="D155" s="11" t="str">
        <f ca="1">+WORLDCUP!BD62</f>
        <v>Costa de Marfil</v>
      </c>
      <c r="E155" s="11" t="str">
        <f ca="1">+WORLDCUP!BD59</f>
        <v>Catar</v>
      </c>
      <c r="F155" s="11" t="str">
        <f ca="1">+WORLDCUP!BD61</f>
        <v>Australia</v>
      </c>
      <c r="G155" s="11" t="str">
        <f ca="1">+WORLDCUP!BD65</f>
        <v>Arabia Saudita</v>
      </c>
      <c r="H155" s="11" t="str">
        <f ca="1">+WORLDCUP!BD63</f>
        <v>Suecia</v>
      </c>
      <c r="I155" s="11" t="str">
        <f ca="1">+WORLDCUP!BD66</f>
        <v>Irak</v>
      </c>
      <c r="J155" s="11" t="str">
        <f ca="1">+WORLDCUP!BD68</f>
        <v>Uzbekistán</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Haití</v>
      </c>
      <c r="D156" s="11" t="str">
        <f ca="1">+WORLDCUP!BD67</f>
        <v>Austria</v>
      </c>
      <c r="E156" s="11" t="str">
        <f ca="1">+WORLDCUP!BD59</f>
        <v>Catar</v>
      </c>
      <c r="F156" s="11" t="str">
        <f ca="1">+WORLDCUP!BD61</f>
        <v>Australia</v>
      </c>
      <c r="G156" s="11" t="str">
        <f ca="1">+WORLDCUP!BD65</f>
        <v>Arabia Saudita</v>
      </c>
      <c r="H156" s="11" t="str">
        <f ca="1">+WORLDCUP!BD63</f>
        <v>Suecia</v>
      </c>
      <c r="I156" s="11" t="str">
        <f ca="1">+WORLDCUP!BD62</f>
        <v>Costa de Marfil</v>
      </c>
      <c r="J156" s="11" t="str">
        <f ca="1">+WORLDCUP!BD66</f>
        <v>Irak</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Haití</v>
      </c>
      <c r="D157" s="11" t="str">
        <f ca="1">+WORLDCUP!BD64</f>
        <v>Irán</v>
      </c>
      <c r="E157" s="11" t="str">
        <f ca="1">+WORLDCUP!BD59</f>
        <v>Catar</v>
      </c>
      <c r="F157" s="11" t="str">
        <f ca="1">+WORLDCUP!BD61</f>
        <v>Australia</v>
      </c>
      <c r="G157" s="11" t="str">
        <f ca="1">+WORLDCUP!BD62</f>
        <v>Costa de Marfil</v>
      </c>
      <c r="H157" s="11" t="str">
        <f ca="1">+WORLDCUP!BD63</f>
        <v>Suecia</v>
      </c>
      <c r="I157" s="11" t="str">
        <f ca="1">+WORLDCUP!BD69</f>
        <v>Ghana</v>
      </c>
      <c r="J157" s="11" t="str">
        <f ca="1">+WORLDCUP!BD68</f>
        <v>Uzbekistán</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Haití</v>
      </c>
      <c r="D158" s="11" t="str">
        <f ca="1">+WORLDCUP!BD64</f>
        <v>Irán</v>
      </c>
      <c r="E158" s="11" t="str">
        <f ca="1">+WORLDCUP!BD59</f>
        <v>Catar</v>
      </c>
      <c r="F158" s="11" t="str">
        <f ca="1">+WORLDCUP!BD61</f>
        <v>Australia</v>
      </c>
      <c r="G158" s="11" t="str">
        <f ca="1">+WORLDCUP!BD67</f>
        <v>Austria</v>
      </c>
      <c r="H158" s="11" t="str">
        <f ca="1">+WORLDCUP!BD63</f>
        <v>Suecia</v>
      </c>
      <c r="I158" s="11" t="str">
        <f ca="1">+WORLDCUP!BD69</f>
        <v>Ghana</v>
      </c>
      <c r="J158" s="11" t="str">
        <f ca="1">+WORLDCUP!BD62</f>
        <v>Costa de Marfil</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Haití</v>
      </c>
      <c r="D159" s="11" t="str">
        <f ca="1">+WORLDCUP!BD64</f>
        <v>Irán</v>
      </c>
      <c r="E159" s="11" t="str">
        <f ca="1">+WORLDCUP!BD59</f>
        <v>Catar</v>
      </c>
      <c r="F159" s="11" t="str">
        <f ca="1">+WORLDCUP!BD61</f>
        <v>Australia</v>
      </c>
      <c r="G159" s="11" t="str">
        <f ca="1">+WORLDCUP!BD67</f>
        <v>Austria</v>
      </c>
      <c r="H159" s="11" t="str">
        <f ca="1">+WORLDCUP!BD63</f>
        <v>Suecia</v>
      </c>
      <c r="I159" s="11" t="str">
        <f ca="1">+WORLDCUP!BD62</f>
        <v>Costa de Marfil</v>
      </c>
      <c r="J159" s="11" t="str">
        <f ca="1">+WORLDCUP!BD68</f>
        <v>Uzbekistán</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Haití</v>
      </c>
      <c r="D160" s="11" t="str">
        <f ca="1">+WORLDCUP!BD64</f>
        <v>Irán</v>
      </c>
      <c r="E160" s="11" t="str">
        <f ca="1">+WORLDCUP!BD59</f>
        <v>Catar</v>
      </c>
      <c r="F160" s="11" t="str">
        <f ca="1">+WORLDCUP!BD61</f>
        <v>Australia</v>
      </c>
      <c r="G160" s="11" t="str">
        <f ca="1">+WORLDCUP!BD62</f>
        <v>Costa de Marfil</v>
      </c>
      <c r="H160" s="11" t="str">
        <f ca="1">+WORLDCUP!BD63</f>
        <v>Suecia</v>
      </c>
      <c r="I160" s="11" t="str">
        <f ca="1">+WORLDCUP!BD69</f>
        <v>Ghana</v>
      </c>
      <c r="J160" s="11" t="str">
        <f ca="1">+WORLDCUP!BD66</f>
        <v>Irak</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Haití</v>
      </c>
      <c r="D161" s="11" t="str">
        <f ca="1">+WORLDCUP!BD64</f>
        <v>Irán</v>
      </c>
      <c r="E161" s="11" t="str">
        <f ca="1">+WORLDCUP!BD59</f>
        <v>Catar</v>
      </c>
      <c r="F161" s="11" t="str">
        <f ca="1">+WORLDCUP!BD61</f>
        <v>Australia</v>
      </c>
      <c r="G161" s="11" t="str">
        <f ca="1">+WORLDCUP!BD62</f>
        <v>Costa de Marfil</v>
      </c>
      <c r="H161" s="11" t="str">
        <f ca="1">+WORLDCUP!BD63</f>
        <v>Suecia</v>
      </c>
      <c r="I161" s="11" t="str">
        <f ca="1">+WORLDCUP!BD66</f>
        <v>Irak</v>
      </c>
      <c r="J161" s="11" t="str">
        <f ca="1">+WORLDCUP!BD68</f>
        <v>Uzbekistán</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Haití</v>
      </c>
      <c r="D162" s="11" t="str">
        <f ca="1">+WORLDCUP!BD64</f>
        <v>Irán</v>
      </c>
      <c r="E162" s="11" t="str">
        <f ca="1">+WORLDCUP!BD59</f>
        <v>Catar</v>
      </c>
      <c r="F162" s="11" t="str">
        <f ca="1">+WORLDCUP!BD61</f>
        <v>Australia</v>
      </c>
      <c r="G162" s="11" t="str">
        <f ca="1">+WORLDCUP!BD67</f>
        <v>Austria</v>
      </c>
      <c r="H162" s="11" t="str">
        <f ca="1">+WORLDCUP!BD63</f>
        <v>Suecia</v>
      </c>
      <c r="I162" s="11" t="str">
        <f ca="1">+WORLDCUP!BD62</f>
        <v>Costa de Marfil</v>
      </c>
      <c r="J162" s="11" t="str">
        <f ca="1">+WORLDCUP!BD66</f>
        <v>Irak</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Haití</v>
      </c>
      <c r="D163" s="11" t="str">
        <f ca="1">+WORLDCUP!BD64</f>
        <v>Irán</v>
      </c>
      <c r="E163" s="11" t="str">
        <f ca="1">+WORLDCUP!BD59</f>
        <v>Catar</v>
      </c>
      <c r="F163" s="11" t="str">
        <f ca="1">+WORLDCUP!BD61</f>
        <v>Australia</v>
      </c>
      <c r="G163" s="11" t="str">
        <f ca="1">+WORLDCUP!BD65</f>
        <v>Arabia Saudita</v>
      </c>
      <c r="H163" s="11" t="str">
        <f ca="1">+WORLDCUP!BD63</f>
        <v>Suecia</v>
      </c>
      <c r="I163" s="11" t="str">
        <f ca="1">+WORLDCUP!BD69</f>
        <v>Ghana</v>
      </c>
      <c r="J163" s="11" t="str">
        <f ca="1">+WORLDCUP!BD62</f>
        <v>Costa de Marfil</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Haití</v>
      </c>
      <c r="D164" s="11" t="str">
        <f ca="1">+WORLDCUP!BD64</f>
        <v>Irán</v>
      </c>
      <c r="E164" s="11" t="str">
        <f ca="1">+WORLDCUP!BD59</f>
        <v>Catar</v>
      </c>
      <c r="F164" s="11" t="str">
        <f ca="1">+WORLDCUP!BD61</f>
        <v>Australia</v>
      </c>
      <c r="G164" s="11" t="str">
        <f ca="1">+WORLDCUP!BD65</f>
        <v>Arabia Saudita</v>
      </c>
      <c r="H164" s="11" t="str">
        <f ca="1">+WORLDCUP!BD63</f>
        <v>Suecia</v>
      </c>
      <c r="I164" s="11" t="str">
        <f ca="1">+WORLDCUP!BD62</f>
        <v>Costa de Marfil</v>
      </c>
      <c r="J164" s="11" t="str">
        <f ca="1">+WORLDCUP!BD68</f>
        <v>Uzbekistán</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Arabia Saudita</v>
      </c>
      <c r="D165" s="11" t="str">
        <f ca="1">+WORLDCUP!BD64</f>
        <v>Irán</v>
      </c>
      <c r="E165" s="11" t="str">
        <f ca="1">+WORLDCUP!BD59</f>
        <v>Catar</v>
      </c>
      <c r="F165" s="11" t="str">
        <f ca="1">+WORLDCUP!BD60</f>
        <v>Haití</v>
      </c>
      <c r="G165" s="11" t="str">
        <f ca="1">+WORLDCUP!BD67</f>
        <v>Austria</v>
      </c>
      <c r="H165" s="11" t="str">
        <f ca="1">+WORLDCUP!BD63</f>
        <v>Suecia</v>
      </c>
      <c r="I165" s="11" t="str">
        <f ca="1">+WORLDCUP!BD61</f>
        <v>Australia</v>
      </c>
      <c r="J165" s="11" t="str">
        <f ca="1">+WORLDCUP!BD62</f>
        <v>Costa de Marfil</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Haití</v>
      </c>
      <c r="D166" s="11" t="str">
        <f ca="1">+WORLDCUP!BD64</f>
        <v>Irán</v>
      </c>
      <c r="E166" s="11" t="str">
        <f ca="1">+WORLDCUP!BD59</f>
        <v>Catar</v>
      </c>
      <c r="F166" s="11" t="str">
        <f ca="1">+WORLDCUP!BD61</f>
        <v>Australia</v>
      </c>
      <c r="G166" s="11" t="str">
        <f ca="1">+WORLDCUP!BD65</f>
        <v>Arabia Saudita</v>
      </c>
      <c r="H166" s="11" t="str">
        <f ca="1">+WORLDCUP!BD63</f>
        <v>Suecia</v>
      </c>
      <c r="I166" s="11" t="str">
        <f ca="1">+WORLDCUP!BD62</f>
        <v>Costa de Marfil</v>
      </c>
      <c r="J166" s="11" t="str">
        <f ca="1">+WORLDCUP!BD66</f>
        <v>Irak</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Arabia Saudita</v>
      </c>
      <c r="D167" s="11" t="str">
        <f ca="1">+WORLDCUP!BD67</f>
        <v>Austria</v>
      </c>
      <c r="E167" s="11" t="str">
        <f ca="1">+WORLDCUP!BD66</f>
        <v>Irak</v>
      </c>
      <c r="F167" s="11" t="str">
        <f ca="1">+WORLDCUP!BD63</f>
        <v>Suecia</v>
      </c>
      <c r="G167" s="11" t="str">
        <f ca="1">+WORLDCUP!BD58</f>
        <v>República Checa</v>
      </c>
      <c r="H167" s="11" t="str">
        <f ca="1">+WORLDCUP!BD64</f>
        <v>Irán</v>
      </c>
      <c r="I167" s="11" t="str">
        <f ca="1">+WORLDCUP!BD69</f>
        <v>Ghana</v>
      </c>
      <c r="J167" s="11" t="str">
        <f ca="1">+WORLDCUP!BD68</f>
        <v>Uzbekistán</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Costa de Marfil</v>
      </c>
      <c r="D168" s="11" t="str">
        <f ca="1">+WORLDCUP!BD67</f>
        <v>Austria</v>
      </c>
      <c r="E168" s="11" t="str">
        <f ca="1">+WORLDCUP!BD66</f>
        <v>Irak</v>
      </c>
      <c r="F168" s="11" t="str">
        <f ca="1">+WORLDCUP!BD58</f>
        <v>República Checa</v>
      </c>
      <c r="G168" s="11" t="str">
        <f ca="1">+WORLDCUP!BD65</f>
        <v>Arabia Saudita</v>
      </c>
      <c r="H168" s="11" t="str">
        <f ca="1">+WORLDCUP!BD64</f>
        <v>Irán</v>
      </c>
      <c r="I168" s="11" t="str">
        <f ca="1">+WORLDCUP!BD69</f>
        <v>Ghana</v>
      </c>
      <c r="J168" s="11" t="str">
        <f ca="1">+WORLDCUP!BD68</f>
        <v>Uzbekistán</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Costa de Marfil</v>
      </c>
      <c r="D169" s="11" t="str">
        <f ca="1">+WORLDCUP!BD67</f>
        <v>Austria</v>
      </c>
      <c r="E169" s="11" t="str">
        <f ca="1">+WORLDCUP!BD66</f>
        <v>Irak</v>
      </c>
      <c r="F169" s="11" t="str">
        <f ca="1">+WORLDCUP!BD63</f>
        <v>Suecia</v>
      </c>
      <c r="G169" s="11" t="str">
        <f ca="1">+WORLDCUP!BD58</f>
        <v>República Checa</v>
      </c>
      <c r="H169" s="11" t="str">
        <f ca="1">+WORLDCUP!BD65</f>
        <v>Arabia Saudita</v>
      </c>
      <c r="I169" s="11" t="str">
        <f ca="1">+WORLDCUP!BD69</f>
        <v>Ghana</v>
      </c>
      <c r="J169" s="11" t="str">
        <f ca="1">+WORLDCUP!BD68</f>
        <v>Uzbekistán</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Costa de Marfil</v>
      </c>
      <c r="D170" s="11" t="str">
        <f ca="1">+WORLDCUP!BD67</f>
        <v>Austria</v>
      </c>
      <c r="E170" s="11" t="str">
        <f ca="1">+WORLDCUP!BD66</f>
        <v>Irak</v>
      </c>
      <c r="F170" s="11" t="str">
        <f ca="1">+WORLDCUP!BD63</f>
        <v>Suecia</v>
      </c>
      <c r="G170" s="11" t="str">
        <f ca="1">+WORLDCUP!BD58</f>
        <v>República Checa</v>
      </c>
      <c r="H170" s="11" t="str">
        <f ca="1">+WORLDCUP!BD64</f>
        <v>Irán</v>
      </c>
      <c r="I170" s="11" t="str">
        <f ca="1">+WORLDCUP!BD69</f>
        <v>Ghana</v>
      </c>
      <c r="J170" s="11" t="str">
        <f ca="1">+WORLDCUP!BD68</f>
        <v>Uzbekistán</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Costa de Marfil</v>
      </c>
      <c r="D171" s="11" t="str">
        <f ca="1">+WORLDCUP!BD64</f>
        <v>Irán</v>
      </c>
      <c r="E171" s="11" t="str">
        <f ca="1">+WORLDCUP!BD67</f>
        <v>Austria</v>
      </c>
      <c r="F171" s="11" t="str">
        <f ca="1">+WORLDCUP!BD63</f>
        <v>Suecia</v>
      </c>
      <c r="G171" s="11" t="str">
        <f ca="1">+WORLDCUP!BD58</f>
        <v>República Checa</v>
      </c>
      <c r="H171" s="11" t="str">
        <f ca="1">+WORLDCUP!BD65</f>
        <v>Arabia Saudita</v>
      </c>
      <c r="I171" s="11" t="str">
        <f ca="1">+WORLDCUP!BD69</f>
        <v>Ghana</v>
      </c>
      <c r="J171" s="11" t="str">
        <f ca="1">+WORLDCUP!BD68</f>
        <v>Uzbekistán</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Costa de Marfil</v>
      </c>
      <c r="D172" s="11" t="str">
        <f ca="1">+WORLDCUP!BD64</f>
        <v>Irán</v>
      </c>
      <c r="E172" s="11" t="str">
        <f ca="1">+WORLDCUP!BD66</f>
        <v>Irak</v>
      </c>
      <c r="F172" s="11" t="str">
        <f ca="1">+WORLDCUP!BD63</f>
        <v>Suecia</v>
      </c>
      <c r="G172" s="11" t="str">
        <f ca="1">+WORLDCUP!BD58</f>
        <v>República Checa</v>
      </c>
      <c r="H172" s="11" t="str">
        <f ca="1">+WORLDCUP!BD65</f>
        <v>Arabia Saudita</v>
      </c>
      <c r="I172" s="11" t="str">
        <f ca="1">+WORLDCUP!BD69</f>
        <v>Ghana</v>
      </c>
      <c r="J172" s="11" t="str">
        <f ca="1">+WORLDCUP!BD68</f>
        <v>Uzbekistán</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Costa de Marfil</v>
      </c>
      <c r="D173" s="11" t="str">
        <f ca="1">+WORLDCUP!BD64</f>
        <v>Irán</v>
      </c>
      <c r="E173" s="11" t="str">
        <f ca="1">+WORLDCUP!BD67</f>
        <v>Austria</v>
      </c>
      <c r="F173" s="11" t="str">
        <f ca="1">+WORLDCUP!BD63</f>
        <v>Suecia</v>
      </c>
      <c r="G173" s="11" t="str">
        <f ca="1">+WORLDCUP!BD58</f>
        <v>República Checa</v>
      </c>
      <c r="H173" s="11" t="str">
        <f ca="1">+WORLDCUP!BD65</f>
        <v>Arabia Saudita</v>
      </c>
      <c r="I173" s="11" t="str">
        <f ca="1">+WORLDCUP!BD69</f>
        <v>Ghana</v>
      </c>
      <c r="J173" s="11" t="str">
        <f ca="1">+WORLDCUP!BD66</f>
        <v>Irak</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Costa de Marfil</v>
      </c>
      <c r="D174" s="11" t="str">
        <f ca="1">+WORLDCUP!BD64</f>
        <v>Irán</v>
      </c>
      <c r="E174" s="11" t="str">
        <f ca="1">+WORLDCUP!BD67</f>
        <v>Austria</v>
      </c>
      <c r="F174" s="11" t="str">
        <f ca="1">+WORLDCUP!BD63</f>
        <v>Suecia</v>
      </c>
      <c r="G174" s="11" t="str">
        <f ca="1">+WORLDCUP!BD58</f>
        <v>República Checa</v>
      </c>
      <c r="H174" s="11" t="str">
        <f ca="1">+WORLDCUP!BD65</f>
        <v>Arabia Saudita</v>
      </c>
      <c r="I174" s="11" t="str">
        <f ca="1">+WORLDCUP!BD66</f>
        <v>Irak</v>
      </c>
      <c r="J174" s="11" t="str">
        <f ca="1">+WORLDCUP!BD68</f>
        <v>Uzbekistán</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Arabia Saudita</v>
      </c>
      <c r="D175" s="11" t="str">
        <f ca="1">+WORLDCUP!BD67</f>
        <v>Austria</v>
      </c>
      <c r="E175" s="11" t="str">
        <f ca="1">+WORLDCUP!BD66</f>
        <v>Irak</v>
      </c>
      <c r="F175" s="11" t="str">
        <f ca="1">+WORLDCUP!BD61</f>
        <v>Australia</v>
      </c>
      <c r="G175" s="11" t="str">
        <f ca="1">+WORLDCUP!BD58</f>
        <v>República Checa</v>
      </c>
      <c r="H175" s="11" t="str">
        <f ca="1">+WORLDCUP!BD64</f>
        <v>Irán</v>
      </c>
      <c r="I175" s="11" t="str">
        <f ca="1">+WORLDCUP!BD69</f>
        <v>Ghana</v>
      </c>
      <c r="J175" s="11" t="str">
        <f ca="1">+WORLDCUP!BD68</f>
        <v>Uzbekistán</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Arabia Saudita</v>
      </c>
      <c r="D176" s="11" t="str">
        <f ca="1">+WORLDCUP!BD67</f>
        <v>Austria</v>
      </c>
      <c r="E176" s="11" t="str">
        <f ca="1">+WORLDCUP!BD66</f>
        <v>Irak</v>
      </c>
      <c r="F176" s="11" t="str">
        <f ca="1">+WORLDCUP!BD61</f>
        <v>Australia</v>
      </c>
      <c r="G176" s="11" t="str">
        <f ca="1">+WORLDCUP!BD58</f>
        <v>República Checa</v>
      </c>
      <c r="H176" s="11" t="str">
        <f ca="1">+WORLDCUP!BD63</f>
        <v>Suecia</v>
      </c>
      <c r="I176" s="11" t="str">
        <f ca="1">+WORLDCUP!BD69</f>
        <v>Ghana</v>
      </c>
      <c r="J176" s="11" t="str">
        <f ca="1">+WORLDCUP!BD68</f>
        <v>Uzbekistán</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Irak</v>
      </c>
      <c r="D177" s="11" t="str">
        <f ca="1">+WORLDCUP!BD64</f>
        <v>Irán</v>
      </c>
      <c r="E177" s="11" t="str">
        <f ca="1">+WORLDCUP!BD67</f>
        <v>Austria</v>
      </c>
      <c r="F177" s="11" t="str">
        <f ca="1">+WORLDCUP!BD61</f>
        <v>Australia</v>
      </c>
      <c r="G177" s="11" t="str">
        <f ca="1">+WORLDCUP!BD58</f>
        <v>República Checa</v>
      </c>
      <c r="H177" s="11" t="str">
        <f ca="1">+WORLDCUP!BD63</f>
        <v>Suecia</v>
      </c>
      <c r="I177" s="11" t="str">
        <f ca="1">+WORLDCUP!BD69</f>
        <v>Ghana</v>
      </c>
      <c r="J177" s="11" t="str">
        <f ca="1">+WORLDCUP!BD68</f>
        <v>Uzbekistán</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Arabia Saudita</v>
      </c>
      <c r="D178" s="11" t="str">
        <f ca="1">+WORLDCUP!BD64</f>
        <v>Irán</v>
      </c>
      <c r="E178" s="11" t="str">
        <f ca="1">+WORLDCUP!BD67</f>
        <v>Austria</v>
      </c>
      <c r="F178" s="11" t="str">
        <f ca="1">+WORLDCUP!BD61</f>
        <v>Australia</v>
      </c>
      <c r="G178" s="11" t="str">
        <f ca="1">+WORLDCUP!BD58</f>
        <v>República Checa</v>
      </c>
      <c r="H178" s="11" t="str">
        <f ca="1">+WORLDCUP!BD63</f>
        <v>Suecia</v>
      </c>
      <c r="I178" s="11" t="str">
        <f ca="1">+WORLDCUP!BD69</f>
        <v>Ghana</v>
      </c>
      <c r="J178" s="11" t="str">
        <f ca="1">+WORLDCUP!BD68</f>
        <v>Uzbekistán</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Arabia Saudita</v>
      </c>
      <c r="D179" s="11" t="str">
        <f ca="1">+WORLDCUP!BD64</f>
        <v>Irán</v>
      </c>
      <c r="E179" s="11" t="str">
        <f ca="1">+WORLDCUP!BD66</f>
        <v>Irak</v>
      </c>
      <c r="F179" s="11" t="str">
        <f ca="1">+WORLDCUP!BD61</f>
        <v>Australia</v>
      </c>
      <c r="G179" s="11" t="str">
        <f ca="1">+WORLDCUP!BD58</f>
        <v>República Checa</v>
      </c>
      <c r="H179" s="11" t="str">
        <f ca="1">+WORLDCUP!BD63</f>
        <v>Suecia</v>
      </c>
      <c r="I179" s="11" t="str">
        <f ca="1">+WORLDCUP!BD69</f>
        <v>Ghana</v>
      </c>
      <c r="J179" s="11" t="str">
        <f ca="1">+WORLDCUP!BD68</f>
        <v>Uzbekistán</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Arabia Saudita</v>
      </c>
      <c r="D180" s="11" t="str">
        <f ca="1">+WORLDCUP!BD64</f>
        <v>Irán</v>
      </c>
      <c r="E180" s="11" t="str">
        <f ca="1">+WORLDCUP!BD67</f>
        <v>Austria</v>
      </c>
      <c r="F180" s="11" t="str">
        <f ca="1">+WORLDCUP!BD61</f>
        <v>Australia</v>
      </c>
      <c r="G180" s="11" t="str">
        <f ca="1">+WORLDCUP!BD58</f>
        <v>República Checa</v>
      </c>
      <c r="H180" s="11" t="str">
        <f ca="1">+WORLDCUP!BD63</f>
        <v>Suecia</v>
      </c>
      <c r="I180" s="11" t="str">
        <f ca="1">+WORLDCUP!BD69</f>
        <v>Ghana</v>
      </c>
      <c r="J180" s="11" t="str">
        <f ca="1">+WORLDCUP!BD66</f>
        <v>Irak</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Arabia Saudita</v>
      </c>
      <c r="D181" s="11" t="str">
        <f ca="1">+WORLDCUP!BD64</f>
        <v>Irán</v>
      </c>
      <c r="E181" s="11" t="str">
        <f ca="1">+WORLDCUP!BD67</f>
        <v>Austria</v>
      </c>
      <c r="F181" s="11" t="str">
        <f ca="1">+WORLDCUP!BD61</f>
        <v>Australia</v>
      </c>
      <c r="G181" s="11" t="str">
        <f ca="1">+WORLDCUP!BD58</f>
        <v>República Checa</v>
      </c>
      <c r="H181" s="11" t="str">
        <f ca="1">+WORLDCUP!BD63</f>
        <v>Suecia</v>
      </c>
      <c r="I181" s="11" t="str">
        <f ca="1">+WORLDCUP!BD66</f>
        <v>Irak</v>
      </c>
      <c r="J181" s="11" t="str">
        <f ca="1">+WORLDCUP!BD68</f>
        <v>Uzbekistán</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Costa de Marfil</v>
      </c>
      <c r="D182" s="11" t="str">
        <f ca="1">+WORLDCUP!BD67</f>
        <v>Austria</v>
      </c>
      <c r="E182" s="11" t="str">
        <f ca="1">+WORLDCUP!BD66</f>
        <v>Irak</v>
      </c>
      <c r="F182" s="11" t="str">
        <f ca="1">+WORLDCUP!BD61</f>
        <v>Australia</v>
      </c>
      <c r="G182" s="11" t="str">
        <f ca="1">+WORLDCUP!BD58</f>
        <v>República Checa</v>
      </c>
      <c r="H182" s="11" t="str">
        <f ca="1">+WORLDCUP!BD65</f>
        <v>Arabia Saudita</v>
      </c>
      <c r="I182" s="11" t="str">
        <f ca="1">+WORLDCUP!BD69</f>
        <v>Ghana</v>
      </c>
      <c r="J182" s="11" t="str">
        <f ca="1">+WORLDCUP!BD68</f>
        <v>Uzbekistán</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Costa de Marfil</v>
      </c>
      <c r="D183" s="11" t="str">
        <f ca="1">+WORLDCUP!BD67</f>
        <v>Austria</v>
      </c>
      <c r="E183" s="11" t="str">
        <f ca="1">+WORLDCUP!BD66</f>
        <v>Irak</v>
      </c>
      <c r="F183" s="11" t="str">
        <f ca="1">+WORLDCUP!BD61</f>
        <v>Australia</v>
      </c>
      <c r="G183" s="11" t="str">
        <f ca="1">+WORLDCUP!BD58</f>
        <v>República Checa</v>
      </c>
      <c r="H183" s="11" t="str">
        <f ca="1">+WORLDCUP!BD64</f>
        <v>Irán</v>
      </c>
      <c r="I183" s="11" t="str">
        <f ca="1">+WORLDCUP!BD69</f>
        <v>Ghana</v>
      </c>
      <c r="J183" s="11" t="str">
        <f ca="1">+WORLDCUP!BD68</f>
        <v>Uzbekistán</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Costa de Marfil</v>
      </c>
      <c r="D184" s="11" t="str">
        <f ca="1">+WORLDCUP!BD64</f>
        <v>Irán</v>
      </c>
      <c r="E184" s="11" t="str">
        <f ca="1">+WORLDCUP!BD67</f>
        <v>Austria</v>
      </c>
      <c r="F184" s="11" t="str">
        <f ca="1">+WORLDCUP!BD61</f>
        <v>Australia</v>
      </c>
      <c r="G184" s="11" t="str">
        <f ca="1">+WORLDCUP!BD58</f>
        <v>República Checa</v>
      </c>
      <c r="H184" s="11" t="str">
        <f ca="1">+WORLDCUP!BD65</f>
        <v>Arabia Saudita</v>
      </c>
      <c r="I184" s="11" t="str">
        <f ca="1">+WORLDCUP!BD69</f>
        <v>Ghana</v>
      </c>
      <c r="J184" s="11" t="str">
        <f ca="1">+WORLDCUP!BD68</f>
        <v>Uzbekistán</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Costa de Marfil</v>
      </c>
      <c r="D185" s="11" t="str">
        <f ca="1">+WORLDCUP!BD64</f>
        <v>Irán</v>
      </c>
      <c r="E185" s="11" t="str">
        <f ca="1">+WORLDCUP!BD66</f>
        <v>Irak</v>
      </c>
      <c r="F185" s="11" t="str">
        <f ca="1">+WORLDCUP!BD61</f>
        <v>Australia</v>
      </c>
      <c r="G185" s="11" t="str">
        <f ca="1">+WORLDCUP!BD58</f>
        <v>República Checa</v>
      </c>
      <c r="H185" s="11" t="str">
        <f ca="1">+WORLDCUP!BD65</f>
        <v>Arabia Saudita</v>
      </c>
      <c r="I185" s="11" t="str">
        <f ca="1">+WORLDCUP!BD69</f>
        <v>Ghana</v>
      </c>
      <c r="J185" s="11" t="str">
        <f ca="1">+WORLDCUP!BD68</f>
        <v>Uzbekistán</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Costa de Marfil</v>
      </c>
      <c r="D186" s="11" t="str">
        <f ca="1">+WORLDCUP!BD64</f>
        <v>Irán</v>
      </c>
      <c r="E186" s="11" t="str">
        <f ca="1">+WORLDCUP!BD67</f>
        <v>Austria</v>
      </c>
      <c r="F186" s="11" t="str">
        <f ca="1">+WORLDCUP!BD61</f>
        <v>Australia</v>
      </c>
      <c r="G186" s="11" t="str">
        <f ca="1">+WORLDCUP!BD58</f>
        <v>República Checa</v>
      </c>
      <c r="H186" s="11" t="str">
        <f ca="1">+WORLDCUP!BD65</f>
        <v>Arabia Saudita</v>
      </c>
      <c r="I186" s="11" t="str">
        <f ca="1">+WORLDCUP!BD69</f>
        <v>Ghana</v>
      </c>
      <c r="J186" s="11" t="str">
        <f ca="1">+WORLDCUP!BD66</f>
        <v>Irak</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Costa de Marfil</v>
      </c>
      <c r="D187" s="11" t="str">
        <f ca="1">+WORLDCUP!BD64</f>
        <v>Irán</v>
      </c>
      <c r="E187" s="11" t="str">
        <f ca="1">+WORLDCUP!BD67</f>
        <v>Austria</v>
      </c>
      <c r="F187" s="11" t="str">
        <f ca="1">+WORLDCUP!BD61</f>
        <v>Australia</v>
      </c>
      <c r="G187" s="11" t="str">
        <f ca="1">+WORLDCUP!BD58</f>
        <v>República Checa</v>
      </c>
      <c r="H187" s="11" t="str">
        <f ca="1">+WORLDCUP!BD65</f>
        <v>Arabia Saudita</v>
      </c>
      <c r="I187" s="11" t="str">
        <f ca="1">+WORLDCUP!BD66</f>
        <v>Irak</v>
      </c>
      <c r="J187" s="11" t="str">
        <f ca="1">+WORLDCUP!BD68</f>
        <v>Uzbekistán</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Costa de Marfil</v>
      </c>
      <c r="D188" s="11" t="str">
        <f ca="1">+WORLDCUP!BD67</f>
        <v>Austria</v>
      </c>
      <c r="E188" s="11" t="str">
        <f ca="1">+WORLDCUP!BD66</f>
        <v>Irak</v>
      </c>
      <c r="F188" s="11" t="str">
        <f ca="1">+WORLDCUP!BD61</f>
        <v>Australia</v>
      </c>
      <c r="G188" s="11" t="str">
        <f ca="1">+WORLDCUP!BD58</f>
        <v>República Checa</v>
      </c>
      <c r="H188" s="11" t="str">
        <f ca="1">+WORLDCUP!BD63</f>
        <v>Suecia</v>
      </c>
      <c r="I188" s="11" t="str">
        <f ca="1">+WORLDCUP!BD69</f>
        <v>Ghana</v>
      </c>
      <c r="J188" s="11" t="str">
        <f ca="1">+WORLDCUP!BD68</f>
        <v>Uzbekistán</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Arabia Saudita</v>
      </c>
      <c r="D189" s="11" t="str">
        <f ca="1">+WORLDCUP!BD67</f>
        <v>Austria</v>
      </c>
      <c r="E189" s="11" t="str">
        <f ca="1">+WORLDCUP!BD62</f>
        <v>Costa de Marfil</v>
      </c>
      <c r="F189" s="11" t="str">
        <f ca="1">+WORLDCUP!BD61</f>
        <v>Australia</v>
      </c>
      <c r="G189" s="11" t="str">
        <f ca="1">+WORLDCUP!BD58</f>
        <v>República Checa</v>
      </c>
      <c r="H189" s="11" t="str">
        <f ca="1">+WORLDCUP!BD63</f>
        <v>Suecia</v>
      </c>
      <c r="I189" s="11" t="str">
        <f ca="1">+WORLDCUP!BD69</f>
        <v>Ghana</v>
      </c>
      <c r="J189" s="11" t="str">
        <f ca="1">+WORLDCUP!BD68</f>
        <v>Uzbekistán</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Arabia Saudita</v>
      </c>
      <c r="D190" s="11" t="str">
        <f ca="1">+WORLDCUP!BD62</f>
        <v>Costa de Marfil</v>
      </c>
      <c r="E190" s="11" t="str">
        <f ca="1">+WORLDCUP!BD66</f>
        <v>Irak</v>
      </c>
      <c r="F190" s="11" t="str">
        <f ca="1">+WORLDCUP!BD61</f>
        <v>Australia</v>
      </c>
      <c r="G190" s="11" t="str">
        <f ca="1">+WORLDCUP!BD58</f>
        <v>República Checa</v>
      </c>
      <c r="H190" s="11" t="str">
        <f ca="1">+WORLDCUP!BD63</f>
        <v>Suecia</v>
      </c>
      <c r="I190" s="11" t="str">
        <f ca="1">+WORLDCUP!BD69</f>
        <v>Ghana</v>
      </c>
      <c r="J190" s="11" t="str">
        <f ca="1">+WORLDCUP!BD68</f>
        <v>Uzbekistán</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Arabia Saudita</v>
      </c>
      <c r="D191" s="11" t="str">
        <f ca="1">+WORLDCUP!BD67</f>
        <v>Austria</v>
      </c>
      <c r="E191" s="11" t="str">
        <f ca="1">+WORLDCUP!BD62</f>
        <v>Costa de Marfil</v>
      </c>
      <c r="F191" s="11" t="str">
        <f ca="1">+WORLDCUP!BD61</f>
        <v>Australia</v>
      </c>
      <c r="G191" s="11" t="str">
        <f ca="1">+WORLDCUP!BD58</f>
        <v>República Checa</v>
      </c>
      <c r="H191" s="11" t="str">
        <f ca="1">+WORLDCUP!BD63</f>
        <v>Suecia</v>
      </c>
      <c r="I191" s="11" t="str">
        <f ca="1">+WORLDCUP!BD69</f>
        <v>Ghana</v>
      </c>
      <c r="J191" s="11" t="str">
        <f ca="1">+WORLDCUP!BD66</f>
        <v>Irak</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Arabia Saudita</v>
      </c>
      <c r="D192" s="11" t="str">
        <f ca="1">+WORLDCUP!BD67</f>
        <v>Austria</v>
      </c>
      <c r="E192" s="11" t="str">
        <f ca="1">+WORLDCUP!BD62</f>
        <v>Costa de Marfil</v>
      </c>
      <c r="F192" s="11" t="str">
        <f ca="1">+WORLDCUP!BD61</f>
        <v>Australia</v>
      </c>
      <c r="G192" s="11" t="str">
        <f ca="1">+WORLDCUP!BD58</f>
        <v>República Checa</v>
      </c>
      <c r="H192" s="11" t="str">
        <f ca="1">+WORLDCUP!BD63</f>
        <v>Suecia</v>
      </c>
      <c r="I192" s="11" t="str">
        <f ca="1">+WORLDCUP!BD66</f>
        <v>Irak</v>
      </c>
      <c r="J192" s="11" t="str">
        <f ca="1">+WORLDCUP!BD68</f>
        <v>Uzbekistán</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Costa de Marfil</v>
      </c>
      <c r="D193" s="11" t="str">
        <f ca="1">+WORLDCUP!BD64</f>
        <v>Irán</v>
      </c>
      <c r="E193" s="11" t="str">
        <f ca="1">+WORLDCUP!BD67</f>
        <v>Austria</v>
      </c>
      <c r="F193" s="11" t="str">
        <f ca="1">+WORLDCUP!BD61</f>
        <v>Australia</v>
      </c>
      <c r="G193" s="11" t="str">
        <f ca="1">+WORLDCUP!BD58</f>
        <v>República Checa</v>
      </c>
      <c r="H193" s="11" t="str">
        <f ca="1">+WORLDCUP!BD63</f>
        <v>Suecia</v>
      </c>
      <c r="I193" s="11" t="str">
        <f ca="1">+WORLDCUP!BD69</f>
        <v>Ghana</v>
      </c>
      <c r="J193" s="11" t="str">
        <f ca="1">+WORLDCUP!BD68</f>
        <v>Uzbekistán</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Costa de Marfil</v>
      </c>
      <c r="D194" s="11" t="str">
        <f ca="1">+WORLDCUP!BD64</f>
        <v>Irán</v>
      </c>
      <c r="E194" s="11" t="str">
        <f ca="1">+WORLDCUP!BD66</f>
        <v>Irak</v>
      </c>
      <c r="F194" s="11" t="str">
        <f ca="1">+WORLDCUP!BD61</f>
        <v>Australia</v>
      </c>
      <c r="G194" s="11" t="str">
        <f ca="1">+WORLDCUP!BD58</f>
        <v>República Checa</v>
      </c>
      <c r="H194" s="11" t="str">
        <f ca="1">+WORLDCUP!BD63</f>
        <v>Suecia</v>
      </c>
      <c r="I194" s="11" t="str">
        <f ca="1">+WORLDCUP!BD69</f>
        <v>Ghana</v>
      </c>
      <c r="J194" s="11" t="str">
        <f ca="1">+WORLDCUP!BD68</f>
        <v>Uzbekistán</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Costa de Marfil</v>
      </c>
      <c r="D195" s="11" t="str">
        <f ca="1">+WORLDCUP!BD64</f>
        <v>Irán</v>
      </c>
      <c r="E195" s="11" t="str">
        <f ca="1">+WORLDCUP!BD67</f>
        <v>Austria</v>
      </c>
      <c r="F195" s="11" t="str">
        <f ca="1">+WORLDCUP!BD61</f>
        <v>Australia</v>
      </c>
      <c r="G195" s="11" t="str">
        <f ca="1">+WORLDCUP!BD58</f>
        <v>República Checa</v>
      </c>
      <c r="H195" s="11" t="str">
        <f ca="1">+WORLDCUP!BD63</f>
        <v>Suecia</v>
      </c>
      <c r="I195" s="11" t="str">
        <f ca="1">+WORLDCUP!BD69</f>
        <v>Ghana</v>
      </c>
      <c r="J195" s="11" t="str">
        <f ca="1">+WORLDCUP!BD66</f>
        <v>Irak</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Costa de Marfil</v>
      </c>
      <c r="D196" s="11" t="str">
        <f ca="1">+WORLDCUP!BD64</f>
        <v>Irán</v>
      </c>
      <c r="E196" s="11" t="str">
        <f ca="1">+WORLDCUP!BD67</f>
        <v>Austria</v>
      </c>
      <c r="F196" s="11" t="str">
        <f ca="1">+WORLDCUP!BD61</f>
        <v>Australia</v>
      </c>
      <c r="G196" s="11" t="str">
        <f ca="1">+WORLDCUP!BD58</f>
        <v>República Checa</v>
      </c>
      <c r="H196" s="11" t="str">
        <f ca="1">+WORLDCUP!BD63</f>
        <v>Suecia</v>
      </c>
      <c r="I196" s="11" t="str">
        <f ca="1">+WORLDCUP!BD66</f>
        <v>Irak</v>
      </c>
      <c r="J196" s="11" t="str">
        <f ca="1">+WORLDCUP!BD68</f>
        <v>Uzbekistán</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Arabia Saudita</v>
      </c>
      <c r="D197" s="11" t="str">
        <f ca="1">+WORLDCUP!BD64</f>
        <v>Irán</v>
      </c>
      <c r="E197" s="11" t="str">
        <f ca="1">+WORLDCUP!BD62</f>
        <v>Costa de Marfil</v>
      </c>
      <c r="F197" s="11" t="str">
        <f ca="1">+WORLDCUP!BD61</f>
        <v>Australia</v>
      </c>
      <c r="G197" s="11" t="str">
        <f ca="1">+WORLDCUP!BD58</f>
        <v>República Checa</v>
      </c>
      <c r="H197" s="11" t="str">
        <f ca="1">+WORLDCUP!BD63</f>
        <v>Suecia</v>
      </c>
      <c r="I197" s="11" t="str">
        <f ca="1">+WORLDCUP!BD69</f>
        <v>Ghana</v>
      </c>
      <c r="J197" s="11" t="str">
        <f ca="1">+WORLDCUP!BD68</f>
        <v>Uzbekistán</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Arabia Saudita</v>
      </c>
      <c r="D198" s="11" t="str">
        <f ca="1">+WORLDCUP!BD64</f>
        <v>Irán</v>
      </c>
      <c r="E198" s="11" t="str">
        <f ca="1">+WORLDCUP!BD67</f>
        <v>Austria</v>
      </c>
      <c r="F198" s="11" t="str">
        <f ca="1">+WORLDCUP!BD61</f>
        <v>Australia</v>
      </c>
      <c r="G198" s="11" t="str">
        <f ca="1">+WORLDCUP!BD58</f>
        <v>República Checa</v>
      </c>
      <c r="H198" s="11" t="str">
        <f ca="1">+WORLDCUP!BD63</f>
        <v>Suecia</v>
      </c>
      <c r="I198" s="11" t="str">
        <f ca="1">+WORLDCUP!BD69</f>
        <v>Ghana</v>
      </c>
      <c r="J198" s="11" t="str">
        <f ca="1">+WORLDCUP!BD62</f>
        <v>Costa de Marfil</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Arabia Saudita</v>
      </c>
      <c r="D199" s="11" t="str">
        <f ca="1">+WORLDCUP!BD64</f>
        <v>Irán</v>
      </c>
      <c r="E199" s="11" t="str">
        <f ca="1">+WORLDCUP!BD67</f>
        <v>Austria</v>
      </c>
      <c r="F199" s="11" t="str">
        <f ca="1">+WORLDCUP!BD61</f>
        <v>Australia</v>
      </c>
      <c r="G199" s="11" t="str">
        <f ca="1">+WORLDCUP!BD58</f>
        <v>República Checa</v>
      </c>
      <c r="H199" s="11" t="str">
        <f ca="1">+WORLDCUP!BD63</f>
        <v>Suecia</v>
      </c>
      <c r="I199" s="11" t="str">
        <f ca="1">+WORLDCUP!BD62</f>
        <v>Costa de Marfil</v>
      </c>
      <c r="J199" s="11" t="str">
        <f ca="1">+WORLDCUP!BD68</f>
        <v>Uzbekistán</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Arabia Saudita</v>
      </c>
      <c r="D200" s="11" t="str">
        <f ca="1">+WORLDCUP!BD64</f>
        <v>Irán</v>
      </c>
      <c r="E200" s="11" t="str">
        <f ca="1">+WORLDCUP!BD62</f>
        <v>Costa de Marfil</v>
      </c>
      <c r="F200" s="11" t="str">
        <f ca="1">+WORLDCUP!BD61</f>
        <v>Australia</v>
      </c>
      <c r="G200" s="11" t="str">
        <f ca="1">+WORLDCUP!BD58</f>
        <v>República Checa</v>
      </c>
      <c r="H200" s="11" t="str">
        <f ca="1">+WORLDCUP!BD63</f>
        <v>Suecia</v>
      </c>
      <c r="I200" s="11" t="str">
        <f ca="1">+WORLDCUP!BD69</f>
        <v>Ghana</v>
      </c>
      <c r="J200" s="11" t="str">
        <f ca="1">+WORLDCUP!BD66</f>
        <v>Irak</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Arabia Saudita</v>
      </c>
      <c r="D201" s="11" t="str">
        <f ca="1">+WORLDCUP!BD64</f>
        <v>Irán</v>
      </c>
      <c r="E201" s="11" t="str">
        <f ca="1">+WORLDCUP!BD62</f>
        <v>Costa de Marfil</v>
      </c>
      <c r="F201" s="11" t="str">
        <f ca="1">+WORLDCUP!BD61</f>
        <v>Australia</v>
      </c>
      <c r="G201" s="11" t="str">
        <f ca="1">+WORLDCUP!BD58</f>
        <v>República Checa</v>
      </c>
      <c r="H201" s="11" t="str">
        <f ca="1">+WORLDCUP!BD63</f>
        <v>Suecia</v>
      </c>
      <c r="I201" s="11" t="str">
        <f ca="1">+WORLDCUP!BD66</f>
        <v>Irak</v>
      </c>
      <c r="J201" s="11" t="str">
        <f ca="1">+WORLDCUP!BD68</f>
        <v>Uzbekistán</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Arabia Saudita</v>
      </c>
      <c r="D202" s="11" t="str">
        <f ca="1">+WORLDCUP!BD64</f>
        <v>Irán</v>
      </c>
      <c r="E202" s="11" t="str">
        <f ca="1">+WORLDCUP!BD67</f>
        <v>Austria</v>
      </c>
      <c r="F202" s="11" t="str">
        <f ca="1">+WORLDCUP!BD61</f>
        <v>Australia</v>
      </c>
      <c r="G202" s="11" t="str">
        <f ca="1">+WORLDCUP!BD58</f>
        <v>República Checa</v>
      </c>
      <c r="H202" s="11" t="str">
        <f ca="1">+WORLDCUP!BD63</f>
        <v>Suecia</v>
      </c>
      <c r="I202" s="11" t="str">
        <f ca="1">+WORLDCUP!BD62</f>
        <v>Costa de Marfil</v>
      </c>
      <c r="J202" s="11" t="str">
        <f ca="1">+WORLDCUP!BD66</f>
        <v>Irak</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Arabia Saudita</v>
      </c>
      <c r="D203" s="11" t="str">
        <f ca="1">+WORLDCUP!BD67</f>
        <v>Austria</v>
      </c>
      <c r="E203" s="11" t="str">
        <f ca="1">+WORLDCUP!BD66</f>
        <v>Irak</v>
      </c>
      <c r="F203" s="11" t="str">
        <f ca="1">+WORLDCUP!BD60</f>
        <v>Haití</v>
      </c>
      <c r="G203" s="11" t="str">
        <f ca="1">+WORLDCUP!BD58</f>
        <v>República Checa</v>
      </c>
      <c r="H203" s="11" t="str">
        <f ca="1">+WORLDCUP!BD64</f>
        <v>Irán</v>
      </c>
      <c r="I203" s="11" t="str">
        <f ca="1">+WORLDCUP!BD69</f>
        <v>Ghana</v>
      </c>
      <c r="J203" s="11" t="str">
        <f ca="1">+WORLDCUP!BD68</f>
        <v>Uzbekistán</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Arabia Saudita</v>
      </c>
      <c r="D204" s="11" t="str">
        <f ca="1">+WORLDCUP!BD67</f>
        <v>Austria</v>
      </c>
      <c r="E204" s="11" t="str">
        <f ca="1">+WORLDCUP!BD66</f>
        <v>Irak</v>
      </c>
      <c r="F204" s="11" t="str">
        <f ca="1">+WORLDCUP!BD60</f>
        <v>Haití</v>
      </c>
      <c r="G204" s="11" t="str">
        <f ca="1">+WORLDCUP!BD58</f>
        <v>República Checa</v>
      </c>
      <c r="H204" s="11" t="str">
        <f ca="1">+WORLDCUP!BD63</f>
        <v>Suecia</v>
      </c>
      <c r="I204" s="11" t="str">
        <f ca="1">+WORLDCUP!BD69</f>
        <v>Ghana</v>
      </c>
      <c r="J204" s="11" t="str">
        <f ca="1">+WORLDCUP!BD68</f>
        <v>Uzbekistán</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Irak</v>
      </c>
      <c r="D205" s="11" t="str">
        <f ca="1">+WORLDCUP!BD64</f>
        <v>Irán</v>
      </c>
      <c r="E205" s="11" t="str">
        <f ca="1">+WORLDCUP!BD67</f>
        <v>Austria</v>
      </c>
      <c r="F205" s="11" t="str">
        <f ca="1">+WORLDCUP!BD60</f>
        <v>Haití</v>
      </c>
      <c r="G205" s="11" t="str">
        <f ca="1">+WORLDCUP!BD58</f>
        <v>República Checa</v>
      </c>
      <c r="H205" s="11" t="str">
        <f ca="1">+WORLDCUP!BD63</f>
        <v>Suecia</v>
      </c>
      <c r="I205" s="11" t="str">
        <f ca="1">+WORLDCUP!BD69</f>
        <v>Ghana</v>
      </c>
      <c r="J205" s="11" t="str">
        <f ca="1">+WORLDCUP!BD68</f>
        <v>Uzbekistán</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Arabia Saudita</v>
      </c>
      <c r="D206" s="11" t="str">
        <f ca="1">+WORLDCUP!BD64</f>
        <v>Irán</v>
      </c>
      <c r="E206" s="11" t="str">
        <f ca="1">+WORLDCUP!BD67</f>
        <v>Austria</v>
      </c>
      <c r="F206" s="11" t="str">
        <f ca="1">+WORLDCUP!BD60</f>
        <v>Haití</v>
      </c>
      <c r="G206" s="11" t="str">
        <f ca="1">+WORLDCUP!BD58</f>
        <v>República Checa</v>
      </c>
      <c r="H206" s="11" t="str">
        <f ca="1">+WORLDCUP!BD63</f>
        <v>Suecia</v>
      </c>
      <c r="I206" s="11" t="str">
        <f ca="1">+WORLDCUP!BD69</f>
        <v>Ghana</v>
      </c>
      <c r="J206" s="11" t="str">
        <f ca="1">+WORLDCUP!BD68</f>
        <v>Uzbekistán</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Arabia Saudita</v>
      </c>
      <c r="D207" s="11" t="str">
        <f ca="1">+WORLDCUP!BD64</f>
        <v>Irán</v>
      </c>
      <c r="E207" s="11" t="str">
        <f ca="1">+WORLDCUP!BD66</f>
        <v>Irak</v>
      </c>
      <c r="F207" s="11" t="str">
        <f ca="1">+WORLDCUP!BD60</f>
        <v>Haití</v>
      </c>
      <c r="G207" s="11" t="str">
        <f ca="1">+WORLDCUP!BD58</f>
        <v>República Checa</v>
      </c>
      <c r="H207" s="11" t="str">
        <f ca="1">+WORLDCUP!BD63</f>
        <v>Suecia</v>
      </c>
      <c r="I207" s="11" t="str">
        <f ca="1">+WORLDCUP!BD69</f>
        <v>Ghana</v>
      </c>
      <c r="J207" s="11" t="str">
        <f ca="1">+WORLDCUP!BD68</f>
        <v>Uzbekistán</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Arabia Saudita</v>
      </c>
      <c r="D208" s="11" t="str">
        <f ca="1">+WORLDCUP!BD64</f>
        <v>Irán</v>
      </c>
      <c r="E208" s="11" t="str">
        <f ca="1">+WORLDCUP!BD67</f>
        <v>Austria</v>
      </c>
      <c r="F208" s="11" t="str">
        <f ca="1">+WORLDCUP!BD60</f>
        <v>Haití</v>
      </c>
      <c r="G208" s="11" t="str">
        <f ca="1">+WORLDCUP!BD58</f>
        <v>República Checa</v>
      </c>
      <c r="H208" s="11" t="str">
        <f ca="1">+WORLDCUP!BD63</f>
        <v>Suecia</v>
      </c>
      <c r="I208" s="11" t="str">
        <f ca="1">+WORLDCUP!BD69</f>
        <v>Ghana</v>
      </c>
      <c r="J208" s="11" t="str">
        <f ca="1">+WORLDCUP!BD66</f>
        <v>Irak</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Arabia Saudita</v>
      </c>
      <c r="D209" s="11" t="str">
        <f ca="1">+WORLDCUP!BD64</f>
        <v>Irán</v>
      </c>
      <c r="E209" s="11" t="str">
        <f ca="1">+WORLDCUP!BD67</f>
        <v>Austria</v>
      </c>
      <c r="F209" s="11" t="str">
        <f ca="1">+WORLDCUP!BD60</f>
        <v>Haití</v>
      </c>
      <c r="G209" s="11" t="str">
        <f ca="1">+WORLDCUP!BD58</f>
        <v>República Checa</v>
      </c>
      <c r="H209" s="11" t="str">
        <f ca="1">+WORLDCUP!BD63</f>
        <v>Suecia</v>
      </c>
      <c r="I209" s="11" t="str">
        <f ca="1">+WORLDCUP!BD66</f>
        <v>Irak</v>
      </c>
      <c r="J209" s="11" t="str">
        <f ca="1">+WORLDCUP!BD68</f>
        <v>Uzbekistán</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Costa de Marfil</v>
      </c>
      <c r="D210" s="11" t="str">
        <f ca="1">+WORLDCUP!BD67</f>
        <v>Austria</v>
      </c>
      <c r="E210" s="11" t="str">
        <f ca="1">+WORLDCUP!BD66</f>
        <v>Irak</v>
      </c>
      <c r="F210" s="11" t="str">
        <f ca="1">+WORLDCUP!BD60</f>
        <v>Haití</v>
      </c>
      <c r="G210" s="11" t="str">
        <f ca="1">+WORLDCUP!BD58</f>
        <v>República Checa</v>
      </c>
      <c r="H210" s="11" t="str">
        <f ca="1">+WORLDCUP!BD65</f>
        <v>Arabia Saudita</v>
      </c>
      <c r="I210" s="11" t="str">
        <f ca="1">+WORLDCUP!BD69</f>
        <v>Ghana</v>
      </c>
      <c r="J210" s="11" t="str">
        <f ca="1">+WORLDCUP!BD68</f>
        <v>Uzbekistán</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Costa de Marfil</v>
      </c>
      <c r="D211" s="11" t="str">
        <f ca="1">+WORLDCUP!BD67</f>
        <v>Austria</v>
      </c>
      <c r="E211" s="11" t="str">
        <f ca="1">+WORLDCUP!BD66</f>
        <v>Irak</v>
      </c>
      <c r="F211" s="11" t="str">
        <f ca="1">+WORLDCUP!BD60</f>
        <v>Haití</v>
      </c>
      <c r="G211" s="11" t="str">
        <f ca="1">+WORLDCUP!BD58</f>
        <v>República Checa</v>
      </c>
      <c r="H211" s="11" t="str">
        <f ca="1">+WORLDCUP!BD64</f>
        <v>Irán</v>
      </c>
      <c r="I211" s="11" t="str">
        <f ca="1">+WORLDCUP!BD69</f>
        <v>Ghana</v>
      </c>
      <c r="J211" s="11" t="str">
        <f ca="1">+WORLDCUP!BD68</f>
        <v>Uzbekistán</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Costa de Marfil</v>
      </c>
      <c r="D212" s="11" t="str">
        <f ca="1">+WORLDCUP!BD64</f>
        <v>Irán</v>
      </c>
      <c r="E212" s="11" t="str">
        <f ca="1">+WORLDCUP!BD67</f>
        <v>Austria</v>
      </c>
      <c r="F212" s="11" t="str">
        <f ca="1">+WORLDCUP!BD60</f>
        <v>Haití</v>
      </c>
      <c r="G212" s="11" t="str">
        <f ca="1">+WORLDCUP!BD58</f>
        <v>República Checa</v>
      </c>
      <c r="H212" s="11" t="str">
        <f ca="1">+WORLDCUP!BD65</f>
        <v>Arabia Saudita</v>
      </c>
      <c r="I212" s="11" t="str">
        <f ca="1">+WORLDCUP!BD69</f>
        <v>Ghana</v>
      </c>
      <c r="J212" s="11" t="str">
        <f ca="1">+WORLDCUP!BD68</f>
        <v>Uzbekistán</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Costa de Marfil</v>
      </c>
      <c r="D213" s="11" t="str">
        <f ca="1">+WORLDCUP!BD64</f>
        <v>Irán</v>
      </c>
      <c r="E213" s="11" t="str">
        <f ca="1">+WORLDCUP!BD66</f>
        <v>Irak</v>
      </c>
      <c r="F213" s="11" t="str">
        <f ca="1">+WORLDCUP!BD60</f>
        <v>Haití</v>
      </c>
      <c r="G213" s="11" t="str">
        <f ca="1">+WORLDCUP!BD58</f>
        <v>República Checa</v>
      </c>
      <c r="H213" s="11" t="str">
        <f ca="1">+WORLDCUP!BD65</f>
        <v>Arabia Saudita</v>
      </c>
      <c r="I213" s="11" t="str">
        <f ca="1">+WORLDCUP!BD69</f>
        <v>Ghana</v>
      </c>
      <c r="J213" s="11" t="str">
        <f ca="1">+WORLDCUP!BD68</f>
        <v>Uzbekistán</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Costa de Marfil</v>
      </c>
      <c r="D214" s="11" t="str">
        <f ca="1">+WORLDCUP!BD64</f>
        <v>Irán</v>
      </c>
      <c r="E214" s="11" t="str">
        <f ca="1">+WORLDCUP!BD67</f>
        <v>Austria</v>
      </c>
      <c r="F214" s="11" t="str">
        <f ca="1">+WORLDCUP!BD60</f>
        <v>Haití</v>
      </c>
      <c r="G214" s="11" t="str">
        <f ca="1">+WORLDCUP!BD58</f>
        <v>República Checa</v>
      </c>
      <c r="H214" s="11" t="str">
        <f ca="1">+WORLDCUP!BD65</f>
        <v>Arabia Saudita</v>
      </c>
      <c r="I214" s="11" t="str">
        <f ca="1">+WORLDCUP!BD69</f>
        <v>Ghana</v>
      </c>
      <c r="J214" s="11" t="str">
        <f ca="1">+WORLDCUP!BD66</f>
        <v>Irak</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Costa de Marfil</v>
      </c>
      <c r="D215" s="11" t="str">
        <f ca="1">+WORLDCUP!BD64</f>
        <v>Irán</v>
      </c>
      <c r="E215" s="11" t="str">
        <f ca="1">+WORLDCUP!BD67</f>
        <v>Austria</v>
      </c>
      <c r="F215" s="11" t="str">
        <f ca="1">+WORLDCUP!BD60</f>
        <v>Haití</v>
      </c>
      <c r="G215" s="11" t="str">
        <f ca="1">+WORLDCUP!BD58</f>
        <v>República Checa</v>
      </c>
      <c r="H215" s="11" t="str">
        <f ca="1">+WORLDCUP!BD65</f>
        <v>Arabia Saudita</v>
      </c>
      <c r="I215" s="11" t="str">
        <f ca="1">+WORLDCUP!BD66</f>
        <v>Irak</v>
      </c>
      <c r="J215" s="11" t="str">
        <f ca="1">+WORLDCUP!BD68</f>
        <v>Uzbekistán</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Costa de Marfil</v>
      </c>
      <c r="D216" s="11" t="str">
        <f ca="1">+WORLDCUP!BD67</f>
        <v>Austria</v>
      </c>
      <c r="E216" s="11" t="str">
        <f ca="1">+WORLDCUP!BD66</f>
        <v>Irak</v>
      </c>
      <c r="F216" s="11" t="str">
        <f ca="1">+WORLDCUP!BD60</f>
        <v>Haití</v>
      </c>
      <c r="G216" s="11" t="str">
        <f ca="1">+WORLDCUP!BD58</f>
        <v>República Checa</v>
      </c>
      <c r="H216" s="11" t="str">
        <f ca="1">+WORLDCUP!BD63</f>
        <v>Suecia</v>
      </c>
      <c r="I216" s="11" t="str">
        <f ca="1">+WORLDCUP!BD69</f>
        <v>Ghana</v>
      </c>
      <c r="J216" s="11" t="str">
        <f ca="1">+WORLDCUP!BD68</f>
        <v>Uzbekistán</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Arabia Saudita</v>
      </c>
      <c r="D217" s="11" t="str">
        <f ca="1">+WORLDCUP!BD67</f>
        <v>Austria</v>
      </c>
      <c r="E217" s="11" t="str">
        <f ca="1">+WORLDCUP!BD62</f>
        <v>Costa de Marfil</v>
      </c>
      <c r="F217" s="11" t="str">
        <f ca="1">+WORLDCUP!BD60</f>
        <v>Haití</v>
      </c>
      <c r="G217" s="11" t="str">
        <f ca="1">+WORLDCUP!BD58</f>
        <v>República Checa</v>
      </c>
      <c r="H217" s="11" t="str">
        <f ca="1">+WORLDCUP!BD63</f>
        <v>Suecia</v>
      </c>
      <c r="I217" s="11" t="str">
        <f ca="1">+WORLDCUP!BD69</f>
        <v>Ghana</v>
      </c>
      <c r="J217" s="11" t="str">
        <f ca="1">+WORLDCUP!BD68</f>
        <v>Uzbekistán</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Arabia Saudita</v>
      </c>
      <c r="D218" s="11" t="str">
        <f ca="1">+WORLDCUP!BD62</f>
        <v>Costa de Marfil</v>
      </c>
      <c r="E218" s="11" t="str">
        <f ca="1">+WORLDCUP!BD66</f>
        <v>Irak</v>
      </c>
      <c r="F218" s="11" t="str">
        <f ca="1">+WORLDCUP!BD60</f>
        <v>Haití</v>
      </c>
      <c r="G218" s="11" t="str">
        <f ca="1">+WORLDCUP!BD58</f>
        <v>República Checa</v>
      </c>
      <c r="H218" s="11" t="str">
        <f ca="1">+WORLDCUP!BD63</f>
        <v>Suecia</v>
      </c>
      <c r="I218" s="11" t="str">
        <f ca="1">+WORLDCUP!BD69</f>
        <v>Ghana</v>
      </c>
      <c r="J218" s="11" t="str">
        <f ca="1">+WORLDCUP!BD68</f>
        <v>Uzbekistán</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Arabia Saudita</v>
      </c>
      <c r="D219" s="11" t="str">
        <f ca="1">+WORLDCUP!BD67</f>
        <v>Austria</v>
      </c>
      <c r="E219" s="11" t="str">
        <f ca="1">+WORLDCUP!BD62</f>
        <v>Costa de Marfil</v>
      </c>
      <c r="F219" s="11" t="str">
        <f ca="1">+WORLDCUP!BD60</f>
        <v>Haití</v>
      </c>
      <c r="G219" s="11" t="str">
        <f ca="1">+WORLDCUP!BD58</f>
        <v>República Checa</v>
      </c>
      <c r="H219" s="11" t="str">
        <f ca="1">+WORLDCUP!BD63</f>
        <v>Suecia</v>
      </c>
      <c r="I219" s="11" t="str">
        <f ca="1">+WORLDCUP!BD69</f>
        <v>Ghana</v>
      </c>
      <c r="J219" s="11" t="str">
        <f ca="1">+WORLDCUP!BD66</f>
        <v>Irak</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Arabia Saudita</v>
      </c>
      <c r="D220" s="11" t="str">
        <f ca="1">+WORLDCUP!BD67</f>
        <v>Austria</v>
      </c>
      <c r="E220" s="11" t="str">
        <f ca="1">+WORLDCUP!BD62</f>
        <v>Costa de Marfil</v>
      </c>
      <c r="F220" s="11" t="str">
        <f ca="1">+WORLDCUP!BD60</f>
        <v>Haití</v>
      </c>
      <c r="G220" s="11" t="str">
        <f ca="1">+WORLDCUP!BD58</f>
        <v>República Checa</v>
      </c>
      <c r="H220" s="11" t="str">
        <f ca="1">+WORLDCUP!BD63</f>
        <v>Suecia</v>
      </c>
      <c r="I220" s="11" t="str">
        <f ca="1">+WORLDCUP!BD66</f>
        <v>Irak</v>
      </c>
      <c r="J220" s="11" t="str">
        <f ca="1">+WORLDCUP!BD68</f>
        <v>Uzbekistán</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Costa de Marfil</v>
      </c>
      <c r="D221" s="11" t="str">
        <f ca="1">+WORLDCUP!BD64</f>
        <v>Irán</v>
      </c>
      <c r="E221" s="11" t="str">
        <f ca="1">+WORLDCUP!BD67</f>
        <v>Austria</v>
      </c>
      <c r="F221" s="11" t="str">
        <f ca="1">+WORLDCUP!BD60</f>
        <v>Haití</v>
      </c>
      <c r="G221" s="11" t="str">
        <f ca="1">+WORLDCUP!BD58</f>
        <v>República Checa</v>
      </c>
      <c r="H221" s="11" t="str">
        <f ca="1">+WORLDCUP!BD63</f>
        <v>Suecia</v>
      </c>
      <c r="I221" s="11" t="str">
        <f ca="1">+WORLDCUP!BD69</f>
        <v>Ghana</v>
      </c>
      <c r="J221" s="11" t="str">
        <f ca="1">+WORLDCUP!BD68</f>
        <v>Uzbekistán</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Costa de Marfil</v>
      </c>
      <c r="D222" s="11" t="str">
        <f ca="1">+WORLDCUP!BD64</f>
        <v>Irán</v>
      </c>
      <c r="E222" s="11" t="str">
        <f ca="1">+WORLDCUP!BD66</f>
        <v>Irak</v>
      </c>
      <c r="F222" s="11" t="str">
        <f ca="1">+WORLDCUP!BD60</f>
        <v>Haití</v>
      </c>
      <c r="G222" s="11" t="str">
        <f ca="1">+WORLDCUP!BD58</f>
        <v>República Checa</v>
      </c>
      <c r="H222" s="11" t="str">
        <f ca="1">+WORLDCUP!BD63</f>
        <v>Suecia</v>
      </c>
      <c r="I222" s="11" t="str">
        <f ca="1">+WORLDCUP!BD69</f>
        <v>Ghana</v>
      </c>
      <c r="J222" s="11" t="str">
        <f ca="1">+WORLDCUP!BD68</f>
        <v>Uzbekistán</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Costa de Marfil</v>
      </c>
      <c r="D223" s="11" t="str">
        <f ca="1">+WORLDCUP!BD64</f>
        <v>Irán</v>
      </c>
      <c r="E223" s="11" t="str">
        <f ca="1">+WORLDCUP!BD67</f>
        <v>Austria</v>
      </c>
      <c r="F223" s="11" t="str">
        <f ca="1">+WORLDCUP!BD60</f>
        <v>Haití</v>
      </c>
      <c r="G223" s="11" t="str">
        <f ca="1">+WORLDCUP!BD58</f>
        <v>República Checa</v>
      </c>
      <c r="H223" s="11" t="str">
        <f ca="1">+WORLDCUP!BD63</f>
        <v>Suecia</v>
      </c>
      <c r="I223" s="11" t="str">
        <f ca="1">+WORLDCUP!BD69</f>
        <v>Ghana</v>
      </c>
      <c r="J223" s="11" t="str">
        <f ca="1">+WORLDCUP!BD66</f>
        <v>Irak</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Costa de Marfil</v>
      </c>
      <c r="D224" s="11" t="str">
        <f ca="1">+WORLDCUP!BD64</f>
        <v>Irán</v>
      </c>
      <c r="E224" s="11" t="str">
        <f ca="1">+WORLDCUP!BD67</f>
        <v>Austria</v>
      </c>
      <c r="F224" s="11" t="str">
        <f ca="1">+WORLDCUP!BD60</f>
        <v>Haití</v>
      </c>
      <c r="G224" s="11" t="str">
        <f ca="1">+WORLDCUP!BD58</f>
        <v>República Checa</v>
      </c>
      <c r="H224" s="11" t="str">
        <f ca="1">+WORLDCUP!BD63</f>
        <v>Suecia</v>
      </c>
      <c r="I224" s="11" t="str">
        <f ca="1">+WORLDCUP!BD66</f>
        <v>Irak</v>
      </c>
      <c r="J224" s="11" t="str">
        <f ca="1">+WORLDCUP!BD68</f>
        <v>Uzbekistán</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Arabia Saudita</v>
      </c>
      <c r="D225" s="11" t="str">
        <f ca="1">+WORLDCUP!BD64</f>
        <v>Irán</v>
      </c>
      <c r="E225" s="11" t="str">
        <f ca="1">+WORLDCUP!BD62</f>
        <v>Costa de Marfil</v>
      </c>
      <c r="F225" s="11" t="str">
        <f ca="1">+WORLDCUP!BD60</f>
        <v>Haití</v>
      </c>
      <c r="G225" s="11" t="str">
        <f ca="1">+WORLDCUP!BD58</f>
        <v>República Checa</v>
      </c>
      <c r="H225" s="11" t="str">
        <f ca="1">+WORLDCUP!BD63</f>
        <v>Suecia</v>
      </c>
      <c r="I225" s="11" t="str">
        <f ca="1">+WORLDCUP!BD69</f>
        <v>Ghana</v>
      </c>
      <c r="J225" s="11" t="str">
        <f ca="1">+WORLDCUP!BD68</f>
        <v>Uzbekistán</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Arabia Saudita</v>
      </c>
      <c r="D226" s="11" t="str">
        <f ca="1">+WORLDCUP!BD64</f>
        <v>Irán</v>
      </c>
      <c r="E226" s="11" t="str">
        <f ca="1">+WORLDCUP!BD67</f>
        <v>Austria</v>
      </c>
      <c r="F226" s="11" t="str">
        <f ca="1">+WORLDCUP!BD60</f>
        <v>Haití</v>
      </c>
      <c r="G226" s="11" t="str">
        <f ca="1">+WORLDCUP!BD58</f>
        <v>República Checa</v>
      </c>
      <c r="H226" s="11" t="str">
        <f ca="1">+WORLDCUP!BD63</f>
        <v>Suecia</v>
      </c>
      <c r="I226" s="11" t="str">
        <f ca="1">+WORLDCUP!BD69</f>
        <v>Ghana</v>
      </c>
      <c r="J226" s="11" t="str">
        <f ca="1">+WORLDCUP!BD62</f>
        <v>Costa de Marfil</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Arabia Saudita</v>
      </c>
      <c r="D227" s="11" t="str">
        <f ca="1">+WORLDCUP!BD64</f>
        <v>Irán</v>
      </c>
      <c r="E227" s="11" t="str">
        <f ca="1">+WORLDCUP!BD67</f>
        <v>Austria</v>
      </c>
      <c r="F227" s="11" t="str">
        <f ca="1">+WORLDCUP!BD60</f>
        <v>Haití</v>
      </c>
      <c r="G227" s="11" t="str">
        <f ca="1">+WORLDCUP!BD58</f>
        <v>República Checa</v>
      </c>
      <c r="H227" s="11" t="str">
        <f ca="1">+WORLDCUP!BD63</f>
        <v>Suecia</v>
      </c>
      <c r="I227" s="11" t="str">
        <f ca="1">+WORLDCUP!BD62</f>
        <v>Costa de Marfil</v>
      </c>
      <c r="J227" s="11" t="str">
        <f ca="1">+WORLDCUP!BD68</f>
        <v>Uzbekistán</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Arabia Saudita</v>
      </c>
      <c r="D228" s="11" t="str">
        <f ca="1">+WORLDCUP!BD64</f>
        <v>Irán</v>
      </c>
      <c r="E228" s="11" t="str">
        <f ca="1">+WORLDCUP!BD62</f>
        <v>Costa de Marfil</v>
      </c>
      <c r="F228" s="11" t="str">
        <f ca="1">+WORLDCUP!BD60</f>
        <v>Haití</v>
      </c>
      <c r="G228" s="11" t="str">
        <f ca="1">+WORLDCUP!BD58</f>
        <v>República Checa</v>
      </c>
      <c r="H228" s="11" t="str">
        <f ca="1">+WORLDCUP!BD63</f>
        <v>Suecia</v>
      </c>
      <c r="I228" s="11" t="str">
        <f ca="1">+WORLDCUP!BD69</f>
        <v>Ghana</v>
      </c>
      <c r="J228" s="11" t="str">
        <f ca="1">+WORLDCUP!BD66</f>
        <v>Irak</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Arabia Saudita</v>
      </c>
      <c r="D229" s="11" t="str">
        <f ca="1">+WORLDCUP!BD64</f>
        <v>Irán</v>
      </c>
      <c r="E229" s="11" t="str">
        <f ca="1">+WORLDCUP!BD62</f>
        <v>Costa de Marfil</v>
      </c>
      <c r="F229" s="11" t="str">
        <f ca="1">+WORLDCUP!BD60</f>
        <v>Haití</v>
      </c>
      <c r="G229" s="11" t="str">
        <f ca="1">+WORLDCUP!BD58</f>
        <v>República Checa</v>
      </c>
      <c r="H229" s="11" t="str">
        <f ca="1">+WORLDCUP!BD63</f>
        <v>Suecia</v>
      </c>
      <c r="I229" s="11" t="str">
        <f ca="1">+WORLDCUP!BD66</f>
        <v>Irak</v>
      </c>
      <c r="J229" s="11" t="str">
        <f ca="1">+WORLDCUP!BD68</f>
        <v>Uzbekistán</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Arabia Saudita</v>
      </c>
      <c r="D230" s="11" t="str">
        <f ca="1">+WORLDCUP!BD64</f>
        <v>Irán</v>
      </c>
      <c r="E230" s="11" t="str">
        <f ca="1">+WORLDCUP!BD67</f>
        <v>Austria</v>
      </c>
      <c r="F230" s="11" t="str">
        <f ca="1">+WORLDCUP!BD60</f>
        <v>Haití</v>
      </c>
      <c r="G230" s="11" t="str">
        <f ca="1">+WORLDCUP!BD58</f>
        <v>República Checa</v>
      </c>
      <c r="H230" s="11" t="str">
        <f ca="1">+WORLDCUP!BD63</f>
        <v>Suecia</v>
      </c>
      <c r="I230" s="11" t="str">
        <f ca="1">+WORLDCUP!BD62</f>
        <v>Costa de Marfil</v>
      </c>
      <c r="J230" s="11" t="str">
        <f ca="1">+WORLDCUP!BD66</f>
        <v>Irak</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Arabia Saudita</v>
      </c>
      <c r="D231" s="11" t="str">
        <f ca="1">+WORLDCUP!BD67</f>
        <v>Austria</v>
      </c>
      <c r="E231" s="11" t="str">
        <f ca="1">+WORLDCUP!BD66</f>
        <v>Irak</v>
      </c>
      <c r="F231" s="11" t="str">
        <f ca="1">+WORLDCUP!BD60</f>
        <v>Haití</v>
      </c>
      <c r="G231" s="11" t="str">
        <f ca="1">+WORLDCUP!BD58</f>
        <v>República Checa</v>
      </c>
      <c r="H231" s="11" t="str">
        <f ca="1">+WORLDCUP!BD61</f>
        <v>Australia</v>
      </c>
      <c r="I231" s="11" t="str">
        <f ca="1">+WORLDCUP!BD69</f>
        <v>Ghana</v>
      </c>
      <c r="J231" s="11" t="str">
        <f ca="1">+WORLDCUP!BD68</f>
        <v>Uzbekistán</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Irak</v>
      </c>
      <c r="D232" s="11" t="str">
        <f ca="1">+WORLDCUP!BD64</f>
        <v>Irán</v>
      </c>
      <c r="E232" s="11" t="str">
        <f ca="1">+WORLDCUP!BD67</f>
        <v>Austria</v>
      </c>
      <c r="F232" s="11" t="str">
        <f ca="1">+WORLDCUP!BD60</f>
        <v>Haití</v>
      </c>
      <c r="G232" s="11" t="str">
        <f ca="1">+WORLDCUP!BD58</f>
        <v>República Checa</v>
      </c>
      <c r="H232" s="11" t="str">
        <f ca="1">+WORLDCUP!BD61</f>
        <v>Australia</v>
      </c>
      <c r="I232" s="11" t="str">
        <f ca="1">+WORLDCUP!BD69</f>
        <v>Ghana</v>
      </c>
      <c r="J232" s="11" t="str">
        <f ca="1">+WORLDCUP!BD68</f>
        <v>Uzbekistán</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Arabia Saudita</v>
      </c>
      <c r="D233" s="11" t="str">
        <f ca="1">+WORLDCUP!BD64</f>
        <v>Irán</v>
      </c>
      <c r="E233" s="11" t="str">
        <f ca="1">+WORLDCUP!BD67</f>
        <v>Austria</v>
      </c>
      <c r="F233" s="11" t="str">
        <f ca="1">+WORLDCUP!BD60</f>
        <v>Haití</v>
      </c>
      <c r="G233" s="11" t="str">
        <f ca="1">+WORLDCUP!BD58</f>
        <v>República Checa</v>
      </c>
      <c r="H233" s="11" t="str">
        <f ca="1">+WORLDCUP!BD61</f>
        <v>Australia</v>
      </c>
      <c r="I233" s="11" t="str">
        <f ca="1">+WORLDCUP!BD69</f>
        <v>Ghana</v>
      </c>
      <c r="J233" s="11" t="str">
        <f ca="1">+WORLDCUP!BD68</f>
        <v>Uzbekistán</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Arabia Saudita</v>
      </c>
      <c r="D234" s="11" t="str">
        <f ca="1">+WORLDCUP!BD64</f>
        <v>Irán</v>
      </c>
      <c r="E234" s="11" t="str">
        <f ca="1">+WORLDCUP!BD66</f>
        <v>Irak</v>
      </c>
      <c r="F234" s="11" t="str">
        <f ca="1">+WORLDCUP!BD60</f>
        <v>Haití</v>
      </c>
      <c r="G234" s="11" t="str">
        <f ca="1">+WORLDCUP!BD58</f>
        <v>República Checa</v>
      </c>
      <c r="H234" s="11" t="str">
        <f ca="1">+WORLDCUP!BD61</f>
        <v>Australia</v>
      </c>
      <c r="I234" s="11" t="str">
        <f ca="1">+WORLDCUP!BD69</f>
        <v>Ghana</v>
      </c>
      <c r="J234" s="11" t="str">
        <f ca="1">+WORLDCUP!BD68</f>
        <v>Uzbekistán</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Arabia Saudita</v>
      </c>
      <c r="D235" s="11" t="str">
        <f ca="1">+WORLDCUP!BD64</f>
        <v>Irán</v>
      </c>
      <c r="E235" s="11" t="str">
        <f ca="1">+WORLDCUP!BD67</f>
        <v>Austria</v>
      </c>
      <c r="F235" s="11" t="str">
        <f ca="1">+WORLDCUP!BD60</f>
        <v>Haití</v>
      </c>
      <c r="G235" s="11" t="str">
        <f ca="1">+WORLDCUP!BD58</f>
        <v>República Checa</v>
      </c>
      <c r="H235" s="11" t="str">
        <f ca="1">+WORLDCUP!BD61</f>
        <v>Australia</v>
      </c>
      <c r="I235" s="11" t="str">
        <f ca="1">+WORLDCUP!BD69</f>
        <v>Ghana</v>
      </c>
      <c r="J235" s="11" t="str">
        <f ca="1">+WORLDCUP!BD66</f>
        <v>Irak</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Arabia Saudita</v>
      </c>
      <c r="D236" s="11" t="str">
        <f ca="1">+WORLDCUP!BD64</f>
        <v>Irán</v>
      </c>
      <c r="E236" s="11" t="str">
        <f ca="1">+WORLDCUP!BD67</f>
        <v>Austria</v>
      </c>
      <c r="F236" s="11" t="str">
        <f ca="1">+WORLDCUP!BD60</f>
        <v>Haití</v>
      </c>
      <c r="G236" s="11" t="str">
        <f ca="1">+WORLDCUP!BD58</f>
        <v>República Checa</v>
      </c>
      <c r="H236" s="11" t="str">
        <f ca="1">+WORLDCUP!BD61</f>
        <v>Australia</v>
      </c>
      <c r="I236" s="11" t="str">
        <f ca="1">+WORLDCUP!BD66</f>
        <v>Irak</v>
      </c>
      <c r="J236" s="11" t="str">
        <f ca="1">+WORLDCUP!BD68</f>
        <v>Uzbekistán</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Haití</v>
      </c>
      <c r="D237" s="11" t="str">
        <f ca="1">+WORLDCUP!BD67</f>
        <v>Austria</v>
      </c>
      <c r="E237" s="11" t="str">
        <f ca="1">+WORLDCUP!BD66</f>
        <v>Irak</v>
      </c>
      <c r="F237" s="11" t="str">
        <f ca="1">+WORLDCUP!BD61</f>
        <v>Australia</v>
      </c>
      <c r="G237" s="11" t="str">
        <f ca="1">+WORLDCUP!BD58</f>
        <v>República Checa</v>
      </c>
      <c r="H237" s="11" t="str">
        <f ca="1">+WORLDCUP!BD63</f>
        <v>Suecia</v>
      </c>
      <c r="I237" s="11" t="str">
        <f ca="1">+WORLDCUP!BD69</f>
        <v>Ghana</v>
      </c>
      <c r="J237" s="11" t="str">
        <f ca="1">+WORLDCUP!BD68</f>
        <v>Uzbekistán</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Arabia Saudita</v>
      </c>
      <c r="D238" s="11" t="str">
        <f ca="1">+WORLDCUP!BD67</f>
        <v>Austria</v>
      </c>
      <c r="E238" s="11" t="str">
        <f ca="1">+WORLDCUP!BD63</f>
        <v>Suecia</v>
      </c>
      <c r="F238" s="11" t="str">
        <f ca="1">+WORLDCUP!BD60</f>
        <v>Haití</v>
      </c>
      <c r="G238" s="11" t="str">
        <f ca="1">+WORLDCUP!BD58</f>
        <v>República Checa</v>
      </c>
      <c r="H238" s="11" t="str">
        <f ca="1">+WORLDCUP!BD61</f>
        <v>Australia</v>
      </c>
      <c r="I238" s="11" t="str">
        <f ca="1">+WORLDCUP!BD69</f>
        <v>Ghana</v>
      </c>
      <c r="J238" s="11" t="str">
        <f ca="1">+WORLDCUP!BD68</f>
        <v>Uzbekistán</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Arabia Saudita</v>
      </c>
      <c r="D239" s="11" t="str">
        <f ca="1">+WORLDCUP!BD63</f>
        <v>Suecia</v>
      </c>
      <c r="E239" s="11" t="str">
        <f ca="1">+WORLDCUP!BD66</f>
        <v>Irak</v>
      </c>
      <c r="F239" s="11" t="str">
        <f ca="1">+WORLDCUP!BD60</f>
        <v>Haití</v>
      </c>
      <c r="G239" s="11" t="str">
        <f ca="1">+WORLDCUP!BD58</f>
        <v>República Checa</v>
      </c>
      <c r="H239" s="11" t="str">
        <f ca="1">+WORLDCUP!BD61</f>
        <v>Australia</v>
      </c>
      <c r="I239" s="11" t="str">
        <f ca="1">+WORLDCUP!BD69</f>
        <v>Ghana</v>
      </c>
      <c r="J239" s="11" t="str">
        <f ca="1">+WORLDCUP!BD68</f>
        <v>Uzbekistán</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Arabia Saudita</v>
      </c>
      <c r="D240" s="11" t="str">
        <f ca="1">+WORLDCUP!BD67</f>
        <v>Austria</v>
      </c>
      <c r="E240" s="11" t="str">
        <f ca="1">+WORLDCUP!BD63</f>
        <v>Suecia</v>
      </c>
      <c r="F240" s="11" t="str">
        <f ca="1">+WORLDCUP!BD60</f>
        <v>Haití</v>
      </c>
      <c r="G240" s="11" t="str">
        <f ca="1">+WORLDCUP!BD58</f>
        <v>República Checa</v>
      </c>
      <c r="H240" s="11" t="str">
        <f ca="1">+WORLDCUP!BD61</f>
        <v>Australia</v>
      </c>
      <c r="I240" s="11" t="str">
        <f ca="1">+WORLDCUP!BD69</f>
        <v>Ghana</v>
      </c>
      <c r="J240" s="11" t="str">
        <f ca="1">+WORLDCUP!BD66</f>
        <v>Irak</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Arabia Saudita</v>
      </c>
      <c r="D241" s="11" t="str">
        <f ca="1">+WORLDCUP!BD67</f>
        <v>Austria</v>
      </c>
      <c r="E241" s="11" t="str">
        <f ca="1">+WORLDCUP!BD63</f>
        <v>Suecia</v>
      </c>
      <c r="F241" s="11" t="str">
        <f ca="1">+WORLDCUP!BD60</f>
        <v>Haití</v>
      </c>
      <c r="G241" s="11" t="str">
        <f ca="1">+WORLDCUP!BD58</f>
        <v>República Checa</v>
      </c>
      <c r="H241" s="11" t="str">
        <f ca="1">+WORLDCUP!BD61</f>
        <v>Australia</v>
      </c>
      <c r="I241" s="11" t="str">
        <f ca="1">+WORLDCUP!BD66</f>
        <v>Irak</v>
      </c>
      <c r="J241" s="11" t="str">
        <f ca="1">+WORLDCUP!BD68</f>
        <v>Uzbekistán</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Haití</v>
      </c>
      <c r="D242" s="11" t="str">
        <f ca="1">+WORLDCUP!BD64</f>
        <v>Irán</v>
      </c>
      <c r="E242" s="11" t="str">
        <f ca="1">+WORLDCUP!BD67</f>
        <v>Austria</v>
      </c>
      <c r="F242" s="11" t="str">
        <f ca="1">+WORLDCUP!BD61</f>
        <v>Australia</v>
      </c>
      <c r="G242" s="11" t="str">
        <f ca="1">+WORLDCUP!BD58</f>
        <v>República Checa</v>
      </c>
      <c r="H242" s="11" t="str">
        <f ca="1">+WORLDCUP!BD63</f>
        <v>Suecia</v>
      </c>
      <c r="I242" s="11" t="str">
        <f ca="1">+WORLDCUP!BD69</f>
        <v>Ghana</v>
      </c>
      <c r="J242" s="11" t="str">
        <f ca="1">+WORLDCUP!BD68</f>
        <v>Uzbekistán</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Haití</v>
      </c>
      <c r="D243" s="11" t="str">
        <f ca="1">+WORLDCUP!BD64</f>
        <v>Irán</v>
      </c>
      <c r="E243" s="11" t="str">
        <f ca="1">+WORLDCUP!BD66</f>
        <v>Irak</v>
      </c>
      <c r="F243" s="11" t="str">
        <f ca="1">+WORLDCUP!BD61</f>
        <v>Australia</v>
      </c>
      <c r="G243" s="11" t="str">
        <f ca="1">+WORLDCUP!BD58</f>
        <v>República Checa</v>
      </c>
      <c r="H243" s="11" t="str">
        <f ca="1">+WORLDCUP!BD63</f>
        <v>Suecia</v>
      </c>
      <c r="I243" s="11" t="str">
        <f ca="1">+WORLDCUP!BD69</f>
        <v>Ghana</v>
      </c>
      <c r="J243" s="11" t="str">
        <f ca="1">+WORLDCUP!BD68</f>
        <v>Uzbekistán</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Haití</v>
      </c>
      <c r="D244" s="11" t="str">
        <f ca="1">+WORLDCUP!BD64</f>
        <v>Irán</v>
      </c>
      <c r="E244" s="11" t="str">
        <f ca="1">+WORLDCUP!BD67</f>
        <v>Austria</v>
      </c>
      <c r="F244" s="11" t="str">
        <f ca="1">+WORLDCUP!BD61</f>
        <v>Australia</v>
      </c>
      <c r="G244" s="11" t="str">
        <f ca="1">+WORLDCUP!BD58</f>
        <v>República Checa</v>
      </c>
      <c r="H244" s="11" t="str">
        <f ca="1">+WORLDCUP!BD63</f>
        <v>Suecia</v>
      </c>
      <c r="I244" s="11" t="str">
        <f ca="1">+WORLDCUP!BD69</f>
        <v>Ghana</v>
      </c>
      <c r="J244" s="11" t="str">
        <f ca="1">+WORLDCUP!BD66</f>
        <v>Irak</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Haití</v>
      </c>
      <c r="D245" s="11" t="str">
        <f ca="1">+WORLDCUP!BD64</f>
        <v>Irán</v>
      </c>
      <c r="E245" s="11" t="str">
        <f ca="1">+WORLDCUP!BD67</f>
        <v>Austria</v>
      </c>
      <c r="F245" s="11" t="str">
        <f ca="1">+WORLDCUP!BD61</f>
        <v>Australia</v>
      </c>
      <c r="G245" s="11" t="str">
        <f ca="1">+WORLDCUP!BD58</f>
        <v>República Checa</v>
      </c>
      <c r="H245" s="11" t="str">
        <f ca="1">+WORLDCUP!BD63</f>
        <v>Suecia</v>
      </c>
      <c r="I245" s="11" t="str">
        <f ca="1">+WORLDCUP!BD66</f>
        <v>Irak</v>
      </c>
      <c r="J245" s="11" t="str">
        <f ca="1">+WORLDCUP!BD68</f>
        <v>Uzbekistán</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Arabia Saudita</v>
      </c>
      <c r="D246" s="11" t="str">
        <f ca="1">+WORLDCUP!BD64</f>
        <v>Irán</v>
      </c>
      <c r="E246" s="11" t="str">
        <f ca="1">+WORLDCUP!BD63</f>
        <v>Suecia</v>
      </c>
      <c r="F246" s="11" t="str">
        <f ca="1">+WORLDCUP!BD60</f>
        <v>Haití</v>
      </c>
      <c r="G246" s="11" t="str">
        <f ca="1">+WORLDCUP!BD58</f>
        <v>República Checa</v>
      </c>
      <c r="H246" s="11" t="str">
        <f ca="1">+WORLDCUP!BD61</f>
        <v>Australia</v>
      </c>
      <c r="I246" s="11" t="str">
        <f ca="1">+WORLDCUP!BD69</f>
        <v>Ghana</v>
      </c>
      <c r="J246" s="11" t="str">
        <f ca="1">+WORLDCUP!BD68</f>
        <v>Uzbekistán</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Haití</v>
      </c>
      <c r="D247" s="11" t="str">
        <f ca="1">+WORLDCUP!BD64</f>
        <v>Irán</v>
      </c>
      <c r="E247" s="11" t="str">
        <f ca="1">+WORLDCUP!BD67</f>
        <v>Austria</v>
      </c>
      <c r="F247" s="11" t="str">
        <f ca="1">+WORLDCUP!BD61</f>
        <v>Australia</v>
      </c>
      <c r="G247" s="11" t="str">
        <f ca="1">+WORLDCUP!BD58</f>
        <v>República Checa</v>
      </c>
      <c r="H247" s="11" t="str">
        <f ca="1">+WORLDCUP!BD63</f>
        <v>Suecia</v>
      </c>
      <c r="I247" s="11" t="str">
        <f ca="1">+WORLDCUP!BD69</f>
        <v>Ghana</v>
      </c>
      <c r="J247" s="11" t="str">
        <f ca="1">+WORLDCUP!BD65</f>
        <v>Arabia Saudita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Arabia Saudita</v>
      </c>
      <c r="D248" s="11" t="str">
        <f ca="1">+WORLDCUP!BD64</f>
        <v>Irán</v>
      </c>
      <c r="E248" s="11" t="str">
        <f ca="1">+WORLDCUP!BD67</f>
        <v>Austria</v>
      </c>
      <c r="F248" s="11" t="str">
        <f ca="1">+WORLDCUP!BD60</f>
        <v>Haití</v>
      </c>
      <c r="G248" s="11" t="str">
        <f ca="1">+WORLDCUP!BD58</f>
        <v>República Checa</v>
      </c>
      <c r="H248" s="11" t="str">
        <f ca="1">+WORLDCUP!BD63</f>
        <v>Suecia</v>
      </c>
      <c r="I248" s="11" t="str">
        <f ca="1">+WORLDCUP!BD61</f>
        <v>Australia</v>
      </c>
      <c r="J248" s="11" t="str">
        <f ca="1">+WORLDCUP!BD68</f>
        <v>Uzbekistán</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Arabia Saudita</v>
      </c>
      <c r="D249" s="11" t="str">
        <f ca="1">+WORLDCUP!BD64</f>
        <v>Irán</v>
      </c>
      <c r="E249" s="11" t="str">
        <f ca="1">+WORLDCUP!BD63</f>
        <v>Suecia</v>
      </c>
      <c r="F249" s="11" t="str">
        <f ca="1">+WORLDCUP!BD60</f>
        <v>Haití</v>
      </c>
      <c r="G249" s="11" t="str">
        <f ca="1">+WORLDCUP!BD58</f>
        <v>República Checa</v>
      </c>
      <c r="H249" s="11" t="str">
        <f ca="1">+WORLDCUP!BD61</f>
        <v>Australia</v>
      </c>
      <c r="I249" s="11" t="str">
        <f ca="1">+WORLDCUP!BD69</f>
        <v>Ghana</v>
      </c>
      <c r="J249" s="11" t="str">
        <f ca="1">+WORLDCUP!BD66</f>
        <v>Irak</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Arabia Saudita</v>
      </c>
      <c r="D250" s="11" t="str">
        <f ca="1">+WORLDCUP!BD64</f>
        <v>Irán</v>
      </c>
      <c r="E250" s="11" t="str">
        <f ca="1">+WORLDCUP!BD63</f>
        <v>Suecia</v>
      </c>
      <c r="F250" s="11" t="str">
        <f ca="1">+WORLDCUP!BD60</f>
        <v>Haití</v>
      </c>
      <c r="G250" s="11" t="str">
        <f ca="1">+WORLDCUP!BD58</f>
        <v>República Checa</v>
      </c>
      <c r="H250" s="11" t="str">
        <f ca="1">+WORLDCUP!BD61</f>
        <v>Australia</v>
      </c>
      <c r="I250" s="11" t="str">
        <f ca="1">+WORLDCUP!BD66</f>
        <v>Irak</v>
      </c>
      <c r="J250" s="11" t="str">
        <f ca="1">+WORLDCUP!BD68</f>
        <v>Uzbekistán</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Arabia Saudita</v>
      </c>
      <c r="D251" s="11" t="str">
        <f ca="1">+WORLDCUP!BD64</f>
        <v>Irán</v>
      </c>
      <c r="E251" s="11" t="str">
        <f ca="1">+WORLDCUP!BD67</f>
        <v>Austria</v>
      </c>
      <c r="F251" s="11" t="str">
        <f ca="1">+WORLDCUP!BD60</f>
        <v>Haití</v>
      </c>
      <c r="G251" s="11" t="str">
        <f ca="1">+WORLDCUP!BD58</f>
        <v>República Checa</v>
      </c>
      <c r="H251" s="11" t="str">
        <f ca="1">+WORLDCUP!BD63</f>
        <v>Suecia</v>
      </c>
      <c r="I251" s="11" t="str">
        <f ca="1">+WORLDCUP!BD61</f>
        <v>Australia</v>
      </c>
      <c r="J251" s="11" t="str">
        <f ca="1">+WORLDCUP!BD66</f>
        <v>Irak</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Costa de Marfil</v>
      </c>
      <c r="D252" s="11" t="str">
        <f ca="1">+WORLDCUP!BD67</f>
        <v>Austria</v>
      </c>
      <c r="E252" s="11" t="str">
        <f ca="1">+WORLDCUP!BD66</f>
        <v>Irak</v>
      </c>
      <c r="F252" s="11" t="str">
        <f ca="1">+WORLDCUP!BD60</f>
        <v>Haití</v>
      </c>
      <c r="G252" s="11" t="str">
        <f ca="1">+WORLDCUP!BD58</f>
        <v>República Checa</v>
      </c>
      <c r="H252" s="11" t="str">
        <f ca="1">+WORLDCUP!BD61</f>
        <v>Australia</v>
      </c>
      <c r="I252" s="11" t="str">
        <f ca="1">+WORLDCUP!BD69</f>
        <v>Ghana</v>
      </c>
      <c r="J252" s="11" t="str">
        <f ca="1">+WORLDCUP!BD68</f>
        <v>Uzbekistán</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Arabia Saudita</v>
      </c>
      <c r="D253" s="11" t="str">
        <f ca="1">+WORLDCUP!BD67</f>
        <v>Austria</v>
      </c>
      <c r="E253" s="11" t="str">
        <f ca="1">+WORLDCUP!BD62</f>
        <v>Costa de Marfil</v>
      </c>
      <c r="F253" s="11" t="str">
        <f ca="1">+WORLDCUP!BD60</f>
        <v>Haití</v>
      </c>
      <c r="G253" s="11" t="str">
        <f ca="1">+WORLDCUP!BD58</f>
        <v>República Checa</v>
      </c>
      <c r="H253" s="11" t="str">
        <f ca="1">+WORLDCUP!BD61</f>
        <v>Australia</v>
      </c>
      <c r="I253" s="11" t="str">
        <f ca="1">+WORLDCUP!BD69</f>
        <v>Ghana</v>
      </c>
      <c r="J253" s="11" t="str">
        <f ca="1">+WORLDCUP!BD68</f>
        <v>Uzbekistán</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Arabia Saudita</v>
      </c>
      <c r="D254" s="11" t="str">
        <f ca="1">+WORLDCUP!BD62</f>
        <v>Costa de Marfil</v>
      </c>
      <c r="E254" s="11" t="str">
        <f ca="1">+WORLDCUP!BD66</f>
        <v>Irak</v>
      </c>
      <c r="F254" s="11" t="str">
        <f ca="1">+WORLDCUP!BD60</f>
        <v>Haití</v>
      </c>
      <c r="G254" s="11" t="str">
        <f ca="1">+WORLDCUP!BD58</f>
        <v>República Checa</v>
      </c>
      <c r="H254" s="11" t="str">
        <f ca="1">+WORLDCUP!BD61</f>
        <v>Australia</v>
      </c>
      <c r="I254" s="11" t="str">
        <f ca="1">+WORLDCUP!BD69</f>
        <v>Ghana</v>
      </c>
      <c r="J254" s="11" t="str">
        <f ca="1">+WORLDCUP!BD68</f>
        <v>Uzbekistán</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Arabia Saudita</v>
      </c>
      <c r="D255" s="11" t="str">
        <f ca="1">+WORLDCUP!BD67</f>
        <v>Austria</v>
      </c>
      <c r="E255" s="11" t="str">
        <f ca="1">+WORLDCUP!BD62</f>
        <v>Costa de Marfil</v>
      </c>
      <c r="F255" s="11" t="str">
        <f ca="1">+WORLDCUP!BD60</f>
        <v>Haití</v>
      </c>
      <c r="G255" s="11" t="str">
        <f ca="1">+WORLDCUP!BD58</f>
        <v>República Checa</v>
      </c>
      <c r="H255" s="11" t="str">
        <f ca="1">+WORLDCUP!BD61</f>
        <v>Australia</v>
      </c>
      <c r="I255" s="11" t="str">
        <f ca="1">+WORLDCUP!BD69</f>
        <v>Ghana</v>
      </c>
      <c r="J255" s="11" t="str">
        <f ca="1">+WORLDCUP!BD66</f>
        <v>Irak</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Arabia Saudita</v>
      </c>
      <c r="D256" s="11" t="str">
        <f ca="1">+WORLDCUP!BD67</f>
        <v>Austria</v>
      </c>
      <c r="E256" s="11" t="str">
        <f ca="1">+WORLDCUP!BD62</f>
        <v>Costa de Marfil</v>
      </c>
      <c r="F256" s="11" t="str">
        <f ca="1">+WORLDCUP!BD60</f>
        <v>Haití</v>
      </c>
      <c r="G256" s="11" t="str">
        <f ca="1">+WORLDCUP!BD58</f>
        <v>República Checa</v>
      </c>
      <c r="H256" s="11" t="str">
        <f ca="1">+WORLDCUP!BD61</f>
        <v>Australia</v>
      </c>
      <c r="I256" s="11" t="str">
        <f ca="1">+WORLDCUP!BD66</f>
        <v>Irak</v>
      </c>
      <c r="J256" s="11" t="str">
        <f ca="1">+WORLDCUP!BD68</f>
        <v>Uzbekistán</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Costa de Marfil</v>
      </c>
      <c r="D257" s="11" t="str">
        <f ca="1">+WORLDCUP!BD64</f>
        <v>Irán</v>
      </c>
      <c r="E257" s="11" t="str">
        <f ca="1">+WORLDCUP!BD67</f>
        <v>Austria</v>
      </c>
      <c r="F257" s="11" t="str">
        <f ca="1">+WORLDCUP!BD60</f>
        <v>Haití</v>
      </c>
      <c r="G257" s="11" t="str">
        <f ca="1">+WORLDCUP!BD58</f>
        <v>República Checa</v>
      </c>
      <c r="H257" s="11" t="str">
        <f ca="1">+WORLDCUP!BD61</f>
        <v>Australia</v>
      </c>
      <c r="I257" s="11" t="str">
        <f ca="1">+WORLDCUP!BD69</f>
        <v>Ghana</v>
      </c>
      <c r="J257" s="11" t="str">
        <f ca="1">+WORLDCUP!BD68</f>
        <v>Uzbekistán</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Costa de Marfil</v>
      </c>
      <c r="D258" s="11" t="str">
        <f ca="1">+WORLDCUP!BD64</f>
        <v>Irán</v>
      </c>
      <c r="E258" s="11" t="str">
        <f ca="1">+WORLDCUP!BD66</f>
        <v>Irak</v>
      </c>
      <c r="F258" s="11" t="str">
        <f ca="1">+WORLDCUP!BD60</f>
        <v>Haití</v>
      </c>
      <c r="G258" s="11" t="str">
        <f ca="1">+WORLDCUP!BD58</f>
        <v>República Checa</v>
      </c>
      <c r="H258" s="11" t="str">
        <f ca="1">+WORLDCUP!BD61</f>
        <v>Australia</v>
      </c>
      <c r="I258" s="11" t="str">
        <f ca="1">+WORLDCUP!BD69</f>
        <v>Ghana</v>
      </c>
      <c r="J258" s="11" t="str">
        <f ca="1">+WORLDCUP!BD68</f>
        <v>Uzbekistán</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Costa de Marfil</v>
      </c>
      <c r="D259" s="11" t="str">
        <f ca="1">+WORLDCUP!BD64</f>
        <v>Irán</v>
      </c>
      <c r="E259" s="11" t="str">
        <f ca="1">+WORLDCUP!BD67</f>
        <v>Austria</v>
      </c>
      <c r="F259" s="11" t="str">
        <f ca="1">+WORLDCUP!BD60</f>
        <v>Haití</v>
      </c>
      <c r="G259" s="11" t="str">
        <f ca="1">+WORLDCUP!BD58</f>
        <v>República Checa</v>
      </c>
      <c r="H259" s="11" t="str">
        <f ca="1">+WORLDCUP!BD61</f>
        <v>Australia</v>
      </c>
      <c r="I259" s="11" t="str">
        <f ca="1">+WORLDCUP!BD69</f>
        <v>Ghana</v>
      </c>
      <c r="J259" s="11" t="str">
        <f ca="1">+WORLDCUP!BD66</f>
        <v>Irak</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Costa de Marfil</v>
      </c>
      <c r="D260" s="11" t="str">
        <f ca="1">+WORLDCUP!BD64</f>
        <v>Irán</v>
      </c>
      <c r="E260" s="11" t="str">
        <f ca="1">+WORLDCUP!BD67</f>
        <v>Austria</v>
      </c>
      <c r="F260" s="11" t="str">
        <f ca="1">+WORLDCUP!BD60</f>
        <v>Haití</v>
      </c>
      <c r="G260" s="11" t="str">
        <f ca="1">+WORLDCUP!BD58</f>
        <v>República Checa</v>
      </c>
      <c r="H260" s="11" t="str">
        <f ca="1">+WORLDCUP!BD61</f>
        <v>Australia</v>
      </c>
      <c r="I260" s="11" t="str">
        <f ca="1">+WORLDCUP!BD66</f>
        <v>Irak</v>
      </c>
      <c r="J260" s="11" t="str">
        <f ca="1">+WORLDCUP!BD68</f>
        <v>Uzbekistán</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Arabia Saudita</v>
      </c>
      <c r="D261" s="11" t="str">
        <f ca="1">+WORLDCUP!BD64</f>
        <v>Irán</v>
      </c>
      <c r="E261" s="11" t="str">
        <f ca="1">+WORLDCUP!BD62</f>
        <v>Costa de Marfil</v>
      </c>
      <c r="F261" s="11" t="str">
        <f ca="1">+WORLDCUP!BD60</f>
        <v>Haití</v>
      </c>
      <c r="G261" s="11" t="str">
        <f ca="1">+WORLDCUP!BD58</f>
        <v>República Checa</v>
      </c>
      <c r="H261" s="11" t="str">
        <f ca="1">+WORLDCUP!BD61</f>
        <v>Australia</v>
      </c>
      <c r="I261" s="11" t="str">
        <f ca="1">+WORLDCUP!BD69</f>
        <v>Ghana</v>
      </c>
      <c r="J261" s="11" t="str">
        <f ca="1">+WORLDCUP!BD68</f>
        <v>Uzbekistán</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Arabia Saudita</v>
      </c>
      <c r="D262" s="11" t="str">
        <f ca="1">+WORLDCUP!BD64</f>
        <v>Irán</v>
      </c>
      <c r="E262" s="11" t="str">
        <f ca="1">+WORLDCUP!BD67</f>
        <v>Austria</v>
      </c>
      <c r="F262" s="11" t="str">
        <f ca="1">+WORLDCUP!BD60</f>
        <v>Haití</v>
      </c>
      <c r="G262" s="11" t="str">
        <f ca="1">+WORLDCUP!BD58</f>
        <v>República Checa</v>
      </c>
      <c r="H262" s="11" t="str">
        <f ca="1">+WORLDCUP!BD61</f>
        <v>Australia</v>
      </c>
      <c r="I262" s="11" t="str">
        <f ca="1">+WORLDCUP!BD69</f>
        <v>Ghana</v>
      </c>
      <c r="J262" s="11" t="str">
        <f ca="1">+WORLDCUP!BD62</f>
        <v>Costa de Marfil</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Arabia Saudita</v>
      </c>
      <c r="D263" s="11" t="str">
        <f ca="1">+WORLDCUP!BD64</f>
        <v>Irán</v>
      </c>
      <c r="E263" s="11" t="str">
        <f ca="1">+WORLDCUP!BD67</f>
        <v>Austria</v>
      </c>
      <c r="F263" s="11" t="str">
        <f ca="1">+WORLDCUP!BD60</f>
        <v>Haití</v>
      </c>
      <c r="G263" s="11" t="str">
        <f ca="1">+WORLDCUP!BD58</f>
        <v>República Checa</v>
      </c>
      <c r="H263" s="11" t="str">
        <f ca="1">+WORLDCUP!BD61</f>
        <v>Australia</v>
      </c>
      <c r="I263" s="11" t="str">
        <f ca="1">+WORLDCUP!BD62</f>
        <v>Costa de Marfil</v>
      </c>
      <c r="J263" s="11" t="str">
        <f ca="1">+WORLDCUP!BD68</f>
        <v>Uzbekistán</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Arabia Saudita</v>
      </c>
      <c r="D264" s="11" t="str">
        <f ca="1">+WORLDCUP!BD64</f>
        <v>Irán</v>
      </c>
      <c r="E264" s="11" t="str">
        <f ca="1">+WORLDCUP!BD62</f>
        <v>Costa de Marfil</v>
      </c>
      <c r="F264" s="11" t="str">
        <f ca="1">+WORLDCUP!BD60</f>
        <v>Haití</v>
      </c>
      <c r="G264" s="11" t="str">
        <f ca="1">+WORLDCUP!BD58</f>
        <v>República Checa</v>
      </c>
      <c r="H264" s="11" t="str">
        <f ca="1">+WORLDCUP!BD61</f>
        <v>Australia</v>
      </c>
      <c r="I264" s="11" t="str">
        <f ca="1">+WORLDCUP!BD69</f>
        <v>Ghana</v>
      </c>
      <c r="J264" s="11" t="str">
        <f ca="1">+WORLDCUP!BD66</f>
        <v>Irak</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Arabia Saudita</v>
      </c>
      <c r="D265" s="11" t="str">
        <f ca="1">+WORLDCUP!BD64</f>
        <v>Irán</v>
      </c>
      <c r="E265" s="11" t="str">
        <f ca="1">+WORLDCUP!BD62</f>
        <v>Costa de Marfil</v>
      </c>
      <c r="F265" s="11" t="str">
        <f ca="1">+WORLDCUP!BD60</f>
        <v>Haití</v>
      </c>
      <c r="G265" s="11" t="str">
        <f ca="1">+WORLDCUP!BD58</f>
        <v>República Checa</v>
      </c>
      <c r="H265" s="11" t="str">
        <f ca="1">+WORLDCUP!BD61</f>
        <v>Australia</v>
      </c>
      <c r="I265" s="11" t="str">
        <f ca="1">+WORLDCUP!BD66</f>
        <v>Irak</v>
      </c>
      <c r="J265" s="11" t="str">
        <f ca="1">+WORLDCUP!BD68</f>
        <v>Uzbekistán</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Arabia Saudita</v>
      </c>
      <c r="D266" s="11" t="str">
        <f ca="1">+WORLDCUP!BD64</f>
        <v>Irán</v>
      </c>
      <c r="E266" s="11" t="str">
        <f ca="1">+WORLDCUP!BD67</f>
        <v>Austria</v>
      </c>
      <c r="F266" s="11" t="str">
        <f ca="1">+WORLDCUP!BD60</f>
        <v>Haití</v>
      </c>
      <c r="G266" s="11" t="str">
        <f ca="1">+WORLDCUP!BD58</f>
        <v>República Checa</v>
      </c>
      <c r="H266" s="11" t="str">
        <f ca="1">+WORLDCUP!BD61</f>
        <v>Australia</v>
      </c>
      <c r="I266" s="11" t="str">
        <f ca="1">+WORLDCUP!BD62</f>
        <v>Costa de Marfil</v>
      </c>
      <c r="J266" s="11" t="str">
        <f ca="1">+WORLDCUP!BD66</f>
        <v>Irak</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Haití</v>
      </c>
      <c r="D267" s="11" t="str">
        <f ca="1">+WORLDCUP!BD67</f>
        <v>Austria</v>
      </c>
      <c r="E267" s="11" t="str">
        <f ca="1">+WORLDCUP!BD62</f>
        <v>Costa de Marfil</v>
      </c>
      <c r="F267" s="11" t="str">
        <f ca="1">+WORLDCUP!BD61</f>
        <v>Australia</v>
      </c>
      <c r="G267" s="11" t="str">
        <f ca="1">+WORLDCUP!BD58</f>
        <v>República Checa</v>
      </c>
      <c r="H267" s="11" t="str">
        <f ca="1">+WORLDCUP!BD63</f>
        <v>Suecia</v>
      </c>
      <c r="I267" s="11" t="str">
        <f ca="1">+WORLDCUP!BD69</f>
        <v>Ghana</v>
      </c>
      <c r="J267" s="11" t="str">
        <f ca="1">+WORLDCUP!BD68</f>
        <v>Uzbekistán</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Haití</v>
      </c>
      <c r="D268" s="11" t="str">
        <f ca="1">+WORLDCUP!BD62</f>
        <v>Costa de Marfil</v>
      </c>
      <c r="E268" s="11" t="str">
        <f ca="1">+WORLDCUP!BD66</f>
        <v>Irak</v>
      </c>
      <c r="F268" s="11" t="str">
        <f ca="1">+WORLDCUP!BD61</f>
        <v>Australia</v>
      </c>
      <c r="G268" s="11" t="str">
        <f ca="1">+WORLDCUP!BD58</f>
        <v>República Checa</v>
      </c>
      <c r="H268" s="11" t="str">
        <f ca="1">+WORLDCUP!BD63</f>
        <v>Suecia</v>
      </c>
      <c r="I268" s="11" t="str">
        <f ca="1">+WORLDCUP!BD69</f>
        <v>Ghana</v>
      </c>
      <c r="J268" s="11" t="str">
        <f ca="1">+WORLDCUP!BD68</f>
        <v>Uzbekistán</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Haití</v>
      </c>
      <c r="D269" s="11" t="str">
        <f ca="1">+WORLDCUP!BD67</f>
        <v>Austria</v>
      </c>
      <c r="E269" s="11" t="str">
        <f ca="1">+WORLDCUP!BD62</f>
        <v>Costa de Marfil</v>
      </c>
      <c r="F269" s="11" t="str">
        <f ca="1">+WORLDCUP!BD61</f>
        <v>Australia</v>
      </c>
      <c r="G269" s="11" t="str">
        <f ca="1">+WORLDCUP!BD58</f>
        <v>República Checa</v>
      </c>
      <c r="H269" s="11" t="str">
        <f ca="1">+WORLDCUP!BD63</f>
        <v>Suecia</v>
      </c>
      <c r="I269" s="11" t="str">
        <f ca="1">+WORLDCUP!BD69</f>
        <v>Ghana</v>
      </c>
      <c r="J269" s="11" t="str">
        <f ca="1">+WORLDCUP!BD66</f>
        <v>Irak</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Haití</v>
      </c>
      <c r="D270" s="11" t="str">
        <f ca="1">+WORLDCUP!BD67</f>
        <v>Austria</v>
      </c>
      <c r="E270" s="11" t="str">
        <f ca="1">+WORLDCUP!BD62</f>
        <v>Costa de Marfil</v>
      </c>
      <c r="F270" s="11" t="str">
        <f ca="1">+WORLDCUP!BD61</f>
        <v>Australia</v>
      </c>
      <c r="G270" s="11" t="str">
        <f ca="1">+WORLDCUP!BD58</f>
        <v>República Checa</v>
      </c>
      <c r="H270" s="11" t="str">
        <f ca="1">+WORLDCUP!BD63</f>
        <v>Suecia</v>
      </c>
      <c r="I270" s="11" t="str">
        <f ca="1">+WORLDCUP!BD66</f>
        <v>Irak</v>
      </c>
      <c r="J270" s="11" t="str">
        <f ca="1">+WORLDCUP!BD68</f>
        <v>Uzbekistán</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Arabia Saudita</v>
      </c>
      <c r="D271" s="11" t="str">
        <f ca="1">+WORLDCUP!BD62</f>
        <v>Costa de Marfil</v>
      </c>
      <c r="E271" s="11" t="str">
        <f ca="1">+WORLDCUP!BD63</f>
        <v>Suecia</v>
      </c>
      <c r="F271" s="11" t="str">
        <f ca="1">+WORLDCUP!BD60</f>
        <v>Haití</v>
      </c>
      <c r="G271" s="11" t="str">
        <f ca="1">+WORLDCUP!BD58</f>
        <v>República Checa</v>
      </c>
      <c r="H271" s="11" t="str">
        <f ca="1">+WORLDCUP!BD61</f>
        <v>Australia</v>
      </c>
      <c r="I271" s="11" t="str">
        <f ca="1">+WORLDCUP!BD69</f>
        <v>Ghana</v>
      </c>
      <c r="J271" s="11" t="str">
        <f ca="1">+WORLDCUP!BD68</f>
        <v>Uzbekistán</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Arabia Saudita</v>
      </c>
      <c r="D272" s="11" t="str">
        <f ca="1">+WORLDCUP!BD67</f>
        <v>Austria</v>
      </c>
      <c r="E272" s="11" t="str">
        <f ca="1">+WORLDCUP!BD63</f>
        <v>Suecia</v>
      </c>
      <c r="F272" s="11" t="str">
        <f ca="1">+WORLDCUP!BD60</f>
        <v>Haití</v>
      </c>
      <c r="G272" s="11" t="str">
        <f ca="1">+WORLDCUP!BD58</f>
        <v>República Checa</v>
      </c>
      <c r="H272" s="11" t="str">
        <f ca="1">+WORLDCUP!BD61</f>
        <v>Australia</v>
      </c>
      <c r="I272" s="11" t="str">
        <f ca="1">+WORLDCUP!BD69</f>
        <v>Ghana</v>
      </c>
      <c r="J272" s="11" t="str">
        <f ca="1">+WORLDCUP!BD62</f>
        <v>Costa de Marfil</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Arabia Saudita</v>
      </c>
      <c r="D273" s="11" t="str">
        <f ca="1">+WORLDCUP!BD67</f>
        <v>Austria</v>
      </c>
      <c r="E273" s="11" t="str">
        <f ca="1">+WORLDCUP!BD62</f>
        <v>Costa de Marfil</v>
      </c>
      <c r="F273" s="11" t="str">
        <f ca="1">+WORLDCUP!BD60</f>
        <v>Haití</v>
      </c>
      <c r="G273" s="11" t="str">
        <f ca="1">+WORLDCUP!BD58</f>
        <v>República Checa</v>
      </c>
      <c r="H273" s="11" t="str">
        <f ca="1">+WORLDCUP!BD63</f>
        <v>Suecia</v>
      </c>
      <c r="I273" s="11" t="str">
        <f ca="1">+WORLDCUP!BD61</f>
        <v>Australia</v>
      </c>
      <c r="J273" s="11" t="str">
        <f ca="1">+WORLDCUP!BD68</f>
        <v>Uzbekistán</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Arabia Saudita</v>
      </c>
      <c r="D274" s="11" t="str">
        <f ca="1">+WORLDCUP!BD62</f>
        <v>Costa de Marfil</v>
      </c>
      <c r="E274" s="11" t="str">
        <f ca="1">+WORLDCUP!BD63</f>
        <v>Suecia</v>
      </c>
      <c r="F274" s="11" t="str">
        <f ca="1">+WORLDCUP!BD60</f>
        <v>Haití</v>
      </c>
      <c r="G274" s="11" t="str">
        <f ca="1">+WORLDCUP!BD58</f>
        <v>República Checa</v>
      </c>
      <c r="H274" s="11" t="str">
        <f ca="1">+WORLDCUP!BD61</f>
        <v>Australia</v>
      </c>
      <c r="I274" s="11" t="str">
        <f ca="1">+WORLDCUP!BD69</f>
        <v>Ghana</v>
      </c>
      <c r="J274" s="11" t="str">
        <f ca="1">+WORLDCUP!BD66</f>
        <v>Irak</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Arabia Saudita</v>
      </c>
      <c r="D275" s="11" t="str">
        <f ca="1">+WORLDCUP!BD62</f>
        <v>Costa de Marfil</v>
      </c>
      <c r="E275" s="11" t="str">
        <f ca="1">+WORLDCUP!BD63</f>
        <v>Suecia</v>
      </c>
      <c r="F275" s="11" t="str">
        <f ca="1">+WORLDCUP!BD60</f>
        <v>Haití</v>
      </c>
      <c r="G275" s="11" t="str">
        <f ca="1">+WORLDCUP!BD58</f>
        <v>República Checa</v>
      </c>
      <c r="H275" s="11" t="str">
        <f ca="1">+WORLDCUP!BD61</f>
        <v>Australia</v>
      </c>
      <c r="I275" s="11" t="str">
        <f ca="1">+WORLDCUP!BD66</f>
        <v>Irak</v>
      </c>
      <c r="J275" s="11" t="str">
        <f ca="1">+WORLDCUP!BD68</f>
        <v>Uzbekistán</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Arabia Saudita</v>
      </c>
      <c r="D276" s="11" t="str">
        <f ca="1">+WORLDCUP!BD67</f>
        <v>Austria</v>
      </c>
      <c r="E276" s="11" t="str">
        <f ca="1">+WORLDCUP!BD62</f>
        <v>Costa de Marfil</v>
      </c>
      <c r="F276" s="11" t="str">
        <f ca="1">+WORLDCUP!BD60</f>
        <v>Haití</v>
      </c>
      <c r="G276" s="11" t="str">
        <f ca="1">+WORLDCUP!BD58</f>
        <v>República Checa</v>
      </c>
      <c r="H276" s="11" t="str">
        <f ca="1">+WORLDCUP!BD63</f>
        <v>Suecia</v>
      </c>
      <c r="I276" s="11" t="str">
        <f ca="1">+WORLDCUP!BD61</f>
        <v>Australia</v>
      </c>
      <c r="J276" s="11" t="str">
        <f ca="1">+WORLDCUP!BD66</f>
        <v>Irak</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Haití</v>
      </c>
      <c r="D277" s="11" t="str">
        <f ca="1">+WORLDCUP!BD64</f>
        <v>Irán</v>
      </c>
      <c r="E277" s="11" t="str">
        <f ca="1">+WORLDCUP!BD62</f>
        <v>Costa de Marfil</v>
      </c>
      <c r="F277" s="11" t="str">
        <f ca="1">+WORLDCUP!BD61</f>
        <v>Australia</v>
      </c>
      <c r="G277" s="11" t="str">
        <f ca="1">+WORLDCUP!BD58</f>
        <v>República Checa</v>
      </c>
      <c r="H277" s="11" t="str">
        <f ca="1">+WORLDCUP!BD63</f>
        <v>Suecia</v>
      </c>
      <c r="I277" s="11" t="str">
        <f ca="1">+WORLDCUP!BD69</f>
        <v>Ghana</v>
      </c>
      <c r="J277" s="11" t="str">
        <f ca="1">+WORLDCUP!BD68</f>
        <v>Uzbekistán</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Haití</v>
      </c>
      <c r="D278" s="11" t="str">
        <f ca="1">+WORLDCUP!BD64</f>
        <v>Irán</v>
      </c>
      <c r="E278" s="11" t="str">
        <f ca="1">+WORLDCUP!BD67</f>
        <v>Austria</v>
      </c>
      <c r="F278" s="11" t="str">
        <f ca="1">+WORLDCUP!BD61</f>
        <v>Australia</v>
      </c>
      <c r="G278" s="11" t="str">
        <f ca="1">+WORLDCUP!BD58</f>
        <v>República Checa</v>
      </c>
      <c r="H278" s="11" t="str">
        <f ca="1">+WORLDCUP!BD63</f>
        <v>Suecia</v>
      </c>
      <c r="I278" s="11" t="str">
        <f ca="1">+WORLDCUP!BD69</f>
        <v>Ghana</v>
      </c>
      <c r="J278" s="11" t="str">
        <f ca="1">+WORLDCUP!BD62</f>
        <v>Costa de Marfil</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Haití</v>
      </c>
      <c r="D279" s="11" t="str">
        <f ca="1">+WORLDCUP!BD64</f>
        <v>Irán</v>
      </c>
      <c r="E279" s="11" t="str">
        <f ca="1">+WORLDCUP!BD67</f>
        <v>Austria</v>
      </c>
      <c r="F279" s="11" t="str">
        <f ca="1">+WORLDCUP!BD61</f>
        <v>Australia</v>
      </c>
      <c r="G279" s="11" t="str">
        <f ca="1">+WORLDCUP!BD58</f>
        <v>República Checa</v>
      </c>
      <c r="H279" s="11" t="str">
        <f ca="1">+WORLDCUP!BD63</f>
        <v>Suecia</v>
      </c>
      <c r="I279" s="11" t="str">
        <f ca="1">+WORLDCUP!BD62</f>
        <v>Costa de Marfil</v>
      </c>
      <c r="J279" s="11" t="str">
        <f ca="1">+WORLDCUP!BD68</f>
        <v>Uzbekistán</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Haití</v>
      </c>
      <c r="D280" s="11" t="str">
        <f ca="1">+WORLDCUP!BD64</f>
        <v>Irán</v>
      </c>
      <c r="E280" s="11" t="str">
        <f ca="1">+WORLDCUP!BD62</f>
        <v>Costa de Marfil</v>
      </c>
      <c r="F280" s="11" t="str">
        <f ca="1">+WORLDCUP!BD61</f>
        <v>Australia</v>
      </c>
      <c r="G280" s="11" t="str">
        <f ca="1">+WORLDCUP!BD58</f>
        <v>República Checa</v>
      </c>
      <c r="H280" s="11" t="str">
        <f ca="1">+WORLDCUP!BD63</f>
        <v>Suecia</v>
      </c>
      <c r="I280" s="11" t="str">
        <f ca="1">+WORLDCUP!BD69</f>
        <v>Ghana</v>
      </c>
      <c r="J280" s="11" t="str">
        <f ca="1">+WORLDCUP!BD66</f>
        <v>Irak</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Haití</v>
      </c>
      <c r="D281" s="11" t="str">
        <f ca="1">+WORLDCUP!BD64</f>
        <v>Irán</v>
      </c>
      <c r="E281" s="11" t="str">
        <f ca="1">+WORLDCUP!BD62</f>
        <v>Costa de Marfil</v>
      </c>
      <c r="F281" s="11" t="str">
        <f ca="1">+WORLDCUP!BD61</f>
        <v>Australia</v>
      </c>
      <c r="G281" s="11" t="str">
        <f ca="1">+WORLDCUP!BD58</f>
        <v>República Checa</v>
      </c>
      <c r="H281" s="11" t="str">
        <f ca="1">+WORLDCUP!BD63</f>
        <v>Suecia</v>
      </c>
      <c r="I281" s="11" t="str">
        <f ca="1">+WORLDCUP!BD66</f>
        <v>Irak</v>
      </c>
      <c r="J281" s="11" t="str">
        <f ca="1">+WORLDCUP!BD68</f>
        <v>Uzbekistán</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Haití</v>
      </c>
      <c r="D282" s="11" t="str">
        <f ca="1">+WORLDCUP!BD64</f>
        <v>Irán</v>
      </c>
      <c r="E282" s="11" t="str">
        <f ca="1">+WORLDCUP!BD67</f>
        <v>Austria</v>
      </c>
      <c r="F282" s="11" t="str">
        <f ca="1">+WORLDCUP!BD61</f>
        <v>Australia</v>
      </c>
      <c r="G282" s="11" t="str">
        <f ca="1">+WORLDCUP!BD58</f>
        <v>República Checa</v>
      </c>
      <c r="H282" s="11" t="str">
        <f ca="1">+WORLDCUP!BD63</f>
        <v>Suecia</v>
      </c>
      <c r="I282" s="11" t="str">
        <f ca="1">+WORLDCUP!BD62</f>
        <v>Costa de Marfil</v>
      </c>
      <c r="J282" s="11" t="str">
        <f ca="1">+WORLDCUP!BD66</f>
        <v>Irak</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Arabia Saudita</v>
      </c>
      <c r="D283" s="11" t="str">
        <f ca="1">+WORLDCUP!BD64</f>
        <v>Irán</v>
      </c>
      <c r="E283" s="11" t="str">
        <f ca="1">+WORLDCUP!BD63</f>
        <v>Suecia</v>
      </c>
      <c r="F283" s="11" t="str">
        <f ca="1">+WORLDCUP!BD60</f>
        <v>Haití</v>
      </c>
      <c r="G283" s="11" t="str">
        <f ca="1">+WORLDCUP!BD58</f>
        <v>República Checa</v>
      </c>
      <c r="H283" s="11" t="str">
        <f ca="1">+WORLDCUP!BD61</f>
        <v>Australia</v>
      </c>
      <c r="I283" s="11" t="str">
        <f ca="1">+WORLDCUP!BD69</f>
        <v>Ghana</v>
      </c>
      <c r="J283" s="11" t="str">
        <f ca="1">+WORLDCUP!BD62</f>
        <v>Costa de Marfil</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Arabia Saudita</v>
      </c>
      <c r="D284" s="11" t="str">
        <f ca="1">+WORLDCUP!BD64</f>
        <v>Irán</v>
      </c>
      <c r="E284" s="11" t="str">
        <f ca="1">+WORLDCUP!BD62</f>
        <v>Costa de Marfil</v>
      </c>
      <c r="F284" s="11" t="str">
        <f ca="1">+WORLDCUP!BD60</f>
        <v>Haití</v>
      </c>
      <c r="G284" s="11" t="str">
        <f ca="1">+WORLDCUP!BD58</f>
        <v>República Checa</v>
      </c>
      <c r="H284" s="11" t="str">
        <f ca="1">+WORLDCUP!BD63</f>
        <v>Suecia</v>
      </c>
      <c r="I284" s="11" t="str">
        <f ca="1">+WORLDCUP!BD61</f>
        <v>Australia</v>
      </c>
      <c r="J284" s="11" t="str">
        <f ca="1">+WORLDCUP!BD68</f>
        <v>Uzbekistán</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Arabia Saudita</v>
      </c>
      <c r="D285" s="11" t="str">
        <f ca="1">+WORLDCUP!BD64</f>
        <v>Irán</v>
      </c>
      <c r="E285" s="11" t="str">
        <f ca="1">+WORLDCUP!BD67</f>
        <v>Austria</v>
      </c>
      <c r="F285" s="11" t="str">
        <f ca="1">+WORLDCUP!BD60</f>
        <v>Haití</v>
      </c>
      <c r="G285" s="11" t="str">
        <f ca="1">+WORLDCUP!BD58</f>
        <v>República Checa</v>
      </c>
      <c r="H285" s="11" t="str">
        <f ca="1">+WORLDCUP!BD63</f>
        <v>Suecia</v>
      </c>
      <c r="I285" s="11" t="str">
        <f ca="1">+WORLDCUP!BD61</f>
        <v>Australia</v>
      </c>
      <c r="J285" s="11" t="str">
        <f ca="1">+WORLDCUP!BD62</f>
        <v>Costa de Marfil</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Arabia Saudita</v>
      </c>
      <c r="D286" s="11" t="str">
        <f ca="1">+WORLDCUP!BD64</f>
        <v>Irán</v>
      </c>
      <c r="E286" s="11" t="str">
        <f ca="1">+WORLDCUP!BD62</f>
        <v>Costa de Marfil</v>
      </c>
      <c r="F286" s="11" t="str">
        <f ca="1">+WORLDCUP!BD60</f>
        <v>Haití</v>
      </c>
      <c r="G286" s="11" t="str">
        <f ca="1">+WORLDCUP!BD58</f>
        <v>República Checa</v>
      </c>
      <c r="H286" s="11" t="str">
        <f ca="1">+WORLDCUP!BD63</f>
        <v>Suecia</v>
      </c>
      <c r="I286" s="11" t="str">
        <f ca="1">+WORLDCUP!BD61</f>
        <v>Australia</v>
      </c>
      <c r="J286" s="11" t="str">
        <f ca="1">+WORLDCUP!BD66</f>
        <v>Irak</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Arabia Saudita</v>
      </c>
      <c r="D287" s="11" t="str">
        <f ca="1">+WORLDCUP!BD67</f>
        <v>Austria</v>
      </c>
      <c r="E287" s="11" t="str">
        <f ca="1">+WORLDCUP!BD59</f>
        <v>Catar</v>
      </c>
      <c r="F287" s="11" t="str">
        <f ca="1">+WORLDCUP!BD58</f>
        <v>República Checa</v>
      </c>
      <c r="G287" s="11" t="str">
        <f ca="1">+WORLDCUP!BD66</f>
        <v>Irak</v>
      </c>
      <c r="H287" s="11" t="str">
        <f ca="1">+WORLDCUP!BD64</f>
        <v>Irán</v>
      </c>
      <c r="I287" s="11" t="str">
        <f ca="1">+WORLDCUP!BD69</f>
        <v>Ghana</v>
      </c>
      <c r="J287" s="11" t="str">
        <f ca="1">+WORLDCUP!BD68</f>
        <v>Uzbekistán</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Arabia Saudita</v>
      </c>
      <c r="D288" s="11" t="str">
        <f ca="1">+WORLDCUP!BD67</f>
        <v>Austria</v>
      </c>
      <c r="E288" s="11" t="str">
        <f ca="1">+WORLDCUP!BD59</f>
        <v>Catar</v>
      </c>
      <c r="F288" s="11" t="str">
        <f ca="1">+WORLDCUP!BD58</f>
        <v>República Checa</v>
      </c>
      <c r="G288" s="11" t="str">
        <f ca="1">+WORLDCUP!BD66</f>
        <v>Irak</v>
      </c>
      <c r="H288" s="11" t="str">
        <f ca="1">+WORLDCUP!BD63</f>
        <v>Suecia</v>
      </c>
      <c r="I288" s="11" t="str">
        <f ca="1">+WORLDCUP!BD69</f>
        <v>Ghana</v>
      </c>
      <c r="J288" s="11" t="str">
        <f ca="1">+WORLDCUP!BD68</f>
        <v>Uzbekistán</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Irak</v>
      </c>
      <c r="D289" s="11" t="str">
        <f ca="1">+WORLDCUP!BD67</f>
        <v>Austria</v>
      </c>
      <c r="E289" s="11" t="str">
        <f ca="1">+WORLDCUP!BD59</f>
        <v>Catar</v>
      </c>
      <c r="F289" s="11" t="str">
        <f ca="1">+WORLDCUP!BD63</f>
        <v>Suecia</v>
      </c>
      <c r="G289" s="11" t="str">
        <f ca="1">+WORLDCUP!BD58</f>
        <v>República Checa</v>
      </c>
      <c r="H289" s="11" t="str">
        <f ca="1">+WORLDCUP!BD64</f>
        <v>Irán</v>
      </c>
      <c r="I289" s="11" t="str">
        <f ca="1">+WORLDCUP!BD69</f>
        <v>Ghana</v>
      </c>
      <c r="J289" s="11" t="str">
        <f ca="1">+WORLDCUP!BD68</f>
        <v>Uzbekistán</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Arabia Saudita</v>
      </c>
      <c r="D290" s="11" t="str">
        <f ca="1">+WORLDCUP!BD67</f>
        <v>Austria</v>
      </c>
      <c r="E290" s="11" t="str">
        <f ca="1">+WORLDCUP!BD59</f>
        <v>Catar</v>
      </c>
      <c r="F290" s="11" t="str">
        <f ca="1">+WORLDCUP!BD63</f>
        <v>Suecia</v>
      </c>
      <c r="G290" s="11" t="str">
        <f ca="1">+WORLDCUP!BD58</f>
        <v>República Checa</v>
      </c>
      <c r="H290" s="11" t="str">
        <f ca="1">+WORLDCUP!BD64</f>
        <v>Irán</v>
      </c>
      <c r="I290" s="11" t="str">
        <f ca="1">+WORLDCUP!BD69</f>
        <v>Ghana</v>
      </c>
      <c r="J290" s="11" t="str">
        <f ca="1">+WORLDCUP!BD68</f>
        <v>Uzbekistán</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Arabia Saudita</v>
      </c>
      <c r="D291" s="11" t="str">
        <f ca="1">+WORLDCUP!BD64</f>
        <v>Irán</v>
      </c>
      <c r="E291" s="11" t="str">
        <f ca="1">+WORLDCUP!BD59</f>
        <v>Catar</v>
      </c>
      <c r="F291" s="11" t="str">
        <f ca="1">+WORLDCUP!BD58</f>
        <v>República Checa</v>
      </c>
      <c r="G291" s="11" t="str">
        <f ca="1">+WORLDCUP!BD66</f>
        <v>Irak</v>
      </c>
      <c r="H291" s="11" t="str">
        <f ca="1">+WORLDCUP!BD63</f>
        <v>Suecia</v>
      </c>
      <c r="I291" s="11" t="str">
        <f ca="1">+WORLDCUP!BD69</f>
        <v>Ghana</v>
      </c>
      <c r="J291" s="11" t="str">
        <f ca="1">+WORLDCUP!BD68</f>
        <v>Uzbekistán</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Arabia Saudita</v>
      </c>
      <c r="D292" s="11" t="str">
        <f ca="1">+WORLDCUP!BD67</f>
        <v>Austria</v>
      </c>
      <c r="E292" s="11" t="str">
        <f ca="1">+WORLDCUP!BD59</f>
        <v>Catar</v>
      </c>
      <c r="F292" s="11" t="str">
        <f ca="1">+WORLDCUP!BD63</f>
        <v>Suecia</v>
      </c>
      <c r="G292" s="11" t="str">
        <f ca="1">+WORLDCUP!BD58</f>
        <v>República Checa</v>
      </c>
      <c r="H292" s="11" t="str">
        <f ca="1">+WORLDCUP!BD64</f>
        <v>Irán</v>
      </c>
      <c r="I292" s="11" t="str">
        <f ca="1">+WORLDCUP!BD69</f>
        <v>Ghana</v>
      </c>
      <c r="J292" s="11" t="str">
        <f ca="1">+WORLDCUP!BD66</f>
        <v>Irak</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Arabia Saudita</v>
      </c>
      <c r="D293" s="11" t="str">
        <f ca="1">+WORLDCUP!BD67</f>
        <v>Austria</v>
      </c>
      <c r="E293" s="11" t="str">
        <f ca="1">+WORLDCUP!BD59</f>
        <v>Catar</v>
      </c>
      <c r="F293" s="11" t="str">
        <f ca="1">+WORLDCUP!BD63</f>
        <v>Suecia</v>
      </c>
      <c r="G293" s="11" t="str">
        <f ca="1">+WORLDCUP!BD58</f>
        <v>República Checa</v>
      </c>
      <c r="H293" s="11" t="str">
        <f ca="1">+WORLDCUP!BD64</f>
        <v>Irán</v>
      </c>
      <c r="I293" s="11" t="str">
        <f ca="1">+WORLDCUP!BD66</f>
        <v>Irak</v>
      </c>
      <c r="J293" s="11" t="str">
        <f ca="1">+WORLDCUP!BD68</f>
        <v>Uzbekistán</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Costa de Marfil</v>
      </c>
      <c r="D294" s="11" t="str">
        <f ca="1">+WORLDCUP!BD67</f>
        <v>Austria</v>
      </c>
      <c r="E294" s="11" t="str">
        <f ca="1">+WORLDCUP!BD59</f>
        <v>Catar</v>
      </c>
      <c r="F294" s="11" t="str">
        <f ca="1">+WORLDCUP!BD58</f>
        <v>República Checa</v>
      </c>
      <c r="G294" s="11" t="str">
        <f ca="1">+WORLDCUP!BD66</f>
        <v>Irak</v>
      </c>
      <c r="H294" s="11" t="str">
        <f ca="1">+WORLDCUP!BD65</f>
        <v>Arabia Saudita</v>
      </c>
      <c r="I294" s="11" t="str">
        <f ca="1">+WORLDCUP!BD69</f>
        <v>Ghana</v>
      </c>
      <c r="J294" s="11" t="str">
        <f ca="1">+WORLDCUP!BD68</f>
        <v>Uzbekistán</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Costa de Marfil</v>
      </c>
      <c r="D295" s="11" t="str">
        <f ca="1">+WORLDCUP!BD67</f>
        <v>Austria</v>
      </c>
      <c r="E295" s="11" t="str">
        <f ca="1">+WORLDCUP!BD59</f>
        <v>Catar</v>
      </c>
      <c r="F295" s="11" t="str">
        <f ca="1">+WORLDCUP!BD58</f>
        <v>República Checa</v>
      </c>
      <c r="G295" s="11" t="str">
        <f ca="1">+WORLDCUP!BD66</f>
        <v>Irak</v>
      </c>
      <c r="H295" s="11" t="str">
        <f ca="1">+WORLDCUP!BD64</f>
        <v>Irán</v>
      </c>
      <c r="I295" s="11" t="str">
        <f ca="1">+WORLDCUP!BD69</f>
        <v>Ghana</v>
      </c>
      <c r="J295" s="11" t="str">
        <f ca="1">+WORLDCUP!BD68</f>
        <v>Uzbekistán</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Costa de Marfil</v>
      </c>
      <c r="D296" s="11" t="str">
        <f ca="1">+WORLDCUP!BD67</f>
        <v>Austria</v>
      </c>
      <c r="E296" s="11" t="str">
        <f ca="1">+WORLDCUP!BD59</f>
        <v>Catar</v>
      </c>
      <c r="F296" s="11" t="str">
        <f ca="1">+WORLDCUP!BD58</f>
        <v>República Checa</v>
      </c>
      <c r="G296" s="11" t="str">
        <f ca="1">+WORLDCUP!BD65</f>
        <v>Arabia Saudita</v>
      </c>
      <c r="H296" s="11" t="str">
        <f ca="1">+WORLDCUP!BD64</f>
        <v>Irán</v>
      </c>
      <c r="I296" s="11" t="str">
        <f ca="1">+WORLDCUP!BD69</f>
        <v>Ghana</v>
      </c>
      <c r="J296" s="11" t="str">
        <f ca="1">+WORLDCUP!BD68</f>
        <v>Uzbekistán</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Costa de Marfil</v>
      </c>
      <c r="D297" s="11" t="str">
        <f ca="1">+WORLDCUP!BD64</f>
        <v>Irán</v>
      </c>
      <c r="E297" s="11" t="str">
        <f ca="1">+WORLDCUP!BD59</f>
        <v>Catar</v>
      </c>
      <c r="F297" s="11" t="str">
        <f ca="1">+WORLDCUP!BD58</f>
        <v>República Checa</v>
      </c>
      <c r="G297" s="11" t="str">
        <f ca="1">+WORLDCUP!BD66</f>
        <v>Irak</v>
      </c>
      <c r="H297" s="11" t="str">
        <f ca="1">+WORLDCUP!BD65</f>
        <v>Arabia Saudita</v>
      </c>
      <c r="I297" s="11" t="str">
        <f ca="1">+WORLDCUP!BD69</f>
        <v>Ghana</v>
      </c>
      <c r="J297" s="11" t="str">
        <f ca="1">+WORLDCUP!BD68</f>
        <v>Uzbekistán</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Costa de Marfil</v>
      </c>
      <c r="D298" s="11" t="str">
        <f ca="1">+WORLDCUP!BD67</f>
        <v>Austria</v>
      </c>
      <c r="E298" s="11" t="str">
        <f ca="1">+WORLDCUP!BD59</f>
        <v>Catar</v>
      </c>
      <c r="F298" s="11" t="str">
        <f ca="1">+WORLDCUP!BD58</f>
        <v>República Checa</v>
      </c>
      <c r="G298" s="11" t="str">
        <f ca="1">+WORLDCUP!BD65</f>
        <v>Arabia Saudita</v>
      </c>
      <c r="H298" s="11" t="str">
        <f ca="1">+WORLDCUP!BD64</f>
        <v>Irán</v>
      </c>
      <c r="I298" s="11" t="str">
        <f ca="1">+WORLDCUP!BD69</f>
        <v>Ghana</v>
      </c>
      <c r="J298" s="11" t="str">
        <f ca="1">+WORLDCUP!BD66</f>
        <v>Irak</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Costa de Marfil</v>
      </c>
      <c r="D299" s="11" t="str">
        <f ca="1">+WORLDCUP!BD67</f>
        <v>Austria</v>
      </c>
      <c r="E299" s="11" t="str">
        <f ca="1">+WORLDCUP!BD59</f>
        <v>Catar</v>
      </c>
      <c r="F299" s="11" t="str">
        <f ca="1">+WORLDCUP!BD58</f>
        <v>República Checa</v>
      </c>
      <c r="G299" s="11" t="str">
        <f ca="1">+WORLDCUP!BD65</f>
        <v>Arabia Saudita</v>
      </c>
      <c r="H299" s="11" t="str">
        <f ca="1">+WORLDCUP!BD64</f>
        <v>Irán</v>
      </c>
      <c r="I299" s="11" t="str">
        <f ca="1">+WORLDCUP!BD66</f>
        <v>Irak</v>
      </c>
      <c r="J299" s="11" t="str">
        <f ca="1">+WORLDCUP!BD68</f>
        <v>Uzbekistán</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Costa de Marfil</v>
      </c>
      <c r="D300" s="11" t="str">
        <f ca="1">+WORLDCUP!BD67</f>
        <v>Austria</v>
      </c>
      <c r="E300" s="11" t="str">
        <f ca="1">+WORLDCUP!BD59</f>
        <v>Catar</v>
      </c>
      <c r="F300" s="11" t="str">
        <f ca="1">+WORLDCUP!BD58</f>
        <v>República Checa</v>
      </c>
      <c r="G300" s="11" t="str">
        <f ca="1">+WORLDCUP!BD66</f>
        <v>Irak</v>
      </c>
      <c r="H300" s="11" t="str">
        <f ca="1">+WORLDCUP!BD63</f>
        <v>Suecia</v>
      </c>
      <c r="I300" s="11" t="str">
        <f ca="1">+WORLDCUP!BD69</f>
        <v>Ghana</v>
      </c>
      <c r="J300" s="11" t="str">
        <f ca="1">+WORLDCUP!BD68</f>
        <v>Uzbekistán</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Costa de Marfil</v>
      </c>
      <c r="D301" s="11" t="str">
        <f ca="1">+WORLDCUP!BD67</f>
        <v>Austria</v>
      </c>
      <c r="E301" s="11" t="str">
        <f ca="1">+WORLDCUP!BD59</f>
        <v>Catar</v>
      </c>
      <c r="F301" s="11" t="str">
        <f ca="1">+WORLDCUP!BD63</f>
        <v>Suecia</v>
      </c>
      <c r="G301" s="11" t="str">
        <f ca="1">+WORLDCUP!BD58</f>
        <v>República Checa</v>
      </c>
      <c r="H301" s="11" t="str">
        <f ca="1">+WORLDCUP!BD65</f>
        <v>Arabia Saudita</v>
      </c>
      <c r="I301" s="11" t="str">
        <f ca="1">+WORLDCUP!BD69</f>
        <v>Ghana</v>
      </c>
      <c r="J301" s="11" t="str">
        <f ca="1">+WORLDCUP!BD68</f>
        <v>Uzbekistán</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Costa de Marfil</v>
      </c>
      <c r="D302" s="11" t="str">
        <f ca="1">+WORLDCUP!BD66</f>
        <v>Irak</v>
      </c>
      <c r="E302" s="11" t="str">
        <f ca="1">+WORLDCUP!BD59</f>
        <v>Catar</v>
      </c>
      <c r="F302" s="11" t="str">
        <f ca="1">+WORLDCUP!BD63</f>
        <v>Suecia</v>
      </c>
      <c r="G302" s="11" t="str">
        <f ca="1">+WORLDCUP!BD58</f>
        <v>República Checa</v>
      </c>
      <c r="H302" s="11" t="str">
        <f ca="1">+WORLDCUP!BD65</f>
        <v>Arabia Saudita</v>
      </c>
      <c r="I302" s="11" t="str">
        <f ca="1">+WORLDCUP!BD69</f>
        <v>Ghana</v>
      </c>
      <c r="J302" s="11" t="str">
        <f ca="1">+WORLDCUP!BD68</f>
        <v>Uzbekistán</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Costa de Marfil</v>
      </c>
      <c r="D303" s="11" t="str">
        <f ca="1">+WORLDCUP!BD67</f>
        <v>Austria</v>
      </c>
      <c r="E303" s="11" t="str">
        <f ca="1">+WORLDCUP!BD59</f>
        <v>Catar</v>
      </c>
      <c r="F303" s="11" t="str">
        <f ca="1">+WORLDCUP!BD63</f>
        <v>Suecia</v>
      </c>
      <c r="G303" s="11" t="str">
        <f ca="1">+WORLDCUP!BD58</f>
        <v>República Checa</v>
      </c>
      <c r="H303" s="11" t="str">
        <f ca="1">+WORLDCUP!BD65</f>
        <v>Arabia Saudita</v>
      </c>
      <c r="I303" s="11" t="str">
        <f ca="1">+WORLDCUP!BD69</f>
        <v>Ghana</v>
      </c>
      <c r="J303" s="11" t="str">
        <f ca="1">+WORLDCUP!BD66</f>
        <v>Irak</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Costa de Marfil</v>
      </c>
      <c r="D304" s="11" t="str">
        <f ca="1">+WORLDCUP!BD67</f>
        <v>Austria</v>
      </c>
      <c r="E304" s="11" t="str">
        <f ca="1">+WORLDCUP!BD59</f>
        <v>Catar</v>
      </c>
      <c r="F304" s="11" t="str">
        <f ca="1">+WORLDCUP!BD63</f>
        <v>Suecia</v>
      </c>
      <c r="G304" s="11" t="str">
        <f ca="1">+WORLDCUP!BD58</f>
        <v>República Checa</v>
      </c>
      <c r="H304" s="11" t="str">
        <f ca="1">+WORLDCUP!BD65</f>
        <v>Arabia Saudita</v>
      </c>
      <c r="I304" s="11" t="str">
        <f ca="1">+WORLDCUP!BD66</f>
        <v>Irak</v>
      </c>
      <c r="J304" s="11" t="str">
        <f ca="1">+WORLDCUP!BD68</f>
        <v>Uzbekistán</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Costa de Marfil</v>
      </c>
      <c r="D305" s="11" t="str">
        <f ca="1">+WORLDCUP!BD67</f>
        <v>Austria</v>
      </c>
      <c r="E305" s="11" t="str">
        <f ca="1">+WORLDCUP!BD59</f>
        <v>Catar</v>
      </c>
      <c r="F305" s="11" t="str">
        <f ca="1">+WORLDCUP!BD63</f>
        <v>Suecia</v>
      </c>
      <c r="G305" s="11" t="str">
        <f ca="1">+WORLDCUP!BD58</f>
        <v>República Checa</v>
      </c>
      <c r="H305" s="11" t="str">
        <f ca="1">+WORLDCUP!BD64</f>
        <v>Irán</v>
      </c>
      <c r="I305" s="11" t="str">
        <f ca="1">+WORLDCUP!BD69</f>
        <v>Ghana</v>
      </c>
      <c r="J305" s="11" t="str">
        <f ca="1">+WORLDCUP!BD68</f>
        <v>Uzbekistán</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Costa de Marfil</v>
      </c>
      <c r="D306" s="11" t="str">
        <f ca="1">+WORLDCUP!BD64</f>
        <v>Irán</v>
      </c>
      <c r="E306" s="11" t="str">
        <f ca="1">+WORLDCUP!BD59</f>
        <v>Catar</v>
      </c>
      <c r="F306" s="11" t="str">
        <f ca="1">+WORLDCUP!BD58</f>
        <v>República Checa</v>
      </c>
      <c r="G306" s="11" t="str">
        <f ca="1">+WORLDCUP!BD66</f>
        <v>Irak</v>
      </c>
      <c r="H306" s="11" t="str">
        <f ca="1">+WORLDCUP!BD63</f>
        <v>Suecia</v>
      </c>
      <c r="I306" s="11" t="str">
        <f ca="1">+WORLDCUP!BD69</f>
        <v>Ghana</v>
      </c>
      <c r="J306" s="11" t="str">
        <f ca="1">+WORLDCUP!BD68</f>
        <v>Uzbekistán</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Costa de Marfil</v>
      </c>
      <c r="D307" s="11" t="str">
        <f ca="1">+WORLDCUP!BD67</f>
        <v>Austria</v>
      </c>
      <c r="E307" s="11" t="str">
        <f ca="1">+WORLDCUP!BD59</f>
        <v>Catar</v>
      </c>
      <c r="F307" s="11" t="str">
        <f ca="1">+WORLDCUP!BD63</f>
        <v>Suecia</v>
      </c>
      <c r="G307" s="11" t="str">
        <f ca="1">+WORLDCUP!BD58</f>
        <v>República Checa</v>
      </c>
      <c r="H307" s="11" t="str">
        <f ca="1">+WORLDCUP!BD64</f>
        <v>Irán</v>
      </c>
      <c r="I307" s="11" t="str">
        <f ca="1">+WORLDCUP!BD69</f>
        <v>Ghana</v>
      </c>
      <c r="J307" s="11" t="str">
        <f ca="1">+WORLDCUP!BD66</f>
        <v>Irak</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Costa de Marfil</v>
      </c>
      <c r="D308" s="11" t="str">
        <f ca="1">+WORLDCUP!BD67</f>
        <v>Austria</v>
      </c>
      <c r="E308" s="11" t="str">
        <f ca="1">+WORLDCUP!BD59</f>
        <v>Catar</v>
      </c>
      <c r="F308" s="11" t="str">
        <f ca="1">+WORLDCUP!BD63</f>
        <v>Suecia</v>
      </c>
      <c r="G308" s="11" t="str">
        <f ca="1">+WORLDCUP!BD58</f>
        <v>República Checa</v>
      </c>
      <c r="H308" s="11" t="str">
        <f ca="1">+WORLDCUP!BD64</f>
        <v>Irán</v>
      </c>
      <c r="I308" s="11" t="str">
        <f ca="1">+WORLDCUP!BD66</f>
        <v>Irak</v>
      </c>
      <c r="J308" s="11" t="str">
        <f ca="1">+WORLDCUP!BD68</f>
        <v>Uzbekistán</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Costa de Marfil</v>
      </c>
      <c r="D309" s="11" t="str">
        <f ca="1">+WORLDCUP!BD64</f>
        <v>Irán</v>
      </c>
      <c r="E309" s="11" t="str">
        <f ca="1">+WORLDCUP!BD59</f>
        <v>Catar</v>
      </c>
      <c r="F309" s="11" t="str">
        <f ca="1">+WORLDCUP!BD63</f>
        <v>Suecia</v>
      </c>
      <c r="G309" s="11" t="str">
        <f ca="1">+WORLDCUP!BD58</f>
        <v>República Checa</v>
      </c>
      <c r="H309" s="11" t="str">
        <f ca="1">+WORLDCUP!BD65</f>
        <v>Arabia Saudita</v>
      </c>
      <c r="I309" s="11" t="str">
        <f ca="1">+WORLDCUP!BD69</f>
        <v>Ghana</v>
      </c>
      <c r="J309" s="11" t="str">
        <f ca="1">+WORLDCUP!BD68</f>
        <v>Uzbekistán</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Arabia Saudita</v>
      </c>
      <c r="D310" s="11" t="str">
        <f ca="1">+WORLDCUP!BD67</f>
        <v>Austria</v>
      </c>
      <c r="E310" s="11" t="str">
        <f ca="1">+WORLDCUP!BD59</f>
        <v>Catar</v>
      </c>
      <c r="F310" s="11" t="str">
        <f ca="1">+WORLDCUP!BD63</f>
        <v>Suecia</v>
      </c>
      <c r="G310" s="11" t="str">
        <f ca="1">+WORLDCUP!BD58</f>
        <v>República Checa</v>
      </c>
      <c r="H310" s="11" t="str">
        <f ca="1">+WORLDCUP!BD64</f>
        <v>Irán</v>
      </c>
      <c r="I310" s="11" t="str">
        <f ca="1">+WORLDCUP!BD69</f>
        <v>Ghana</v>
      </c>
      <c r="J310" s="11" t="str">
        <f ca="1">+WORLDCUP!BD62</f>
        <v>Costa de Marfil</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Arabia Saudita</v>
      </c>
      <c r="D311" s="11" t="str">
        <f ca="1">+WORLDCUP!BD67</f>
        <v>Austria</v>
      </c>
      <c r="E311" s="11" t="str">
        <f ca="1">+WORLDCUP!BD59</f>
        <v>Catar</v>
      </c>
      <c r="F311" s="11" t="str">
        <f ca="1">+WORLDCUP!BD63</f>
        <v>Suecia</v>
      </c>
      <c r="G311" s="11" t="str">
        <f ca="1">+WORLDCUP!BD58</f>
        <v>República Checa</v>
      </c>
      <c r="H311" s="11" t="str">
        <f ca="1">+WORLDCUP!BD64</f>
        <v>Irán</v>
      </c>
      <c r="I311" s="11" t="str">
        <f ca="1">+WORLDCUP!BD62</f>
        <v>Costa de Marfil</v>
      </c>
      <c r="J311" s="11" t="str">
        <f ca="1">+WORLDCUP!BD68</f>
        <v>Uzbekistán</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Costa de Marfil</v>
      </c>
      <c r="D312" s="11" t="str">
        <f ca="1">+WORLDCUP!BD64</f>
        <v>Irán</v>
      </c>
      <c r="E312" s="11" t="str">
        <f ca="1">+WORLDCUP!BD59</f>
        <v>Catar</v>
      </c>
      <c r="F312" s="11" t="str">
        <f ca="1">+WORLDCUP!BD63</f>
        <v>Suecia</v>
      </c>
      <c r="G312" s="11" t="str">
        <f ca="1">+WORLDCUP!BD58</f>
        <v>República Checa</v>
      </c>
      <c r="H312" s="11" t="str">
        <f ca="1">+WORLDCUP!BD65</f>
        <v>Arabia Saudita</v>
      </c>
      <c r="I312" s="11" t="str">
        <f ca="1">+WORLDCUP!BD69</f>
        <v>Ghana</v>
      </c>
      <c r="J312" s="11" t="str">
        <f ca="1">+WORLDCUP!BD66</f>
        <v>Irak</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Costa de Marfil</v>
      </c>
      <c r="D313" s="11" t="str">
        <f ca="1">+WORLDCUP!BD64</f>
        <v>Irán</v>
      </c>
      <c r="E313" s="11" t="str">
        <f ca="1">+WORLDCUP!BD59</f>
        <v>Catar</v>
      </c>
      <c r="F313" s="11" t="str">
        <f ca="1">+WORLDCUP!BD63</f>
        <v>Suecia</v>
      </c>
      <c r="G313" s="11" t="str">
        <f ca="1">+WORLDCUP!BD58</f>
        <v>República Checa</v>
      </c>
      <c r="H313" s="11" t="str">
        <f ca="1">+WORLDCUP!BD65</f>
        <v>Arabia Saudita</v>
      </c>
      <c r="I313" s="11" t="str">
        <f ca="1">+WORLDCUP!BD66</f>
        <v>Irak</v>
      </c>
      <c r="J313" s="11" t="str">
        <f ca="1">+WORLDCUP!BD68</f>
        <v>Uzbekistán</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Arabia Saudita</v>
      </c>
      <c r="D314" s="11" t="str">
        <f ca="1">+WORLDCUP!BD67</f>
        <v>Austria</v>
      </c>
      <c r="E314" s="11" t="str">
        <f ca="1">+WORLDCUP!BD59</f>
        <v>Catar</v>
      </c>
      <c r="F314" s="11" t="str">
        <f ca="1">+WORLDCUP!BD63</f>
        <v>Suecia</v>
      </c>
      <c r="G314" s="11" t="str">
        <f ca="1">+WORLDCUP!BD58</f>
        <v>República Checa</v>
      </c>
      <c r="H314" s="11" t="str">
        <f ca="1">+WORLDCUP!BD64</f>
        <v>Irán</v>
      </c>
      <c r="I314" s="11" t="str">
        <f ca="1">+WORLDCUP!BD62</f>
        <v>Costa de Marfil</v>
      </c>
      <c r="J314" s="11" t="str">
        <f ca="1">+WORLDCUP!BD66</f>
        <v>Irak</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Irak</v>
      </c>
      <c r="D315" s="11" t="str">
        <f ca="1">+WORLDCUP!BD67</f>
        <v>Austria</v>
      </c>
      <c r="E315" s="11" t="str">
        <f ca="1">+WORLDCUP!BD59</f>
        <v>Catar</v>
      </c>
      <c r="F315" s="11" t="str">
        <f ca="1">+WORLDCUP!BD61</f>
        <v>Australia</v>
      </c>
      <c r="G315" s="11" t="str">
        <f ca="1">+WORLDCUP!BD58</f>
        <v>República Checa</v>
      </c>
      <c r="H315" s="11" t="str">
        <f ca="1">+WORLDCUP!BD65</f>
        <v>Arabia Saudita</v>
      </c>
      <c r="I315" s="11" t="str">
        <f ca="1">+WORLDCUP!BD69</f>
        <v>Ghana</v>
      </c>
      <c r="J315" s="11" t="str">
        <f ca="1">+WORLDCUP!BD68</f>
        <v>Uzbekistán</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Irak</v>
      </c>
      <c r="D316" s="11" t="str">
        <f ca="1">+WORLDCUP!BD67</f>
        <v>Austria</v>
      </c>
      <c r="E316" s="11" t="str">
        <f ca="1">+WORLDCUP!BD59</f>
        <v>Catar</v>
      </c>
      <c r="F316" s="11" t="str">
        <f ca="1">+WORLDCUP!BD61</f>
        <v>Australia</v>
      </c>
      <c r="G316" s="11" t="str">
        <f ca="1">+WORLDCUP!BD58</f>
        <v>República Checa</v>
      </c>
      <c r="H316" s="11" t="str">
        <f ca="1">+WORLDCUP!BD64</f>
        <v>Irán</v>
      </c>
      <c r="I316" s="11" t="str">
        <f ca="1">+WORLDCUP!BD69</f>
        <v>Ghana</v>
      </c>
      <c r="J316" s="11" t="str">
        <f ca="1">+WORLDCUP!BD68</f>
        <v>Uzbekistán</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Arabia Saudita</v>
      </c>
      <c r="D317" s="11" t="str">
        <f ca="1">+WORLDCUP!BD67</f>
        <v>Austria</v>
      </c>
      <c r="E317" s="11" t="str">
        <f ca="1">+WORLDCUP!BD59</f>
        <v>Catar</v>
      </c>
      <c r="F317" s="11" t="str">
        <f ca="1">+WORLDCUP!BD61</f>
        <v>Australia</v>
      </c>
      <c r="G317" s="11" t="str">
        <f ca="1">+WORLDCUP!BD58</f>
        <v>República Checa</v>
      </c>
      <c r="H317" s="11" t="str">
        <f ca="1">+WORLDCUP!BD64</f>
        <v>Irán</v>
      </c>
      <c r="I317" s="11" t="str">
        <f ca="1">+WORLDCUP!BD69</f>
        <v>Ghana</v>
      </c>
      <c r="J317" s="11" t="str">
        <f ca="1">+WORLDCUP!BD68</f>
        <v>Uzbekistán</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Irak</v>
      </c>
      <c r="D318" s="11" t="str">
        <f ca="1">+WORLDCUP!BD64</f>
        <v>Irán</v>
      </c>
      <c r="E318" s="11" t="str">
        <f ca="1">+WORLDCUP!BD59</f>
        <v>Catar</v>
      </c>
      <c r="F318" s="11" t="str">
        <f ca="1">+WORLDCUP!BD61</f>
        <v>Australia</v>
      </c>
      <c r="G318" s="11" t="str">
        <f ca="1">+WORLDCUP!BD58</f>
        <v>República Checa</v>
      </c>
      <c r="H318" s="11" t="str">
        <f ca="1">+WORLDCUP!BD65</f>
        <v>Arabia Saudita</v>
      </c>
      <c r="I318" s="11" t="str">
        <f ca="1">+WORLDCUP!BD69</f>
        <v>Ghana</v>
      </c>
      <c r="J318" s="11" t="str">
        <f ca="1">+WORLDCUP!BD68</f>
        <v>Uzbekistán</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Arabia Saudita</v>
      </c>
      <c r="D319" s="11" t="str">
        <f ca="1">+WORLDCUP!BD67</f>
        <v>Austria</v>
      </c>
      <c r="E319" s="11" t="str">
        <f ca="1">+WORLDCUP!BD59</f>
        <v>Catar</v>
      </c>
      <c r="F319" s="11" t="str">
        <f ca="1">+WORLDCUP!BD61</f>
        <v>Australia</v>
      </c>
      <c r="G319" s="11" t="str">
        <f ca="1">+WORLDCUP!BD58</f>
        <v>República Checa</v>
      </c>
      <c r="H319" s="11" t="str">
        <f ca="1">+WORLDCUP!BD64</f>
        <v>Irán</v>
      </c>
      <c r="I319" s="11" t="str">
        <f ca="1">+WORLDCUP!BD69</f>
        <v>Ghana</v>
      </c>
      <c r="J319" s="11" t="str">
        <f ca="1">+WORLDCUP!BD66</f>
        <v>Irak</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Arabia Saudita</v>
      </c>
      <c r="D320" s="11" t="str">
        <f ca="1">+WORLDCUP!BD67</f>
        <v>Austria</v>
      </c>
      <c r="E320" s="11" t="str">
        <f ca="1">+WORLDCUP!BD59</f>
        <v>Catar</v>
      </c>
      <c r="F320" s="11" t="str">
        <f ca="1">+WORLDCUP!BD61</f>
        <v>Australia</v>
      </c>
      <c r="G320" s="11" t="str">
        <f ca="1">+WORLDCUP!BD58</f>
        <v>República Checa</v>
      </c>
      <c r="H320" s="11" t="str">
        <f ca="1">+WORLDCUP!BD64</f>
        <v>Irán</v>
      </c>
      <c r="I320" s="11" t="str">
        <f ca="1">+WORLDCUP!BD66</f>
        <v>Irak</v>
      </c>
      <c r="J320" s="11" t="str">
        <f ca="1">+WORLDCUP!BD68</f>
        <v>Uzbekistán</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Irak</v>
      </c>
      <c r="D321" s="11" t="str">
        <f ca="1">+WORLDCUP!BD67</f>
        <v>Austria</v>
      </c>
      <c r="E321" s="11" t="str">
        <f ca="1">+WORLDCUP!BD59</f>
        <v>Catar</v>
      </c>
      <c r="F321" s="11" t="str">
        <f ca="1">+WORLDCUP!BD61</f>
        <v>Australia</v>
      </c>
      <c r="G321" s="11" t="str">
        <f ca="1">+WORLDCUP!BD58</f>
        <v>República Checa</v>
      </c>
      <c r="H321" s="11" t="str">
        <f ca="1">+WORLDCUP!BD63</f>
        <v>Suecia</v>
      </c>
      <c r="I321" s="11" t="str">
        <f ca="1">+WORLDCUP!BD69</f>
        <v>Ghana</v>
      </c>
      <c r="J321" s="11" t="str">
        <f ca="1">+WORLDCUP!BD68</f>
        <v>Uzbekistán</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Arabia Saudita</v>
      </c>
      <c r="D322" s="11" t="str">
        <f ca="1">+WORLDCUP!BD67</f>
        <v>Austria</v>
      </c>
      <c r="E322" s="11" t="str">
        <f ca="1">+WORLDCUP!BD59</f>
        <v>Catar</v>
      </c>
      <c r="F322" s="11" t="str">
        <f ca="1">+WORLDCUP!BD61</f>
        <v>Australia</v>
      </c>
      <c r="G322" s="11" t="str">
        <f ca="1">+WORLDCUP!BD58</f>
        <v>República Checa</v>
      </c>
      <c r="H322" s="11" t="str">
        <f ca="1">+WORLDCUP!BD63</f>
        <v>Suecia</v>
      </c>
      <c r="I322" s="11" t="str">
        <f ca="1">+WORLDCUP!BD69</f>
        <v>Ghana</v>
      </c>
      <c r="J322" s="11" t="str">
        <f ca="1">+WORLDCUP!BD68</f>
        <v>Uzbekistán</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Arabia Saudita</v>
      </c>
      <c r="D323" s="11" t="str">
        <f ca="1">+WORLDCUP!BD66</f>
        <v>Irak</v>
      </c>
      <c r="E323" s="11" t="str">
        <f ca="1">+WORLDCUP!BD59</f>
        <v>Catar</v>
      </c>
      <c r="F323" s="11" t="str">
        <f ca="1">+WORLDCUP!BD61</f>
        <v>Australia</v>
      </c>
      <c r="G323" s="11" t="str">
        <f ca="1">+WORLDCUP!BD58</f>
        <v>República Checa</v>
      </c>
      <c r="H323" s="11" t="str">
        <f ca="1">+WORLDCUP!BD63</f>
        <v>Suecia</v>
      </c>
      <c r="I323" s="11" t="str">
        <f ca="1">+WORLDCUP!BD69</f>
        <v>Ghana</v>
      </c>
      <c r="J323" s="11" t="str">
        <f ca="1">+WORLDCUP!BD68</f>
        <v>Uzbekistán</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Arabia Saudita</v>
      </c>
      <c r="D324" s="11" t="str">
        <f ca="1">+WORLDCUP!BD67</f>
        <v>Austria</v>
      </c>
      <c r="E324" s="11" t="str">
        <f ca="1">+WORLDCUP!BD59</f>
        <v>Catar</v>
      </c>
      <c r="F324" s="11" t="str">
        <f ca="1">+WORLDCUP!BD61</f>
        <v>Australia</v>
      </c>
      <c r="G324" s="11" t="str">
        <f ca="1">+WORLDCUP!BD58</f>
        <v>República Checa</v>
      </c>
      <c r="H324" s="11" t="str">
        <f ca="1">+WORLDCUP!BD63</f>
        <v>Suecia</v>
      </c>
      <c r="I324" s="11" t="str">
        <f ca="1">+WORLDCUP!BD69</f>
        <v>Ghana</v>
      </c>
      <c r="J324" s="11" t="str">
        <f ca="1">+WORLDCUP!BD66</f>
        <v>Irak</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Arabia Saudita</v>
      </c>
      <c r="D325" s="11" t="str">
        <f ca="1">+WORLDCUP!BD67</f>
        <v>Austria</v>
      </c>
      <c r="E325" s="11" t="str">
        <f ca="1">+WORLDCUP!BD59</f>
        <v>Catar</v>
      </c>
      <c r="F325" s="11" t="str">
        <f ca="1">+WORLDCUP!BD61</f>
        <v>Australia</v>
      </c>
      <c r="G325" s="11" t="str">
        <f ca="1">+WORLDCUP!BD58</f>
        <v>República Checa</v>
      </c>
      <c r="H325" s="11" t="str">
        <f ca="1">+WORLDCUP!BD63</f>
        <v>Suecia</v>
      </c>
      <c r="I325" s="11" t="str">
        <f ca="1">+WORLDCUP!BD66</f>
        <v>Irak</v>
      </c>
      <c r="J325" s="11" t="str">
        <f ca="1">+WORLDCUP!BD68</f>
        <v>Uzbekistán</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Suecia</v>
      </c>
      <c r="D326" s="11" t="str">
        <f ca="1">+WORLDCUP!BD67</f>
        <v>Austria</v>
      </c>
      <c r="E326" s="11" t="str">
        <f ca="1">+WORLDCUP!BD59</f>
        <v>Catar</v>
      </c>
      <c r="F326" s="11" t="str">
        <f ca="1">+WORLDCUP!BD61</f>
        <v>Australia</v>
      </c>
      <c r="G326" s="11" t="str">
        <f ca="1">+WORLDCUP!BD58</f>
        <v>República Checa</v>
      </c>
      <c r="H326" s="11" t="str">
        <f ca="1">+WORLDCUP!BD64</f>
        <v>Irán</v>
      </c>
      <c r="I326" s="11" t="str">
        <f ca="1">+WORLDCUP!BD69</f>
        <v>Ghana</v>
      </c>
      <c r="J326" s="11" t="str">
        <f ca="1">+WORLDCUP!BD68</f>
        <v>Uzbekistán</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Irak</v>
      </c>
      <c r="D327" s="11" t="str">
        <f ca="1">+WORLDCUP!BD64</f>
        <v>Irán</v>
      </c>
      <c r="E327" s="11" t="str">
        <f ca="1">+WORLDCUP!BD59</f>
        <v>Catar</v>
      </c>
      <c r="F327" s="11" t="str">
        <f ca="1">+WORLDCUP!BD61</f>
        <v>Australia</v>
      </c>
      <c r="G327" s="11" t="str">
        <f ca="1">+WORLDCUP!BD58</f>
        <v>República Checa</v>
      </c>
      <c r="H327" s="11" t="str">
        <f ca="1">+WORLDCUP!BD63</f>
        <v>Suecia</v>
      </c>
      <c r="I327" s="11" t="str">
        <f ca="1">+WORLDCUP!BD69</f>
        <v>Ghana</v>
      </c>
      <c r="J327" s="11" t="str">
        <f ca="1">+WORLDCUP!BD68</f>
        <v>Uzbekistán</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Suecia</v>
      </c>
      <c r="D328" s="11" t="str">
        <f ca="1">+WORLDCUP!BD67</f>
        <v>Austria</v>
      </c>
      <c r="E328" s="11" t="str">
        <f ca="1">+WORLDCUP!BD59</f>
        <v>Catar</v>
      </c>
      <c r="F328" s="11" t="str">
        <f ca="1">+WORLDCUP!BD61</f>
        <v>Australia</v>
      </c>
      <c r="G328" s="11" t="str">
        <f ca="1">+WORLDCUP!BD58</f>
        <v>República Checa</v>
      </c>
      <c r="H328" s="11" t="str">
        <f ca="1">+WORLDCUP!BD64</f>
        <v>Irán</v>
      </c>
      <c r="I328" s="11" t="str">
        <f ca="1">+WORLDCUP!BD69</f>
        <v>Ghana</v>
      </c>
      <c r="J328" s="11" t="str">
        <f ca="1">+WORLDCUP!BD66</f>
        <v>Irak</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Suecia</v>
      </c>
      <c r="D329" s="11" t="str">
        <f ca="1">+WORLDCUP!BD67</f>
        <v>Austria</v>
      </c>
      <c r="E329" s="11" t="str">
        <f ca="1">+WORLDCUP!BD59</f>
        <v>Catar</v>
      </c>
      <c r="F329" s="11" t="str">
        <f ca="1">+WORLDCUP!BD61</f>
        <v>Australia</v>
      </c>
      <c r="G329" s="11" t="str">
        <f ca="1">+WORLDCUP!BD58</f>
        <v>República Checa</v>
      </c>
      <c r="H329" s="11" t="str">
        <f ca="1">+WORLDCUP!BD64</f>
        <v>Irán</v>
      </c>
      <c r="I329" s="11" t="str">
        <f ca="1">+WORLDCUP!BD66</f>
        <v>Irak</v>
      </c>
      <c r="J329" s="11" t="str">
        <f ca="1">+WORLDCUP!BD68</f>
        <v>Uzbekistán</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Arabia Saudita</v>
      </c>
      <c r="D330" s="11" t="str">
        <f ca="1">+WORLDCUP!BD64</f>
        <v>Irán</v>
      </c>
      <c r="E330" s="11" t="str">
        <f ca="1">+WORLDCUP!BD59</f>
        <v>Catar</v>
      </c>
      <c r="F330" s="11" t="str">
        <f ca="1">+WORLDCUP!BD61</f>
        <v>Australia</v>
      </c>
      <c r="G330" s="11" t="str">
        <f ca="1">+WORLDCUP!BD58</f>
        <v>República Checa</v>
      </c>
      <c r="H330" s="11" t="str">
        <f ca="1">+WORLDCUP!BD63</f>
        <v>Suecia</v>
      </c>
      <c r="I330" s="11" t="str">
        <f ca="1">+WORLDCUP!BD69</f>
        <v>Ghana</v>
      </c>
      <c r="J330" s="11" t="str">
        <f ca="1">+WORLDCUP!BD68</f>
        <v>Uzbekistán</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Arabia Saudita</v>
      </c>
      <c r="D331" s="11" t="str">
        <f ca="1">+WORLDCUP!BD64</f>
        <v>Irán</v>
      </c>
      <c r="E331" s="11" t="str">
        <f ca="1">+WORLDCUP!BD59</f>
        <v>Catar</v>
      </c>
      <c r="F331" s="11" t="str">
        <f ca="1">+WORLDCUP!BD61</f>
        <v>Australia</v>
      </c>
      <c r="G331" s="11" t="str">
        <f ca="1">+WORLDCUP!BD58</f>
        <v>República Checa</v>
      </c>
      <c r="H331" s="11" t="str">
        <f ca="1">+WORLDCUP!BD63</f>
        <v>Suecia</v>
      </c>
      <c r="I331" s="11" t="str">
        <f ca="1">+WORLDCUP!BD69</f>
        <v>Ghana</v>
      </c>
      <c r="J331" s="11" t="str">
        <f ca="1">+WORLDCUP!BD67</f>
        <v>Austria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Arabia Saudita</v>
      </c>
      <c r="D332" s="11" t="str">
        <f ca="1">+WORLDCUP!BD64</f>
        <v>Irán</v>
      </c>
      <c r="E332" s="11" t="str">
        <f ca="1">+WORLDCUP!BD59</f>
        <v>Catar</v>
      </c>
      <c r="F332" s="11" t="str">
        <f ca="1">+WORLDCUP!BD61</f>
        <v>Australia</v>
      </c>
      <c r="G332" s="11" t="str">
        <f ca="1">+WORLDCUP!BD58</f>
        <v>República Checa</v>
      </c>
      <c r="H332" s="11" t="str">
        <f ca="1">+WORLDCUP!BD63</f>
        <v>Suecia</v>
      </c>
      <c r="I332" s="11" t="str">
        <f ca="1">+WORLDCUP!BD67</f>
        <v>Austria</v>
      </c>
      <c r="J332" s="11" t="str">
        <f ca="1">+WORLDCUP!BD68</f>
        <v>Uzbekistán</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Arabia Saudita</v>
      </c>
      <c r="D333" s="11" t="str">
        <f ca="1">+WORLDCUP!BD64</f>
        <v>Irán</v>
      </c>
      <c r="E333" s="11" t="str">
        <f ca="1">+WORLDCUP!BD59</f>
        <v>Catar</v>
      </c>
      <c r="F333" s="11" t="str">
        <f ca="1">+WORLDCUP!BD61</f>
        <v>Australia</v>
      </c>
      <c r="G333" s="11" t="str">
        <f ca="1">+WORLDCUP!BD58</f>
        <v>República Checa</v>
      </c>
      <c r="H333" s="11" t="str">
        <f ca="1">+WORLDCUP!BD63</f>
        <v>Suecia</v>
      </c>
      <c r="I333" s="11" t="str">
        <f ca="1">+WORLDCUP!BD69</f>
        <v>Ghana</v>
      </c>
      <c r="J333" s="11" t="str">
        <f ca="1">+WORLDCUP!BD66</f>
        <v>Irak</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Arabia Saudita</v>
      </c>
      <c r="D334" s="11" t="str">
        <f ca="1">+WORLDCUP!BD64</f>
        <v>Irán</v>
      </c>
      <c r="E334" s="11" t="str">
        <f ca="1">+WORLDCUP!BD59</f>
        <v>Catar</v>
      </c>
      <c r="F334" s="11" t="str">
        <f ca="1">+WORLDCUP!BD61</f>
        <v>Australia</v>
      </c>
      <c r="G334" s="11" t="str">
        <f ca="1">+WORLDCUP!BD58</f>
        <v>República Checa</v>
      </c>
      <c r="H334" s="11" t="str">
        <f ca="1">+WORLDCUP!BD63</f>
        <v>Suecia</v>
      </c>
      <c r="I334" s="11" t="str">
        <f ca="1">+WORLDCUP!BD66</f>
        <v>Irak</v>
      </c>
      <c r="J334" s="11" t="str">
        <f ca="1">+WORLDCUP!BD68</f>
        <v>Uzbekistán</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Arabia Saudita</v>
      </c>
      <c r="D335" s="11" t="str">
        <f ca="1">+WORLDCUP!BD64</f>
        <v>Irán</v>
      </c>
      <c r="E335" s="11" t="str">
        <f ca="1">+WORLDCUP!BD59</f>
        <v>Catar</v>
      </c>
      <c r="F335" s="11" t="str">
        <f ca="1">+WORLDCUP!BD61</f>
        <v>Australia</v>
      </c>
      <c r="G335" s="11" t="str">
        <f ca="1">+WORLDCUP!BD58</f>
        <v>República Checa</v>
      </c>
      <c r="H335" s="11" t="str">
        <f ca="1">+WORLDCUP!BD63</f>
        <v>Suecia</v>
      </c>
      <c r="I335" s="11" t="str">
        <f ca="1">+WORLDCUP!BD66</f>
        <v>Irak</v>
      </c>
      <c r="J335" s="11" t="str">
        <f ca="1">+WORLDCUP!BD67</f>
        <v>Austria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Costa de Marfil</v>
      </c>
      <c r="D336" s="11" t="str">
        <f ca="1">+WORLDCUP!BD67</f>
        <v>Austria</v>
      </c>
      <c r="E336" s="11" t="str">
        <f ca="1">+WORLDCUP!BD59</f>
        <v>Catar</v>
      </c>
      <c r="F336" s="11" t="str">
        <f ca="1">+WORLDCUP!BD58</f>
        <v>República Checa</v>
      </c>
      <c r="G336" s="11" t="str">
        <f ca="1">+WORLDCUP!BD66</f>
        <v>Irak</v>
      </c>
      <c r="H336" s="11" t="str">
        <f ca="1">+WORLDCUP!BD61</f>
        <v>Australia</v>
      </c>
      <c r="I336" s="11" t="str">
        <f ca="1">+WORLDCUP!BD69</f>
        <v>Ghana</v>
      </c>
      <c r="J336" s="11" t="str">
        <f ca="1">+WORLDCUP!BD68</f>
        <v>Uzbekistán</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Costa de Marfil</v>
      </c>
      <c r="D337" s="11" t="str">
        <f ca="1">+WORLDCUP!BD67</f>
        <v>Austria</v>
      </c>
      <c r="E337" s="11" t="str">
        <f ca="1">+WORLDCUP!BD59</f>
        <v>Catar</v>
      </c>
      <c r="F337" s="11" t="str">
        <f ca="1">+WORLDCUP!BD61</f>
        <v>Australia</v>
      </c>
      <c r="G337" s="11" t="str">
        <f ca="1">+WORLDCUP!BD58</f>
        <v>República Checa</v>
      </c>
      <c r="H337" s="11" t="str">
        <f ca="1">+WORLDCUP!BD65</f>
        <v>Arabia Saudita</v>
      </c>
      <c r="I337" s="11" t="str">
        <f ca="1">+WORLDCUP!BD69</f>
        <v>Ghana</v>
      </c>
      <c r="J337" s="11" t="str">
        <f ca="1">+WORLDCUP!BD68</f>
        <v>Uzbekistán</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Costa de Marfil</v>
      </c>
      <c r="D338" s="11" t="str">
        <f ca="1">+WORLDCUP!BD66</f>
        <v>Irak</v>
      </c>
      <c r="E338" s="11" t="str">
        <f ca="1">+WORLDCUP!BD59</f>
        <v>Catar</v>
      </c>
      <c r="F338" s="11" t="str">
        <f ca="1">+WORLDCUP!BD61</f>
        <v>Australia</v>
      </c>
      <c r="G338" s="11" t="str">
        <f ca="1">+WORLDCUP!BD58</f>
        <v>República Checa</v>
      </c>
      <c r="H338" s="11" t="str">
        <f ca="1">+WORLDCUP!BD65</f>
        <v>Arabia Saudita</v>
      </c>
      <c r="I338" s="11" t="str">
        <f ca="1">+WORLDCUP!BD69</f>
        <v>Ghana</v>
      </c>
      <c r="J338" s="11" t="str">
        <f ca="1">+WORLDCUP!BD68</f>
        <v>Uzbekistán</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Costa de Marfil</v>
      </c>
      <c r="D339" s="11" t="str">
        <f ca="1">+WORLDCUP!BD67</f>
        <v>Austria</v>
      </c>
      <c r="E339" s="11" t="str">
        <f ca="1">+WORLDCUP!BD59</f>
        <v>Catar</v>
      </c>
      <c r="F339" s="11" t="str">
        <f ca="1">+WORLDCUP!BD61</f>
        <v>Australia</v>
      </c>
      <c r="G339" s="11" t="str">
        <f ca="1">+WORLDCUP!BD58</f>
        <v>República Checa</v>
      </c>
      <c r="H339" s="11" t="str">
        <f ca="1">+WORLDCUP!BD65</f>
        <v>Arabia Saudita</v>
      </c>
      <c r="I339" s="11" t="str">
        <f ca="1">+WORLDCUP!BD69</f>
        <v>Ghana</v>
      </c>
      <c r="J339" s="11" t="str">
        <f ca="1">+WORLDCUP!BD66</f>
        <v>Irak</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Costa de Marfil</v>
      </c>
      <c r="D340" s="11" t="str">
        <f ca="1">+WORLDCUP!BD67</f>
        <v>Austria</v>
      </c>
      <c r="E340" s="11" t="str">
        <f ca="1">+WORLDCUP!BD59</f>
        <v>Catar</v>
      </c>
      <c r="F340" s="11" t="str">
        <f ca="1">+WORLDCUP!BD61</f>
        <v>Australia</v>
      </c>
      <c r="G340" s="11" t="str">
        <f ca="1">+WORLDCUP!BD58</f>
        <v>República Checa</v>
      </c>
      <c r="H340" s="11" t="str">
        <f ca="1">+WORLDCUP!BD65</f>
        <v>Arabia Saudita</v>
      </c>
      <c r="I340" s="11" t="str">
        <f ca="1">+WORLDCUP!BD66</f>
        <v>Irak</v>
      </c>
      <c r="J340" s="11" t="str">
        <f ca="1">+WORLDCUP!BD68</f>
        <v>Uzbekistán</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Costa de Marfil</v>
      </c>
      <c r="D341" s="11" t="str">
        <f ca="1">+WORLDCUP!BD67</f>
        <v>Austria</v>
      </c>
      <c r="E341" s="11" t="str">
        <f ca="1">+WORLDCUP!BD59</f>
        <v>Catar</v>
      </c>
      <c r="F341" s="11" t="str">
        <f ca="1">+WORLDCUP!BD61</f>
        <v>Australia</v>
      </c>
      <c r="G341" s="11" t="str">
        <f ca="1">+WORLDCUP!BD58</f>
        <v>República Checa</v>
      </c>
      <c r="H341" s="11" t="str">
        <f ca="1">+WORLDCUP!BD64</f>
        <v>Irán</v>
      </c>
      <c r="I341" s="11" t="str">
        <f ca="1">+WORLDCUP!BD69</f>
        <v>Ghana</v>
      </c>
      <c r="J341" s="11" t="str">
        <f ca="1">+WORLDCUP!BD68</f>
        <v>Uzbekistán</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Costa de Marfil</v>
      </c>
      <c r="D342" s="11" t="str">
        <f ca="1">+WORLDCUP!BD64</f>
        <v>Irán</v>
      </c>
      <c r="E342" s="11" t="str">
        <f ca="1">+WORLDCUP!BD59</f>
        <v>Catar</v>
      </c>
      <c r="F342" s="11" t="str">
        <f ca="1">+WORLDCUP!BD58</f>
        <v>República Checa</v>
      </c>
      <c r="G342" s="11" t="str">
        <f ca="1">+WORLDCUP!BD66</f>
        <v>Irak</v>
      </c>
      <c r="H342" s="11" t="str">
        <f ca="1">+WORLDCUP!BD61</f>
        <v>Australia</v>
      </c>
      <c r="I342" s="11" t="str">
        <f ca="1">+WORLDCUP!BD69</f>
        <v>Ghana</v>
      </c>
      <c r="J342" s="11" t="str">
        <f ca="1">+WORLDCUP!BD68</f>
        <v>Uzbekistán</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Costa de Marfil</v>
      </c>
      <c r="D343" s="11" t="str">
        <f ca="1">+WORLDCUP!BD67</f>
        <v>Austria</v>
      </c>
      <c r="E343" s="11" t="str">
        <f ca="1">+WORLDCUP!BD59</f>
        <v>Catar</v>
      </c>
      <c r="F343" s="11" t="str">
        <f ca="1">+WORLDCUP!BD61</f>
        <v>Australia</v>
      </c>
      <c r="G343" s="11" t="str">
        <f ca="1">+WORLDCUP!BD58</f>
        <v>República Checa</v>
      </c>
      <c r="H343" s="11" t="str">
        <f ca="1">+WORLDCUP!BD64</f>
        <v>Irán</v>
      </c>
      <c r="I343" s="11" t="str">
        <f ca="1">+WORLDCUP!BD69</f>
        <v>Ghana</v>
      </c>
      <c r="J343" s="11" t="str">
        <f ca="1">+WORLDCUP!BD66</f>
        <v>Irak</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Costa de Marfil</v>
      </c>
      <c r="D344" s="11" t="str">
        <f ca="1">+WORLDCUP!BD67</f>
        <v>Austria</v>
      </c>
      <c r="E344" s="11" t="str">
        <f ca="1">+WORLDCUP!BD59</f>
        <v>Catar</v>
      </c>
      <c r="F344" s="11" t="str">
        <f ca="1">+WORLDCUP!BD61</f>
        <v>Australia</v>
      </c>
      <c r="G344" s="11" t="str">
        <f ca="1">+WORLDCUP!BD58</f>
        <v>República Checa</v>
      </c>
      <c r="H344" s="11" t="str">
        <f ca="1">+WORLDCUP!BD64</f>
        <v>Irán</v>
      </c>
      <c r="I344" s="11" t="str">
        <f ca="1">+WORLDCUP!BD66</f>
        <v>Irak</v>
      </c>
      <c r="J344" s="11" t="str">
        <f ca="1">+WORLDCUP!BD68</f>
        <v>Uzbekistán</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Costa de Marfil</v>
      </c>
      <c r="D345" s="11" t="str">
        <f ca="1">+WORLDCUP!BD64</f>
        <v>Irán</v>
      </c>
      <c r="E345" s="11" t="str">
        <f ca="1">+WORLDCUP!BD59</f>
        <v>Catar</v>
      </c>
      <c r="F345" s="11" t="str">
        <f ca="1">+WORLDCUP!BD61</f>
        <v>Australia</v>
      </c>
      <c r="G345" s="11" t="str">
        <f ca="1">+WORLDCUP!BD58</f>
        <v>República Checa</v>
      </c>
      <c r="H345" s="11" t="str">
        <f ca="1">+WORLDCUP!BD65</f>
        <v>Arabia Saudita</v>
      </c>
      <c r="I345" s="11" t="str">
        <f ca="1">+WORLDCUP!BD69</f>
        <v>Ghana</v>
      </c>
      <c r="J345" s="11" t="str">
        <f ca="1">+WORLDCUP!BD68</f>
        <v>Uzbekistán</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Arabia Saudita</v>
      </c>
      <c r="D346" s="11" t="str">
        <f ca="1">+WORLDCUP!BD67</f>
        <v>Austria</v>
      </c>
      <c r="E346" s="11" t="str">
        <f ca="1">+WORLDCUP!BD59</f>
        <v>Catar</v>
      </c>
      <c r="F346" s="11" t="str">
        <f ca="1">+WORLDCUP!BD61</f>
        <v>Australia</v>
      </c>
      <c r="G346" s="11" t="str">
        <f ca="1">+WORLDCUP!BD58</f>
        <v>República Checa</v>
      </c>
      <c r="H346" s="11" t="str">
        <f ca="1">+WORLDCUP!BD64</f>
        <v>Irán</v>
      </c>
      <c r="I346" s="11" t="str">
        <f ca="1">+WORLDCUP!BD69</f>
        <v>Ghana</v>
      </c>
      <c r="J346" s="11" t="str">
        <f ca="1">+WORLDCUP!BD62</f>
        <v>Costa de Marfil</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Arabia Saudita</v>
      </c>
      <c r="D347" s="11" t="str">
        <f ca="1">+WORLDCUP!BD67</f>
        <v>Austria</v>
      </c>
      <c r="E347" s="11" t="str">
        <f ca="1">+WORLDCUP!BD59</f>
        <v>Catar</v>
      </c>
      <c r="F347" s="11" t="str">
        <f ca="1">+WORLDCUP!BD61</f>
        <v>Australia</v>
      </c>
      <c r="G347" s="11" t="str">
        <f ca="1">+WORLDCUP!BD58</f>
        <v>República Checa</v>
      </c>
      <c r="H347" s="11" t="str">
        <f ca="1">+WORLDCUP!BD64</f>
        <v>Irán</v>
      </c>
      <c r="I347" s="11" t="str">
        <f ca="1">+WORLDCUP!BD62</f>
        <v>Costa de Marfil</v>
      </c>
      <c r="J347" s="11" t="str">
        <f ca="1">+WORLDCUP!BD68</f>
        <v>Uzbekistán</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Costa de Marfil</v>
      </c>
      <c r="D348" s="11" t="str">
        <f ca="1">+WORLDCUP!BD64</f>
        <v>Irán</v>
      </c>
      <c r="E348" s="11" t="str">
        <f ca="1">+WORLDCUP!BD59</f>
        <v>Catar</v>
      </c>
      <c r="F348" s="11" t="str">
        <f ca="1">+WORLDCUP!BD61</f>
        <v>Australia</v>
      </c>
      <c r="G348" s="11" t="str">
        <f ca="1">+WORLDCUP!BD58</f>
        <v>República Checa</v>
      </c>
      <c r="H348" s="11" t="str">
        <f ca="1">+WORLDCUP!BD65</f>
        <v>Arabia Saudita</v>
      </c>
      <c r="I348" s="11" t="str">
        <f ca="1">+WORLDCUP!BD69</f>
        <v>Ghana</v>
      </c>
      <c r="J348" s="11" t="str">
        <f ca="1">+WORLDCUP!BD66</f>
        <v>Irak</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Costa de Marfil</v>
      </c>
      <c r="D349" s="11" t="str">
        <f ca="1">+WORLDCUP!BD64</f>
        <v>Irán</v>
      </c>
      <c r="E349" s="11" t="str">
        <f ca="1">+WORLDCUP!BD59</f>
        <v>Catar</v>
      </c>
      <c r="F349" s="11" t="str">
        <f ca="1">+WORLDCUP!BD61</f>
        <v>Australia</v>
      </c>
      <c r="G349" s="11" t="str">
        <f ca="1">+WORLDCUP!BD58</f>
        <v>República Checa</v>
      </c>
      <c r="H349" s="11" t="str">
        <f ca="1">+WORLDCUP!BD65</f>
        <v>Arabia Saudita</v>
      </c>
      <c r="I349" s="11" t="str">
        <f ca="1">+WORLDCUP!BD66</f>
        <v>Irak</v>
      </c>
      <c r="J349" s="11" t="str">
        <f ca="1">+WORLDCUP!BD68</f>
        <v>Uzbekistán</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Arabia Saudita</v>
      </c>
      <c r="D350" s="11" t="str">
        <f ca="1">+WORLDCUP!BD67</f>
        <v>Austria</v>
      </c>
      <c r="E350" s="11" t="str">
        <f ca="1">+WORLDCUP!BD59</f>
        <v>Catar</v>
      </c>
      <c r="F350" s="11" t="str">
        <f ca="1">+WORLDCUP!BD61</f>
        <v>Australia</v>
      </c>
      <c r="G350" s="11" t="str">
        <f ca="1">+WORLDCUP!BD58</f>
        <v>República Checa</v>
      </c>
      <c r="H350" s="11" t="str">
        <f ca="1">+WORLDCUP!BD64</f>
        <v>Irán</v>
      </c>
      <c r="I350" s="11" t="str">
        <f ca="1">+WORLDCUP!BD62</f>
        <v>Costa de Marfil</v>
      </c>
      <c r="J350" s="11" t="str">
        <f ca="1">+WORLDCUP!BD66</f>
        <v>Irak</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Costa de Marfil</v>
      </c>
      <c r="D351" s="11" t="str">
        <f ca="1">+WORLDCUP!BD67</f>
        <v>Austria</v>
      </c>
      <c r="E351" s="11" t="str">
        <f ca="1">+WORLDCUP!BD59</f>
        <v>Catar</v>
      </c>
      <c r="F351" s="11" t="str">
        <f ca="1">+WORLDCUP!BD61</f>
        <v>Australia</v>
      </c>
      <c r="G351" s="11" t="str">
        <f ca="1">+WORLDCUP!BD58</f>
        <v>República Checa</v>
      </c>
      <c r="H351" s="11" t="str">
        <f ca="1">+WORLDCUP!BD63</f>
        <v>Suecia</v>
      </c>
      <c r="I351" s="11" t="str">
        <f ca="1">+WORLDCUP!BD69</f>
        <v>Ghana</v>
      </c>
      <c r="J351" s="11" t="str">
        <f ca="1">+WORLDCUP!BD68</f>
        <v>Uzbekistán</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Costa de Marfil</v>
      </c>
      <c r="D352" s="11" t="str">
        <f ca="1">+WORLDCUP!BD66</f>
        <v>Irak</v>
      </c>
      <c r="E352" s="11" t="str">
        <f ca="1">+WORLDCUP!BD59</f>
        <v>Catar</v>
      </c>
      <c r="F352" s="11" t="str">
        <f ca="1">+WORLDCUP!BD61</f>
        <v>Australia</v>
      </c>
      <c r="G352" s="11" t="str">
        <f ca="1">+WORLDCUP!BD58</f>
        <v>República Checa</v>
      </c>
      <c r="H352" s="11" t="str">
        <f ca="1">+WORLDCUP!BD63</f>
        <v>Suecia</v>
      </c>
      <c r="I352" s="11" t="str">
        <f ca="1">+WORLDCUP!BD69</f>
        <v>Ghana</v>
      </c>
      <c r="J352" s="11" t="str">
        <f ca="1">+WORLDCUP!BD68</f>
        <v>Uzbekistán</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Costa de Marfil</v>
      </c>
      <c r="D353" s="11" t="str">
        <f ca="1">+WORLDCUP!BD67</f>
        <v>Austria</v>
      </c>
      <c r="E353" s="11" t="str">
        <f ca="1">+WORLDCUP!BD59</f>
        <v>Catar</v>
      </c>
      <c r="F353" s="11" t="str">
        <f ca="1">+WORLDCUP!BD61</f>
        <v>Australia</v>
      </c>
      <c r="G353" s="11" t="str">
        <f ca="1">+WORLDCUP!BD58</f>
        <v>República Checa</v>
      </c>
      <c r="H353" s="11" t="str">
        <f ca="1">+WORLDCUP!BD63</f>
        <v>Suecia</v>
      </c>
      <c r="I353" s="11" t="str">
        <f ca="1">+WORLDCUP!BD69</f>
        <v>Ghana</v>
      </c>
      <c r="J353" s="11" t="str">
        <f ca="1">+WORLDCUP!BD66</f>
        <v>Irak</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Costa de Marfil</v>
      </c>
      <c r="D354" s="11" t="str">
        <f ca="1">+WORLDCUP!BD67</f>
        <v>Austria</v>
      </c>
      <c r="E354" s="11" t="str">
        <f ca="1">+WORLDCUP!BD59</f>
        <v>Catar</v>
      </c>
      <c r="F354" s="11" t="str">
        <f ca="1">+WORLDCUP!BD61</f>
        <v>Australia</v>
      </c>
      <c r="G354" s="11" t="str">
        <f ca="1">+WORLDCUP!BD58</f>
        <v>República Checa</v>
      </c>
      <c r="H354" s="11" t="str">
        <f ca="1">+WORLDCUP!BD63</f>
        <v>Suecia</v>
      </c>
      <c r="I354" s="11" t="str">
        <f ca="1">+WORLDCUP!BD66</f>
        <v>Irak</v>
      </c>
      <c r="J354" s="11" t="str">
        <f ca="1">+WORLDCUP!BD68</f>
        <v>Uzbekistán</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Arabia Saudita</v>
      </c>
      <c r="D355" s="11" t="str">
        <f ca="1">+WORLDCUP!BD62</f>
        <v>Costa de Marfil</v>
      </c>
      <c r="E355" s="11" t="str">
        <f ca="1">+WORLDCUP!BD59</f>
        <v>Catar</v>
      </c>
      <c r="F355" s="11" t="str">
        <f ca="1">+WORLDCUP!BD61</f>
        <v>Australia</v>
      </c>
      <c r="G355" s="11" t="str">
        <f ca="1">+WORLDCUP!BD58</f>
        <v>República Checa</v>
      </c>
      <c r="H355" s="11" t="str">
        <f ca="1">+WORLDCUP!BD63</f>
        <v>Suecia</v>
      </c>
      <c r="I355" s="11" t="str">
        <f ca="1">+WORLDCUP!BD69</f>
        <v>Ghana</v>
      </c>
      <c r="J355" s="11" t="str">
        <f ca="1">+WORLDCUP!BD68</f>
        <v>Uzbekistán</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Arabia Saudita</v>
      </c>
      <c r="D356" s="11" t="str">
        <f ca="1">+WORLDCUP!BD67</f>
        <v>Austria</v>
      </c>
      <c r="E356" s="11" t="str">
        <f ca="1">+WORLDCUP!BD59</f>
        <v>Catar</v>
      </c>
      <c r="F356" s="11" t="str">
        <f ca="1">+WORLDCUP!BD61</f>
        <v>Australia</v>
      </c>
      <c r="G356" s="11" t="str">
        <f ca="1">+WORLDCUP!BD58</f>
        <v>República Checa</v>
      </c>
      <c r="H356" s="11" t="str">
        <f ca="1">+WORLDCUP!BD63</f>
        <v>Suecia</v>
      </c>
      <c r="I356" s="11" t="str">
        <f ca="1">+WORLDCUP!BD69</f>
        <v>Ghana</v>
      </c>
      <c r="J356" s="11" t="str">
        <f ca="1">+WORLDCUP!BD62</f>
        <v>Costa de Marfil</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Arabia Saudita</v>
      </c>
      <c r="D357" s="11" t="str">
        <f ca="1">+WORLDCUP!BD67</f>
        <v>Austria</v>
      </c>
      <c r="E357" s="11" t="str">
        <f ca="1">+WORLDCUP!BD59</f>
        <v>Catar</v>
      </c>
      <c r="F357" s="11" t="str">
        <f ca="1">+WORLDCUP!BD61</f>
        <v>Australia</v>
      </c>
      <c r="G357" s="11" t="str">
        <f ca="1">+WORLDCUP!BD58</f>
        <v>República Checa</v>
      </c>
      <c r="H357" s="11" t="str">
        <f ca="1">+WORLDCUP!BD63</f>
        <v>Suecia</v>
      </c>
      <c r="I357" s="11" t="str">
        <f ca="1">+WORLDCUP!BD62</f>
        <v>Costa de Marfil</v>
      </c>
      <c r="J357" s="11" t="str">
        <f ca="1">+WORLDCUP!BD68</f>
        <v>Uzbekistán</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Arabia Saudita</v>
      </c>
      <c r="D358" s="11" t="str">
        <f ca="1">+WORLDCUP!BD62</f>
        <v>Costa de Marfil</v>
      </c>
      <c r="E358" s="11" t="str">
        <f ca="1">+WORLDCUP!BD59</f>
        <v>Catar</v>
      </c>
      <c r="F358" s="11" t="str">
        <f ca="1">+WORLDCUP!BD61</f>
        <v>Australia</v>
      </c>
      <c r="G358" s="11" t="str">
        <f ca="1">+WORLDCUP!BD58</f>
        <v>República Checa</v>
      </c>
      <c r="H358" s="11" t="str">
        <f ca="1">+WORLDCUP!BD63</f>
        <v>Suecia</v>
      </c>
      <c r="I358" s="11" t="str">
        <f ca="1">+WORLDCUP!BD69</f>
        <v>Ghana</v>
      </c>
      <c r="J358" s="11" t="str">
        <f ca="1">+WORLDCUP!BD66</f>
        <v>Irak</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Arabia Saudita</v>
      </c>
      <c r="D359" s="11" t="str">
        <f ca="1">+WORLDCUP!BD62</f>
        <v>Costa de Marfil</v>
      </c>
      <c r="E359" s="11" t="str">
        <f ca="1">+WORLDCUP!BD59</f>
        <v>Catar</v>
      </c>
      <c r="F359" s="11" t="str">
        <f ca="1">+WORLDCUP!BD61</f>
        <v>Australia</v>
      </c>
      <c r="G359" s="11" t="str">
        <f ca="1">+WORLDCUP!BD58</f>
        <v>República Checa</v>
      </c>
      <c r="H359" s="11" t="str">
        <f ca="1">+WORLDCUP!BD63</f>
        <v>Suecia</v>
      </c>
      <c r="I359" s="11" t="str">
        <f ca="1">+WORLDCUP!BD66</f>
        <v>Irak</v>
      </c>
      <c r="J359" s="11" t="str">
        <f ca="1">+WORLDCUP!BD68</f>
        <v>Uzbekistán</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Arabia Saudita</v>
      </c>
      <c r="D360" s="11" t="str">
        <f ca="1">+WORLDCUP!BD67</f>
        <v>Austria</v>
      </c>
      <c r="E360" s="11" t="str">
        <f ca="1">+WORLDCUP!BD59</f>
        <v>Catar</v>
      </c>
      <c r="F360" s="11" t="str">
        <f ca="1">+WORLDCUP!BD61</f>
        <v>Australia</v>
      </c>
      <c r="G360" s="11" t="str">
        <f ca="1">+WORLDCUP!BD58</f>
        <v>República Checa</v>
      </c>
      <c r="H360" s="11" t="str">
        <f ca="1">+WORLDCUP!BD63</f>
        <v>Suecia</v>
      </c>
      <c r="I360" s="11" t="str">
        <f ca="1">+WORLDCUP!BD62</f>
        <v>Costa de Marfil</v>
      </c>
      <c r="J360" s="11" t="str">
        <f ca="1">+WORLDCUP!BD66</f>
        <v>Irak</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Costa de Marfil</v>
      </c>
      <c r="D361" s="11" t="str">
        <f ca="1">+WORLDCUP!BD64</f>
        <v>Irán</v>
      </c>
      <c r="E361" s="11" t="str">
        <f ca="1">+WORLDCUP!BD59</f>
        <v>Catar</v>
      </c>
      <c r="F361" s="11" t="str">
        <f ca="1">+WORLDCUP!BD61</f>
        <v>Australia</v>
      </c>
      <c r="G361" s="11" t="str">
        <f ca="1">+WORLDCUP!BD58</f>
        <v>República Checa</v>
      </c>
      <c r="H361" s="11" t="str">
        <f ca="1">+WORLDCUP!BD63</f>
        <v>Suecia</v>
      </c>
      <c r="I361" s="11" t="str">
        <f ca="1">+WORLDCUP!BD69</f>
        <v>Ghana</v>
      </c>
      <c r="J361" s="11" t="str">
        <f ca="1">+WORLDCUP!BD68</f>
        <v>Uzbekistán</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Costa de Marfil</v>
      </c>
      <c r="D362" s="11" t="str">
        <f ca="1">+WORLDCUP!BD64</f>
        <v>Irán</v>
      </c>
      <c r="E362" s="11" t="str">
        <f ca="1">+WORLDCUP!BD59</f>
        <v>Catar</v>
      </c>
      <c r="F362" s="11" t="str">
        <f ca="1">+WORLDCUP!BD61</f>
        <v>Australia</v>
      </c>
      <c r="G362" s="11" t="str">
        <f ca="1">+WORLDCUP!BD58</f>
        <v>República Checa</v>
      </c>
      <c r="H362" s="11" t="str">
        <f ca="1">+WORLDCUP!BD63</f>
        <v>Suecia</v>
      </c>
      <c r="I362" s="11" t="str">
        <f ca="1">+WORLDCUP!BD69</f>
        <v>Ghana</v>
      </c>
      <c r="J362" s="11" t="str">
        <f ca="1">+WORLDCUP!BD67</f>
        <v>Austria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Costa de Marfil</v>
      </c>
      <c r="D363" s="11" t="str">
        <f ca="1">+WORLDCUP!BD64</f>
        <v>Irán</v>
      </c>
      <c r="E363" s="11" t="str">
        <f ca="1">+WORLDCUP!BD59</f>
        <v>Catar</v>
      </c>
      <c r="F363" s="11" t="str">
        <f ca="1">+WORLDCUP!BD61</f>
        <v>Australia</v>
      </c>
      <c r="G363" s="11" t="str">
        <f ca="1">+WORLDCUP!BD58</f>
        <v>República Checa</v>
      </c>
      <c r="H363" s="11" t="str">
        <f ca="1">+WORLDCUP!BD63</f>
        <v>Suecia</v>
      </c>
      <c r="I363" s="11" t="str">
        <f ca="1">+WORLDCUP!BD67</f>
        <v>Austria</v>
      </c>
      <c r="J363" s="11" t="str">
        <f ca="1">+WORLDCUP!BD68</f>
        <v>Uzbekistán</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Costa de Marfil</v>
      </c>
      <c r="D364" s="11" t="str">
        <f ca="1">+WORLDCUP!BD64</f>
        <v>Irán</v>
      </c>
      <c r="E364" s="11" t="str">
        <f ca="1">+WORLDCUP!BD59</f>
        <v>Catar</v>
      </c>
      <c r="F364" s="11" t="str">
        <f ca="1">+WORLDCUP!BD61</f>
        <v>Australia</v>
      </c>
      <c r="G364" s="11" t="str">
        <f ca="1">+WORLDCUP!BD58</f>
        <v>República Checa</v>
      </c>
      <c r="H364" s="11" t="str">
        <f ca="1">+WORLDCUP!BD63</f>
        <v>Suecia</v>
      </c>
      <c r="I364" s="11" t="str">
        <f ca="1">+WORLDCUP!BD69</f>
        <v>Ghana</v>
      </c>
      <c r="J364" s="11" t="str">
        <f ca="1">+WORLDCUP!BD66</f>
        <v>Irak</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Costa de Marfil</v>
      </c>
      <c r="D365" s="11" t="str">
        <f ca="1">+WORLDCUP!BD64</f>
        <v>Irán</v>
      </c>
      <c r="E365" s="11" t="str">
        <f ca="1">+WORLDCUP!BD59</f>
        <v>Catar</v>
      </c>
      <c r="F365" s="11" t="str">
        <f ca="1">+WORLDCUP!BD61</f>
        <v>Australia</v>
      </c>
      <c r="G365" s="11" t="str">
        <f ca="1">+WORLDCUP!BD58</f>
        <v>República Checa</v>
      </c>
      <c r="H365" s="11" t="str">
        <f ca="1">+WORLDCUP!BD63</f>
        <v>Suecia</v>
      </c>
      <c r="I365" s="11" t="str">
        <f ca="1">+WORLDCUP!BD66</f>
        <v>Irak</v>
      </c>
      <c r="J365" s="11" t="str">
        <f ca="1">+WORLDCUP!BD68</f>
        <v>Uzbekistán</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Costa de Marfil</v>
      </c>
      <c r="D366" s="11" t="str">
        <f ca="1">+WORLDCUP!BD64</f>
        <v>Irán</v>
      </c>
      <c r="E366" s="11" t="str">
        <f ca="1">+WORLDCUP!BD59</f>
        <v>Catar</v>
      </c>
      <c r="F366" s="11" t="str">
        <f ca="1">+WORLDCUP!BD61</f>
        <v>Australia</v>
      </c>
      <c r="G366" s="11" t="str">
        <f ca="1">+WORLDCUP!BD58</f>
        <v>República Checa</v>
      </c>
      <c r="H366" s="11" t="str">
        <f ca="1">+WORLDCUP!BD63</f>
        <v>Suecia</v>
      </c>
      <c r="I366" s="11" t="str">
        <f ca="1">+WORLDCUP!BD66</f>
        <v>Irak</v>
      </c>
      <c r="J366" s="11" t="str">
        <f ca="1">+WORLDCUP!BD67</f>
        <v>Austria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Arabia Saudita</v>
      </c>
      <c r="D367" s="11" t="str">
        <f ca="1">+WORLDCUP!BD64</f>
        <v>Irán</v>
      </c>
      <c r="E367" s="11" t="str">
        <f ca="1">+WORLDCUP!BD59</f>
        <v>Catar</v>
      </c>
      <c r="F367" s="11" t="str">
        <f ca="1">+WORLDCUP!BD61</f>
        <v>Australia</v>
      </c>
      <c r="G367" s="11" t="str">
        <f ca="1">+WORLDCUP!BD58</f>
        <v>República Checa</v>
      </c>
      <c r="H367" s="11" t="str">
        <f ca="1">+WORLDCUP!BD63</f>
        <v>Suecia</v>
      </c>
      <c r="I367" s="11" t="str">
        <f ca="1">+WORLDCUP!BD69</f>
        <v>Ghana</v>
      </c>
      <c r="J367" s="11" t="str">
        <f ca="1">+WORLDCUP!BD62</f>
        <v>Costa de Marfil</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Arabia Saudita</v>
      </c>
      <c r="D368" s="11" t="str">
        <f ca="1">+WORLDCUP!BD64</f>
        <v>Irán</v>
      </c>
      <c r="E368" s="11" t="str">
        <f ca="1">+WORLDCUP!BD59</f>
        <v>Catar</v>
      </c>
      <c r="F368" s="11" t="str">
        <f ca="1">+WORLDCUP!BD61</f>
        <v>Australia</v>
      </c>
      <c r="G368" s="11" t="str">
        <f ca="1">+WORLDCUP!BD58</f>
        <v>República Checa</v>
      </c>
      <c r="H368" s="11" t="str">
        <f ca="1">+WORLDCUP!BD63</f>
        <v>Suecia</v>
      </c>
      <c r="I368" s="11" t="str">
        <f ca="1">+WORLDCUP!BD62</f>
        <v>Costa de Marfil</v>
      </c>
      <c r="J368" s="11" t="str">
        <f ca="1">+WORLDCUP!BD68</f>
        <v>Uzbekistán</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Arabia Saudita</v>
      </c>
      <c r="D369" s="11" t="str">
        <f ca="1">+WORLDCUP!BD64</f>
        <v>Irán</v>
      </c>
      <c r="E369" s="11" t="str">
        <f ca="1">+WORLDCUP!BD59</f>
        <v>Catar</v>
      </c>
      <c r="F369" s="11" t="str">
        <f ca="1">+WORLDCUP!BD61</f>
        <v>Australia</v>
      </c>
      <c r="G369" s="11" t="str">
        <f ca="1">+WORLDCUP!BD58</f>
        <v>República Checa</v>
      </c>
      <c r="H369" s="11" t="str">
        <f ca="1">+WORLDCUP!BD63</f>
        <v>Suecia</v>
      </c>
      <c r="I369" s="11" t="str">
        <f ca="1">+WORLDCUP!BD62</f>
        <v>Costa de Marfil</v>
      </c>
      <c r="J369" s="11" t="str">
        <f ca="1">+WORLDCUP!BD67</f>
        <v>Austria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Arabia Saudita</v>
      </c>
      <c r="D370" s="11" t="str">
        <f ca="1">+WORLDCUP!BD64</f>
        <v>Irán</v>
      </c>
      <c r="E370" s="11" t="str">
        <f ca="1">+WORLDCUP!BD59</f>
        <v>Catar</v>
      </c>
      <c r="F370" s="11" t="str">
        <f ca="1">+WORLDCUP!BD61</f>
        <v>Australia</v>
      </c>
      <c r="G370" s="11" t="str">
        <f ca="1">+WORLDCUP!BD58</f>
        <v>República Checa</v>
      </c>
      <c r="H370" s="11" t="str">
        <f ca="1">+WORLDCUP!BD63</f>
        <v>Suecia</v>
      </c>
      <c r="I370" s="11" t="str">
        <f ca="1">+WORLDCUP!BD62</f>
        <v>Costa de Marfil</v>
      </c>
      <c r="J370" s="11" t="str">
        <f ca="1">+WORLDCUP!BD66</f>
        <v>Irak</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Irak</v>
      </c>
      <c r="D371" s="11" t="str">
        <f ca="1">+WORLDCUP!BD67</f>
        <v>Austria</v>
      </c>
      <c r="E371" s="11" t="str">
        <f ca="1">+WORLDCUP!BD59</f>
        <v>Catar</v>
      </c>
      <c r="F371" s="11" t="str">
        <f ca="1">+WORLDCUP!BD60</f>
        <v>Haití</v>
      </c>
      <c r="G371" s="11" t="str">
        <f ca="1">+WORLDCUP!BD58</f>
        <v>República Checa</v>
      </c>
      <c r="H371" s="11" t="str">
        <f ca="1">+WORLDCUP!BD65</f>
        <v>Arabia Saudita</v>
      </c>
      <c r="I371" s="11" t="str">
        <f ca="1">+WORLDCUP!BD69</f>
        <v>Ghana</v>
      </c>
      <c r="J371" s="11" t="str">
        <f ca="1">+WORLDCUP!BD68</f>
        <v>Uzbekistán</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Irak</v>
      </c>
      <c r="D372" s="11" t="str">
        <f ca="1">+WORLDCUP!BD67</f>
        <v>Austria</v>
      </c>
      <c r="E372" s="11" t="str">
        <f ca="1">+WORLDCUP!BD59</f>
        <v>Catar</v>
      </c>
      <c r="F372" s="11" t="str">
        <f ca="1">+WORLDCUP!BD60</f>
        <v>Haití</v>
      </c>
      <c r="G372" s="11" t="str">
        <f ca="1">+WORLDCUP!BD58</f>
        <v>República Checa</v>
      </c>
      <c r="H372" s="11" t="str">
        <f ca="1">+WORLDCUP!BD64</f>
        <v>Irán</v>
      </c>
      <c r="I372" s="11" t="str">
        <f ca="1">+WORLDCUP!BD69</f>
        <v>Ghana</v>
      </c>
      <c r="J372" s="11" t="str">
        <f ca="1">+WORLDCUP!BD68</f>
        <v>Uzbekistán</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Arabia Saudita</v>
      </c>
      <c r="D373" s="11" t="str">
        <f ca="1">+WORLDCUP!BD67</f>
        <v>Austria</v>
      </c>
      <c r="E373" s="11" t="str">
        <f ca="1">+WORLDCUP!BD59</f>
        <v>Catar</v>
      </c>
      <c r="F373" s="11" t="str">
        <f ca="1">+WORLDCUP!BD60</f>
        <v>Haití</v>
      </c>
      <c r="G373" s="11" t="str">
        <f ca="1">+WORLDCUP!BD58</f>
        <v>República Checa</v>
      </c>
      <c r="H373" s="11" t="str">
        <f ca="1">+WORLDCUP!BD64</f>
        <v>Irán</v>
      </c>
      <c r="I373" s="11" t="str">
        <f ca="1">+WORLDCUP!BD69</f>
        <v>Ghana</v>
      </c>
      <c r="J373" s="11" t="str">
        <f ca="1">+WORLDCUP!BD68</f>
        <v>Uzbekistán</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Irak</v>
      </c>
      <c r="D374" s="11" t="str">
        <f ca="1">+WORLDCUP!BD64</f>
        <v>Irán</v>
      </c>
      <c r="E374" s="11" t="str">
        <f ca="1">+WORLDCUP!BD59</f>
        <v>Catar</v>
      </c>
      <c r="F374" s="11" t="str">
        <f ca="1">+WORLDCUP!BD60</f>
        <v>Haití</v>
      </c>
      <c r="G374" s="11" t="str">
        <f ca="1">+WORLDCUP!BD58</f>
        <v>República Checa</v>
      </c>
      <c r="H374" s="11" t="str">
        <f ca="1">+WORLDCUP!BD65</f>
        <v>Arabia Saudita</v>
      </c>
      <c r="I374" s="11" t="str">
        <f ca="1">+WORLDCUP!BD69</f>
        <v>Ghana</v>
      </c>
      <c r="J374" s="11" t="str">
        <f ca="1">+WORLDCUP!BD68</f>
        <v>Uzbekistán</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Arabia Saudita</v>
      </c>
      <c r="D375" s="11" t="str">
        <f ca="1">+WORLDCUP!BD67</f>
        <v>Austria</v>
      </c>
      <c r="E375" s="11" t="str">
        <f ca="1">+WORLDCUP!BD59</f>
        <v>Catar</v>
      </c>
      <c r="F375" s="11" t="str">
        <f ca="1">+WORLDCUP!BD60</f>
        <v>Haití</v>
      </c>
      <c r="G375" s="11" t="str">
        <f ca="1">+WORLDCUP!BD58</f>
        <v>República Checa</v>
      </c>
      <c r="H375" s="11" t="str">
        <f ca="1">+WORLDCUP!BD64</f>
        <v>Irán</v>
      </c>
      <c r="I375" s="11" t="str">
        <f ca="1">+WORLDCUP!BD69</f>
        <v>Ghana</v>
      </c>
      <c r="J375" s="11" t="str">
        <f ca="1">+WORLDCUP!BD66</f>
        <v>Irak</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Arabia Saudita</v>
      </c>
      <c r="D376" s="11" t="str">
        <f ca="1">+WORLDCUP!BD67</f>
        <v>Austria</v>
      </c>
      <c r="E376" s="11" t="str">
        <f ca="1">+WORLDCUP!BD59</f>
        <v>Catar</v>
      </c>
      <c r="F376" s="11" t="str">
        <f ca="1">+WORLDCUP!BD60</f>
        <v>Haití</v>
      </c>
      <c r="G376" s="11" t="str">
        <f ca="1">+WORLDCUP!BD58</f>
        <v>República Checa</v>
      </c>
      <c r="H376" s="11" t="str">
        <f ca="1">+WORLDCUP!BD64</f>
        <v>Irán</v>
      </c>
      <c r="I376" s="11" t="str">
        <f ca="1">+WORLDCUP!BD66</f>
        <v>Irak</v>
      </c>
      <c r="J376" s="11" t="str">
        <f ca="1">+WORLDCUP!BD68</f>
        <v>Uzbekistán</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Irak</v>
      </c>
      <c r="D377" s="11" t="str">
        <f ca="1">+WORLDCUP!BD67</f>
        <v>Austria</v>
      </c>
      <c r="E377" s="11" t="str">
        <f ca="1">+WORLDCUP!BD59</f>
        <v>Catar</v>
      </c>
      <c r="F377" s="11" t="str">
        <f ca="1">+WORLDCUP!BD60</f>
        <v>Haití</v>
      </c>
      <c r="G377" s="11" t="str">
        <f ca="1">+WORLDCUP!BD58</f>
        <v>República Checa</v>
      </c>
      <c r="H377" s="11" t="str">
        <f ca="1">+WORLDCUP!BD63</f>
        <v>Suecia</v>
      </c>
      <c r="I377" s="11" t="str">
        <f ca="1">+WORLDCUP!BD69</f>
        <v>Ghana</v>
      </c>
      <c r="J377" s="11" t="str">
        <f ca="1">+WORLDCUP!BD68</f>
        <v>Uzbekistán</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Arabia Saudita</v>
      </c>
      <c r="D378" s="11" t="str">
        <f ca="1">+WORLDCUP!BD67</f>
        <v>Austria</v>
      </c>
      <c r="E378" s="11" t="str">
        <f ca="1">+WORLDCUP!BD59</f>
        <v>Catar</v>
      </c>
      <c r="F378" s="11" t="str">
        <f ca="1">+WORLDCUP!BD60</f>
        <v>Haití</v>
      </c>
      <c r="G378" s="11" t="str">
        <f ca="1">+WORLDCUP!BD58</f>
        <v>República Checa</v>
      </c>
      <c r="H378" s="11" t="str">
        <f ca="1">+WORLDCUP!BD63</f>
        <v>Suecia</v>
      </c>
      <c r="I378" s="11" t="str">
        <f ca="1">+WORLDCUP!BD69</f>
        <v>Ghana</v>
      </c>
      <c r="J378" s="11" t="str">
        <f ca="1">+WORLDCUP!BD68</f>
        <v>Uzbekistán</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Arabia Saudita</v>
      </c>
      <c r="D379" s="11" t="str">
        <f ca="1">+WORLDCUP!BD66</f>
        <v>Irak</v>
      </c>
      <c r="E379" s="11" t="str">
        <f ca="1">+WORLDCUP!BD59</f>
        <v>Catar</v>
      </c>
      <c r="F379" s="11" t="str">
        <f ca="1">+WORLDCUP!BD60</f>
        <v>Haití</v>
      </c>
      <c r="G379" s="11" t="str">
        <f ca="1">+WORLDCUP!BD58</f>
        <v>República Checa</v>
      </c>
      <c r="H379" s="11" t="str">
        <f ca="1">+WORLDCUP!BD63</f>
        <v>Suecia</v>
      </c>
      <c r="I379" s="11" t="str">
        <f ca="1">+WORLDCUP!BD69</f>
        <v>Ghana</v>
      </c>
      <c r="J379" s="11" t="str">
        <f ca="1">+WORLDCUP!BD68</f>
        <v>Uzbekistán</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Arabia Saudita</v>
      </c>
      <c r="D380" s="11" t="str">
        <f ca="1">+WORLDCUP!BD67</f>
        <v>Austria</v>
      </c>
      <c r="E380" s="11" t="str">
        <f ca="1">+WORLDCUP!BD59</f>
        <v>Catar</v>
      </c>
      <c r="F380" s="11" t="str">
        <f ca="1">+WORLDCUP!BD60</f>
        <v>Haití</v>
      </c>
      <c r="G380" s="11" t="str">
        <f ca="1">+WORLDCUP!BD58</f>
        <v>República Checa</v>
      </c>
      <c r="H380" s="11" t="str">
        <f ca="1">+WORLDCUP!BD63</f>
        <v>Suecia</v>
      </c>
      <c r="I380" s="11" t="str">
        <f ca="1">+WORLDCUP!BD69</f>
        <v>Ghana</v>
      </c>
      <c r="J380" s="11" t="str">
        <f ca="1">+WORLDCUP!BD66</f>
        <v>Irak</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Arabia Saudita</v>
      </c>
      <c r="D381" s="11" t="str">
        <f ca="1">+WORLDCUP!BD67</f>
        <v>Austria</v>
      </c>
      <c r="E381" s="11" t="str">
        <f ca="1">+WORLDCUP!BD59</f>
        <v>Catar</v>
      </c>
      <c r="F381" s="11" t="str">
        <f ca="1">+WORLDCUP!BD60</f>
        <v>Haití</v>
      </c>
      <c r="G381" s="11" t="str">
        <f ca="1">+WORLDCUP!BD58</f>
        <v>República Checa</v>
      </c>
      <c r="H381" s="11" t="str">
        <f ca="1">+WORLDCUP!BD63</f>
        <v>Suecia</v>
      </c>
      <c r="I381" s="11" t="str">
        <f ca="1">+WORLDCUP!BD66</f>
        <v>Irak</v>
      </c>
      <c r="J381" s="11" t="str">
        <f ca="1">+WORLDCUP!BD68</f>
        <v>Uzbekistán</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Haití</v>
      </c>
      <c r="D382" s="11" t="str">
        <f ca="1">+WORLDCUP!BD67</f>
        <v>Austria</v>
      </c>
      <c r="E382" s="11" t="str">
        <f ca="1">+WORLDCUP!BD59</f>
        <v>Catar</v>
      </c>
      <c r="F382" s="11" t="str">
        <f ca="1">+WORLDCUP!BD63</f>
        <v>Suecia</v>
      </c>
      <c r="G382" s="11" t="str">
        <f ca="1">+WORLDCUP!BD58</f>
        <v>República Checa</v>
      </c>
      <c r="H382" s="11" t="str">
        <f ca="1">+WORLDCUP!BD64</f>
        <v>Irán</v>
      </c>
      <c r="I382" s="11" t="str">
        <f ca="1">+WORLDCUP!BD69</f>
        <v>Ghana</v>
      </c>
      <c r="J382" s="11" t="str">
        <f ca="1">+WORLDCUP!BD68</f>
        <v>Uzbekistán</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Irak</v>
      </c>
      <c r="D383" s="11" t="str">
        <f ca="1">+WORLDCUP!BD64</f>
        <v>Irán</v>
      </c>
      <c r="E383" s="11" t="str">
        <f ca="1">+WORLDCUP!BD59</f>
        <v>Catar</v>
      </c>
      <c r="F383" s="11" t="str">
        <f ca="1">+WORLDCUP!BD60</f>
        <v>Haití</v>
      </c>
      <c r="G383" s="11" t="str">
        <f ca="1">+WORLDCUP!BD58</f>
        <v>República Checa</v>
      </c>
      <c r="H383" s="11" t="str">
        <f ca="1">+WORLDCUP!BD63</f>
        <v>Suecia</v>
      </c>
      <c r="I383" s="11" t="str">
        <f ca="1">+WORLDCUP!BD69</f>
        <v>Ghana</v>
      </c>
      <c r="J383" s="11" t="str">
        <f ca="1">+WORLDCUP!BD68</f>
        <v>Uzbekistán</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Haití</v>
      </c>
      <c r="D384" s="11" t="str">
        <f ca="1">+WORLDCUP!BD67</f>
        <v>Austria</v>
      </c>
      <c r="E384" s="11" t="str">
        <f ca="1">+WORLDCUP!BD59</f>
        <v>Catar</v>
      </c>
      <c r="F384" s="11" t="str">
        <f ca="1">+WORLDCUP!BD63</f>
        <v>Suecia</v>
      </c>
      <c r="G384" s="11" t="str">
        <f ca="1">+WORLDCUP!BD58</f>
        <v>República Checa</v>
      </c>
      <c r="H384" s="11" t="str">
        <f ca="1">+WORLDCUP!BD64</f>
        <v>Irán</v>
      </c>
      <c r="I384" s="11" t="str">
        <f ca="1">+WORLDCUP!BD69</f>
        <v>Ghana</v>
      </c>
      <c r="J384" s="11" t="str">
        <f ca="1">+WORLDCUP!BD66</f>
        <v>Irak</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Haití</v>
      </c>
      <c r="D385" s="11" t="str">
        <f ca="1">+WORLDCUP!BD67</f>
        <v>Austria</v>
      </c>
      <c r="E385" s="11" t="str">
        <f ca="1">+WORLDCUP!BD59</f>
        <v>Catar</v>
      </c>
      <c r="F385" s="11" t="str">
        <f ca="1">+WORLDCUP!BD63</f>
        <v>Suecia</v>
      </c>
      <c r="G385" s="11" t="str">
        <f ca="1">+WORLDCUP!BD58</f>
        <v>República Checa</v>
      </c>
      <c r="H385" s="11" t="str">
        <f ca="1">+WORLDCUP!BD64</f>
        <v>Irán</v>
      </c>
      <c r="I385" s="11" t="str">
        <f ca="1">+WORLDCUP!BD66</f>
        <v>Irak</v>
      </c>
      <c r="J385" s="11" t="str">
        <f ca="1">+WORLDCUP!BD68</f>
        <v>Uzbekistán</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Arabia Saudita</v>
      </c>
      <c r="D386" s="11" t="str">
        <f ca="1">+WORLDCUP!BD64</f>
        <v>Irán</v>
      </c>
      <c r="E386" s="11" t="str">
        <f ca="1">+WORLDCUP!BD59</f>
        <v>Catar</v>
      </c>
      <c r="F386" s="11" t="str">
        <f ca="1">+WORLDCUP!BD60</f>
        <v>Haití</v>
      </c>
      <c r="G386" s="11" t="str">
        <f ca="1">+WORLDCUP!BD58</f>
        <v>República Checa</v>
      </c>
      <c r="H386" s="11" t="str">
        <f ca="1">+WORLDCUP!BD63</f>
        <v>Suecia</v>
      </c>
      <c r="I386" s="11" t="str">
        <f ca="1">+WORLDCUP!BD69</f>
        <v>Ghana</v>
      </c>
      <c r="J386" s="11" t="str">
        <f ca="1">+WORLDCUP!BD68</f>
        <v>Uzbekistán</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Arabia Saudita</v>
      </c>
      <c r="D387" s="11" t="str">
        <f ca="1">+WORLDCUP!BD64</f>
        <v>Irán</v>
      </c>
      <c r="E387" s="11" t="str">
        <f ca="1">+WORLDCUP!BD59</f>
        <v>Catar</v>
      </c>
      <c r="F387" s="11" t="str">
        <f ca="1">+WORLDCUP!BD60</f>
        <v>Haití</v>
      </c>
      <c r="G387" s="11" t="str">
        <f ca="1">+WORLDCUP!BD58</f>
        <v>República Checa</v>
      </c>
      <c r="H387" s="11" t="str">
        <f ca="1">+WORLDCUP!BD63</f>
        <v>Suecia</v>
      </c>
      <c r="I387" s="11" t="str">
        <f ca="1">+WORLDCUP!BD69</f>
        <v>Ghana</v>
      </c>
      <c r="J387" s="11" t="str">
        <f ca="1">+WORLDCUP!BD67</f>
        <v>Austria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Arabia Saudita</v>
      </c>
      <c r="D388" s="11" t="str">
        <f ca="1">+WORLDCUP!BD64</f>
        <v>Irán</v>
      </c>
      <c r="E388" s="11" t="str">
        <f ca="1">+WORLDCUP!BD59</f>
        <v>Catar</v>
      </c>
      <c r="F388" s="11" t="str">
        <f ca="1">+WORLDCUP!BD60</f>
        <v>Haití</v>
      </c>
      <c r="G388" s="11" t="str">
        <f ca="1">+WORLDCUP!BD58</f>
        <v>República Checa</v>
      </c>
      <c r="H388" s="11" t="str">
        <f ca="1">+WORLDCUP!BD63</f>
        <v>Suecia</v>
      </c>
      <c r="I388" s="11" t="str">
        <f ca="1">+WORLDCUP!BD67</f>
        <v>Austria</v>
      </c>
      <c r="J388" s="11" t="str">
        <f ca="1">+WORLDCUP!BD68</f>
        <v>Uzbekistán</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Arabia Saudita</v>
      </c>
      <c r="D389" s="11" t="str">
        <f ca="1">+WORLDCUP!BD64</f>
        <v>Irán</v>
      </c>
      <c r="E389" s="11" t="str">
        <f ca="1">+WORLDCUP!BD59</f>
        <v>Catar</v>
      </c>
      <c r="F389" s="11" t="str">
        <f ca="1">+WORLDCUP!BD60</f>
        <v>Haití</v>
      </c>
      <c r="G389" s="11" t="str">
        <f ca="1">+WORLDCUP!BD58</f>
        <v>República Checa</v>
      </c>
      <c r="H389" s="11" t="str">
        <f ca="1">+WORLDCUP!BD63</f>
        <v>Suecia</v>
      </c>
      <c r="I389" s="11" t="str">
        <f ca="1">+WORLDCUP!BD69</f>
        <v>Ghana</v>
      </c>
      <c r="J389" s="11" t="str">
        <f ca="1">+WORLDCUP!BD66</f>
        <v>Irak</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Arabia Saudita</v>
      </c>
      <c r="D390" s="11" t="str">
        <f ca="1">+WORLDCUP!BD64</f>
        <v>Irán</v>
      </c>
      <c r="E390" s="11" t="str">
        <f ca="1">+WORLDCUP!BD59</f>
        <v>Catar</v>
      </c>
      <c r="F390" s="11" t="str">
        <f ca="1">+WORLDCUP!BD60</f>
        <v>Haití</v>
      </c>
      <c r="G390" s="11" t="str">
        <f ca="1">+WORLDCUP!BD58</f>
        <v>República Checa</v>
      </c>
      <c r="H390" s="11" t="str">
        <f ca="1">+WORLDCUP!BD63</f>
        <v>Suecia</v>
      </c>
      <c r="I390" s="11" t="str">
        <f ca="1">+WORLDCUP!BD66</f>
        <v>Irak</v>
      </c>
      <c r="J390" s="11" t="str">
        <f ca="1">+WORLDCUP!BD68</f>
        <v>Uzbekistán</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Arabia Saudita</v>
      </c>
      <c r="D391" s="11" t="str">
        <f ca="1">+WORLDCUP!BD64</f>
        <v>Irán</v>
      </c>
      <c r="E391" s="11" t="str">
        <f ca="1">+WORLDCUP!BD59</f>
        <v>Catar</v>
      </c>
      <c r="F391" s="11" t="str">
        <f ca="1">+WORLDCUP!BD60</f>
        <v>Haití</v>
      </c>
      <c r="G391" s="11" t="str">
        <f ca="1">+WORLDCUP!BD58</f>
        <v>República Checa</v>
      </c>
      <c r="H391" s="11" t="str">
        <f ca="1">+WORLDCUP!BD63</f>
        <v>Suecia</v>
      </c>
      <c r="I391" s="11" t="str">
        <f ca="1">+WORLDCUP!BD66</f>
        <v>Irak</v>
      </c>
      <c r="J391" s="11" t="str">
        <f ca="1">+WORLDCUP!BD67</f>
        <v>Austria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Costa de Marfil</v>
      </c>
      <c r="D392" s="11" t="str">
        <f ca="1">+WORLDCUP!BD67</f>
        <v>Austria</v>
      </c>
      <c r="E392" s="11" t="str">
        <f ca="1">+WORLDCUP!BD59</f>
        <v>Catar</v>
      </c>
      <c r="F392" s="11" t="str">
        <f ca="1">+WORLDCUP!BD58</f>
        <v>República Checa</v>
      </c>
      <c r="G392" s="11" t="str">
        <f ca="1">+WORLDCUP!BD66</f>
        <v>Irak</v>
      </c>
      <c r="H392" s="11" t="str">
        <f ca="1">+WORLDCUP!BD60</f>
        <v>Haití</v>
      </c>
      <c r="I392" s="11" t="str">
        <f ca="1">+WORLDCUP!BD69</f>
        <v>Ghana</v>
      </c>
      <c r="J392" s="11" t="str">
        <f ca="1">+WORLDCUP!BD68</f>
        <v>Uzbekistán</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Costa de Marfil</v>
      </c>
      <c r="D393" s="11" t="str">
        <f ca="1">+WORLDCUP!BD67</f>
        <v>Austria</v>
      </c>
      <c r="E393" s="11" t="str">
        <f ca="1">+WORLDCUP!BD59</f>
        <v>Catar</v>
      </c>
      <c r="F393" s="11" t="str">
        <f ca="1">+WORLDCUP!BD60</f>
        <v>Haití</v>
      </c>
      <c r="G393" s="11" t="str">
        <f ca="1">+WORLDCUP!BD58</f>
        <v>República Checa</v>
      </c>
      <c r="H393" s="11" t="str">
        <f ca="1">+WORLDCUP!BD65</f>
        <v>Arabia Saudita</v>
      </c>
      <c r="I393" s="11" t="str">
        <f ca="1">+WORLDCUP!BD69</f>
        <v>Ghana</v>
      </c>
      <c r="J393" s="11" t="str">
        <f ca="1">+WORLDCUP!BD68</f>
        <v>Uzbekistán</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Costa de Marfil</v>
      </c>
      <c r="D394" s="11" t="str">
        <f ca="1">+WORLDCUP!BD66</f>
        <v>Irak</v>
      </c>
      <c r="E394" s="11" t="str">
        <f ca="1">+WORLDCUP!BD59</f>
        <v>Catar</v>
      </c>
      <c r="F394" s="11" t="str">
        <f ca="1">+WORLDCUP!BD60</f>
        <v>Haití</v>
      </c>
      <c r="G394" s="11" t="str">
        <f ca="1">+WORLDCUP!BD58</f>
        <v>República Checa</v>
      </c>
      <c r="H394" s="11" t="str">
        <f ca="1">+WORLDCUP!BD65</f>
        <v>Arabia Saudita</v>
      </c>
      <c r="I394" s="11" t="str">
        <f ca="1">+WORLDCUP!BD69</f>
        <v>Ghana</v>
      </c>
      <c r="J394" s="11" t="str">
        <f ca="1">+WORLDCUP!BD68</f>
        <v>Uzbekistán</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Costa de Marfil</v>
      </c>
      <c r="D395" s="11" t="str">
        <f ca="1">+WORLDCUP!BD67</f>
        <v>Austria</v>
      </c>
      <c r="E395" s="11" t="str">
        <f ca="1">+WORLDCUP!BD59</f>
        <v>Catar</v>
      </c>
      <c r="F395" s="11" t="str">
        <f ca="1">+WORLDCUP!BD60</f>
        <v>Haití</v>
      </c>
      <c r="G395" s="11" t="str">
        <f ca="1">+WORLDCUP!BD58</f>
        <v>República Checa</v>
      </c>
      <c r="H395" s="11" t="str">
        <f ca="1">+WORLDCUP!BD65</f>
        <v>Arabia Saudita</v>
      </c>
      <c r="I395" s="11" t="str">
        <f ca="1">+WORLDCUP!BD69</f>
        <v>Ghana</v>
      </c>
      <c r="J395" s="11" t="str">
        <f ca="1">+WORLDCUP!BD66</f>
        <v>Irak</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Costa de Marfil</v>
      </c>
      <c r="D396" s="11" t="str">
        <f ca="1">+WORLDCUP!BD67</f>
        <v>Austria</v>
      </c>
      <c r="E396" s="11" t="str">
        <f ca="1">+WORLDCUP!BD59</f>
        <v>Catar</v>
      </c>
      <c r="F396" s="11" t="str">
        <f ca="1">+WORLDCUP!BD60</f>
        <v>Haití</v>
      </c>
      <c r="G396" s="11" t="str">
        <f ca="1">+WORLDCUP!BD58</f>
        <v>República Checa</v>
      </c>
      <c r="H396" s="11" t="str">
        <f ca="1">+WORLDCUP!BD65</f>
        <v>Arabia Saudita</v>
      </c>
      <c r="I396" s="11" t="str">
        <f ca="1">+WORLDCUP!BD66</f>
        <v>Irak</v>
      </c>
      <c r="J396" s="11" t="str">
        <f ca="1">+WORLDCUP!BD68</f>
        <v>Uzbekistán</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Costa de Marfil</v>
      </c>
      <c r="D397" s="11" t="str">
        <f ca="1">+WORLDCUP!BD67</f>
        <v>Austria</v>
      </c>
      <c r="E397" s="11" t="str">
        <f ca="1">+WORLDCUP!BD59</f>
        <v>Catar</v>
      </c>
      <c r="F397" s="11" t="str">
        <f ca="1">+WORLDCUP!BD60</f>
        <v>Haití</v>
      </c>
      <c r="G397" s="11" t="str">
        <f ca="1">+WORLDCUP!BD58</f>
        <v>República Checa</v>
      </c>
      <c r="H397" s="11" t="str">
        <f ca="1">+WORLDCUP!BD64</f>
        <v>Irán</v>
      </c>
      <c r="I397" s="11" t="str">
        <f ca="1">+WORLDCUP!BD69</f>
        <v>Ghana</v>
      </c>
      <c r="J397" s="11" t="str">
        <f ca="1">+WORLDCUP!BD68</f>
        <v>Uzbekistán</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Costa de Marfil</v>
      </c>
      <c r="D398" s="11" t="str">
        <f ca="1">+WORLDCUP!BD64</f>
        <v>Irán</v>
      </c>
      <c r="E398" s="11" t="str">
        <f ca="1">+WORLDCUP!BD59</f>
        <v>Catar</v>
      </c>
      <c r="F398" s="11" t="str">
        <f ca="1">+WORLDCUP!BD58</f>
        <v>República Checa</v>
      </c>
      <c r="G398" s="11" t="str">
        <f ca="1">+WORLDCUP!BD66</f>
        <v>Irak</v>
      </c>
      <c r="H398" s="11" t="str">
        <f ca="1">+WORLDCUP!BD60</f>
        <v>Haití</v>
      </c>
      <c r="I398" s="11" t="str">
        <f ca="1">+WORLDCUP!BD69</f>
        <v>Ghana</v>
      </c>
      <c r="J398" s="11" t="str">
        <f ca="1">+WORLDCUP!BD68</f>
        <v>Uzbekistán</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Costa de Marfil</v>
      </c>
      <c r="D399" s="11" t="str">
        <f ca="1">+WORLDCUP!BD67</f>
        <v>Austria</v>
      </c>
      <c r="E399" s="11" t="str">
        <f ca="1">+WORLDCUP!BD59</f>
        <v>Catar</v>
      </c>
      <c r="F399" s="11" t="str">
        <f ca="1">+WORLDCUP!BD60</f>
        <v>Haití</v>
      </c>
      <c r="G399" s="11" t="str">
        <f ca="1">+WORLDCUP!BD58</f>
        <v>República Checa</v>
      </c>
      <c r="H399" s="11" t="str">
        <f ca="1">+WORLDCUP!BD64</f>
        <v>Irán</v>
      </c>
      <c r="I399" s="11" t="str">
        <f ca="1">+WORLDCUP!BD69</f>
        <v>Ghana</v>
      </c>
      <c r="J399" s="11" t="str">
        <f ca="1">+WORLDCUP!BD66</f>
        <v>Irak</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Costa de Marfil</v>
      </c>
      <c r="D400" s="11" t="str">
        <f ca="1">+WORLDCUP!BD67</f>
        <v>Austria</v>
      </c>
      <c r="E400" s="11" t="str">
        <f ca="1">+WORLDCUP!BD59</f>
        <v>Catar</v>
      </c>
      <c r="F400" s="11" t="str">
        <f ca="1">+WORLDCUP!BD60</f>
        <v>Haití</v>
      </c>
      <c r="G400" s="11" t="str">
        <f ca="1">+WORLDCUP!BD58</f>
        <v>República Checa</v>
      </c>
      <c r="H400" s="11" t="str">
        <f ca="1">+WORLDCUP!BD64</f>
        <v>Irán</v>
      </c>
      <c r="I400" s="11" t="str">
        <f ca="1">+WORLDCUP!BD66</f>
        <v>Irak</v>
      </c>
      <c r="J400" s="11" t="str">
        <f ca="1">+WORLDCUP!BD68</f>
        <v>Uzbekistán</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Costa de Marfil</v>
      </c>
      <c r="D401" s="11" t="str">
        <f ca="1">+WORLDCUP!BD64</f>
        <v>Irán</v>
      </c>
      <c r="E401" s="11" t="str">
        <f ca="1">+WORLDCUP!BD59</f>
        <v>Catar</v>
      </c>
      <c r="F401" s="11" t="str">
        <f ca="1">+WORLDCUP!BD60</f>
        <v>Haití</v>
      </c>
      <c r="G401" s="11" t="str">
        <f ca="1">+WORLDCUP!BD58</f>
        <v>República Checa</v>
      </c>
      <c r="H401" s="11" t="str">
        <f ca="1">+WORLDCUP!BD65</f>
        <v>Arabia Saudita</v>
      </c>
      <c r="I401" s="11" t="str">
        <f ca="1">+WORLDCUP!BD69</f>
        <v>Ghana</v>
      </c>
      <c r="J401" s="11" t="str">
        <f ca="1">+WORLDCUP!BD68</f>
        <v>Uzbekistán</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Arabia Saudita</v>
      </c>
      <c r="D402" s="11" t="str">
        <f ca="1">+WORLDCUP!BD67</f>
        <v>Austria</v>
      </c>
      <c r="E402" s="11" t="str">
        <f ca="1">+WORLDCUP!BD59</f>
        <v>Catar</v>
      </c>
      <c r="F402" s="11" t="str">
        <f ca="1">+WORLDCUP!BD60</f>
        <v>Haití</v>
      </c>
      <c r="G402" s="11" t="str">
        <f ca="1">+WORLDCUP!BD58</f>
        <v>República Checa</v>
      </c>
      <c r="H402" s="11" t="str">
        <f ca="1">+WORLDCUP!BD64</f>
        <v>Irán</v>
      </c>
      <c r="I402" s="11" t="str">
        <f ca="1">+WORLDCUP!BD69</f>
        <v>Ghana</v>
      </c>
      <c r="J402" s="11" t="str">
        <f ca="1">+WORLDCUP!BD62</f>
        <v>Costa de Marfil</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Arabia Saudita</v>
      </c>
      <c r="D403" s="11" t="str">
        <f ca="1">+WORLDCUP!BD67</f>
        <v>Austria</v>
      </c>
      <c r="E403" s="11" t="str">
        <f ca="1">+WORLDCUP!BD59</f>
        <v>Catar</v>
      </c>
      <c r="F403" s="11" t="str">
        <f ca="1">+WORLDCUP!BD60</f>
        <v>Haití</v>
      </c>
      <c r="G403" s="11" t="str">
        <f ca="1">+WORLDCUP!BD58</f>
        <v>República Checa</v>
      </c>
      <c r="H403" s="11" t="str">
        <f ca="1">+WORLDCUP!BD64</f>
        <v>Irán</v>
      </c>
      <c r="I403" s="11" t="str">
        <f ca="1">+WORLDCUP!BD62</f>
        <v>Costa de Marfil</v>
      </c>
      <c r="J403" s="11" t="str">
        <f ca="1">+WORLDCUP!BD68</f>
        <v>Uzbekistán</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Costa de Marfil</v>
      </c>
      <c r="D404" s="11" t="str">
        <f ca="1">+WORLDCUP!BD64</f>
        <v>Irán</v>
      </c>
      <c r="E404" s="11" t="str">
        <f ca="1">+WORLDCUP!BD59</f>
        <v>Catar</v>
      </c>
      <c r="F404" s="11" t="str">
        <f ca="1">+WORLDCUP!BD60</f>
        <v>Haití</v>
      </c>
      <c r="G404" s="11" t="str">
        <f ca="1">+WORLDCUP!BD58</f>
        <v>República Checa</v>
      </c>
      <c r="H404" s="11" t="str">
        <f ca="1">+WORLDCUP!BD65</f>
        <v>Arabia Saudita</v>
      </c>
      <c r="I404" s="11" t="str">
        <f ca="1">+WORLDCUP!BD69</f>
        <v>Ghana</v>
      </c>
      <c r="J404" s="11" t="str">
        <f ca="1">+WORLDCUP!BD66</f>
        <v>Irak</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Costa de Marfil</v>
      </c>
      <c r="D405" s="11" t="str">
        <f ca="1">+WORLDCUP!BD64</f>
        <v>Irán</v>
      </c>
      <c r="E405" s="11" t="str">
        <f ca="1">+WORLDCUP!BD59</f>
        <v>Catar</v>
      </c>
      <c r="F405" s="11" t="str">
        <f ca="1">+WORLDCUP!BD60</f>
        <v>Haití</v>
      </c>
      <c r="G405" s="11" t="str">
        <f ca="1">+WORLDCUP!BD58</f>
        <v>República Checa</v>
      </c>
      <c r="H405" s="11" t="str">
        <f ca="1">+WORLDCUP!BD65</f>
        <v>Arabia Saudita</v>
      </c>
      <c r="I405" s="11" t="str">
        <f ca="1">+WORLDCUP!BD66</f>
        <v>Irak</v>
      </c>
      <c r="J405" s="11" t="str">
        <f ca="1">+WORLDCUP!BD68</f>
        <v>Uzbekistán</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Arabia Saudita</v>
      </c>
      <c r="D406" s="11" t="str">
        <f ca="1">+WORLDCUP!BD67</f>
        <v>Austria</v>
      </c>
      <c r="E406" s="11" t="str">
        <f ca="1">+WORLDCUP!BD59</f>
        <v>Catar</v>
      </c>
      <c r="F406" s="11" t="str">
        <f ca="1">+WORLDCUP!BD60</f>
        <v>Haití</v>
      </c>
      <c r="G406" s="11" t="str">
        <f ca="1">+WORLDCUP!BD58</f>
        <v>República Checa</v>
      </c>
      <c r="H406" s="11" t="str">
        <f ca="1">+WORLDCUP!BD64</f>
        <v>Irán</v>
      </c>
      <c r="I406" s="11" t="str">
        <f ca="1">+WORLDCUP!BD62</f>
        <v>Costa de Marfil</v>
      </c>
      <c r="J406" s="11" t="str">
        <f ca="1">+WORLDCUP!BD66</f>
        <v>Irak</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Costa de Marfil</v>
      </c>
      <c r="D407" s="11" t="str">
        <f ca="1">+WORLDCUP!BD67</f>
        <v>Austria</v>
      </c>
      <c r="E407" s="11" t="str">
        <f ca="1">+WORLDCUP!BD59</f>
        <v>Catar</v>
      </c>
      <c r="F407" s="11" t="str">
        <f ca="1">+WORLDCUP!BD60</f>
        <v>Haití</v>
      </c>
      <c r="G407" s="11" t="str">
        <f ca="1">+WORLDCUP!BD58</f>
        <v>República Checa</v>
      </c>
      <c r="H407" s="11" t="str">
        <f ca="1">+WORLDCUP!BD63</f>
        <v>Suecia</v>
      </c>
      <c r="I407" s="11" t="str">
        <f ca="1">+WORLDCUP!BD69</f>
        <v>Ghana</v>
      </c>
      <c r="J407" s="11" t="str">
        <f ca="1">+WORLDCUP!BD68</f>
        <v>Uzbekistán</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Costa de Marfil</v>
      </c>
      <c r="D408" s="11" t="str">
        <f ca="1">+WORLDCUP!BD66</f>
        <v>Irak</v>
      </c>
      <c r="E408" s="11" t="str">
        <f ca="1">+WORLDCUP!BD59</f>
        <v>Catar</v>
      </c>
      <c r="F408" s="11" t="str">
        <f ca="1">+WORLDCUP!BD60</f>
        <v>Haití</v>
      </c>
      <c r="G408" s="11" t="str">
        <f ca="1">+WORLDCUP!BD58</f>
        <v>República Checa</v>
      </c>
      <c r="H408" s="11" t="str">
        <f ca="1">+WORLDCUP!BD63</f>
        <v>Suecia</v>
      </c>
      <c r="I408" s="11" t="str">
        <f ca="1">+WORLDCUP!BD69</f>
        <v>Ghana</v>
      </c>
      <c r="J408" s="11" t="str">
        <f ca="1">+WORLDCUP!BD68</f>
        <v>Uzbekistán</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Costa de Marfil</v>
      </c>
      <c r="D409" s="11" t="str">
        <f ca="1">+WORLDCUP!BD67</f>
        <v>Austria</v>
      </c>
      <c r="E409" s="11" t="str">
        <f ca="1">+WORLDCUP!BD59</f>
        <v>Catar</v>
      </c>
      <c r="F409" s="11" t="str">
        <f ca="1">+WORLDCUP!BD60</f>
        <v>Haití</v>
      </c>
      <c r="G409" s="11" t="str">
        <f ca="1">+WORLDCUP!BD58</f>
        <v>República Checa</v>
      </c>
      <c r="H409" s="11" t="str">
        <f ca="1">+WORLDCUP!BD63</f>
        <v>Suecia</v>
      </c>
      <c r="I409" s="11" t="str">
        <f ca="1">+WORLDCUP!BD69</f>
        <v>Ghana</v>
      </c>
      <c r="J409" s="11" t="str">
        <f ca="1">+WORLDCUP!BD66</f>
        <v>Irak</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Costa de Marfil</v>
      </c>
      <c r="D410" s="11" t="str">
        <f ca="1">+WORLDCUP!BD67</f>
        <v>Austria</v>
      </c>
      <c r="E410" s="11" t="str">
        <f ca="1">+WORLDCUP!BD59</f>
        <v>Catar</v>
      </c>
      <c r="F410" s="11" t="str">
        <f ca="1">+WORLDCUP!BD60</f>
        <v>Haití</v>
      </c>
      <c r="G410" s="11" t="str">
        <f ca="1">+WORLDCUP!BD58</f>
        <v>República Checa</v>
      </c>
      <c r="H410" s="11" t="str">
        <f ca="1">+WORLDCUP!BD63</f>
        <v>Suecia</v>
      </c>
      <c r="I410" s="11" t="str">
        <f ca="1">+WORLDCUP!BD66</f>
        <v>Irak</v>
      </c>
      <c r="J410" s="11" t="str">
        <f ca="1">+WORLDCUP!BD68</f>
        <v>Uzbekistán</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Arabia Saudita</v>
      </c>
      <c r="D411" s="11" t="str">
        <f ca="1">+WORLDCUP!BD62</f>
        <v>Costa de Marfil</v>
      </c>
      <c r="E411" s="11" t="str">
        <f ca="1">+WORLDCUP!BD59</f>
        <v>Catar</v>
      </c>
      <c r="F411" s="11" t="str">
        <f ca="1">+WORLDCUP!BD60</f>
        <v>Haití</v>
      </c>
      <c r="G411" s="11" t="str">
        <f ca="1">+WORLDCUP!BD58</f>
        <v>República Checa</v>
      </c>
      <c r="H411" s="11" t="str">
        <f ca="1">+WORLDCUP!BD63</f>
        <v>Suecia</v>
      </c>
      <c r="I411" s="11" t="str">
        <f ca="1">+WORLDCUP!BD69</f>
        <v>Ghana</v>
      </c>
      <c r="J411" s="11" t="str">
        <f ca="1">+WORLDCUP!BD68</f>
        <v>Uzbekistán</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Arabia Saudita</v>
      </c>
      <c r="D412" s="11" t="str">
        <f ca="1">+WORLDCUP!BD67</f>
        <v>Austria</v>
      </c>
      <c r="E412" s="11" t="str">
        <f ca="1">+WORLDCUP!BD59</f>
        <v>Catar</v>
      </c>
      <c r="F412" s="11" t="str">
        <f ca="1">+WORLDCUP!BD60</f>
        <v>Haití</v>
      </c>
      <c r="G412" s="11" t="str">
        <f ca="1">+WORLDCUP!BD58</f>
        <v>República Checa</v>
      </c>
      <c r="H412" s="11" t="str">
        <f ca="1">+WORLDCUP!BD63</f>
        <v>Suecia</v>
      </c>
      <c r="I412" s="11" t="str">
        <f ca="1">+WORLDCUP!BD69</f>
        <v>Ghana</v>
      </c>
      <c r="J412" s="11" t="str">
        <f ca="1">+WORLDCUP!BD62</f>
        <v>Costa de Marfil</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Arabia Saudita</v>
      </c>
      <c r="D413" s="11" t="str">
        <f ca="1">+WORLDCUP!BD67</f>
        <v>Austria</v>
      </c>
      <c r="E413" s="11" t="str">
        <f ca="1">+WORLDCUP!BD59</f>
        <v>Catar</v>
      </c>
      <c r="F413" s="11" t="str">
        <f ca="1">+WORLDCUP!BD60</f>
        <v>Haití</v>
      </c>
      <c r="G413" s="11" t="str">
        <f ca="1">+WORLDCUP!BD58</f>
        <v>República Checa</v>
      </c>
      <c r="H413" s="11" t="str">
        <f ca="1">+WORLDCUP!BD63</f>
        <v>Suecia</v>
      </c>
      <c r="I413" s="11" t="str">
        <f ca="1">+WORLDCUP!BD62</f>
        <v>Costa de Marfil</v>
      </c>
      <c r="J413" s="11" t="str">
        <f ca="1">+WORLDCUP!BD68</f>
        <v>Uzbekistán</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Arabia Saudita</v>
      </c>
      <c r="D414" s="11" t="str">
        <f ca="1">+WORLDCUP!BD62</f>
        <v>Costa de Marfil</v>
      </c>
      <c r="E414" s="11" t="str">
        <f ca="1">+WORLDCUP!BD59</f>
        <v>Catar</v>
      </c>
      <c r="F414" s="11" t="str">
        <f ca="1">+WORLDCUP!BD60</f>
        <v>Haití</v>
      </c>
      <c r="G414" s="11" t="str">
        <f ca="1">+WORLDCUP!BD58</f>
        <v>República Checa</v>
      </c>
      <c r="H414" s="11" t="str">
        <f ca="1">+WORLDCUP!BD63</f>
        <v>Suecia</v>
      </c>
      <c r="I414" s="11" t="str">
        <f ca="1">+WORLDCUP!BD69</f>
        <v>Ghana</v>
      </c>
      <c r="J414" s="11" t="str">
        <f ca="1">+WORLDCUP!BD66</f>
        <v>Irak</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Arabia Saudita</v>
      </c>
      <c r="D415" s="11" t="str">
        <f ca="1">+WORLDCUP!BD62</f>
        <v>Costa de Marfil</v>
      </c>
      <c r="E415" s="11" t="str">
        <f ca="1">+WORLDCUP!BD59</f>
        <v>Catar</v>
      </c>
      <c r="F415" s="11" t="str">
        <f ca="1">+WORLDCUP!BD60</f>
        <v>Haití</v>
      </c>
      <c r="G415" s="11" t="str">
        <f ca="1">+WORLDCUP!BD58</f>
        <v>República Checa</v>
      </c>
      <c r="H415" s="11" t="str">
        <f ca="1">+WORLDCUP!BD63</f>
        <v>Suecia</v>
      </c>
      <c r="I415" s="11" t="str">
        <f ca="1">+WORLDCUP!BD66</f>
        <v>Irak</v>
      </c>
      <c r="J415" s="11" t="str">
        <f ca="1">+WORLDCUP!BD68</f>
        <v>Uzbekistán</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Arabia Saudita</v>
      </c>
      <c r="D416" s="11" t="str">
        <f ca="1">+WORLDCUP!BD67</f>
        <v>Austria</v>
      </c>
      <c r="E416" s="11" t="str">
        <f ca="1">+WORLDCUP!BD59</f>
        <v>Catar</v>
      </c>
      <c r="F416" s="11" t="str">
        <f ca="1">+WORLDCUP!BD60</f>
        <v>Haití</v>
      </c>
      <c r="G416" s="11" t="str">
        <f ca="1">+WORLDCUP!BD58</f>
        <v>República Checa</v>
      </c>
      <c r="H416" s="11" t="str">
        <f ca="1">+WORLDCUP!BD63</f>
        <v>Suecia</v>
      </c>
      <c r="I416" s="11" t="str">
        <f ca="1">+WORLDCUP!BD62</f>
        <v>Costa de Marfil</v>
      </c>
      <c r="J416" s="11" t="str">
        <f ca="1">+WORLDCUP!BD66</f>
        <v>Irak</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Costa de Marfil</v>
      </c>
      <c r="D417" s="11" t="str">
        <f ca="1">+WORLDCUP!BD64</f>
        <v>Irán</v>
      </c>
      <c r="E417" s="11" t="str">
        <f ca="1">+WORLDCUP!BD59</f>
        <v>Catar</v>
      </c>
      <c r="F417" s="11" t="str">
        <f ca="1">+WORLDCUP!BD60</f>
        <v>Haití</v>
      </c>
      <c r="G417" s="11" t="str">
        <f ca="1">+WORLDCUP!BD58</f>
        <v>República Checa</v>
      </c>
      <c r="H417" s="11" t="str">
        <f ca="1">+WORLDCUP!BD63</f>
        <v>Suecia</v>
      </c>
      <c r="I417" s="11" t="str">
        <f ca="1">+WORLDCUP!BD69</f>
        <v>Ghana</v>
      </c>
      <c r="J417" s="11" t="str">
        <f ca="1">+WORLDCUP!BD68</f>
        <v>Uzbekistán</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Costa de Marfil</v>
      </c>
      <c r="D418" s="11" t="str">
        <f ca="1">+WORLDCUP!BD64</f>
        <v>Irán</v>
      </c>
      <c r="E418" s="11" t="str">
        <f ca="1">+WORLDCUP!BD59</f>
        <v>Catar</v>
      </c>
      <c r="F418" s="11" t="str">
        <f ca="1">+WORLDCUP!BD60</f>
        <v>Haití</v>
      </c>
      <c r="G418" s="11" t="str">
        <f ca="1">+WORLDCUP!BD58</f>
        <v>República Checa</v>
      </c>
      <c r="H418" s="11" t="str">
        <f ca="1">+WORLDCUP!BD63</f>
        <v>Suecia</v>
      </c>
      <c r="I418" s="11" t="str">
        <f ca="1">+WORLDCUP!BD69</f>
        <v>Ghana</v>
      </c>
      <c r="J418" s="11" t="str">
        <f ca="1">+WORLDCUP!BD67</f>
        <v>Austria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Costa de Marfil</v>
      </c>
      <c r="D419" s="11" t="str">
        <f ca="1">+WORLDCUP!BD64</f>
        <v>Irán</v>
      </c>
      <c r="E419" s="11" t="str">
        <f ca="1">+WORLDCUP!BD59</f>
        <v>Catar</v>
      </c>
      <c r="F419" s="11" t="str">
        <f ca="1">+WORLDCUP!BD60</f>
        <v>Haití</v>
      </c>
      <c r="G419" s="11" t="str">
        <f ca="1">+WORLDCUP!BD58</f>
        <v>República Checa</v>
      </c>
      <c r="H419" s="11" t="str">
        <f ca="1">+WORLDCUP!BD63</f>
        <v>Suecia</v>
      </c>
      <c r="I419" s="11" t="str">
        <f ca="1">+WORLDCUP!BD67</f>
        <v>Austria</v>
      </c>
      <c r="J419" s="11" t="str">
        <f ca="1">+WORLDCUP!BD68</f>
        <v>Uzbekistán</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Costa de Marfil</v>
      </c>
      <c r="D420" s="11" t="str">
        <f ca="1">+WORLDCUP!BD64</f>
        <v>Irán</v>
      </c>
      <c r="E420" s="11" t="str">
        <f ca="1">+WORLDCUP!BD59</f>
        <v>Catar</v>
      </c>
      <c r="F420" s="11" t="str">
        <f ca="1">+WORLDCUP!BD60</f>
        <v>Haití</v>
      </c>
      <c r="G420" s="11" t="str">
        <f ca="1">+WORLDCUP!BD58</f>
        <v>República Checa</v>
      </c>
      <c r="H420" s="11" t="str">
        <f ca="1">+WORLDCUP!BD63</f>
        <v>Suecia</v>
      </c>
      <c r="I420" s="11" t="str">
        <f ca="1">+WORLDCUP!BD69</f>
        <v>Ghana</v>
      </c>
      <c r="J420" s="11" t="str">
        <f ca="1">+WORLDCUP!BD66</f>
        <v>Irak</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Costa de Marfil</v>
      </c>
      <c r="D421" s="11" t="str">
        <f ca="1">+WORLDCUP!BD64</f>
        <v>Irán</v>
      </c>
      <c r="E421" s="11" t="str">
        <f ca="1">+WORLDCUP!BD59</f>
        <v>Catar</v>
      </c>
      <c r="F421" s="11" t="str">
        <f ca="1">+WORLDCUP!BD60</f>
        <v>Haití</v>
      </c>
      <c r="G421" s="11" t="str">
        <f ca="1">+WORLDCUP!BD58</f>
        <v>República Checa</v>
      </c>
      <c r="H421" s="11" t="str">
        <f ca="1">+WORLDCUP!BD63</f>
        <v>Suecia</v>
      </c>
      <c r="I421" s="11" t="str">
        <f ca="1">+WORLDCUP!BD66</f>
        <v>Irak</v>
      </c>
      <c r="J421" s="11" t="str">
        <f ca="1">+WORLDCUP!BD68</f>
        <v>Uzbekistán</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Costa de Marfil</v>
      </c>
      <c r="D422" s="11" t="str">
        <f ca="1">+WORLDCUP!BD64</f>
        <v>Irán</v>
      </c>
      <c r="E422" s="11" t="str">
        <f ca="1">+WORLDCUP!BD59</f>
        <v>Catar</v>
      </c>
      <c r="F422" s="11" t="str">
        <f ca="1">+WORLDCUP!BD60</f>
        <v>Haití</v>
      </c>
      <c r="G422" s="11" t="str">
        <f ca="1">+WORLDCUP!BD58</f>
        <v>República Checa</v>
      </c>
      <c r="H422" s="11" t="str">
        <f ca="1">+WORLDCUP!BD63</f>
        <v>Suecia</v>
      </c>
      <c r="I422" s="11" t="str">
        <f ca="1">+WORLDCUP!BD66</f>
        <v>Irak</v>
      </c>
      <c r="J422" s="11" t="str">
        <f ca="1">+WORLDCUP!BD67</f>
        <v>Austria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Arabia Saudita</v>
      </c>
      <c r="D423" s="11" t="str">
        <f ca="1">+WORLDCUP!BD64</f>
        <v>Irán</v>
      </c>
      <c r="E423" s="11" t="str">
        <f ca="1">+WORLDCUP!BD59</f>
        <v>Catar</v>
      </c>
      <c r="F423" s="11" t="str">
        <f ca="1">+WORLDCUP!BD60</f>
        <v>Haití</v>
      </c>
      <c r="G423" s="11" t="str">
        <f ca="1">+WORLDCUP!BD58</f>
        <v>República Checa</v>
      </c>
      <c r="H423" s="11" t="str">
        <f ca="1">+WORLDCUP!BD63</f>
        <v>Suecia</v>
      </c>
      <c r="I423" s="11" t="str">
        <f ca="1">+WORLDCUP!BD69</f>
        <v>Ghana</v>
      </c>
      <c r="J423" s="11" t="str">
        <f ca="1">+WORLDCUP!BD62</f>
        <v>Costa de Marfil</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0</v>
      </c>
      <c r="C424" s="11" t="str">
        <f ca="1">+WORLDCUP!BD65</f>
        <v>Arabia Saudita</v>
      </c>
      <c r="D424" s="11" t="str">
        <f ca="1">+WORLDCUP!BD64</f>
        <v>Irán</v>
      </c>
      <c r="E424" s="11" t="str">
        <f ca="1">+WORLDCUP!BD59</f>
        <v>Catar</v>
      </c>
      <c r="F424" s="11" t="str">
        <f ca="1">+WORLDCUP!BD60</f>
        <v>Haití</v>
      </c>
      <c r="G424" s="11" t="str">
        <f ca="1">+WORLDCUP!BD58</f>
        <v>República Checa</v>
      </c>
      <c r="H424" s="11" t="str">
        <f ca="1">+WORLDCUP!BD63</f>
        <v>Suecia</v>
      </c>
      <c r="I424" s="11" t="str">
        <f ca="1">+WORLDCUP!BD62</f>
        <v>Costa de Marfil</v>
      </c>
      <c r="J424" s="11" t="str">
        <f ca="1">+WORLDCUP!BD68</f>
        <v>Uzbekistán</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Arabia Saudita</v>
      </c>
      <c r="D425" s="11" t="str">
        <f ca="1">+WORLDCUP!BD64</f>
        <v>Irán</v>
      </c>
      <c r="E425" s="11" t="str">
        <f ca="1">+WORLDCUP!BD59</f>
        <v>Catar</v>
      </c>
      <c r="F425" s="11" t="str">
        <f ca="1">+WORLDCUP!BD60</f>
        <v>Haití</v>
      </c>
      <c r="G425" s="11" t="str">
        <f ca="1">+WORLDCUP!BD58</f>
        <v>República Checa</v>
      </c>
      <c r="H425" s="11" t="str">
        <f ca="1">+WORLDCUP!BD63</f>
        <v>Suecia</v>
      </c>
      <c r="I425" s="11" t="str">
        <f ca="1">+WORLDCUP!BD62</f>
        <v>Costa de Marfil</v>
      </c>
      <c r="J425" s="11" t="str">
        <f ca="1">+WORLDCUP!BD67</f>
        <v>Austria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Arabia Saudita</v>
      </c>
      <c r="D426" s="11" t="str">
        <f ca="1">+WORLDCUP!BD64</f>
        <v>Irán</v>
      </c>
      <c r="E426" s="11" t="str">
        <f ca="1">+WORLDCUP!BD59</f>
        <v>Catar</v>
      </c>
      <c r="F426" s="11" t="str">
        <f ca="1">+WORLDCUP!BD60</f>
        <v>Haití</v>
      </c>
      <c r="G426" s="11" t="str">
        <f ca="1">+WORLDCUP!BD58</f>
        <v>República Checa</v>
      </c>
      <c r="H426" s="11" t="str">
        <f ca="1">+WORLDCUP!BD63</f>
        <v>Suecia</v>
      </c>
      <c r="I426" s="11" t="str">
        <f ca="1">+WORLDCUP!BD62</f>
        <v>Costa de Marfil</v>
      </c>
      <c r="J426" s="11" t="str">
        <f ca="1">+WORLDCUP!BD66</f>
        <v>Irak</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Irak</v>
      </c>
      <c r="D427" s="11" t="str">
        <f ca="1">+WORLDCUP!BD67</f>
        <v>Austria</v>
      </c>
      <c r="E427" s="11" t="str">
        <f ca="1">+WORLDCUP!BD59</f>
        <v>Catar</v>
      </c>
      <c r="F427" s="11" t="str">
        <f ca="1">+WORLDCUP!BD60</f>
        <v>Haití</v>
      </c>
      <c r="G427" s="11" t="str">
        <f ca="1">+WORLDCUP!BD58</f>
        <v>República Checa</v>
      </c>
      <c r="H427" s="11" t="str">
        <f ca="1">+WORLDCUP!BD61</f>
        <v>Australia</v>
      </c>
      <c r="I427" s="11" t="str">
        <f ca="1">+WORLDCUP!BD69</f>
        <v>Ghana</v>
      </c>
      <c r="J427" s="11" t="str">
        <f ca="1">+WORLDCUP!BD68</f>
        <v>Uzbekistán</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Arabia Saudita</v>
      </c>
      <c r="D428" s="11" t="str">
        <f ca="1">+WORLDCUP!BD67</f>
        <v>Austria</v>
      </c>
      <c r="E428" s="11" t="str">
        <f ca="1">+WORLDCUP!BD59</f>
        <v>Catar</v>
      </c>
      <c r="F428" s="11" t="str">
        <f ca="1">+WORLDCUP!BD60</f>
        <v>Haití</v>
      </c>
      <c r="G428" s="11" t="str">
        <f ca="1">+WORLDCUP!BD58</f>
        <v>República Checa</v>
      </c>
      <c r="H428" s="11" t="str">
        <f ca="1">+WORLDCUP!BD61</f>
        <v>Australia</v>
      </c>
      <c r="I428" s="11" t="str">
        <f ca="1">+WORLDCUP!BD69</f>
        <v>Ghana</v>
      </c>
      <c r="J428" s="11" t="str">
        <f ca="1">+WORLDCUP!BD68</f>
        <v>Uzbekistán</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Arabia Saudita</v>
      </c>
      <c r="D429" s="11" t="str">
        <f ca="1">+WORLDCUP!BD66</f>
        <v>Irak</v>
      </c>
      <c r="E429" s="11" t="str">
        <f ca="1">+WORLDCUP!BD59</f>
        <v>Catar</v>
      </c>
      <c r="F429" s="11" t="str">
        <f ca="1">+WORLDCUP!BD60</f>
        <v>Haití</v>
      </c>
      <c r="G429" s="11" t="str">
        <f ca="1">+WORLDCUP!BD58</f>
        <v>República Checa</v>
      </c>
      <c r="H429" s="11" t="str">
        <f ca="1">+WORLDCUP!BD61</f>
        <v>Australia</v>
      </c>
      <c r="I429" s="11" t="str">
        <f ca="1">+WORLDCUP!BD69</f>
        <v>Ghana</v>
      </c>
      <c r="J429" s="11" t="str">
        <f ca="1">+WORLDCUP!BD68</f>
        <v>Uzbekistán</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Arabia Saudita</v>
      </c>
      <c r="D430" s="11" t="str">
        <f ca="1">+WORLDCUP!BD67</f>
        <v>Austria</v>
      </c>
      <c r="E430" s="11" t="str">
        <f ca="1">+WORLDCUP!BD59</f>
        <v>Catar</v>
      </c>
      <c r="F430" s="11" t="str">
        <f ca="1">+WORLDCUP!BD60</f>
        <v>Haití</v>
      </c>
      <c r="G430" s="11" t="str">
        <f ca="1">+WORLDCUP!BD58</f>
        <v>República Checa</v>
      </c>
      <c r="H430" s="11" t="str">
        <f ca="1">+WORLDCUP!BD61</f>
        <v>Australia</v>
      </c>
      <c r="I430" s="11" t="str">
        <f ca="1">+WORLDCUP!BD69</f>
        <v>Ghana</v>
      </c>
      <c r="J430" s="11" t="str">
        <f ca="1">+WORLDCUP!BD66</f>
        <v>Irak</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Arabia Saudita</v>
      </c>
      <c r="D431" s="11" t="str">
        <f ca="1">+WORLDCUP!BD67</f>
        <v>Austria</v>
      </c>
      <c r="E431" s="11" t="str">
        <f ca="1">+WORLDCUP!BD59</f>
        <v>Catar</v>
      </c>
      <c r="F431" s="11" t="str">
        <f ca="1">+WORLDCUP!BD60</f>
        <v>Haití</v>
      </c>
      <c r="G431" s="11" t="str">
        <f ca="1">+WORLDCUP!BD58</f>
        <v>República Checa</v>
      </c>
      <c r="H431" s="11" t="str">
        <f ca="1">+WORLDCUP!BD61</f>
        <v>Australia</v>
      </c>
      <c r="I431" s="11" t="str">
        <f ca="1">+WORLDCUP!BD66</f>
        <v>Irak</v>
      </c>
      <c r="J431" s="11" t="str">
        <f ca="1">+WORLDCUP!BD68</f>
        <v>Uzbekistán</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Haití</v>
      </c>
      <c r="D432" s="11" t="str">
        <f ca="1">+WORLDCUP!BD67</f>
        <v>Austria</v>
      </c>
      <c r="E432" s="11" t="str">
        <f ca="1">+WORLDCUP!BD59</f>
        <v>Catar</v>
      </c>
      <c r="F432" s="11" t="str">
        <f ca="1">+WORLDCUP!BD61</f>
        <v>Australia</v>
      </c>
      <c r="G432" s="11" t="str">
        <f ca="1">+WORLDCUP!BD58</f>
        <v>República Checa</v>
      </c>
      <c r="H432" s="11" t="str">
        <f ca="1">+WORLDCUP!BD64</f>
        <v>Irán</v>
      </c>
      <c r="I432" s="11" t="str">
        <f ca="1">+WORLDCUP!BD69</f>
        <v>Ghana</v>
      </c>
      <c r="J432" s="11" t="str">
        <f ca="1">+WORLDCUP!BD68</f>
        <v>Uzbekistán</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Irak</v>
      </c>
      <c r="D433" s="11" t="str">
        <f ca="1">+WORLDCUP!BD64</f>
        <v>Irán</v>
      </c>
      <c r="E433" s="11" t="str">
        <f ca="1">+WORLDCUP!BD59</f>
        <v>Catar</v>
      </c>
      <c r="F433" s="11" t="str">
        <f ca="1">+WORLDCUP!BD60</f>
        <v>Haití</v>
      </c>
      <c r="G433" s="11" t="str">
        <f ca="1">+WORLDCUP!BD58</f>
        <v>República Checa</v>
      </c>
      <c r="H433" s="11" t="str">
        <f ca="1">+WORLDCUP!BD61</f>
        <v>Australia</v>
      </c>
      <c r="I433" s="11" t="str">
        <f ca="1">+WORLDCUP!BD69</f>
        <v>Ghana</v>
      </c>
      <c r="J433" s="11" t="str">
        <f ca="1">+WORLDCUP!BD68</f>
        <v>Uzbekistán</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Haití</v>
      </c>
      <c r="D434" s="11" t="str">
        <f ca="1">+WORLDCUP!BD67</f>
        <v>Austria</v>
      </c>
      <c r="E434" s="11" t="str">
        <f ca="1">+WORLDCUP!BD59</f>
        <v>Catar</v>
      </c>
      <c r="F434" s="11" t="str">
        <f ca="1">+WORLDCUP!BD61</f>
        <v>Australia</v>
      </c>
      <c r="G434" s="11" t="str">
        <f ca="1">+WORLDCUP!BD58</f>
        <v>República Checa</v>
      </c>
      <c r="H434" s="11" t="str">
        <f ca="1">+WORLDCUP!BD64</f>
        <v>Irán</v>
      </c>
      <c r="I434" s="11" t="str">
        <f ca="1">+WORLDCUP!BD69</f>
        <v>Ghana</v>
      </c>
      <c r="J434" s="11" t="str">
        <f ca="1">+WORLDCUP!BD66</f>
        <v>Irak</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Haití</v>
      </c>
      <c r="D435" s="11" t="str">
        <f ca="1">+WORLDCUP!BD67</f>
        <v>Austria</v>
      </c>
      <c r="E435" s="11" t="str">
        <f ca="1">+WORLDCUP!BD59</f>
        <v>Catar</v>
      </c>
      <c r="F435" s="11" t="str">
        <f ca="1">+WORLDCUP!BD61</f>
        <v>Australia</v>
      </c>
      <c r="G435" s="11" t="str">
        <f ca="1">+WORLDCUP!BD58</f>
        <v>República Checa</v>
      </c>
      <c r="H435" s="11" t="str">
        <f ca="1">+WORLDCUP!BD64</f>
        <v>Irán</v>
      </c>
      <c r="I435" s="11" t="str">
        <f ca="1">+WORLDCUP!BD66</f>
        <v>Irak</v>
      </c>
      <c r="J435" s="11" t="str">
        <f ca="1">+WORLDCUP!BD68</f>
        <v>Uzbekistán</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Arabia Saudita</v>
      </c>
      <c r="D436" s="11" t="str">
        <f ca="1">+WORLDCUP!BD64</f>
        <v>Irán</v>
      </c>
      <c r="E436" s="11" t="str">
        <f ca="1">+WORLDCUP!BD59</f>
        <v>Catar</v>
      </c>
      <c r="F436" s="11" t="str">
        <f ca="1">+WORLDCUP!BD60</f>
        <v>Haití</v>
      </c>
      <c r="G436" s="11" t="str">
        <f ca="1">+WORLDCUP!BD58</f>
        <v>República Checa</v>
      </c>
      <c r="H436" s="11" t="str">
        <f ca="1">+WORLDCUP!BD61</f>
        <v>Australia</v>
      </c>
      <c r="I436" s="11" t="str">
        <f ca="1">+WORLDCUP!BD69</f>
        <v>Ghana</v>
      </c>
      <c r="J436" s="11" t="str">
        <f ca="1">+WORLDCUP!BD68</f>
        <v>Uzbekistán</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Arabia Saudita</v>
      </c>
      <c r="D437" s="11" t="str">
        <f ca="1">+WORLDCUP!BD64</f>
        <v>Irán</v>
      </c>
      <c r="E437" s="11" t="str">
        <f ca="1">+WORLDCUP!BD59</f>
        <v>Catar</v>
      </c>
      <c r="F437" s="11" t="str">
        <f ca="1">+WORLDCUP!BD60</f>
        <v>Haití</v>
      </c>
      <c r="G437" s="11" t="str">
        <f ca="1">+WORLDCUP!BD58</f>
        <v>República Checa</v>
      </c>
      <c r="H437" s="11" t="str">
        <f ca="1">+WORLDCUP!BD61</f>
        <v>Australia</v>
      </c>
      <c r="I437" s="11" t="str">
        <f ca="1">+WORLDCUP!BD69</f>
        <v>Ghana</v>
      </c>
      <c r="J437" s="11" t="str">
        <f ca="1">+WORLDCUP!BD67</f>
        <v>Austria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Arabia Saudita</v>
      </c>
      <c r="D438" s="11" t="str">
        <f ca="1">+WORLDCUP!BD64</f>
        <v>Irán</v>
      </c>
      <c r="E438" s="11" t="str">
        <f ca="1">+WORLDCUP!BD59</f>
        <v>Catar</v>
      </c>
      <c r="F438" s="11" t="str">
        <f ca="1">+WORLDCUP!BD60</f>
        <v>Haití</v>
      </c>
      <c r="G438" s="11" t="str">
        <f ca="1">+WORLDCUP!BD58</f>
        <v>República Checa</v>
      </c>
      <c r="H438" s="11" t="str">
        <f ca="1">+WORLDCUP!BD61</f>
        <v>Australia</v>
      </c>
      <c r="I438" s="11" t="str">
        <f ca="1">+WORLDCUP!BD67</f>
        <v>Austria</v>
      </c>
      <c r="J438" s="11" t="str">
        <f ca="1">+WORLDCUP!BD68</f>
        <v>Uzbekistán</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Arabia Saudita</v>
      </c>
      <c r="D439" s="11" t="str">
        <f ca="1">+WORLDCUP!BD64</f>
        <v>Irán</v>
      </c>
      <c r="E439" s="11" t="str">
        <f ca="1">+WORLDCUP!BD59</f>
        <v>Catar</v>
      </c>
      <c r="F439" s="11" t="str">
        <f ca="1">+WORLDCUP!BD60</f>
        <v>Haití</v>
      </c>
      <c r="G439" s="11" t="str">
        <f ca="1">+WORLDCUP!BD58</f>
        <v>República Checa</v>
      </c>
      <c r="H439" s="11" t="str">
        <f ca="1">+WORLDCUP!BD61</f>
        <v>Australia</v>
      </c>
      <c r="I439" s="11" t="str">
        <f ca="1">+WORLDCUP!BD69</f>
        <v>Ghana</v>
      </c>
      <c r="J439" s="11" t="str">
        <f ca="1">+WORLDCUP!BD66</f>
        <v>Irak</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Arabia Saudita</v>
      </c>
      <c r="D440" s="11" t="str">
        <f ca="1">+WORLDCUP!BD64</f>
        <v>Irán</v>
      </c>
      <c r="E440" s="11" t="str">
        <f ca="1">+WORLDCUP!BD59</f>
        <v>Catar</v>
      </c>
      <c r="F440" s="11" t="str">
        <f ca="1">+WORLDCUP!BD60</f>
        <v>Haití</v>
      </c>
      <c r="G440" s="11" t="str">
        <f ca="1">+WORLDCUP!BD58</f>
        <v>República Checa</v>
      </c>
      <c r="H440" s="11" t="str">
        <f ca="1">+WORLDCUP!BD61</f>
        <v>Australia</v>
      </c>
      <c r="I440" s="11" t="str">
        <f ca="1">+WORLDCUP!BD66</f>
        <v>Irak</v>
      </c>
      <c r="J440" s="11" t="str">
        <f ca="1">+WORLDCUP!BD68</f>
        <v>Uzbekistán</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Arabia Saudita</v>
      </c>
      <c r="D441" s="11" t="str">
        <f ca="1">+WORLDCUP!BD64</f>
        <v>Irán</v>
      </c>
      <c r="E441" s="11" t="str">
        <f ca="1">+WORLDCUP!BD59</f>
        <v>Catar</v>
      </c>
      <c r="F441" s="11" t="str">
        <f ca="1">+WORLDCUP!BD60</f>
        <v>Haití</v>
      </c>
      <c r="G441" s="11" t="str">
        <f ca="1">+WORLDCUP!BD58</f>
        <v>República Checa</v>
      </c>
      <c r="H441" s="11" t="str">
        <f ca="1">+WORLDCUP!BD61</f>
        <v>Australia</v>
      </c>
      <c r="I441" s="11" t="str">
        <f ca="1">+WORLDCUP!BD66</f>
        <v>Irak</v>
      </c>
      <c r="J441" s="11" t="str">
        <f ca="1">+WORLDCUP!BD67</f>
        <v>Austria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Haití</v>
      </c>
      <c r="D442" s="11" t="str">
        <f ca="1">+WORLDCUP!BD67</f>
        <v>Austria</v>
      </c>
      <c r="E442" s="11" t="str">
        <f ca="1">+WORLDCUP!BD59</f>
        <v>Catar</v>
      </c>
      <c r="F442" s="11" t="str">
        <f ca="1">+WORLDCUP!BD61</f>
        <v>Australia</v>
      </c>
      <c r="G442" s="11" t="str">
        <f ca="1">+WORLDCUP!BD58</f>
        <v>República Checa</v>
      </c>
      <c r="H442" s="11" t="str">
        <f ca="1">+WORLDCUP!BD63</f>
        <v>Suecia</v>
      </c>
      <c r="I442" s="11" t="str">
        <f ca="1">+WORLDCUP!BD69</f>
        <v>Ghana</v>
      </c>
      <c r="J442" s="11" t="str">
        <f ca="1">+WORLDCUP!BD68</f>
        <v>Uzbekistán</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Haití</v>
      </c>
      <c r="D443" s="11" t="str">
        <f ca="1">+WORLDCUP!BD66</f>
        <v>Irak</v>
      </c>
      <c r="E443" s="11" t="str">
        <f ca="1">+WORLDCUP!BD59</f>
        <v>Catar</v>
      </c>
      <c r="F443" s="11" t="str">
        <f ca="1">+WORLDCUP!BD61</f>
        <v>Australia</v>
      </c>
      <c r="G443" s="11" t="str">
        <f ca="1">+WORLDCUP!BD58</f>
        <v>República Checa</v>
      </c>
      <c r="H443" s="11" t="str">
        <f ca="1">+WORLDCUP!BD63</f>
        <v>Suecia</v>
      </c>
      <c r="I443" s="11" t="str">
        <f ca="1">+WORLDCUP!BD69</f>
        <v>Ghana</v>
      </c>
      <c r="J443" s="11" t="str">
        <f ca="1">+WORLDCUP!BD68</f>
        <v>Uzbekistán</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Haití</v>
      </c>
      <c r="D444" s="11" t="str">
        <f ca="1">+WORLDCUP!BD67</f>
        <v>Austria</v>
      </c>
      <c r="E444" s="11" t="str">
        <f ca="1">+WORLDCUP!BD59</f>
        <v>Catar</v>
      </c>
      <c r="F444" s="11" t="str">
        <f ca="1">+WORLDCUP!BD61</f>
        <v>Australia</v>
      </c>
      <c r="G444" s="11" t="str">
        <f ca="1">+WORLDCUP!BD58</f>
        <v>República Checa</v>
      </c>
      <c r="H444" s="11" t="str">
        <f ca="1">+WORLDCUP!BD63</f>
        <v>Suecia</v>
      </c>
      <c r="I444" s="11" t="str">
        <f ca="1">+WORLDCUP!BD69</f>
        <v>Ghana</v>
      </c>
      <c r="J444" s="11" t="str">
        <f ca="1">+WORLDCUP!BD66</f>
        <v>Irak</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Haití</v>
      </c>
      <c r="D445" s="11" t="str">
        <f ca="1">+WORLDCUP!BD67</f>
        <v>Austria</v>
      </c>
      <c r="E445" s="11" t="str">
        <f ca="1">+WORLDCUP!BD59</f>
        <v>Catar</v>
      </c>
      <c r="F445" s="11" t="str">
        <f ca="1">+WORLDCUP!BD61</f>
        <v>Australia</v>
      </c>
      <c r="G445" s="11" t="str">
        <f ca="1">+WORLDCUP!BD58</f>
        <v>República Checa</v>
      </c>
      <c r="H445" s="11" t="str">
        <f ca="1">+WORLDCUP!BD63</f>
        <v>Suecia</v>
      </c>
      <c r="I445" s="11" t="str">
        <f ca="1">+WORLDCUP!BD66</f>
        <v>Irak</v>
      </c>
      <c r="J445" s="11" t="str">
        <f ca="1">+WORLDCUP!BD68</f>
        <v>Uzbekistán</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Arabia Saudita</v>
      </c>
      <c r="D446" s="11" t="str">
        <f ca="1">+WORLDCUP!BD63</f>
        <v>Suecia</v>
      </c>
      <c r="E446" s="11" t="str">
        <f ca="1">+WORLDCUP!BD59</f>
        <v>Catar</v>
      </c>
      <c r="F446" s="11" t="str">
        <f ca="1">+WORLDCUP!BD60</f>
        <v>Haití</v>
      </c>
      <c r="G446" s="11" t="str">
        <f ca="1">+WORLDCUP!BD58</f>
        <v>República Checa</v>
      </c>
      <c r="H446" s="11" t="str">
        <f ca="1">+WORLDCUP!BD61</f>
        <v>Australia</v>
      </c>
      <c r="I446" s="11" t="str">
        <f ca="1">+WORLDCUP!BD69</f>
        <v>Ghana</v>
      </c>
      <c r="J446" s="11" t="str">
        <f ca="1">+WORLDCUP!BD68</f>
        <v>Uzbekistán</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Haití</v>
      </c>
      <c r="D447" s="11" t="str">
        <f ca="1">+WORLDCUP!BD67</f>
        <v>Austria</v>
      </c>
      <c r="E447" s="11" t="str">
        <f ca="1">+WORLDCUP!BD59</f>
        <v>Catar</v>
      </c>
      <c r="F447" s="11" t="str">
        <f ca="1">+WORLDCUP!BD61</f>
        <v>Australia</v>
      </c>
      <c r="G447" s="11" t="str">
        <f ca="1">+WORLDCUP!BD58</f>
        <v>República Checa</v>
      </c>
      <c r="H447" s="11" t="str">
        <f ca="1">+WORLDCUP!BD63</f>
        <v>Suecia</v>
      </c>
      <c r="I447" s="11" t="str">
        <f ca="1">+WORLDCUP!BD69</f>
        <v>Ghana</v>
      </c>
      <c r="J447" s="11" t="str">
        <f ca="1">+WORLDCUP!BD65</f>
        <v>Arabia Saudita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Arabia Saudita</v>
      </c>
      <c r="D448" s="11" t="str">
        <f ca="1">+WORLDCUP!BD67</f>
        <v>Austria</v>
      </c>
      <c r="E448" s="11" t="str">
        <f ca="1">+WORLDCUP!BD59</f>
        <v>Catar</v>
      </c>
      <c r="F448" s="11" t="str">
        <f ca="1">+WORLDCUP!BD60</f>
        <v>Haití</v>
      </c>
      <c r="G448" s="11" t="str">
        <f ca="1">+WORLDCUP!BD58</f>
        <v>República Checa</v>
      </c>
      <c r="H448" s="11" t="str">
        <f ca="1">+WORLDCUP!BD63</f>
        <v>Suecia</v>
      </c>
      <c r="I448" s="11" t="str">
        <f ca="1">+WORLDCUP!BD61</f>
        <v>Australia</v>
      </c>
      <c r="J448" s="11" t="str">
        <f ca="1">+WORLDCUP!BD68</f>
        <v>Uzbekistán</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Arabia Saudita</v>
      </c>
      <c r="D449" s="11" t="str">
        <f ca="1">+WORLDCUP!BD63</f>
        <v>Suecia</v>
      </c>
      <c r="E449" s="11" t="str">
        <f ca="1">+WORLDCUP!BD59</f>
        <v>Catar</v>
      </c>
      <c r="F449" s="11" t="str">
        <f ca="1">+WORLDCUP!BD60</f>
        <v>Haití</v>
      </c>
      <c r="G449" s="11" t="str">
        <f ca="1">+WORLDCUP!BD58</f>
        <v>República Checa</v>
      </c>
      <c r="H449" s="11" t="str">
        <f ca="1">+WORLDCUP!BD61</f>
        <v>Australia</v>
      </c>
      <c r="I449" s="11" t="str">
        <f ca="1">+WORLDCUP!BD69</f>
        <v>Ghana</v>
      </c>
      <c r="J449" s="11" t="str">
        <f ca="1">+WORLDCUP!BD66</f>
        <v>Irak</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Arabia Saudita</v>
      </c>
      <c r="D450" s="11" t="str">
        <f ca="1">+WORLDCUP!BD63</f>
        <v>Suecia</v>
      </c>
      <c r="E450" s="11" t="str">
        <f ca="1">+WORLDCUP!BD59</f>
        <v>Catar</v>
      </c>
      <c r="F450" s="11" t="str">
        <f ca="1">+WORLDCUP!BD60</f>
        <v>Haití</v>
      </c>
      <c r="G450" s="11" t="str">
        <f ca="1">+WORLDCUP!BD58</f>
        <v>República Checa</v>
      </c>
      <c r="H450" s="11" t="str">
        <f ca="1">+WORLDCUP!BD61</f>
        <v>Australia</v>
      </c>
      <c r="I450" s="11" t="str">
        <f ca="1">+WORLDCUP!BD66</f>
        <v>Irak</v>
      </c>
      <c r="J450" s="11" t="str">
        <f ca="1">+WORLDCUP!BD68</f>
        <v>Uzbekistán</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Arabia Saudita</v>
      </c>
      <c r="D451" s="11" t="str">
        <f ca="1">+WORLDCUP!BD67</f>
        <v>Austria</v>
      </c>
      <c r="E451" s="11" t="str">
        <f ca="1">+WORLDCUP!BD59</f>
        <v>Catar</v>
      </c>
      <c r="F451" s="11" t="str">
        <f ca="1">+WORLDCUP!BD60</f>
        <v>Haití</v>
      </c>
      <c r="G451" s="11" t="str">
        <f ca="1">+WORLDCUP!BD58</f>
        <v>República Checa</v>
      </c>
      <c r="H451" s="11" t="str">
        <f ca="1">+WORLDCUP!BD63</f>
        <v>Suecia</v>
      </c>
      <c r="I451" s="11" t="str">
        <f ca="1">+WORLDCUP!BD61</f>
        <v>Australia</v>
      </c>
      <c r="J451" s="11" t="str">
        <f ca="1">+WORLDCUP!BD66</f>
        <v>Irak</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Haití</v>
      </c>
      <c r="D452" s="11" t="str">
        <f ca="1">+WORLDCUP!BD64</f>
        <v>Irán</v>
      </c>
      <c r="E452" s="11" t="str">
        <f ca="1">+WORLDCUP!BD59</f>
        <v>Catar</v>
      </c>
      <c r="F452" s="11" t="str">
        <f ca="1">+WORLDCUP!BD61</f>
        <v>Australia</v>
      </c>
      <c r="G452" s="11" t="str">
        <f ca="1">+WORLDCUP!BD58</f>
        <v>República Checa</v>
      </c>
      <c r="H452" s="11" t="str">
        <f ca="1">+WORLDCUP!BD63</f>
        <v>Suecia</v>
      </c>
      <c r="I452" s="11" t="str">
        <f ca="1">+WORLDCUP!BD69</f>
        <v>Ghana</v>
      </c>
      <c r="J452" s="11" t="str">
        <f ca="1">+WORLDCUP!BD68</f>
        <v>Uzbekistán</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Haití</v>
      </c>
      <c r="D453" s="11" t="str">
        <f ca="1">+WORLDCUP!BD64</f>
        <v>Irán</v>
      </c>
      <c r="E453" s="11" t="str">
        <f ca="1">+WORLDCUP!BD59</f>
        <v>Catar</v>
      </c>
      <c r="F453" s="11" t="str">
        <f ca="1">+WORLDCUP!BD61</f>
        <v>Australia</v>
      </c>
      <c r="G453" s="11" t="str">
        <f ca="1">+WORLDCUP!BD58</f>
        <v>República Checa</v>
      </c>
      <c r="H453" s="11" t="str">
        <f ca="1">+WORLDCUP!BD63</f>
        <v>Suecia</v>
      </c>
      <c r="I453" s="11" t="str">
        <f ca="1">+WORLDCUP!BD69</f>
        <v>Ghana</v>
      </c>
      <c r="J453" s="11" t="str">
        <f ca="1">+WORLDCUP!BD67</f>
        <v>Austria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Haití</v>
      </c>
      <c r="D454" s="11" t="str">
        <f ca="1">+WORLDCUP!BD64</f>
        <v>Irán</v>
      </c>
      <c r="E454" s="11" t="str">
        <f ca="1">+WORLDCUP!BD59</f>
        <v>Catar</v>
      </c>
      <c r="F454" s="11" t="str">
        <f ca="1">+WORLDCUP!BD61</f>
        <v>Australia</v>
      </c>
      <c r="G454" s="11" t="str">
        <f ca="1">+WORLDCUP!BD58</f>
        <v>República Checa</v>
      </c>
      <c r="H454" s="11" t="str">
        <f ca="1">+WORLDCUP!BD63</f>
        <v>Suecia</v>
      </c>
      <c r="I454" s="11" t="str">
        <f ca="1">+WORLDCUP!BD67</f>
        <v>Austria</v>
      </c>
      <c r="J454" s="11" t="str">
        <f ca="1">+WORLDCUP!BD68</f>
        <v>Uzbekistán</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Haití</v>
      </c>
      <c r="D455" s="11" t="str">
        <f ca="1">+WORLDCUP!BD64</f>
        <v>Irán</v>
      </c>
      <c r="E455" s="11" t="str">
        <f ca="1">+WORLDCUP!BD59</f>
        <v>Catar</v>
      </c>
      <c r="F455" s="11" t="str">
        <f ca="1">+WORLDCUP!BD61</f>
        <v>Australia</v>
      </c>
      <c r="G455" s="11" t="str">
        <f ca="1">+WORLDCUP!BD58</f>
        <v>República Checa</v>
      </c>
      <c r="H455" s="11" t="str">
        <f ca="1">+WORLDCUP!BD63</f>
        <v>Suecia</v>
      </c>
      <c r="I455" s="11" t="str">
        <f ca="1">+WORLDCUP!BD69</f>
        <v>Ghana</v>
      </c>
      <c r="J455" s="11" t="str">
        <f ca="1">+WORLDCUP!BD66</f>
        <v>Irak</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Haití</v>
      </c>
      <c r="D456" s="11" t="str">
        <f ca="1">+WORLDCUP!BD64</f>
        <v>Irán</v>
      </c>
      <c r="E456" s="11" t="str">
        <f ca="1">+WORLDCUP!BD59</f>
        <v>Catar</v>
      </c>
      <c r="F456" s="11" t="str">
        <f ca="1">+WORLDCUP!BD61</f>
        <v>Australia</v>
      </c>
      <c r="G456" s="11" t="str">
        <f ca="1">+WORLDCUP!BD58</f>
        <v>República Checa</v>
      </c>
      <c r="H456" s="11" t="str">
        <f ca="1">+WORLDCUP!BD63</f>
        <v>Suecia</v>
      </c>
      <c r="I456" s="11" t="str">
        <f ca="1">+WORLDCUP!BD66</f>
        <v>Irak</v>
      </c>
      <c r="J456" s="11" t="str">
        <f ca="1">+WORLDCUP!BD68</f>
        <v>Uzbekistán</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Haití</v>
      </c>
      <c r="D457" s="11" t="str">
        <f ca="1">+WORLDCUP!BD64</f>
        <v>Irán</v>
      </c>
      <c r="E457" s="11" t="str">
        <f ca="1">+WORLDCUP!BD59</f>
        <v>Catar</v>
      </c>
      <c r="F457" s="11" t="str">
        <f ca="1">+WORLDCUP!BD61</f>
        <v>Australia</v>
      </c>
      <c r="G457" s="11" t="str">
        <f ca="1">+WORLDCUP!BD58</f>
        <v>República Checa</v>
      </c>
      <c r="H457" s="11" t="str">
        <f ca="1">+WORLDCUP!BD63</f>
        <v>Suecia</v>
      </c>
      <c r="I457" s="11" t="str">
        <f ca="1">+WORLDCUP!BD66</f>
        <v>Irak</v>
      </c>
      <c r="J457" s="11" t="str">
        <f ca="1">+WORLDCUP!BD67</f>
        <v>Austria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Haití</v>
      </c>
      <c r="D458" s="11" t="str">
        <f ca="1">+WORLDCUP!BD64</f>
        <v>Irán</v>
      </c>
      <c r="E458" s="11" t="str">
        <f ca="1">+WORLDCUP!BD59</f>
        <v>Catar</v>
      </c>
      <c r="F458" s="11" t="str">
        <f ca="1">+WORLDCUP!BD61</f>
        <v>Australia</v>
      </c>
      <c r="G458" s="11" t="str">
        <f ca="1">+WORLDCUP!BD58</f>
        <v>República Checa</v>
      </c>
      <c r="H458" s="11" t="str">
        <f ca="1">+WORLDCUP!BD63</f>
        <v>Suecia</v>
      </c>
      <c r="I458" s="11" t="str">
        <f ca="1">+WORLDCUP!BD69</f>
        <v>Ghana</v>
      </c>
      <c r="J458" s="11" t="str">
        <f ca="1">+WORLDCUP!BD65</f>
        <v>Arabia Saudita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Arabia Saudita</v>
      </c>
      <c r="D459" s="11" t="str">
        <f ca="1">+WORLDCUP!BD64</f>
        <v>Irán</v>
      </c>
      <c r="E459" s="11" t="str">
        <f ca="1">+WORLDCUP!BD59</f>
        <v>Catar</v>
      </c>
      <c r="F459" s="11" t="str">
        <f ca="1">+WORLDCUP!BD60</f>
        <v>Haití</v>
      </c>
      <c r="G459" s="11" t="str">
        <f ca="1">+WORLDCUP!BD58</f>
        <v>República Checa</v>
      </c>
      <c r="H459" s="11" t="str">
        <f ca="1">+WORLDCUP!BD63</f>
        <v>Suecia</v>
      </c>
      <c r="I459" s="11" t="str">
        <f ca="1">+WORLDCUP!BD61</f>
        <v>Australia</v>
      </c>
      <c r="J459" s="11" t="str">
        <f ca="1">+WORLDCUP!BD68</f>
        <v>Uzbekistán</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Arabia Saudita</v>
      </c>
      <c r="D460" s="11" t="str">
        <f ca="1">+WORLDCUP!BD64</f>
        <v>Irán</v>
      </c>
      <c r="E460" s="11" t="str">
        <f ca="1">+WORLDCUP!BD59</f>
        <v>Catar</v>
      </c>
      <c r="F460" s="11" t="str">
        <f ca="1">+WORLDCUP!BD60</f>
        <v>Haití</v>
      </c>
      <c r="G460" s="11" t="str">
        <f ca="1">+WORLDCUP!BD58</f>
        <v>República Checa</v>
      </c>
      <c r="H460" s="11" t="str">
        <f ca="1">+WORLDCUP!BD63</f>
        <v>Suecia</v>
      </c>
      <c r="I460" s="11" t="str">
        <f ca="1">+WORLDCUP!BD61</f>
        <v>Australia</v>
      </c>
      <c r="J460" s="11" t="str">
        <f ca="1">+WORLDCUP!BD67</f>
        <v>Austria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Arabia Saudita</v>
      </c>
      <c r="D461" s="11" t="str">
        <f ca="1">+WORLDCUP!BD64</f>
        <v>Irán</v>
      </c>
      <c r="E461" s="11" t="str">
        <f ca="1">+WORLDCUP!BD59</f>
        <v>Catar</v>
      </c>
      <c r="F461" s="11" t="str">
        <f ca="1">+WORLDCUP!BD60</f>
        <v>Haití</v>
      </c>
      <c r="G461" s="11" t="str">
        <f ca="1">+WORLDCUP!BD58</f>
        <v>República Checa</v>
      </c>
      <c r="H461" s="11" t="str">
        <f ca="1">+WORLDCUP!BD63</f>
        <v>Suecia</v>
      </c>
      <c r="I461" s="11" t="str">
        <f ca="1">+WORLDCUP!BD61</f>
        <v>Australia</v>
      </c>
      <c r="J461" s="11" t="str">
        <f ca="1">+WORLDCUP!BD66</f>
        <v>Irak</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Costa de Marfil</v>
      </c>
      <c r="D462" s="11" t="str">
        <f ca="1">+WORLDCUP!BD67</f>
        <v>Austria</v>
      </c>
      <c r="E462" s="11" t="str">
        <f ca="1">+WORLDCUP!BD59</f>
        <v>Catar</v>
      </c>
      <c r="F462" s="11" t="str">
        <f ca="1">+WORLDCUP!BD60</f>
        <v>Haití</v>
      </c>
      <c r="G462" s="11" t="str">
        <f ca="1">+WORLDCUP!BD58</f>
        <v>República Checa</v>
      </c>
      <c r="H462" s="11" t="str">
        <f ca="1">+WORLDCUP!BD61</f>
        <v>Australia</v>
      </c>
      <c r="I462" s="11" t="str">
        <f ca="1">+WORLDCUP!BD69</f>
        <v>Ghana</v>
      </c>
      <c r="J462" s="11" t="str">
        <f ca="1">+WORLDCUP!BD68</f>
        <v>Uzbekistán</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Costa de Marfil</v>
      </c>
      <c r="D463" s="11" t="str">
        <f ca="1">+WORLDCUP!BD66</f>
        <v>Irak</v>
      </c>
      <c r="E463" s="11" t="str">
        <f ca="1">+WORLDCUP!BD59</f>
        <v>Catar</v>
      </c>
      <c r="F463" s="11" t="str">
        <f ca="1">+WORLDCUP!BD60</f>
        <v>Haití</v>
      </c>
      <c r="G463" s="11" t="str">
        <f ca="1">+WORLDCUP!BD58</f>
        <v>República Checa</v>
      </c>
      <c r="H463" s="11" t="str">
        <f ca="1">+WORLDCUP!BD61</f>
        <v>Australia</v>
      </c>
      <c r="I463" s="11" t="str">
        <f ca="1">+WORLDCUP!BD69</f>
        <v>Ghana</v>
      </c>
      <c r="J463" s="11" t="str">
        <f ca="1">+WORLDCUP!BD68</f>
        <v>Uzbekistán</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Costa de Marfil</v>
      </c>
      <c r="D464" s="11" t="str">
        <f ca="1">+WORLDCUP!BD67</f>
        <v>Austria</v>
      </c>
      <c r="E464" s="11" t="str">
        <f ca="1">+WORLDCUP!BD59</f>
        <v>Catar</v>
      </c>
      <c r="F464" s="11" t="str">
        <f ca="1">+WORLDCUP!BD60</f>
        <v>Haití</v>
      </c>
      <c r="G464" s="11" t="str">
        <f ca="1">+WORLDCUP!BD58</f>
        <v>República Checa</v>
      </c>
      <c r="H464" s="11" t="str">
        <f ca="1">+WORLDCUP!BD61</f>
        <v>Australia</v>
      </c>
      <c r="I464" s="11" t="str">
        <f ca="1">+WORLDCUP!BD69</f>
        <v>Ghana</v>
      </c>
      <c r="J464" s="11" t="str">
        <f ca="1">+WORLDCUP!BD66</f>
        <v>Irak</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Costa de Marfil</v>
      </c>
      <c r="D465" s="11" t="str">
        <f ca="1">+WORLDCUP!BD67</f>
        <v>Austria</v>
      </c>
      <c r="E465" s="11" t="str">
        <f ca="1">+WORLDCUP!BD59</f>
        <v>Catar</v>
      </c>
      <c r="F465" s="11" t="str">
        <f ca="1">+WORLDCUP!BD60</f>
        <v>Haití</v>
      </c>
      <c r="G465" s="11" t="str">
        <f ca="1">+WORLDCUP!BD58</f>
        <v>República Checa</v>
      </c>
      <c r="H465" s="11" t="str">
        <f ca="1">+WORLDCUP!BD61</f>
        <v>Australia</v>
      </c>
      <c r="I465" s="11" t="str">
        <f ca="1">+WORLDCUP!BD66</f>
        <v>Irak</v>
      </c>
      <c r="J465" s="11" t="str">
        <f ca="1">+WORLDCUP!BD68</f>
        <v>Uzbekistán</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Arabia Saudita</v>
      </c>
      <c r="D466" s="11" t="str">
        <f ca="1">+WORLDCUP!BD62</f>
        <v>Costa de Marfil</v>
      </c>
      <c r="E466" s="11" t="str">
        <f ca="1">+WORLDCUP!BD59</f>
        <v>Catar</v>
      </c>
      <c r="F466" s="11" t="str">
        <f ca="1">+WORLDCUP!BD60</f>
        <v>Haití</v>
      </c>
      <c r="G466" s="11" t="str">
        <f ca="1">+WORLDCUP!BD58</f>
        <v>República Checa</v>
      </c>
      <c r="H466" s="11" t="str">
        <f ca="1">+WORLDCUP!BD61</f>
        <v>Australia</v>
      </c>
      <c r="I466" s="11" t="str">
        <f ca="1">+WORLDCUP!BD69</f>
        <v>Ghana</v>
      </c>
      <c r="J466" s="11" t="str">
        <f ca="1">+WORLDCUP!BD68</f>
        <v>Uzbekistán</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Arabia Saudita</v>
      </c>
      <c r="D467" s="11" t="str">
        <f ca="1">+WORLDCUP!BD67</f>
        <v>Austria</v>
      </c>
      <c r="E467" s="11" t="str">
        <f ca="1">+WORLDCUP!BD59</f>
        <v>Catar</v>
      </c>
      <c r="F467" s="11" t="str">
        <f ca="1">+WORLDCUP!BD60</f>
        <v>Haití</v>
      </c>
      <c r="G467" s="11" t="str">
        <f ca="1">+WORLDCUP!BD58</f>
        <v>República Checa</v>
      </c>
      <c r="H467" s="11" t="str">
        <f ca="1">+WORLDCUP!BD61</f>
        <v>Australia</v>
      </c>
      <c r="I467" s="11" t="str">
        <f ca="1">+WORLDCUP!BD69</f>
        <v>Ghana</v>
      </c>
      <c r="J467" s="11" t="str">
        <f ca="1">+WORLDCUP!BD62</f>
        <v>Costa de Marfil</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Arabia Saudita</v>
      </c>
      <c r="D468" s="11" t="str">
        <f ca="1">+WORLDCUP!BD67</f>
        <v>Austria</v>
      </c>
      <c r="E468" s="11" t="str">
        <f ca="1">+WORLDCUP!BD59</f>
        <v>Catar</v>
      </c>
      <c r="F468" s="11" t="str">
        <f ca="1">+WORLDCUP!BD60</f>
        <v>Haití</v>
      </c>
      <c r="G468" s="11" t="str">
        <f ca="1">+WORLDCUP!BD58</f>
        <v>República Checa</v>
      </c>
      <c r="H468" s="11" t="str">
        <f ca="1">+WORLDCUP!BD61</f>
        <v>Australia</v>
      </c>
      <c r="I468" s="11" t="str">
        <f ca="1">+WORLDCUP!BD62</f>
        <v>Costa de Marfil</v>
      </c>
      <c r="J468" s="11" t="str">
        <f ca="1">+WORLDCUP!BD68</f>
        <v>Uzbekistán</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Arabia Saudita</v>
      </c>
      <c r="D469" s="11" t="str">
        <f ca="1">+WORLDCUP!BD62</f>
        <v>Costa de Marfil</v>
      </c>
      <c r="E469" s="11" t="str">
        <f ca="1">+WORLDCUP!BD59</f>
        <v>Catar</v>
      </c>
      <c r="F469" s="11" t="str">
        <f ca="1">+WORLDCUP!BD60</f>
        <v>Haití</v>
      </c>
      <c r="G469" s="11" t="str">
        <f ca="1">+WORLDCUP!BD58</f>
        <v>República Checa</v>
      </c>
      <c r="H469" s="11" t="str">
        <f ca="1">+WORLDCUP!BD61</f>
        <v>Australia</v>
      </c>
      <c r="I469" s="11" t="str">
        <f ca="1">+WORLDCUP!BD69</f>
        <v>Ghana</v>
      </c>
      <c r="J469" s="11" t="str">
        <f ca="1">+WORLDCUP!BD66</f>
        <v>Irak</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Arabia Saudita</v>
      </c>
      <c r="D470" s="11" t="str">
        <f ca="1">+WORLDCUP!BD62</f>
        <v>Costa de Marfil</v>
      </c>
      <c r="E470" s="11" t="str">
        <f ca="1">+WORLDCUP!BD59</f>
        <v>Catar</v>
      </c>
      <c r="F470" s="11" t="str">
        <f ca="1">+WORLDCUP!BD60</f>
        <v>Haití</v>
      </c>
      <c r="G470" s="11" t="str">
        <f ca="1">+WORLDCUP!BD58</f>
        <v>República Checa</v>
      </c>
      <c r="H470" s="11" t="str">
        <f ca="1">+WORLDCUP!BD61</f>
        <v>Australia</v>
      </c>
      <c r="I470" s="11" t="str">
        <f ca="1">+WORLDCUP!BD66</f>
        <v>Irak</v>
      </c>
      <c r="J470" s="11" t="str">
        <f ca="1">+WORLDCUP!BD68</f>
        <v>Uzbekistán</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Arabia Saudita</v>
      </c>
      <c r="D471" s="11" t="str">
        <f ca="1">+WORLDCUP!BD67</f>
        <v>Austria</v>
      </c>
      <c r="E471" s="11" t="str">
        <f ca="1">+WORLDCUP!BD59</f>
        <v>Catar</v>
      </c>
      <c r="F471" s="11" t="str">
        <f ca="1">+WORLDCUP!BD60</f>
        <v>Haití</v>
      </c>
      <c r="G471" s="11" t="str">
        <f ca="1">+WORLDCUP!BD58</f>
        <v>República Checa</v>
      </c>
      <c r="H471" s="11" t="str">
        <f ca="1">+WORLDCUP!BD61</f>
        <v>Australia</v>
      </c>
      <c r="I471" s="11" t="str">
        <f ca="1">+WORLDCUP!BD62</f>
        <v>Costa de Marfil</v>
      </c>
      <c r="J471" s="11" t="str">
        <f ca="1">+WORLDCUP!BD66</f>
        <v>Irak</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Costa de Marfil</v>
      </c>
      <c r="D472" s="11" t="str">
        <f ca="1">+WORLDCUP!BD64</f>
        <v>Irán</v>
      </c>
      <c r="E472" s="11" t="str">
        <f ca="1">+WORLDCUP!BD59</f>
        <v>Catar</v>
      </c>
      <c r="F472" s="11" t="str">
        <f ca="1">+WORLDCUP!BD60</f>
        <v>Haití</v>
      </c>
      <c r="G472" s="11" t="str">
        <f ca="1">+WORLDCUP!BD58</f>
        <v>República Checa</v>
      </c>
      <c r="H472" s="11" t="str">
        <f ca="1">+WORLDCUP!BD61</f>
        <v>Australia</v>
      </c>
      <c r="I472" s="11" t="str">
        <f ca="1">+WORLDCUP!BD69</f>
        <v>Ghana</v>
      </c>
      <c r="J472" s="11" t="str">
        <f ca="1">+WORLDCUP!BD68</f>
        <v>Uzbekistán</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Costa de Marfil</v>
      </c>
      <c r="D473" s="11" t="str">
        <f ca="1">+WORLDCUP!BD64</f>
        <v>Irán</v>
      </c>
      <c r="E473" s="11" t="str">
        <f ca="1">+WORLDCUP!BD59</f>
        <v>Catar</v>
      </c>
      <c r="F473" s="11" t="str">
        <f ca="1">+WORLDCUP!BD60</f>
        <v>Haití</v>
      </c>
      <c r="G473" s="11" t="str">
        <f ca="1">+WORLDCUP!BD58</f>
        <v>República Checa</v>
      </c>
      <c r="H473" s="11" t="str">
        <f ca="1">+WORLDCUP!BD61</f>
        <v>Australia</v>
      </c>
      <c r="I473" s="11" t="str">
        <f ca="1">+WORLDCUP!BD69</f>
        <v>Ghana</v>
      </c>
      <c r="J473" s="11" t="str">
        <f ca="1">+WORLDCUP!BD67</f>
        <v>Austria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Costa de Marfil</v>
      </c>
      <c r="D474" s="11" t="str">
        <f ca="1">+WORLDCUP!BD64</f>
        <v>Irán</v>
      </c>
      <c r="E474" s="11" t="str">
        <f ca="1">+WORLDCUP!BD59</f>
        <v>Catar</v>
      </c>
      <c r="F474" s="11" t="str">
        <f ca="1">+WORLDCUP!BD60</f>
        <v>Haití</v>
      </c>
      <c r="G474" s="11" t="str">
        <f ca="1">+WORLDCUP!BD58</f>
        <v>República Checa</v>
      </c>
      <c r="H474" s="11" t="str">
        <f ca="1">+WORLDCUP!BD61</f>
        <v>Australia</v>
      </c>
      <c r="I474" s="11" t="str">
        <f ca="1">+WORLDCUP!BD67</f>
        <v>Austria</v>
      </c>
      <c r="J474" s="11" t="str">
        <f ca="1">+WORLDCUP!BD68</f>
        <v>Uzbekistán</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Costa de Marfil</v>
      </c>
      <c r="D475" s="11" t="str">
        <f ca="1">+WORLDCUP!BD64</f>
        <v>Irán</v>
      </c>
      <c r="E475" s="11" t="str">
        <f ca="1">+WORLDCUP!BD59</f>
        <v>Catar</v>
      </c>
      <c r="F475" s="11" t="str">
        <f ca="1">+WORLDCUP!BD60</f>
        <v>Haití</v>
      </c>
      <c r="G475" s="11" t="str">
        <f ca="1">+WORLDCUP!BD58</f>
        <v>República Checa</v>
      </c>
      <c r="H475" s="11" t="str">
        <f ca="1">+WORLDCUP!BD61</f>
        <v>Australia</v>
      </c>
      <c r="I475" s="11" t="str">
        <f ca="1">+WORLDCUP!BD69</f>
        <v>Ghana</v>
      </c>
      <c r="J475" s="11" t="str">
        <f ca="1">+WORLDCUP!BD66</f>
        <v>Irak</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Costa de Marfil</v>
      </c>
      <c r="D476" s="11" t="str">
        <f ca="1">+WORLDCUP!BD64</f>
        <v>Irán</v>
      </c>
      <c r="E476" s="11" t="str">
        <f ca="1">+WORLDCUP!BD59</f>
        <v>Catar</v>
      </c>
      <c r="F476" s="11" t="str">
        <f ca="1">+WORLDCUP!BD60</f>
        <v>Haití</v>
      </c>
      <c r="G476" s="11" t="str">
        <f ca="1">+WORLDCUP!BD58</f>
        <v>República Checa</v>
      </c>
      <c r="H476" s="11" t="str">
        <f ca="1">+WORLDCUP!BD61</f>
        <v>Australia</v>
      </c>
      <c r="I476" s="11" t="str">
        <f ca="1">+WORLDCUP!BD66</f>
        <v>Irak</v>
      </c>
      <c r="J476" s="11" t="str">
        <f ca="1">+WORLDCUP!BD68</f>
        <v>Uzbekistán</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Costa de Marfil</v>
      </c>
      <c r="D477" s="11" t="str">
        <f ca="1">+WORLDCUP!BD64</f>
        <v>Irán</v>
      </c>
      <c r="E477" s="11" t="str">
        <f ca="1">+WORLDCUP!BD59</f>
        <v>Catar</v>
      </c>
      <c r="F477" s="11" t="str">
        <f ca="1">+WORLDCUP!BD60</f>
        <v>Haití</v>
      </c>
      <c r="G477" s="11" t="str">
        <f ca="1">+WORLDCUP!BD58</f>
        <v>República Checa</v>
      </c>
      <c r="H477" s="11" t="str">
        <f ca="1">+WORLDCUP!BD61</f>
        <v>Australia</v>
      </c>
      <c r="I477" s="11" t="str">
        <f ca="1">+WORLDCUP!BD66</f>
        <v>Irak</v>
      </c>
      <c r="J477" s="11" t="str">
        <f ca="1">+WORLDCUP!BD67</f>
        <v>Austria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Arabia Saudita</v>
      </c>
      <c r="D478" s="11" t="str">
        <f ca="1">+WORLDCUP!BD64</f>
        <v>Irán</v>
      </c>
      <c r="E478" s="11" t="str">
        <f ca="1">+WORLDCUP!BD59</f>
        <v>Catar</v>
      </c>
      <c r="F478" s="11" t="str">
        <f ca="1">+WORLDCUP!BD60</f>
        <v>Haití</v>
      </c>
      <c r="G478" s="11" t="str">
        <f ca="1">+WORLDCUP!BD58</f>
        <v>República Checa</v>
      </c>
      <c r="H478" s="11" t="str">
        <f ca="1">+WORLDCUP!BD61</f>
        <v>Australia</v>
      </c>
      <c r="I478" s="11" t="str">
        <f ca="1">+WORLDCUP!BD69</f>
        <v>Ghana</v>
      </c>
      <c r="J478" s="11" t="str">
        <f ca="1">+WORLDCUP!BD62</f>
        <v>Costa de Marfil</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Arabia Saudita</v>
      </c>
      <c r="D479" s="11" t="str">
        <f ca="1">+WORLDCUP!BD64</f>
        <v>Irán</v>
      </c>
      <c r="E479" s="11" t="str">
        <f ca="1">+WORLDCUP!BD59</f>
        <v>Catar</v>
      </c>
      <c r="F479" s="11" t="str">
        <f ca="1">+WORLDCUP!BD60</f>
        <v>Haití</v>
      </c>
      <c r="G479" s="11" t="str">
        <f ca="1">+WORLDCUP!BD58</f>
        <v>República Checa</v>
      </c>
      <c r="H479" s="11" t="str">
        <f ca="1">+WORLDCUP!BD61</f>
        <v>Australia</v>
      </c>
      <c r="I479" s="11" t="str">
        <f ca="1">+WORLDCUP!BD62</f>
        <v>Costa de Marfil</v>
      </c>
      <c r="J479" s="11" t="str">
        <f ca="1">+WORLDCUP!BD68</f>
        <v>Uzbekistán</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Arabia Saudita</v>
      </c>
      <c r="D480" s="11" t="str">
        <f ca="1">+WORLDCUP!BD64</f>
        <v>Irán</v>
      </c>
      <c r="E480" s="11" t="str">
        <f ca="1">+WORLDCUP!BD59</f>
        <v>Catar</v>
      </c>
      <c r="F480" s="11" t="str">
        <f ca="1">+WORLDCUP!BD60</f>
        <v>Haití</v>
      </c>
      <c r="G480" s="11" t="str">
        <f ca="1">+WORLDCUP!BD58</f>
        <v>República Checa</v>
      </c>
      <c r="H480" s="11" t="str">
        <f ca="1">+WORLDCUP!BD61</f>
        <v>Australia</v>
      </c>
      <c r="I480" s="11" t="str">
        <f ca="1">+WORLDCUP!BD62</f>
        <v>Costa de Marfil</v>
      </c>
      <c r="J480" s="11" t="str">
        <f ca="1">+WORLDCUP!BD67</f>
        <v>Austria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Arabia Saudita</v>
      </c>
      <c r="D481" s="11" t="str">
        <f ca="1">+WORLDCUP!BD64</f>
        <v>Irán</v>
      </c>
      <c r="E481" s="11" t="str">
        <f ca="1">+WORLDCUP!BD59</f>
        <v>Catar</v>
      </c>
      <c r="F481" s="11" t="str">
        <f ca="1">+WORLDCUP!BD60</f>
        <v>Haití</v>
      </c>
      <c r="G481" s="11" t="str">
        <f ca="1">+WORLDCUP!BD58</f>
        <v>República Checa</v>
      </c>
      <c r="H481" s="11" t="str">
        <f ca="1">+WORLDCUP!BD61</f>
        <v>Australia</v>
      </c>
      <c r="I481" s="11" t="str">
        <f ca="1">+WORLDCUP!BD62</f>
        <v>Costa de Marfil</v>
      </c>
      <c r="J481" s="11" t="str">
        <f ca="1">+WORLDCUP!BD66</f>
        <v>Irak</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Haití</v>
      </c>
      <c r="D482" s="11" t="str">
        <f ca="1">+WORLDCUP!BD62</f>
        <v>Costa de Marfil</v>
      </c>
      <c r="E482" s="11" t="str">
        <f ca="1">+WORLDCUP!BD59</f>
        <v>Catar</v>
      </c>
      <c r="F482" s="11" t="str">
        <f ca="1">+WORLDCUP!BD61</f>
        <v>Australia</v>
      </c>
      <c r="G482" s="11" t="str">
        <f ca="1">+WORLDCUP!BD58</f>
        <v>República Checa</v>
      </c>
      <c r="H482" s="11" t="str">
        <f ca="1">+WORLDCUP!BD63</f>
        <v>Suecia</v>
      </c>
      <c r="I482" s="11" t="str">
        <f ca="1">+WORLDCUP!BD69</f>
        <v>Ghana</v>
      </c>
      <c r="J482" s="11" t="str">
        <f ca="1">+WORLDCUP!BD68</f>
        <v>Uzbekistán</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Haití</v>
      </c>
      <c r="D483" s="11" t="str">
        <f ca="1">+WORLDCUP!BD67</f>
        <v>Austria</v>
      </c>
      <c r="E483" s="11" t="str">
        <f ca="1">+WORLDCUP!BD59</f>
        <v>Catar</v>
      </c>
      <c r="F483" s="11" t="str">
        <f ca="1">+WORLDCUP!BD61</f>
        <v>Australia</v>
      </c>
      <c r="G483" s="11" t="str">
        <f ca="1">+WORLDCUP!BD58</f>
        <v>República Checa</v>
      </c>
      <c r="H483" s="11" t="str">
        <f ca="1">+WORLDCUP!BD63</f>
        <v>Suecia</v>
      </c>
      <c r="I483" s="11" t="str">
        <f ca="1">+WORLDCUP!BD69</f>
        <v>Ghana</v>
      </c>
      <c r="J483" s="11" t="str">
        <f ca="1">+WORLDCUP!BD62</f>
        <v>Costa de Marfil</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Haití</v>
      </c>
      <c r="D484" s="11" t="str">
        <f ca="1">+WORLDCUP!BD67</f>
        <v>Austria</v>
      </c>
      <c r="E484" s="11" t="str">
        <f ca="1">+WORLDCUP!BD59</f>
        <v>Catar</v>
      </c>
      <c r="F484" s="11" t="str">
        <f ca="1">+WORLDCUP!BD61</f>
        <v>Australia</v>
      </c>
      <c r="G484" s="11" t="str">
        <f ca="1">+WORLDCUP!BD58</f>
        <v>República Checa</v>
      </c>
      <c r="H484" s="11" t="str">
        <f ca="1">+WORLDCUP!BD63</f>
        <v>Suecia</v>
      </c>
      <c r="I484" s="11" t="str">
        <f ca="1">+WORLDCUP!BD62</f>
        <v>Costa de Marfil</v>
      </c>
      <c r="J484" s="11" t="str">
        <f ca="1">+WORLDCUP!BD68</f>
        <v>Uzbekistán</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Haití</v>
      </c>
      <c r="D485" s="11" t="str">
        <f ca="1">+WORLDCUP!BD62</f>
        <v>Costa de Marfil</v>
      </c>
      <c r="E485" s="11" t="str">
        <f ca="1">+WORLDCUP!BD59</f>
        <v>Catar</v>
      </c>
      <c r="F485" s="11" t="str">
        <f ca="1">+WORLDCUP!BD61</f>
        <v>Australia</v>
      </c>
      <c r="G485" s="11" t="str">
        <f ca="1">+WORLDCUP!BD58</f>
        <v>República Checa</v>
      </c>
      <c r="H485" s="11" t="str">
        <f ca="1">+WORLDCUP!BD63</f>
        <v>Suecia</v>
      </c>
      <c r="I485" s="11" t="str">
        <f ca="1">+WORLDCUP!BD69</f>
        <v>Ghana</v>
      </c>
      <c r="J485" s="11" t="str">
        <f ca="1">+WORLDCUP!BD66</f>
        <v>Irak</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Haití</v>
      </c>
      <c r="D486" s="11" t="str">
        <f ca="1">+WORLDCUP!BD62</f>
        <v>Costa de Marfil</v>
      </c>
      <c r="E486" s="11" t="str">
        <f ca="1">+WORLDCUP!BD59</f>
        <v>Catar</v>
      </c>
      <c r="F486" s="11" t="str">
        <f ca="1">+WORLDCUP!BD61</f>
        <v>Australia</v>
      </c>
      <c r="G486" s="11" t="str">
        <f ca="1">+WORLDCUP!BD58</f>
        <v>República Checa</v>
      </c>
      <c r="H486" s="11" t="str">
        <f ca="1">+WORLDCUP!BD63</f>
        <v>Suecia</v>
      </c>
      <c r="I486" s="11" t="str">
        <f ca="1">+WORLDCUP!BD66</f>
        <v>Irak</v>
      </c>
      <c r="J486" s="11" t="str">
        <f ca="1">+WORLDCUP!BD68</f>
        <v>Uzbekistán</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Haití</v>
      </c>
      <c r="D487" s="11" t="str">
        <f ca="1">+WORLDCUP!BD67</f>
        <v>Austria</v>
      </c>
      <c r="E487" s="11" t="str">
        <f ca="1">+WORLDCUP!BD59</f>
        <v>Catar</v>
      </c>
      <c r="F487" s="11" t="str">
        <f ca="1">+WORLDCUP!BD61</f>
        <v>Australia</v>
      </c>
      <c r="G487" s="11" t="str">
        <f ca="1">+WORLDCUP!BD58</f>
        <v>República Checa</v>
      </c>
      <c r="H487" s="11" t="str">
        <f ca="1">+WORLDCUP!BD63</f>
        <v>Suecia</v>
      </c>
      <c r="I487" s="11" t="str">
        <f ca="1">+WORLDCUP!BD62</f>
        <v>Costa de Marfil</v>
      </c>
      <c r="J487" s="11" t="str">
        <f ca="1">+WORLDCUP!BD66</f>
        <v>Irak</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Arabia Saudita</v>
      </c>
      <c r="D488" s="11" t="str">
        <f ca="1">+WORLDCUP!BD63</f>
        <v>Suecia</v>
      </c>
      <c r="E488" s="11" t="str">
        <f ca="1">+WORLDCUP!BD59</f>
        <v>Catar</v>
      </c>
      <c r="F488" s="11" t="str">
        <f ca="1">+WORLDCUP!BD60</f>
        <v>Haití</v>
      </c>
      <c r="G488" s="11" t="str">
        <f ca="1">+WORLDCUP!BD58</f>
        <v>República Checa</v>
      </c>
      <c r="H488" s="11" t="str">
        <f ca="1">+WORLDCUP!BD61</f>
        <v>Australia</v>
      </c>
      <c r="I488" s="11" t="str">
        <f ca="1">+WORLDCUP!BD69</f>
        <v>Ghana</v>
      </c>
      <c r="J488" s="11" t="str">
        <f ca="1">+WORLDCUP!BD62</f>
        <v>Costa de Marfil</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Arabia Saudita</v>
      </c>
      <c r="D489" s="11" t="str">
        <f ca="1">+WORLDCUP!BD62</f>
        <v>Costa de Marfil</v>
      </c>
      <c r="E489" s="11" t="str">
        <f ca="1">+WORLDCUP!BD59</f>
        <v>Catar</v>
      </c>
      <c r="F489" s="11" t="str">
        <f ca="1">+WORLDCUP!BD60</f>
        <v>Haití</v>
      </c>
      <c r="G489" s="11" t="str">
        <f ca="1">+WORLDCUP!BD58</f>
        <v>República Checa</v>
      </c>
      <c r="H489" s="11" t="str">
        <f ca="1">+WORLDCUP!BD63</f>
        <v>Suecia</v>
      </c>
      <c r="I489" s="11" t="str">
        <f ca="1">+WORLDCUP!BD61</f>
        <v>Australia</v>
      </c>
      <c r="J489" s="11" t="str">
        <f ca="1">+WORLDCUP!BD68</f>
        <v>Uzbekistán</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Arabia Saudita</v>
      </c>
      <c r="D490" s="11" t="str">
        <f ca="1">+WORLDCUP!BD67</f>
        <v>Austria</v>
      </c>
      <c r="E490" s="11" t="str">
        <f ca="1">+WORLDCUP!BD59</f>
        <v>Catar</v>
      </c>
      <c r="F490" s="11" t="str">
        <f ca="1">+WORLDCUP!BD60</f>
        <v>Haití</v>
      </c>
      <c r="G490" s="11" t="str">
        <f ca="1">+WORLDCUP!BD58</f>
        <v>República Checa</v>
      </c>
      <c r="H490" s="11" t="str">
        <f ca="1">+WORLDCUP!BD63</f>
        <v>Suecia</v>
      </c>
      <c r="I490" s="11" t="str">
        <f ca="1">+WORLDCUP!BD61</f>
        <v>Australia</v>
      </c>
      <c r="J490" s="11" t="str">
        <f ca="1">+WORLDCUP!BD62</f>
        <v>Costa de Marfil</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Arabia Saudita</v>
      </c>
      <c r="D491" s="11" t="str">
        <f ca="1">+WORLDCUP!BD62</f>
        <v>Costa de Marfil</v>
      </c>
      <c r="E491" s="11" t="str">
        <f ca="1">+WORLDCUP!BD59</f>
        <v>Catar</v>
      </c>
      <c r="F491" s="11" t="str">
        <f ca="1">+WORLDCUP!BD60</f>
        <v>Haití</v>
      </c>
      <c r="G491" s="11" t="str">
        <f ca="1">+WORLDCUP!BD58</f>
        <v>República Checa</v>
      </c>
      <c r="H491" s="11" t="str">
        <f ca="1">+WORLDCUP!BD63</f>
        <v>Suecia</v>
      </c>
      <c r="I491" s="11" t="str">
        <f ca="1">+WORLDCUP!BD61</f>
        <v>Australia</v>
      </c>
      <c r="J491" s="11" t="str">
        <f ca="1">+WORLDCUP!BD66</f>
        <v>Irak</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Haití</v>
      </c>
      <c r="D492" s="11" t="str">
        <f ca="1">+WORLDCUP!BD64</f>
        <v>Irán</v>
      </c>
      <c r="E492" s="11" t="str">
        <f ca="1">+WORLDCUP!BD59</f>
        <v>Catar</v>
      </c>
      <c r="F492" s="11" t="str">
        <f ca="1">+WORLDCUP!BD61</f>
        <v>Australia</v>
      </c>
      <c r="G492" s="11" t="str">
        <f ca="1">+WORLDCUP!BD58</f>
        <v>República Checa</v>
      </c>
      <c r="H492" s="11" t="str">
        <f ca="1">+WORLDCUP!BD63</f>
        <v>Suecia</v>
      </c>
      <c r="I492" s="11" t="str">
        <f ca="1">+WORLDCUP!BD69</f>
        <v>Ghana</v>
      </c>
      <c r="J492" s="11" t="str">
        <f ca="1">+WORLDCUP!BD62</f>
        <v>Costa de Marfil</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Haití</v>
      </c>
      <c r="D493" s="11" t="str">
        <f ca="1">+WORLDCUP!BD64</f>
        <v>Irán</v>
      </c>
      <c r="E493" s="11" t="str">
        <f ca="1">+WORLDCUP!BD59</f>
        <v>Catar</v>
      </c>
      <c r="F493" s="11" t="str">
        <f ca="1">+WORLDCUP!BD61</f>
        <v>Australia</v>
      </c>
      <c r="G493" s="11" t="str">
        <f ca="1">+WORLDCUP!BD58</f>
        <v>República Checa</v>
      </c>
      <c r="H493" s="11" t="str">
        <f ca="1">+WORLDCUP!BD63</f>
        <v>Suecia</v>
      </c>
      <c r="I493" s="11" t="str">
        <f ca="1">+WORLDCUP!BD62</f>
        <v>Costa de Marfil</v>
      </c>
      <c r="J493" s="11" t="str">
        <f ca="1">+WORLDCUP!BD68</f>
        <v>Uzbekistán</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Haití</v>
      </c>
      <c r="D494" s="11" t="str">
        <f ca="1">+WORLDCUP!BD64</f>
        <v>Irán</v>
      </c>
      <c r="E494" s="11" t="str">
        <f ca="1">+WORLDCUP!BD59</f>
        <v>Catar</v>
      </c>
      <c r="F494" s="11" t="str">
        <f ca="1">+WORLDCUP!BD61</f>
        <v>Australia</v>
      </c>
      <c r="G494" s="11" t="str">
        <f ca="1">+WORLDCUP!BD58</f>
        <v>República Checa</v>
      </c>
      <c r="H494" s="11" t="str">
        <f ca="1">+WORLDCUP!BD63</f>
        <v>Suecia</v>
      </c>
      <c r="I494" s="11" t="str">
        <f ca="1">+WORLDCUP!BD62</f>
        <v>Costa de Marfil</v>
      </c>
      <c r="J494" s="11" t="str">
        <f ca="1">+WORLDCUP!BD67</f>
        <v>Austria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Haití</v>
      </c>
      <c r="D495" s="11" t="str">
        <f ca="1">+WORLDCUP!BD64</f>
        <v>Irán</v>
      </c>
      <c r="E495" s="11" t="str">
        <f ca="1">+WORLDCUP!BD59</f>
        <v>Catar</v>
      </c>
      <c r="F495" s="11" t="str">
        <f ca="1">+WORLDCUP!BD61</f>
        <v>Australia</v>
      </c>
      <c r="G495" s="11" t="str">
        <f ca="1">+WORLDCUP!BD58</f>
        <v>República Checa</v>
      </c>
      <c r="H495" s="11" t="str">
        <f ca="1">+WORLDCUP!BD63</f>
        <v>Suecia</v>
      </c>
      <c r="I495" s="11" t="str">
        <f ca="1">+WORLDCUP!BD62</f>
        <v>Costa de Marfil</v>
      </c>
      <c r="J495" s="11" t="str">
        <f ca="1">+WORLDCUP!BD66</f>
        <v>Irak</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Arabia Saudita</v>
      </c>
      <c r="D496" s="11" t="str">
        <f ca="1">+WORLDCUP!BD64</f>
        <v>Irán</v>
      </c>
      <c r="E496" s="11" t="str">
        <f ca="1">+WORLDCUP!BD59</f>
        <v>Catar</v>
      </c>
      <c r="F496" s="11" t="str">
        <f ca="1">+WORLDCUP!BD60</f>
        <v>Haití</v>
      </c>
      <c r="G496" s="11" t="str">
        <f ca="1">+WORLDCUP!BD58</f>
        <v>República Checa</v>
      </c>
      <c r="H496" s="11" t="str">
        <f ca="1">+WORLDCUP!BD63</f>
        <v>Suecia</v>
      </c>
      <c r="I496" s="11" t="str">
        <f ca="1">+WORLDCUP!BD61</f>
        <v>Australia</v>
      </c>
      <c r="J496" s="11" t="str">
        <f ca="1">+WORLDCUP!BD62</f>
        <v>Costa de Marfil</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Faltan partidos</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2026-06-12T12:17:29Z</dcterms:modified>
  <cp:category/>
</cp:coreProperties>
</file>