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38D17C49-D755-4E8B-8976-C0517D1D7CC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2010" yWindow="246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7"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27" i="36"/>
  <c r="C31" i="46" s="1"/>
  <c r="D325" i="36"/>
  <c r="C29" i="46" s="1"/>
  <c r="D322" i="36"/>
  <c r="C26" i="46" s="1"/>
  <c r="D321" i="36"/>
  <c r="C25" i="46" s="1"/>
  <c r="D320" i="36"/>
  <c r="C24" i="46" s="1"/>
  <c r="D316" i="36"/>
  <c r="C20" i="46" s="1"/>
  <c r="D313" i="36"/>
  <c r="C17" i="46" s="1"/>
  <c r="D10" i="36"/>
  <c r="D9" i="36"/>
  <c r="M180" i="46"/>
  <c r="M128" i="46"/>
  <c r="D453" i="36"/>
  <c r="C4" i="47" s="1"/>
  <c r="D452" i="36"/>
  <c r="B4" i="47" s="1"/>
  <c r="D164" i="46"/>
  <c r="D433" i="36"/>
  <c r="D339" i="36"/>
  <c r="C43" i="46" s="1"/>
  <c r="D340" i="36"/>
  <c r="C44" i="46" s="1"/>
  <c r="D341" i="36"/>
  <c r="C45" i="46" s="1"/>
  <c r="D300" i="36"/>
  <c r="D301" i="36"/>
  <c r="D303" i="36"/>
  <c r="D7" i="46" s="1"/>
  <c r="D351" i="36"/>
  <c r="D352" i="36"/>
  <c r="D353" i="36"/>
  <c r="D354" i="36"/>
  <c r="D357" i="36"/>
  <c r="D358" i="36"/>
  <c r="D359" i="36"/>
  <c r="D377" i="36"/>
  <c r="D378" i="36"/>
  <c r="D379" i="36"/>
  <c r="D380" i="36"/>
  <c r="D383" i="36"/>
  <c r="D384" i="36"/>
  <c r="D385" i="36"/>
  <c r="D393" i="36"/>
  <c r="D394" i="36"/>
  <c r="D395" i="36"/>
  <c r="D396" i="36"/>
  <c r="D399" i="36"/>
  <c r="D400" i="36"/>
  <c r="D401" i="36"/>
  <c r="D409" i="36"/>
  <c r="D410" i="36"/>
  <c r="D411" i="36"/>
  <c r="D412" i="36"/>
  <c r="D415" i="36"/>
  <c r="D416" i="36"/>
  <c r="D417" i="36"/>
  <c r="D425" i="36"/>
  <c r="D426" i="36"/>
  <c r="D427" i="36"/>
  <c r="D428" i="36"/>
  <c r="D429" i="36"/>
  <c r="D430" i="36"/>
  <c r="D431"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47" i="36"/>
  <c r="D131" i="36"/>
  <c r="D12" i="36"/>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1" i="36"/>
  <c r="D134" i="36"/>
  <c r="D24" i="36"/>
  <c r="AJ100" i="3" s="1"/>
  <c r="D114" i="36"/>
  <c r="D124" i="36"/>
  <c r="D4" i="36"/>
  <c r="K8" i="30" s="1"/>
  <c r="D84" i="36"/>
  <c r="B2" i="34" s="1"/>
  <c r="D119" i="36"/>
  <c r="D129" i="36"/>
  <c r="D81" i="36"/>
  <c r="B3" i="34" s="1"/>
  <c r="D113" i="36"/>
  <c r="D51" i="36"/>
  <c r="AL149" i="3" s="1"/>
  <c r="D120" i="36"/>
  <c r="D130" i="36"/>
  <c r="D133" i="36"/>
  <c r="D15" i="36"/>
  <c r="C7" i="30" s="1"/>
  <c r="D132" i="36"/>
  <c r="D5" i="36"/>
  <c r="D64" i="36"/>
  <c r="Z6" i="3" s="1"/>
  <c r="D50" i="36"/>
  <c r="AM148" i="3" s="1"/>
  <c r="D29" i="36"/>
  <c r="W141" i="3" s="1"/>
  <c r="D53" i="36"/>
  <c r="AJ5" i="3" s="1"/>
  <c r="D65" i="36"/>
  <c r="Z8" i="3" s="1"/>
  <c r="D31" i="36"/>
  <c r="AA149" i="3" s="1"/>
  <c r="D22" i="36"/>
  <c r="BC5" i="3" s="1"/>
  <c r="BC57" i="3" s="1"/>
  <c r="D18" i="36"/>
  <c r="Z3" i="3" s="1"/>
  <c r="D23" i="36"/>
  <c r="AV3" i="3" s="1"/>
  <c r="D49" i="36"/>
  <c r="AL148" i="3" s="1"/>
  <c r="D279" i="36"/>
  <c r="D278" i="36"/>
  <c r="D277" i="36"/>
  <c r="D284" i="36"/>
  <c r="D283" i="36"/>
  <c r="D282" i="36"/>
  <c r="D280" i="36"/>
  <c r="D414" i="36"/>
  <c r="D406" i="36"/>
  <c r="D398" i="36"/>
  <c r="D390" i="36"/>
  <c r="D382" i="36"/>
  <c r="D374" i="36"/>
  <c r="D356" i="36"/>
  <c r="D304" i="36"/>
  <c r="C8" i="46" s="1"/>
  <c r="D317" i="36"/>
  <c r="C21" i="46" s="1"/>
  <c r="D329" i="36"/>
  <c r="C33" i="46" s="1"/>
  <c r="D421" i="36"/>
  <c r="D413" i="36"/>
  <c r="D405" i="36"/>
  <c r="D397" i="36"/>
  <c r="D342" i="36"/>
  <c r="C46" i="46" s="1"/>
  <c r="D437" i="36"/>
  <c r="D307" i="36"/>
  <c r="C11" i="46" s="1"/>
  <c r="D319" i="36"/>
  <c r="C23" i="46" s="1"/>
  <c r="D330" i="36"/>
  <c r="C34" i="46" s="1"/>
  <c r="D305" i="36"/>
  <c r="C9" i="46" s="1"/>
  <c r="D314" i="36"/>
  <c r="C18" i="46" s="1"/>
  <c r="D333" i="36"/>
  <c r="C37" i="46" s="1"/>
  <c r="D182" i="36"/>
  <c r="D38" i="36"/>
  <c r="W158" i="3" s="1"/>
  <c r="D468" i="36"/>
  <c r="K248" i="46" s="1"/>
  <c r="D184" i="36"/>
  <c r="K114" i="46" s="1"/>
  <c r="D181" i="36"/>
  <c r="K111" i="46" s="1"/>
  <c r="D138" i="36"/>
  <c r="K163" i="46" s="1"/>
  <c r="D148" i="36"/>
  <c r="K246" i="46" s="1"/>
  <c r="D136" i="36"/>
  <c r="K79" i="46" s="1"/>
  <c r="D171" i="36"/>
  <c r="K101" i="46" s="1"/>
  <c r="D502" i="36"/>
  <c r="H6" i="51" s="1"/>
  <c r="D494" i="36"/>
  <c r="D3" i="51" s="1"/>
  <c r="D486" i="36"/>
  <c r="D493" i="36"/>
  <c r="D497" i="36"/>
  <c r="E7" i="51" s="1"/>
  <c r="D488" i="36"/>
  <c r="D12" i="51" s="1"/>
  <c r="D487" i="36"/>
  <c r="D11" i="51" s="1"/>
  <c r="D500" i="36"/>
  <c r="I7" i="51" s="1"/>
  <c r="D484" i="36"/>
  <c r="D480" i="36"/>
  <c r="F3" i="50" s="1"/>
  <c r="D495" i="36"/>
  <c r="D4" i="51" s="1"/>
  <c r="D490" i="36"/>
  <c r="D489" i="36"/>
  <c r="D13" i="51" s="1"/>
  <c r="D513" i="36"/>
  <c r="D479" i="36"/>
  <c r="E3" i="50" s="1"/>
  <c r="D504" i="36"/>
  <c r="D173" i="36"/>
  <c r="K103" i="46" s="1"/>
  <c r="D272" i="36"/>
  <c r="D334" i="36"/>
  <c r="C38" i="46" s="1"/>
  <c r="D271" i="36"/>
  <c r="D140" i="36"/>
  <c r="K199" i="46" s="1"/>
  <c r="D150" i="36"/>
  <c r="K80" i="46" s="1"/>
  <c r="D475" i="36"/>
  <c r="F3" i="48" s="1"/>
  <c r="D474" i="36"/>
  <c r="G1" i="48" s="1"/>
  <c r="D39" i="36"/>
  <c r="W159" i="3" s="1"/>
  <c r="D192" i="36"/>
  <c r="K122" i="46" s="1"/>
  <c r="D166" i="36"/>
  <c r="K96" i="46" s="1"/>
  <c r="D275" i="36"/>
  <c r="D33" i="36"/>
  <c r="W151" i="3" s="1"/>
  <c r="D142" i="36"/>
  <c r="K219" i="46" s="1"/>
  <c r="D190" i="36"/>
  <c r="K120" i="46" s="1"/>
  <c r="D165" i="36"/>
  <c r="K95" i="46" s="1"/>
  <c r="D176" i="36"/>
  <c r="K106" i="46" s="1"/>
  <c r="D168" i="36"/>
  <c r="D160" i="36"/>
  <c r="K90" i="46" s="1"/>
  <c r="D152" i="36"/>
  <c r="K82" i="46" s="1"/>
  <c r="D274" i="36"/>
  <c r="D40" i="36"/>
  <c r="W160" i="3" s="1"/>
  <c r="D32" i="36"/>
  <c r="W150" i="3" s="1"/>
  <c r="D175" i="36"/>
  <c r="D167" i="36"/>
  <c r="K97" i="46" s="1"/>
  <c r="D159" i="36"/>
  <c r="K89" i="46" s="1"/>
  <c r="D151" i="36"/>
  <c r="K81" i="46" s="1"/>
  <c r="D196" i="36"/>
  <c r="K126" i="46" s="1"/>
  <c r="D188" i="36"/>
  <c r="K118" i="46" s="1"/>
  <c r="D180" i="36"/>
  <c r="K110" i="46" s="1"/>
  <c r="D36" i="36"/>
  <c r="W155" i="3" s="1"/>
  <c r="D467" i="36"/>
  <c r="K245" i="46" s="1"/>
  <c r="D463" i="36"/>
  <c r="K230" i="46" s="1"/>
  <c r="D459" i="36"/>
  <c r="K198" i="46" s="1"/>
  <c r="D195" i="36"/>
  <c r="K125" i="46" s="1"/>
  <c r="D187" i="36"/>
  <c r="K117" i="46" s="1"/>
  <c r="D179" i="36"/>
  <c r="D35" i="36"/>
  <c r="W154" i="3" s="1"/>
  <c r="D147" i="36"/>
  <c r="K243" i="46" s="1"/>
  <c r="D143" i="36"/>
  <c r="K225" i="46" s="1"/>
  <c r="D139" i="36"/>
  <c r="K181" i="46" s="1"/>
  <c r="D194" i="36"/>
  <c r="D186" i="36"/>
  <c r="K116" i="46" s="1"/>
  <c r="D178" i="36"/>
  <c r="K108" i="46" s="1"/>
  <c r="D466" i="36"/>
  <c r="P4" i="47" s="1"/>
  <c r="D462" i="36"/>
  <c r="K224" i="46" s="1"/>
  <c r="D458" i="36"/>
  <c r="K180" i="46" s="1"/>
  <c r="D193" i="36"/>
  <c r="K123" i="46" s="1"/>
  <c r="D185" i="36"/>
  <c r="K115" i="46" s="1"/>
  <c r="D177" i="36"/>
  <c r="K107" i="46" s="1"/>
  <c r="D169" i="36"/>
  <c r="K99" i="46" s="1"/>
  <c r="D203" i="36"/>
  <c r="K240" i="46" s="1"/>
  <c r="D201" i="36"/>
  <c r="K226" i="46" s="1"/>
  <c r="D198" i="36"/>
  <c r="K135" i="46" s="1"/>
  <c r="D109" i="36"/>
  <c r="L42" i="34" s="1"/>
  <c r="D108" i="36"/>
  <c r="L41" i="34" s="1"/>
  <c r="D106" i="36"/>
  <c r="L38" i="34" s="1"/>
  <c r="D89" i="36"/>
  <c r="L9" i="34" s="1"/>
  <c r="D95" i="36"/>
  <c r="L15" i="34" s="1"/>
  <c r="D94" i="36"/>
  <c r="L14" i="34" s="1"/>
  <c r="K112" i="46"/>
  <c r="D112" i="36"/>
  <c r="D110" i="36"/>
  <c r="L45" i="34" s="1"/>
  <c r="D86" i="36"/>
  <c r="L4" i="34" s="1"/>
  <c r="D98" i="36"/>
  <c r="L21" i="34" s="1"/>
  <c r="D92" i="36"/>
  <c r="L12" i="34" s="1"/>
  <c r="D97" i="36"/>
  <c r="L20" i="34" s="1"/>
  <c r="D91" i="36"/>
  <c r="L11" i="34" s="1"/>
  <c r="D88" i="36"/>
  <c r="D90" i="36"/>
  <c r="D87" i="36"/>
  <c r="L5" i="34" s="1"/>
  <c r="D444" i="36"/>
  <c r="D302" i="36"/>
  <c r="M66" i="46"/>
  <c r="E222" i="46"/>
  <c r="E207" i="46"/>
  <c r="M207" i="46"/>
  <c r="D43" i="36"/>
  <c r="AA156" i="3" s="1"/>
  <c r="M37" i="46"/>
  <c r="E179" i="46"/>
  <c r="E247" i="46"/>
  <c r="E206" i="46"/>
  <c r="D365" i="36"/>
  <c r="D364" i="36"/>
  <c r="H4" i="47"/>
  <c r="D77" i="36"/>
  <c r="D261" i="36"/>
  <c r="C58" i="46" s="1"/>
  <c r="D44" i="36"/>
  <c r="AH158" i="3" s="1"/>
  <c r="D368" i="36"/>
  <c r="D508" i="36"/>
  <c r="D57" i="36"/>
  <c r="AO5" i="3" s="1"/>
  <c r="AO29" i="3" s="1"/>
  <c r="D262" i="36"/>
  <c r="C59" i="46" s="1"/>
  <c r="D45" i="36"/>
  <c r="AA159" i="3" s="1"/>
  <c r="D511" i="36"/>
  <c r="D59" i="36"/>
  <c r="AQ5" i="3" s="1"/>
  <c r="D264" i="36"/>
  <c r="H256" i="46" s="1"/>
  <c r="D370" i="36"/>
  <c r="D512" i="36"/>
  <c r="D60" i="36"/>
  <c r="AR5" i="3" s="1"/>
  <c r="AR61" i="3" s="1"/>
  <c r="D135" i="36"/>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R4" i="47"/>
  <c r="S267" i="46"/>
  <c r="H228" i="46"/>
  <c r="H257" i="46"/>
  <c r="AJ3" i="3"/>
  <c r="AJ60" i="3" s="1"/>
  <c r="K132" i="46"/>
  <c r="K144" i="46"/>
  <c r="H202" i="46"/>
  <c r="D21" i="36"/>
  <c r="AF3" i="3" s="1"/>
  <c r="AF51" i="3" s="1"/>
  <c r="D507" i="36"/>
  <c r="C61" i="46"/>
  <c r="Q23" i="6"/>
  <c r="K5" i="46"/>
  <c r="C56" i="46" s="1"/>
  <c r="H216" i="46"/>
  <c r="K134" i="46" l="1"/>
  <c r="Q27" i="46"/>
  <c r="H211" i="46"/>
  <c r="Q22" i="6"/>
  <c r="H215" i="46"/>
  <c r="K152" i="46"/>
  <c r="M20" i="46"/>
  <c r="AJ84" i="3"/>
  <c r="AJ36" i="3"/>
  <c r="K142" i="46"/>
  <c r="C41" i="46"/>
  <c r="R7" i="51"/>
  <c r="Q56" i="46"/>
  <c r="K12" i="30"/>
  <c r="D424" i="36"/>
  <c r="D408" i="36"/>
  <c r="D392" i="36"/>
  <c r="D376" i="36"/>
  <c r="D350" i="36"/>
  <c r="D440" i="36"/>
  <c r="D299" i="36"/>
  <c r="C5" i="46" s="1"/>
  <c r="D328" i="36"/>
  <c r="C32" i="46" s="1"/>
  <c r="K138" i="46"/>
  <c r="K153" i="46"/>
  <c r="D56" i="36"/>
  <c r="AN5" i="3" s="1"/>
  <c r="AN45" i="3" s="1"/>
  <c r="D102" i="36"/>
  <c r="D34" i="36"/>
  <c r="W152" i="3" s="1"/>
  <c r="D183" i="36"/>
  <c r="K113" i="46" s="1"/>
  <c r="D326" i="36"/>
  <c r="C30" i="46" s="1"/>
  <c r="D347" i="36"/>
  <c r="D67" i="36"/>
  <c r="AA158" i="3"/>
  <c r="M256" i="46" s="1"/>
  <c r="AR256" i="46" s="1"/>
  <c r="C7" i="46"/>
  <c r="K160" i="46"/>
  <c r="K139" i="46"/>
  <c r="D505" i="36"/>
  <c r="D61" i="36"/>
  <c r="AS5" i="3" s="1"/>
  <c r="AS101" i="3" s="1"/>
  <c r="D46" i="36"/>
  <c r="D510" i="36"/>
  <c r="D366" i="36"/>
  <c r="D445" i="36"/>
  <c r="D99" i="36"/>
  <c r="L23" i="34" s="1"/>
  <c r="D104" i="36"/>
  <c r="L32" i="34" s="1"/>
  <c r="D200" i="36"/>
  <c r="K215" i="46" s="1"/>
  <c r="D456" i="36"/>
  <c r="D470" i="36"/>
  <c r="D455" i="36"/>
  <c r="K78" i="46" s="1"/>
  <c r="D191" i="36"/>
  <c r="K121" i="46" s="1"/>
  <c r="D189" i="36"/>
  <c r="K119" i="46" s="1"/>
  <c r="D37" i="36"/>
  <c r="W156" i="3" s="1"/>
  <c r="D318" i="36"/>
  <c r="C22" i="46" s="1"/>
  <c r="D478" i="36"/>
  <c r="D501" i="36"/>
  <c r="H5" i="51" s="1"/>
  <c r="D73" i="36"/>
  <c r="D315" i="36"/>
  <c r="C19" i="46" s="1"/>
  <c r="D355" i="36"/>
  <c r="D435" i="36"/>
  <c r="D469" i="36"/>
  <c r="D17" i="36"/>
  <c r="Y3" i="3" s="1"/>
  <c r="Y100" i="3" s="1"/>
  <c r="D30" i="36"/>
  <c r="W145" i="3" s="1"/>
  <c r="D52" i="36"/>
  <c r="AM149" i="3" s="1"/>
  <c r="D118" i="36"/>
  <c r="D70" i="36"/>
  <c r="D25" i="36"/>
  <c r="W99" i="3" s="1"/>
  <c r="D423" i="36"/>
  <c r="D407" i="36"/>
  <c r="D391" i="36"/>
  <c r="D375" i="36"/>
  <c r="D349" i="36"/>
  <c r="D439" i="36"/>
  <c r="D308" i="36"/>
  <c r="C12" i="46" s="1"/>
  <c r="D331" i="36"/>
  <c r="C35" i="46" s="1"/>
  <c r="Q59" i="46"/>
  <c r="K137" i="46"/>
  <c r="Q201" i="46"/>
  <c r="D266" i="36"/>
  <c r="L2" i="32" s="1"/>
  <c r="D96" i="36"/>
  <c r="L18" i="34" s="1"/>
  <c r="D270" i="36"/>
  <c r="D498" i="36"/>
  <c r="D454" i="36"/>
  <c r="D4" i="47" s="1"/>
  <c r="D128" i="36"/>
  <c r="K150" i="46"/>
  <c r="L4" i="47"/>
  <c r="D55" i="36"/>
  <c r="AM5" i="3" s="1"/>
  <c r="D263" i="36"/>
  <c r="D78" i="36"/>
  <c r="I4" i="47"/>
  <c r="D509" i="36"/>
  <c r="D103" i="36"/>
  <c r="L6" i="34" s="1"/>
  <c r="D93" i="36"/>
  <c r="L13" i="34" s="1"/>
  <c r="D202" i="36"/>
  <c r="K236" i="46" s="1"/>
  <c r="D154" i="36"/>
  <c r="K84" i="46" s="1"/>
  <c r="D372" i="36"/>
  <c r="D156" i="36"/>
  <c r="D457" i="36"/>
  <c r="D141" i="36"/>
  <c r="K209" i="46" s="1"/>
  <c r="D276" i="36"/>
  <c r="D310" i="36"/>
  <c r="C14" i="46" s="1"/>
  <c r="D481" i="36"/>
  <c r="G3" i="50" s="1"/>
  <c r="D503" i="36"/>
  <c r="D72" i="36"/>
  <c r="D306" i="36"/>
  <c r="C10" i="46" s="1"/>
  <c r="D363" i="36"/>
  <c r="D438" i="36"/>
  <c r="D48" i="36"/>
  <c r="C9" i="30" s="1"/>
  <c r="D63" i="36"/>
  <c r="Z4" i="3" s="1"/>
  <c r="D83" i="36"/>
  <c r="B16" i="34" s="1"/>
  <c r="D123" i="36"/>
  <c r="D126" i="36"/>
  <c r="D66" i="36"/>
  <c r="D26" i="36"/>
  <c r="W118" i="3" s="1"/>
  <c r="D85" i="36"/>
  <c r="C19" i="34" s="1"/>
  <c r="D420" i="36"/>
  <c r="D404" i="36"/>
  <c r="D388" i="36"/>
  <c r="D362" i="36"/>
  <c r="D346" i="36"/>
  <c r="D436" i="36"/>
  <c r="D309" i="36"/>
  <c r="C13" i="46" s="1"/>
  <c r="D335" i="36"/>
  <c r="D146" i="36"/>
  <c r="K239" i="46" s="1"/>
  <c r="M7" i="46"/>
  <c r="AJ52" i="3"/>
  <c r="D369" i="36"/>
  <c r="D446" i="36"/>
  <c r="D269" i="36"/>
  <c r="D144" i="36"/>
  <c r="K231" i="46" s="1"/>
  <c r="D492" i="36"/>
  <c r="D324" i="36"/>
  <c r="C28" i="46" s="1"/>
  <c r="D69" i="36"/>
  <c r="D121" i="36"/>
  <c r="AL5" i="3"/>
  <c r="AY5" i="3" s="1"/>
  <c r="D506" i="36"/>
  <c r="K148" i="46"/>
  <c r="Q4" i="47"/>
  <c r="D373" i="36"/>
  <c r="D58" i="36"/>
  <c r="AP5" i="3" s="1"/>
  <c r="AP85" i="3" s="1"/>
  <c r="D76" i="36"/>
  <c r="D100" i="36"/>
  <c r="L25" i="34" s="1"/>
  <c r="D153" i="36"/>
  <c r="K83" i="46" s="1"/>
  <c r="D162" i="36"/>
  <c r="K92" i="46" s="1"/>
  <c r="D155" i="36"/>
  <c r="K85" i="46" s="1"/>
  <c r="D164" i="36"/>
  <c r="K94" i="46" s="1"/>
  <c r="D461" i="36"/>
  <c r="K218" i="46" s="1"/>
  <c r="D149" i="36"/>
  <c r="K249" i="46" s="1"/>
  <c r="C62" i="46" s="1"/>
  <c r="D174" i="36"/>
  <c r="K104" i="46" s="1"/>
  <c r="D157" i="36"/>
  <c r="K87" i="46" s="1"/>
  <c r="D491" i="36"/>
  <c r="D496" i="36"/>
  <c r="D464" i="36"/>
  <c r="D332" i="36"/>
  <c r="C36" i="46" s="1"/>
  <c r="D381" i="36"/>
  <c r="D343" i="36"/>
  <c r="C47" i="46" s="1"/>
  <c r="D68" i="36"/>
  <c r="D16" i="36"/>
  <c r="X3" i="3" s="1"/>
  <c r="X130" i="3" s="1"/>
  <c r="D125" i="36"/>
  <c r="D122" i="36"/>
  <c r="D115" i="36"/>
  <c r="D27" i="36"/>
  <c r="W129" i="3" s="1"/>
  <c r="D285" i="36"/>
  <c r="D8" i="36"/>
  <c r="D419" i="36"/>
  <c r="D403" i="36"/>
  <c r="D387" i="36"/>
  <c r="D361" i="36"/>
  <c r="D345" i="36"/>
  <c r="D434" i="36"/>
  <c r="D311" i="36"/>
  <c r="C15" i="46" s="1"/>
  <c r="D336" i="36"/>
  <c r="K136" i="46"/>
  <c r="K158" i="46"/>
  <c r="D107" i="36"/>
  <c r="M84" i="34" s="1"/>
  <c r="D41" i="36"/>
  <c r="D443" i="36"/>
  <c r="D199" i="36"/>
  <c r="K189" i="46" s="1"/>
  <c r="D158" i="36"/>
  <c r="K88" i="46" s="1"/>
  <c r="D74" i="36"/>
  <c r="AY3" i="3" s="1"/>
  <c r="D422" i="36"/>
  <c r="D117" i="36"/>
  <c r="D20" i="36"/>
  <c r="AD3" i="3" s="1"/>
  <c r="K154" i="46"/>
  <c r="D442" i="36"/>
  <c r="D50" i="46" s="1"/>
  <c r="D19" i="36"/>
  <c r="AA3" i="3" s="1"/>
  <c r="AA91" i="3" s="1"/>
  <c r="D75" i="36"/>
  <c r="D101" i="36"/>
  <c r="L27" i="34" s="1"/>
  <c r="D105" i="36"/>
  <c r="L35" i="34" s="1"/>
  <c r="D161" i="36"/>
  <c r="K91" i="46" s="1"/>
  <c r="D170" i="36"/>
  <c r="K100" i="46" s="1"/>
  <c r="D163" i="36"/>
  <c r="K93" i="46" s="1"/>
  <c r="D172" i="36"/>
  <c r="D465" i="36"/>
  <c r="O4" i="47" s="1"/>
  <c r="D273" i="36"/>
  <c r="D145" i="36"/>
  <c r="K235" i="46" s="1"/>
  <c r="D460" i="36"/>
  <c r="D499" i="36"/>
  <c r="H7" i="51" s="1"/>
  <c r="D485" i="36"/>
  <c r="D197" i="36"/>
  <c r="K127" i="46" s="1"/>
  <c r="D323" i="36"/>
  <c r="C27" i="46" s="1"/>
  <c r="D389" i="36"/>
  <c r="D348" i="36"/>
  <c r="D281" i="36"/>
  <c r="D127" i="36"/>
  <c r="D116" i="36"/>
  <c r="D82" i="36"/>
  <c r="B15" i="34" s="1"/>
  <c r="D28" i="36"/>
  <c r="W136" i="3" s="1"/>
  <c r="D7" i="36"/>
  <c r="C5" i="30" s="1"/>
  <c r="D6" i="36"/>
  <c r="D418" i="36"/>
  <c r="D402" i="36"/>
  <c r="D386" i="36"/>
  <c r="D360" i="36"/>
  <c r="D344" i="36"/>
  <c r="M7" i="51" s="1"/>
  <c r="D451" i="36"/>
  <c r="B1" i="47" s="1"/>
  <c r="D312" i="36"/>
  <c r="C16" i="46" s="1"/>
  <c r="Q60" i="46"/>
  <c r="Q244" i="46"/>
  <c r="AC3" i="3"/>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O26" i="46" s="1"/>
  <c r="AH155" i="3"/>
  <c r="AG155" i="3" s="1"/>
  <c r="H212" i="46"/>
  <c r="H222" i="46"/>
  <c r="H220" i="46"/>
  <c r="H227" i="46"/>
  <c r="H229" i="46"/>
  <c r="Q45" i="46"/>
  <c r="AF45" i="46" s="1"/>
  <c r="H210" i="46"/>
  <c r="AH159" i="3"/>
  <c r="K227" i="46"/>
  <c r="H251" i="46"/>
  <c r="H258" i="46"/>
  <c r="H247" i="46"/>
  <c r="AJ76" i="3"/>
  <c r="T1" i="6"/>
  <c r="AH156" i="3"/>
  <c r="AG156" i="3" s="1"/>
  <c r="H223" i="46"/>
  <c r="H200" i="46"/>
  <c r="H252" i="46"/>
  <c r="H226" i="46"/>
  <c r="K151" i="46"/>
  <c r="Q25" i="6"/>
  <c r="K229" i="46"/>
  <c r="J5" i="46"/>
  <c r="H255" i="46"/>
  <c r="AJ92" i="3"/>
  <c r="AL77" i="3"/>
  <c r="AY77" i="3" s="1"/>
  <c r="AL61" i="3"/>
  <c r="AY61"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BD47" i="46" s="1"/>
  <c r="P202" i="46"/>
  <c r="P206" i="46"/>
  <c r="Q202" i="46"/>
  <c r="Q223" i="46"/>
  <c r="Q7" i="46"/>
  <c r="BA7" i="46" s="1"/>
  <c r="Q52" i="46"/>
  <c r="AU52" i="46" s="1"/>
  <c r="Q53" i="46"/>
  <c r="AC53" i="46" s="1"/>
  <c r="Q58" i="46"/>
  <c r="BJ58" i="46" s="1"/>
  <c r="Q62" i="46"/>
  <c r="Q66" i="46"/>
  <c r="BA66" i="46" s="1"/>
  <c r="Q74" i="46"/>
  <c r="CB74" i="46" s="1"/>
  <c r="Q9" i="46"/>
  <c r="Q36" i="46"/>
  <c r="CH36" i="46" s="1"/>
  <c r="Q40" i="46"/>
  <c r="Q44" i="46"/>
  <c r="T44" i="46" s="1"/>
  <c r="Q30" i="46"/>
  <c r="P203" i="46"/>
  <c r="Q203" i="46"/>
  <c r="Q207" i="46"/>
  <c r="Q65" i="46"/>
  <c r="BY65" i="46" s="1"/>
  <c r="Q232" i="46"/>
  <c r="Q33" i="46"/>
  <c r="BG33" i="46" s="1"/>
  <c r="Q37" i="46"/>
  <c r="AU37" i="46" s="1"/>
  <c r="Q41" i="46"/>
  <c r="BG41" i="46" s="1"/>
  <c r="Q49" i="46"/>
  <c r="AO49" i="46" s="1"/>
  <c r="P204" i="46"/>
  <c r="P247" i="46"/>
  <c r="Q39" i="46"/>
  <c r="Q77" i="46"/>
  <c r="P222" i="46"/>
  <c r="T77" i="46"/>
  <c r="M177" i="46"/>
  <c r="M169" i="46"/>
  <c r="M255" i="46"/>
  <c r="BA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H176" i="46"/>
  <c r="H196" i="46"/>
  <c r="H186" i="46"/>
  <c r="Q21" i="6"/>
  <c r="H166" i="46"/>
  <c r="H193" i="46"/>
  <c r="H139" i="46"/>
  <c r="H174" i="46"/>
  <c r="H178" i="46"/>
  <c r="H130" i="46"/>
  <c r="H170" i="46"/>
  <c r="H164" i="46"/>
  <c r="H188" i="46"/>
  <c r="H190" i="46"/>
  <c r="H182" i="46"/>
  <c r="M257" i="46"/>
  <c r="AG159" i="3"/>
  <c r="Y67" i="3"/>
  <c r="AO256" i="46"/>
  <c r="BM256" i="46"/>
  <c r="AC256" i="46"/>
  <c r="BA256" i="46"/>
  <c r="AF142" i="3"/>
  <c r="AF137" i="3"/>
  <c r="H217" i="46"/>
  <c r="H203" i="46"/>
  <c r="H142" i="46"/>
  <c r="H135" i="46"/>
  <c r="H157" i="46"/>
  <c r="H149" i="46"/>
  <c r="C50" i="46"/>
  <c r="H159" i="46"/>
  <c r="AH244" i="46"/>
  <c r="BF244" i="46"/>
  <c r="CD244" i="46"/>
  <c r="AK244" i="46"/>
  <c r="BI244" i="46"/>
  <c r="CG244" i="46"/>
  <c r="AN244" i="46"/>
  <c r="BL244" i="46"/>
  <c r="CJ244" i="46"/>
  <c r="AQ244" i="46"/>
  <c r="BO244" i="46"/>
  <c r="CM244" i="46"/>
  <c r="AT244" i="46"/>
  <c r="BR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AQ6" i="46"/>
  <c r="AT6" i="46"/>
  <c r="AW6" i="46"/>
  <c r="AX255" i="46"/>
  <c r="BV255" i="46"/>
  <c r="BJ255" i="46"/>
  <c r="AF75" i="3"/>
  <c r="K129" i="46"/>
  <c r="H131" i="46"/>
  <c r="H250" i="46"/>
  <c r="H158" i="46"/>
  <c r="H151" i="46"/>
  <c r="H137" i="46"/>
  <c r="H206" i="46"/>
  <c r="AE232" i="46"/>
  <c r="BC232" i="46"/>
  <c r="CA232" i="46"/>
  <c r="AH232" i="46"/>
  <c r="BF232" i="46"/>
  <c r="BI232" i="46"/>
  <c r="CJ232" i="46"/>
  <c r="AB232" i="46"/>
  <c r="BL232" i="46"/>
  <c r="CM232" i="46"/>
  <c r="AK232" i="46"/>
  <c r="BO232" i="46"/>
  <c r="AN232" i="46"/>
  <c r="BR232" i="46"/>
  <c r="AQ232" i="46"/>
  <c r="BU232" i="46"/>
  <c r="AT232" i="46"/>
  <c r="BX232" i="46"/>
  <c r="AW232" i="46"/>
  <c r="CD232" i="46"/>
  <c r="AZ232" i="46"/>
  <c r="CG232" i="46"/>
  <c r="AT30" i="46"/>
  <c r="BR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AB54" i="46"/>
  <c r="AZ54" i="46"/>
  <c r="BX54" i="46"/>
  <c r="AE54" i="46"/>
  <c r="BC54" i="46"/>
  <c r="CA54" i="46"/>
  <c r="AK54" i="46"/>
  <c r="BO54" i="46"/>
  <c r="AN54" i="46"/>
  <c r="BR54" i="46"/>
  <c r="AQ54" i="46"/>
  <c r="BU54" i="46"/>
  <c r="AT54" i="46"/>
  <c r="CD54" i="46"/>
  <c r="AW54" i="46"/>
  <c r="CG54" i="46"/>
  <c r="BI54" i="46"/>
  <c r="BL54" i="46"/>
  <c r="CJ54" i="46"/>
  <c r="CM54" i="46"/>
  <c r="AH54" i="46"/>
  <c r="BF54" i="46"/>
  <c r="D367" i="36"/>
  <c r="AF91" i="3"/>
  <c r="AF67" i="3"/>
  <c r="AL85" i="3"/>
  <c r="AY85" i="3" s="1"/>
  <c r="AJ28" i="3"/>
  <c r="H244" i="46"/>
  <c r="H201" i="46"/>
  <c r="H214" i="46"/>
  <c r="H155" i="46"/>
  <c r="H140" i="46"/>
  <c r="H138" i="46"/>
  <c r="AK253" i="46"/>
  <c r="AZ253" i="46"/>
  <c r="AQ253" i="46"/>
  <c r="BI253" i="46"/>
  <c r="BX253" i="46"/>
  <c r="AB253" i="46"/>
  <c r="AT253" i="46"/>
  <c r="CM253" i="46"/>
  <c r="BL253" i="46"/>
  <c r="CA253" i="46"/>
  <c r="AE253" i="46"/>
  <c r="AW253" i="46"/>
  <c r="BO253" i="46"/>
  <c r="CD253" i="46"/>
  <c r="AH253" i="46"/>
  <c r="BR253" i="46"/>
  <c r="BC253" i="46"/>
  <c r="CG253" i="46"/>
  <c r="CJ253" i="46"/>
  <c r="AN253" i="46"/>
  <c r="BF253" i="46"/>
  <c r="BU253" i="46"/>
  <c r="AN220" i="46"/>
  <c r="BL220" i="46"/>
  <c r="CJ220" i="46"/>
  <c r="AQ220" i="46"/>
  <c r="BO220" i="46"/>
  <c r="CM220" i="46"/>
  <c r="AT220" i="46"/>
  <c r="BX220" i="46"/>
  <c r="AW220" i="46"/>
  <c r="CA220" i="46"/>
  <c r="AZ220" i="46"/>
  <c r="CD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AB200" i="46"/>
  <c r="BC200" i="46"/>
  <c r="BF200" i="46"/>
  <c r="CM200"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K26" i="46"/>
  <c r="BP26" i="46"/>
  <c r="AU26" i="46"/>
  <c r="BS26" i="46"/>
  <c r="Z26" i="46"/>
  <c r="AX26" i="46"/>
  <c r="BV26" i="46"/>
  <c r="AC26" i="46"/>
  <c r="AX21" i="46"/>
  <c r="BP21" i="46"/>
  <c r="BG26" i="46"/>
  <c r="CB26" i="46"/>
  <c r="CE26" i="46"/>
  <c r="Z21" i="46"/>
  <c r="AF26" i="46"/>
  <c r="AI26" i="46"/>
  <c r="BJ26" i="46"/>
  <c r="AO33" i="46"/>
  <c r="BM33" i="46"/>
  <c r="CK33" i="46"/>
  <c r="BV17" i="46"/>
  <c r="CH26" i="46"/>
  <c r="CN33" i="46"/>
  <c r="AF33" i="46"/>
  <c r="AL36" i="46"/>
  <c r="BD33" i="46"/>
  <c r="AU36" i="46"/>
  <c r="CN41" i="46"/>
  <c r="AO45" i="46"/>
  <c r="BM45" i="46"/>
  <c r="BV33" i="46"/>
  <c r="AI47" i="46"/>
  <c r="BG47" i="46"/>
  <c r="BJ47" i="46"/>
  <c r="CH47" i="46"/>
  <c r="AR49" i="46"/>
  <c r="AU45" i="46"/>
  <c r="CK47" i="46"/>
  <c r="AU49" i="46"/>
  <c r="BS49" i="46"/>
  <c r="BV49" i="46"/>
  <c r="BY33" i="46"/>
  <c r="Z45" i="46"/>
  <c r="BY49" i="46"/>
  <c r="CB33" i="46"/>
  <c r="BJ52" i="46"/>
  <c r="AC56" i="46"/>
  <c r="BA56" i="46"/>
  <c r="BY56" i="46"/>
  <c r="BM52" i="46"/>
  <c r="CK52" i="46"/>
  <c r="AF56" i="46"/>
  <c r="BD56" i="46"/>
  <c r="CB56" i="46"/>
  <c r="BD45" i="46"/>
  <c r="AR52" i="46"/>
  <c r="BP52" i="46"/>
  <c r="CN52" i="46"/>
  <c r="CE56" i="46"/>
  <c r="Z37" i="46"/>
  <c r="Z47" i="46"/>
  <c r="CB47" i="46"/>
  <c r="BJ53" i="46"/>
  <c r="BJ56" i="46"/>
  <c r="Z52" i="46"/>
  <c r="AX52" i="46"/>
  <c r="BV52" i="46"/>
  <c r="CK56" i="46"/>
  <c r="CN56" i="46"/>
  <c r="Z58" i="46"/>
  <c r="AU62" i="46"/>
  <c r="BS62" i="46"/>
  <c r="AL63" i="46"/>
  <c r="BJ63" i="46"/>
  <c r="CH63" i="46"/>
  <c r="BG52" i="46"/>
  <c r="Z62" i="46"/>
  <c r="AX62" i="46"/>
  <c r="BV62" i="46"/>
  <c r="AO63" i="46"/>
  <c r="BM63" i="46"/>
  <c r="CK63" i="46"/>
  <c r="AU53" i="46"/>
  <c r="AF58" i="46"/>
  <c r="AC62" i="46"/>
  <c r="BA62" i="46"/>
  <c r="BY62" i="46"/>
  <c r="AR63" i="46"/>
  <c r="BP63" i="46"/>
  <c r="CN63" i="46"/>
  <c r="Z65" i="46"/>
  <c r="CB52" i="46"/>
  <c r="AU56" i="46"/>
  <c r="AR58" i="46"/>
  <c r="AF62" i="46"/>
  <c r="BD62" i="46"/>
  <c r="CB62" i="46"/>
  <c r="AU63" i="46"/>
  <c r="BS63" i="46"/>
  <c r="CE52" i="46"/>
  <c r="AX56" i="46"/>
  <c r="AI62" i="46"/>
  <c r="BG62" i="46"/>
  <c r="CE62" i="46"/>
  <c r="Z63" i="46"/>
  <c r="AX63" i="46"/>
  <c r="BV63" i="46"/>
  <c r="BP62" i="46"/>
  <c r="BA63" i="46"/>
  <c r="AL66" i="46"/>
  <c r="BJ66" i="46"/>
  <c r="CH66" i="46"/>
  <c r="CH62" i="46"/>
  <c r="BD63" i="46"/>
  <c r="BM66" i="46"/>
  <c r="CK66" i="46"/>
  <c r="CK62" i="46"/>
  <c r="BG63" i="46"/>
  <c r="BP66" i="46"/>
  <c r="AL62" i="46"/>
  <c r="CN62" i="46"/>
  <c r="BY63" i="46"/>
  <c r="AU66" i="46"/>
  <c r="BS66" i="46"/>
  <c r="AO62" i="46"/>
  <c r="CB63" i="46"/>
  <c r="Z66" i="46"/>
  <c r="AX66" i="46"/>
  <c r="BV66" i="46"/>
  <c r="AR62" i="46"/>
  <c r="CE63" i="46"/>
  <c r="AL75" i="46"/>
  <c r="BJ75" i="46"/>
  <c r="CH75" i="46"/>
  <c r="BM62" i="46"/>
  <c r="AR75" i="46"/>
  <c r="BP75" i="46"/>
  <c r="CN75" i="46"/>
  <c r="AF52" i="46"/>
  <c r="BD66" i="46"/>
  <c r="AF74" i="46"/>
  <c r="AU75" i="46"/>
  <c r="BS75" i="46"/>
  <c r="AI52" i="46"/>
  <c r="BG66" i="46"/>
  <c r="AI74" i="46"/>
  <c r="BG74" i="46"/>
  <c r="CE74" i="46"/>
  <c r="Z75" i="46"/>
  <c r="AX75" i="46"/>
  <c r="BV75" i="46"/>
  <c r="AC63" i="46"/>
  <c r="BY66" i="46"/>
  <c r="BV74" i="46"/>
  <c r="BM75" i="46"/>
  <c r="AO77" i="46"/>
  <c r="BM77" i="46"/>
  <c r="CK77" i="46"/>
  <c r="AC75" i="46"/>
  <c r="BY75" i="46"/>
  <c r="AR77" i="46"/>
  <c r="BP77" i="46"/>
  <c r="CN77" i="46"/>
  <c r="AO74" i="46"/>
  <c r="CK74" i="46"/>
  <c r="AF75" i="46"/>
  <c r="CB75" i="46"/>
  <c r="AU77" i="46"/>
  <c r="BS77" i="46"/>
  <c r="BJ62" i="46"/>
  <c r="CN74" i="46"/>
  <c r="AI75" i="46"/>
  <c r="CE75" i="46"/>
  <c r="Z77" i="46"/>
  <c r="AX77" i="46"/>
  <c r="BV77" i="46"/>
  <c r="AF63" i="46"/>
  <c r="AI66" i="46"/>
  <c r="AO75" i="46"/>
  <c r="CK75" i="46"/>
  <c r="AC77" i="46"/>
  <c r="BA77" i="46"/>
  <c r="BY77" i="46"/>
  <c r="AI63" i="46"/>
  <c r="CB66" i="46"/>
  <c r="BA75" i="46"/>
  <c r="AF77" i="46"/>
  <c r="BD77" i="46"/>
  <c r="CB77" i="46"/>
  <c r="BS56" i="46"/>
  <c r="BJ77" i="46"/>
  <c r="CE77" i="46"/>
  <c r="BV56" i="46"/>
  <c r="CH77" i="46"/>
  <c r="BD75" i="46"/>
  <c r="BG75" i="46"/>
  <c r="AI77" i="46"/>
  <c r="AL77"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49" i="46"/>
  <c r="K242" i="46"/>
  <c r="K157" i="46"/>
  <c r="H154" i="46"/>
  <c r="Q20" i="6"/>
  <c r="H136" i="46"/>
  <c r="K159" i="46"/>
  <c r="K124" i="46"/>
  <c r="K145" i="46"/>
  <c r="K105" i="46"/>
  <c r="H146" i="46"/>
  <c r="K86" i="46"/>
  <c r="K109" i="46"/>
  <c r="AA130" i="3"/>
  <c r="AA51" i="3"/>
  <c r="DT51" i="3" s="1"/>
  <c r="AA11" i="3"/>
  <c r="AA27" i="3" s="1"/>
  <c r="AA43" i="3" s="1"/>
  <c r="AA142" i="3"/>
  <c r="AA19" i="3"/>
  <c r="AA35" i="3" s="1"/>
  <c r="AA146" i="3"/>
  <c r="AA67" i="3"/>
  <c r="AA59" i="3"/>
  <c r="AA119" i="3"/>
  <c r="AA75" i="3"/>
  <c r="DT75" i="3" s="1"/>
  <c r="K214" i="46"/>
  <c r="P175" i="46"/>
  <c r="P167" i="46"/>
  <c r="M179" i="46"/>
  <c r="M178" i="46"/>
  <c r="T257" i="46"/>
  <c r="AC75" i="3"/>
  <c r="AC100" i="3"/>
  <c r="AC67" i="3"/>
  <c r="AC43" i="3"/>
  <c r="AC51" i="3"/>
  <c r="AC119" i="3"/>
  <c r="AC35" i="3"/>
  <c r="AC11" i="3"/>
  <c r="AC19" i="3"/>
  <c r="AC142" i="3"/>
  <c r="AD27" i="3"/>
  <c r="AD142" i="3"/>
  <c r="AD91" i="3"/>
  <c r="AD51" i="3"/>
  <c r="AD67" i="3"/>
  <c r="X142"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21" i="3"/>
  <c r="BK5" i="3"/>
  <c r="BK57" i="3" s="1"/>
  <c r="AS77" i="3"/>
  <c r="Z92" i="3"/>
  <c r="Z37" i="3"/>
  <c r="Z13" i="3"/>
  <c r="Z68" i="3"/>
  <c r="Z45" i="3"/>
  <c r="Z20" i="3"/>
  <c r="Z53" i="3"/>
  <c r="Z84" i="3"/>
  <c r="Z5" i="3"/>
  <c r="Z77" i="3"/>
  <c r="Z76" i="3"/>
  <c r="Z52" i="3"/>
  <c r="Z93" i="3"/>
  <c r="Z29" i="3"/>
  <c r="Z61" i="3"/>
  <c r="Z12" i="3"/>
  <c r="Z85" i="3"/>
  <c r="Z21" i="3"/>
  <c r="Z44" i="3"/>
  <c r="Z28" i="3"/>
  <c r="Z60" i="3"/>
  <c r="Z36" i="3"/>
  <c r="Z69" i="3"/>
  <c r="D15" i="51"/>
  <c r="K195" i="46"/>
  <c r="K241"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AP77" i="3"/>
  <c r="AP101" i="3"/>
  <c r="AP29" i="3"/>
  <c r="AP61" i="3"/>
  <c r="AP37" i="3"/>
  <c r="AP13" i="3"/>
  <c r="AP93" i="3"/>
  <c r="AP21"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37" i="3"/>
  <c r="AN77" i="3"/>
  <c r="AN29" i="3"/>
  <c r="BF5" i="3"/>
  <c r="BF57" i="3" s="1"/>
  <c r="AN13" i="3"/>
  <c r="AN61" i="3"/>
  <c r="AN53" i="3"/>
  <c r="AN69"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X83" i="3" l="1"/>
  <c r="X91" i="3"/>
  <c r="AC45" i="46"/>
  <c r="BY58" i="46"/>
  <c r="BV58" i="46"/>
  <c r="BJ45" i="46"/>
  <c r="CK45" i="46"/>
  <c r="CH255" i="46"/>
  <c r="Y146" i="3"/>
  <c r="AL58" i="46"/>
  <c r="Y83" i="3"/>
  <c r="Y59" i="3"/>
  <c r="Y142" i="3"/>
  <c r="Y75" i="3"/>
  <c r="X119" i="3"/>
  <c r="CE65" i="46"/>
  <c r="AU65" i="46"/>
  <c r="BP65" i="46"/>
  <c r="AU58" i="46"/>
  <c r="BV65" i="46"/>
  <c r="Y51" i="3"/>
  <c r="X146" i="3"/>
  <c r="K238" i="46"/>
  <c r="X51" i="3"/>
  <c r="CH45" i="46"/>
  <c r="AC65" i="46"/>
  <c r="AO65" i="46"/>
  <c r="BP58" i="46"/>
  <c r="BG45" i="46"/>
  <c r="Y119" i="3"/>
  <c r="E4" i="47"/>
  <c r="X67" i="3"/>
  <c r="CB45" i="46"/>
  <c r="BS45" i="46"/>
  <c r="Y137" i="3"/>
  <c r="X59" i="3"/>
  <c r="X75" i="3"/>
  <c r="X137" i="3"/>
  <c r="CN58" i="46"/>
  <c r="BM58" i="46"/>
  <c r="Y19" i="3"/>
  <c r="Y35" i="3" s="1"/>
  <c r="AL65" i="46"/>
  <c r="X100" i="3"/>
  <c r="BA58" i="46"/>
  <c r="AI45" i="46"/>
  <c r="Y91" i="3"/>
  <c r="CB58" i="46"/>
  <c r="X19" i="3"/>
  <c r="X35" i="3" s="1"/>
  <c r="AI65" i="46"/>
  <c r="CE45" i="46"/>
  <c r="CN65" i="46"/>
  <c r="BS58" i="46"/>
  <c r="CE53" i="46"/>
  <c r="CE58" i="46"/>
  <c r="BP45" i="46"/>
  <c r="Y130" i="3"/>
  <c r="DT91" i="3"/>
  <c r="X11" i="3"/>
  <c r="X27" i="3" s="1"/>
  <c r="X43" i="3" s="1"/>
  <c r="BG65" i="46"/>
  <c r="CB65" i="46"/>
  <c r="BS65" i="46"/>
  <c r="AC58" i="46"/>
  <c r="BG58" i="46"/>
  <c r="AX45" i="46"/>
  <c r="AL45" i="46"/>
  <c r="Y11" i="3"/>
  <c r="Y27" i="3" s="1"/>
  <c r="Y43" i="3" s="1"/>
  <c r="BA65" i="46"/>
  <c r="AI58" i="46"/>
  <c r="AI56" i="46"/>
  <c r="F4" i="47"/>
  <c r="K128" i="46"/>
  <c r="BP41" i="46"/>
  <c r="N4" i="47"/>
  <c r="K234" i="46"/>
  <c r="DT119" i="3"/>
  <c r="K210" i="46"/>
  <c r="DT142" i="3"/>
  <c r="BJ74" i="46"/>
  <c r="BD74" i="46"/>
  <c r="AI49" i="46"/>
  <c r="BS41" i="46"/>
  <c r="Z36" i="46"/>
  <c r="AC41" i="46"/>
  <c r="BP49" i="46"/>
  <c r="CE47" i="46"/>
  <c r="BS36" i="46"/>
  <c r="BJ36" i="46"/>
  <c r="AI33" i="46"/>
  <c r="AO255" i="46"/>
  <c r="AC255" i="46"/>
  <c r="AG158" i="3"/>
  <c r="BY256" i="46"/>
  <c r="CK256" i="46"/>
  <c r="AZ61" i="3"/>
  <c r="AZ37" i="3"/>
  <c r="AZ69" i="3"/>
  <c r="AZ21" i="3"/>
  <c r="AZ77" i="3"/>
  <c r="AZ45" i="3"/>
  <c r="AZ5" i="3"/>
  <c r="AZ85" i="3"/>
  <c r="AZ13" i="3"/>
  <c r="AZ29" i="3"/>
  <c r="AZ53" i="3"/>
  <c r="AZ93" i="3"/>
  <c r="S4" i="47"/>
  <c r="K259" i="46"/>
  <c r="BA49" i="46"/>
  <c r="CE36" i="46"/>
  <c r="K191" i="46"/>
  <c r="BM47" i="46"/>
  <c r="CE255" i="46"/>
  <c r="AX256" i="46"/>
  <c r="AX36" i="46"/>
  <c r="AF49" i="46"/>
  <c r="BS47" i="46"/>
  <c r="CN47" i="46"/>
  <c r="AO47" i="46"/>
  <c r="CB41" i="46"/>
  <c r="AR41" i="46"/>
  <c r="AR36" i="46"/>
  <c r="AI36" i="46"/>
  <c r="K193" i="46"/>
  <c r="CN255" i="46"/>
  <c r="BG255" i="46"/>
  <c r="K190" i="46"/>
  <c r="AL256" i="46"/>
  <c r="Z256" i="46"/>
  <c r="AA154" i="3"/>
  <c r="AH154" i="3"/>
  <c r="W1" i="3"/>
  <c r="B3" i="30"/>
  <c r="AX18" i="45"/>
  <c r="D5" i="51"/>
  <c r="H1" i="50"/>
  <c r="AN21" i="3"/>
  <c r="AP69" i="3"/>
  <c r="AS69" i="3"/>
  <c r="AC27" i="3"/>
  <c r="AA137" i="3"/>
  <c r="DT137" i="3" s="1"/>
  <c r="CE66" i="46"/>
  <c r="AC66" i="46"/>
  <c r="CH65" i="46"/>
  <c r="BJ65" i="46"/>
  <c r="BS74" i="46"/>
  <c r="BD65" i="46"/>
  <c r="AO66" i="46"/>
  <c r="AC52" i="46"/>
  <c r="AL41" i="46"/>
  <c r="AR56" i="46"/>
  <c r="Z56" i="46"/>
  <c r="BD52" i="46"/>
  <c r="CH56" i="46"/>
  <c r="CK58" i="46"/>
  <c r="BY47" i="46"/>
  <c r="AO52" i="46"/>
  <c r="CH52" i="46"/>
  <c r="AU47" i="46"/>
  <c r="BP47" i="46"/>
  <c r="BV45" i="46"/>
  <c r="AR45" i="46"/>
  <c r="AX41" i="46"/>
  <c r="BD36" i="46"/>
  <c r="BA33" i="46"/>
  <c r="AC33" i="46"/>
  <c r="CH33" i="46"/>
  <c r="BD26" i="46"/>
  <c r="CN26" i="46"/>
  <c r="BS255" i="46"/>
  <c r="AI255" i="46"/>
  <c r="AI256" i="46"/>
  <c r="BS256" i="46"/>
  <c r="AX49" i="46"/>
  <c r="Z255" i="46"/>
  <c r="BV256" i="46"/>
  <c r="K184" i="46"/>
  <c r="K182" i="46"/>
  <c r="K196" i="46"/>
  <c r="AC47" i="46"/>
  <c r="CH49" i="46"/>
  <c r="AC49" i="46"/>
  <c r="AL47" i="46"/>
  <c r="BP36" i="46"/>
  <c r="W255" i="46"/>
  <c r="BG256" i="46"/>
  <c r="AU74" i="46"/>
  <c r="BG49" i="46"/>
  <c r="BD49" i="46"/>
  <c r="AX47" i="46"/>
  <c r="CE49" i="46"/>
  <c r="AR47" i="46"/>
  <c r="CE41" i="46"/>
  <c r="CB36" i="46"/>
  <c r="CK41" i="46"/>
  <c r="CK36" i="46"/>
  <c r="BS33" i="46"/>
  <c r="BJ33" i="46"/>
  <c r="BP255" i="46"/>
  <c r="CB255" i="46"/>
  <c r="CH256" i="46"/>
  <c r="AU256" i="46"/>
  <c r="AL55" i="46"/>
  <c r="AN101" i="3"/>
  <c r="AP53" i="3"/>
  <c r="AS13" i="3"/>
  <c r="AC83" i="3"/>
  <c r="K217" i="46"/>
  <c r="AA83" i="3"/>
  <c r="T255" i="46"/>
  <c r="AX74" i="46"/>
  <c r="AX58" i="46"/>
  <c r="BM65" i="46"/>
  <c r="AF47" i="46"/>
  <c r="BY74" i="46"/>
  <c r="AF66" i="46"/>
  <c r="CN66" i="46"/>
  <c r="AR65" i="46"/>
  <c r="AU41" i="46"/>
  <c r="AX65" i="46"/>
  <c r="BY52" i="46"/>
  <c r="BA47" i="46"/>
  <c r="CN45" i="46"/>
  <c r="AL56" i="46"/>
  <c r="AO58" i="46"/>
  <c r="BY41" i="46"/>
  <c r="BV47" i="46"/>
  <c r="AL52" i="46"/>
  <c r="BA45" i="46"/>
  <c r="BY45" i="46"/>
  <c r="CH41" i="46"/>
  <c r="BA41" i="46"/>
  <c r="BY36" i="46"/>
  <c r="BM41" i="46"/>
  <c r="BM36" i="46"/>
  <c r="AU33" i="46"/>
  <c r="AL33" i="46"/>
  <c r="AL26" i="46"/>
  <c r="AR26" i="46"/>
  <c r="AU255" i="46"/>
  <c r="BD255" i="46"/>
  <c r="CE256" i="46"/>
  <c r="W256" i="46"/>
  <c r="K208" i="46"/>
  <c r="J4" i="47"/>
  <c r="AH160" i="3"/>
  <c r="AA160" i="3"/>
  <c r="AL49" i="46"/>
  <c r="CN36" i="46"/>
  <c r="AL255" i="46"/>
  <c r="BJ256" i="46"/>
  <c r="DT83" i="3"/>
  <c r="BG36" i="46"/>
  <c r="K183" i="46"/>
  <c r="K185" i="46"/>
  <c r="K194" i="46"/>
  <c r="DT67" i="3"/>
  <c r="Z74" i="46"/>
  <c r="K187" i="46"/>
  <c r="AI41" i="46"/>
  <c r="CN37" i="46"/>
  <c r="AR255" i="46"/>
  <c r="AF255" i="46"/>
  <c r="CB256" i="46"/>
  <c r="CN256" i="46"/>
  <c r="K213" i="46"/>
  <c r="C40" i="46"/>
  <c r="S7" i="51"/>
  <c r="C60" i="46"/>
  <c r="H241" i="46"/>
  <c r="H236" i="46"/>
  <c r="H232" i="46"/>
  <c r="H233" i="46"/>
  <c r="H237" i="46"/>
  <c r="AN85" i="3"/>
  <c r="BH5" i="3"/>
  <c r="BH57" i="3" s="1"/>
  <c r="K192" i="46"/>
  <c r="AS37" i="3"/>
  <c r="AC59" i="3"/>
  <c r="K212" i="46"/>
  <c r="AA100" i="3"/>
  <c r="DT100" i="3" s="1"/>
  <c r="AL74" i="46"/>
  <c r="BA52" i="46"/>
  <c r="AC74" i="46"/>
  <c r="AF65" i="46"/>
  <c r="BP56" i="46"/>
  <c r="AR66" i="46"/>
  <c r="BM56" i="46"/>
  <c r="BS52" i="46"/>
  <c r="BG56" i="46"/>
  <c r="CH58" i="46"/>
  <c r="BV41" i="46"/>
  <c r="BJ41" i="46"/>
  <c r="CN44" i="46"/>
  <c r="Z41" i="46"/>
  <c r="BM49" i="46"/>
  <c r="BV36" i="46"/>
  <c r="BM37" i="46"/>
  <c r="AX33" i="46"/>
  <c r="BP33" i="46"/>
  <c r="CE33" i="46"/>
  <c r="BY26" i="46"/>
  <c r="BM26" i="46"/>
  <c r="K186" i="46"/>
  <c r="CK255" i="46"/>
  <c r="BY255" i="46"/>
  <c r="BD256" i="46"/>
  <c r="BP256" i="46"/>
  <c r="T7" i="51"/>
  <c r="C39" i="46"/>
  <c r="AM53" i="3"/>
  <c r="AM21" i="3"/>
  <c r="Z49" i="46"/>
  <c r="K197" i="46"/>
  <c r="AR74" i="46"/>
  <c r="K211" i="46"/>
  <c r="BP74" i="46"/>
  <c r="CH74" i="46"/>
  <c r="BA74" i="46"/>
  <c r="AF36" i="46"/>
  <c r="CB49" i="46"/>
  <c r="BD41" i="46"/>
  <c r="CK49" i="46"/>
  <c r="AO41" i="46"/>
  <c r="AO36" i="46"/>
  <c r="AP45" i="3"/>
  <c r="AC91" i="3"/>
  <c r="K216" i="46"/>
  <c r="K188" i="46"/>
  <c r="BM74" i="46"/>
  <c r="CK65" i="46"/>
  <c r="BJ49" i="46"/>
  <c r="BD58" i="46"/>
  <c r="AO56" i="46"/>
  <c r="AC36" i="46"/>
  <c r="AF41" i="46"/>
  <c r="CN49" i="46"/>
  <c r="Z33" i="46"/>
  <c r="BA36" i="46"/>
  <c r="AR33" i="46"/>
  <c r="BA26" i="46"/>
  <c r="BM255" i="46"/>
  <c r="AF256" i="46"/>
  <c r="AL69" i="3"/>
  <c r="AY69" i="3" s="1"/>
  <c r="K4" i="47"/>
  <c r="DT130" i="3"/>
  <c r="AL45" i="3"/>
  <c r="AY45" i="3" s="1"/>
  <c r="K162" i="46"/>
  <c r="G4" i="47"/>
  <c r="AR7" i="46"/>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M258" i="46" l="1"/>
  <c r="AG160" i="3"/>
  <c r="M253" i="46"/>
  <c r="AG154" i="3"/>
  <c r="CN78" i="46"/>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W253" i="46" l="1"/>
  <c r="T253" i="46"/>
  <c r="BS253" i="46"/>
  <c r="AX253" i="46"/>
  <c r="AF253" i="46"/>
  <c r="AI253" i="46"/>
  <c r="Z253" i="46"/>
  <c r="CN253" i="46"/>
  <c r="AC253" i="46"/>
  <c r="AL253" i="46"/>
  <c r="AO253" i="46"/>
  <c r="AU253" i="46"/>
  <c r="BD253" i="46"/>
  <c r="BY253" i="46"/>
  <c r="BV253" i="46"/>
  <c r="AR253" i="46"/>
  <c r="BM253" i="46"/>
  <c r="BG253" i="46"/>
  <c r="BA253" i="46"/>
  <c r="CE253" i="46"/>
  <c r="BP253" i="46"/>
  <c r="BJ253" i="46"/>
  <c r="CK253" i="46"/>
  <c r="CH253" i="46"/>
  <c r="CB253" i="46"/>
  <c r="BP258" i="46"/>
  <c r="BD258" i="46"/>
  <c r="T258" i="46"/>
  <c r="CN258" i="46"/>
  <c r="CB258" i="46"/>
  <c r="W258" i="46"/>
  <c r="CE258" i="46"/>
  <c r="BV258" i="46"/>
  <c r="BA258" i="46"/>
  <c r="AU258" i="46"/>
  <c r="CH258" i="46"/>
  <c r="BS258" i="46"/>
  <c r="AI258" i="46"/>
  <c r="BM258" i="46"/>
  <c r="CK258" i="46"/>
  <c r="Z258" i="46"/>
  <c r="AL258" i="46"/>
  <c r="AX258" i="46"/>
  <c r="BG258" i="46"/>
  <c r="AC258" i="46"/>
  <c r="BY258" i="46"/>
  <c r="AR258" i="46"/>
  <c r="AF258" i="46"/>
  <c r="BJ258" i="46"/>
  <c r="AO258"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68" i="3" l="1"/>
  <c r="AY101"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I81" i="3"/>
  <c r="CA45" i="3" s="1"/>
  <c r="H78" i="3"/>
  <c r="H21" i="3"/>
  <c r="I33" i="3"/>
  <c r="I14" i="3"/>
  <c r="CB13" i="3" s="1"/>
  <c r="I88" i="3"/>
  <c r="H94" i="3"/>
  <c r="I60" i="3"/>
  <c r="H86" i="3"/>
  <c r="H32" i="3"/>
  <c r="I77" i="3"/>
  <c r="H45" i="3"/>
  <c r="I17" i="3"/>
  <c r="H24" i="3"/>
  <c r="I29" i="3"/>
  <c r="H22" i="3"/>
  <c r="H46" i="3"/>
  <c r="H77" i="3"/>
  <c r="H15" i="3"/>
  <c r="I4" i="3"/>
  <c r="CA6" i="3" s="1"/>
  <c r="I15" i="3"/>
  <c r="I95" i="3"/>
  <c r="CB53" i="3" s="1"/>
  <c r="I92" i="3"/>
  <c r="I62" i="3"/>
  <c r="I64" i="3"/>
  <c r="I63" i="3"/>
  <c r="I52" i="3"/>
  <c r="H57" i="3"/>
  <c r="I53" i="3"/>
  <c r="H38" i="3"/>
  <c r="I32" i="3"/>
  <c r="H56" i="3"/>
  <c r="I22" i="3"/>
  <c r="I41" i="3"/>
  <c r="I78" i="3"/>
  <c r="H40" i="3"/>
  <c r="I39" i="3"/>
  <c r="H33" i="3"/>
  <c r="H12" i="3"/>
  <c r="H70" i="3"/>
  <c r="H79" i="3"/>
  <c r="CA43" i="3" s="1"/>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47" i="3"/>
  <c r="CB46" i="3"/>
  <c r="CB47" i="3"/>
  <c r="CB20" i="3"/>
  <c r="CB27" i="3"/>
  <c r="CA27" i="3"/>
  <c r="E23" i="48"/>
  <c r="F22" i="48" a="1"/>
  <c r="F22" i="48" s="1"/>
  <c r="CB18" i="3" l="1"/>
  <c r="CB26" i="3"/>
  <c r="CA18" i="3"/>
  <c r="CA36" i="3"/>
  <c r="CA50" i="3"/>
  <c r="CB42" i="3"/>
  <c r="CA53" i="3"/>
  <c r="CB45" i="3"/>
  <c r="CB31" i="3"/>
  <c r="CB37" i="3"/>
  <c r="CA11" i="3"/>
  <c r="CB9" i="3"/>
  <c r="CA34" i="3"/>
  <c r="CA46" i="3"/>
  <c r="CC46" i="3" s="1"/>
  <c r="CA20" i="3"/>
  <c r="CB44" i="3"/>
  <c r="CA31" i="3"/>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1" i="3" l="1"/>
  <c r="CC11" i="3"/>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L78" i="3"/>
  <c r="L24" i="3"/>
  <c r="K80" i="3"/>
  <c r="L76" i="3"/>
  <c r="L88" i="3"/>
  <c r="CF49" i="3" s="1"/>
  <c r="K20" i="3"/>
  <c r="L40" i="3"/>
  <c r="CF23" i="3" s="1"/>
  <c r="K37" i="3"/>
  <c r="K48" i="3"/>
  <c r="L96" i="3"/>
  <c r="L30" i="3"/>
  <c r="K57" i="3"/>
  <c r="K5" i="3"/>
  <c r="K12" i="3"/>
  <c r="L16" i="3"/>
  <c r="CF13" i="3" s="1"/>
  <c r="K86" i="3"/>
  <c r="L17" i="3"/>
  <c r="CF11" i="3" s="1"/>
  <c r="L94" i="3"/>
  <c r="K93" i="3"/>
  <c r="K54" i="3"/>
  <c r="CF32" i="3" s="1"/>
  <c r="L57" i="3"/>
  <c r="K71" i="3"/>
  <c r="K72" i="3"/>
  <c r="L12" i="3"/>
  <c r="L49" i="3"/>
  <c r="K55" i="3"/>
  <c r="K81" i="3"/>
  <c r="K17" i="3"/>
  <c r="K85" i="3"/>
  <c r="L7" i="3"/>
  <c r="L77" i="3"/>
  <c r="CF44" i="3" s="1"/>
  <c r="L15" i="3"/>
  <c r="K47" i="3"/>
  <c r="L86" i="3"/>
  <c r="K65" i="3"/>
  <c r="K63" i="3"/>
  <c r="L45" i="3"/>
  <c r="K22" i="3"/>
  <c r="L60" i="3"/>
  <c r="CF34" i="3" s="1"/>
  <c r="K46" i="3"/>
  <c r="L23" i="3"/>
  <c r="L25" i="3"/>
  <c r="K24" i="3"/>
  <c r="L46" i="3"/>
  <c r="CF26" i="3" s="1"/>
  <c r="L48" i="3"/>
  <c r="K38" i="3"/>
  <c r="K69" i="3"/>
  <c r="L41" i="3"/>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CF46" i="3" s="1"/>
  <c r="K87" i="3"/>
  <c r="CF47" i="3" s="1"/>
  <c r="K61" i="3"/>
  <c r="CF37" i="3" s="1"/>
  <c r="L47" i="3"/>
  <c r="CF29" i="3" s="1"/>
  <c r="CF45" i="3"/>
  <c r="CF16" i="3"/>
  <c r="E9" i="51"/>
  <c r="CF22" i="3"/>
  <c r="B46" i="51"/>
  <c r="B47" i="51" s="1"/>
  <c r="E10" i="51"/>
  <c r="E28" i="48"/>
  <c r="F27" i="48" a="1"/>
  <c r="F27" i="48" s="1"/>
  <c r="E12" i="51"/>
  <c r="E11" i="51"/>
  <c r="CF33" i="3" l="1"/>
  <c r="CF50" i="3"/>
  <c r="CF53" i="3"/>
  <c r="CF14" i="3"/>
  <c r="CF43" i="3"/>
  <c r="CF25" i="3"/>
  <c r="CF18" i="3"/>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N45" i="3" s="1"/>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O88" i="3" l="1"/>
  <c r="O93" i="3"/>
  <c r="O78" i="3"/>
  <c r="O53" i="3"/>
  <c r="N96" i="3"/>
  <c r="O80" i="3"/>
  <c r="N47" i="3"/>
  <c r="O22" i="3"/>
  <c r="CJ17" i="3" s="1"/>
  <c r="N84" i="3"/>
  <c r="CJ47" i="3" s="1"/>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CJ12" i="3" s="1"/>
  <c r="N22" i="3"/>
  <c r="N89" i="3"/>
  <c r="O4" i="3"/>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I48" i="3"/>
  <c r="CI13" i="3"/>
  <c r="CK21"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<sst xmlns="http://schemas.openxmlformats.org/spreadsheetml/2006/main" count="8284" uniqueCount="2065">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</sst>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1"/>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826"/>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28"/>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37"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37"/>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39"/>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24"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24"/>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v>1</v>
      </c>
      <c r="AD56" s="194">
        <v>1</v>
      </c>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v>1</v>
      </c>
      <c r="AD57" s="233">
        <v>5</v>
      </c>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06"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06"/>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v>0</v>
      </c>
      <c r="AD64" s="194">
        <v>0</v>
      </c>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v>0</v>
      </c>
      <c r="AD65" s="233">
        <v>1</v>
      </c>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12"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12"/>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v>1</v>
      </c>
      <c r="AD72" s="194">
        <v>4</v>
      </c>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v>5</v>
      </c>
      <c r="AD73" s="233">
        <v>0</v>
      </c>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08"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08"/>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v>0</v>
      </c>
      <c r="AD88" s="194">
        <v>0</v>
      </c>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v>3</v>
      </c>
      <c r="AD89" s="233">
        <v>1</v>
      </c>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10"/>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v>0</v>
      </c>
      <c r="AD96" s="194">
        <v>2</v>
      </c>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v>2</v>
      </c>
      <c r="AD97" s="233">
        <v>1</v>
      </c>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3</v>
      </c>
      <c r="W1" s="87"/>
      <c r="X1" s="65"/>
      <c r="Y1" s="87">
        <f ca="1">+IFERROR(RANK(Y2,OFFSET($S$2,0,0,1,$D$5*3),0),"-")</f>
        <v>2</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35.998100000000001</v>
      </c>
      <c r="T2" s="87"/>
      <c r="U2" s="65"/>
      <c r="V2" s="87">
        <f t="shared" ref="V2" ca="1" si="0">V4-(COLUMN()/10000)</f>
        <v>25.997800000000002</v>
      </c>
      <c r="W2" s="87"/>
      <c r="X2" s="65"/>
      <c r="Y2" s="87">
        <f t="shared" ref="Y2" ca="1" si="1">Y4-(COLUMN()/10000)</f>
        <v>27.997499999999999</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3</v>
      </c>
      <c r="W3" s="87"/>
      <c r="X3" s="65"/>
      <c r="Y3" s="87">
        <f ca="1">RANK(Y4,OFFSET($S$4,0,0,1,$D$5*3),0)</f>
        <v>2</v>
      </c>
      <c r="Z3" s="87"/>
      <c r="AA3" s="65"/>
      <c r="AB3" s="87" t="e">
        <f ca="1">RANK(AB4,OFFSET($S$4,0,0,1,$D$5*3),0)</f>
        <v>#N/A</v>
      </c>
      <c r="AC3" s="87"/>
      <c r="AD3" s="65"/>
      <c r="AE3" s="87" t="e">
        <f ca="1">RANK(AE4,OFFSET($S$4,0,0,1,$D$5*3),0)</f>
        <v>#N/A</v>
      </c>
      <c r="AF3" s="87"/>
      <c r="AG3" s="65"/>
      <c r="AH3" s="87" t="e">
        <f ca="1">RANK(AH4,OFFSET($S$4,0,0,1,$D$5*3),0)</f>
        <v>#N/A</v>
      </c>
      <c r="AI3" s="87"/>
      <c r="AJ3" s="65"/>
      <c r="AK3" s="87" t="e">
        <f ca="1">RANK(AK4,OFFSET($S$4,0,0,1,$D$5*3),0)</f>
        <v>#N/A</v>
      </c>
      <c r="AL3" s="87"/>
      <c r="AM3" s="65"/>
      <c r="AN3" s="87" t="e">
        <f ca="1">RANK(AN4,OFFSET($S$4,0,0,1,$D$5*3),0)</f>
        <v>#N/A</v>
      </c>
      <c r="AO3" s="87"/>
      <c r="AP3" s="65"/>
      <c r="AQ3" s="87" t="e">
        <f ca="1">RANK(AQ4,OFFSET($S$4,0,0,1,$D$5*3),0)</f>
        <v>#N/A</v>
      </c>
      <c r="AR3" s="87"/>
      <c r="AS3" s="65"/>
      <c r="AT3" s="87" t="e">
        <f ca="1">RANK(AT4,OFFSET($S$4,0,0,1,$D$5*3),0)</f>
        <v>#N/A</v>
      </c>
      <c r="AU3" s="87"/>
      <c r="AV3" s="65"/>
      <c r="AW3" s="87" t="e">
        <f ca="1">RANK(AW4,OFFSET($S$4,0,0,1,$D$5*3),0)</f>
        <v>#N/A</v>
      </c>
      <c r="AX3" s="87"/>
      <c r="AY3" s="65"/>
      <c r="AZ3" s="87" t="e">
        <f ca="1">RANK(AZ4,OFFSET($S$4,0,0,1,$D$5*3),0)</f>
        <v>#N/A</v>
      </c>
      <c r="BA3" s="87"/>
      <c r="BB3" s="65"/>
      <c r="BC3" s="87" t="e">
        <f ca="1">RANK(BC4,OFFSET($S$4,0,0,1,$D$5*3),0)</f>
        <v>#N/A</v>
      </c>
      <c r="BD3" s="87"/>
      <c r="BE3" s="65"/>
      <c r="BF3" s="87" t="e">
        <f ca="1">RANK(BF4,OFFSET($S$4,0,0,1,$D$5*3),0)</f>
        <v>#N/A</v>
      </c>
      <c r="BG3" s="87"/>
      <c r="BH3" s="65"/>
      <c r="BI3" s="87" t="e">
        <f ca="1">RANK(BI4,OFFSET($S$4,0,0,1,$D$5*3),0)</f>
        <v>#N/A</v>
      </c>
      <c r="BJ3" s="87"/>
      <c r="BK3" s="65"/>
      <c r="BL3" s="87" t="e">
        <f ca="1">RANK(BL4,OFFSET($S$4,0,0,1,$D$5*3),0)</f>
        <v>#N/A</v>
      </c>
      <c r="BM3" s="87"/>
      <c r="BN3" s="65"/>
      <c r="BO3" s="87" t="e">
        <f ca="1">RANK(BO4,OFFSET($S$4,0,0,1,$D$5*3),0)</f>
        <v>#N/A</v>
      </c>
      <c r="BP3" s="87"/>
      <c r="BQ3" s="65"/>
      <c r="BR3" s="87" t="e">
        <f ca="1">RANK(BR4,OFFSET($S$4,0,0,1,$D$5*3),0)</f>
        <v>#N/A</v>
      </c>
      <c r="BS3" s="87"/>
      <c r="BT3" s="65"/>
      <c r="BU3" s="87" t="e">
        <f ca="1">RANK(BU4,OFFSET($S$4,0,0,1,$D$5*3),0)</f>
        <v>#N/A</v>
      </c>
      <c r="BV3" s="87"/>
      <c r="BW3" s="65"/>
      <c r="BX3" s="87" t="e">
        <f ca="1">RANK(BX4,OFFSET($S$4,0,0,1,$D$5*3),0)</f>
        <v>#N/A</v>
      </c>
      <c r="BY3" s="87"/>
      <c r="BZ3" s="65"/>
      <c r="CA3" s="87" t="e">
        <f ca="1">RANK(CA4,OFFSET($S$4,0,0,1,$D$5*3),0)</f>
        <v>#N/A</v>
      </c>
      <c r="CB3" s="87"/>
      <c r="CC3" s="65"/>
      <c r="CD3" s="87" t="e">
        <f ca="1">RANK(CD4,OFFSET($S$4,0,0,1,$D$5*3),0)</f>
        <v>#N/A</v>
      </c>
      <c r="CE3" s="87"/>
      <c r="CF3" s="65"/>
      <c r="CG3" s="87" t="e">
        <f ca="1">RANK(CG4,OFFSET($S$4,0,0,1,$D$5*3),0)</f>
        <v>#N/A</v>
      </c>
      <c r="CH3" s="87"/>
      <c r="CI3" s="65"/>
      <c r="CJ3" s="87" t="e">
        <f ca="1">RANK(CJ4,OFFSET($S$4,0,0,1,$D$5*3),0)</f>
        <v>#N/A</v>
      </c>
      <c r="CK3" s="87"/>
      <c r="CL3" s="65"/>
      <c r="CM3" s="87" t="e">
        <f ca="1">RANK(CM4,OFFSET($S$4,0,0,1,$D$5*3),0)</f>
        <v>#N/A</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36</v>
      </c>
      <c r="T4" s="68"/>
      <c r="U4" s="65"/>
      <c r="V4" s="67">
        <f ca="1">SUM(W6:W259)/2</f>
        <v>26</v>
      </c>
      <c r="W4" s="68"/>
      <c r="X4" s="65"/>
      <c r="Y4" s="67">
        <f ca="1">SUM(Z6:Z259)/2</f>
        <v>28</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1944</v>
      </c>
      <c r="T8" s="73">
        <f t="shared" si="48"/>
        <v>6</v>
      </c>
      <c r="U8" s="65"/>
      <c r="V8" s="74" t="s">
        <v>1942</v>
      </c>
      <c r="W8" s="73">
        <f t="shared" si="49"/>
        <v>0</v>
      </c>
      <c r="X8" s="65"/>
      <c r="Y8" s="74" t="s">
        <v>1944</v>
      </c>
      <c r="Z8" s="73">
        <f t="shared" si="50"/>
        <v>6</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1942</v>
      </c>
      <c r="T10" s="73">
        <f t="shared" si="48"/>
        <v>0</v>
      </c>
      <c r="U10" s="65"/>
      <c r="V10" s="74" t="s">
        <v>1948</v>
      </c>
      <c r="W10" s="73">
        <f t="shared" si="49"/>
        <v>2</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1953</v>
      </c>
      <c r="W11" s="73">
        <f t="shared" si="49"/>
        <v>6</v>
      </c>
      <c r="X11" s="65"/>
      <c r="Y11" s="74" t="s">
        <v>1943</v>
      </c>
      <c r="Z11" s="73">
        <f t="shared" si="50"/>
        <v>2</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2</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1947</v>
      </c>
      <c r="W14" s="73">
        <f t="shared" si="49"/>
        <v>2</v>
      </c>
      <c r="X14" s="65"/>
      <c r="Y14" s="74" t="s">
        <v>2033</v>
      </c>
      <c r="Z14" s="73">
        <f t="shared" si="50"/>
        <v>2</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6</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2</v>
      </c>
      <c r="U17" s="65"/>
      <c r="V17" s="74" t="s">
        <v>1942</v>
      </c>
      <c r="W17" s="73">
        <f t="shared" si="49"/>
        <v>2</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1943</v>
      </c>
      <c r="W21" s="73">
        <f t="shared" si="49"/>
        <v>0</v>
      </c>
      <c r="X21" s="65"/>
      <c r="Y21" s="74" t="s">
        <v>1944</v>
      </c>
      <c r="Z21" s="73">
        <f t="shared" si="53"/>
        <v>6</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1946</v>
      </c>
      <c r="T22" s="73">
        <f t="shared" si="48"/>
        <v>2</v>
      </c>
      <c r="U22" s="65"/>
      <c r="V22" s="74" t="s">
        <v>1942</v>
      </c>
      <c r="W22" s="73">
        <f t="shared" si="49"/>
        <v>2</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1943</v>
      </c>
      <c r="T23" s="73">
        <f t="shared" si="48"/>
        <v>2</v>
      </c>
      <c r="U23" s="65"/>
      <c r="V23" s="74" t="s">
        <v>1995</v>
      </c>
      <c r="W23" s="73">
        <f t="shared" si="49"/>
        <v>2</v>
      </c>
      <c r="X23" s="65"/>
      <c r="Y23" s="74" t="s">
        <v>1955</v>
      </c>
      <c r="Z23" s="73">
        <f t="shared" si="53"/>
        <v>2</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1950</v>
      </c>
      <c r="W24" s="77">
        <f t="shared" si="49"/>
        <v>2</v>
      </c>
      <c r="X24" s="65"/>
      <c r="Y24" s="76" t="s">
        <v>1942</v>
      </c>
      <c r="Z24" s="77">
        <f t="shared" si="53"/>
        <v>2</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1951</v>
      </c>
      <c r="T25" s="73">
        <f t="shared" si="48"/>
        <v>2</v>
      </c>
      <c r="U25" s="65"/>
      <c r="V25" s="74" t="s">
        <v>1951</v>
      </c>
      <c r="W25" s="73">
        <f t="shared" si="49"/>
        <v>2</v>
      </c>
      <c r="X25" s="65"/>
      <c r="Y25" s="74" t="s">
        <v>1949</v>
      </c>
      <c r="Z25" s="73">
        <f t="shared" si="53"/>
        <v>2</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1945</v>
      </c>
      <c r="T27" s="73">
        <f t="shared" si="48"/>
        <v>2</v>
      </c>
      <c r="U27" s="65"/>
      <c r="V27" s="74" t="s">
        <v>1945</v>
      </c>
      <c r="W27" s="73">
        <f t="shared" si="49"/>
        <v>2</v>
      </c>
      <c r="X27" s="65"/>
      <c r="Y27" s="74" t="s">
        <v>1945</v>
      </c>
      <c r="Z27" s="73">
        <f t="shared" si="53"/>
        <v>2</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2</v>
      </c>
      <c r="U28" s="65"/>
      <c r="V28" s="74" t="s">
        <v>1944</v>
      </c>
      <c r="W28" s="73">
        <f t="shared" si="49"/>
        <v>0</v>
      </c>
      <c r="X28" s="65"/>
      <c r="Y28" s="74" t="s">
        <v>1952</v>
      </c>
      <c r="Z28" s="73">
        <f t="shared" si="53"/>
        <v>2</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1951</v>
      </c>
      <c r="T29" s="79">
        <f t="shared" si="54"/>
        <v>2</v>
      </c>
      <c r="U29" s="65"/>
      <c r="V29" s="78" t="s">
        <v>1942</v>
      </c>
      <c r="W29" s="79">
        <f t="shared" si="49"/>
        <v>2</v>
      </c>
      <c r="X29" s="65"/>
      <c r="Y29" s="78" t="s">
        <v>1942</v>
      </c>
      <c r="Z29" s="79">
        <f t="shared" si="53"/>
        <v>2</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36</v>
      </c>
      <c r="U78" s="64"/>
      <c r="V78" s="82"/>
      <c r="W78" s="83">
        <f>SUM(W6:W77)</f>
        <v>26</v>
      </c>
      <c r="X78" s="64"/>
      <c r="Y78" s="82"/>
      <c r="Z78" s="83">
        <f t="shared" ref="Z78" si="68">SUM(Z6:Z77)</f>
        <v>28</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s">
        <v>2060</v>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1991</v>
      </c>
      <c r="T254" s="73">
        <f>COUNTIF($M$254,S254)*$D$43</f>
        <v>0</v>
      </c>
      <c r="U254" s="64"/>
      <c r="V254" s="74" t="s">
        <v>2029</v>
      </c>
      <c r="W254" s="73">
        <f t="shared" ref="W254" si="1227">COUNTIF($M$254,V254)*$D$43</f>
        <v>0</v>
      </c>
      <c r="X254" s="64"/>
      <c r="Y254" s="74" t="s">
        <v>2061</v>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s">
        <v>2030</v>
      </c>
      <c r="W255" s="73">
        <f t="shared" ref="W255" si="1251">COUNTIF($M$255,V255)*$D$44</f>
        <v>0</v>
      </c>
      <c r="X255" s="64"/>
      <c r="Y255" s="74" t="s">
        <v>2062</v>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s">
        <v>2063</v>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1991</v>
      </c>
      <c r="T257" s="73">
        <f>COUNTIF($M$257,S257)*$D$46</f>
        <v>0</v>
      </c>
      <c r="U257" s="64"/>
      <c r="V257" s="74" t="s">
        <v>2029</v>
      </c>
      <c r="W257" s="73">
        <f t="shared" ref="W257" si="1299">COUNTIF($M$257,V257)*$D$46</f>
        <v>0</v>
      </c>
      <c r="X257" s="64"/>
      <c r="Y257" s="74" t="s">
        <v>2064</v>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2030</v>
      </c>
      <c r="W258" s="81">
        <f t="shared" ref="W258" si="1323">COUNTIF($M$258,V258)*$D$47</f>
        <v>0</v>
      </c>
      <c r="X258" s="64"/>
      <c r="Y258" s="80" t="s">
        <v>2061</v>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36</v>
      </c>
      <c r="E5" s="92" cm="1">
        <f t="array" aca="1" ref="E5" ca="1">IFERROR(INDEX(Rango_Admin_Clas_Total,E$2,MATCH($A5,Rango_Admin_Clas_Primera,0)+1),"-")</f>
        <v>36</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Maria Delgado</v>
      </c>
      <c r="D6" s="91">
        <f ca="1">IFERROR(HLOOKUP(A6,Rango_Admin_Clas,4,FALSE),"-")</f>
        <v>28</v>
      </c>
      <c r="E6" s="92" cm="1">
        <f t="array" aca="1" ref="E6" ca="1">IFERROR(INDEX(Rango_Admin_Clas_Total,E$2,MATCH($A6,Rango_Admin_Clas_Primera,0)+1),"-")</f>
        <v>28</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Erika</v>
      </c>
      <c r="D7" s="91">
        <f ca="1">IFERROR(HLOOKUP(A7,Rango_Admin_Clas,4,FALSE),"-")</f>
        <v>26</v>
      </c>
      <c r="E7" s="92" cm="1">
        <f t="array" aca="1" ref="E7" ca="1">IFERROR(INDEX(Rango_Admin_Clas_Total,E$2,MATCH($A7,Rango_Admin_Clas_Primera,0)+1),"-")</f>
        <v>26</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2026-06-18T18:12:14Z</dcterms:modified>
  <cp:category/>
</cp:coreProperties>
</file>