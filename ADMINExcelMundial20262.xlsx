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Quiniela\Test\"/>
    </mc:Choice>
  </mc:AlternateContent>
  <xr:revisionPtr revIDLastSave="0" documentId="13_ncr:1_{186967E5-EF54-4502-97FA-700545C40625}"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Y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Q244" i="46" s="1"/>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s="1"/>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D442" i="36"/>
  <c r="D50" i="46" s="1"/>
  <c r="D373" i="36"/>
  <c r="D55" i="36"/>
  <c r="AM5"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5" i="46"/>
  <c r="Q22" i="6"/>
  <c r="H211" i="46"/>
  <c r="D21" i="36"/>
  <c r="AF3" i="3" s="1"/>
  <c r="AF51" i="3" s="1"/>
  <c r="D507" i="36"/>
  <c r="D20" i="36"/>
  <c r="AD3" i="3" s="1"/>
  <c r="D506" i="36"/>
  <c r="L6" i="34"/>
  <c r="C7" i="46"/>
  <c r="H233" i="46"/>
  <c r="H236" i="46"/>
  <c r="H237" i="46"/>
  <c r="C61" i="46"/>
  <c r="AM53" i="3"/>
  <c r="AM21" i="3"/>
  <c r="Q23" i="6"/>
  <c r="K5" i="46"/>
  <c r="C56" i="46" s="1"/>
  <c r="AA160" i="3"/>
  <c r="M258" i="46" s="1"/>
  <c r="AL5" i="3"/>
  <c r="AY5" i="3" s="1"/>
  <c r="H232" i="46"/>
  <c r="AA158" i="3"/>
  <c r="M256" i="46" s="1"/>
  <c r="AH158" i="3"/>
  <c r="H216" i="46"/>
  <c r="AH154" i="3"/>
  <c r="AN45" i="3"/>
  <c r="AJ52" i="3"/>
  <c r="AJ36" i="3"/>
  <c r="AJ84" i="3"/>
  <c r="M84" i="34"/>
  <c r="AC3" i="3" l="1"/>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H155" i="3"/>
  <c r="AG155" i="3" s="1"/>
  <c r="H212" i="46"/>
  <c r="H222" i="46"/>
  <c r="H220" i="46"/>
  <c r="H227" i="46"/>
  <c r="H229" i="46"/>
  <c r="Q45" i="46"/>
  <c r="H210" i="46"/>
  <c r="L13" i="34"/>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P202" i="46"/>
  <c r="P206" i="46"/>
  <c r="Q202" i="46"/>
  <c r="Q223" i="46"/>
  <c r="Q7" i="46"/>
  <c r="BA7" i="46" s="1"/>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DT130" i="3" s="1"/>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H244" i="46"/>
  <c r="BF244" i="46"/>
  <c r="CD244" i="46"/>
  <c r="AK244" i="46"/>
  <c r="BI244" i="46"/>
  <c r="CG244" i="46"/>
  <c r="AN244" i="46"/>
  <c r="BL244" i="46"/>
  <c r="CJ244" i="46"/>
  <c r="AQ244" i="46"/>
  <c r="BO244" i="46"/>
  <c r="CM244" i="46"/>
  <c r="AT244" i="46"/>
  <c r="BR244" i="46"/>
  <c r="Y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Y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AE232" i="46"/>
  <c r="BC232" i="46"/>
  <c r="CA232" i="46"/>
  <c r="AH232" i="46"/>
  <c r="BF232" i="46"/>
  <c r="Y232" i="46"/>
  <c r="BI232" i="46"/>
  <c r="CJ232" i="46"/>
  <c r="AB232" i="46"/>
  <c r="BL232" i="46"/>
  <c r="CM232" i="46"/>
  <c r="AK232" i="46"/>
  <c r="BO232" i="46"/>
  <c r="AN232" i="46"/>
  <c r="BR232" i="46"/>
  <c r="AQ232" i="46"/>
  <c r="BU232" i="46"/>
  <c r="AT232" i="46"/>
  <c r="BX232" i="46"/>
  <c r="AW232" i="46"/>
  <c r="CD232" i="46"/>
  <c r="AZ232" i="46"/>
  <c r="CG232" i="46"/>
  <c r="AT30" i="46"/>
  <c r="BR30" i="46"/>
  <c r="Y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AB54" i="46"/>
  <c r="AZ54" i="46"/>
  <c r="BX54" i="46"/>
  <c r="AE54" i="46"/>
  <c r="BC54" i="46"/>
  <c r="CA54" i="46"/>
  <c r="AK54" i="46"/>
  <c r="BO54" i="46"/>
  <c r="AN54" i="46"/>
  <c r="BR54" i="46"/>
  <c r="AQ54" i="46"/>
  <c r="BU54" i="46"/>
  <c r="AT54" i="46"/>
  <c r="CD54" i="46"/>
  <c r="AW54" i="46"/>
  <c r="CG54" i="46"/>
  <c r="BI54" i="46"/>
  <c r="BL54" i="46"/>
  <c r="CJ54" i="46"/>
  <c r="CM54" i="46"/>
  <c r="Y54" i="46"/>
  <c r="AH54" i="46"/>
  <c r="BF54" i="46"/>
  <c r="D367" i="36"/>
  <c r="AF91" i="3"/>
  <c r="AF67" i="3"/>
  <c r="AL85" i="3"/>
  <c r="AY85" i="3" s="1"/>
  <c r="AJ28" i="3"/>
  <c r="H244" i="46"/>
  <c r="H201" i="46"/>
  <c r="H214" i="46"/>
  <c r="H155" i="46"/>
  <c r="H140" i="46"/>
  <c r="H138" i="46"/>
  <c r="AK253" i="46"/>
  <c r="AL253" i="46" s="1"/>
  <c r="Y253" i="46"/>
  <c r="Z253" i="46" s="1"/>
  <c r="AZ253" i="46"/>
  <c r="BA253" i="46" s="1"/>
  <c r="AQ253" i="46"/>
  <c r="AR253" i="46" s="1"/>
  <c r="BI253" i="46"/>
  <c r="BJ253" i="46" s="1"/>
  <c r="BX253" i="46"/>
  <c r="BY253" i="46" s="1"/>
  <c r="AB253" i="46"/>
  <c r="AC253" i="46" s="1"/>
  <c r="AT253" i="46"/>
  <c r="AU253" i="46" s="1"/>
  <c r="CM253" i="46"/>
  <c r="CN253" i="46" s="1"/>
  <c r="BL253" i="46"/>
  <c r="BM253" i="46" s="1"/>
  <c r="CA253" i="46"/>
  <c r="CB253" i="46" s="1"/>
  <c r="AE253" i="46"/>
  <c r="AF253" i="46" s="1"/>
  <c r="AW253" i="46"/>
  <c r="AX253" i="46" s="1"/>
  <c r="BO253" i="46"/>
  <c r="BP253" i="46" s="1"/>
  <c r="CD253" i="46"/>
  <c r="CE253" i="46" s="1"/>
  <c r="AH253" i="46"/>
  <c r="AI253" i="46" s="1"/>
  <c r="BR253" i="46"/>
  <c r="BS253" i="46" s="1"/>
  <c r="BC253" i="46"/>
  <c r="BD253" i="46" s="1"/>
  <c r="CG253" i="46"/>
  <c r="CH253" i="46" s="1"/>
  <c r="W253" i="46"/>
  <c r="CJ253" i="46"/>
  <c r="CK253" i="46" s="1"/>
  <c r="AN253" i="46"/>
  <c r="AO253" i="46" s="1"/>
  <c r="BF253" i="46"/>
  <c r="BG253" i="46" s="1"/>
  <c r="BU253" i="46"/>
  <c r="BV253" i="46" s="1"/>
  <c r="K193" i="46"/>
  <c r="K183" i="46"/>
  <c r="AN220" i="46"/>
  <c r="BL220" i="46"/>
  <c r="CJ220" i="46"/>
  <c r="AQ220" i="46"/>
  <c r="BO220" i="46"/>
  <c r="CM220" i="46"/>
  <c r="AT220" i="46"/>
  <c r="BX220" i="46"/>
  <c r="AW220" i="46"/>
  <c r="CA220" i="46"/>
  <c r="AZ220" i="46"/>
  <c r="CD220" i="46"/>
  <c r="Y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Y200" i="46"/>
  <c r="AB200" i="46"/>
  <c r="BC200" i="46"/>
  <c r="BF200" i="46"/>
  <c r="CM200" i="46"/>
  <c r="K186"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CE53" i="46"/>
  <c r="AI56" i="46"/>
  <c r="BG56" i="46"/>
  <c r="CE56" i="46"/>
  <c r="AO58" i="46"/>
  <c r="BM58" i="46"/>
  <c r="CK58" i="46"/>
  <c r="AX36" i="46"/>
  <c r="Z37" i="46"/>
  <c r="BG45" i="46"/>
  <c r="Z47" i="46"/>
  <c r="CB47" i="46"/>
  <c r="AI49" i="46"/>
  <c r="AU52" i="46"/>
  <c r="BS52" i="46"/>
  <c r="BJ53"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AR7" i="46" l="1"/>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Y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C9" i="3" s="1"/>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4" i="3" l="1"/>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CF14" i="3" s="1"/>
  <c r="L25" i="3"/>
  <c r="K24" i="3"/>
  <c r="L46" i="3"/>
  <c r="L48" i="3"/>
  <c r="K38" i="3"/>
  <c r="K69" i="3"/>
  <c r="L41" i="3"/>
  <c r="CF25" i="3" s="1"/>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E9" i="51"/>
  <c r="CF22" i="3"/>
  <c r="CF8" i="3"/>
  <c r="CF26" i="3"/>
  <c r="B46" i="51"/>
  <c r="B47" i="51" s="1"/>
  <c r="E10" i="51"/>
  <c r="E28" i="48"/>
  <c r="F27" i="48" a="1"/>
  <c r="F27" i="48" s="1"/>
  <c r="E12" i="51"/>
  <c r="E11" i="51"/>
  <c r="CF18" i="3" l="1"/>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<sst xmlns="http://schemas.openxmlformats.org/spreadsheetml/2006/main" count="8058" uniqueCount="2032">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</sst>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8"/>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tabSelected="1"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L245" zoomScaleNormal="100" workbookViewId="0">
      <selection activeCell="V257" sqref="V257"/>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t="str">
        <f ca="1">+IFERROR(RANK(Y2,OFFSET($S$2,0,0,1,$D$5*3),0),"-")</f>
        <v>-</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tr">
        <f>Idiomas!$G$363&amp;ADMIN!AA5</f>
        <v>Pegar Valores Nombre J3</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1942</v>
      </c>
      <c r="T6" s="73">
        <f>IFERROR(IF($M6=S6,($D$8+$D$9+$D$10)*$I6,IF($N6=LEFT(S6,1),($D$8+MAX(0,IF($D$50=1,$D$9*(1-(ABS($Q6-ABS(VALUE(MID(S6,FIND("|",S6)+1,FIND("-",S6)-FIND("|",S6)-1))-VALUE(MID(S6,FIND("-",S6)+1,10)))))*$D$50),$D$9*(1-(IF($N6="X",ABS($O6-VALUE(MID(S6,FIND("|",S6)+1,FIND("-",S6)-FIND("|",S6)-1))),ABS($Q6-ABS(VALUE(MID(S6,FIND("|",S6)+1,FIND("-",S6)-FIND("|",S6)-1))-VALUE(MID(S6,FIND("-",S6)+1,10)))))*$D$50)))))*$I6,0)),0)</f>
        <v>0</v>
      </c>
      <c r="U6" s="111"/>
      <c r="V6" s="72" t="s">
        <v>1946</v>
      </c>
      <c r="W6" s="73">
        <f>IFERROR(IF($M6=V6,($D$8+$D$9+$D$10)*$I6,IF($N6=LEFT(V6,1),($D$8+MAX(0,IF($D$50=1,$D$9*(1-(ABS($Q6-ABS(VALUE(MID(V6,FIND("|",V6)+1,FIND("-",V6)-FIND("|",V6)-1))-VALUE(MID(V6,FIND("-",V6)+1,10)))))*$D$50),$D$9*(1-(IF($N6="X",ABS($O6-VALUE(MID(V6,FIND("|",V6)+1,FIND("-",V6)-FIND("|",V6)-1))),ABS($Q6-ABS(VALUE(MID(V6,FIND("|",V6)+1,FIND("-",V6)-FIND("|",V6)-1))-VALUE(MID(V6,FIND("-",V6)+1,10)))))*$D$50)))))*$I6,0)),0)</f>
        <v>0</v>
      </c>
      <c r="X6" s="111"/>
      <c r="Y6" s="72" t="str">
        <f>Idiomas!$D$364</f>
        <v>Pegar Valores (J1)</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tr">
        <f>Idiomas!$D$365</f>
        <v>Pegar Valores (J2)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tr">
        <f>Idiomas!$D$366</f>
        <v>Pegar Valores (J3)</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tr">
        <f>Idiomas!$D$367</f>
        <v>Pegar Valores Dieciseisavos</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tr">
        <f>Idiomas!$D$368</f>
        <v>Pegar Valores Octavos</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tr">
        <f>Idiomas!$D$369</f>
        <v>Pegar valores Cuartos</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tr">
        <f>Idiomas!$D$370</f>
        <v>Pegar valores Semifinales</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tr">
        <f>Idiomas!$D$371</f>
        <v>Pegar valores 3º-4º puesto y Final</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tr">
        <f>Idiomas!$D$373</f>
        <v>Pegar Valores Cuadro de Honor</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t="e">
        <f ca="1">RANK(Y264,OFFSET($S$264,0,0,1,$D$5*3),0)</f>
        <v>#N/A</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Pegar Valores Nombre J3</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t="str">
        <f ca="1">IFERROR(HLOOKUP(A7,Rango_Admin_Clas,3,FALSE),"-")</f>
        <v>-</v>
      </c>
      <c r="C7" s="18" t="str">
        <f ca="1">IFERROR(HLOOKUP(A7,Rango_Admin_Clas,5,FALSE),"-")</f>
        <v>-</v>
      </c>
      <c r="D7" s="91" t="str">
        <f ca="1">IFERROR(HLOOKUP(A7,Rango_Admin_Clas,4,FALSE),"-")</f>
        <v>-</v>
      </c>
      <c r="E7" s="92" t="str" cm="1">
        <f t="array" aca="1" ref="E7" ca="1">IFERROR(INDEX(Rango_Admin_Clas_Total,E$2,MATCH($A7,Rango_Admin_Clas_Primera,0)+1),"-")</f>
        <v>-</v>
      </c>
      <c r="F7" s="92" t="str" cm="1">
        <f t="array" aca="1" ref="F7" ca="1">IFERROR(INDEX(Rango_Admin_Clas_Total,F$2,MATCH($A7,Rango_Admin_Clas_Primera,0)+1),"-")</f>
        <v>-</v>
      </c>
      <c r="G7" s="92" t="str" cm="1">
        <f t="array" aca="1" ref="G7" ca="1">IFERROR(INDEX(Rango_Admin_Clas_Total,G$2,MATCH($A7,Rango_Admin_Clas_Primera,0)+1),"-")</f>
        <v>-</v>
      </c>
      <c r="H7" s="92" t="str" cm="1">
        <f t="array" aca="1" ref="H7" ca="1">IFERROR(INDEX(Rango_Admin_Clas_Total,H$2,MATCH($A7,Rango_Admin_Clas_Primera,0)+1),"-")</f>
        <v>-</v>
      </c>
      <c r="I7" s="92" t="str" cm="1">
        <f t="array" aca="1" ref="I7" ca="1">IFERROR(INDEX(Rango_Admin_Clas_Total,I$2,MATCH($A7,Rango_Admin_Clas_Primera,0)+1),"-")</f>
        <v>-</v>
      </c>
      <c r="J7" s="92" t="str" cm="1">
        <f t="array" aca="1" ref="J7" ca="1">IFERROR(INDEX(Rango_Admin_Clas_Total,J$2,MATCH($A7,Rango_Admin_Clas_Primera,0)+1),"-")</f>
        <v>-</v>
      </c>
      <c r="K7" s="92" t="str" cm="1">
        <f t="array" aca="1" ref="K7" ca="1">IFERROR(INDEX(Rango_Admin_Clas_Total,K$2,MATCH($A7,Rango_Admin_Clas_Primera,0)+1),"-")</f>
        <v>-</v>
      </c>
      <c r="L7" s="92" t="str" cm="1">
        <f t="array" aca="1" ref="L7" ca="1">IFERROR(INDEX(Rango_Admin_Clas_Total,L$2,MATCH($A7,Rango_Admin_Clas_Primera,0)+1),"-")</f>
        <v>-</v>
      </c>
      <c r="M7" s="92" t="str" cm="1">
        <f t="array" aca="1" ref="M7" ca="1">IFERROR(INDEX(Rango_Admin_Clas_Total,M$2,MATCH($A7,Rango_Admin_Clas_Primera,0)+1),"-")</f>
        <v>-</v>
      </c>
      <c r="N7" s="92" t="str" cm="1">
        <f t="array" aca="1" ref="N7" ca="1">IFERROR(INDEX(Rango_Admin_Clas_Total,N$2,MATCH($A7,Rango_Admin_Clas_Primera,0)+1),"-")</f>
        <v>-</v>
      </c>
      <c r="O7" s="92" t="str" cm="1">
        <f t="array" aca="1" ref="O7" ca="1">IFERROR(INDEX(Rango_Admin_Clas_Total,O$2,MATCH($A7,Rango_Admin_Clas_Primera,0)+1),"-")</f>
        <v>-</v>
      </c>
      <c r="P7" s="92" t="str" cm="1">
        <f t="array" aca="1" ref="P7" ca="1">IFERROR(INDEX(Rango_Admin_Clas_Total,P$2,MATCH($A7,Rango_Admin_Clas_Primera,0)+1),"-")</f>
        <v>-</v>
      </c>
      <c r="Q7" s="92" t="str" cm="1">
        <f t="array" aca="1" ref="Q7" ca="1">IFERROR(INDEX(Rango_Admin_Clas_Total,Q$2,MATCH($A7,Rango_Admin_Clas_Primera,0)+1),"-")</f>
        <v>-</v>
      </c>
      <c r="R7" s="92" t="str" cm="1">
        <f t="array" aca="1" ref="R7" ca="1">IFERROR(INDEX(Rango_Admin_Clas_Total,R$2,MATCH($A7,Rango_Admin_Clas_Primera,0)+1),"-")</f>
        <v>-</v>
      </c>
      <c r="S7" s="92" t="str" cm="1">
        <f t="array" aca="1" ref="S7" ca="1">IFERROR(INDEX(Rango_Admin_Clas_Total,S$2,MATCH($A7,Rango_Admin_Clas_Primera,0)+1),"-")</f>
        <v>-</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v>
      </c>
      <c r="G6" s="429" t="str">
        <f ca="1">IFERROR(VLOOKUP(G$2,Rango_Admin_DailyPred,MATCH($F6,Rango_Admin_DailyPred_Primera,0),0),"-")</f>
        <v>-</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Andres Alvarez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Erika</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t="str">
        <f ca="1">IFERROR(HLOOKUP(C6,Rango_Admin_DailyClas,3,FALSE),"-")</f>
        <v>-</v>
      </c>
      <c r="F6" s="448" t="str">
        <f ca="1">IFERROR(HLOOKUP(C6,Rango_Admin_DailyClas,5,FALSE),"-")</f>
        <v>-</v>
      </c>
      <c r="G6" s="22" t="str">
        <f ca="1">IFERROR(HLOOKUP(C6,Rango_Admin_DailyClas,4,FALSE),"-")</f>
        <v>-</v>
      </c>
      <c r="H6" s="429" t="str">
        <f ca="1">IFERROR(VLOOKUP(H$2,Rango_Admin_DailyPred,MATCH($F6,Rango_Admin_DailyPred_Primera,0)+1,0),"-")</f>
        <v>-</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2</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2</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2</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2</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2</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24</v>
      </c>
      <c r="F12" s="456">
        <f ca="1">IFERROR(E12/B47,0)</f>
        <v>9.2879256965944269E-3</v>
      </c>
      <c r="G12" s="17"/>
      <c r="H12" s="454"/>
      <c r="I12" s="704"/>
      <c r="J12" s="706"/>
      <c r="K12" s="404"/>
      <c r="L12" s="133" t="str">
        <f ca="1">Horarios!Q7</f>
        <v>Australia</v>
      </c>
      <c r="M12" s="469">
        <f ca="1">ADMIN!$D$5-SUM(N12:T12)</f>
        <v>2</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0</v>
      </c>
      <c r="N13" s="471">
        <f ca="1">IFERROR(COUNTIF(ADMIN!$S$130:INDEX(ADMIN!$S$130:$HL$161,32,ADMIN!$D$5*3-1),Stats!$L13)-SUM(O13:T13),0)</f>
        <v>2</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0</v>
      </c>
      <c r="N15" s="471">
        <f ca="1">IFERROR(COUNTIF(ADMIN!$S$130:INDEX(ADMIN!$S$130:$HL$161,32,ADMIN!$D$5*3-1),Stats!$L15)-SUM(O15:T15),0)</f>
        <v>1</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0</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2</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2</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2</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2</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0</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0</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2</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1</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2</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1</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1</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1</v>
      </c>
      <c r="T28" s="470">
        <f ca="1">IFERROR(COUNTIF(ADMIN!$S$250:INDEX(ADMIN!$S$250:$HL$250,1,ADMIN!$D$5*3-1),Stats!$L28),0)</f>
        <v>0</v>
      </c>
      <c r="U28" s="25"/>
      <c r="V28" s="11">
        <f t="shared" ca="1" si="0"/>
        <v>2</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0</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0</v>
      </c>
      <c r="S30" s="469">
        <f ca="1">IFERROR(COUNTIF(ADMIN!$S$251:INDEX(ADMIN!$S$251:$HL$251,1,ADMIN!$D$5*3-1),Stats!$L30),0)</f>
        <v>1</v>
      </c>
      <c r="T30" s="470">
        <f ca="1">IFERROR(COUNTIF(ADMIN!$S$250:INDEX(ADMIN!$S$250:$HL$250,1,ADMIN!$D$5*3-1),Stats!$L30),0)</f>
        <v>0</v>
      </c>
      <c r="U30" s="25"/>
      <c r="V30" s="11">
        <f t="shared" ca="1" si="0"/>
        <v>2</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1</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0</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2</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1</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2</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0</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2</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1</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1</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1</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2</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1</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2</v>
      </c>
      <c r="U45" s="25"/>
      <c r="V45" s="11">
        <f t="shared" ca="1" si="0"/>
        <v>2</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2584</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1</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2</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1</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2</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1</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2026-06-11T18:21:14Z</dcterms:modified>
  <cp:category/>
</cp:coreProperties>
</file>