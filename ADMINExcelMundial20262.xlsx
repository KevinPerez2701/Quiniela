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ichValueRel.xml" ContentType="application/vnd.ms-excel.richvaluerel+xml"/>
  <Override PartName="/xl/richData/rdRichValueTypes.xml" ContentType="application/vnd.ms-excel.rdrichvaluetyp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51A5AA3E-D580-4D7A-8F1B-62EE2F200036}"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575" yWindow="210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Q244" i="46" s="1"/>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Q26" i="46" s="1"/>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Q60" i="46" s="1"/>
  <c r="O60" i="46"/>
  <c r="P59" i="46"/>
  <c r="O59" i="46"/>
  <c r="Q59" i="46" s="1"/>
  <c r="P58" i="46"/>
  <c r="O58" i="46"/>
  <c r="P57" i="46"/>
  <c r="O57" i="46"/>
  <c r="P56" i="46"/>
  <c r="Q56" i="46" s="1"/>
  <c r="O56" i="46"/>
  <c r="M56" i="46" s="1"/>
  <c r="P55" i="46"/>
  <c r="O55" i="46"/>
  <c r="P53" i="46"/>
  <c r="O53" i="46"/>
  <c r="O52" i="46"/>
  <c r="P51" i="46"/>
  <c r="O51" i="46"/>
  <c r="P50" i="46"/>
  <c r="O50" i="46"/>
  <c r="P49" i="46"/>
  <c r="O49" i="46"/>
  <c r="P48" i="46"/>
  <c r="O48" i="46"/>
  <c r="P47" i="46"/>
  <c r="O47" i="46"/>
  <c r="P46" i="46"/>
  <c r="O46" i="46"/>
  <c r="P45" i="46"/>
  <c r="Q45" i="46" s="1"/>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D38" i="36"/>
  <c r="W158" i="3" s="1"/>
  <c r="D468" i="36"/>
  <c r="K248" i="46" s="1"/>
  <c r="D184" i="36"/>
  <c r="K114" i="46" s="1"/>
  <c r="D181" i="36"/>
  <c r="K111" i="46" s="1"/>
  <c r="D138" i="36"/>
  <c r="D197" i="36"/>
  <c r="K127" i="46" s="1"/>
  <c r="D464" i="36"/>
  <c r="N4" i="47" s="1"/>
  <c r="D72" i="36"/>
  <c r="D73" i="36"/>
  <c r="D74" i="36"/>
  <c r="AY3" i="3" s="1"/>
  <c r="D148" i="36"/>
  <c r="K246" i="46" s="1"/>
  <c r="D136" i="36"/>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D310" i="36"/>
  <c r="C14" i="46" s="1"/>
  <c r="D318" i="36"/>
  <c r="C22" i="46" s="1"/>
  <c r="D326" i="36"/>
  <c r="C30" i="46" s="1"/>
  <c r="D334" i="36"/>
  <c r="C38" i="46" s="1"/>
  <c r="D271" i="36"/>
  <c r="D140" i="36"/>
  <c r="D150" i="36"/>
  <c r="K80" i="46" s="1"/>
  <c r="D475" i="36"/>
  <c r="F3" i="48" s="1"/>
  <c r="D474" i="36"/>
  <c r="G1" i="48"/>
  <c r="D39" i="36"/>
  <c r="W159" i="3" s="1"/>
  <c r="D145" i="36"/>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D194" i="36"/>
  <c r="D186" i="36"/>
  <c r="K116" i="46" s="1"/>
  <c r="D178" i="36"/>
  <c r="K108" i="46" s="1"/>
  <c r="D170" i="36"/>
  <c r="K100" i="46" s="1"/>
  <c r="D162" i="36"/>
  <c r="K92" i="46" s="1"/>
  <c r="D154" i="36"/>
  <c r="K84" i="46" s="1"/>
  <c r="D456" i="36"/>
  <c r="F4" i="47" s="1"/>
  <c r="D34" i="36"/>
  <c r="W152" i="3" s="1"/>
  <c r="D466" i="36"/>
  <c r="P4" i="47" s="1"/>
  <c r="D462" i="36"/>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K79" i="46"/>
  <c r="D93" i="36"/>
  <c r="L13" i="34" s="1"/>
  <c r="D104" i="36"/>
  <c r="L32" i="34" s="1"/>
  <c r="D96" i="36"/>
  <c r="L18" i="34" s="1"/>
  <c r="D89" i="36"/>
  <c r="L9" i="34" s="1"/>
  <c r="D95" i="36"/>
  <c r="L15" i="34" s="1"/>
  <c r="D94" i="36"/>
  <c r="L14" i="34" s="1"/>
  <c r="K112" i="46"/>
  <c r="D112" i="36"/>
  <c r="D110" i="36"/>
  <c r="L45" i="34" s="1"/>
  <c r="D86" i="36"/>
  <c r="L4" i="34" s="1"/>
  <c r="D101" i="36"/>
  <c r="L27" i="34" s="1"/>
  <c r="D100" i="36"/>
  <c r="L25" i="34" s="1"/>
  <c r="D103" i="36"/>
  <c r="D99" i="36"/>
  <c r="L23" i="34" s="1"/>
  <c r="D102" i="36"/>
  <c r="D98" i="36"/>
  <c r="L21" i="34" s="1"/>
  <c r="D92" i="36"/>
  <c r="L12" i="34" s="1"/>
  <c r="D97" i="36"/>
  <c r="L20" i="34" s="1"/>
  <c r="D91" i="36"/>
  <c r="L11" i="34" s="1"/>
  <c r="D88" i="36"/>
  <c r="D90" i="36"/>
  <c r="D87" i="36"/>
  <c r="L5" i="34" s="1"/>
  <c r="K199" i="46"/>
  <c r="B1" i="47"/>
  <c r="D509" i="36"/>
  <c r="D445" i="36"/>
  <c r="D446" i="36"/>
  <c r="K87" i="46"/>
  <c r="D444" i="36"/>
  <c r="D302" i="36"/>
  <c r="K12" i="30" s="1"/>
  <c r="M66" i="46"/>
  <c r="E222" i="46"/>
  <c r="E207" i="46"/>
  <c r="M207" i="46"/>
  <c r="K94" i="46"/>
  <c r="H1" i="50"/>
  <c r="K181" i="46"/>
  <c r="K235" i="46"/>
  <c r="D366" i="36"/>
  <c r="D443" i="36"/>
  <c r="D43" i="36"/>
  <c r="AA156" i="3" s="1"/>
  <c r="K249" i="46"/>
  <c r="C62" i="46" s="1"/>
  <c r="C39" i="46"/>
  <c r="AZ5" i="3"/>
  <c r="M37" i="46"/>
  <c r="E179" i="46"/>
  <c r="E247" i="46"/>
  <c r="E206" i="46"/>
  <c r="K113" i="46"/>
  <c r="I4" i="47"/>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D135" i="36"/>
  <c r="D442" i="36"/>
  <c r="D50" i="46" s="1"/>
  <c r="D373" i="36"/>
  <c r="D55" i="36"/>
  <c r="AM5" i="3" s="1"/>
  <c r="D61" i="36"/>
  <c r="AS5" i="3" s="1"/>
  <c r="D41" i="36"/>
  <c r="AA154" i="3" s="1"/>
  <c r="D371" i="36"/>
  <c r="D54" i="36"/>
  <c r="BD5" i="3" s="1"/>
  <c r="BD57" i="3" s="1"/>
  <c r="D62" i="36"/>
  <c r="AT5" i="3" s="1"/>
  <c r="D137" i="36"/>
  <c r="H152" i="46" s="1"/>
  <c r="D260" i="36"/>
  <c r="H172" i="46" s="1"/>
  <c r="D42" i="36"/>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Q4" i="47"/>
  <c r="S7" i="51"/>
  <c r="D505" i="36"/>
  <c r="D107" i="36"/>
  <c r="B3" i="30"/>
  <c r="AX18" i="45"/>
  <c r="S267" i="46"/>
  <c r="K128" i="46"/>
  <c r="K234" i="46"/>
  <c r="H228" i="46"/>
  <c r="H257" i="46"/>
  <c r="AZ37" i="3"/>
  <c r="AZ21" i="3"/>
  <c r="AZ13" i="3"/>
  <c r="AZ29" i="3"/>
  <c r="R7" i="51"/>
  <c r="AZ53" i="3"/>
  <c r="AZ77" i="3"/>
  <c r="AZ45" i="3"/>
  <c r="AZ69" i="3"/>
  <c r="AJ3" i="3"/>
  <c r="AJ60" i="3" s="1"/>
  <c r="AZ93" i="3"/>
  <c r="AZ85" i="3"/>
  <c r="H241" i="46"/>
  <c r="K224" i="46"/>
  <c r="L4" i="47"/>
  <c r="K139" i="46"/>
  <c r="K153" i="46"/>
  <c r="K136" i="46"/>
  <c r="K138" i="46"/>
  <c r="K132" i="46"/>
  <c r="K134" i="46"/>
  <c r="K144" i="46"/>
  <c r="K142" i="46"/>
  <c r="K152" i="46"/>
  <c r="K154" i="46"/>
  <c r="K148" i="46"/>
  <c r="K150" i="46"/>
  <c r="K160" i="46"/>
  <c r="K158" i="46"/>
  <c r="K137" i="46"/>
  <c r="H202" i="46"/>
  <c r="H212" i="46"/>
  <c r="H204" i="46"/>
  <c r="H205" i="46"/>
  <c r="H215" i="46"/>
  <c r="H207" i="46"/>
  <c r="Q22" i="6"/>
  <c r="H210" i="46"/>
  <c r="H211" i="46"/>
  <c r="H229" i="46"/>
  <c r="H220" i="46"/>
  <c r="H227" i="46"/>
  <c r="H222" i="46"/>
  <c r="D21" i="36"/>
  <c r="AF3" i="3" s="1"/>
  <c r="AF51" i="3" s="1"/>
  <c r="D507" i="36"/>
  <c r="H221" i="46"/>
  <c r="D20" i="36"/>
  <c r="AD3" i="3" s="1"/>
  <c r="D506" i="36"/>
  <c r="L6" i="34"/>
  <c r="C7" i="46"/>
  <c r="H233" i="46"/>
  <c r="H236" i="46"/>
  <c r="H237" i="46"/>
  <c r="C61" i="46"/>
  <c r="AA155" i="3"/>
  <c r="M254" i="46" s="1"/>
  <c r="T254" i="46" s="1"/>
  <c r="AH155" i="3"/>
  <c r="AM53" i="3"/>
  <c r="AM21" i="3"/>
  <c r="Q23" i="6"/>
  <c r="K5" i="46"/>
  <c r="C56" i="46" s="1"/>
  <c r="AA160" i="3"/>
  <c r="M258" i="46" s="1"/>
  <c r="AL5" i="3"/>
  <c r="AY5" i="3" s="1"/>
  <c r="AR61" i="3"/>
  <c r="H232" i="46"/>
  <c r="AA158" i="3"/>
  <c r="M256" i="46" s="1"/>
  <c r="AH158" i="3"/>
  <c r="H216" i="46"/>
  <c r="AH154" i="3"/>
  <c r="AN45" i="3"/>
  <c r="AJ52" i="3"/>
  <c r="AJ36" i="3"/>
  <c r="AJ84" i="3"/>
  <c r="M84" i="34"/>
  <c r="AC3" i="3"/>
  <c r="AC130" i="3" s="1"/>
  <c r="AH159" i="3" l="1"/>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V244" i="46"/>
  <c r="AH244" i="46"/>
  <c r="BF244" i="46"/>
  <c r="CD244" i="46"/>
  <c r="AK244" i="46"/>
  <c r="BI244" i="46"/>
  <c r="CG244" i="46"/>
  <c r="AN244" i="46"/>
  <c r="BL244" i="46"/>
  <c r="CJ244" i="46"/>
  <c r="AQ244" i="46"/>
  <c r="BO244" i="46"/>
  <c r="CM244" i="46"/>
  <c r="AT244" i="46"/>
  <c r="BR244" i="46"/>
  <c r="Y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V6" i="46"/>
  <c r="CM6" i="46"/>
  <c r="Y6" i="46"/>
  <c r="AQ6" i="46"/>
  <c r="AT6" i="46"/>
  <c r="AW6"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AE232" i="46"/>
  <c r="BC232" i="46"/>
  <c r="CA232" i="46"/>
  <c r="AH232" i="46"/>
  <c r="BF232" i="46"/>
  <c r="Y232" i="46"/>
  <c r="BI232" i="46"/>
  <c r="CJ232" i="46"/>
  <c r="AB232" i="46"/>
  <c r="BL232" i="46"/>
  <c r="CM232" i="46"/>
  <c r="AK232" i="46"/>
  <c r="BO232" i="46"/>
  <c r="AN232" i="46"/>
  <c r="BR232" i="46"/>
  <c r="AQ232" i="46"/>
  <c r="BU232" i="46"/>
  <c r="AT232" i="46"/>
  <c r="BX232" i="46"/>
  <c r="AW232" i="46"/>
  <c r="CD232" i="46"/>
  <c r="AZ232" i="46"/>
  <c r="CG232" i="46"/>
  <c r="V232" i="46"/>
  <c r="AT30" i="46"/>
  <c r="BR30" i="46"/>
  <c r="Y30" i="46"/>
  <c r="AW30" i="46"/>
  <c r="BU30" i="46"/>
  <c r="AB30" i="46"/>
  <c r="AZ30" i="46"/>
  <c r="BX30" i="46"/>
  <c r="AE30" i="46"/>
  <c r="BC30" i="46"/>
  <c r="CA30" i="46"/>
  <c r="AH30" i="46"/>
  <c r="BF30" i="46"/>
  <c r="CD30" i="46"/>
  <c r="AN30" i="46"/>
  <c r="AQ30" i="46"/>
  <c r="V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V54" i="46"/>
  <c r="AB54" i="46"/>
  <c r="AZ54" i="46"/>
  <c r="BX54" i="46"/>
  <c r="AE54" i="46"/>
  <c r="BC54" i="46"/>
  <c r="CA54" i="46"/>
  <c r="AK54" i="46"/>
  <c r="BO54" i="46"/>
  <c r="AN54" i="46"/>
  <c r="BR54" i="46"/>
  <c r="AQ54" i="46"/>
  <c r="BU54" i="46"/>
  <c r="AT54" i="46"/>
  <c r="CD54" i="46"/>
  <c r="AW54" i="46"/>
  <c r="CG54" i="46"/>
  <c r="BI54" i="46"/>
  <c r="BL54" i="46"/>
  <c r="CJ54" i="46"/>
  <c r="CM54" i="46"/>
  <c r="Y54" i="46"/>
  <c r="AH54" i="46"/>
  <c r="BF54" i="46"/>
  <c r="D367" i="36"/>
  <c r="AF91" i="3"/>
  <c r="AF67" i="3"/>
  <c r="AL85" i="3"/>
  <c r="AY85" i="3" s="1"/>
  <c r="AJ28" i="3"/>
  <c r="H244" i="46"/>
  <c r="H201" i="46"/>
  <c r="H214" i="46"/>
  <c r="H155" i="46"/>
  <c r="H140" i="46"/>
  <c r="H138" i="46"/>
  <c r="AK253" i="46"/>
  <c r="AL253" i="46" s="1"/>
  <c r="Y253" i="46"/>
  <c r="Z253" i="46" s="1"/>
  <c r="AZ253" i="46"/>
  <c r="BA253" i="46" s="1"/>
  <c r="AQ253" i="46"/>
  <c r="AR253" i="46" s="1"/>
  <c r="BI253" i="46"/>
  <c r="BJ253" i="46" s="1"/>
  <c r="BX253" i="46"/>
  <c r="BY253" i="46" s="1"/>
  <c r="AB253" i="46"/>
  <c r="AC253" i="46" s="1"/>
  <c r="AT253" i="46"/>
  <c r="AU253" i="46" s="1"/>
  <c r="CM253" i="46"/>
  <c r="CN253" i="46" s="1"/>
  <c r="BL253" i="46"/>
  <c r="BM253" i="46" s="1"/>
  <c r="CA253" i="46"/>
  <c r="CB253" i="46" s="1"/>
  <c r="AE253" i="46"/>
  <c r="AF253" i="46" s="1"/>
  <c r="AW253" i="46"/>
  <c r="AX253" i="46" s="1"/>
  <c r="BO253" i="46"/>
  <c r="BP253" i="46" s="1"/>
  <c r="CD253" i="46"/>
  <c r="CE253" i="46" s="1"/>
  <c r="AH253" i="46"/>
  <c r="AI253" i="46" s="1"/>
  <c r="BR253" i="46"/>
  <c r="BS253" i="46" s="1"/>
  <c r="BC253" i="46"/>
  <c r="BD253" i="46" s="1"/>
  <c r="CG253" i="46"/>
  <c r="CH253" i="46" s="1"/>
  <c r="V253" i="46"/>
  <c r="W253" i="46" s="1"/>
  <c r="CJ253" i="46"/>
  <c r="CK253" i="46" s="1"/>
  <c r="AN253" i="46"/>
  <c r="AO253" i="46" s="1"/>
  <c r="BF253" i="46"/>
  <c r="BG253" i="46" s="1"/>
  <c r="BU253" i="46"/>
  <c r="BV253" i="46" s="1"/>
  <c r="K193" i="46"/>
  <c r="K183" i="46"/>
  <c r="AN220" i="46"/>
  <c r="BL220" i="46"/>
  <c r="CJ220" i="46"/>
  <c r="AQ220" i="46"/>
  <c r="BO220" i="46"/>
  <c r="CM220" i="46"/>
  <c r="AT220" i="46"/>
  <c r="BX220" i="46"/>
  <c r="AW220" i="46"/>
  <c r="CA220" i="46"/>
  <c r="V220" i="46"/>
  <c r="AZ220" i="46"/>
  <c r="CD220" i="46"/>
  <c r="Y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V200" i="46"/>
  <c r="AZ200" i="46"/>
  <c r="CD200" i="46"/>
  <c r="Y200" i="46"/>
  <c r="AB200" i="46"/>
  <c r="BC200" i="46"/>
  <c r="BF200" i="46"/>
  <c r="CM200"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CE53" i="46"/>
  <c r="AI56" i="46"/>
  <c r="BG56" i="46"/>
  <c r="CE56" i="46"/>
  <c r="AO58" i="46"/>
  <c r="BM58" i="46"/>
  <c r="CK58" i="46"/>
  <c r="AX36" i="46"/>
  <c r="Z37" i="46"/>
  <c r="BG45" i="46"/>
  <c r="Z47" i="46"/>
  <c r="CB47" i="46"/>
  <c r="AI49" i="46"/>
  <c r="AU52" i="46"/>
  <c r="BS52" i="46"/>
  <c r="BJ53"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U53"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K214" i="46"/>
  <c r="K210" i="46"/>
  <c r="K216" i="46"/>
  <c r="DT75" i="3"/>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DT100" i="3" s="1"/>
  <c r="AF146" i="3"/>
  <c r="AF11" i="3"/>
  <c r="AF119" i="3"/>
  <c r="DT119" i="3" s="1"/>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AX53" i="46" l="1"/>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V164" i="46"/>
  <c r="AT164" i="46"/>
  <c r="BR164" i="46"/>
  <c r="Y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AB37" i="3" s="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N9" i="45" s="1"/>
  <c r="BG5" i="45"/>
  <c r="BN5" i="45" s="1"/>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BN22" i="45" s="1"/>
  <c r="T44" i="32"/>
  <c r="DT38" i="3"/>
  <c r="BG39" i="45"/>
  <c r="BN39" i="45" s="1"/>
  <c r="T13" i="32"/>
  <c r="K35" i="46"/>
  <c r="X21" i="32"/>
  <c r="BG45" i="45"/>
  <c r="BN45" i="45" s="1"/>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BN44" i="45" s="1"/>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BN32" i="45" s="1"/>
  <c r="X20" i="32"/>
  <c r="S24" i="32"/>
  <c r="L36" i="51"/>
  <c r="R20" i="32"/>
  <c r="X31" i="32"/>
  <c r="T20" i="32"/>
  <c r="S31" i="32"/>
  <c r="BG21" i="45"/>
  <c r="BN21" i="45" s="1"/>
  <c r="AE40" i="3" a="1"/>
  <c r="AE40" i="3" s="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Y68"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AY101" i="3"/>
  <c r="BQ33" i="3"/>
  <c r="BR33" i="3" s="1"/>
  <c r="BQ49" i="3"/>
  <c r="BR49" i="3" s="1"/>
  <c r="BQ51" i="3"/>
  <c r="X97" i="3" l="1"/>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B31" i="3" s="1"/>
  <c r="H28" i="3"/>
  <c r="CA19" i="3" s="1"/>
  <c r="I93" i="3"/>
  <c r="CA52" i="3" s="1"/>
  <c r="H52" i="3"/>
  <c r="I28" i="3"/>
  <c r="H54" i="3"/>
  <c r="I40" i="3"/>
  <c r="CB23" i="3" s="1"/>
  <c r="I71" i="3"/>
  <c r="I76" i="3"/>
  <c r="CB42" i="3" s="1"/>
  <c r="H96" i="3"/>
  <c r="CA50" i="3" s="1"/>
  <c r="I68" i="3"/>
  <c r="H80" i="3"/>
  <c r="H5" i="3"/>
  <c r="I49" i="3"/>
  <c r="H85" i="3"/>
  <c r="CB49" i="3" s="1"/>
  <c r="I70" i="3"/>
  <c r="I8" i="3"/>
  <c r="CB9" i="3" s="1"/>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53" i="3"/>
  <c r="CA43" i="3"/>
  <c r="CB53" i="3"/>
  <c r="CA47" i="3"/>
  <c r="CA18" i="3"/>
  <c r="CB46" i="3"/>
  <c r="CB47" i="3"/>
  <c r="CB20" i="3"/>
  <c r="CB18" i="3"/>
  <c r="CA45" i="3"/>
  <c r="CB45" i="3"/>
  <c r="CB27" i="3"/>
  <c r="CB36" i="3"/>
  <c r="CA36" i="3"/>
  <c r="CA27" i="3"/>
  <c r="E23" i="48"/>
  <c r="F22" i="48" a="1"/>
  <c r="F22" i="48" s="1"/>
  <c r="CB44" i="3" l="1"/>
  <c r="CA31" i="3"/>
  <c r="CC31" i="3" s="1"/>
  <c r="CA42" i="3"/>
  <c r="CC42" i="3" s="1"/>
  <c r="CA44"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9" i="3" s="1"/>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44" i="3" l="1"/>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CF43" i="3" s="1"/>
  <c r="L78" i="3"/>
  <c r="CF42" i="3" s="1"/>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CF25" i="3" s="1"/>
  <c r="L70" i="3"/>
  <c r="CF38" i="3" s="1"/>
  <c r="K68" i="3"/>
  <c r="K56" i="3"/>
  <c r="L20" i="3"/>
  <c r="L32" i="3"/>
  <c r="L22" i="3"/>
  <c r="CF17" i="3" s="1"/>
  <c r="K8" i="3"/>
  <c r="K28" i="3"/>
  <c r="CF19" i="3" s="1"/>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E9" i="51"/>
  <c r="CF22" i="3"/>
  <c r="CF8" i="3"/>
  <c r="CF26" i="3"/>
  <c r="B46" i="51"/>
  <c r="B47" i="51" s="1"/>
  <c r="E10" i="51"/>
  <c r="E28" i="48"/>
  <c r="F27" i="48" a="1"/>
  <c r="F27" i="48" s="1"/>
  <c r="E12" i="51"/>
  <c r="E11" i="51"/>
  <c r="CF6" i="3" l="1"/>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W20" i="45" s="1"/>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2" i="45" l="1"/>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CB234" i="46" l="1"/>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2">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29"/>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2">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valueMetadata>
</metadata>
</file>

<file path=xl/sharedStrings.xml><?xml version="1.0" encoding="utf-8"?>
<sst xmlns="http://schemas.openxmlformats.org/spreadsheetml/2006/main" count="7832" uniqueCount="1994">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</sst>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1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1" sqref="C1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38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1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38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46184</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C8" sqref="AC8"/>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Pendiente</v>
      </c>
      <c r="E4" s="742" t="str">
        <f t="shared" ref="E4:E9" si="1">IF(D4="Pendiente","-",INDEX($BT$6:$BT$53,MATCH($AA4,$BD$6:$BD$53,0)))</f>
        <v>-</v>
      </c>
      <c r="F4" s="742" t="str">
        <f t="shared" ref="F4:F9" si="2">IF(D4="Pendiente","-",INDEX($BT$6:$BT$53,MATCH($AF4,$BD$6:$BD$53,0)))</f>
        <v>-</v>
      </c>
      <c r="G4" s="742"/>
      <c r="H4" s="742" t="str">
        <f t="shared" ref="H4:H9" si="3">IF(D4="Pendiente","-",INDEX($BZ$6:$BZ$53,MATCH($AA4,$BD$6:$BD$53,0)))</f>
        <v>-</v>
      </c>
      <c r="I4" s="742" t="str">
        <f t="shared" ref="I4:I9" si="4">IF(D4="Pendiente","-",INDEX($BZ$6:$BZ$53,MATCH($AF4,$BD$6:$BD$53,0)))</f>
        <v>-</v>
      </c>
      <c r="J4" s="742"/>
      <c r="K4" s="742" t="str">
        <f t="shared" ref="K4:K9" si="5">IF(D4="Pendiente","-",INDEX($CE$6:$CE$53,MATCH($AA4,$BD$6:$BD$53,0)))</f>
        <v>-</v>
      </c>
      <c r="L4" s="742" t="str">
        <f t="shared" ref="L4:L9" si="6">IF(D4="Pendiente","-",INDEX($CE$6:$CE$53,MATCH($AF4,$BD$6:$BD$53,0)))</f>
        <v>-</v>
      </c>
      <c r="M4" s="742"/>
      <c r="N4" s="742" t="str">
        <f t="shared" ref="N4:N9" si="7">IF(D4="Pendiente","-",INDEX($CH$6:$CH$53,MATCH($AA4,$BD$6:$BD$53,0)))</f>
        <v>-</v>
      </c>
      <c r="O4" s="742" t="str">
        <f t="shared" ref="O4:O9" si="8">IF(D4="Pendiente","-",INDEX($CH$6:$CH$53,MATCH($AF4,$BD$6:$BD$53,0)))</f>
        <v>-</v>
      </c>
      <c r="P4" s="742"/>
      <c r="Q4" s="742" t="str">
        <f t="shared" ref="Q4:Q9" si="9">IF(D4="Pendiente","-",INDEX($CN$6:$CN$53,MATCH($AA4,$BD$6:$BD$53,0)))</f>
        <v>-</v>
      </c>
      <c r="R4" s="742" t="str">
        <f t="shared" ref="R4:R9" si="10">IF(D4="Pendiente","-",INDEX($CN$6:$CN$53,MATCH($AF4,$BD$6:$BD$53,0)))</f>
        <v>-</v>
      </c>
      <c r="S4" s="742"/>
      <c r="T4" s="742" t="str">
        <f t="shared" ref="T4:T9" si="11">IF(D4="Pendiente","-",INDEX($CS$6:$CS$53,MATCH($AA4,$BD$6:$BD$53,0)))</f>
        <v>-</v>
      </c>
      <c r="U4" s="742" t="str">
        <f t="shared" ref="U4:U9" si="12">IF(D4="Pendiente","-",INDEX($CS$6:$CS$53,MATCH($AF4,$BD$6:$BD$53,0)))</f>
        <v>-</v>
      </c>
      <c r="V4" s="172"/>
      <c r="W4" s="826" t="s">
        <v>0</v>
      </c>
      <c r="X4" s="189">
        <f ca="1">Horarios!C4</f>
        <v>46184.875</v>
      </c>
      <c r="Y4" s="190">
        <f ca="1">Horarios!C4</f>
        <v>46184.875</v>
      </c>
      <c r="Z4" s="191" t="str">
        <f>Idiomas!D63</f>
        <v>J1</v>
      </c>
      <c r="AA4" s="192" t="str">
        <f ca="1">+A5</f>
        <v>México</v>
      </c>
      <c r="AB4" s="480" t="str" cm="1">
        <f t="array" aca="1" ref="AB4" ca="1">Ver_flag_local</f>
        <v/>
      </c>
      <c r="AC4" s="193"/>
      <c r="AD4" s="194"/>
      <c r="AE4" s="483" t="str" cm="1">
        <f t="array" aca="1" ref="AE4" ca="1">Ver_flag_visit</f>
        <v/>
      </c>
      <c r="AF4" s="195" t="str">
        <f ca="1">A6</f>
        <v>Sudáfrica</v>
      </c>
      <c r="AG4" s="413">
        <f t="shared" ref="AG4:AG9" si="13">IF(NOT(OR(ISBLANK(AC4),ISBLANK(AD4))),1,0)</f>
        <v>0</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Pendiente</v>
      </c>
      <c r="E5" s="742" t="str">
        <f t="shared" si="1"/>
        <v>-</v>
      </c>
      <c r="F5" s="742" t="str">
        <f t="shared" si="2"/>
        <v>-</v>
      </c>
      <c r="G5" s="742"/>
      <c r="H5" s="742" t="str">
        <f t="shared" si="3"/>
        <v>-</v>
      </c>
      <c r="I5" s="742" t="str">
        <f t="shared" si="4"/>
        <v>-</v>
      </c>
      <c r="J5" s="742"/>
      <c r="K5" s="742" t="str">
        <f t="shared" si="5"/>
        <v>-</v>
      </c>
      <c r="L5" s="742" t="str">
        <f t="shared" si="6"/>
        <v>-</v>
      </c>
      <c r="M5" s="742"/>
      <c r="N5" s="742" t="str">
        <f t="shared" si="7"/>
        <v>-</v>
      </c>
      <c r="O5" s="742" t="str">
        <f t="shared" si="8"/>
        <v>-</v>
      </c>
      <c r="P5" s="742"/>
      <c r="Q5" s="742" t="str">
        <f t="shared" si="9"/>
        <v>-</v>
      </c>
      <c r="R5" s="742" t="str">
        <f t="shared" si="10"/>
        <v>-</v>
      </c>
      <c r="S5" s="742"/>
      <c r="T5" s="742" t="str">
        <f t="shared" si="11"/>
        <v>-</v>
      </c>
      <c r="U5" s="742" t="str">
        <f t="shared" si="12"/>
        <v>-</v>
      </c>
      <c r="V5" s="172"/>
      <c r="W5" s="826"/>
      <c r="X5" s="189">
        <f ca="1">Horarios!C5</f>
        <v>46185.166666666664</v>
      </c>
      <c r="Y5" s="190">
        <f ca="1">Horarios!C5</f>
        <v>46185.166666666664</v>
      </c>
      <c r="Z5" s="191" t="str">
        <f>$Z$4</f>
        <v>J1</v>
      </c>
      <c r="AA5" s="192" t="str">
        <f ca="1">A7</f>
        <v>Corea del Sur</v>
      </c>
      <c r="AB5" s="480" t="str" cm="1">
        <f t="array" aca="1" ref="AB5" ca="1">Ver_flag_local</f>
        <v/>
      </c>
      <c r="AC5" s="193"/>
      <c r="AD5" s="194"/>
      <c r="AE5" s="483" t="str" cm="1">
        <f t="array" aca="1" ref="AE5" ca="1">Ver_flag_visit</f>
        <v/>
      </c>
      <c r="AF5" s="195" t="str">
        <f ca="1">A8</f>
        <v>República Checa</v>
      </c>
      <c r="AG5" s="413">
        <f t="shared" si="13"/>
        <v>0</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826"/>
      <c r="X6" s="189">
        <f ca="1">Horarios!C6</f>
        <v>46191.75</v>
      </c>
      <c r="Y6" s="190">
        <f ca="1">Horarios!C6</f>
        <v>46191.75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0</v>
      </c>
      <c r="AN6" s="214">
        <f t="shared" ca="1" si="16"/>
        <v>0</v>
      </c>
      <c r="AO6" s="214">
        <f t="shared" ca="1" si="16"/>
        <v>0</v>
      </c>
      <c r="AP6" s="214">
        <f t="shared" ca="1" si="16"/>
        <v>0</v>
      </c>
      <c r="AQ6" s="214">
        <f t="shared" ca="1" si="16"/>
        <v>0</v>
      </c>
      <c r="AR6" s="214">
        <f t="shared" ca="1" si="16"/>
        <v>0</v>
      </c>
      <c r="AS6" s="214">
        <f t="shared" ca="1" si="16"/>
        <v>0</v>
      </c>
      <c r="AT6" s="215">
        <f t="shared" ca="1" si="16"/>
        <v>0</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0</v>
      </c>
      <c r="BF6" s="746">
        <f ca="1">+BG6+BH6+BI6</f>
        <v>0</v>
      </c>
      <c r="BG6" s="746">
        <f t="shared" ref="BG6:BG53" ca="1" si="17">+COUNTIFS(FGLocal,BD6,Ganador,"Local")+COUNTIFS(FGVisitante,BD6,Ganador,"Visitante")</f>
        <v>0</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0</v>
      </c>
      <c r="BK6" s="746">
        <f t="shared" ref="BK6:BK53" ca="1" si="21">+SUMIFS(FG_GolesLocal,FGVisitante,BD6,Ganador,"&lt;&gt;"&amp;"Pendiente",FG_GolesLocal,"&lt;&gt;"&amp;"",FG_GolesVisitante,"&lt;&gt;"&amp;"")+SUMIFS(FG_GolesVisitante,FGLocal,BD6,Ganador,"&lt;&gt;"&amp;"Pendiente",FG_GolesLocal,"&lt;&gt;"&amp;"",FG_GolesVisitante,"&lt;&gt;"&amp;"")</f>
        <v>0</v>
      </c>
      <c r="BL6" s="746">
        <f ca="1">+BJ6-BK6</f>
        <v>0</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0</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(4)</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(4)</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(4)</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(4)</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(4)</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(4)</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(4)</v>
      </c>
      <c r="CW6" s="755">
        <f ca="1">IF(CV6="-","-",BL6)</f>
        <v>0</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P.1 (4)</v>
      </c>
      <c r="CZ6" s="755">
        <f ca="1">IF(CY6="-","-",BJ6)</f>
        <v>0</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P.1 (4)</v>
      </c>
      <c r="DC6" s="754">
        <f ca="1">IF(DB6="-","-",COUNTIFS(T_Equipos[Rank],"&lt;"&amp;INDEX(T_Equipos[Rank],MATCH(BD6,T_Equipos[NombreEquipo],0)),$BC$6:$BC$53,INDEX(T_Equipos[Grupo],MATCH(BD6,T_Equipos[NombreEquipo],0)))+1)</f>
        <v>1</v>
      </c>
      <c r="DD6" s="754">
        <f ca="1">DA6+COUNTIFS($DB$6:$DB$53,DB6,$DC$6:DC$53,"&lt;"&amp;DC6,$BC$6:$BC$53,INDEX(T_Equipos[Grupo],MATCH(BD6,T_Equipos[NombreEquipo],0)))</f>
        <v>1</v>
      </c>
      <c r="DE6" s="754"/>
      <c r="DF6" s="754">
        <f ca="1">IF(OR(INDEX($AW$6:$AW$97,MATCH($BD6,$AV$6:$AV$97,0))="",DB6="-"),DD6,INDEX($AW$6:$AW$97,MATCH($BD6,$AV$6:$AV$97,0))+DD6/1000)</f>
        <v>1</v>
      </c>
      <c r="DG6" s="754">
        <f ca="1">IF(DB6="-","-",COUNTIFS(DF$6:DF$53,"&lt;"&amp;DF6,$BC$6:$BC$53,INDEX(T_Equipos[Grupo],MATCH(BD6,T_Equipos[NombreEquipo],0))))</f>
        <v>0</v>
      </c>
      <c r="DH6" s="754">
        <f ca="1">DA6+COUNTIFS(DB$6:DB$53,DB6,DG$6:DG$53,"&lt;"&amp;DG6,$BC$6:$BC$53,INDEX(T_Equipos[Grupo],MATCH(BD6,T_Equipos[NombreEquipo],0)))</f>
        <v>1</v>
      </c>
      <c r="DI6" s="742"/>
      <c r="DJ6" s="742">
        <f ca="1">INDEX($DA$6:$DA$53,MATCH($DQ6,$BD$6:$BD$53,0))</f>
        <v>1</v>
      </c>
      <c r="DK6" s="742">
        <f t="shared" ref="DK6:DK53" ca="1" si="24">+SUMIF($BC$6:$BC$53,BC6,$BF$6:$BF$53)</f>
        <v>0</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46192.125</v>
      </c>
      <c r="Y7" s="190">
        <f ca="1">Horarios!C7</f>
        <v>46192.125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Sudáfrica</v>
      </c>
      <c r="AM7" s="223">
        <f t="shared" ca="1" si="16"/>
        <v>0</v>
      </c>
      <c r="AN7" s="224">
        <f t="shared" ca="1" si="16"/>
        <v>0</v>
      </c>
      <c r="AO7" s="224">
        <f t="shared" ca="1" si="16"/>
        <v>0</v>
      </c>
      <c r="AP7" s="224">
        <f t="shared" ca="1" si="16"/>
        <v>0</v>
      </c>
      <c r="AQ7" s="224">
        <f t="shared" ca="1" si="16"/>
        <v>0</v>
      </c>
      <c r="AR7" s="224">
        <f t="shared" ca="1" si="16"/>
        <v>0</v>
      </c>
      <c r="AS7" s="224">
        <f t="shared" ca="1" si="16"/>
        <v>0</v>
      </c>
      <c r="AT7" s="225">
        <f t="shared" ca="1" si="16"/>
        <v>0</v>
      </c>
      <c r="AU7" s="420">
        <f ca="1">INDEX($DL$6:$DL$53,MATCH(AI7,$DP$6:$DP$53,0))</f>
        <v>1</v>
      </c>
      <c r="AV7" s="217" t="str">
        <f ca="1">INDEX($BD$6:$BD$53,MATCH(AI7,$BM$6:$BM$53,0))</f>
        <v>Sudáfrica</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0</v>
      </c>
      <c r="BG7" s="746">
        <f t="shared" ca="1" si="17"/>
        <v>0</v>
      </c>
      <c r="BH7" s="746">
        <f t="shared" ca="1" si="18"/>
        <v>0</v>
      </c>
      <c r="BI7" s="746">
        <f t="shared" ca="1" si="19"/>
        <v>0</v>
      </c>
      <c r="BJ7" s="746">
        <f t="shared" ca="1" si="20"/>
        <v>0</v>
      </c>
      <c r="BK7" s="746">
        <f t="shared" ca="1" si="21"/>
        <v>0</v>
      </c>
      <c r="BL7" s="746">
        <f t="shared" ref="BL7:BL53" ca="1" si="27">+BJ7-BK7</f>
        <v>0</v>
      </c>
      <c r="BM7" s="746" t="str">
        <f t="shared" ca="1" si="22"/>
        <v>2A</v>
      </c>
      <c r="BN7" s="746" t="str">
        <f t="shared" ca="1" si="23"/>
        <v>2A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1</v>
      </c>
      <c r="BT7" s="755" t="str">
        <f ca="1">IF(COUNTIFS($BS$6:$BS$53,BS7,$BC$6:$BC$53,INDEX(T_Equipos[Grupo],MATCH(BD7,T_Equipos[NombreEquipo],0)))=1,"-","P."&amp;BS7&amp;" ("&amp;COUNTIFS($BS$6:$BS$53,BS7,$BC$6:$BC$53,INDEX(T_Equipos[Grupo],MATCH(BD7,T_Equipos[NombreEquipo],0)))&amp;")")</f>
        <v>P.1 (4)</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1</v>
      </c>
      <c r="BZ7" s="755" t="str">
        <f ca="1">IF(COUNTIFS($BY$6:$BY$53,BY7,$BC$6:$BC$53,INDEX(T_Equipos[Grupo],MATCH(BD7,T_Equipos[NombreEquipo],0)))=1,"-","P."&amp;BY7&amp;" ("&amp;COUNTIFS($BY$6:$BY$53,BY7,$BC$6:$BC$53,INDEX(T_Equipos[Grupo],MATCH(BD7,T_Equipos[NombreEquipo],0)))&amp;")")</f>
        <v>P.1 (4)</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1</v>
      </c>
      <c r="CE7" s="755" t="str">
        <f ca="1">IF(COUNTIFS($CD$6:$CD$53,CD7,$BC$6:$BC$53,INDEX(T_Equipos[Grupo],MATCH(BD7,T_Equipos[NombreEquipo],0)))=1,"-","P."&amp;CD7&amp;" ("&amp;COUNTIFS($CD$6:$CD$53,CD7,$BC$6:$BC$53,INDEX(T_Equipos[Grupo],MATCH(BD7,T_Equipos[NombreEquipo],0)))&amp;")")</f>
        <v>P.1 (4)</v>
      </c>
      <c r="CF7" s="756">
        <f ca="1">IF($CE7="-","-",SUMIFS(FG_GolesLocal,FGLocal,$BD7,Part1Empate3V,$CE7)+SUMIFS(FG_GolesVisitante,FGVisitante,$BD7,Part1Empate3L,$CE7))</f>
        <v>0</v>
      </c>
      <c r="CG7" s="756">
        <f ca="1">CD7+COUNTIFS($CE$6:$CE$53,CE7,$CF$6:CF$53,"&gt;"&amp;CF7,$BC$6:$BC$53,INDEX(T_Equipos[Grupo],MATCH(BD7,T_Equipos[NombreEquipo],0)))</f>
        <v>1</v>
      </c>
      <c r="CH7" s="755" t="str">
        <f ca="1">IF(COUNTIFS($CG$6:$CG$53,CG7,$BC$6:$BC$53,INDEX(T_Equipos[Grupo],MATCH(BD7,T_Equipos[NombreEquipo],0)))=1,"-","P."&amp;CG7&amp;" ("&amp;COUNTIFS($CG$6:$CG$53,CG7,$BC$6:$BC$53,INDEX(T_Equipos[Grupo],MATCH(BD7,T_Equipos[NombreEquipo],0)))&amp;")")</f>
        <v>P.1 (4)</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1</v>
      </c>
      <c r="CN7" s="755" t="str">
        <f ca="1">IF(COUNTIFS($CM$6:$CM$53,CM7,$BC$6:$BC$53,INDEX(T_Equipos[Grupo],MATCH(BD7,T_Equipos[NombreEquipo],0)))=1,"-","P."&amp;CM7&amp;" ("&amp;COUNTIFS($CM$6:$CM$53,CM7,$BC$6:$BC$53,INDEX(T_Equipos[Grupo],MATCH(BD7,T_Equipos[NombreEquipo],0)))&amp;")")</f>
        <v>P.1 (4)</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1</v>
      </c>
      <c r="CS7" s="755" t="str">
        <f ca="1">IF(COUNTIFS($CR$6:$CR$53,CR7,$BC$6:$BC$53,INDEX(T_Equipos[Grupo],MATCH(BD7,T_Equipos[NombreEquipo],0)))=1,"-","P."&amp;CR7&amp;" ("&amp;COUNTIFS($CR$6:$CR$53,CR7,$BC$6:$BC$53,INDEX(T_Equipos[Grupo],MATCH(BD7,T_Equipos[NombreEquipo],0)))&amp;")")</f>
        <v>P.1 (4)</v>
      </c>
      <c r="CT7" s="756">
        <f ca="1">IF($CS7="-","-",SUMIFS(FG_GolesLocal,FGLocal,$BD7,Part2Empate6V,$CS7)+SUMIFS(FG_GolesVisitante,FGVisitante,$BD7,Part2Empate6L,$CS7))</f>
        <v>0</v>
      </c>
      <c r="CU7" s="756">
        <f ca="1">CR7+COUNTIFS($CS$6:$CS$53,CS7,$CT$6:CT$53,"&gt;"&amp;CT7,$BC$6:$BC$53,INDEX(T_Equipos[Grupo],MATCH(BD7,T_Equipos[NombreEquipo],0)))</f>
        <v>1</v>
      </c>
      <c r="CV7" s="755" t="str">
        <f ca="1">IF(COUNTIFS($CU$6:$CU$53,CU7,$BC$6:$BC$53,INDEX(T_Equipos[Grupo],MATCH(BD7,T_Equipos[NombreEquipo],0)))=1,"-","P."&amp;CU7&amp;" ("&amp;COUNTIFS($CU$6:$CU$53,CU7,$BC$6:$BC$53,INDEX(T_Equipos[Grupo],MATCH(BD7,T_Equipos[NombreEquipo],0)))&amp;")")</f>
        <v>P.1 (4)</v>
      </c>
      <c r="CW7" s="755">
        <f t="shared" ref="CW7:CW53" ca="1" si="30">IF(CV7="-","-",BL7)</f>
        <v>0</v>
      </c>
      <c r="CX7" s="755">
        <f ca="1">CU7+COUNTIFS($CV$6:$CV$53,CV7,$CW$6:CW$53,"&gt;"&amp;CW7,$BC$6:$BC$53,INDEX(T_Equipos[Grupo],MATCH(BD7,T_Equipos[NombreEquipo],0)))</f>
        <v>1</v>
      </c>
      <c r="CY7" s="755" t="str">
        <f ca="1">IF(COUNTIFS($CX$6:$CX$53,CX7,$BC$6:$BC$53,INDEX(T_Equipos[Grupo],MATCH(BD7,T_Equipos[NombreEquipo],0)))=1,"-","P."&amp;CX7&amp;" ("&amp;COUNTIFS($CX$6:$CX$53,CX7,$BC$6:$BC$53,INDEX(T_Equipos[Grupo],MATCH(BD7,T_Equipos[NombreEquipo],0)))&amp;")")</f>
        <v>P.1 (4)</v>
      </c>
      <c r="CZ7" s="755">
        <f t="shared" ref="CZ7:CZ53" ca="1" si="31">IF(CY7="-","-",BJ7)</f>
        <v>0</v>
      </c>
      <c r="DA7" s="756">
        <f ca="1">CX7+COUNTIFS($CY$6:$CY$53,CY7,$CZ$6:CZ$53,"&gt;"&amp;CZ7,$BC$6:$BC$53,INDEX(T_Equipos[Grupo],MATCH(BD7,T_Equipos[NombreEquipo],0)))</f>
        <v>1</v>
      </c>
      <c r="DB7" s="755" t="str">
        <f ca="1">IF(COUNTIFS($DA$6:$DA$53,DA7,$BC$6:$BC$53,INDEX(T_Equipos[Grupo],MATCH(BD7,T_Equipos[NombreEquipo],0)))=1,"-","P."&amp;DA7&amp;" ("&amp;COUNTIFS($DA$6:$DA$53,DA7,$BC$6:$BC$53,INDEX(T_Equipos[Grupo],MATCH(BD7,T_Equipos[NombreEquipo],0)))&amp;")")</f>
        <v>P.1 (4)</v>
      </c>
      <c r="DC7" s="754">
        <f ca="1">IF(DB7="-","-",COUNTIFS(T_Equipos[Rank],"&lt;"&amp;INDEX(T_Equipos[Rank],MATCH(BD7,T_Equipos[NombreEquipo],0)),$BC$6:$BC$53,INDEX(T_Equipos[Grupo],MATCH(BD7,T_Equipos[NombreEquipo],0)))+1)</f>
        <v>2</v>
      </c>
      <c r="DD7" s="754">
        <f ca="1">DA7+COUNTIFS($DB$6:$DB$53,DB7,$DC$6:DC$53,"&lt;"&amp;DC7,$BC$6:$BC$53,INDEX(T_Equipos[Grupo],MATCH(BD7,T_Equipos[NombreEquipo],0)))</f>
        <v>2</v>
      </c>
      <c r="DE7" s="754"/>
      <c r="DF7" s="754">
        <f t="shared" ref="DF7:DF9" ca="1" si="32">IF(OR(INDEX($AW$6:$AW$97,MATCH($BD7,$AV$6:$AV$97,0))="",DB7="-"),DD7,INDEX($AW$6:$AW$97,MATCH($BD7,$AV$6:$AV$97,0))+DD7/1000)</f>
        <v>2</v>
      </c>
      <c r="DG7" s="754">
        <f ca="1">IF(DB7="-","-",COUNTIFS(DF$6:DF$53,"&lt;"&amp;DF7,$BC$6:$BC$53,INDEX(T_Equipos[Grupo],MATCH(BD7,T_Equipos[NombreEquipo],0))))</f>
        <v>1</v>
      </c>
      <c r="DH7" s="754">
        <f ca="1">DA7+COUNTIFS(DB$6:DB$53,DB7,DG$6:DG$53,"&lt;"&amp;DG7,$BC$6:$BC$53,INDEX(T_Equipos[Grupo],MATCH(BD7,T_Equipos[NombreEquipo],0)))</f>
        <v>2</v>
      </c>
      <c r="DI7" s="742"/>
      <c r="DJ7" s="742">
        <f ca="1">INDEX($DA$6:$DA$53,MATCH($DQ7,$BD$6:$BD$53,0))</f>
        <v>1</v>
      </c>
      <c r="DK7" s="742">
        <f t="shared" ca="1" si="24"/>
        <v>0</v>
      </c>
      <c r="DL7" s="742">
        <f t="shared" ref="DL7:DL53" ca="1" si="33">IF(OR(DK7=12,$AJ$99=144),COUNTIFS($DJ$6:$DJ$53,DJ7,$BC$6:$BC$53,BC7),1)</f>
        <v>1</v>
      </c>
      <c r="DM7" s="736" t="str">
        <f t="shared" ref="DM7:DM53" ca="1" si="34">DJ7&amp;"."&amp;DL7</f>
        <v>1.1</v>
      </c>
      <c r="DN7" s="742" cm="1">
        <f t="array" aca="1" ref="DN7" ca="1">OFFSET(Horarios!$P$3,DJ7-1,0,DL7,1)</f>
        <v>1</v>
      </c>
      <c r="DO7" s="742"/>
      <c r="DP7" s="742" t="s">
        <v>646</v>
      </c>
      <c r="DQ7" s="742" t="str">
        <f t="shared" ref="DQ7:DQ53" ca="1" si="35">INDEX($BD$6:$BD$53,MATCH(DP7,$BM$6:$BM$53,0))</f>
        <v>Sudáfrica</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46198.125</v>
      </c>
      <c r="Y8" s="190">
        <f ca="1">Horarios!C8</f>
        <v>46198.125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Corea del Sur</v>
      </c>
      <c r="AM8" s="223">
        <f t="shared" ca="1" si="16"/>
        <v>0</v>
      </c>
      <c r="AN8" s="224">
        <f t="shared" ca="1" si="16"/>
        <v>0</v>
      </c>
      <c r="AO8" s="224">
        <f t="shared" ca="1" si="16"/>
        <v>0</v>
      </c>
      <c r="AP8" s="224">
        <f t="shared" ca="1" si="16"/>
        <v>0</v>
      </c>
      <c r="AQ8" s="224">
        <f t="shared" ca="1" si="16"/>
        <v>0</v>
      </c>
      <c r="AR8" s="224">
        <f t="shared" ca="1" si="16"/>
        <v>0</v>
      </c>
      <c r="AS8" s="224">
        <f t="shared" ca="1" si="16"/>
        <v>0</v>
      </c>
      <c r="AT8" s="225">
        <f t="shared" ca="1" si="16"/>
        <v>0</v>
      </c>
      <c r="AU8" s="420">
        <f ca="1">INDEX($DL$6:$DL$53,MATCH(AI8,$DP$6:$DP$53,0))</f>
        <v>1</v>
      </c>
      <c r="AV8" s="217" t="str">
        <f ca="1">INDEX($BD$6:$BD$53,MATCH(AI8,$BM$6:$BM$53,0))</f>
        <v>Corea del Sur</v>
      </c>
      <c r="AW8" s="427"/>
      <c r="AX8" s="218"/>
      <c r="AY8" s="219" t="str">
        <f ca="1">+A7</f>
        <v>Corea del Sur</v>
      </c>
      <c r="AZ8" s="220"/>
      <c r="BA8" s="175"/>
      <c r="BB8" s="742"/>
      <c r="BC8" s="754" t="str">
        <f ca="1">+INDEX(T_Equipos[Grupo],MATCH(WORLDCUP!BD8,T_Equipos[NombreEquipo],0))</f>
        <v>A</v>
      </c>
      <c r="BD8" s="742" t="str">
        <f ca="1">+Equipos!B4</f>
        <v>Corea del Sur</v>
      </c>
      <c r="BE8" s="746">
        <f t="shared" ca="1" si="25"/>
        <v>0</v>
      </c>
      <c r="BF8" s="746">
        <f t="shared" ca="1" si="26"/>
        <v>0</v>
      </c>
      <c r="BG8" s="746">
        <f t="shared" ca="1" si="17"/>
        <v>0</v>
      </c>
      <c r="BH8" s="746">
        <f t="shared" ca="1" si="18"/>
        <v>0</v>
      </c>
      <c r="BI8" s="746">
        <f t="shared" ca="1" si="19"/>
        <v>0</v>
      </c>
      <c r="BJ8" s="746">
        <f t="shared" ca="1" si="20"/>
        <v>0</v>
      </c>
      <c r="BK8" s="746">
        <f t="shared" ca="1" si="21"/>
        <v>0</v>
      </c>
      <c r="BL8" s="746">
        <f t="shared" ca="1" si="27"/>
        <v>0</v>
      </c>
      <c r="BM8" s="746" t="str">
        <f t="shared" ca="1" si="22"/>
        <v>3A</v>
      </c>
      <c r="BN8" s="746" t="str">
        <f t="shared" ca="1" si="23"/>
        <v>3A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0</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(4)</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(4)</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(4)</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(4)</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(4)</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(4)</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(4)</v>
      </c>
      <c r="CW8" s="755">
        <f t="shared" ca="1" si="30"/>
        <v>0</v>
      </c>
      <c r="CX8" s="755">
        <f ca="1">CU8+COUNTIFS($CV$6:$CV$53,CV8,$CW$6:CW$53,"&gt;"&amp;CW8,$BC$6:$BC$53,INDEX(T_Equipos[Grupo],MATCH(BD8,T_Equipos[NombreEquipo],0)))</f>
        <v>1</v>
      </c>
      <c r="CY8" s="755" t="str">
        <f ca="1">IF(COUNTIFS($CX$6:$CX$53,CX8,$BC$6:$BC$53,INDEX(T_Equipos[Grupo],MATCH(BD8,T_Equipos[NombreEquipo],0)))=1,"-","P."&amp;CX8&amp;" ("&amp;COUNTIFS($CX$6:$CX$53,CX8,$BC$6:$BC$53,INDEX(T_Equipos[Grupo],MATCH(BD8,T_Equipos[NombreEquipo],0)))&amp;")")</f>
        <v>P.1 (4)</v>
      </c>
      <c r="CZ8" s="755">
        <f t="shared" ca="1" si="31"/>
        <v>0</v>
      </c>
      <c r="DA8" s="756">
        <f ca="1">CX8+COUNTIFS($CY$6:$CY$53,CY8,$CZ$6:CZ$53,"&gt;"&amp;CZ8,$BC$6:$BC$53,INDEX(T_Equipos[Grupo],MATCH(BD8,T_Equipos[NombreEquipo],0)))</f>
        <v>1</v>
      </c>
      <c r="DB8" s="755" t="str">
        <f ca="1">IF(COUNTIFS($DA$6:$DA$53,DA8,$BC$6:$BC$53,INDEX(T_Equipos[Grupo],MATCH(BD8,T_Equipos[NombreEquipo],0)))=1,"-","P."&amp;DA8&amp;" ("&amp;COUNTIFS($DA$6:$DA$53,DA8,$BC$6:$BC$53,INDEX(T_Equipos[Grupo],MATCH(BD8,T_Equipos[NombreEquipo],0)))&amp;")")</f>
        <v>P.1 (4)</v>
      </c>
      <c r="DC8" s="754">
        <f ca="1">IF(DB8="-","-",COUNTIFS(T_Equipos[Rank],"&lt;"&amp;INDEX(T_Equipos[Rank],MATCH(BD8,T_Equipos[NombreEquipo],0)),$BC$6:$BC$53,INDEX(T_Equipos[Grupo],MATCH(BD8,T_Equipos[NombreEquipo],0)))+1)</f>
        <v>3</v>
      </c>
      <c r="DD8" s="754">
        <f ca="1">DA8+COUNTIFS($DB$6:$DB$53,DB8,$DC$6:DC$53,"&lt;"&amp;DC8,$BC$6:$BC$53,INDEX(T_Equipos[Grupo],MATCH(BD8,T_Equipos[NombreEquipo],0)))</f>
        <v>3</v>
      </c>
      <c r="DE8" s="754"/>
      <c r="DF8" s="754">
        <f t="shared" ca="1" si="32"/>
        <v>3</v>
      </c>
      <c r="DG8" s="754">
        <f ca="1">IF(DB8="-","-",COUNTIFS(DF$6:DF$53,"&lt;"&amp;DF8,$BC$6:$BC$53,INDEX(T_Equipos[Grupo],MATCH(BD8,T_Equipos[NombreEquipo],0))))</f>
        <v>2</v>
      </c>
      <c r="DH8" s="754">
        <f ca="1">DA8+COUNTIFS(DB$6:DB$53,DB8,DG$6:DG$53,"&lt;"&amp;DG8,$BC$6:$BC$53,INDEX(T_Equipos[Grupo],MATCH(BD8,T_Equipos[NombreEquipo],0)))</f>
        <v>3</v>
      </c>
      <c r="DI8" s="742"/>
      <c r="DJ8" s="742">
        <f ca="1">INDEX($DA$6:$DA$53,MATCH($DQ8,$BD$6:$BD$53,0))</f>
        <v>1</v>
      </c>
      <c r="DK8" s="742">
        <f t="shared" ca="1" si="24"/>
        <v>0</v>
      </c>
      <c r="DL8" s="742">
        <f t="shared" ca="1" si="33"/>
        <v>1</v>
      </c>
      <c r="DM8" s="736" t="str">
        <f t="shared" ca="1" si="34"/>
        <v>1.1</v>
      </c>
      <c r="DN8" s="742" cm="1">
        <f t="array" aca="1" ref="DN8" ca="1">OFFSET(Horarios!$P$3,DJ8-1,0,DL8,1)</f>
        <v>1</v>
      </c>
      <c r="DO8" s="742"/>
      <c r="DP8" s="742" t="s">
        <v>89</v>
      </c>
      <c r="DQ8" s="742" t="str">
        <f t="shared" ca="1" si="35"/>
        <v>Corea del Sur</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46198.125</v>
      </c>
      <c r="Y9" s="229">
        <f ca="1">Horarios!C9</f>
        <v>46198.125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República Checa</v>
      </c>
      <c r="AM9" s="237">
        <f t="shared" ca="1" si="16"/>
        <v>0</v>
      </c>
      <c r="AN9" s="238">
        <f t="shared" ca="1" si="16"/>
        <v>0</v>
      </c>
      <c r="AO9" s="238">
        <f t="shared" ca="1" si="16"/>
        <v>0</v>
      </c>
      <c r="AP9" s="238">
        <f t="shared" ca="1" si="16"/>
        <v>0</v>
      </c>
      <c r="AQ9" s="238">
        <f t="shared" ca="1" si="16"/>
        <v>0</v>
      </c>
      <c r="AR9" s="238">
        <f t="shared" ca="1" si="16"/>
        <v>0</v>
      </c>
      <c r="AS9" s="238">
        <f t="shared" ca="1" si="16"/>
        <v>0</v>
      </c>
      <c r="AT9" s="239">
        <f t="shared" ca="1" si="16"/>
        <v>0</v>
      </c>
      <c r="AU9" s="420">
        <f ca="1">INDEX($DL$6:$DL$53,MATCH(AI9,$DP$6:$DP$53,0))</f>
        <v>1</v>
      </c>
      <c r="AV9" s="217" t="str">
        <f ca="1">INDEX($BD$6:$BD$53,MATCH(AI9,$BM$6:$BM$53,0))</f>
        <v>República Checa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0</v>
      </c>
      <c r="BG9" s="746">
        <f t="shared" ca="1" si="17"/>
        <v>0</v>
      </c>
      <c r="BH9" s="746">
        <f t="shared" ca="1" si="18"/>
        <v>0</v>
      </c>
      <c r="BI9" s="746">
        <f t="shared" ca="1" si="19"/>
        <v>0</v>
      </c>
      <c r="BJ9" s="746">
        <f t="shared" ca="1" si="20"/>
        <v>0</v>
      </c>
      <c r="BK9" s="746">
        <f t="shared" ca="1" si="21"/>
        <v>0</v>
      </c>
      <c r="BL9" s="746">
        <f t="shared" ca="1" si="27"/>
        <v>0</v>
      </c>
      <c r="BM9" s="746" t="str">
        <f t="shared" ca="1" si="22"/>
        <v>4A</v>
      </c>
      <c r="BN9" s="746" t="str">
        <f t="shared" ca="1" si="23"/>
        <v>4A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1</v>
      </c>
      <c r="BT9" s="755" t="str">
        <f ca="1">IF(COUNTIFS($BS$6:$BS$53,BS9,$BC$6:$BC$53,INDEX(T_Equipos[Grupo],MATCH(BD9,T_Equipos[NombreEquipo],0)))=1,"-","P."&amp;BS9&amp;" ("&amp;COUNTIFS($BS$6:$BS$53,BS9,$BC$6:$BC$53,INDEX(T_Equipos[Grupo],MATCH(BD9,T_Equipos[NombreEquipo],0)))&amp;")")</f>
        <v>P.1 (4)</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1</v>
      </c>
      <c r="BZ9" s="755" t="str">
        <f ca="1">IF(COUNTIFS($BY$6:$BY$53,BY9,$BC$6:$BC$53,INDEX(T_Equipos[Grupo],MATCH(BD9,T_Equipos[NombreEquipo],0)))=1,"-","P."&amp;BY9&amp;" ("&amp;COUNTIFS($BY$6:$BY$53,BY9,$BC$6:$BC$53,INDEX(T_Equipos[Grupo],MATCH(BD9,T_Equipos[NombreEquipo],0)))&amp;")")</f>
        <v>P.1 (4)</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1</v>
      </c>
      <c r="CE9" s="755" t="str">
        <f ca="1">IF(COUNTIFS($CD$6:$CD$53,CD9,$BC$6:$BC$53,INDEX(T_Equipos[Grupo],MATCH(BD9,T_Equipos[NombreEquipo],0)))=1,"-","P."&amp;CD9&amp;" ("&amp;COUNTIFS($CD$6:$CD$53,CD9,$BC$6:$BC$53,INDEX(T_Equipos[Grupo],MATCH(BD9,T_Equipos[NombreEquipo],0)))&amp;")")</f>
        <v>P.1 (4)</v>
      </c>
      <c r="CF9" s="756">
        <f ca="1">IF($CE9="-","-",SUMIFS(FG_GolesLocal,FGLocal,$BD9,Part1Empate3V,$CE9)+SUMIFS(FG_GolesVisitante,FGVisitante,$BD9,Part1Empate3L,$CE9))</f>
        <v>0</v>
      </c>
      <c r="CG9" s="756">
        <f ca="1">CD9+COUNTIFS($CE$6:$CE$53,CE9,$CF$6:CF$53,"&gt;"&amp;CF9,$BC$6:$BC$53,INDEX(T_Equipos[Grupo],MATCH(BD9,T_Equipos[NombreEquipo],0)))</f>
        <v>1</v>
      </c>
      <c r="CH9" s="755" t="str">
        <f ca="1">IF(COUNTIFS($CG$6:$CG$53,CG9,$BC$6:$BC$53,INDEX(T_Equipos[Grupo],MATCH(BD9,T_Equipos[NombreEquipo],0)))=1,"-","P."&amp;CG9&amp;" ("&amp;COUNTIFS($CG$6:$CG$53,CG9,$BC$6:$BC$53,INDEX(T_Equipos[Grupo],MATCH(BD9,T_Equipos[NombreEquipo],0)))&amp;")")</f>
        <v>P.1 (4)</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1</v>
      </c>
      <c r="CN9" s="755" t="str">
        <f ca="1">IF(COUNTIFS($CM$6:$CM$53,CM9,$BC$6:$BC$53,INDEX(T_Equipos[Grupo],MATCH(BD9,T_Equipos[NombreEquipo],0)))=1,"-","P."&amp;CM9&amp;" ("&amp;COUNTIFS($CM$6:$CM$53,CM9,$BC$6:$BC$53,INDEX(T_Equipos[Grupo],MATCH(BD9,T_Equipos[NombreEquipo],0)))&amp;")")</f>
        <v>P.1 (4)</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1</v>
      </c>
      <c r="CS9" s="755" t="str">
        <f ca="1">IF(COUNTIFS($CR$6:$CR$53,CR9,$BC$6:$BC$53,INDEX(T_Equipos[Grupo],MATCH(BD9,T_Equipos[NombreEquipo],0)))=1,"-","P."&amp;CR9&amp;" ("&amp;COUNTIFS($CR$6:$CR$53,CR9,$BC$6:$BC$53,INDEX(T_Equipos[Grupo],MATCH(BD9,T_Equipos[NombreEquipo],0)))&amp;")")</f>
        <v>P.1 (4)</v>
      </c>
      <c r="CT9" s="756">
        <f ca="1">IF($CS9="-","-",SUMIFS(FG_GolesLocal,FGLocal,$BD9,Part2Empate6V,$CS9)+SUMIFS(FG_GolesVisitante,FGVisitante,$BD9,Part2Empate6L,$CS9))</f>
        <v>0</v>
      </c>
      <c r="CU9" s="756">
        <f ca="1">CR9+COUNTIFS($CS$6:$CS$53,CS9,$CT$6:CT$53,"&gt;"&amp;CT9,$BC$6:$BC$53,INDEX(T_Equipos[Grupo],MATCH(BD9,T_Equipos[NombreEquipo],0)))</f>
        <v>1</v>
      </c>
      <c r="CV9" s="755" t="str">
        <f ca="1">IF(COUNTIFS($CU$6:$CU$53,CU9,$BC$6:$BC$53,INDEX(T_Equipos[Grupo],MATCH(BD9,T_Equipos[NombreEquipo],0)))=1,"-","P."&amp;CU9&amp;" ("&amp;COUNTIFS($CU$6:$CU$53,CU9,$BC$6:$BC$53,INDEX(T_Equipos[Grupo],MATCH(BD9,T_Equipos[NombreEquipo],0)))&amp;")")</f>
        <v>P.1 (4)</v>
      </c>
      <c r="CW9" s="755">
        <f t="shared" ca="1" si="30"/>
        <v>0</v>
      </c>
      <c r="CX9" s="755">
        <f ca="1">CU9+COUNTIFS($CV$6:$CV$53,CV9,$CW$6:CW$53,"&gt;"&amp;CW9,$BC$6:$BC$53,INDEX(T_Equipos[Grupo],MATCH(BD9,T_Equipos[NombreEquipo],0)))</f>
        <v>1</v>
      </c>
      <c r="CY9" s="755" t="str">
        <f ca="1">IF(COUNTIFS($CX$6:$CX$53,CX9,$BC$6:$BC$53,INDEX(T_Equipos[Grupo],MATCH(BD9,T_Equipos[NombreEquipo],0)))=1,"-","P."&amp;CX9&amp;" ("&amp;COUNTIFS($CX$6:$CX$53,CX9,$BC$6:$BC$53,INDEX(T_Equipos[Grupo],MATCH(BD9,T_Equipos[NombreEquipo],0)))&amp;")")</f>
        <v>P.1 (4)</v>
      </c>
      <c r="CZ9" s="755">
        <f t="shared" ca="1" si="31"/>
        <v>0</v>
      </c>
      <c r="DA9" s="756">
        <f ca="1">CX9+COUNTIFS($CY$6:$CY$53,CY9,$CZ$6:CZ$53,"&gt;"&amp;CZ9,$BC$6:$BC$53,INDEX(T_Equipos[Grupo],MATCH(BD9,T_Equipos[NombreEquipo],0)))</f>
        <v>1</v>
      </c>
      <c r="DB9" s="755" t="str">
        <f ca="1">IF(COUNTIFS($DA$6:$DA$53,DA9,$BC$6:$BC$53,INDEX(T_Equipos[Grupo],MATCH(BD9,T_Equipos[NombreEquipo],0)))=1,"-","P."&amp;DA9&amp;" ("&amp;COUNTIFS($DA$6:$DA$53,DA9,$BC$6:$BC$53,INDEX(T_Equipos[Grupo],MATCH(BD9,T_Equipos[NombreEquipo],0)))&amp;")")</f>
        <v>P.1 (4)</v>
      </c>
      <c r="DC9" s="754">
        <f ca="1">IF(DB9="-","-",COUNTIFS(T_Equipos[Rank],"&lt;"&amp;INDEX(T_Equipos[Rank],MATCH(BD9,T_Equipos[NombreEquipo],0)),$BC$6:$BC$53,INDEX(T_Equipos[Grupo],MATCH(BD9,T_Equipos[NombreEquipo],0)))+1)</f>
        <v>4</v>
      </c>
      <c r="DD9" s="754">
        <f ca="1">DA9+COUNTIFS($DB$6:$DB$53,DB9,$DC$6:DC$53,"&lt;"&amp;DC9,$BC$6:$BC$53,INDEX(T_Equipos[Grupo],MATCH(BD9,T_Equipos[NombreEquipo],0)))</f>
        <v>4</v>
      </c>
      <c r="DE9" s="754"/>
      <c r="DF9" s="754">
        <f t="shared" ca="1" si="32"/>
        <v>4</v>
      </c>
      <c r="DG9" s="754">
        <f ca="1">IF(DB9="-","-",COUNTIFS(DF$6:DF$53,"&lt;"&amp;DF9,$BC$6:$BC$53,INDEX(T_Equipos[Grupo],MATCH(BD9,T_Equipos[NombreEquipo],0))))</f>
        <v>3</v>
      </c>
      <c r="DH9" s="754">
        <f ca="1">DA9+COUNTIFS(DB$6:DB$53,DB9,DG$6:DG$53,"&lt;"&amp;DG9,$BC$6:$BC$53,INDEX(T_Equipos[Grupo],MATCH(BD9,T_Equipos[NombreEquipo],0)))</f>
        <v>4</v>
      </c>
      <c r="DI9" s="742"/>
      <c r="DJ9" s="742">
        <f ca="1">INDEX($DA$6:$DA$53,MATCH($DQ9,$BD$6:$BD$53,0))</f>
        <v>1</v>
      </c>
      <c r="DK9" s="742">
        <f t="shared" ca="1" si="24"/>
        <v>0</v>
      </c>
      <c r="DL9" s="742">
        <f t="shared" ca="1" si="33"/>
        <v>1</v>
      </c>
      <c r="DM9" s="736" t="str">
        <f t="shared" ca="1" si="34"/>
        <v>1.1</v>
      </c>
      <c r="DN9" s="742" cm="1">
        <f t="array" aca="1" ref="DN9" ca="1">OFFSET(Horarios!$P$3,DJ9-1,0,DL9,1)</f>
        <v>1</v>
      </c>
      <c r="DO9" s="742"/>
      <c r="DP9" s="742" t="s">
        <v>647</v>
      </c>
      <c r="DQ9" s="742" t="str">
        <f t="shared" ca="1" si="35"/>
        <v>República Checa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28" t="s">
        <v>1</v>
      </c>
      <c r="X12" s="189">
        <f ca="1">Horarios!C12</f>
        <v>46185.875</v>
      </c>
      <c r="Y12" s="190">
        <f ca="1">Horarios!C12</f>
        <v>46185.875</v>
      </c>
      <c r="Z12" s="191" t="str">
        <f>$Z$4</f>
        <v>J1</v>
      </c>
      <c r="AA12" s="192" t="str">
        <f ca="1">A13</f>
        <v>Canadá</v>
      </c>
      <c r="AB12" s="478" t="str" cm="1">
        <f t="array" aca="1" ref="AB12" ca="1">Ver_flag_local</f>
        <v/>
      </c>
      <c r="AC12" s="193"/>
      <c r="AD12" s="194"/>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28"/>
      <c r="X13" s="189">
        <f ca="1">Horarios!C13</f>
        <v>46186.875</v>
      </c>
      <c r="Y13" s="190">
        <f ca="1">Horarios!C13</f>
        <v>46186.875</v>
      </c>
      <c r="Z13" s="191" t="str">
        <f>$Z$4</f>
        <v>J1</v>
      </c>
      <c r="AA13" s="192" t="str">
        <f ca="1">A15</f>
        <v>Catar</v>
      </c>
      <c r="AB13" s="478" t="str" cm="1">
        <f t="array" aca="1" ref="AB13" ca="1">Ver_flag_local</f>
        <v/>
      </c>
      <c r="AC13" s="193"/>
      <c r="AD13" s="194"/>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46191.875</v>
      </c>
      <c r="Y14" s="190">
        <f ca="1">Horarios!C14</f>
        <v>46191.875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46192</v>
      </c>
      <c r="Y15" s="190">
        <f ca="1">Horarios!C15</f>
        <v>46192</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46197.875</v>
      </c>
      <c r="Y16" s="190">
        <f ca="1">Horarios!C16</f>
        <v>46197.875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46197.875</v>
      </c>
      <c r="Y17" s="229">
        <f ca="1">Horarios!C17</f>
        <v>46197.875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37" t="s">
        <v>2</v>
      </c>
      <c r="X20" s="189">
        <f ca="1">Horarios!C20</f>
        <v>46187</v>
      </c>
      <c r="Y20" s="190">
        <f ca="1">Horarios!C20</f>
        <v>46187</v>
      </c>
      <c r="Z20" s="191" t="str">
        <f>$Z$4</f>
        <v>J1</v>
      </c>
      <c r="AA20" s="192" t="str">
        <f ca="1">A21</f>
        <v>Brasil</v>
      </c>
      <c r="AB20" s="478" t="str" cm="1">
        <f t="array" aca="1" ref="AB20" ca="1">Ver_flag_local</f>
        <v/>
      </c>
      <c r="AC20" s="193"/>
      <c r="AD20" s="194"/>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37"/>
      <c r="X21" s="189">
        <f ca="1">Horarios!C21</f>
        <v>46187.125</v>
      </c>
      <c r="Y21" s="190">
        <f ca="1">Horarios!C21</f>
        <v>46187.125</v>
      </c>
      <c r="Z21" s="191" t="str">
        <f>$Z$4</f>
        <v>J1</v>
      </c>
      <c r="AA21" s="192" t="str">
        <f ca="1">A23</f>
        <v>Haití</v>
      </c>
      <c r="AB21" s="478" t="str" cm="1">
        <f t="array" aca="1" ref="AB21" ca="1">Ver_flag_local</f>
        <v/>
      </c>
      <c r="AC21" s="193"/>
      <c r="AD21" s="194"/>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46193</v>
      </c>
      <c r="Y22" s="190">
        <f ca="1">Horarios!C22</f>
        <v>46193</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46193.104166666664</v>
      </c>
      <c r="Y23" s="190">
        <f ca="1">Horarios!C23</f>
        <v>46193.104166666664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46198</v>
      </c>
      <c r="Y24" s="190">
        <f ca="1">Horarios!C24</f>
        <v>46198</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46198</v>
      </c>
      <c r="Y25" s="229">
        <f ca="1">Horarios!C25</f>
        <v>46198</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39" t="s">
        <v>73</v>
      </c>
      <c r="X28" s="189">
        <f ca="1">Horarios!C28</f>
        <v>46186.125</v>
      </c>
      <c r="Y28" s="190">
        <f ca="1">Horarios!C28</f>
        <v>46186.125</v>
      </c>
      <c r="Z28" s="191" t="str">
        <f>$Z$4</f>
        <v>J1</v>
      </c>
      <c r="AA28" s="192" t="str">
        <f ca="1">A29</f>
        <v>Estados Unidos</v>
      </c>
      <c r="AB28" s="478" t="str" cm="1">
        <f t="array" aca="1" ref="AB28" ca="1">Ver_flag_local</f>
        <v/>
      </c>
      <c r="AC28" s="193"/>
      <c r="AD28" s="194"/>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39"/>
      <c r="X29" s="189">
        <f ca="1">Horarios!C29</f>
        <v>46187.25</v>
      </c>
      <c r="Y29" s="190">
        <f ca="1">Horarios!C29</f>
        <v>46187.25</v>
      </c>
      <c r="Z29" s="191" t="str">
        <f>$Z$4</f>
        <v>J1</v>
      </c>
      <c r="AA29" s="192" t="str">
        <f ca="1">A31</f>
        <v>Australia</v>
      </c>
      <c r="AB29" s="478" t="str" cm="1">
        <f t="array" aca="1" ref="AB29" ca="1">Ver_flag_local</f>
        <v/>
      </c>
      <c r="AC29" s="193"/>
      <c r="AD29" s="194"/>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46192.875</v>
      </c>
      <c r="Y30" s="190">
        <f ca="1">Horarios!C30</f>
        <v>46192.875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46193.208333333336</v>
      </c>
      <c r="Y31" s="190">
        <f ca="1">Horarios!C31</f>
        <v>46193.208333333336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46199.166666666664</v>
      </c>
      <c r="Y32" s="190">
        <f ca="1">Horarios!C32</f>
        <v>46199.166666666664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46199.166666666664</v>
      </c>
      <c r="Y33" s="229">
        <f ca="1">Horarios!C33</f>
        <v>46199.166666666664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41" t="s">
        <v>3</v>
      </c>
      <c r="X36" s="189">
        <f ca="1">Horarios!C36</f>
        <v>46187.791666666664</v>
      </c>
      <c r="Y36" s="190">
        <f ca="1">Horarios!C36</f>
        <v>46187.791666666664</v>
      </c>
      <c r="Z36" s="191" t="str">
        <f>$Z$4</f>
        <v>J1</v>
      </c>
      <c r="AA36" s="192" t="str">
        <f ca="1">A37</f>
        <v>Alemania</v>
      </c>
      <c r="AB36" s="478" t="str" cm="1">
        <f t="array" aca="1" ref="AB36" ca="1">Ver_flag_local</f>
        <v/>
      </c>
      <c r="AC36" s="193"/>
      <c r="AD36" s="194"/>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41"/>
      <c r="X37" s="189">
        <f ca="1">Horarios!C37</f>
        <v>46188.041666666664</v>
      </c>
      <c r="Y37" s="190">
        <f ca="1">Horarios!C37</f>
        <v>46188.041666666664</v>
      </c>
      <c r="Z37" s="191" t="str">
        <f>$Z$4</f>
        <v>J1</v>
      </c>
      <c r="AA37" s="192" t="str">
        <f ca="1">A39</f>
        <v>Costa de Marfil</v>
      </c>
      <c r="AB37" s="478" t="str" cm="1">
        <f t="array" aca="1" ref="AB37" ca="1">Ver_flag_local</f>
        <v/>
      </c>
      <c r="AC37" s="193"/>
      <c r="AD37" s="194"/>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46193.916666666664</v>
      </c>
      <c r="Y38" s="190">
        <f ca="1">Horarios!C38</f>
        <v>46193.916666666664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46194.083333333336</v>
      </c>
      <c r="Y39" s="190">
        <f ca="1">Horarios!C39</f>
        <v>46194.083333333336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46198.916666666664</v>
      </c>
      <c r="Y40" s="190">
        <f ca="1">Horarios!C40</f>
        <v>46198.916666666664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46198.916666666664</v>
      </c>
      <c r="Y41" s="229">
        <f ca="1">Horarios!C41</f>
        <v>46198.916666666664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04" t="s">
        <v>4</v>
      </c>
      <c r="X44" s="189">
        <f ca="1">Horarios!C44</f>
        <v>46187.916666666664</v>
      </c>
      <c r="Y44" s="190">
        <f ca="1">Horarios!C44</f>
        <v>46187.916666666664</v>
      </c>
      <c r="Z44" s="191" t="str">
        <f>$Z$4</f>
        <v>J1</v>
      </c>
      <c r="AA44" s="192" t="str">
        <f ca="1">A45</f>
        <v>Países Bajos</v>
      </c>
      <c r="AB44" s="478" t="str" cm="1">
        <f t="array" aca="1" ref="AB44" ca="1">Ver_flag_local</f>
        <v/>
      </c>
      <c r="AC44" s="193"/>
      <c r="AD44" s="194"/>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04"/>
      <c r="X45" s="189">
        <f ca="1">Horarios!C45</f>
        <v>46188.166666666664</v>
      </c>
      <c r="Y45" s="190">
        <f ca="1">Horarios!C45</f>
        <v>46188.166666666664</v>
      </c>
      <c r="Z45" s="191" t="str">
        <f>$Z$4</f>
        <v>J1</v>
      </c>
      <c r="AA45" s="192" t="str">
        <f ca="1">A47</f>
        <v>Suecia</v>
      </c>
      <c r="AB45" s="478" t="str" cm="1">
        <f t="array" aca="1" ref="AB45" ca="1">Ver_flag_local</f>
        <v/>
      </c>
      <c r="AC45" s="193"/>
      <c r="AD45" s="194"/>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46193.791666666664</v>
      </c>
      <c r="Y46" s="190">
        <f ca="1">Horarios!C46</f>
        <v>46193.791666666664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46194.25</v>
      </c>
      <c r="Y47" s="190">
        <f ca="1">Horarios!C47</f>
        <v>46194.25</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46199.041666666664</v>
      </c>
      <c r="Y48" s="190">
        <f ca="1">Horarios!C48</f>
        <v>46199.041666666664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46199.041666666664</v>
      </c>
      <c r="Y49" s="229">
        <f ca="1">Horarios!C49</f>
        <v>46199.041666666664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24" t="s">
        <v>6</v>
      </c>
      <c r="X52" s="189">
        <f ca="1">Horarios!C52</f>
        <v>46188.875</v>
      </c>
      <c r="Y52" s="190">
        <f ca="1">Horarios!C52</f>
        <v>46188.875</v>
      </c>
      <c r="Z52" s="191" t="str">
        <f>$Z$4</f>
        <v>J1</v>
      </c>
      <c r="AA52" s="192" t="str">
        <f ca="1">A53</f>
        <v>Bélgica</v>
      </c>
      <c r="AB52" s="478" t="str" cm="1">
        <f t="array" aca="1" ref="AB52" ca="1">Ver_flag_local</f>
        <v/>
      </c>
      <c r="AC52" s="193"/>
      <c r="AD52" s="194"/>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24"/>
      <c r="X53" s="189">
        <f ca="1">Horarios!C53</f>
        <v>46189.125</v>
      </c>
      <c r="Y53" s="190">
        <f ca="1">Horarios!C53</f>
        <v>46189.125</v>
      </c>
      <c r="Z53" s="191" t="str">
        <f>$Z$4</f>
        <v>J1</v>
      </c>
      <c r="AA53" s="192" t="str">
        <f ca="1">A55</f>
        <v>Irán</v>
      </c>
      <c r="AB53" s="478" t="str" cm="1">
        <f t="array" aca="1" ref="AB53" ca="1">Ver_flag_local</f>
        <v/>
      </c>
      <c r="AC53" s="193"/>
      <c r="AD53" s="194"/>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46194.875</v>
      </c>
      <c r="Y54" s="190">
        <f ca="1">Horarios!C54</f>
        <v>46194.875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46195.125</v>
      </c>
      <c r="Y55" s="190">
        <f ca="1">Horarios!C55</f>
        <v>46195.125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46200.208333333336</v>
      </c>
      <c r="Y56" s="190">
        <f ca="1">Horarios!C56</f>
        <v>46200.208333333336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46200.208333333336</v>
      </c>
      <c r="Y57" s="229">
        <f ca="1">Horarios!C57</f>
        <v>46200.208333333336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Corea del Sur</v>
      </c>
      <c r="BE58" s="746">
        <f ca="1">CHOOSE($BB$57,
  (BG58*3 + BH58)+IF($AZ$3="No",0,INDEX($AZ$6:$AZ$97,MATCH(BD58,$AY$6:$AY$97,0))),
  (BG58*3 + BH58)+IF($AZ$3="No",0,INDEX($AZ$6:$AZ$97,MATCH(BD58,$AY$6:$AY$97,0))),
  IFERROR((BG58*3 + BH58+IF($AZ$3="No",0,INDEX($AZ$6:$AZ$97,MATCH(BD58,$AY$6:$AY$97,0)))) / BF58, 0)
)</f>
        <v>0</v>
      </c>
      <c r="BF58" s="746">
        <f ca="1">+BG58+BH58+BI58</f>
        <v>0</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0</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0</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0</v>
      </c>
      <c r="BL58" s="746">
        <f ca="1">BJ58-BK58</f>
        <v>0</v>
      </c>
      <c r="BM58" s="746">
        <f ca="1">CB58</f>
        <v>5</v>
      </c>
      <c r="BN58" s="746">
        <f ca="1">CF58</f>
        <v>5</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0</v>
      </c>
      <c r="BV58" s="746">
        <f t="shared" ref="BV58:BV69" ca="1" si="181">BS58+COUNTIFS(BT$58:BT$69,BT58,BU$58:BU$69,"&gt;"&amp;BU58)</f>
        <v>1</v>
      </c>
      <c r="BW58" s="746" t="str">
        <f t="shared" ref="BW58:BW69" ca="1" si="182">IF(COUNTIF(BV$58:BV$69,BV58)=1,"-","Pos. "&amp;BV58&amp;" ("&amp;COUNTIF(BV$58:BV$69,BV58)&amp;")")</f>
        <v>Pos. 1 (12)</v>
      </c>
      <c r="BX58" s="746">
        <f t="shared" ref="BX58:BX69" ca="1" si="183">IF(BW58="-","-",BJ58)</f>
        <v>0</v>
      </c>
      <c r="BY58" s="746">
        <f t="shared" ref="BY58:BY69" ca="1" si="184">BV58+COUNTIFS(BW$58:BW$69,BW58,BX$58:BX$69,"&gt;"&amp;BX58)</f>
        <v>1</v>
      </c>
      <c r="BZ58" s="746" t="str">
        <f t="shared" ref="BZ58:BZ69" ca="1" si="185">IF(COUNTIF(BY$58:BY$69,BY58)=1,"-","Pos. "&amp;BY58&amp;" ("&amp;COUNTIF(BY$58:BY$69,BY58)&amp;")")</f>
        <v>Pos. 1 (12)</v>
      </c>
      <c r="CA58" s="746">
        <f ca="1">IF(BZ58="-","-",COUNTIF($BD$58:$BD$69,"&gt;"&amp;BD58))</f>
        <v>7</v>
      </c>
      <c r="CB58" s="746">
        <f ca="1">BY58+COUNTIFS(BZ$58:BZ$69,BZ58,CA$58:CA$69,"&gt;"&amp;CA58)</f>
        <v>5</v>
      </c>
      <c r="CC58" s="746"/>
      <c r="CD58" s="746">
        <f ca="1">IF(OR(INDEX($AW$102:$AW$113,MATCH($BD58,$AV$102:$AV$113,0))="",BZ58="-"),CB58,INDEX($AW$102:$AW$113,MATCH($BD58,$AV$102:$AV$113,0))+CB58/1000)</f>
        <v>5</v>
      </c>
      <c r="CE58" s="746">
        <f ca="1">IF(BZ58="-","-",COUNTIF(CD$58:CD$69,"&lt;"&amp;CD58))</f>
        <v>4</v>
      </c>
      <c r="CF58" s="746">
        <f ca="1">BY58+COUNTIFS(BZ$58:BZ$69,BZ58,CE$58:CE$69,"&lt;"&amp;CE58)</f>
        <v>5</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(12)</v>
      </c>
      <c r="BX59" s="746">
        <f t="shared" ca="1" si="183"/>
        <v>0</v>
      </c>
      <c r="BY59" s="746">
        <f t="shared" ca="1" si="184"/>
        <v>1</v>
      </c>
      <c r="BZ59" s="746" t="str">
        <f t="shared" ca="1" si="185"/>
        <v>Pos. 1 (12)</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06" t="s">
        <v>437</v>
      </c>
      <c r="X60" s="189">
        <f ca="1">Horarios!C60</f>
        <v>46188.75</v>
      </c>
      <c r="Y60" s="190">
        <f ca="1">Horarios!C60</f>
        <v>46188.75</v>
      </c>
      <c r="Z60" s="191" t="str">
        <f>$Z$4</f>
        <v>J1</v>
      </c>
      <c r="AA60" s="192" t="str">
        <f ca="1">A61</f>
        <v>España</v>
      </c>
      <c r="AB60" s="478" t="str" cm="1">
        <f t="array" aca="1" ref="AB60" ca="1">Ver_flag_local</f>
        <v/>
      </c>
      <c r="AC60" s="193"/>
      <c r="AD60" s="194"/>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8</v>
      </c>
      <c r="BN60" s="746">
        <f t="shared" ca="1" si="195"/>
        <v>8</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(12)</v>
      </c>
      <c r="BX60" s="746">
        <f t="shared" ca="1" si="183"/>
        <v>0</v>
      </c>
      <c r="BY60" s="746">
        <f t="shared" ca="1" si="184"/>
        <v>1</v>
      </c>
      <c r="BZ60" s="746" t="str">
        <f t="shared" ca="1" si="185"/>
        <v>Pos. 1 (12)</v>
      </c>
      <c r="CA60" s="746">
        <f t="shared" ca="1" si="199"/>
        <v>4</v>
      </c>
      <c r="CB60" s="746">
        <f t="shared" ca="1" si="200"/>
        <v>8</v>
      </c>
      <c r="CC60" s="746"/>
      <c r="CD60" s="746">
        <f t="shared" ca="1" si="201"/>
        <v>8</v>
      </c>
      <c r="CE60" s="746">
        <f t="shared" ca="1" si="202"/>
        <v>7</v>
      </c>
      <c r="CF60" s="746">
        <f t="shared" ca="1" si="203"/>
        <v>8</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06"/>
      <c r="X61" s="189">
        <f ca="1">Horarios!C61</f>
        <v>46189</v>
      </c>
      <c r="Y61" s="190">
        <f ca="1">Horarios!C61</f>
        <v>46189</v>
      </c>
      <c r="Z61" s="191" t="str">
        <f>$Z$4</f>
        <v>J1</v>
      </c>
      <c r="AA61" s="192" t="str">
        <f ca="1">A63</f>
        <v>Arabia Saudita</v>
      </c>
      <c r="AB61" s="478" t="str" cm="1">
        <f t="array" aca="1" ref="AB61" ca="1">Ver_flag_local</f>
        <v/>
      </c>
      <c r="AC61" s="193"/>
      <c r="AD61" s="194"/>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(12)</v>
      </c>
      <c r="BX61" s="746">
        <f t="shared" ca="1" si="183"/>
        <v>0</v>
      </c>
      <c r="BY61" s="746">
        <f t="shared" ca="1" si="184"/>
        <v>1</v>
      </c>
      <c r="BZ61" s="746" t="str">
        <f t="shared" ca="1" si="185"/>
        <v>Pos. 1 (12)</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46194.75</v>
      </c>
      <c r="Y62" s="190">
        <f ca="1">Horarios!C62</f>
        <v>46194.75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6</v>
      </c>
      <c r="BN62" s="746">
        <f t="shared" ca="1" si="195"/>
        <v>6</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(12)</v>
      </c>
      <c r="BX62" s="746">
        <f t="shared" ca="1" si="183"/>
        <v>0</v>
      </c>
      <c r="BY62" s="746">
        <f t="shared" ca="1" si="184"/>
        <v>1</v>
      </c>
      <c r="BZ62" s="746" t="str">
        <f t="shared" ca="1" si="185"/>
        <v>Pos. 1 (12)</v>
      </c>
      <c r="CA62" s="746">
        <f t="shared" ca="1" si="199"/>
        <v>6</v>
      </c>
      <c r="CB62" s="746">
        <f t="shared" ca="1" si="200"/>
        <v>6</v>
      </c>
      <c r="CC62" s="746"/>
      <c r="CD62" s="746">
        <f t="shared" ca="1" si="201"/>
        <v>6</v>
      </c>
      <c r="CE62" s="746">
        <f t="shared" ca="1" si="202"/>
        <v>5</v>
      </c>
      <c r="CF62" s="746">
        <f t="shared" ca="1" si="203"/>
        <v>6</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Corea del Sur</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46195</v>
      </c>
      <c r="Y63" s="190">
        <f ca="1">Horarios!C63</f>
        <v>46195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11</v>
      </c>
      <c r="BN63" s="746">
        <f t="shared" ca="1" si="195"/>
        <v>11</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(12)</v>
      </c>
      <c r="BX63" s="746">
        <f t="shared" ca="1" si="183"/>
        <v>0</v>
      </c>
      <c r="BY63" s="746">
        <f t="shared" ca="1" si="184"/>
        <v>1</v>
      </c>
      <c r="BZ63" s="746" t="str">
        <f t="shared" ca="1" si="185"/>
        <v>Pos. 1 (12)</v>
      </c>
      <c r="CA63" s="746">
        <f t="shared" ca="1" si="199"/>
        <v>1</v>
      </c>
      <c r="CB63" s="746">
        <f t="shared" ca="1" si="200"/>
        <v>11</v>
      </c>
      <c r="CC63" s="746"/>
      <c r="CD63" s="746">
        <f t="shared" ca="1" si="201"/>
        <v>11</v>
      </c>
      <c r="CE63" s="746">
        <f t="shared" ca="1" si="202"/>
        <v>10</v>
      </c>
      <c r="CF63" s="746">
        <f t="shared" ca="1" si="203"/>
        <v>11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Costa de Marfil</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46200.083333333336</v>
      </c>
      <c r="Y64" s="190">
        <f ca="1">Horarios!C64</f>
        <v>46200.083333333336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10</v>
      </c>
      <c r="BN64" s="746">
        <f t="shared" ca="1" si="195"/>
        <v>10</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(12)</v>
      </c>
      <c r="BX64" s="746">
        <f t="shared" ca="1" si="183"/>
        <v>0</v>
      </c>
      <c r="BY64" s="746">
        <f t="shared" ca="1" si="184"/>
        <v>1</v>
      </c>
      <c r="BZ64" s="746" t="str">
        <f t="shared" ca="1" si="185"/>
        <v>Pos. 1 (12)</v>
      </c>
      <c r="CA64" s="746">
        <f t="shared" ca="1" si="199"/>
        <v>2</v>
      </c>
      <c r="CB64" s="746">
        <f t="shared" ca="1" si="200"/>
        <v>10</v>
      </c>
      <c r="CC64" s="746"/>
      <c r="CD64" s="746">
        <f t="shared" ca="1" si="201"/>
        <v>10</v>
      </c>
      <c r="CE64" s="746">
        <f t="shared" ca="1" si="202"/>
        <v>9</v>
      </c>
      <c r="CF64" s="746">
        <f t="shared" ca="1" si="203"/>
        <v>10</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Ghana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46200.083333333336</v>
      </c>
      <c r="Y65" s="229">
        <f ca="1">Horarios!C65</f>
        <v>46200.083333333336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(12)</v>
      </c>
      <c r="BX65" s="746">
        <f t="shared" ca="1" si="183"/>
        <v>0</v>
      </c>
      <c r="BY65" s="746">
        <f t="shared" ca="1" si="184"/>
        <v>1</v>
      </c>
      <c r="BZ65" s="746" t="str">
        <f t="shared" ca="1" si="185"/>
        <v>Pos. 1 (12)</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Haití</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9</v>
      </c>
      <c r="BN66" s="746">
        <f t="shared" ca="1" si="195"/>
        <v>9</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(12)</v>
      </c>
      <c r="BX66" s="746">
        <f t="shared" ca="1" si="183"/>
        <v>0</v>
      </c>
      <c r="BY66" s="746">
        <f t="shared" ca="1" si="184"/>
        <v>1</v>
      </c>
      <c r="BZ66" s="746" t="str">
        <f t="shared" ca="1" si="185"/>
        <v>Pos. 1 (12)</v>
      </c>
      <c r="CA66" s="746">
        <f t="shared" ca="1" si="199"/>
        <v>3</v>
      </c>
      <c r="CB66" s="746">
        <f t="shared" ca="1" si="200"/>
        <v>9</v>
      </c>
      <c r="CC66" s="746"/>
      <c r="CD66" s="746">
        <f t="shared" ca="1" si="201"/>
        <v>9</v>
      </c>
      <c r="CE66" s="746">
        <f t="shared" ca="1" si="202"/>
        <v>8</v>
      </c>
      <c r="CF66" s="746">
        <f t="shared" ca="1" si="203"/>
        <v>9</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Irak</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(12)</v>
      </c>
      <c r="BX67" s="746">
        <f t="shared" ca="1" si="183"/>
        <v>0</v>
      </c>
      <c r="BY67" s="746">
        <f t="shared" ca="1" si="184"/>
        <v>1</v>
      </c>
      <c r="BZ67" s="746" t="str">
        <f t="shared" ca="1" si="185"/>
        <v>Pos. 1 (12)</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Irán</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12" t="s">
        <v>438</v>
      </c>
      <c r="X68" s="189">
        <f ca="1">Horarios!C68</f>
        <v>46189.875</v>
      </c>
      <c r="Y68" s="190">
        <f ca="1">Horarios!C68</f>
        <v>46189.875</v>
      </c>
      <c r="Z68" s="191" t="str">
        <f>$Z$4</f>
        <v>J1</v>
      </c>
      <c r="AA68" s="192" t="str">
        <f ca="1">A69</f>
        <v>Francia</v>
      </c>
      <c r="AB68" s="478" t="str" cm="1">
        <f t="array" aca="1" ref="AB68" ca="1">Ver_flag_local</f>
        <v/>
      </c>
      <c r="AC68" s="193"/>
      <c r="AD68" s="194"/>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12</v>
      </c>
      <c r="BN68" s="746">
        <f t="shared" ca="1" si="195"/>
        <v>12</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(12)</v>
      </c>
      <c r="BX68" s="746">
        <f t="shared" ca="1" si="183"/>
        <v>0</v>
      </c>
      <c r="BY68" s="746">
        <f t="shared" ca="1" si="184"/>
        <v>1</v>
      </c>
      <c r="BZ68" s="746" t="str">
        <f t="shared" ca="1" si="185"/>
        <v>Pos. 1 (12)</v>
      </c>
      <c r="CA68" s="746">
        <f t="shared" ca="1" si="199"/>
        <v>0</v>
      </c>
      <c r="CB68" s="746">
        <f t="shared" ca="1" si="200"/>
        <v>12</v>
      </c>
      <c r="CC68" s="746"/>
      <c r="CD68" s="746">
        <f t="shared" ca="1" si="201"/>
        <v>12</v>
      </c>
      <c r="CE68" s="746">
        <f t="shared" ca="1" si="202"/>
        <v>11</v>
      </c>
      <c r="CF68" s="746">
        <f t="shared" ca="1" si="203"/>
        <v>12</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Suecia</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12"/>
      <c r="X69" s="189">
        <f ca="1">Horarios!C69</f>
        <v>46190</v>
      </c>
      <c r="Y69" s="190">
        <f ca="1">Horarios!C69</f>
        <v>46190</v>
      </c>
      <c r="Z69" s="191" t="str">
        <f>$Z$4</f>
        <v>J1</v>
      </c>
      <c r="AA69" s="192" t="str">
        <f ca="1">A71</f>
        <v>Irak</v>
      </c>
      <c r="AB69" s="478" t="str" cm="1">
        <f t="array" aca="1" ref="AB69" ca="1">Ver_flag_local</f>
        <v/>
      </c>
      <c r="AC69" s="193"/>
      <c r="AD69" s="194"/>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7</v>
      </c>
      <c r="BN69" s="746">
        <f t="shared" ca="1" si="195"/>
        <v>7</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(12)</v>
      </c>
      <c r="BX69" s="746">
        <f t="shared" ca="1" si="183"/>
        <v>0</v>
      </c>
      <c r="BY69" s="746">
        <f t="shared" ca="1" si="184"/>
        <v>1</v>
      </c>
      <c r="BZ69" s="746" t="str">
        <f t="shared" ca="1" si="185"/>
        <v>Pos. 1 (12)</v>
      </c>
      <c r="CA69" s="746">
        <f t="shared" ca="1" si="199"/>
        <v>5</v>
      </c>
      <c r="CB69" s="746">
        <f ca="1">BY69+COUNTIFS(BZ$58:BZ$69,BZ69,CA$58:CA$69,"&gt;"&amp;CA69)</f>
        <v>7</v>
      </c>
      <c r="CC69" s="746"/>
      <c r="CD69" s="746">
        <f t="shared" ca="1" si="201"/>
        <v>7</v>
      </c>
      <c r="CE69" s="746">
        <f t="shared" ca="1" si="202"/>
        <v>6</v>
      </c>
      <c r="CF69" s="746">
        <f t="shared" ca="1" si="203"/>
        <v>7</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v>
      </c>
      <c r="DK69" s="742"/>
      <c r="DL69" s="742">
        <f t="shared" ca="1" si="204"/>
        <v>1</v>
      </c>
      <c r="DM69" s="736" t="str">
        <f t="shared" ca="1" si="187"/>
        <v>1.1</v>
      </c>
      <c r="DN69" s="742" cm="1">
        <f t="array" aca="1" ref="DN69" ca="1">OFFSET(Horarios!$P$3,DJ69-1,0,DL69,1)</f>
        <v>1</v>
      </c>
      <c r="DO69" s="742"/>
      <c r="DP69" s="742">
        <v>12</v>
      </c>
      <c r="DQ69" s="742" t="str">
        <f t="shared" ca="1" si="205"/>
        <v>Uzbekistán</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46195.958333333336</v>
      </c>
      <c r="Y70" s="190">
        <f ca="1">Horarios!C70</f>
        <v>46195.958333333336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46196.083333333336</v>
      </c>
      <c r="Y71" s="190">
        <f ca="1">Horarios!C71</f>
        <v>46196.083333333336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46199.875</v>
      </c>
      <c r="Y72" s="190">
        <f ca="1">Horarios!C72</f>
        <v>46199.875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46199.875</v>
      </c>
      <c r="Y73" s="229">
        <f ca="1">Horarios!C73</f>
        <v>46199.875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08" t="s">
        <v>5</v>
      </c>
      <c r="X76" s="189">
        <f ca="1">Horarios!C76</f>
        <v>46190.125</v>
      </c>
      <c r="Y76" s="190">
        <f ca="1">Horarios!C76</f>
        <v>46190.125</v>
      </c>
      <c r="Z76" s="191" t="str">
        <f>$Z$4</f>
        <v>J1</v>
      </c>
      <c r="AA76" s="192" t="str">
        <f ca="1">A77</f>
        <v>Argentina</v>
      </c>
      <c r="AB76" s="478" t="str" cm="1">
        <f t="array" aca="1" ref="AB76" ca="1">Ver_flag_local</f>
        <v/>
      </c>
      <c r="AC76" s="193"/>
      <c r="AD76" s="194"/>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08"/>
      <c r="X77" s="189">
        <f ca="1">Horarios!C77</f>
        <v>46190.25</v>
      </c>
      <c r="Y77" s="190">
        <f ca="1">Horarios!C77</f>
        <v>46190.25</v>
      </c>
      <c r="Z77" s="191" t="str">
        <f>$Z$4</f>
        <v>J1</v>
      </c>
      <c r="AA77" s="192" t="str">
        <f ca="1">A79</f>
        <v>Austria</v>
      </c>
      <c r="AB77" s="478" t="str" cm="1">
        <f t="array" aca="1" ref="AB77" ca="1">Ver_flag_local</f>
        <v/>
      </c>
      <c r="AC77" s="193"/>
      <c r="AD77" s="194"/>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46195.791666666664</v>
      </c>
      <c r="Y78" s="190">
        <f ca="1">Horarios!C78</f>
        <v>46195.791666666664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46196.208333333336</v>
      </c>
      <c r="Y79" s="190">
        <f ca="1">Horarios!C79</f>
        <v>46196.208333333336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46201.166666666664</v>
      </c>
      <c r="Y80" s="190">
        <f ca="1">Horarios!C80</f>
        <v>46201.166666666664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46201.166666666664</v>
      </c>
      <c r="Y81" s="229">
        <f ca="1">Horarios!C81</f>
        <v>46201.166666666664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14" t="s">
        <v>439</v>
      </c>
      <c r="X84" s="189">
        <f ca="1">Horarios!C84</f>
        <v>46190.791666666664</v>
      </c>
      <c r="Y84" s="190">
        <f ca="1">Horarios!C84</f>
        <v>46190.791666666664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14"/>
      <c r="X85" s="189">
        <f ca="1">Horarios!C85</f>
        <v>46191.166666666664</v>
      </c>
      <c r="Y85" s="190">
        <f ca="1">Horarios!C85</f>
        <v>46191.166666666664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46196.791666666664</v>
      </c>
      <c r="Y86" s="190">
        <f ca="1">Horarios!C86</f>
        <v>46196.791666666664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46197.166666666664</v>
      </c>
      <c r="Y87" s="190">
        <f ca="1">Horarios!C87</f>
        <v>46197.166666666664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46201.0625</v>
      </c>
      <c r="Y88" s="190">
        <f ca="1">Horarios!C88</f>
        <v>46201.0625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46201.0625</v>
      </c>
      <c r="Y89" s="229">
        <f ca="1">Horarios!C89</f>
        <v>46201.0625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10" t="s">
        <v>238</v>
      </c>
      <c r="X92" s="189">
        <f ca="1">Horarios!C92</f>
        <v>46190.916666666664</v>
      </c>
      <c r="Y92" s="190">
        <f ca="1">Horarios!C92</f>
        <v>46190.916666666664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10"/>
      <c r="X93" s="189">
        <f ca="1">Horarios!C93</f>
        <v>46191.041666666664</v>
      </c>
      <c r="Y93" s="190">
        <f ca="1">Horarios!C93</f>
        <v>46191.041666666664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46196.916666666664</v>
      </c>
      <c r="Y94" s="190">
        <f ca="1">Horarios!C94</f>
        <v>46196.916666666664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46197.041666666664</v>
      </c>
      <c r="Y95" s="190">
        <f ca="1">Horarios!C95</f>
        <v>46197.041666666664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46200.958333333336</v>
      </c>
      <c r="Y96" s="190">
        <f ca="1">Horarios!C96</f>
        <v>46200.958333333336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46200.958333333336</v>
      </c>
      <c r="Y97" s="229">
        <f ca="1">Horarios!C97</f>
        <v>46200.958333333336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0</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46201.875</v>
      </c>
      <c r="Y101" s="190">
        <f ca="1">Horarios!C101</f>
        <v>46201.875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46202.791666666664</v>
      </c>
      <c r="Y102" s="190">
        <f ca="1">Horarios!C102</f>
        <v>46202.791666666664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46202.9375</v>
      </c>
      <c r="Y103" s="190">
        <f ca="1">Horarios!C103</f>
        <v>46202.9375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46203.125</v>
      </c>
      <c r="Y104" s="190">
        <f ca="1">Horarios!C104</f>
        <v>46203.125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46203.791666666664</v>
      </c>
      <c r="Y105" s="190">
        <f ca="1">Horarios!C105</f>
        <v>46203.791666666664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46203.958333333336</v>
      </c>
      <c r="Y106" s="190">
        <f ca="1">Horarios!C106</f>
        <v>46203.958333333336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Corea del Sur</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46204.125</v>
      </c>
      <c r="Y107" s="190">
        <f ca="1">Horarios!C107</f>
        <v>46204.125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Costa de Marfil</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46204.75</v>
      </c>
      <c r="Y108" s="190">
        <f ca="1">Horarios!C108</f>
        <v>46204.75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Ghana</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46204.916666666664</v>
      </c>
      <c r="Y109" s="190">
        <f ca="1">Horarios!C109</f>
        <v>46204.916666666664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Haití</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46205.083333333336</v>
      </c>
      <c r="Y110" s="190">
        <f ca="1">Horarios!C110</f>
        <v>46205.083333333336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Irak</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46205.875</v>
      </c>
      <c r="Y111" s="190">
        <f ca="1">Horarios!C111</f>
        <v>46205.875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Irán</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46206.041666666664</v>
      </c>
      <c r="Y112" s="190">
        <f ca="1">Horarios!C112</f>
        <v>46206.041666666664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Suecia</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46206.208333333336</v>
      </c>
      <c r="Y113" s="190">
        <f ca="1">Horarios!C113</f>
        <v>46206.208333333336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Uzbekistán</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46206.833333333336</v>
      </c>
      <c r="Y114" s="190">
        <f ca="1">Horarios!C114</f>
        <v>46206.833333333336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46207</v>
      </c>
      <c r="Y115" s="190">
        <f ca="1">Horarios!C115</f>
        <v>46207</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46207.145833333336</v>
      </c>
      <c r="Y116" s="229">
        <f ca="1">Horarios!C116</f>
        <v>46207.145833333336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46207.791666666664</v>
      </c>
      <c r="Y120" s="190">
        <f ca="1">Horarios!C120</f>
        <v>46207.791666666664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46207.958333333336</v>
      </c>
      <c r="Y121" s="190">
        <f ca="1">Horarios!C121</f>
        <v>46207.958333333336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46208.916666666664</v>
      </c>
      <c r="Y122" s="190">
        <f ca="1">Horarios!C122</f>
        <v>46208.916666666664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46209.083333333336</v>
      </c>
      <c r="Y123" s="190">
        <f ca="1">Horarios!C123</f>
        <v>46209.083333333336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46209.875</v>
      </c>
      <c r="Y124" s="190">
        <f ca="1">Horarios!C124</f>
        <v>46209.875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46210.083333333336</v>
      </c>
      <c r="Y125" s="190">
        <f ca="1">Horarios!C125</f>
        <v>46210.083333333336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46210.75</v>
      </c>
      <c r="Y126" s="190">
        <f ca="1">Horarios!C126</f>
        <v>46210.75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46210.916666666664</v>
      </c>
      <c r="Y127" s="229">
        <f ca="1">Horarios!C127</f>
        <v>46210.916666666664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46212.916666666664</v>
      </c>
      <c r="Y131" s="190">
        <f ca="1">Horarios!C131</f>
        <v>46212.916666666664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46213.875</v>
      </c>
      <c r="Y132" s="190">
        <f ca="1">Horarios!C132</f>
        <v>46213.875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46214.958333333336</v>
      </c>
      <c r="Y133" s="190">
        <f ca="1">Horarios!C133</f>
        <v>46214.958333333336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46215.125</v>
      </c>
      <c r="Y134" s="229">
        <f ca="1">Horarios!C134</f>
        <v>46215.125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46217.875</v>
      </c>
      <c r="Y138" s="190">
        <f ca="1">Horarios!C138</f>
        <v>46217.875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46218.875</v>
      </c>
      <c r="Y139" s="325">
        <f ca="1">Horarios!C139</f>
        <v>46218.875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46221.958333333336</v>
      </c>
      <c r="Y143" s="325">
        <f ca="1">Horarios!C143</f>
        <v>46221.958333333336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46222.875</v>
      </c>
      <c r="Y147" s="325">
        <f ca="1">Horarios!C147</f>
        <v>46222.875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0" zoomScaleNormal="100" workbookViewId="0">
      <selection activeCell="D8" sqref="D8:D47"/>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t="str">
        <f ca="1">+IFERROR(RANK(Y2,OFFSET($S$2,0,0,1,$D$5*3),0),"-")</f>
        <v>-</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-1.9E-3</v>
      </c>
      <c r="T2" s="87"/>
      <c r="U2" s="65"/>
      <c r="V2" s="87">
        <f t="shared" ref="V2" ca="1" si="0">V4-(COLUMN()/10000)</f>
        <v>-2.2000000000000001E-3</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1</v>
      </c>
      <c r="Z3" s="87"/>
      <c r="AA3" s="65"/>
      <c r="AB3" s="87">
        <f ca="1">RANK(AB4,OFFSET($S$4,0,0,1,$D$5*3),0)</f>
        <v>1</v>
      </c>
      <c r="AC3" s="87"/>
      <c r="AD3" s="65"/>
      <c r="AE3" s="87">
        <f ca="1">RANK(AE4,OFFSET($S$4,0,0,1,$D$5*3),0)</f>
        <v>1</v>
      </c>
      <c r="AF3" s="87"/>
      <c r="AG3" s="65"/>
      <c r="AH3" s="87">
        <f ca="1">RANK(AH4,OFFSET($S$4,0,0,1,$D$5*3),0)</f>
        <v>1</v>
      </c>
      <c r="AI3" s="87"/>
      <c r="AJ3" s="65"/>
      <c r="AK3" s="87">
        <f ca="1">RANK(AK4,OFFSET($S$4,0,0,1,$D$5*3),0)</f>
        <v>1</v>
      </c>
      <c r="AL3" s="87"/>
      <c r="AM3" s="65"/>
      <c r="AN3" s="87">
        <f ca="1">RANK(AN4,OFFSET($S$4,0,0,1,$D$5*3),0)</f>
        <v>1</v>
      </c>
      <c r="AO3" s="87"/>
      <c r="AP3" s="65"/>
      <c r="AQ3" s="87">
        <f ca="1">RANK(AQ4,OFFSET($S$4,0,0,1,$D$5*3),0)</f>
        <v>1</v>
      </c>
      <c r="AR3" s="87"/>
      <c r="AS3" s="65"/>
      <c r="AT3" s="87">
        <f ca="1">RANK(AT4,OFFSET($S$4,0,0,1,$D$5*3),0)</f>
        <v>1</v>
      </c>
      <c r="AU3" s="87"/>
      <c r="AV3" s="65"/>
      <c r="AW3" s="87">
        <f ca="1">RANK(AW4,OFFSET($S$4,0,0,1,$D$5*3),0)</f>
        <v>1</v>
      </c>
      <c r="AX3" s="87"/>
      <c r="AY3" s="65"/>
      <c r="AZ3" s="87">
        <f ca="1">RANK(AZ4,OFFSET($S$4,0,0,1,$D$5*3),0)</f>
        <v>1</v>
      </c>
      <c r="BA3" s="87"/>
      <c r="BB3" s="65"/>
      <c r="BC3" s="87">
        <f ca="1">RANK(BC4,OFFSET($S$4,0,0,1,$D$5*3),0)</f>
        <v>1</v>
      </c>
      <c r="BD3" s="87"/>
      <c r="BE3" s="65"/>
      <c r="BF3" s="87">
        <f ca="1">RANK(BF4,OFFSET($S$4,0,0,1,$D$5*3),0)</f>
        <v>1</v>
      </c>
      <c r="BG3" s="87"/>
      <c r="BH3" s="65"/>
      <c r="BI3" s="87">
        <f ca="1">RANK(BI4,OFFSET($S$4,0,0,1,$D$5*3),0)</f>
        <v>1</v>
      </c>
      <c r="BJ3" s="87"/>
      <c r="BK3" s="65"/>
      <c r="BL3" s="87">
        <f ca="1">RANK(BL4,OFFSET($S$4,0,0,1,$D$5*3),0)</f>
        <v>1</v>
      </c>
      <c r="BM3" s="87"/>
      <c r="BN3" s="65"/>
      <c r="BO3" s="87">
        <f ca="1">RANK(BO4,OFFSET($S$4,0,0,1,$D$5*3),0)</f>
        <v>1</v>
      </c>
      <c r="BP3" s="87"/>
      <c r="BQ3" s="65"/>
      <c r="BR3" s="87">
        <f ca="1">RANK(BR4,OFFSET($S$4,0,0,1,$D$5*3),0)</f>
        <v>1</v>
      </c>
      <c r="BS3" s="87"/>
      <c r="BT3" s="65"/>
      <c r="BU3" s="87">
        <f ca="1">RANK(BU4,OFFSET($S$4,0,0,1,$D$5*3),0)</f>
        <v>1</v>
      </c>
      <c r="BV3" s="87"/>
      <c r="BW3" s="65"/>
      <c r="BX3" s="87">
        <f ca="1">RANK(BX4,OFFSET($S$4,0,0,1,$D$5*3),0)</f>
        <v>1</v>
      </c>
      <c r="BY3" s="87"/>
      <c r="BZ3" s="65"/>
      <c r="CA3" s="87">
        <f ca="1">RANK(CA4,OFFSET($S$4,0,0,1,$D$5*3),0)</f>
        <v>1</v>
      </c>
      <c r="CB3" s="87"/>
      <c r="CC3" s="65"/>
      <c r="CD3" s="87">
        <f ca="1">RANK(CD4,OFFSET($S$4,0,0,1,$D$5*3),0)</f>
        <v>1</v>
      </c>
      <c r="CE3" s="87"/>
      <c r="CF3" s="65"/>
      <c r="CG3" s="87">
        <f ca="1">RANK(CG4,OFFSET($S$4,0,0,1,$D$5*3),0)</f>
        <v>1</v>
      </c>
      <c r="CH3" s="87"/>
      <c r="CI3" s="65"/>
      <c r="CJ3" s="87">
        <f ca="1">RANK(CJ4,OFFSET($S$4,0,0,1,$D$5*3),0)</f>
        <v>1</v>
      </c>
      <c r="CK3" s="87"/>
      <c r="CL3" s="65"/>
      <c r="CM3" s="87">
        <f ca="1">RANK(CM4,OFFSET($S$4,0,0,1,$D$5*3),0)</f>
        <v>1</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0</v>
      </c>
      <c r="T4" s="68"/>
      <c r="U4" s="65"/>
      <c r="V4" s="67">
        <f ca="1">SUM(W6:W259)/2</f>
        <v>0</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2</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tr">
        <f>Idiomas!$G$363&amp;ADMIN!X5</f>
        <v>Pegar Valores Nombre J2</v>
      </c>
      <c r="W5" s="70"/>
      <c r="X5" s="65">
        <v>2</v>
      </c>
      <c r="Y5" s="69" t="str">
        <f>Idiomas!$G$363&amp;ADMIN!AA5</f>
        <v>Pegar Valores Nombre J3</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v>
      </c>
      <c r="N6" s="25" t="str">
        <f>IF(OR(WORLDCUP!AC4="",WORLDCUP!AD4=""),"",IF(WORLDCUP!AC4&gt;WORLDCUP!AD4,"1",IF(WORLDCUP!AC4&lt;WORLDCUP!AD4,"2","X")))</f>
        <v/>
      </c>
      <c r="O6" s="25">
        <f>WORLDCUP!AC4</f>
        <v>0</v>
      </c>
      <c r="P6" s="25">
        <f>WORLDCUP!AD4</f>
        <v>0</v>
      </c>
      <c r="Q6" s="25">
        <f>ABS(O6-P6)</f>
        <v>0</v>
      </c>
      <c r="R6" s="49"/>
      <c r="S6" s="72" t="s">
        <v>1942</v>
      </c>
      <c r="T6" s="73">
        <f>IFERROR(IF($M6=S6,($D$8+$D$9+$D$10)*$I6,IF($N6=LEFT(S6,1),($D$8+MAX(0,IF($D$50=1,$D$9*(1-(ABS($Q6-ABS(VALUE(MID(S6,FIND("|",S6)+1,FIND("-",S6)-FIND("|",S6)-1))-VALUE(MID(S6,FIND("-",S6)+1,10)))))*$D$50),$D$9*(1-(IF($N6="X",ABS($O6-VALUE(MID(S6,FIND("|",S6)+1,FIND("-",S6)-FIND("|",S6)-1))),ABS($Q6-ABS(VALUE(MID(S6,FIND("|",S6)+1,FIND("-",S6)-FIND("|",S6)-1))-VALUE(MID(S6,FIND("-",S6)+1,10)))))*$D$50)))))*$I6,0)),0)</f>
        <v>0</v>
      </c>
      <c r="U6" s="111"/>
      <c r="V6" s="72" t="str">
        <f>Idiomas!$D$364</f>
        <v>Pegar Valores (J1)</v>
      </c>
      <c r="W6" s="73">
        <f>IFERROR(IF($M6=V6,($D$8+$D$9+$D$10)*$I6,IF($N6=LEFT(V6,1),($D$8+MAX(0,IF($D$50=1,$D$9*(1-(ABS($Q6-ABS(VALUE(MID(V6,FIND("|",V6)+1,FIND("-",V6)-FIND("|",V6)-1))-VALUE(MID(V6,FIND("-",V6)+1,10)))))*$D$50),$D$9*(1-(IF($N6="X",ABS($O6-VALUE(MID(V6,FIND("|",V6)+1,FIND("-",V6)-FIND("|",V6)-1))),ABS($Q6-ABS(VALUE(MID(V6,FIND("|",V6)+1,FIND("-",V6)-FIND("|",V6)-1))-VALUE(MID(V6,FIND("-",V6)+1,10)))))*$D$50)))))*$I6,0)),0)</f>
        <v>0</v>
      </c>
      <c r="X6" s="111"/>
      <c r="Y6" s="72" t="str">
        <f>Idiomas!$D$364</f>
        <v>Pegar Valores (J1)</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2</v>
      </c>
      <c r="H7" s="446">
        <f ca="1">TRUNC(INDEX(WORLDCUP!$X$4:$X$147,MATCH(ADMIN!K7,WORLDCUP!$DT$4:$DT$147,0))+INDEX(Horarios!$R$3:$R$86,MATCH(Horarios!$C$3,Horarios!$P$3:$P$86,0))/24)</f>
        <v>46185</v>
      </c>
      <c r="I7" s="48">
        <v>1</v>
      </c>
      <c r="J7" s="95" t="s">
        <v>112</v>
      </c>
      <c r="K7" s="53" t="str">
        <f ca="1">CONCATENATE(WORLDCUP!AA5,"-",WORLDCUP!AF5)</f>
        <v>Corea del Sur-República Checa</v>
      </c>
      <c r="L7" s="53"/>
      <c r="M7" s="55" t="str">
        <f>IF(OR(WORLDCUP!AC5="",WORLDCUP!AD5=""),"-",N7&amp;"|"&amp;O7&amp;"-"&amp;P7)</f>
        <v>-</v>
      </c>
      <c r="N7" s="25" t="str">
        <f>IF(OR(WORLDCUP!AC5="",WORLDCUP!AD5=""),"",IF(WORLDCUP!AC5&gt;WORLDCUP!AD5,"1",IF(WORLDCUP!AC5&lt;WORLDCUP!AD5,"2","X")))</f>
        <v/>
      </c>
      <c r="O7" s="25">
        <f>WORLDCUP!AC5</f>
        <v>0</v>
      </c>
      <c r="P7" s="25">
        <f>WORLDCUP!AD5</f>
        <v>0</v>
      </c>
      <c r="Q7" s="25">
        <f>ABS(O7-P7)</f>
        <v>0</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c r="W7" s="73">
        <f t="shared" ref="W7:W41" si="49">IFERROR(IF($M7=V7,($D$8+$D$9+$D$10)*$I7,IF($N7=LEFT(V7,1),($D$8+MAX(0,IF($D$50=1,$D$9*(1-(ABS($Q7-ABS(VALUE(MID(V7,FIND("|",V7)+1,FIND("-",V7)-FIND("|",V7)-1))-VALUE(MID(V7,FIND("-",V7)+1,10)))))*$D$50),$D$9*(1-(IF($N7="X",ABS($O7-VALUE(MID(V7,FIND("|",V7)+1,FIND("-",V7)-FIND("|",V7)-1))),ABS($Q7-ABS(VALUE(MID(V7,FIND("|",V7)+1,FIND("-",V7)-FIND("|",V7)-1))-VALUE(MID(V7,FIND("-",V7)+1,10)))))*$D$50)))))*$I7,0)),0)</f>
        <v>0</v>
      </c>
      <c r="X7" s="111"/>
      <c r="Y7" s="72"/>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1944</v>
      </c>
      <c r="T8" s="73">
        <f t="shared" si="48"/>
        <v>0</v>
      </c>
      <c r="U8" s="65"/>
      <c r="V8" s="74"/>
      <c r="W8" s="73">
        <f t="shared" si="49"/>
        <v>0</v>
      </c>
      <c r="X8" s="65"/>
      <c r="Y8" s="74"/>
      <c r="Z8" s="73">
        <f t="shared" si="50"/>
        <v>0</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1945</v>
      </c>
      <c r="T9" s="73">
        <f t="shared" si="48"/>
        <v>0</v>
      </c>
      <c r="U9" s="65"/>
      <c r="V9" s="75"/>
      <c r="W9" s="73">
        <f t="shared" si="49"/>
        <v>0</v>
      </c>
      <c r="X9" s="65"/>
      <c r="Y9" s="75"/>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4</v>
      </c>
      <c r="H10" s="446">
        <f ca="1">TRUNC(INDEX(WORLDCUP!$X$4:$X$147,MATCH(ADMIN!K10,WORLDCUP!$DT$4:$DT$147,0))+INDEX(Horarios!$R$3:$R$86,MATCH(Horarios!$C$3,Horarios!$P$3:$P$86,0))/24)</f>
        <v>46187</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1942</v>
      </c>
      <c r="T10" s="73">
        <f t="shared" si="48"/>
        <v>0</v>
      </c>
      <c r="U10" s="65"/>
      <c r="V10" s="74"/>
      <c r="W10" s="73">
        <f t="shared" si="49"/>
        <v>0</v>
      </c>
      <c r="X10" s="65"/>
      <c r="Y10" s="74"/>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4</v>
      </c>
      <c r="H11" s="446">
        <f ca="1">TRUNC(INDEX(WORLDCUP!$X$4:$X$147,MATCH(ADMIN!K11,WORLDCUP!$DT$4:$DT$147,0))+INDEX(Horarios!$R$3:$R$86,MATCH(Horarios!$C$3,Horarios!$P$3:$P$86,0))/24)</f>
        <v>46187</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c r="W11" s="73">
        <f t="shared" si="49"/>
        <v>0</v>
      </c>
      <c r="X11" s="65"/>
      <c r="Y11" s="74"/>
      <c r="Z11" s="73">
        <f t="shared" si="50"/>
        <v>0</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3</v>
      </c>
      <c r="H12" s="446">
        <f ca="1">TRUNC(INDEX(WORLDCUP!$X$4:$X$147,MATCH(ADMIN!K12,WORLDCUP!$DT$4:$DT$147,0))+INDEX(Horarios!$R$3:$R$86,MATCH(Horarios!$C$3,Horarios!$P$3:$P$86,0))/24)</f>
        <v>46186</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c r="W12" s="73">
        <f t="shared" si="49"/>
        <v>0</v>
      </c>
      <c r="X12" s="65"/>
      <c r="Y12" s="74"/>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4</v>
      </c>
      <c r="H13" s="446">
        <f ca="1">TRUNC(INDEX(WORLDCUP!$X$4:$X$147,MATCH(ADMIN!K13,WORLDCUP!$DT$4:$DT$147,0))+INDEX(Horarios!$R$3:$R$86,MATCH(Horarios!$C$3,Horarios!$P$3:$P$86,0))/24)</f>
        <v>46187</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1943</v>
      </c>
      <c r="T13" s="73">
        <f t="shared" si="48"/>
        <v>0</v>
      </c>
      <c r="U13" s="65"/>
      <c r="V13" s="74"/>
      <c r="W13" s="73">
        <f t="shared" si="49"/>
        <v>0</v>
      </c>
      <c r="X13" s="65"/>
      <c r="Y13" s="74"/>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c r="W14" s="73">
        <f t="shared" si="49"/>
        <v>0</v>
      </c>
      <c r="X14" s="65"/>
      <c r="Y14" s="74"/>
      <c r="Z14" s="73">
        <f t="shared" si="50"/>
        <v>0</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5</v>
      </c>
      <c r="H15" s="446">
        <f ca="1">TRUNC(INDEX(WORLDCUP!$X$4:$X$147,MATCH(ADMIN!K15,WORLDCUP!$DT$4:$DT$147,0))+INDEX(Horarios!$R$3:$R$86,MATCH(Horarios!$C$3,Horarios!$P$3:$P$86,0))/24)</f>
        <v>46188</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1943</v>
      </c>
      <c r="T15" s="73">
        <f t="shared" si="48"/>
        <v>0</v>
      </c>
      <c r="U15" s="65"/>
      <c r="V15" s="74"/>
      <c r="W15" s="73">
        <f t="shared" si="49"/>
        <v>0</v>
      </c>
      <c r="X15" s="65"/>
      <c r="Y15" s="74"/>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5</v>
      </c>
      <c r="H16" s="446">
        <f ca="1">TRUNC(INDEX(WORLDCUP!$X$4:$X$147,MATCH(ADMIN!K16,WORLDCUP!$DT$4:$DT$147,0))+INDEX(Horarios!$R$3:$R$86,MATCH(Horarios!$C$3,Horarios!$P$3:$P$86,0))/24)</f>
        <v>46188</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c r="W16" s="73">
        <f t="shared" si="49"/>
        <v>0</v>
      </c>
      <c r="X16" s="65"/>
      <c r="Y16" s="74"/>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5</v>
      </c>
      <c r="H17" s="446">
        <f ca="1">TRUNC(INDEX(WORLDCUP!$X$4:$X$147,MATCH(ADMIN!K17,WORLDCUP!$DT$4:$DT$147,0))+INDEX(Horarios!$R$3:$R$86,MATCH(Horarios!$C$3,Horarios!$P$3:$P$86,0))/24)</f>
        <v>46188</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c r="W17" s="73">
        <f t="shared" si="49"/>
        <v>0</v>
      </c>
      <c r="X17" s="65"/>
      <c r="Y17" s="74"/>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1949</v>
      </c>
      <c r="T18" s="73">
        <f t="shared" si="48"/>
        <v>0</v>
      </c>
      <c r="U18" s="65"/>
      <c r="V18" s="74"/>
      <c r="W18" s="73">
        <f t="shared" si="49"/>
        <v>0</v>
      </c>
      <c r="X18" s="65"/>
      <c r="Y18" s="74"/>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6</v>
      </c>
      <c r="H19" s="446">
        <f ca="1">TRUNC(INDEX(WORLDCUP!$X$4:$X$147,MATCH(ADMIN!K19,WORLDCUP!$DT$4:$DT$147,0))+INDEX(Horarios!$R$3:$R$86,MATCH(Horarios!$C$3,Horarios!$P$3:$P$86,0))/24)</f>
        <v>46189</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1943</v>
      </c>
      <c r="T19" s="73">
        <f t="shared" si="48"/>
        <v>0</v>
      </c>
      <c r="U19" s="65"/>
      <c r="V19" s="74"/>
      <c r="W19" s="73">
        <f t="shared" si="49"/>
        <v>0</v>
      </c>
      <c r="X19" s="65"/>
      <c r="Y19" s="74"/>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c r="W20" s="73">
        <f t="shared" si="49"/>
        <v>0</v>
      </c>
      <c r="X20" s="65"/>
      <c r="Y20" s="74"/>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6</v>
      </c>
      <c r="H21" s="446">
        <f ca="1">TRUNC(INDEX(WORLDCUP!$X$4:$X$147,MATCH(ADMIN!K21,WORLDCUP!$DT$4:$DT$147,0))+INDEX(Horarios!$R$3:$R$86,MATCH(Horarios!$C$3,Horarios!$P$3:$P$86,0))/24)</f>
        <v>46189</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c r="W21" s="73">
        <f t="shared" si="49"/>
        <v>0</v>
      </c>
      <c r="X21" s="65"/>
      <c r="Y21" s="74"/>
      <c r="Z21" s="73">
        <f t="shared" si="53"/>
        <v>0</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1946</v>
      </c>
      <c r="T22" s="73">
        <f t="shared" si="48"/>
        <v>0</v>
      </c>
      <c r="U22" s="65"/>
      <c r="V22" s="74"/>
      <c r="W22" s="73">
        <f t="shared" si="49"/>
        <v>0</v>
      </c>
      <c r="X22" s="65"/>
      <c r="Y22" s="74"/>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7</v>
      </c>
      <c r="H23" s="446">
        <f ca="1">TRUNC(INDEX(WORLDCUP!$X$4:$X$147,MATCH(ADMIN!K23,WORLDCUP!$DT$4:$DT$147,0))+INDEX(Horarios!$R$3:$R$86,MATCH(Horarios!$C$3,Horarios!$P$3:$P$86,0))/24)</f>
        <v>46190</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1943</v>
      </c>
      <c r="T23" s="73">
        <f t="shared" si="48"/>
        <v>0</v>
      </c>
      <c r="U23" s="65"/>
      <c r="V23" s="74"/>
      <c r="W23" s="73">
        <f t="shared" si="49"/>
        <v>0</v>
      </c>
      <c r="X23" s="65"/>
      <c r="Y23" s="74"/>
      <c r="Z23" s="73">
        <f t="shared" si="53"/>
        <v>0</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7</v>
      </c>
      <c r="H24" s="446">
        <f ca="1">TRUNC(INDEX(WORLDCUP!$X$4:$X$147,MATCH(ADMIN!K24,WORLDCUP!$DT$4:$DT$147,0))+INDEX(Horarios!$R$3:$R$86,MATCH(Horarios!$C$3,Horarios!$P$3:$P$86,0))/24)</f>
        <v>46190</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c r="W24" s="77">
        <f t="shared" si="49"/>
        <v>0</v>
      </c>
      <c r="X24" s="65"/>
      <c r="Y24" s="76"/>
      <c r="Z24" s="77">
        <f t="shared" si="53"/>
        <v>0</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7</v>
      </c>
      <c r="H25" s="446">
        <f ca="1">TRUNC(INDEX(WORLDCUP!$X$4:$X$147,MATCH(ADMIN!K25,WORLDCUP!$DT$4:$DT$147,0))+INDEX(Horarios!$R$3:$R$86,MATCH(Horarios!$C$3,Horarios!$P$3:$P$86,0))/24)</f>
        <v>46190</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1951</v>
      </c>
      <c r="T25" s="73">
        <f t="shared" si="48"/>
        <v>0</v>
      </c>
      <c r="U25" s="65"/>
      <c r="V25" s="74"/>
      <c r="W25" s="73">
        <f t="shared" si="49"/>
        <v>0</v>
      </c>
      <c r="X25" s="65"/>
      <c r="Y25" s="74"/>
      <c r="Z25" s="73">
        <f t="shared" si="53"/>
        <v>0</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1949</v>
      </c>
      <c r="T26" s="73">
        <f t="shared" si="48"/>
        <v>0</v>
      </c>
      <c r="U26" s="65"/>
      <c r="V26" s="74"/>
      <c r="W26" s="73">
        <f t="shared" si="49"/>
        <v>0</v>
      </c>
      <c r="X26" s="65"/>
      <c r="Y26" s="74"/>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8</v>
      </c>
      <c r="H27" s="446">
        <f ca="1">TRUNC(INDEX(WORLDCUP!$X$4:$X$147,MATCH(ADMIN!K27,WORLDCUP!$DT$4:$DT$147,0))+INDEX(Horarios!$R$3:$R$86,MATCH(Horarios!$C$3,Horarios!$P$3:$P$86,0))/24)</f>
        <v>46191</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1945</v>
      </c>
      <c r="T27" s="73">
        <f t="shared" si="48"/>
        <v>0</v>
      </c>
      <c r="U27" s="65"/>
      <c r="V27" s="74"/>
      <c r="W27" s="73">
        <f t="shared" si="49"/>
        <v>0</v>
      </c>
      <c r="X27" s="65"/>
      <c r="Y27" s="74"/>
      <c r="Z27" s="73">
        <f t="shared" si="53"/>
        <v>0</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8</v>
      </c>
      <c r="H28" s="446">
        <f ca="1">TRUNC(INDEX(WORLDCUP!$X$4:$X$147,MATCH(ADMIN!K28,WORLDCUP!$DT$4:$DT$147,0))+INDEX(Horarios!$R$3:$R$86,MATCH(Horarios!$C$3,Horarios!$P$3:$P$86,0))/24)</f>
        <v>46191</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c r="W28" s="73">
        <f t="shared" si="49"/>
        <v>0</v>
      </c>
      <c r="X28" s="65"/>
      <c r="Y28" s="74"/>
      <c r="Z28" s="73">
        <f t="shared" si="53"/>
        <v>0</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8</v>
      </c>
      <c r="H29" s="446">
        <f ca="1">TRUNC(INDEX(WORLDCUP!$X$4:$X$147,MATCH(ADMIN!K29,WORLDCUP!$DT$4:$DT$147,0))+INDEX(Horarios!$R$3:$R$86,MATCH(Horarios!$C$3,Horarios!$P$3:$P$86,0))/24)</f>
        <v>46191</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1951</v>
      </c>
      <c r="T29" s="79">
        <f t="shared" si="54"/>
        <v>0</v>
      </c>
      <c r="U29" s="65"/>
      <c r="V29" s="78"/>
      <c r="W29" s="79">
        <f t="shared" si="49"/>
        <v>0</v>
      </c>
      <c r="X29" s="65"/>
      <c r="Y29" s="78"/>
      <c r="Z29" s="79">
        <f t="shared" si="53"/>
        <v>0</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1951</v>
      </c>
      <c r="T30" s="77">
        <f t="shared" si="54"/>
        <v>0</v>
      </c>
      <c r="U30" s="65"/>
      <c r="V30" s="76" t="str">
        <f>Idiomas!$D$365</f>
        <v>Pegar Valores (J2)</v>
      </c>
      <c r="W30" s="77">
        <f t="shared" si="49"/>
        <v>0</v>
      </c>
      <c r="X30" s="65"/>
      <c r="Y30" s="76" t="str">
        <f>Idiomas!$D$365</f>
        <v>Pegar Valores (J2)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9</v>
      </c>
      <c r="H31" s="446">
        <f ca="1">TRUNC(INDEX(WORLDCUP!$X$4:$X$147,MATCH(ADMIN!K31,WORLDCUP!$DT$4:$DT$147,0))+INDEX(Horarios!$R$3:$R$86,MATCH(Horarios!$C$3,Horarios!$P$3:$P$86,0))/24)</f>
        <v>46192</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c r="W31" s="73">
        <f t="shared" si="49"/>
        <v>0</v>
      </c>
      <c r="X31" s="65"/>
      <c r="Y31" s="74"/>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c r="W32" s="73">
        <f t="shared" si="49"/>
        <v>0</v>
      </c>
      <c r="X32" s="65"/>
      <c r="Y32" s="74"/>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9</v>
      </c>
      <c r="H33" s="446">
        <f ca="1">TRUNC(INDEX(WORLDCUP!$X$4:$X$147,MATCH(ADMIN!K33,WORLDCUP!$DT$4:$DT$147,0))+INDEX(Horarios!$R$3:$R$86,MATCH(Horarios!$C$3,Horarios!$P$3:$P$86,0))/24)</f>
        <v>46192</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c r="W33" s="73">
        <f t="shared" si="49"/>
        <v>0</v>
      </c>
      <c r="X33" s="65"/>
      <c r="Y33" s="74"/>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10</v>
      </c>
      <c r="H34" s="446">
        <f ca="1">TRUNC(INDEX(WORLDCUP!$X$4:$X$147,MATCH(ADMIN!K34,WORLDCUP!$DT$4:$DT$147,0))+INDEX(Horarios!$R$3:$R$86,MATCH(Horarios!$C$3,Horarios!$P$3:$P$86,0))/24)</f>
        <v>46193</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c r="W34" s="73">
        <f t="shared" si="49"/>
        <v>0</v>
      </c>
      <c r="X34" s="65"/>
      <c r="Y34" s="74"/>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10</v>
      </c>
      <c r="H35" s="446">
        <f ca="1">TRUNC(INDEX(WORLDCUP!$X$4:$X$147,MATCH(ADMIN!K35,WORLDCUP!$DT$4:$DT$147,0))+INDEX(Horarios!$R$3:$R$86,MATCH(Horarios!$C$3,Horarios!$P$3:$P$86,0))/24)</f>
        <v>46193</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c r="W35" s="73">
        <f t="shared" si="49"/>
        <v>0</v>
      </c>
      <c r="X35" s="65"/>
      <c r="Y35" s="74"/>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c r="W36" s="73">
        <f t="shared" si="49"/>
        <v>0</v>
      </c>
      <c r="X36" s="65"/>
      <c r="Y36" s="74"/>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10</v>
      </c>
      <c r="H37" s="446">
        <f ca="1">TRUNC(INDEX(WORLDCUP!$X$4:$X$147,MATCH(ADMIN!K37,WORLDCUP!$DT$4:$DT$147,0))+INDEX(Horarios!$R$3:$R$86,MATCH(Horarios!$C$3,Horarios!$P$3:$P$86,0))/24)</f>
        <v>46193</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c r="W37" s="73">
        <f t="shared" si="49"/>
        <v>0</v>
      </c>
      <c r="X37" s="65"/>
      <c r="Y37" s="74"/>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11</v>
      </c>
      <c r="H38" s="446">
        <f ca="1">TRUNC(INDEX(WORLDCUP!$X$4:$X$147,MATCH(ADMIN!K38,WORLDCUP!$DT$4:$DT$147,0))+INDEX(Horarios!$R$3:$R$86,MATCH(Horarios!$C$3,Horarios!$P$3:$P$86,0))/24)</f>
        <v>46194</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c r="W38" s="73">
        <f t="shared" si="49"/>
        <v>0</v>
      </c>
      <c r="X38" s="65"/>
      <c r="Y38" s="74"/>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11</v>
      </c>
      <c r="H39" s="446">
        <f ca="1">TRUNC(INDEX(WORLDCUP!$X$4:$X$147,MATCH(ADMIN!K39,WORLDCUP!$DT$4:$DT$147,0))+INDEX(Horarios!$R$3:$R$86,MATCH(Horarios!$C$3,Horarios!$P$3:$P$86,0))/24)</f>
        <v>46194</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c r="W39" s="73">
        <f t="shared" si="49"/>
        <v>0</v>
      </c>
      <c r="X39" s="65"/>
      <c r="Y39" s="74"/>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c r="W40" s="73">
        <f t="shared" si="49"/>
        <v>0</v>
      </c>
      <c r="X40" s="65"/>
      <c r="Y40" s="74"/>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11</v>
      </c>
      <c r="H41" s="446">
        <f ca="1">TRUNC(INDEX(WORLDCUP!$X$4:$X$147,MATCH(ADMIN!K41,WORLDCUP!$DT$4:$DT$147,0))+INDEX(Horarios!$R$3:$R$86,MATCH(Horarios!$C$3,Horarios!$P$3:$P$86,0))/24)</f>
        <v>46194</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c r="W41" s="73">
        <f t="shared" si="49"/>
        <v>0</v>
      </c>
      <c r="X41" s="65"/>
      <c r="Y41" s="74"/>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12</v>
      </c>
      <c r="H43" s="446">
        <f ca="1">TRUNC(INDEX(WORLDCUP!$X$4:$X$147,MATCH(ADMIN!K43,WORLDCUP!$DT$4:$DT$147,0))+INDEX(Horarios!$R$3:$R$86,MATCH(Horarios!$C$3,Horarios!$P$3:$P$86,0))/24)</f>
        <v>46195</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c r="W44" s="73">
        <f t="shared" si="58"/>
        <v>0</v>
      </c>
      <c r="X44" s="65"/>
      <c r="Y44" s="74"/>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12</v>
      </c>
      <c r="H45" s="446">
        <f ca="1">TRUNC(INDEX(WORLDCUP!$X$4:$X$147,MATCH(ADMIN!K45,WORLDCUP!$DT$4:$DT$147,0))+INDEX(Horarios!$R$3:$R$86,MATCH(Horarios!$C$3,Horarios!$P$3:$P$86,0))/24)</f>
        <v>46195</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c r="W45" s="73">
        <f t="shared" si="58"/>
        <v>0</v>
      </c>
      <c r="X45" s="65"/>
      <c r="Y45" s="74"/>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13</v>
      </c>
      <c r="H46" s="446">
        <f ca="1">TRUNC(INDEX(WORLDCUP!$X$4:$X$147,MATCH(ADMIN!K46,WORLDCUP!$DT$4:$DT$147,0))+INDEX(Horarios!$R$3:$R$86,MATCH(Horarios!$C$3,Horarios!$P$3:$P$86,0))/24)</f>
        <v>46196</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c r="W46" s="73">
        <f t="shared" si="58"/>
        <v>0</v>
      </c>
      <c r="X46" s="65"/>
      <c r="Y46" s="74"/>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13</v>
      </c>
      <c r="H47" s="446">
        <f ca="1">TRUNC(INDEX(WORLDCUP!$X$4:$X$147,MATCH(ADMIN!K47,WORLDCUP!$DT$4:$DT$147,0))+INDEX(Horarios!$R$3:$R$86,MATCH(Horarios!$C$3,Horarios!$P$3:$P$86,0))/24)</f>
        <v>46196</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c r="W47" s="73">
        <f t="shared" si="58"/>
        <v>0</v>
      </c>
      <c r="X47" s="65"/>
      <c r="Y47" s="74"/>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c r="W48" s="73">
        <f t="shared" si="58"/>
        <v>0</v>
      </c>
      <c r="X48" s="65"/>
      <c r="Y48" s="74"/>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13</v>
      </c>
      <c r="H49" s="446">
        <f ca="1">TRUNC(INDEX(WORLDCUP!$X$4:$X$147,MATCH(ADMIN!K49,WORLDCUP!$DT$4:$DT$147,0))+INDEX(Horarios!$R$3:$R$86,MATCH(Horarios!$C$3,Horarios!$P$3:$P$86,0))/24)</f>
        <v>46196</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c r="W49" s="73">
        <f t="shared" si="58"/>
        <v>0</v>
      </c>
      <c r="X49" s="65"/>
      <c r="Y49" s="74"/>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c r="W50" s="73">
        <f t="shared" si="58"/>
        <v>0</v>
      </c>
      <c r="X50" s="65"/>
      <c r="Y50" s="74"/>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14</v>
      </c>
      <c r="H51" s="446">
        <f ca="1">TRUNC(INDEX(WORLDCUP!$X$4:$X$147,MATCH(ADMIN!K51,WORLDCUP!$DT$4:$DT$147,0))+INDEX(Horarios!$R$3:$R$86,MATCH(Horarios!$C$3,Horarios!$P$3:$P$86,0))/24)</f>
        <v>46197</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c r="W51" s="73">
        <f t="shared" si="58"/>
        <v>0</v>
      </c>
      <c r="X51" s="65"/>
      <c r="Y51" s="74"/>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14</v>
      </c>
      <c r="H52" s="446">
        <f ca="1">TRUNC(INDEX(WORLDCUP!$X$4:$X$147,MATCH(ADMIN!K52,WORLDCUP!$DT$4:$DT$147,0))+INDEX(Horarios!$R$3:$R$86,MATCH(Horarios!$C$3,Horarios!$P$3:$P$86,0))/24)</f>
        <v>46197</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c r="W52" s="73">
        <f t="shared" si="58"/>
        <v>0</v>
      </c>
      <c r="X52" s="65"/>
      <c r="Y52" s="74"/>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14</v>
      </c>
      <c r="H53" s="446">
        <f ca="1">TRUNC(INDEX(WORLDCUP!$X$4:$X$147,MATCH(ADMIN!K53,WORLDCUP!$DT$4:$DT$147,0))+INDEX(Horarios!$R$3:$R$86,MATCH(Horarios!$C$3,Horarios!$P$3:$P$86,0))/24)</f>
        <v>46197</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c r="W53" s="79">
        <f t="shared" si="58"/>
        <v>0</v>
      </c>
      <c r="X53" s="65"/>
      <c r="Y53" s="78"/>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15</v>
      </c>
      <c r="H54" s="446">
        <f ca="1">TRUNC(INDEX(WORLDCUP!$X$4:$X$147,MATCH(ADMIN!K54,WORLDCUP!$DT$4:$DT$147,0))+INDEX(Horarios!$R$3:$R$86,MATCH(Horarios!$C$3,Horarios!$P$3:$P$86,0))/24)</f>
        <v>46198</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tr">
        <f>Idiomas!$D$366</f>
        <v>Pegar Valores (J3)</v>
      </c>
      <c r="W54" s="77">
        <f t="shared" si="58"/>
        <v>0</v>
      </c>
      <c r="X54" s="65"/>
      <c r="Y54" s="76" t="str">
        <f>Idiomas!$D$366</f>
        <v>Pegar Valores (J3)</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15</v>
      </c>
      <c r="H55" s="446">
        <f ca="1">TRUNC(INDEX(WORLDCUP!$X$4:$X$147,MATCH(ADMIN!K55,WORLDCUP!$DT$4:$DT$147,0))+INDEX(Horarios!$R$3:$R$86,MATCH(Horarios!$C$3,Horarios!$P$3:$P$86,0))/24)</f>
        <v>46198</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c r="W55" s="73">
        <f t="shared" si="58"/>
        <v>0</v>
      </c>
      <c r="X55" s="65"/>
      <c r="Y55" s="74"/>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c r="W56" s="73">
        <f t="shared" si="58"/>
        <v>0</v>
      </c>
      <c r="X56" s="65"/>
      <c r="Y56" s="74"/>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c r="W57" s="73">
        <f t="shared" si="58"/>
        <v>0</v>
      </c>
      <c r="X57" s="65"/>
      <c r="Y57" s="74"/>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15</v>
      </c>
      <c r="H58" s="446">
        <f ca="1">TRUNC(INDEX(WORLDCUP!$X$4:$X$147,MATCH(ADMIN!K58,WORLDCUP!$DT$4:$DT$147,0))+INDEX(Horarios!$R$3:$R$86,MATCH(Horarios!$C$3,Horarios!$P$3:$P$86,0))/24)</f>
        <v>46198</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c r="W58" s="73">
        <f t="shared" si="58"/>
        <v>0</v>
      </c>
      <c r="X58" s="65"/>
      <c r="Y58" s="74"/>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15</v>
      </c>
      <c r="H59" s="446">
        <f ca="1">TRUNC(INDEX(WORLDCUP!$X$4:$X$147,MATCH(ADMIN!K59,WORLDCUP!$DT$4:$DT$147,0))+INDEX(Horarios!$R$3:$R$86,MATCH(Horarios!$C$3,Horarios!$P$3:$P$86,0))/24)</f>
        <v>46198</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c r="W59" s="73">
        <f t="shared" si="58"/>
        <v>0</v>
      </c>
      <c r="X59" s="65"/>
      <c r="Y59" s="74"/>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16</v>
      </c>
      <c r="H60" s="446">
        <f ca="1">TRUNC(INDEX(WORLDCUP!$X$4:$X$147,MATCH(ADMIN!K60,WORLDCUP!$DT$4:$DT$147,0))+INDEX(Horarios!$R$3:$R$86,MATCH(Horarios!$C$3,Horarios!$P$3:$P$86,0))/24)</f>
        <v>46199</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c r="W60" s="77">
        <f t="shared" si="58"/>
        <v>0</v>
      </c>
      <c r="X60" s="65"/>
      <c r="Y60" s="76"/>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16</v>
      </c>
      <c r="H61" s="446">
        <f ca="1">TRUNC(INDEX(WORLDCUP!$X$4:$X$147,MATCH(ADMIN!K61,WORLDCUP!$DT$4:$DT$147,0))+INDEX(Horarios!$R$3:$R$86,MATCH(Horarios!$C$3,Horarios!$P$3:$P$86,0))/24)</f>
        <v>46199</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c r="W61" s="73">
        <f t="shared" si="58"/>
        <v>0</v>
      </c>
      <c r="X61" s="65"/>
      <c r="Y61" s="74"/>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16</v>
      </c>
      <c r="H62" s="446">
        <f ca="1">TRUNC(INDEX(WORLDCUP!$X$4:$X$147,MATCH(ADMIN!K62,WORLDCUP!$DT$4:$DT$147,0))+INDEX(Horarios!$R$3:$R$86,MATCH(Horarios!$C$3,Horarios!$P$3:$P$86,0))/24)</f>
        <v>46199</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c r="W62" s="73">
        <f t="shared" si="58"/>
        <v>0</v>
      </c>
      <c r="X62" s="65"/>
      <c r="Y62" s="74"/>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16</v>
      </c>
      <c r="H63" s="446">
        <f ca="1">TRUNC(INDEX(WORLDCUP!$X$4:$X$147,MATCH(ADMIN!K63,WORLDCUP!$DT$4:$DT$147,0))+INDEX(Horarios!$R$3:$R$86,MATCH(Horarios!$C$3,Horarios!$P$3:$P$86,0))/24)</f>
        <v>46199</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c r="W63" s="73">
        <f t="shared" si="58"/>
        <v>0</v>
      </c>
      <c r="X63" s="65"/>
      <c r="Y63" s="74"/>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16</v>
      </c>
      <c r="H64" s="446">
        <f ca="1">TRUNC(INDEX(WORLDCUP!$X$4:$X$147,MATCH(ADMIN!K64,WORLDCUP!$DT$4:$DT$147,0))+INDEX(Horarios!$R$3:$R$86,MATCH(Horarios!$C$3,Horarios!$P$3:$P$86,0))/24)</f>
        <v>46199</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c r="W64" s="73">
        <f t="shared" si="58"/>
        <v>0</v>
      </c>
      <c r="X64" s="65"/>
      <c r="Y64" s="74"/>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16</v>
      </c>
      <c r="H65" s="446">
        <f ca="1">TRUNC(INDEX(WORLDCUP!$X$4:$X$147,MATCH(ADMIN!K65,WORLDCUP!$DT$4:$DT$147,0))+INDEX(Horarios!$R$3:$R$86,MATCH(Horarios!$C$3,Horarios!$P$3:$P$86,0))/24)</f>
        <v>46199</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c r="W65" s="73">
        <f t="shared" si="58"/>
        <v>0</v>
      </c>
      <c r="X65" s="65"/>
      <c r="Y65" s="74"/>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17</v>
      </c>
      <c r="H66" s="446">
        <f ca="1">TRUNC(INDEX(WORLDCUP!$X$4:$X$147,MATCH(ADMIN!K66,WORLDCUP!$DT$4:$DT$147,0))+INDEX(Horarios!$R$3:$R$86,MATCH(Horarios!$C$3,Horarios!$P$3:$P$86,0))/24)</f>
        <v>46200</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c r="W66" s="73">
        <f t="shared" si="58"/>
        <v>0</v>
      </c>
      <c r="X66" s="65"/>
      <c r="Y66" s="74"/>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17</v>
      </c>
      <c r="H67" s="446">
        <f ca="1">TRUNC(INDEX(WORLDCUP!$X$4:$X$147,MATCH(ADMIN!K67,WORLDCUP!$DT$4:$DT$147,0))+INDEX(Horarios!$R$3:$R$86,MATCH(Horarios!$C$3,Horarios!$P$3:$P$86,0))/24)</f>
        <v>46200</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c r="W67" s="73">
        <f t="shared" si="58"/>
        <v>0</v>
      </c>
      <c r="X67" s="65"/>
      <c r="Y67" s="74"/>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17</v>
      </c>
      <c r="H68" s="446">
        <f ca="1">TRUNC(INDEX(WORLDCUP!$X$4:$X$147,MATCH(ADMIN!K68,WORLDCUP!$DT$4:$DT$147,0))+INDEX(Horarios!$R$3:$R$86,MATCH(Horarios!$C$3,Horarios!$P$3:$P$86,0))/24)</f>
        <v>46200</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c r="W68" s="73">
        <f t="shared" si="58"/>
        <v>0</v>
      </c>
      <c r="X68" s="65"/>
      <c r="Y68" s="74"/>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17</v>
      </c>
      <c r="H69" s="446">
        <f ca="1">TRUNC(INDEX(WORLDCUP!$X$4:$X$147,MATCH(ADMIN!K69,WORLDCUP!$DT$4:$DT$147,0))+INDEX(Horarios!$R$3:$R$86,MATCH(Horarios!$C$3,Horarios!$P$3:$P$86,0))/24)</f>
        <v>46200</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c r="W69" s="73">
        <f t="shared" si="58"/>
        <v>0</v>
      </c>
      <c r="X69" s="65"/>
      <c r="Y69" s="74"/>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c r="W70" s="73">
        <f t="shared" si="58"/>
        <v>0</v>
      </c>
      <c r="X70" s="65"/>
      <c r="Y70" s="74"/>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c r="W71" s="73">
        <f t="shared" si="58"/>
        <v>0</v>
      </c>
      <c r="X71" s="65"/>
      <c r="Y71" s="74"/>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18</v>
      </c>
      <c r="H72" s="446">
        <f ca="1">TRUNC(INDEX(WORLDCUP!$X$4:$X$147,MATCH(ADMIN!K72,WORLDCUP!$DT$4:$DT$147,0))+INDEX(Horarios!$R$3:$R$86,MATCH(Horarios!$C$3,Horarios!$P$3:$P$86,0))/24)</f>
        <v>46201</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c r="W72" s="73">
        <f t="shared" si="58"/>
        <v>0</v>
      </c>
      <c r="X72" s="65"/>
      <c r="Y72" s="74"/>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18</v>
      </c>
      <c r="H73" s="446">
        <f ca="1">TRUNC(INDEX(WORLDCUP!$X$4:$X$147,MATCH(ADMIN!K73,WORLDCUP!$DT$4:$DT$147,0))+INDEX(Horarios!$R$3:$R$86,MATCH(Horarios!$C$3,Horarios!$P$3:$P$86,0))/24)</f>
        <v>46201</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c r="W73" s="73">
        <f t="shared" si="58"/>
        <v>0</v>
      </c>
      <c r="X73" s="65"/>
      <c r="Y73" s="74"/>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18</v>
      </c>
      <c r="H74" s="446">
        <f ca="1">TRUNC(INDEX(WORLDCUP!$X$4:$X$147,MATCH(ADMIN!K74,WORLDCUP!$DT$4:$DT$147,0))+INDEX(Horarios!$R$3:$R$86,MATCH(Horarios!$C$3,Horarios!$P$3:$P$86,0))/24)</f>
        <v>46201</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18</v>
      </c>
      <c r="H75" s="446">
        <f ca="1">TRUNC(INDEX(WORLDCUP!$X$4:$X$147,MATCH(ADMIN!K75,WORLDCUP!$DT$4:$DT$147,0))+INDEX(Horarios!$R$3:$R$86,MATCH(Horarios!$C$3,Horarios!$P$3:$P$86,0))/24)</f>
        <v>46201</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18</v>
      </c>
      <c r="H76" s="446">
        <f ca="1">TRUNC(INDEX(WORLDCUP!$X$4:$X$147,MATCH(ADMIN!K76,WORLDCUP!$DT$4:$DT$147,0))+INDEX(Horarios!$R$3:$R$86,MATCH(Horarios!$C$3,Horarios!$P$3:$P$86,0))/24)</f>
        <v>46201</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c r="W76" s="73">
        <f t="shared" si="67"/>
        <v>0</v>
      </c>
      <c r="X76" s="65"/>
      <c r="Y76" s="74"/>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18</v>
      </c>
      <c r="H77" s="446">
        <f ca="1">TRUNC(INDEX(WORLDCUP!$X$4:$X$147,MATCH(ADMIN!K77,WORLDCUP!$DT$4:$DT$147,0))+INDEX(Horarios!$R$3:$R$86,MATCH(Horarios!$C$3,Horarios!$P$3:$P$86,0))/24)</f>
        <v>46201</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c r="W77" s="81">
        <f t="shared" si="67"/>
        <v>0</v>
      </c>
      <c r="X77" s="65"/>
      <c r="Y77" s="80"/>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0</v>
      </c>
      <c r="U78" s="64"/>
      <c r="V78" s="82"/>
      <c r="W78" s="83">
        <f>SUM(W6:W77)</f>
        <v>0</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15</v>
      </c>
      <c r="H80" s="446">
        <f ca="1">$H$54</f>
        <v>46198</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c r="W80" s="77">
        <f t="shared" ref="W80" ca="1" si="91">($M80=V80)*$D$11</f>
        <v>0</v>
      </c>
      <c r="X80" s="64"/>
      <c r="Y80" s="76"/>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15</v>
      </c>
      <c r="H81" s="446">
        <f ca="1">$H$54</f>
        <v>46198</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c r="W81" s="73">
        <f t="shared" ref="W81" ca="1" si="115">($M81=V81)*$D$12</f>
        <v>0</v>
      </c>
      <c r="X81" s="64"/>
      <c r="Y81" s="74"/>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15</v>
      </c>
      <c r="H82" s="446">
        <f ca="1">$H$54</f>
        <v>46198</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c r="W82" s="73">
        <f t="shared" ref="W82" ca="1" si="139">($M82=V82)*$D$13</f>
        <v>0</v>
      </c>
      <c r="X82" s="64"/>
      <c r="Y82" s="74"/>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15</v>
      </c>
      <c r="H83" s="446">
        <f ca="1">$H$54</f>
        <v>46198</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c r="W83" s="73">
        <f t="shared" ref="W83" ca="1" si="163">($M83=V83)*$D$14</f>
        <v>0</v>
      </c>
      <c r="X83" s="64"/>
      <c r="Y83" s="74"/>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c r="W84" s="73">
        <f t="shared" ref="W84:CH84" ca="1" si="189">($M84=V84)*$D$11</f>
        <v>0</v>
      </c>
      <c r="X84" s="64"/>
      <c r="Y84" s="74"/>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c r="W85" s="73">
        <f t="shared" ref="W85:CH85" ca="1" si="193">($M85=V85)*$D$12</f>
        <v>0</v>
      </c>
      <c r="X85" s="64"/>
      <c r="Y85" s="74"/>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c r="W86" s="73">
        <f t="shared" ref="W86:CH86" ca="1" si="197">($M86=V86)*$D$13</f>
        <v>0</v>
      </c>
      <c r="X86" s="64"/>
      <c r="Y86" s="74"/>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c r="W87" s="73">
        <f t="shared" ref="W87:CH87" ca="1" si="201">($M87=V87)*$D$14</f>
        <v>0</v>
      </c>
      <c r="X87" s="64"/>
      <c r="Y87" s="74"/>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15</v>
      </c>
      <c r="H88" s="446">
        <f ca="1">$H$58</f>
        <v>46198</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c r="W88" s="73">
        <f t="shared" ref="W88:CH88" ca="1" si="205">($M88=V88)*$D$11</f>
        <v>0</v>
      </c>
      <c r="X88" s="64"/>
      <c r="Y88" s="74"/>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15</v>
      </c>
      <c r="H89" s="446">
        <f ca="1">$H$58</f>
        <v>46198</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c r="W89" s="73">
        <f t="shared" ref="W89:CH89" ca="1" si="209">($M89=V89)*$D$12</f>
        <v>0</v>
      </c>
      <c r="X89" s="64"/>
      <c r="Y89" s="74"/>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15</v>
      </c>
      <c r="H90" s="446">
        <f ca="1">$H$58</f>
        <v>46198</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c r="W90" s="73">
        <f t="shared" ref="W90:CH90" ca="1" si="213">($M90=V90)*$D$13</f>
        <v>0</v>
      </c>
      <c r="X90" s="64"/>
      <c r="Y90" s="74"/>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15</v>
      </c>
      <c r="H91" s="446">
        <f ca="1">$H$58</f>
        <v>46198</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c r="W91" s="73">
        <f t="shared" ref="W91:CH91" ca="1" si="217">($M91=V91)*$D$14</f>
        <v>0</v>
      </c>
      <c r="X91" s="64"/>
      <c r="Y91" s="74"/>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16</v>
      </c>
      <c r="H92" s="446">
        <f ca="1">$H$60</f>
        <v>46199</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c r="W92" s="73">
        <f t="shared" ref="W92:CH92" ca="1" si="221">($M92=V92)*$D$11</f>
        <v>0</v>
      </c>
      <c r="X92" s="64"/>
      <c r="Y92" s="74"/>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16</v>
      </c>
      <c r="H93" s="446">
        <f ca="1">$H$60</f>
        <v>46199</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c r="W93" s="73">
        <f t="shared" ref="W93:CH93" ca="1" si="225">($M93=V93)*$D$12</f>
        <v>0</v>
      </c>
      <c r="X93" s="64"/>
      <c r="Y93" s="74"/>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16</v>
      </c>
      <c r="H94" s="446">
        <f ca="1">$H$60</f>
        <v>46199</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c r="W94" s="73">
        <f t="shared" ref="W94:CH94" ca="1" si="229">($M94=V94)*$D$13</f>
        <v>0</v>
      </c>
      <c r="X94" s="64"/>
      <c r="Y94" s="74"/>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16</v>
      </c>
      <c r="H95" s="446">
        <f ca="1">$H$60</f>
        <v>46199</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c r="W95" s="73">
        <f t="shared" ref="W95:CH95" ca="1" si="233">($M95=V95)*$D$14</f>
        <v>0</v>
      </c>
      <c r="X95" s="64"/>
      <c r="Y95" s="74"/>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16</v>
      </c>
      <c r="H96" s="446">
        <f ca="1">$H$62</f>
        <v>46199</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c r="W96" s="73">
        <f t="shared" ref="W96:CH96" ca="1" si="237">($M96=V96)*$D$11</f>
        <v>0</v>
      </c>
      <c r="X96" s="64"/>
      <c r="Y96" s="74"/>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16</v>
      </c>
      <c r="H97" s="446">
        <f ca="1">$H$62</f>
        <v>46199</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c r="W97" s="73">
        <f t="shared" ref="W97:CH97" ca="1" si="241">($M97=V97)*$D$12</f>
        <v>0</v>
      </c>
      <c r="X97" s="64"/>
      <c r="Y97" s="74"/>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16</v>
      </c>
      <c r="H98" s="446">
        <f ca="1">$H$62</f>
        <v>46199</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c r="W98" s="73">
        <f t="shared" ref="W98:CH98" ca="1" si="245">($M98=V98)*$D$13</f>
        <v>0</v>
      </c>
      <c r="X98" s="64"/>
      <c r="Y98" s="74"/>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16</v>
      </c>
      <c r="H99" s="446">
        <f ca="1">$H$62</f>
        <v>46199</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c r="W99" s="73">
        <f t="shared" ref="W99:CH99" ca="1" si="249">($M99=V99)*$D$14</f>
        <v>0</v>
      </c>
      <c r="X99" s="64"/>
      <c r="Y99" s="74"/>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16</v>
      </c>
      <c r="H100" s="446">
        <f ca="1">$H$64</f>
        <v>46199</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c r="W100" s="73">
        <f t="shared" ref="W100:CH100" ca="1" si="253">($M100=V100)*$D$11</f>
        <v>0</v>
      </c>
      <c r="X100" s="64"/>
      <c r="Y100" s="74"/>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16</v>
      </c>
      <c r="H101" s="446">
        <f ca="1">$H$64</f>
        <v>46199</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c r="W101" s="73">
        <f t="shared" ref="W101:CH101" ca="1" si="257">($M101=V101)*$D$12</f>
        <v>0</v>
      </c>
      <c r="X101" s="64"/>
      <c r="Y101" s="74"/>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16</v>
      </c>
      <c r="H102" s="446">
        <f ca="1">$H$64</f>
        <v>46199</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c r="W102" s="73">
        <f t="shared" ref="W102:CH102" ca="1" si="261">($M102=V102)*$D$13</f>
        <v>0</v>
      </c>
      <c r="X102" s="64"/>
      <c r="Y102" s="74"/>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16</v>
      </c>
      <c r="H103" s="446">
        <f ca="1">$H$64</f>
        <v>46199</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c r="W103" s="73">
        <f t="shared" ref="W103:CH103" ca="1" si="265">($M103=V103)*$D$14</f>
        <v>0</v>
      </c>
      <c r="X103" s="64"/>
      <c r="Y103" s="74"/>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17</v>
      </c>
      <c r="H104" s="446">
        <f ca="1">$H$66</f>
        <v>46200</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c r="W104" s="73">
        <f t="shared" ref="W104:CH104" ca="1" si="269">($M104=V104)*$D$11</f>
        <v>0</v>
      </c>
      <c r="X104" s="64"/>
      <c r="Y104" s="74"/>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17</v>
      </c>
      <c r="H105" s="446">
        <f ca="1">$H$66</f>
        <v>46200</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c r="W105" s="73">
        <f t="shared" ref="W105:CH105" ca="1" si="273">($M105=V105)*$D$12</f>
        <v>0</v>
      </c>
      <c r="X105" s="64"/>
      <c r="Y105" s="74"/>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17</v>
      </c>
      <c r="H106" s="446">
        <f ca="1">$H$66</f>
        <v>46200</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c r="W106" s="73">
        <f t="shared" ref="W106:CH106" ca="1" si="277">($M106=V106)*$D$13</f>
        <v>0</v>
      </c>
      <c r="X106" s="64"/>
      <c r="Y106" s="74"/>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17</v>
      </c>
      <c r="H107" s="446">
        <f ca="1">$H$66</f>
        <v>46200</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c r="W107" s="73">
        <f t="shared" ref="W107:CH107" ca="1" si="281">($M107=V107)*$D$14</f>
        <v>0</v>
      </c>
      <c r="X107" s="64"/>
      <c r="Y107" s="74"/>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17</v>
      </c>
      <c r="H108" s="446">
        <f ca="1">$H$68</f>
        <v>46200</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c r="W108" s="73">
        <f t="shared" ref="W108:CH108" ca="1" si="285">($M108=V108)*$D$11</f>
        <v>0</v>
      </c>
      <c r="X108" s="64"/>
      <c r="Y108" s="74"/>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17</v>
      </c>
      <c r="H109" s="446">
        <f ca="1">$H$68</f>
        <v>46200</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c r="W109" s="73">
        <f t="shared" ref="W109:CH109" ca="1" si="289">($M109=V109)*$D$12</f>
        <v>0</v>
      </c>
      <c r="X109" s="64"/>
      <c r="Y109" s="74"/>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17</v>
      </c>
      <c r="H110" s="446">
        <f ca="1">$H$68</f>
        <v>46200</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c r="W110" s="73">
        <f t="shared" ref="W110:CH110" ca="1" si="293">($M110=V110)*$D$13</f>
        <v>0</v>
      </c>
      <c r="X110" s="64"/>
      <c r="Y110" s="74"/>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17</v>
      </c>
      <c r="H111" s="446">
        <f ca="1">$H$68</f>
        <v>46200</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c r="W111" s="73">
        <f t="shared" ref="W111:CH111" ca="1" si="297">($M111=V111)*$D$14</f>
        <v>0</v>
      </c>
      <c r="X111" s="64"/>
      <c r="Y111" s="74"/>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c r="W112" s="73">
        <f t="shared" ref="W112:CH112" ca="1" si="301">($M112=V112)*$D$11</f>
        <v>0</v>
      </c>
      <c r="X112" s="64"/>
      <c r="Y112" s="74"/>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c r="W113" s="73">
        <f t="shared" ref="W113:CH113" ca="1" si="305">($M113=V113)*$D$12</f>
        <v>0</v>
      </c>
      <c r="X113" s="64"/>
      <c r="Y113" s="74"/>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c r="W114" s="73">
        <f t="shared" ref="W114:CH114" ca="1" si="309">($M114=V114)*$D$13</f>
        <v>0</v>
      </c>
      <c r="X114" s="64"/>
      <c r="Y114" s="74"/>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c r="W115" s="73">
        <f t="shared" ref="W115:CH115" ca="1" si="313">($M115=V115)*$D$14</f>
        <v>0</v>
      </c>
      <c r="X115" s="64"/>
      <c r="Y115" s="74"/>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18</v>
      </c>
      <c r="H116" s="446">
        <f ca="1">$H$72</f>
        <v>46201</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c r="W116" s="73">
        <f t="shared" ref="W116:CH116" ca="1" si="317">($M116=V116)*$D$11</f>
        <v>0</v>
      </c>
      <c r="X116" s="64"/>
      <c r="Y116" s="74"/>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18</v>
      </c>
      <c r="H117" s="446">
        <f ca="1">$H$72</f>
        <v>46201</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c r="W117" s="73">
        <f t="shared" ref="W117:CH117" ca="1" si="321">($M117=V117)*$D$12</f>
        <v>0</v>
      </c>
      <c r="X117" s="64"/>
      <c r="Y117" s="74"/>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18</v>
      </c>
      <c r="H118" s="446">
        <f ca="1">$H$72</f>
        <v>46201</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c r="W118" s="73">
        <f t="shared" ref="W118:CH118" ca="1" si="325">($M118=V118)*$D$13</f>
        <v>0</v>
      </c>
      <c r="X118" s="64"/>
      <c r="Y118" s="74"/>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18</v>
      </c>
      <c r="H119" s="446">
        <f ca="1">$H$72</f>
        <v>46201</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c r="W119" s="73">
        <f t="shared" ref="W119:CH119" ca="1" si="329">($M119=V119)*$D$14</f>
        <v>0</v>
      </c>
      <c r="X119" s="64"/>
      <c r="Y119" s="74"/>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18</v>
      </c>
      <c r="H120" s="446">
        <f ca="1">$H$74</f>
        <v>46201</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c r="W120" s="73">
        <f t="shared" ref="W120:CH120" ca="1" si="333">($M120=V120)*$D$11</f>
        <v>0</v>
      </c>
      <c r="X120" s="64"/>
      <c r="Y120" s="74"/>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18</v>
      </c>
      <c r="H121" s="446">
        <f ca="1">$H$74</f>
        <v>46201</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c r="W121" s="73">
        <f t="shared" ref="W121:CH121" ca="1" si="337">($M121=V121)*$D$12</f>
        <v>0</v>
      </c>
      <c r="X121" s="64"/>
      <c r="Y121" s="74"/>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18</v>
      </c>
      <c r="H122" s="446">
        <f ca="1">$H$74</f>
        <v>46201</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c r="W122" s="73">
        <f t="shared" ref="W122:CH122" ca="1" si="341">($M122=V122)*$D$13</f>
        <v>0</v>
      </c>
      <c r="X122" s="64"/>
      <c r="Y122" s="74"/>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18</v>
      </c>
      <c r="H123" s="446">
        <f ca="1">$H$74</f>
        <v>46201</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c r="W123" s="73">
        <f t="shared" ref="W123:CH123" ca="1" si="345">($M123=V123)*$D$14</f>
        <v>0</v>
      </c>
      <c r="X123" s="64"/>
      <c r="Y123" s="74"/>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18</v>
      </c>
      <c r="H124" s="446">
        <f ca="1">$H$76</f>
        <v>46201</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c r="W124" s="73">
        <f t="shared" ref="W124:CH124" ca="1" si="349">($M124=V124)*$D$11</f>
        <v>0</v>
      </c>
      <c r="X124" s="64"/>
      <c r="Y124" s="74"/>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18</v>
      </c>
      <c r="H125" s="446">
        <f ca="1">$H$76</f>
        <v>46201</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c r="W125" s="73">
        <f t="shared" ref="W125:CH125" ca="1" si="353">($M125=V125)*$D$12</f>
        <v>0</v>
      </c>
      <c r="X125" s="64"/>
      <c r="Y125" s="74"/>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18</v>
      </c>
      <c r="H126" s="446">
        <f ca="1">$H$76</f>
        <v>46201</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c r="W126" s="73">
        <f t="shared" ref="W126:CH126" ca="1" si="357">($M126=V126)*$D$13</f>
        <v>0</v>
      </c>
      <c r="X126" s="64"/>
      <c r="Y126" s="74"/>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18</v>
      </c>
      <c r="H127" s="446">
        <f ca="1">$H$76</f>
        <v>46201</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c r="W127" s="81">
        <f t="shared" ref="W127:CH127" ca="1" si="361">($M127=V127)*$D$14</f>
        <v>0</v>
      </c>
      <c r="X127" s="64"/>
      <c r="Y127" s="80"/>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c r="W130" s="77">
        <f t="shared" ref="W130:W161" ca="1" si="388">COUNTIF($M$130:$M$161,V130)*$D$15</f>
        <v>0</v>
      </c>
      <c r="X130" s="64"/>
      <c r="Y130" s="76"/>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c r="W131" s="73">
        <f t="shared" ca="1" si="388"/>
        <v>0</v>
      </c>
      <c r="X131" s="64"/>
      <c r="Y131" s="74"/>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c r="W132" s="73">
        <f t="shared" ca="1" si="388"/>
        <v>0</v>
      </c>
      <c r="X132" s="64"/>
      <c r="Y132" s="74"/>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c r="W133" s="73">
        <f t="shared" ca="1" si="388"/>
        <v>0</v>
      </c>
      <c r="X133" s="64"/>
      <c r="Y133" s="74"/>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c r="W134" s="73">
        <f t="shared" ca="1" si="388"/>
        <v>0</v>
      </c>
      <c r="X134" s="64"/>
      <c r="Y134" s="74"/>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c r="W135" s="73">
        <f t="shared" ca="1" si="388"/>
        <v>0</v>
      </c>
      <c r="X135" s="64"/>
      <c r="Y135" s="74"/>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c r="W136" s="73">
        <f t="shared" ca="1" si="388"/>
        <v>0</v>
      </c>
      <c r="X136" s="64"/>
      <c r="Y136" s="74"/>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c r="W137" s="73">
        <f t="shared" ca="1" si="388"/>
        <v>0</v>
      </c>
      <c r="X137" s="64"/>
      <c r="Y137" s="74"/>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c r="W138" s="73">
        <f t="shared" ca="1" si="388"/>
        <v>0</v>
      </c>
      <c r="X138" s="64"/>
      <c r="Y138" s="74"/>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c r="W139" s="73">
        <f t="shared" ca="1" si="388"/>
        <v>0</v>
      </c>
      <c r="X139" s="64"/>
      <c r="Y139" s="74"/>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c r="W140" s="73">
        <f t="shared" ca="1" si="388"/>
        <v>0</v>
      </c>
      <c r="X140" s="64"/>
      <c r="Y140" s="74"/>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c r="W141" s="73">
        <f t="shared" ca="1" si="388"/>
        <v>0</v>
      </c>
      <c r="X141" s="64"/>
      <c r="Y141" s="74"/>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c r="W142" s="73">
        <f t="shared" ca="1" si="388"/>
        <v>0</v>
      </c>
      <c r="X142" s="64"/>
      <c r="Y142" s="74"/>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c r="W143" s="73">
        <f t="shared" ca="1" si="388"/>
        <v>0</v>
      </c>
      <c r="X143" s="64"/>
      <c r="Y143" s="74"/>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c r="W144" s="73">
        <f t="shared" ca="1" si="388"/>
        <v>0</v>
      </c>
      <c r="X144" s="64"/>
      <c r="Y144" s="74"/>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c r="W145" s="73">
        <f t="shared" ca="1" si="388"/>
        <v>0</v>
      </c>
      <c r="X145" s="64"/>
      <c r="Y145" s="74"/>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c r="W146" s="73">
        <f t="shared" ca="1" si="388"/>
        <v>0</v>
      </c>
      <c r="X146" s="64"/>
      <c r="Y146" s="74"/>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c r="W147" s="73">
        <f t="shared" ca="1" si="388"/>
        <v>0</v>
      </c>
      <c r="X147" s="64"/>
      <c r="Y147" s="74"/>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c r="W148" s="73">
        <f t="shared" ca="1" si="388"/>
        <v>0</v>
      </c>
      <c r="X148" s="64"/>
      <c r="Y148" s="74"/>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c r="W149" s="73">
        <f t="shared" ca="1" si="388"/>
        <v>0</v>
      </c>
      <c r="X149" s="64"/>
      <c r="Y149" s="74"/>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c r="W150" s="73">
        <f t="shared" ca="1" si="388"/>
        <v>0</v>
      </c>
      <c r="X150" s="64"/>
      <c r="Y150" s="74"/>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c r="W151" s="73">
        <f t="shared" ca="1" si="388"/>
        <v>0</v>
      </c>
      <c r="X151" s="64"/>
      <c r="Y151" s="74"/>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c r="W152" s="73">
        <f t="shared" ca="1" si="388"/>
        <v>0</v>
      </c>
      <c r="X152" s="64"/>
      <c r="Y152" s="74"/>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c r="W153" s="73">
        <f t="shared" ca="1" si="388"/>
        <v>0</v>
      </c>
      <c r="X153" s="64"/>
      <c r="Y153" s="74"/>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c r="W154" s="73">
        <f t="shared" ca="1" si="388"/>
        <v>0</v>
      </c>
      <c r="X154" s="64"/>
      <c r="Y154" s="74"/>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c r="W155" s="73">
        <f t="shared" ca="1" si="388"/>
        <v>0</v>
      </c>
      <c r="X155" s="64"/>
      <c r="Y155" s="74"/>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c r="W156" s="73">
        <f t="shared" ca="1" si="388"/>
        <v>0</v>
      </c>
      <c r="X156" s="64"/>
      <c r="Y156" s="74"/>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c r="W157" s="73">
        <f t="shared" ca="1" si="388"/>
        <v>0</v>
      </c>
      <c r="X157" s="64"/>
      <c r="Y157" s="74"/>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c r="W158" s="73">
        <f t="shared" ca="1" si="388"/>
        <v>0</v>
      </c>
      <c r="X158" s="64"/>
      <c r="Y158" s="74"/>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c r="W159" s="73">
        <f t="shared" ca="1" si="388"/>
        <v>0</v>
      </c>
      <c r="X159" s="64"/>
      <c r="Y159" s="74"/>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c r="W160" s="73">
        <f t="shared" ca="1" si="388"/>
        <v>0</v>
      </c>
      <c r="X160" s="64"/>
      <c r="Y160" s="74"/>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c r="W161" s="81">
        <f t="shared" ca="1" si="388"/>
        <v>0</v>
      </c>
      <c r="X161" s="64"/>
      <c r="Y161" s="80"/>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tr">
        <f>Idiomas!$D$367</f>
        <v>Pegar Valores Dieciseisavos</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tr">
        <f>Idiomas!$D$367</f>
        <v>Pegar Valores Dieciseisavos</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c r="W165" s="77">
        <f t="shared" ca="1" si="437"/>
        <v>0</v>
      </c>
      <c r="X165" s="110"/>
      <c r="Y165" s="74"/>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c r="W166" s="77">
        <f t="shared" ca="1" si="437"/>
        <v>0</v>
      </c>
      <c r="X166" s="110"/>
      <c r="Y166" s="74"/>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c r="W167" s="77">
        <f t="shared" ca="1" si="437"/>
        <v>0</v>
      </c>
      <c r="X167" s="110"/>
      <c r="Y167" s="74"/>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c r="W168" s="77">
        <f t="shared" ca="1" si="437"/>
        <v>0</v>
      </c>
      <c r="X168" s="110"/>
      <c r="Y168" s="74"/>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c r="W169" s="77">
        <f t="shared" ca="1" si="437"/>
        <v>0</v>
      </c>
      <c r="X169" s="110"/>
      <c r="Y169" s="74"/>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c r="W170" s="77">
        <f t="shared" ca="1" si="437"/>
        <v>0</v>
      </c>
      <c r="X170" s="110"/>
      <c r="Y170" s="74"/>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c r="W171" s="77">
        <f t="shared" ca="1" si="437"/>
        <v>0</v>
      </c>
      <c r="X171" s="110"/>
      <c r="Y171" s="74"/>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c r="W172" s="77">
        <f t="shared" ca="1" si="437"/>
        <v>0</v>
      </c>
      <c r="X172" s="110"/>
      <c r="Y172" s="74"/>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c r="W173" s="77">
        <f t="shared" ca="1" si="437"/>
        <v>0</v>
      </c>
      <c r="X173" s="110"/>
      <c r="Y173" s="74"/>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c r="W174" s="77">
        <f t="shared" ca="1" si="437"/>
        <v>0</v>
      </c>
      <c r="X174" s="110"/>
      <c r="Y174" s="74"/>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c r="W175" s="77">
        <f t="shared" ca="1" si="437"/>
        <v>0</v>
      </c>
      <c r="X175" s="110"/>
      <c r="Y175" s="74"/>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c r="W176" s="77">
        <f t="shared" ca="1" si="437"/>
        <v>0</v>
      </c>
      <c r="X176" s="110"/>
      <c r="Y176" s="74"/>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c r="W178" s="77">
        <f t="shared" ca="1" si="467"/>
        <v>0</v>
      </c>
      <c r="X178" s="110"/>
      <c r="Y178" s="74"/>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c r="W179" s="81">
        <f t="shared" ca="1" si="467"/>
        <v>0</v>
      </c>
      <c r="X179" s="110"/>
      <c r="Y179" s="80"/>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c r="W182" s="77">
        <f t="shared" ref="W182:W197" si="493">COUNTIF($M$182:$M$197,V182)*$D$19</f>
        <v>0</v>
      </c>
      <c r="X182" s="64"/>
      <c r="Y182" s="76"/>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c r="W183" s="73">
        <f t="shared" si="493"/>
        <v>0</v>
      </c>
      <c r="X183" s="64"/>
      <c r="Y183" s="74"/>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c r="W184" s="73">
        <f t="shared" si="493"/>
        <v>0</v>
      </c>
      <c r="X184" s="64"/>
      <c r="Y184" s="74"/>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c r="W185" s="73">
        <f t="shared" si="493"/>
        <v>0</v>
      </c>
      <c r="X185" s="64"/>
      <c r="Y185" s="74"/>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c r="W186" s="73">
        <f t="shared" si="493"/>
        <v>0</v>
      </c>
      <c r="X186" s="64"/>
      <c r="Y186" s="74"/>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c r="W187" s="73">
        <f t="shared" si="493"/>
        <v>0</v>
      </c>
      <c r="X187" s="64"/>
      <c r="Y187" s="74"/>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c r="W188" s="73">
        <f t="shared" si="493"/>
        <v>0</v>
      </c>
      <c r="X188" s="64"/>
      <c r="Y188" s="74"/>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c r="W189" s="73">
        <f t="shared" si="493"/>
        <v>0</v>
      </c>
      <c r="X189" s="64"/>
      <c r="Y189" s="74"/>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c r="W190" s="73">
        <f t="shared" si="493"/>
        <v>0</v>
      </c>
      <c r="X190" s="64"/>
      <c r="Y190" s="74"/>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c r="W191" s="73">
        <f t="shared" si="493"/>
        <v>0</v>
      </c>
      <c r="X191" s="64"/>
      <c r="Y191" s="74"/>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c r="W192" s="73">
        <f t="shared" si="493"/>
        <v>0</v>
      </c>
      <c r="X192" s="64"/>
      <c r="Y192" s="74"/>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c r="W193" s="73">
        <f t="shared" si="493"/>
        <v>0</v>
      </c>
      <c r="X193" s="64"/>
      <c r="Y193" s="74"/>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c r="W194" s="73">
        <f t="shared" si="493"/>
        <v>0</v>
      </c>
      <c r="X194" s="64"/>
      <c r="Y194" s="74"/>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c r="W195" s="73">
        <f t="shared" si="493"/>
        <v>0</v>
      </c>
      <c r="X195" s="64"/>
      <c r="Y195" s="74"/>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c r="W196" s="73">
        <f t="shared" si="493"/>
        <v>0</v>
      </c>
      <c r="X196" s="64"/>
      <c r="Y196" s="74"/>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c r="W197" s="81">
        <f t="shared" si="493"/>
        <v>0</v>
      </c>
      <c r="X197" s="64"/>
      <c r="Y197" s="80"/>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tr">
        <f>Idiomas!$D$368</f>
        <v>Pegar Valores Octavos</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tr">
        <f>Idiomas!$D$368</f>
        <v>Pegar Valores Octavos</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c r="W201" s="73">
        <f t="shared" si="545"/>
        <v>0</v>
      </c>
      <c r="X201" s="110"/>
      <c r="Y201" s="80"/>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c r="W202" s="73">
        <f t="shared" si="545"/>
        <v>0</v>
      </c>
      <c r="X202" s="110"/>
      <c r="Y202" s="80"/>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c r="W203" s="73">
        <f t="shared" si="545"/>
        <v>0</v>
      </c>
      <c r="X203" s="110"/>
      <c r="Y203" s="80"/>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c r="W204" s="73">
        <f t="shared" si="545"/>
        <v>0</v>
      </c>
      <c r="X204" s="110"/>
      <c r="Y204" s="80"/>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c r="W205" s="73">
        <f t="shared" si="545"/>
        <v>0</v>
      </c>
      <c r="X205" s="110"/>
      <c r="Y205" s="80"/>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c r="W206" s="73">
        <f t="shared" si="545"/>
        <v>0</v>
      </c>
      <c r="X206" s="110"/>
      <c r="Y206" s="80"/>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c r="W207" s="85">
        <f t="shared" si="545"/>
        <v>0</v>
      </c>
      <c r="X207" s="110"/>
      <c r="Y207" s="80"/>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c r="W210" s="77">
        <f t="shared" ref="W210:W217" si="596">COUNTIF($M$210:$M$217,V210)*$D$23</f>
        <v>0</v>
      </c>
      <c r="X210" s="110"/>
      <c r="Y210" s="76"/>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c r="W211" s="73">
        <f t="shared" si="596"/>
        <v>0</v>
      </c>
      <c r="X211" s="110"/>
      <c r="Y211" s="74"/>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c r="W212" s="73">
        <f t="shared" si="596"/>
        <v>0</v>
      </c>
      <c r="X212" s="110"/>
      <c r="Y212" s="74"/>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c r="W213" s="73">
        <f t="shared" si="596"/>
        <v>0</v>
      </c>
      <c r="X213" s="110"/>
      <c r="Y213" s="74"/>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c r="W214" s="73">
        <f t="shared" si="596"/>
        <v>0</v>
      </c>
      <c r="X214" s="110"/>
      <c r="Y214" s="74"/>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c r="W215" s="73">
        <f t="shared" si="596"/>
        <v>0</v>
      </c>
      <c r="X215" s="110"/>
      <c r="Y215" s="74"/>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c r="W216" s="73">
        <f t="shared" si="596"/>
        <v>0</v>
      </c>
      <c r="X216" s="110"/>
      <c r="Y216" s="74"/>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c r="W217" s="81">
        <f t="shared" si="596"/>
        <v>0</v>
      </c>
      <c r="X217" s="110"/>
      <c r="Y217" s="80"/>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tr">
        <f>Idiomas!$D$369</f>
        <v>Pegar valores Cuartos</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tr">
        <f>Idiomas!$D$369</f>
        <v>Pegar valores Cuartos</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c r="W221" s="77">
        <f t="shared" si="647"/>
        <v>0</v>
      </c>
      <c r="X221" s="110"/>
      <c r="Y221" s="74"/>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c r="W222" s="77">
        <f t="shared" si="647"/>
        <v>0</v>
      </c>
      <c r="X222" s="110"/>
      <c r="Y222" s="74"/>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c r="W223" s="81">
        <f t="shared" si="647"/>
        <v>0</v>
      </c>
      <c r="X223" s="110"/>
      <c r="Y223" s="80"/>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c r="W226" s="77">
        <f t="shared" ref="W226" si="697">COUNTIF($M$226:$M$229,V226)*$D$27</f>
        <v>0</v>
      </c>
      <c r="X226" s="64"/>
      <c r="Y226" s="76"/>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c r="W227" s="73">
        <f t="shared" ref="W227" si="722">COUNTIF($M$226:$M$229,V227)*$D$27</f>
        <v>0</v>
      </c>
      <c r="X227" s="64"/>
      <c r="Y227" s="74"/>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c r="W228" s="73">
        <f t="shared" ref="W228" si="746">COUNTIF($M$226:$M$229,V228)*$D$27</f>
        <v>0</v>
      </c>
      <c r="X228" s="64"/>
      <c r="Y228" s="74"/>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c r="W229" s="81">
        <f t="shared" ref="W229" si="770">COUNTIF($M$226:$M$229,V229)*$D$27</f>
        <v>0</v>
      </c>
      <c r="X229" s="64"/>
      <c r="Y229" s="80"/>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tr">
        <f>Idiomas!$D$370</f>
        <v>Pegar valores Semifinales</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tr">
        <f>Idiomas!$D$370</f>
        <v>Pegar valores Semifinales</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c r="W236" s="77">
        <f t="shared" ref="W236" si="891">COUNTIF($M$236:$M$237,V236)*$D$31</f>
        <v>0</v>
      </c>
      <c r="X236" s="110"/>
      <c r="Y236" s="76"/>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c r="W237" s="81">
        <f t="shared" ref="W237" si="915">COUNTIF($M$236:$M$237,V237)*$D$31</f>
        <v>0</v>
      </c>
      <c r="X237" s="110"/>
      <c r="Y237" s="80"/>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c r="W240" s="77">
        <f t="shared" ref="W240" si="963">COUNTIF($M$240:$M$241,V240)*$D$32</f>
        <v>0</v>
      </c>
      <c r="X240" s="110"/>
      <c r="Y240" s="76"/>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c r="W241" s="81">
        <f t="shared" ref="W241" si="987">COUNTIF($M$240:$M$241,V241)*$D$32</f>
        <v>0</v>
      </c>
      <c r="X241" s="110"/>
      <c r="Y241" s="80"/>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tr">
        <f>Idiomas!$D$371</f>
        <v>Pegar valores 3º-4º puesto y Final</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tr">
        <f>Idiomas!$D$371</f>
        <v>Pegar valores 3º-4º puesto y Final</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c r="W250" s="77">
        <f t="shared" ref="W250" si="1131">COUNTIF($M$250,V250)*$D$39</f>
        <v>0</v>
      </c>
      <c r="X250" s="64"/>
      <c r="Y250" s="76"/>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c r="W251" s="73">
        <f t="shared" ref="W251" si="1155">COUNTIF($M$251,V251)*$D$40</f>
        <v>0</v>
      </c>
      <c r="X251" s="64"/>
      <c r="Y251" s="74"/>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c r="W252" s="73">
        <f t="shared" ref="W252" si="1179">COUNTIF($M$252,V252)*$D$41</f>
        <v>0</v>
      </c>
      <c r="X252" s="64"/>
      <c r="Y252" s="74"/>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tr">
        <f>Idiomas!$D$373</f>
        <v>Pegar Valores Cuadro de Honor</v>
      </c>
      <c r="W253" s="73">
        <f t="shared" ref="W253" si="1203">COUNTIF($M$253,V253)*$D$42</f>
        <v>0</v>
      </c>
      <c r="X253" s="64"/>
      <c r="Y253" s="74" t="str">
        <f>Idiomas!$D$373</f>
        <v>Pegar Valores Cuadro de Honor</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c r="W254" s="73">
        <f t="shared" ref="W254" si="1227">COUNTIF($M$254,V254)*$D$43</f>
        <v>0</v>
      </c>
      <c r="X254" s="64"/>
      <c r="Y254" s="74"/>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c r="W255" s="73">
        <f t="shared" ref="W255" si="1251">COUNTIF($M$255,V255)*$D$44</f>
        <v>0</v>
      </c>
      <c r="X255" s="64"/>
      <c r="Y255" s="74"/>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c r="W256" s="73">
        <f t="shared" ref="W256" si="1275">COUNTIF($M$256,V256)*$D$45</f>
        <v>0</v>
      </c>
      <c r="X256" s="64"/>
      <c r="Y256" s="74"/>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c r="W257" s="73">
        <f t="shared" ref="W257" si="1299">COUNTIF($M$257,V257)*$D$46</f>
        <v>0</v>
      </c>
      <c r="X257" s="64"/>
      <c r="Y257" s="74"/>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c r="W258" s="81">
        <f t="shared" ref="W258" si="1323">COUNTIF($M$258,V258)*$D$47</f>
        <v>0</v>
      </c>
      <c r="X258" s="64"/>
      <c r="Y258" s="80"/>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t="e">
        <f ca="1">RANK(Y264,OFFSET($S$264,0,0,1,$D$5*3),0)</f>
        <v>#N/A</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-1.9E-3</v>
      </c>
      <c r="T264" s="25"/>
      <c r="U264" s="25"/>
      <c r="V264" s="25">
        <f t="shared" ref="V264" ca="1" si="1371">V266-(COLUMN()/10000)</f>
        <v>-2.2000000000000001E-3</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1</v>
      </c>
      <c r="AL265" s="25"/>
      <c r="AM265" s="25"/>
      <c r="AN265" s="25">
        <f ca="1">RANK(AN266,OFFSET($S$266,0,0,1,$D$5*3),0)</f>
        <v>1</v>
      </c>
      <c r="AO265" s="25"/>
      <c r="AP265" s="25"/>
      <c r="AQ265" s="25">
        <f ca="1">RANK(AQ266,OFFSET($S$266,0,0,1,$D$5*3),0)</f>
        <v>1</v>
      </c>
      <c r="AR265" s="25"/>
      <c r="AS265" s="25"/>
      <c r="AT265" s="25">
        <f ca="1">RANK(AT266,OFFSET($S$266,0,0,1,$D$5*3),0)</f>
        <v>1</v>
      </c>
      <c r="AU265" s="25"/>
      <c r="AV265" s="25"/>
      <c r="AW265" s="25">
        <f ca="1">RANK(AW266,OFFSET($S$266,0,0,1,$D$5*3),0)</f>
        <v>1</v>
      </c>
      <c r="AX265" s="25"/>
      <c r="AY265" s="25"/>
      <c r="AZ265" s="25">
        <f ca="1">RANK(AZ266,OFFSET($S$266,0,0,1,$D$5*3),0)</f>
        <v>1</v>
      </c>
      <c r="BA265" s="25"/>
      <c r="BB265" s="25"/>
      <c r="BC265" s="25">
        <f ca="1">RANK(BC266,OFFSET($S$266,0,0,1,$D$5*3),0)</f>
        <v>1</v>
      </c>
      <c r="BD265" s="25"/>
      <c r="BE265" s="25"/>
      <c r="BF265" s="25">
        <f ca="1">RANK(BF266,OFFSET($S$266,0,0,1,$D$5*3),0)</f>
        <v>1</v>
      </c>
      <c r="BG265" s="25"/>
      <c r="BH265" s="25"/>
      <c r="BI265" s="25">
        <f ca="1">RANK(BI266,OFFSET($S$266,0,0,1,$D$5*3),0)</f>
        <v>1</v>
      </c>
      <c r="BJ265" s="25"/>
      <c r="BK265" s="25"/>
      <c r="BL265" s="25">
        <f ca="1">RANK(BL266,OFFSET($S$266,0,0,1,$D$5*3),0)</f>
        <v>1</v>
      </c>
      <c r="BM265" s="25"/>
      <c r="BN265" s="25"/>
      <c r="BO265" s="25">
        <f ca="1">RANK(BO266,OFFSET($S$266,0,0,1,$D$5*3),0)</f>
        <v>1</v>
      </c>
      <c r="BP265" s="25"/>
      <c r="BQ265" s="25"/>
      <c r="BR265" s="25">
        <f ca="1">RANK(BR266,OFFSET($S$266,0,0,1,$D$5*3),0)</f>
        <v>1</v>
      </c>
      <c r="BS265" s="25"/>
      <c r="BT265" s="25"/>
      <c r="BU265" s="25">
        <f ca="1">RANK(BU266,OFFSET($S$266,0,0,1,$D$5*3),0)</f>
        <v>1</v>
      </c>
      <c r="BV265" s="25"/>
      <c r="BW265" s="25"/>
      <c r="BX265" s="25">
        <f ca="1">RANK(BX266,OFFSET($S$266,0,0,1,$D$5*3),0)</f>
        <v>1</v>
      </c>
      <c r="BY265" s="25"/>
      <c r="BZ265" s="25"/>
      <c r="CA265" s="25">
        <f ca="1">RANK(CA266,OFFSET($S$266,0,0,1,$D$5*3),0)</f>
        <v>1</v>
      </c>
      <c r="CB265" s="25"/>
      <c r="CC265" s="25"/>
      <c r="CD265" s="25">
        <f ca="1">RANK(CD266,OFFSET($S$266,0,0,1,$D$5*3),0)</f>
        <v>1</v>
      </c>
      <c r="CE265" s="25"/>
      <c r="CF265" s="25"/>
      <c r="CG265" s="25">
        <f ca="1">RANK(CG266,OFFSET($S$266,0,0,1,$D$5*3),0)</f>
        <v>1</v>
      </c>
      <c r="CH265" s="25"/>
      <c r="CI265" s="25"/>
      <c r="CJ265" s="25">
        <f ca="1">RANK(CJ266,OFFSET($S$266,0,0,1,$D$5*3),0)</f>
        <v>1</v>
      </c>
      <c r="CK265" s="25"/>
      <c r="CL265" s="25"/>
      <c r="CM265" s="25">
        <f ca="1">RANK(CM266,OFFSET($S$266,0,0,1,$D$5*3),0)</f>
        <v>1</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0</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Pegar Valores Nombre J2</v>
      </c>
      <c r="W267" s="25"/>
      <c r="X267" s="25"/>
      <c r="Y267" s="25" t="str">
        <f t="shared" ref="Y267" si="1396">Y5</f>
        <v>Pegar Valores Nombre J3</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0</v>
      </c>
      <c r="E5" s="92" cm="1">
        <f t="array" aca="1" ref="E5" ca="1">IFERROR(INDEX(Rango_Admin_Clas_Total,E$2,MATCH($A5,Rango_Admin_Clas_Primera,0)+1),"-")</f>
        <v>0</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Pegar Valores Nombre J2</v>
      </c>
      <c r="D6" s="91">
        <f ca="1">IFERROR(HLOOKUP(A6,Rango_Admin_Clas,4,FALSE),"-")</f>
        <v>0</v>
      </c>
      <c r="E6" s="92" cm="1">
        <f t="array" aca="1" ref="E6" ca="1">IFERROR(INDEX(Rango_Admin_Clas_Total,E$2,MATCH($A6,Rango_Admin_Clas_Primera,0)+1),"-")</f>
        <v>0</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t="str">
        <f ca="1">IFERROR(HLOOKUP(A7,Rango_Admin_Clas,3,FALSE),"-")</f>
        <v>-</v>
      </c>
      <c r="C7" s="18" t="str">
        <f ca="1">IFERROR(HLOOKUP(A7,Rango_Admin_Clas,5,FALSE),"-")</f>
        <v>-</v>
      </c>
      <c r="D7" s="91" t="str">
        <f ca="1">IFERROR(HLOOKUP(A7,Rango_Admin_Clas,4,FALSE),"-")</f>
        <v>-</v>
      </c>
      <c r="E7" s="92" t="str" cm="1">
        <f t="array" aca="1" ref="E7" ca="1">IFERROR(INDEX(Rango_Admin_Clas_Total,E$2,MATCH($A7,Rango_Admin_Clas_Primera,0)+1),"-")</f>
        <v>-</v>
      </c>
      <c r="F7" s="92" t="str" cm="1">
        <f t="array" aca="1" ref="F7" ca="1">IFERROR(INDEX(Rango_Admin_Clas_Total,F$2,MATCH($A7,Rango_Admin_Clas_Primera,0)+1),"-")</f>
        <v>-</v>
      </c>
      <c r="G7" s="92" t="str" cm="1">
        <f t="array" aca="1" ref="G7" ca="1">IFERROR(INDEX(Rango_Admin_Clas_Total,G$2,MATCH($A7,Rango_Admin_Clas_Primera,0)+1),"-")</f>
        <v>-</v>
      </c>
      <c r="H7" s="92" t="str" cm="1">
        <f t="array" aca="1" ref="H7" ca="1">IFERROR(INDEX(Rango_Admin_Clas_Total,H$2,MATCH($A7,Rango_Admin_Clas_Primera,0)+1),"-")</f>
        <v>-</v>
      </c>
      <c r="I7" s="92" t="str" cm="1">
        <f t="array" aca="1" ref="I7" ca="1">IFERROR(INDEX(Rango_Admin_Clas_Total,I$2,MATCH($A7,Rango_Admin_Clas_Primera,0)+1),"-")</f>
        <v>-</v>
      </c>
      <c r="J7" s="92" t="str" cm="1">
        <f t="array" aca="1" ref="J7" ca="1">IFERROR(INDEX(Rango_Admin_Clas_Total,J$2,MATCH($A7,Rango_Admin_Clas_Primera,0)+1),"-")</f>
        <v>-</v>
      </c>
      <c r="K7" s="92" t="str" cm="1">
        <f t="array" aca="1" ref="K7" ca="1">IFERROR(INDEX(Rango_Admin_Clas_Total,K$2,MATCH($A7,Rango_Admin_Clas_Primera,0)+1),"-")</f>
        <v>-</v>
      </c>
      <c r="L7" s="92" t="str" cm="1">
        <f t="array" aca="1" ref="L7" ca="1">IFERROR(INDEX(Rango_Admin_Clas_Total,L$2,MATCH($A7,Rango_Admin_Clas_Primera,0)+1),"-")</f>
        <v>-</v>
      </c>
      <c r="M7" s="92" t="str" cm="1">
        <f t="array" aca="1" ref="M7" ca="1">IFERROR(INDEX(Rango_Admin_Clas_Total,M$2,MATCH($A7,Rango_Admin_Clas_Primera,0)+1),"-")</f>
        <v>-</v>
      </c>
      <c r="N7" s="92" t="str" cm="1">
        <f t="array" aca="1" ref="N7" ca="1">IFERROR(INDEX(Rango_Admin_Clas_Total,N$2,MATCH($A7,Rango_Admin_Clas_Primera,0)+1),"-")</f>
        <v>-</v>
      </c>
      <c r="O7" s="92" t="str" cm="1">
        <f t="array" aca="1" ref="O7" ca="1">IFERROR(INDEX(Rango_Admin_Clas_Total,O$2,MATCH($A7,Rango_Admin_Clas_Primera,0)+1),"-")</f>
        <v>-</v>
      </c>
      <c r="P7" s="92" t="str" cm="1">
        <f t="array" aca="1" ref="P7" ca="1">IFERROR(INDEX(Rango_Admin_Clas_Total,P$2,MATCH($A7,Rango_Admin_Clas_Primera,0)+1),"-")</f>
        <v>-</v>
      </c>
      <c r="Q7" s="92" t="str" cm="1">
        <f t="array" aca="1" ref="Q7" ca="1">IFERROR(INDEX(Rango_Admin_Clas_Total,Q$2,MATCH($A7,Rango_Admin_Clas_Primera,0)+1),"-")</f>
        <v>-</v>
      </c>
      <c r="R7" s="92" t="str" cm="1">
        <f t="array" aca="1" ref="R7" ca="1">IFERROR(INDEX(Rango_Admin_Clas_Total,R$2,MATCH($A7,Rango_Admin_Clas_Primera,0)+1),"-")</f>
        <v>-</v>
      </c>
      <c r="S7" s="92" t="str" cm="1">
        <f t="array" aca="1" ref="S7" ca="1">IFERROR(INDEX(Rango_Admin_Clas_Total,S$2,MATCH($A7,Rango_Admin_Clas_Primera,0)+1),"-")</f>
        <v>-</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 xml:space="preserve">México-Sudáfrica
</v>
      </c>
      <c r="H3" s="449" t="str">
        <f ca="1"/>
        <v xml:space="preserve">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 xml:space="preserve">México-Sudáfrica
</v>
      </c>
      <c r="C4" s="5" t="str" cm="1">
        <f t="array" aca="1" ref="C4" ca="1">IFERROR(IF(INDEX(ADMIN!$M$6:$M$258,SMALL(IF(ADMIN!$G$6:$G$258=$J$1,ROW(ADMIN!$G$6:$G$258)-ROW(ADMIN!$G$6)+1),ROWS($A$1:A1)))="-",""," ("&amp;INDEX(ADMIN!$M$6:$M$258,SMALL(IF(ADMIN!$G$6:$G$258=$J$1,ROW(ADMIN!$G$6:$G$258)-ROW(ADMIN!$G$6)+1),ROWS($A$1:A1)))&amp;")"),"")</f>
        <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06" t="str" cm="1">
        <f t="array" ref="F5">IFERROR(INDEX(Rango_Admin_DailyPred_Primera,1,E5),"-")</f>
        <v>Pegar Valores Nombre J2</v>
      </c>
      <c r="G5" s="429" t="str">
        <f ca="1">IFERROR(VLOOKUP(G$2,Rango_Admin_DailyPred,MATCH($F5,Rango_Admin_DailyPred_Primera,0),0),"-")</f>
        <v>Pegar Valores (J1)</v>
      </c>
      <c r="H5" s="429" t="str">
        <f ca="1">IFERROR(VLOOKUP(H$2,Rango_Admin_DailyPred,MATCH($F5,Rango_Admin_DailyPred_Primera,0),0),"-")</f>
        <v>-</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v>
      </c>
      <c r="G6" s="429" t="str">
        <f ca="1">IFERROR(VLOOKUP(G$2,Rango_Admin_DailyPred,MATCH($F6,Rango_Admin_DailyPred_Primera,0),0),"-")</f>
        <v>-</v>
      </c>
      <c r="H6" s="429" t="str">
        <f ca="1">IFERROR(VLOOKUP(H$2,Rango_Admin_DailyPred,MATCH($F6,Rango_Admin_DailyPred_Primera,0),0),"-")</f>
        <v>-</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v>
      </c>
      <c r="I3" s="449" t="str">
        <f ca="1"/>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v>
      </c>
      <c r="C4" s="8">
        <v>1</v>
      </c>
      <c r="D4" s="90"/>
      <c r="E4" s="409">
        <f ca="1">IFERROR(HLOOKUP(C4,Rango_Admin_DailyClas,3,FALSE),"-")</f>
        <v>1</v>
      </c>
      <c r="F4" s="448" t="str">
        <f ca="1">IFERROR(HLOOKUP(C4,Rango_Admin_DailyClas,5,FALSE),"-")</f>
        <v>Andres Alvarez</v>
      </c>
      <c r="G4" s="22">
        <f ca="1">IFERROR(HLOOKUP(C4,Rango_Admin_DailyClas,4,FALSE),"-")</f>
        <v>0</v>
      </c>
      <c r="H4" s="429">
        <f ca="1">IFERROR(VLOOKUP(H$2,Rango_Admin_DailyPred,MATCH($F4,Rango_Admin_DailyPred_Primera,0)+1,0),"-")</f>
        <v>0</v>
      </c>
      <c r="I4" s="429" t="str">
        <f ca="1">IFERROR(VLOOKUP(I$2,Rango_Admin_DailyPred,MATCH($F4,Rango_Admin_DailyPred_Primera,0)+1,0),"-")</f>
        <v>-</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8">
        <v>2</v>
      </c>
      <c r="D5" s="90"/>
      <c r="E5" s="409">
        <f ca="1">IFERROR(HLOOKUP(C5,Rango_Admin_DailyClas,3,FALSE),"-")</f>
        <v>1</v>
      </c>
      <c r="F5" s="448" t="str">
        <f ca="1">IFERROR(HLOOKUP(C5,Rango_Admin_DailyClas,5,FALSE),"-")</f>
        <v>Pegar Valores Nombre J2</v>
      </c>
      <c r="G5" s="22">
        <f ca="1">IFERROR(HLOOKUP(C5,Rango_Admin_DailyClas,4,FALSE),"-")</f>
        <v>0</v>
      </c>
      <c r="H5" s="429">
        <f ca="1">IFERROR(VLOOKUP(H$2,Rango_Admin_DailyPred,MATCH($F5,Rango_Admin_DailyPred_Primera,0)+1,0),"-")</f>
        <v>0</v>
      </c>
      <c r="I5" s="429" t="str">
        <f ca="1">IFERROR(VLOOKUP(I$2,Rango_Admin_DailyPred,MATCH($F5,Rango_Admin_DailyPred_Primera,0)+1,0),"-")</f>
        <v>-</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t="str">
        <f ca="1">IFERROR(HLOOKUP(C6,Rango_Admin_DailyClas,3,FALSE),"-")</f>
        <v>-</v>
      </c>
      <c r="F6" s="448" t="str">
        <f ca="1">IFERROR(HLOOKUP(C6,Rango_Admin_DailyClas,5,FALSE),"-")</f>
        <v>-</v>
      </c>
      <c r="G6" s="22" t="str">
        <f ca="1">IFERROR(HLOOKUP(C6,Rango_Admin_DailyClas,4,FALSE),"-")</f>
        <v>-</v>
      </c>
      <c r="H6" s="429" t="str">
        <f ca="1">IFERROR(VLOOKUP(H$2,Rango_Admin_DailyPred,MATCH($F6,Rango_Admin_DailyPred_Primera,0)+1,0),"-")</f>
        <v>-</v>
      </c>
      <c r="I6" s="429" t="str">
        <f ca="1">IFERROR(VLOOKUP(I$2,Rango_Admin_DailyPred,MATCH($F6,Rango_Admin_DailyPred_Primera,0)+1,0),"-")</f>
        <v>-</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v>
      </c>
      <c r="M5" s="850"/>
      <c r="N5" s="850"/>
      <c r="O5" s="850"/>
      <c r="P5" s="850"/>
      <c r="Q5" s="850"/>
      <c r="R5" s="850"/>
      <c r="S5" s="850"/>
      <c r="T5" s="851"/>
      <c r="U5" s="25"/>
      <c r="V5" s="11">
        <f>ADMIN!$D$5</f>
        <v>2</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11/06/26 (Individual)</v>
      </c>
      <c r="E8" s="455">
        <f ca="1">IFERROR(SUMIF(ADMIN!$G$6:$G$258,$F$5,ADMIN!$F$6:$F$258),"")</f>
        <v>6</v>
      </c>
      <c r="F8" s="456">
        <f ca="1">IFERROR(E8/$B$46,0)</f>
        <v>4.6439628482972135E-3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1</v>
      </c>
      <c r="N8" s="469">
        <f ca="1">IFERROR(COUNTIF(ADMIN!$S$130:INDEX(ADMIN!$S$130:$HL$161,32,ADMIN!$D$5*3-1),Stats!$L8)-SUM(O8:T8),0)</f>
        <v>0</v>
      </c>
      <c r="O8" s="469">
        <f ca="1">COUNTIF(ADMIN!$S$182:INDEX(ADMIN!$S$182:$HL$197,16,ADMIN!$D$5*3-1),Stats!$L8)-SUM(P8:T8)</f>
        <v>1</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2</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0</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6</v>
      </c>
      <c r="F10" s="456">
        <f ca="1">IFERROR(E10/$B$46,0)</f>
        <v>4.6439628482972135E-3</v>
      </c>
      <c r="G10" s="17"/>
      <c r="H10" s="454"/>
      <c r="I10" s="704"/>
      <c r="J10" s="706"/>
      <c r="K10" s="404"/>
      <c r="L10" s="133" t="str">
        <f ca="1">Horarios!Q5</f>
        <v>Argelia</v>
      </c>
      <c r="M10" s="469">
        <f ca="1">ADMIN!$D$5-SUM(N10:T10)</f>
        <v>1</v>
      </c>
      <c r="N10" s="469">
        <f ca="1">IFERROR(COUNTIF(ADMIN!$S$130:INDEX(ADMIN!$S$130:$HL$161,32,ADMIN!$D$5*3-1),Stats!$L10)-SUM(O10:T10),0)</f>
        <v>1</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1286</v>
      </c>
      <c r="F11" s="456">
        <f ca="1">IFERROR(1-F10,0)</f>
        <v>0.99535603715170273</v>
      </c>
      <c r="G11" s="17"/>
      <c r="H11" s="457"/>
      <c r="I11" s="704"/>
      <c r="J11" s="706"/>
      <c r="K11" s="404"/>
      <c r="L11" s="132" t="str">
        <f ca="1">Horarios!Q6</f>
        <v>Argentina</v>
      </c>
      <c r="M11" s="471">
        <f ca="1">ADMIN!$D$5-SUM(N11:T11)</f>
        <v>1</v>
      </c>
      <c r="N11" s="471">
        <f ca="1">IFERROR(COUNTIF(ADMIN!$S$130:INDEX(ADMIN!$S$130:$HL$161,32,ADMIN!$D$5*3-1),Stats!$L11)-SUM(O11:T11),0)</f>
        <v>0</v>
      </c>
      <c r="O11" s="471">
        <f ca="1">COUNTIF(ADMIN!$S$182:INDEX(ADMIN!$S$182:$HL$197,16,ADMIN!$D$5*3-1),Stats!$L11)-SUM(P11:T11)</f>
        <v>0</v>
      </c>
      <c r="P11" s="471">
        <f ca="1">COUNTIF(ADMIN!$S$210:INDEX(ADMIN!$S$210:$HL$217,8,ADMIN!$D$5*3-1),Stats!$L11)-SUM(Q11:T11)</f>
        <v>1</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2</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12</v>
      </c>
      <c r="F12" s="456">
        <f ca="1">IFERROR(E12/B47,0)</f>
        <v>4.6439628482972135E-3</v>
      </c>
      <c r="G12" s="17"/>
      <c r="H12" s="454"/>
      <c r="I12" s="704"/>
      <c r="J12" s="706"/>
      <c r="K12" s="404"/>
      <c r="L12" s="133" t="str">
        <f ca="1">Horarios!Q7</f>
        <v>Australia</v>
      </c>
      <c r="M12" s="469">
        <f ca="1">ADMIN!$D$5-SUM(N12:T12)</f>
        <v>2</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0</v>
      </c>
      <c r="F13" s="456">
        <f ca="1">IFERROR(E13/E12,0)</f>
        <v>0</v>
      </c>
      <c r="G13" s="17"/>
      <c r="H13" s="457"/>
      <c r="I13" s="704"/>
      <c r="J13" s="706"/>
      <c r="K13" s="404"/>
      <c r="L13" s="132" t="str">
        <f ca="1">Horarios!Q8</f>
        <v>Austria</v>
      </c>
      <c r="M13" s="471">
        <f ca="1">ADMIN!$D$5-SUM(N13:T13)</f>
        <v>1</v>
      </c>
      <c r="N13" s="471">
        <f ca="1">IFERROR(COUNTIF(ADMIN!$S$130:INDEX(ADMIN!$S$130:$HL$161,32,ADMIN!$D$5*3-1),Stats!$L13)-SUM(O13:T13),0)</f>
        <v>1</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1</v>
      </c>
      <c r="N14" s="469">
        <f ca="1">IFERROR(COUNTIF(ADMIN!$S$130:INDEX(ADMIN!$S$130:$HL$161,32,ADMIN!$D$5*3-1),Stats!$L14)-SUM(O14:T14),0)</f>
        <v>0</v>
      </c>
      <c r="O14" s="469">
        <f ca="1">COUNTIF(ADMIN!$S$182:INDEX(ADMIN!$S$182:$HL$197,16,ADMIN!$D$5*3-1),Stats!$L14)-SUM(P14:T14)</f>
        <v>0</v>
      </c>
      <c r="P14" s="469">
        <f ca="1">COUNTIF(ADMIN!$S$210:INDEX(ADMIN!$S$210:$HL$217,8,ADMIN!$D$5*3-1),Stats!$L14)-SUM(Q14:T14)</f>
        <v>1</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0</v>
      </c>
      <c r="F15" s="456">
        <f ca="1">IFERROR(E15/ADMIN!$D$5,0)</f>
        <v>0</v>
      </c>
      <c r="G15" s="17"/>
      <c r="H15" s="457"/>
      <c r="I15" s="704"/>
      <c r="J15" s="706"/>
      <c r="K15" s="404"/>
      <c r="L15" s="132" t="str">
        <f ca="1">Horarios!Q10</f>
        <v>Bosnia y Herzegovina</v>
      </c>
      <c r="M15" s="471">
        <f ca="1">ADMIN!$D$5-SUM(N15:T15)</f>
        <v>1</v>
      </c>
      <c r="N15" s="471">
        <f ca="1">IFERROR(COUNTIF(ADMIN!$S$130:INDEX(ADMIN!$S$130:$HL$161,32,ADMIN!$D$5*3-1),Stats!$L15)-SUM(O15:T15),0)</f>
        <v>0</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1</v>
      </c>
      <c r="G16" s="17"/>
      <c r="H16" s="454"/>
      <c r="I16" s="704"/>
      <c r="J16" s="706"/>
      <c r="K16" s="404"/>
      <c r="L16" s="133" t="str">
        <f ca="1">Horarios!Q11</f>
        <v>Brasil</v>
      </c>
      <c r="M16" s="469">
        <f ca="1">ADMIN!$D$5-SUM(N16:T16)</f>
        <v>1</v>
      </c>
      <c r="N16" s="469">
        <f ca="1">IFERROR(COUNTIF(ADMIN!$S$130:INDEX(ADMIN!$S$130:$HL$161,32,ADMIN!$D$5*3-1),Stats!$L16)-SUM(O16:T16),0)</f>
        <v>0</v>
      </c>
      <c r="O16" s="469">
        <f ca="1">COUNTIF(ADMIN!$S$182:INDEX(ADMIN!$S$182:$HL$197,16,ADMIN!$D$5*3-1),Stats!$L16)-SUM(P16:T16)</f>
        <v>0</v>
      </c>
      <c r="P16" s="469">
        <f ca="1">COUNTIF(ADMIN!$S$210:INDEX(ADMIN!$S$210:$HL$217,8,ADMIN!$D$5*3-1),Stats!$L16)-SUM(Q16:T16)</f>
        <v>0</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2</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0</v>
      </c>
      <c r="F17" s="460"/>
      <c r="G17" s="17"/>
      <c r="H17" s="457"/>
      <c r="I17" s="704"/>
      <c r="J17" s="707"/>
      <c r="K17" s="404"/>
      <c r="L17" s="132" t="str">
        <f ca="1">Horarios!Q12</f>
        <v>Cabo Verde</v>
      </c>
      <c r="M17" s="471">
        <f ca="1">ADMIN!$D$5-SUM(N17:T17)</f>
        <v>2</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1</v>
      </c>
      <c r="N18" s="469">
        <f ca="1">IFERROR(COUNTIF(ADMIN!$S$130:INDEX(ADMIN!$S$130:$HL$161,32,ADMIN!$D$5*3-1),Stats!$L18)-SUM(O18:T18),0)</f>
        <v>1</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2</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1</v>
      </c>
      <c r="N20" s="469">
        <f ca="1">IFERROR(COUNTIF(ADMIN!$S$130:INDEX(ADMIN!$S$130:$HL$161,32,ADMIN!$D$5*3-1),Stats!$L20)-SUM(O20:T20),0)</f>
        <v>0</v>
      </c>
      <c r="O20" s="469">
        <f ca="1">COUNTIF(ADMIN!$S$182:INDEX(ADMIN!$S$182:$HL$197,16,ADMIN!$D$5*3-1),Stats!$L20)-SUM(P20:T20)</f>
        <v>1</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1</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6</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0</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1</v>
      </c>
      <c r="N23" s="471">
        <f ca="1">IFERROR(COUNTIF(ADMIN!$S$130:INDEX(ADMIN!$S$130:$HL$161,32,ADMIN!$D$5*3-1),Stats!$L23)-SUM(O23:T23),0)</f>
        <v>1</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12</v>
      </c>
      <c r="C24" s="17"/>
      <c r="D24" s="17"/>
      <c r="E24" s="17"/>
      <c r="F24" s="17"/>
      <c r="G24" s="17"/>
      <c r="H24" s="454"/>
      <c r="I24" s="704"/>
      <c r="J24" s="475"/>
      <c r="K24" s="475"/>
      <c r="L24" s="133" t="str">
        <f ca="1">Horarios!Q19</f>
        <v>Curazao</v>
      </c>
      <c r="M24" s="469">
        <f ca="1">ADMIN!$D$5-SUM(N24:T24)</f>
        <v>2</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1</v>
      </c>
      <c r="N25" s="471">
        <f ca="1">IFERROR(COUNTIF(ADMIN!$S$130:INDEX(ADMIN!$S$130:$HL$161,32,ADMIN!$D$5*3-1),Stats!$L25)-SUM(O25:T25),0)</f>
        <v>0</v>
      </c>
      <c r="O25" s="471">
        <f ca="1">COUNTIF(ADMIN!$S$182:INDEX(ADMIN!$S$182:$HL$197,16,ADMIN!$D$5*3-1),Stats!$L25)-SUM(P25:T25)</f>
        <v>1</v>
      </c>
      <c r="P25" s="471">
        <f ca="1">COUNTIF(ADMIN!$S$210:INDEX(ADMIN!$S$210:$HL$217,8,ADMIN!$D$5*3-1),Stats!$L25)-SUM(Q25:T25)</f>
        <v>0</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30</v>
      </c>
      <c r="C26" s="17"/>
      <c r="D26" s="17"/>
      <c r="E26" s="17"/>
      <c r="F26" s="17"/>
      <c r="G26" s="17"/>
      <c r="H26" s="454"/>
      <c r="I26" s="704"/>
      <c r="J26" s="475"/>
      <c r="K26" s="475"/>
      <c r="L26" s="133" t="str">
        <f ca="1">Horarios!Q21</f>
        <v>Egipto</v>
      </c>
      <c r="M26" s="469">
        <f ca="1">ADMIN!$D$5-SUM(N26:T26)</f>
        <v>2</v>
      </c>
      <c r="N26" s="469">
        <f ca="1">IFERROR(COUNTIF(ADMIN!$S$130:INDEX(ADMIN!$S$130:$HL$161,32,ADMIN!$D$5*3-1),Stats!$L26)-SUM(O26:T26),0)</f>
        <v>0</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18</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1</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1</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0</v>
      </c>
      <c r="T28" s="470">
        <f ca="1">IFERROR(COUNTIF(ADMIN!$S$250:INDEX(ADMIN!$S$250:$HL$250,1,ADMIN!$D$5*3-1),Stats!$L28),0)</f>
        <v>0</v>
      </c>
      <c r="U28" s="25"/>
      <c r="V28" s="11">
        <f t="shared" ca="1" si="0"/>
        <v>2</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30</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0</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18</v>
      </c>
      <c r="C30" s="17"/>
      <c r="D30" s="17"/>
      <c r="E30" s="17"/>
      <c r="F30" s="17"/>
      <c r="G30" s="17"/>
      <c r="H30" s="454"/>
      <c r="I30" s="704"/>
      <c r="J30" s="475"/>
      <c r="K30" s="475"/>
      <c r="L30" s="133" t="str">
        <f ca="1">Horarios!Q25</f>
        <v>Francia</v>
      </c>
      <c r="M30" s="469">
        <f ca="1">ADMIN!$D$5-SUM(N30:T30)</f>
        <v>1</v>
      </c>
      <c r="N30" s="469">
        <f ca="1">IFERROR(COUNTIF(ADMIN!$S$130:INDEX(ADMIN!$S$130:$HL$161,32,ADMIN!$D$5*3-1),Stats!$L30)-SUM(O30:T30),0)</f>
        <v>0</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0</v>
      </c>
      <c r="S30" s="469">
        <f ca="1">IFERROR(COUNTIF(ADMIN!$S$251:INDEX(ADMIN!$S$251:$HL$251,1,ADMIN!$D$5*3-1),Stats!$L30),0)</f>
        <v>1</v>
      </c>
      <c r="T30" s="470">
        <f ca="1">IFERROR(COUNTIF(ADMIN!$S$250:INDEX(ADMIN!$S$250:$HL$250,1,ADMIN!$D$5*3-1),Stats!$L30),0)</f>
        <v>0</v>
      </c>
      <c r="U30" s="25"/>
      <c r="V30" s="11">
        <f t="shared" ca="1" si="0"/>
        <v>2</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2</v>
      </c>
      <c r="N31" s="471">
        <f ca="1">IFERROR(COUNTIF(ADMIN!$S$130:INDEX(ADMIN!$S$130:$HL$161,32,ADMIN!$D$5*3-1),Stats!$L31)-SUM(O31:T31),0)</f>
        <v>0</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30</v>
      </c>
      <c r="C32" s="17"/>
      <c r="D32" s="17"/>
      <c r="E32" s="17"/>
      <c r="F32" s="17"/>
      <c r="G32" s="17"/>
      <c r="H32" s="17"/>
      <c r="I32" s="17"/>
      <c r="J32" s="475"/>
      <c r="K32" s="475"/>
      <c r="L32" s="133" t="str">
        <f ca="1">Horarios!Q27</f>
        <v>Haití</v>
      </c>
      <c r="M32" s="469">
        <f ca="1">ADMIN!$D$5-SUM(N32:T32)</f>
        <v>2</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18</v>
      </c>
      <c r="C33" s="17"/>
      <c r="D33" s="17"/>
      <c r="E33" s="17"/>
      <c r="F33" s="17"/>
      <c r="G33" s="17"/>
      <c r="H33" s="17"/>
      <c r="I33" s="17"/>
      <c r="J33" s="475"/>
      <c r="K33" s="475"/>
      <c r="L33" s="132" t="str">
        <f ca="1">Horarios!Q28</f>
        <v>Inglaterra</v>
      </c>
      <c r="M33" s="471">
        <f ca="1">ADMIN!$D$5-SUM(N33:T33)</f>
        <v>1</v>
      </c>
      <c r="N33" s="471">
        <f ca="1">IFERROR(COUNTIF(ADMIN!$S$130:INDEX(ADMIN!$S$130:$HL$161,32,ADMIN!$D$5*3-1),Stats!$L33)-SUM(O33:T33),0)</f>
        <v>0</v>
      </c>
      <c r="O33" s="471">
        <f ca="1">COUNTIF(ADMIN!$S$182:INDEX(ADMIN!$S$182:$HL$197,16,ADMIN!$D$5*3-1),Stats!$L33)-SUM(P33:T33)</f>
        <v>0</v>
      </c>
      <c r="P33" s="471">
        <f ca="1">COUNTIF(ADMIN!$S$210:INDEX(ADMIN!$S$210:$HL$217,8,ADMIN!$D$5*3-1),Stats!$L33)-SUM(Q33:T33)</f>
        <v>1</v>
      </c>
      <c r="Q33" s="471">
        <f ca="1">COUNTIF(ADMIN!$S$226:INDEX(ADMIN!$S$226:$HL$229,4,ADMIN!$D$5*3-1),Stats!$L33)-SUM(R33:T33)</f>
        <v>0</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2</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43</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2</v>
      </c>
      <c r="N35" s="471">
        <f ca="1">IFERROR(COUNTIF(ADMIN!$S$130:INDEX(ADMIN!$S$130:$HL$161,32,ADMIN!$D$5*3-1),Stats!$L35)-SUM(O35:T35),0)</f>
        <v>0</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50</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1</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100</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50</v>
      </c>
      <c r="C38" s="17"/>
      <c r="D38" s="25"/>
      <c r="E38" s="25"/>
      <c r="F38" s="25"/>
      <c r="G38" s="17"/>
      <c r="H38" s="17"/>
      <c r="I38" s="17"/>
      <c r="J38" s="25"/>
      <c r="K38" s="25"/>
      <c r="L38" s="133" t="str">
        <f ca="1">Horarios!Q33</f>
        <v>Marruecos</v>
      </c>
      <c r="M38" s="469">
        <f ca="1">ADMIN!$D$5-SUM(N38:T38)</f>
        <v>1</v>
      </c>
      <c r="N38" s="469">
        <f ca="1">IFERROR(COUNTIF(ADMIN!$S$130:INDEX(ADMIN!$S$130:$HL$161,32,ADMIN!$D$5*3-1),Stats!$L38)-SUM(O38:T38),0)</f>
        <v>1</v>
      </c>
      <c r="O38" s="469">
        <f ca="1">COUNTIF(ADMIN!$S$182:INDEX(ADMIN!$S$182:$HL$197,16,ADMIN!$D$5*3-1),Stats!$L38)-SUM(P38:T38)</f>
        <v>0</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2</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75</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0</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v>
      </c>
      <c r="O40" s="469">
        <f ca="1">COUNTIF(ADMIN!$S$182:INDEX(ADMIN!$S$182:$HL$197,16,ADMIN!$D$5*3-1),Stats!$L40)-SUM(P40:T40)</f>
        <v>0</v>
      </c>
      <c r="P40" s="469">
        <f ca="1">COUNTIF(ADMIN!$S$210:INDEX(ADMIN!$S$210:$HL$217,8,ADMIN!$D$5*3-1),Stats!$L40)-SUM(Q40:T40)</f>
        <v>0</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1</v>
      </c>
      <c r="N42" s="469">
        <f ca="1">IFERROR(COUNTIF(ADMIN!$S$130:INDEX(ADMIN!$S$130:$HL$161,32,ADMIN!$D$5*3-1),Stats!$L42)-SUM(O42:T42),0)</f>
        <v>0</v>
      </c>
      <c r="O42" s="469">
        <f ca="1">COUNTIF(ADMIN!$S$182:INDEX(ADMIN!$S$182:$HL$197,16,ADMIN!$D$5*3-1),Stats!$L42)-SUM(P42:T42)</f>
        <v>0</v>
      </c>
      <c r="P42" s="469">
        <f ca="1">COUNTIF(ADMIN!$S$210:INDEX(ADMIN!$S$210:$HL$217,8,ADMIN!$D$5*3-1),Stats!$L42)-SUM(Q42:T42)</f>
        <v>1</v>
      </c>
      <c r="Q42" s="469">
        <f ca="1">COUNTIF(ADMIN!$S$226:INDEX(ADMIN!$S$226:$HL$229,4,ADMIN!$D$5*3-1),Stats!$L42)-SUM(R42:T42)</f>
        <v>0</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2</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1</v>
      </c>
      <c r="N44" s="469">
        <f ca="1">IFERROR(COUNTIF(ADMIN!$S$130:INDEX(ADMIN!$S$130:$HL$161,32,ADMIN!$D$5*3-1),Stats!$L44)-SUM(O44:T44),0)</f>
        <v>0</v>
      </c>
      <c r="O44" s="469">
        <f ca="1">COUNTIF(ADMIN!$S$182:INDEX(ADMIN!$S$182:$HL$197,16,ADMIN!$D$5*3-1),Stats!$L44)-SUM(P44:T44)</f>
        <v>1</v>
      </c>
      <c r="P44" s="469">
        <f ca="1">COUNTIF(ADMIN!$S$210:INDEX(ADMIN!$S$210:$HL$217,8,ADMIN!$D$5*3-1),Stats!$L44)-SUM(Q44:T44)</f>
        <v>0</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0 goles en el Mundial de Clubes sin contar tandas de penalti</v>
      </c>
      <c r="F45" s="453"/>
      <c r="G45" s="17"/>
      <c r="H45" s="17"/>
      <c r="I45" s="17"/>
      <c r="J45" s="25"/>
      <c r="K45" s="25"/>
      <c r="L45" s="132" t="str">
        <f ca="1">Horarios!Q40</f>
        <v>Portugal</v>
      </c>
      <c r="M45" s="471">
        <f ca="1">ADMIN!$D$5-SUM(N45:T45)</f>
        <v>1</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1</v>
      </c>
      <c r="U45" s="25"/>
      <c r="V45" s="11">
        <f t="shared" ca="1" si="0"/>
        <v>2</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2584</v>
      </c>
      <c r="C47" s="17"/>
      <c r="D47" s="453"/>
      <c r="E47" s="453"/>
      <c r="F47" s="453"/>
      <c r="G47" s="17"/>
      <c r="H47" s="17"/>
      <c r="I47" s="17"/>
      <c r="J47" s="25"/>
      <c r="K47" s="25"/>
      <c r="L47" s="132" t="str">
        <f ca="1">Horarios!Q42</f>
        <v>República Checa</v>
      </c>
      <c r="M47" s="471">
        <f ca="1">ADMIN!$D$5-SUM(N47:T47)</f>
        <v>1</v>
      </c>
      <c r="N47" s="471">
        <f ca="1">IFERROR(COUNTIF(ADMIN!$S$130:INDEX(ADMIN!$S$130:$HL$161,32,ADMIN!$D$5*3-1),Stats!$L47)-SUM(O47:T47),0)</f>
        <v>1</v>
      </c>
      <c r="O47" s="471">
        <f ca="1">COUNTIF(ADMIN!$S$182:INDEX(ADMIN!$S$182:$HL$197,16,ADMIN!$D$5*3-1),Stats!$L47)-SUM(P47:T47)</f>
        <v>0</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1</v>
      </c>
      <c r="N48" s="469">
        <f ca="1">IFERROR(COUNTIF(ADMIN!$S$130:INDEX(ADMIN!$S$130:$HL$161,32,ADMIN!$D$5*3-1),Stats!$L48)-SUM(O48:T48),0)</f>
        <v>1</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1</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0</v>
      </c>
      <c r="O51" s="471">
        <f ca="1">COUNTIF(ADMIN!$S$182:INDEX(ADMIN!$S$182:$HL$197,16,ADMIN!$D$5*3-1),Stats!$L51)-SUM(P51:T51)</f>
        <v>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1</v>
      </c>
      <c r="N53" s="471">
        <f ca="1">IFERROR(COUNTIF(ADMIN!$S$130:INDEX(ADMIN!$S$130:$HL$161,32,ADMIN!$D$5*3-1),Stats!$L53)-SUM(O53:T53),0)</f>
        <v>1</v>
      </c>
      <c r="O53" s="471">
        <f ca="1">COUNTIF(ADMIN!$S$182:INDEX(ADMIN!$S$182:$HL$197,16,ADMIN!$D$5*3-1),Stats!$L53)-SUM(P53:T53)</f>
        <v>0</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1</v>
      </c>
      <c r="N54" s="469">
        <f ca="1">IFERROR(COUNTIF(ADMIN!$S$130:INDEX(ADMIN!$S$130:$HL$161,32,ADMIN!$D$5*3-1),Stats!$L54)-SUM(O54:T54),0)</f>
        <v>1</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t="str">
        <f>IF(ISBLANK(INDEX(WORLDCUP!$AC$4:$AC$147,MATCH(A3,WORLDCUP!$AH$4:$AH$147,0))),"",INDEX(WORLDCUP!$AC$4:$AC$147,MATCH(A3,WORLDCUP!$AH$4:$AH$147,0)))</f>
        <v/>
      </c>
      <c r="E3" s="503" t="str">
        <f>IF(ISBLANK(INDEX(WORLDCUP!$AD$4:$AD$147,MATCH(A3,WORLDCUP!$AH$4:$AH$147,0))),"",INDEX(WORLDCUP!$AD$4:$AD$147,MATCH(A3,WORLDCUP!$AH$4:$AH$147,0)))</f>
        <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t="str">
        <f>IF(ISBLANK(INDEX(WORLDCUP!$AC$4:$AC$147,MATCH(A4,WORLDCUP!$AH$4:$AH$147,0))),"",INDEX(WORLDCUP!$AC$4:$AC$147,MATCH(A4,WORLDCUP!$AH$4:$AH$147,0)))</f>
        <v/>
      </c>
      <c r="E4" s="530" t="str">
        <f>IF(ISBLANK(INDEX(WORLDCUP!$AD$4:$AD$147,MATCH(A4,WORLDCUP!$AH$4:$AH$147,0))),"",INDEX(WORLDCUP!$AD$4:$AD$147,MATCH(A4,WORLDCUP!$AH$4:$AH$147,0)))</f>
        <v/>
      </c>
      <c r="F4" s="531" t="str">
        <f ca="1">+MID(INDEX(WORLDCUP!$AF$4:$AF$147,MATCH(A4,WORLDCUP!$AH$4:$AH$147,0)),1,3)</f>
        <v>Rep</v>
      </c>
      <c r="G4" s="532">
        <v>1</v>
      </c>
      <c r="H4" s="533" t="str">
        <f ca="1">+MID(INDEX(WORLDCUP!$AL$6:$AL$97,MATCH(L4,WORLDCUP!$AI$6:$AI$97,0)),1,3)</f>
        <v>Méx</v>
      </c>
      <c r="I4" s="534">
        <f ca="1">+INDEX(WORLDCUP!$AM$6:$AM$97,MATCH(L4,WORLDCUP!$AI$6:$AI$97,0))</f>
        <v>0</v>
      </c>
      <c r="J4" s="535">
        <f ca="1">+INDEX(WORLDCUP!$AT$6:$AT$97,MATCH(L4,WORLDCUP!$AI$6:$AI$97,0))</f>
        <v>0</v>
      </c>
      <c r="K4" s="536" t="str">
        <f ca="1">+INDEX(WORLDCUP!$AR$6:$AR$97,MATCH(L4,WORLDCUP!$AI$6:$AI$97,0))&amp;"-"&amp;INDEX(WORLDCUP!$AS$6:$AS$97,MATCH(L4,WORLDCUP!$AI$6:$AI$97,0))</f>
        <v>0-0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Sud</v>
      </c>
      <c r="I5" s="223">
        <f ca="1">+INDEX(WORLDCUP!$AM$6:$AM$97,MATCH(L5,WORLDCUP!$AI$6:$AI$97,0))</f>
        <v>0</v>
      </c>
      <c r="J5" s="224">
        <f ca="1">+INDEX(WORLDCUP!$AT$6:$AT$97,MATCH(L5,WORLDCUP!$AI$6:$AI$97,0))</f>
        <v>0</v>
      </c>
      <c r="K5" s="225" t="str">
        <f ca="1">+INDEX(WORLDCUP!$AR$6:$AR$97,MATCH(L5,WORLDCUP!$AI$6:$AI$97,0))&amp;"-"&amp;INDEX(WORLDCUP!$AS$6:$AS$97,MATCH(L5,WORLDCUP!$AI$6:$AI$97,0))</f>
        <v>0-0</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Cor</v>
      </c>
      <c r="I6" s="223">
        <f ca="1">+INDEX(WORLDCUP!$AM$6:$AM$97,MATCH(L6,WORLDCUP!$AI$6:$AI$97,0))</f>
        <v>0</v>
      </c>
      <c r="J6" s="224">
        <f ca="1">+INDEX(WORLDCUP!$AT$6:$AT$97,MATCH(L6,WORLDCUP!$AI$6:$AI$97,0))</f>
        <v>0</v>
      </c>
      <c r="K6" s="225" t="str">
        <f ca="1">+INDEX(WORLDCUP!$AR$6:$AR$97,MATCH(L6,WORLDCUP!$AI$6:$AI$97,0))&amp;"-"&amp;INDEX(WORLDCUP!$AS$6:$AS$97,MATCH(L6,WORLDCUP!$AI$6:$AI$97,0))</f>
        <v>0-0</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Rep</v>
      </c>
      <c r="I7" s="562">
        <f ca="1">+INDEX(WORLDCUP!$AM$6:$AM$97,MATCH(L7,WORLDCUP!$AI$6:$AI$97,0))</f>
        <v>0</v>
      </c>
      <c r="J7" s="563">
        <f ca="1">+INDEX(WORLDCUP!$AT$6:$AT$97,MATCH(L7,WORLDCUP!$AI$6:$AI$97,0))</f>
        <v>0</v>
      </c>
      <c r="K7" s="564" t="str">
        <f ca="1">+INDEX(WORLDCUP!$AR$6:$AR$97,MATCH(L7,WORLDCUP!$AI$6:$AI$97,0))&amp;"-"&amp;INDEX(WORLDCUP!$AS$6:$AS$97,MATCH(L7,WORLDCUP!$AI$6:$AI$97,0))</f>
        <v>0-0</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46201</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30">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1">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2">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3">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4">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5">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6">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7">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8">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9">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40">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1">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2">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3">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4">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5">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6">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7">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8">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9">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50">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1">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2">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cm="1">
        <f t="array" aca="1" ref="Q57" ca="1">IFERROR(INDEX($Q$2:$Q$25,SMALL(IF(($Q$2:$Q$25)=0,"",ROW($Q$2:$Q$25)),ROW(Q18))-MIN(ROW($Q$2:$Q$25))+1),"")</f>
        <v>46201</v>
      </c>
      <c r="R57" s="790">
        <f ca="1"/>
        <v>46201</v>
      </c>
      <c r="T57" s="723"/>
    </row>
    <row r="58" spans="1:20" ht="15" customHeight="1">
      <c r="O58" s="722"/>
      <c r="Q58" s="790" t="str" cm="1">
        <f t="array" aca="1" ref="Q58" ca="1">IFERROR(INDEX($Q$2:$Q$25,SMALL(IF(($Q$2:$Q$25)=0,"",ROW($Q$2:$Q$25)),ROW(Q19))-MIN(ROW($Q$2:$Q$25))+1),"")</f>
        <v>Clasificados Para Dieciseisavos</v>
      </c>
      <c r="R58" s="786" t="str">
        <f ca="1"/>
        <v>Clasificados Para Dieciseisavos</v>
      </c>
      <c r="T58" s="723"/>
    </row>
    <row r="59" spans="1:20" ht="15" customHeight="1">
      <c r="O59" s="722"/>
      <c r="Q59" s="790" t="str" cm="1">
        <f t="array" aca="1" ref="Q59" ca="1">IFERROR(INDEX($Q$2:$Q$25,SMALL(IF(($Q$2:$Q$25)=0,"",ROW($Q$2:$Q$25)),ROW(Q20))-MIN(ROW($Q$2:$Q$25))+1),"")</f>
        <v>Dieciseisavos de final</v>
      </c>
      <c r="R59" s="786" t="str">
        <f ca="1"/>
        <v>Dieciseisavos de final</v>
      </c>
      <c r="T59" s="723"/>
    </row>
    <row r="60" spans="1:20" ht="15" customHeight="1">
      <c r="O60" s="722"/>
      <c r="Q60" s="790" t="str" cm="1">
        <f t="array" aca="1" ref="Q60" ca="1">IFERROR(INDEX($Q$2:$Q$25,SMALL(IF(($Q$2:$Q$25)=0,"",ROW($Q$2:$Q$25)),ROW(Q21))-MIN(ROW($Q$2:$Q$25))+1),"")</f>
        <v>Octavos de final</v>
      </c>
      <c r="R60" s="786" t="str">
        <f ca="1"/>
        <v>Octavos de final</v>
      </c>
      <c r="T60" s="723"/>
    </row>
    <row r="61" spans="1:20" ht="15" customHeight="1">
      <c r="O61" s="722"/>
      <c r="Q61" s="790" t="str" cm="1">
        <f t="array" aca="1" ref="Q61" ca="1">IFERROR(INDEX($Q$2:$Q$25,SMALL(IF(($Q$2:$Q$25)=0,"",ROW($Q$2:$Q$25)),ROW(Q22))-MIN(ROW($Q$2:$Q$25))+1),"")</f>
        <v>Cuartos de final</v>
      </c>
      <c r="R61" s="786" t="str">
        <f ca="1"/>
        <v>Cuartos de final</v>
      </c>
    </row>
    <row r="62" spans="1:20" ht="15" customHeight="1">
      <c r="O62" s="722"/>
      <c r="Q62" s="790" t="str" cm="1">
        <f t="array" aca="1" ref="Q62" ca="1">IFERROR(INDEX($Q$2:$Q$25,SMALL(IF(($Q$2:$Q$25)=0,"",ROW($Q$2:$Q$25)),ROW(Q23))-MIN(ROW($Q$2:$Q$25))+1),"")</f>
        <v>Semifinales</v>
      </c>
      <c r="R62" s="786" t="str">
        <f ca="1"/>
        <v>Semifinales</v>
      </c>
    </row>
    <row r="63" spans="1:20" ht="15" customHeight="1">
      <c r="O63" s="722"/>
      <c r="Q63" s="790" t="str" cm="1">
        <f t="array" aca="1" ref="Q63" ca="1">IFERROR(INDEX($Q$2:$Q$25,SMALL(IF(($Q$2:$Q$25)=0,"",ROW($Q$2:$Q$25)),ROW(Q24))-MIN(ROW($Q$2:$Q$25))+1),"")</f>
        <v>3-4 &amp; Final</v>
      </c>
      <c r="R63" s="786" t="str">
        <f ca="1"/>
        <v>3-4 &amp; Final</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21</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46184.875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46185.166666666664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46191.75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46192.125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46198.125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46198.125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46185.875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46186.875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46191.875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46192</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46197.875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46197.875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46187</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46187.125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46193</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46193.104166666664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46198</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46198</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46186.125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46187.25</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46192.875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46193.208333333336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46199.166666666664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46199.166666666664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46187.791666666664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46188.041666666664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46193.916666666664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46194.083333333336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46198.916666666664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46198.916666666664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46187.916666666664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46188.166666666664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46193.791666666664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46194.25</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46199.041666666664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46199.041666666664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46188.875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46189.125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46194.875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46195.125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46200.208333333336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46200.208333333336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46188.75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46189</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46194.75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46200.083333333336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46200.083333333336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46189.875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46190</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46195.958333333336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46196.083333333336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46199.875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46199.875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46190.125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46190.25</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46195.791666666664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46196.208333333336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46201.166666666664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46201.166666666664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46190.791666666664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46191.166666666664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46196.791666666664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46197.166666666664</v>
      </c>
    </row>
    <row r="88" spans="1:36">
      <c r="A88" s="710">
        <v>46200.8125</v>
      </c>
      <c r="C88" s="710">
        <f t="shared" ca="1" si="34"/>
        <v>46201.0625</v>
      </c>
    </row>
    <row r="89" spans="1:36">
      <c r="A89" s="710">
        <v>46200.8125</v>
      </c>
      <c r="C89" s="710">
        <f t="shared" ca="1" si="34"/>
        <v>46201.0625</v>
      </c>
    </row>
    <row r="90" spans="1:36">
      <c r="C90" s="710"/>
    </row>
    <row r="91" spans="1:36">
      <c r="A91" s="5" t="s">
        <v>489</v>
      </c>
      <c r="C91" s="710"/>
    </row>
    <row r="92" spans="1:36">
      <c r="A92" s="710">
        <v>46190.666666666664</v>
      </c>
      <c r="C92" s="710">
        <f t="shared" ref="C92:C97" ca="1" si="35">A92+INDEX($V$3:$V$86,MATCH($C$3,$P$3:$P$86,0))*INDEX($W$3:$W$86,MATCH($C$3,$P$3:$P$86,0))</f>
        <v>46190.916666666664</v>
      </c>
    </row>
    <row r="93" spans="1:36">
      <c r="A93" s="710">
        <v>46190.791666666664</v>
      </c>
      <c r="C93" s="710">
        <f t="shared" ca="1" si="35"/>
        <v>46191.041666666664</v>
      </c>
    </row>
    <row r="94" spans="1:36">
      <c r="A94" s="710">
        <v>46196.666666666664</v>
      </c>
      <c r="C94" s="710">
        <f t="shared" ca="1" si="35"/>
        <v>46196.916666666664</v>
      </c>
    </row>
    <row r="95" spans="1:36">
      <c r="A95" s="710">
        <v>46196.791666666664</v>
      </c>
      <c r="C95" s="710">
        <f t="shared" ca="1" si="35"/>
        <v>46197.041666666664</v>
      </c>
    </row>
    <row r="96" spans="1:36">
      <c r="A96" s="710">
        <v>46200.708333333336</v>
      </c>
      <c r="C96" s="710">
        <f t="shared" ca="1" si="35"/>
        <v>46200.958333333336</v>
      </c>
    </row>
    <row r="97" spans="1:3">
      <c r="A97" s="710">
        <v>46200.708333333336</v>
      </c>
      <c r="C97" s="710">
        <f t="shared" ca="1" si="35"/>
        <v>46200.958333333336</v>
      </c>
    </row>
    <row r="100" spans="1:3">
      <c r="A100" s="714" t="s">
        <v>490</v>
      </c>
      <c r="C100" s="710"/>
    </row>
    <row r="101" spans="1:3">
      <c r="A101" s="710">
        <v>46201.625</v>
      </c>
      <c r="C101" s="710">
        <f t="shared" ref="C101:C116" ca="1" si="36">A101+INDEX($V$3:$V$86,MATCH($C$3,$P$3:$P$86,0))*INDEX($W$3:$W$86,MATCH($C$3,$P$3:$P$86,0))</f>
        <v>46201.875</v>
      </c>
    </row>
    <row r="102" spans="1:3">
      <c r="A102" s="710">
        <v>46202.541666666664</v>
      </c>
      <c r="C102" s="710">
        <f t="shared" ca="1" si="36"/>
        <v>46202.791666666664</v>
      </c>
    </row>
    <row r="103" spans="1:3">
      <c r="A103" s="710">
        <v>46202.6875</v>
      </c>
      <c r="C103" s="710">
        <f t="shared" ca="1" si="36"/>
        <v>46202.9375</v>
      </c>
    </row>
    <row r="104" spans="1:3">
      <c r="A104" s="710">
        <v>46202.875</v>
      </c>
      <c r="C104" s="710">
        <f t="shared" ca="1" si="36"/>
        <v>46203.125</v>
      </c>
    </row>
    <row r="105" spans="1:3">
      <c r="A105" s="710">
        <v>46203.541666666664</v>
      </c>
      <c r="C105" s="710">
        <f t="shared" ca="1" si="36"/>
        <v>46203.791666666664</v>
      </c>
    </row>
    <row r="106" spans="1:3">
      <c r="A106" s="710">
        <v>46203.708333333336</v>
      </c>
      <c r="C106" s="710">
        <f t="shared" ca="1" si="36"/>
        <v>46203.958333333336</v>
      </c>
    </row>
    <row r="107" spans="1:3">
      <c r="A107" s="710">
        <v>46203.875</v>
      </c>
      <c r="C107" s="710">
        <f t="shared" ca="1" si="36"/>
        <v>46204.125</v>
      </c>
    </row>
    <row r="108" spans="1:3">
      <c r="A108" s="710">
        <v>46204.5</v>
      </c>
      <c r="C108" s="710">
        <f t="shared" ca="1" si="36"/>
        <v>46204.75</v>
      </c>
    </row>
    <row r="109" spans="1:3">
      <c r="A109" s="710">
        <v>46204.666666666664</v>
      </c>
      <c r="C109" s="710">
        <f t="shared" ca="1" si="36"/>
        <v>46204.916666666664</v>
      </c>
    </row>
    <row r="110" spans="1:3">
      <c r="A110" s="710">
        <v>46204.833333333336</v>
      </c>
      <c r="C110" s="710">
        <f t="shared" ca="1" si="36"/>
        <v>46205.083333333336</v>
      </c>
    </row>
    <row r="111" spans="1:3">
      <c r="A111" s="710">
        <v>46205.625</v>
      </c>
      <c r="C111" s="710">
        <f t="shared" ca="1" si="36"/>
        <v>46205.875</v>
      </c>
    </row>
    <row r="112" spans="1:3">
      <c r="A112" s="710">
        <v>46205.791666666664</v>
      </c>
      <c r="C112" s="710">
        <f t="shared" ca="1" si="36"/>
        <v>46206.041666666664</v>
      </c>
    </row>
    <row r="113" spans="1:3">
      <c r="A113" s="710">
        <v>46205.958333333336</v>
      </c>
      <c r="C113" s="710">
        <f t="shared" ca="1" si="36"/>
        <v>46206.208333333336</v>
      </c>
    </row>
    <row r="114" spans="1:3">
      <c r="A114" s="710">
        <v>46206.583333333336</v>
      </c>
      <c r="C114" s="710">
        <f t="shared" ca="1" si="36"/>
        <v>46206.833333333336</v>
      </c>
    </row>
    <row r="115" spans="1:3">
      <c r="A115" s="710">
        <v>46206.75</v>
      </c>
      <c r="C115" s="710">
        <f t="shared" ca="1" si="36"/>
        <v>46207</v>
      </c>
    </row>
    <row r="116" spans="1:3">
      <c r="A116" s="710">
        <v>46206.895833333336</v>
      </c>
      <c r="C116" s="710">
        <f t="shared" ca="1" si="36"/>
        <v>46207.145833333336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46207.791666666664</v>
      </c>
    </row>
    <row r="121" spans="1:3">
      <c r="A121" s="710">
        <v>46207.708333333336</v>
      </c>
      <c r="C121" s="710">
        <f t="shared" ca="1" si="37"/>
        <v>46207.958333333336</v>
      </c>
    </row>
    <row r="122" spans="1:3">
      <c r="A122" s="710">
        <v>46208.666666666664</v>
      </c>
      <c r="C122" s="710">
        <f t="shared" ca="1" si="37"/>
        <v>46208.916666666664</v>
      </c>
    </row>
    <row r="123" spans="1:3">
      <c r="A123" s="710">
        <v>46208.833333333336</v>
      </c>
      <c r="C123" s="710">
        <f t="shared" ca="1" si="37"/>
        <v>46209.083333333336</v>
      </c>
    </row>
    <row r="124" spans="1:3">
      <c r="A124" s="710">
        <v>46209.625</v>
      </c>
      <c r="C124" s="710">
        <f t="shared" ca="1" si="37"/>
        <v>46209.875</v>
      </c>
    </row>
    <row r="125" spans="1:3">
      <c r="A125" s="710">
        <v>46209.833333333336</v>
      </c>
      <c r="C125" s="710">
        <f t="shared" ca="1" si="37"/>
        <v>46210.083333333336</v>
      </c>
    </row>
    <row r="126" spans="1:3">
      <c r="A126" s="710">
        <v>46210.5</v>
      </c>
      <c r="C126" s="710">
        <f t="shared" ca="1" si="37"/>
        <v>46210.75</v>
      </c>
    </row>
    <row r="127" spans="1:3">
      <c r="A127" s="710">
        <v>46210.666666666664</v>
      </c>
      <c r="C127" s="710">
        <f t="shared" ca="1" si="37"/>
        <v>46210.916666666664</v>
      </c>
    </row>
    <row r="130" spans="1:3">
      <c r="A130" s="714" t="s">
        <v>95</v>
      </c>
      <c r="C130" s="710"/>
    </row>
    <row r="131" spans="1:3">
      <c r="A131" s="710">
        <v>46212.666666666664</v>
      </c>
      <c r="C131" s="710">
        <f ca="1">A131+INDEX($V$3:$V$86,MATCH($C$3,$P$3:$P$86,0))*INDEX($W$3:$W$86,MATCH($C$3,$P$3:$P$86,0))</f>
        <v>46212.916666666664</v>
      </c>
    </row>
    <row r="132" spans="1:3">
      <c r="A132" s="710">
        <v>46213.625</v>
      </c>
      <c r="C132" s="710">
        <f ca="1">A132+INDEX($V$3:$V$86,MATCH($C$3,$P$3:$P$86,0))*INDEX($W$3:$W$86,MATCH($C$3,$P$3:$P$86,0))</f>
        <v>46213.875</v>
      </c>
    </row>
    <row r="133" spans="1:3">
      <c r="A133" s="710">
        <v>46214.708333333336</v>
      </c>
      <c r="C133" s="710">
        <f ca="1">A133+INDEX($V$3:$V$86,MATCH($C$3,$P$3:$P$86,0))*INDEX($W$3:$W$86,MATCH($C$3,$P$3:$P$86,0))</f>
        <v>46214.958333333336</v>
      </c>
    </row>
    <row r="134" spans="1:3">
      <c r="A134" s="710">
        <v>46214.875</v>
      </c>
      <c r="C134" s="710">
        <f ca="1">A134+INDEX($V$3:$V$86,MATCH($C$3,$P$3:$P$86,0))*INDEX($W$3:$W$86,MATCH($C$3,$P$3:$P$86,0))</f>
        <v>46215.125</v>
      </c>
    </row>
    <row r="135" spans="1:3">
      <c r="C135" s="710"/>
    </row>
    <row r="137" spans="1:3">
      <c r="A137" s="715" t="s">
        <v>41</v>
      </c>
      <c r="C137" s="710"/>
    </row>
    <row r="138" spans="1:3">
      <c r="A138" s="710">
        <v>46217.625</v>
      </c>
      <c r="C138" s="710">
        <f ca="1">A138+INDEX($V$3:$V$86,MATCH($C$3,$P$3:$P$86,0))*INDEX($W$3:$W$86,MATCH($C$3,$P$3:$P$86,0))</f>
        <v>46217.875</v>
      </c>
    </row>
    <row r="139" spans="1:3">
      <c r="A139" s="710">
        <v>46218.625</v>
      </c>
      <c r="C139" s="710">
        <f ca="1">A139+INDEX($V$3:$V$86,MATCH($C$3,$P$3:$P$86,0))*INDEX($W$3:$W$86,MATCH($C$3,$P$3:$P$86,0))</f>
        <v>46218.875</v>
      </c>
    </row>
    <row r="140" spans="1:3">
      <c r="C140" s="710"/>
    </row>
    <row r="142" spans="1:3">
      <c r="A142" s="716" t="s">
        <v>493</v>
      </c>
    </row>
    <row r="143" spans="1:3">
      <c r="A143" s="710">
        <v>46221.708333333336</v>
      </c>
      <c r="C143" s="710">
        <f ca="1">A143+INDEX($V$3:$V$86,MATCH($C$3,$P$3:$P$86,0))*INDEX($W$3:$W$86,MATCH($C$3,$P$3:$P$86,0))</f>
        <v>46221.958333333336</v>
      </c>
    </row>
    <row r="146" spans="1:3">
      <c r="A146" s="717" t="s">
        <v>4</v>
      </c>
      <c r="C146" s="710"/>
    </row>
    <row r="147" spans="1:3">
      <c r="A147" s="710">
        <v>46222.625</v>
      </c>
      <c r="C147" s="710">
        <f ca="1">A147+INDEX($V$3:$V$86,MATCH($C$3,$P$3:$P$86,0))*INDEX($W$3:$W$86,MATCH($C$3,$P$3:$P$86,0))</f>
        <v>46222.875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Corea del Sur</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Corea del Sur</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Corea del Sur</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Corea del Sur</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Corea del Sur</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Corea del Sur</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Corea del Sur</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Corea del Sur</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Corea del Sur</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Corea del Sur</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Corea del Sur</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Corea del Sur</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Corea del Sur</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Corea del Sur</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Corea del Sur</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Corea del Sur</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Corea del Sur</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Corea del Sur</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Corea del Sur</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Corea del Sur</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Corea del Sur</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Corea del Sur</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Corea del Sur</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Corea del Sur</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Corea del Sur</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Corea del Sur</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Corea del Sur</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Corea del Sur</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Corea del Sur</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Corea del Sur</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Corea del Sur</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Corea del Sur</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Corea del Sur</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Corea del Sur</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Corea del Sur</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Corea del Sur</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Corea del Sur</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Corea del Sur</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Corea del Sur</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Corea del Sur</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Corea del Sur</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Corea del Sur</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Corea del Sur</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Corea del Sur</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Corea del Sur</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Corea del Sur</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Corea del Sur</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Corea del Sur</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Corea del Sur</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Corea del Sur</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Corea del Sur</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Corea del Sur</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Corea del Sur</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Corea del Sur</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Corea del Sur</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Corea del Sur</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Corea del Sur</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Corea del Sur</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Corea del Sur</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Corea del Sur</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Corea del Sur</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Corea del Sur</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Corea del Sur</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Corea del Sur</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Corea del Sur</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Corea del Sur</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Corea del Sur</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Corea del Sur</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Corea del Sur</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Corea del Sur</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Corea del Sur</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Corea del Sur</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Corea del Sur</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Corea del Sur</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Corea del Sur</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Corea del Sur</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Corea del Sur</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Corea del Sur</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Corea del Sur</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Corea del Sur</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Corea del Sur</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Corea del Sur</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Corea del Sur</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Corea del Sur</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Corea del Sur</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Corea del Sur</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Corea del Sur</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Corea del Sur</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Corea del Sur</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Corea del Sur</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Corea del Sur</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Corea del Sur</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Corea del Sur</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Corea del Sur</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Corea del Sur</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Corea del Sur</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Corea del Sur</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Corea del Sur</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Corea del Sur</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Corea del Sur</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Corea del Sur</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Corea del Sur</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Corea del Sur</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Corea del Sur</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Corea del Sur</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Corea del Sur</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Corea del Sur</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Corea del Sur</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Corea del Sur</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Corea del Sur</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Corea del Sur</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Corea del Sur</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Corea del Sur</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Corea del Sur</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Corea del Sur</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Corea del Sur</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Corea del Sur</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Corea del Sur</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Corea del Sur</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Corea del Sur</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Corea del Sur</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Corea del Sur</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Corea del Sur</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Corea del Sur</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Corea del Sur</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Corea del Sur</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Corea del Sur</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Corea del Sur</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Corea del Sur</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Corea del Sur</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Corea del Sur</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Corea del Sur</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Corea del Sur</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Corea del Sur</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Corea del Sur</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Corea del Sur</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Corea del Sur</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Corea del Sur</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Corea del Sur</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Corea del Sur</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Corea del Sur</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Corea del Sur</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Corea del Sur</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Corea del Sur</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Corea del Sur</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Corea del Sur</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Corea del Sur</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Corea del Sur</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Corea del Sur</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Corea del Sur</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Corea del Sur</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Corea del Sur</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Corea del Sur</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Corea del Sur</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Corea del Sur</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Corea del Sur</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Corea del Sur</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Corea del Sur</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Corea del Sur</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Corea del Sur</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Corea del Sur</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Corea del Sur</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Corea del Sur</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Corea del Sur</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Corea del Sur</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Corea del Sur</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Corea del Sur</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Corea del Sur</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Corea del Sur</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Corea del Sur</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Corea del Sur</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Corea del Sur</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Corea del Sur</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Corea del Sur</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Corea del Sur</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Corea del Sur</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Corea del Sur</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Corea del Sur</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Corea del Sur</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Corea del Sur</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Corea del Sur</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Corea del Sur</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Corea del Sur</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Corea del Sur</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Corea del Sur</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Corea del Sur</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Corea del Sur</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Corea del Sur</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Corea del Sur</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Corea del Sur</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Corea del Sur</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Corea del Sur</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Corea del Sur</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Corea del Sur</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Corea del Sur</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Corea del Sur</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Corea del Sur</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Corea del Sur</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Corea del Sur</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Corea del Sur</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Corea del Sur</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Corea del Sur</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Corea del Sur</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Corea del Sur</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Corea del Sur</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Corea del Sur</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Corea del Sur</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Corea del Sur</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Corea del Sur</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Corea del Sur</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Corea del Sur</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Corea del Sur</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Corea del Sur</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Corea del Sur</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Corea del Sur</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Corea del Sur</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Corea del Sur</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Corea del Sur</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Corea del Sur</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Corea del Sur</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Corea del Sur</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Corea del Sur</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Corea del Sur</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Corea del Sur</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Corea del Sur</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Corea del Sur</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Corea del Sur</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Corea del Sur</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Corea del Sur</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Corea del Sur</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Corea del Sur</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Corea del Sur</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Corea del Sur</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Corea del Sur</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Corea del Sur</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Corea del Sur</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Corea del Sur</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Corea del Sur</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Corea del Sur</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Corea del Sur</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Corea del Sur</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Corea del Sur</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Corea del Sur</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Corea del Sur</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Corea del Sur</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Corea del Sur</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Corea del Sur</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Corea del Sur</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Corea del Sur</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Corea del Sur</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Corea del Sur</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Corea del Sur</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Corea del Sur</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Corea del Sur</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Corea del Sur</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Corea del Sur</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Corea del Sur</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Corea del Sur</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Corea del Sur</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Corea del Sur</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Corea del Sur</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Corea del Sur</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Corea del Sur</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Corea del Sur</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Corea del Sur</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Corea del Sur</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Corea del Sur</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Corea del Sur</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Corea del Sur</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Corea del Sur</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Corea del Sur</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Corea del Sur</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Corea del Sur</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Corea del Sur</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Corea del Sur</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Corea del Sur</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Corea del Sur</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Corea del Sur</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Corea del Sur</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Corea del Sur</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Corea del Sur</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Corea del Sur</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Corea del Sur</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Corea del Sur</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Corea del Sur</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Corea del Sur</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Corea del Sur</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Corea del Sur</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Corea del Sur</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Corea del Sur</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Corea del Sur</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Corea del Sur</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Corea del Sur</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Corea del Sur</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Corea del Sur</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Corea del Sur</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Corea del Sur</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Corea del Sur</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Corea del Sur</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Corea del Sur</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Corea del Sur</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Corea del Sur</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Corea del Sur</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Corea del Sur</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Corea del Sur</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Corea del Sur</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Corea del Sur</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Corea del Sur</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Corea del Sur</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Corea del Sur</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Corea del Sur</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Corea del Sur</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Corea del Sur</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Corea del Sur</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Corea del Sur</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Corea del Sur</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Corea del Sur</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Corea del Sur</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Corea del Sur</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Corea del Sur</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Corea del Sur</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Corea del Sur</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Corea del Sur</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Corea del Sur</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Corea del Sur</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Corea del Sur</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Corea del Sur</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Corea del Sur</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Corea del Sur</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Corea del Sur</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2026-06-11T14:47:05Z</dcterms:modified>
  <cp:category/>
</cp:coreProperties>
</file>