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Override PartName="/xl/richData/rdRichValueTypes.xml" ContentType="application/vnd.ms-excel.rdrichvaluetyp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51A5AA3E-D580-4D7A-8F1B-62EE2F200036}"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575" yWindow="210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Q26" i="46" s="1"/>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L13" i="34" s="1"/>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K94"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2" i="46"/>
  <c r="H204" i="46"/>
  <c r="H205" i="46"/>
  <c r="H215" i="46"/>
  <c r="H207" i="46"/>
  <c r="Q22" i="6"/>
  <c r="H210" i="46"/>
  <c r="H211"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36" i="3"/>
  <c r="AJ84" i="3"/>
  <c r="M84" i="34"/>
  <c r="AC3" i="3"/>
  <c r="AC130" i="3" s="1"/>
  <c r="AH159" i="3" l="1"/>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V244"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V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V232" i="46"/>
  <c r="AT30" i="46"/>
  <c r="BR30" i="46"/>
  <c r="Y30" i="46"/>
  <c r="AW30" i="46"/>
  <c r="BU30" i="46"/>
  <c r="AB30" i="46"/>
  <c r="AZ30" i="46"/>
  <c r="BX30" i="46"/>
  <c r="AE30" i="46"/>
  <c r="BC30" i="46"/>
  <c r="CA30" i="46"/>
  <c r="AH30" i="46"/>
  <c r="BF30" i="46"/>
  <c r="CD30" i="46"/>
  <c r="AN30" i="46"/>
  <c r="AQ30" i="46"/>
  <c r="V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V54"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V253" i="46"/>
  <c r="W253" i="46" s="1"/>
  <c r="CJ253" i="46"/>
  <c r="CK253" i="46" s="1"/>
  <c r="AN253" i="46"/>
  <c r="AO253" i="46" s="1"/>
  <c r="BF253" i="46"/>
  <c r="BG253" i="46" s="1"/>
  <c r="BU253" i="46"/>
  <c r="BV253" i="46" s="1"/>
  <c r="K193" i="46"/>
  <c r="K183" i="46"/>
  <c r="AN220" i="46"/>
  <c r="BL220" i="46"/>
  <c r="CJ220" i="46"/>
  <c r="AQ220" i="46"/>
  <c r="BO220" i="46"/>
  <c r="CM220" i="46"/>
  <c r="AT220" i="46"/>
  <c r="BX220" i="46"/>
  <c r="AW220" i="46"/>
  <c r="CA220" i="46"/>
  <c r="V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V200" i="46"/>
  <c r="AZ200" i="46"/>
  <c r="CD200" i="46"/>
  <c r="Y200" i="46"/>
  <c r="AB200" i="46"/>
  <c r="BC200" i="46"/>
  <c r="BF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K214" i="46"/>
  <c r="K210" i="46"/>
  <c r="K216" i="46"/>
  <c r="DT75" i="3"/>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X53" i="46" l="1"/>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V164" i="46"/>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AB37" i="3" s="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N9" i="45" s="1"/>
  <c r="BG5" i="45"/>
  <c r="BN5" i="45" s="1"/>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BN22" i="45" s="1"/>
  <c r="T44" i="32"/>
  <c r="DT38" i="3"/>
  <c r="BG39" i="45"/>
  <c r="BN39" i="45" s="1"/>
  <c r="T13" i="32"/>
  <c r="K35" i="46"/>
  <c r="X21" i="32"/>
  <c r="BG45" i="45"/>
  <c r="BN45" i="45" s="1"/>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BN44" i="45" s="1"/>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BN32" i="45" s="1"/>
  <c r="X20" i="32"/>
  <c r="S24" i="32"/>
  <c r="L36" i="51"/>
  <c r="R20" i="32"/>
  <c r="X31" i="32"/>
  <c r="T20" i="32"/>
  <c r="S31" i="32"/>
  <c r="BG21" i="45"/>
  <c r="BN21" i="45" s="1"/>
  <c r="AE40" i="3" a="1"/>
  <c r="AE40" i="3" s="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AY101" i="3"/>
  <c r="BQ33" i="3"/>
  <c r="BR33" i="3" s="1"/>
  <c r="BQ49" i="3"/>
  <c r="BR49" i="3" s="1"/>
  <c r="BQ51" i="3"/>
  <c r="X97" i="3" l="1"/>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CB9" i="3" s="1"/>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53" i="3"/>
  <c r="CA43" i="3"/>
  <c r="CB53" i="3"/>
  <c r="CA47" i="3"/>
  <c r="CA18" i="3"/>
  <c r="CB46" i="3"/>
  <c r="CB47" i="3"/>
  <c r="CB20" i="3"/>
  <c r="CB18" i="3"/>
  <c r="CA45" i="3"/>
  <c r="CB45" i="3"/>
  <c r="CB27" i="3"/>
  <c r="CB36" i="3"/>
  <c r="CA36" i="3"/>
  <c r="CA27" i="3"/>
  <c r="E23" i="48"/>
  <c r="F22" i="48" a="1"/>
  <c r="F22" i="48" s="1"/>
  <c r="CB44" i="3" l="1"/>
  <c r="CA31" i="3"/>
  <c r="CC31" i="3" s="1"/>
  <c r="CA42" i="3"/>
  <c r="CC42" i="3" s="1"/>
  <c r="CA44"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9" i="3" s="1"/>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44" i="3" l="1"/>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CF42" i="3" s="1"/>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CF25" i="3" s="1"/>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E9" i="51"/>
  <c r="CF22" i="3"/>
  <c r="CF8" i="3"/>
  <c r="CF26" i="3"/>
  <c r="B46" i="51"/>
  <c r="B47" i="51" s="1"/>
  <c r="E10" i="51"/>
  <c r="E28" i="48"/>
  <c r="F27" i="48" a="1"/>
  <c r="F27" i="48" s="1"/>
  <c r="E12" i="51"/>
  <c r="E11" i="51"/>
  <c r="CF6" i="3" l="1"/>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W20" i="45" s="1"/>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2" i="45" l="1"/>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CB234" i="46" l="1"/>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29"/>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valueMetadata>
</metadata>
</file>

<file path=xl/sharedStrings.xml><?xml version="1.0" encoding="utf-8"?>
<sst xmlns="http://schemas.openxmlformats.org/spreadsheetml/2006/main" count="7832" uniqueCount="1994">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</sst>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C8" sqref="AC8"/>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46184.875</v>
      </c>
      <c r="Y4" s="190">
        <f ca="1">Horarios!C4</f>
        <v>46184.875</v>
      </c>
      <c r="Z4" s="191" t="str">
        <f>Idiomas!D63</f>
        <v>J1</v>
      </c>
      <c r="AA4" s="192" t="str">
        <f ca="1">+A5</f>
        <v>México</v>
      </c>
      <c r="AB4" s="480" t="str" cm="1">
        <f t="array" aca="1" ref="AB4" ca="1">Ver_flag_local</f>
        <v/>
      </c>
      <c r="AC4" s="193">
        <v>1</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0" zoomScaleNormal="100" workbookViewId="0">
      <selection activeCell="D8" sqref="D8:D4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tr">
        <f>Idiomas!$G$363&amp;ADMIN!X5</f>
        <v>Pegar Valores Nombre J2</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tr">
        <f>Idiomas!$D$364</f>
        <v>Pegar Valores (J1)</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tr">
        <f>Idiomas!$D$365</f>
        <v>Pegar Valores (J2)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tr">
        <f>Idiomas!$D$366</f>
        <v>Pegar Valores (J3)</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tr">
        <f>Idiomas!$D$367</f>
        <v>Pegar Valores Dieciseisavos</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tr">
        <f>Idiomas!$D$368</f>
        <v>Pegar Valores Octavos</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tr">
        <f>Idiomas!$D$369</f>
        <v>Pegar valores Cuartos</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tr">
        <f>Idiomas!$D$370</f>
        <v>Pegar valores Semifinales</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tr">
        <f>Idiomas!$D$371</f>
        <v>Pegar valores 3º-4º puesto y Final</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tr">
        <f>Idiomas!$D$373</f>
        <v>Pegar Valores Cuadro de Honor</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Pegar Valores Nombre J2</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Pegar Valores Nombre J2</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Pegar Valores Nombre J2</v>
      </c>
      <c r="G5" s="429" t="str">
        <f ca="1">IFERROR(VLOOKUP(G$2,Rango_Admin_DailyPred,MATCH($F5,Rango_Admin_DailyPred_Primera,0),0),"-")</f>
        <v>Pegar Valores (J1)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Andres Alvarez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Pegar Valores Nombre J2</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0</v>
      </c>
      <c r="O8" s="469">
        <f ca="1">COUNTIF(ADMIN!$S$182:INDEX(ADMIN!$S$182:$HL$197,16,ADMIN!$D$5*3-1),Stats!$L8)-SUM(P8:T8)</f>
        <v>1</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0</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v>
      </c>
      <c r="N10" s="469">
        <f ca="1">IFERROR(COUNTIF(ADMIN!$S$130:INDEX(ADMIN!$S$130:$HL$161,32,ADMIN!$D$5*3-1),Stats!$L10)-SUM(O10:T10),0)</f>
        <v>1</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1</v>
      </c>
      <c r="N11" s="471">
        <f ca="1">IFERROR(COUNTIF(ADMIN!$S$130:INDEX(ADMIN!$S$130:$HL$161,32,ADMIN!$D$5*3-1),Stats!$L11)-SUM(O11:T11),0)</f>
        <v>0</v>
      </c>
      <c r="O11" s="471">
        <f ca="1">COUNTIF(ADMIN!$S$182:INDEX(ADMIN!$S$182:$HL$197,16,ADMIN!$D$5*3-1),Stats!$L11)-SUM(P11:T11)</f>
        <v>0</v>
      </c>
      <c r="P11" s="471">
        <f ca="1">COUNTIF(ADMIN!$S$210:INDEX(ADMIN!$S$210:$HL$217,8,ADMIN!$D$5*3-1),Stats!$L11)-SUM(Q11:T11)</f>
        <v>1</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12</v>
      </c>
      <c r="F12" s="456">
        <f ca="1">IFERROR(E12/B47,0)</f>
        <v>4.6439628482972135E-3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1</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0</v>
      </c>
      <c r="O14" s="469">
        <f ca="1">COUNTIF(ADMIN!$S$182:INDEX(ADMIN!$S$182:$HL$197,16,ADMIN!$D$5*3-1),Stats!$L14)-SUM(P14:T14)</f>
        <v>0</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1</v>
      </c>
      <c r="N15" s="471">
        <f ca="1">IFERROR(COUNTIF(ADMIN!$S$130:INDEX(ADMIN!$S$130:$HL$161,32,ADMIN!$D$5*3-1),Stats!$L15)-SUM(O15:T15),0)</f>
        <v>0</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1</v>
      </c>
      <c r="G16" s="17"/>
      <c r="H16" s="454"/>
      <c r="I16" s="704"/>
      <c r="J16" s="706"/>
      <c r="K16" s="404"/>
      <c r="L16" s="133" t="str">
        <f ca="1">Horarios!Q11</f>
        <v>Brasil</v>
      </c>
      <c r="M16" s="469">
        <f ca="1">ADMIN!$D$5-SUM(N16:T16)</f>
        <v>1</v>
      </c>
      <c r="N16" s="469">
        <f ca="1">IFERROR(COUNTIF(ADMIN!$S$130:INDEX(ADMIN!$S$130:$HL$161,32,ADMIN!$D$5*3-1),Stats!$L16)-SUM(O16:T16),0)</f>
        <v>0</v>
      </c>
      <c r="O16" s="469">
        <f ca="1">COUNTIF(ADMIN!$S$182:INDEX(ADMIN!$S$182:$HL$197,16,ADMIN!$D$5*3-1),Stats!$L16)-SUM(P16:T16)</f>
        <v>0</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1</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0</v>
      </c>
      <c r="O20" s="469">
        <f ca="1">COUNTIF(ADMIN!$S$182:INDEX(ADMIN!$S$182:$HL$197,16,ADMIN!$D$5*3-1),Stats!$L20)-SUM(P20:T20)</f>
        <v>1</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1</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0</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2</v>
      </c>
      <c r="N26" s="469">
        <f ca="1">IFERROR(COUNTIF(ADMIN!$S$130:INDEX(ADMIN!$S$130:$HL$161,32,ADMIN!$D$5*3-1),Stats!$L26)-SUM(O26:T26),0)</f>
        <v>0</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0</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2</v>
      </c>
      <c r="N31" s="471">
        <f ca="1">IFERROR(COUNTIF(ADMIN!$S$130:INDEX(ADMIN!$S$130:$HL$161,32,ADMIN!$D$5*3-1),Stats!$L31)-SUM(O31:T31),0)</f>
        <v>0</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0</v>
      </c>
      <c r="O33" s="471">
        <f ca="1">COUNTIF(ADMIN!$S$182:INDEX(ADMIN!$S$182:$HL$197,16,ADMIN!$D$5*3-1),Stats!$L33)-SUM(P33:T33)</f>
        <v>0</v>
      </c>
      <c r="P33" s="471">
        <f ca="1">COUNTIF(ADMIN!$S$210:INDEX(ADMIN!$S$210:$HL$217,8,ADMIN!$D$5*3-1),Stats!$L33)-SUM(Q33:T33)</f>
        <v>1</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2</v>
      </c>
      <c r="N35" s="471">
        <f ca="1">IFERROR(COUNTIF(ADMIN!$S$130:INDEX(ADMIN!$S$130:$HL$161,32,ADMIN!$D$5*3-1),Stats!$L35)-SUM(O35:T35),0)</f>
        <v>0</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1</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1</v>
      </c>
      <c r="N38" s="469">
        <f ca="1">IFERROR(COUNTIF(ADMIN!$S$130:INDEX(ADMIN!$S$130:$HL$161,32,ADMIN!$D$5*3-1),Stats!$L38)-SUM(O38:T38),0)</f>
        <v>1</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0</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v>
      </c>
      <c r="O40" s="469">
        <f ca="1">COUNTIF(ADMIN!$S$182:INDEX(ADMIN!$S$182:$HL$197,16,ADMIN!$D$5*3-1),Stats!$L40)-SUM(P40:T40)</f>
        <v>0</v>
      </c>
      <c r="P40" s="469">
        <f ca="1">COUNTIF(ADMIN!$S$210:INDEX(ADMIN!$S$210:$HL$217,8,ADMIN!$D$5*3-1),Stats!$L40)-SUM(Q40:T40)</f>
        <v>0</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1</v>
      </c>
      <c r="N44" s="469">
        <f ca="1">IFERROR(COUNTIF(ADMIN!$S$130:INDEX(ADMIN!$S$130:$HL$161,32,ADMIN!$D$5*3-1),Stats!$L44)-SUM(O44:T44),0)</f>
        <v>0</v>
      </c>
      <c r="O44" s="469">
        <f ca="1">COUNTIF(ADMIN!$S$182:INDEX(ADMIN!$S$182:$HL$197,16,ADMIN!$D$5*3-1),Stats!$L44)-SUM(P44:T44)</f>
        <v>1</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1</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1</v>
      </c>
      <c r="N47" s="471">
        <f ca="1">IFERROR(COUNTIF(ADMIN!$S$130:INDEX(ADMIN!$S$130:$HL$161,32,ADMIN!$D$5*3-1),Stats!$L47)-SUM(O47:T47),0)</f>
        <v>1</v>
      </c>
      <c r="O47" s="471">
        <f ca="1">COUNTIF(ADMIN!$S$182:INDEX(ADMIN!$S$182:$HL$197,16,ADMIN!$D$5*3-1),Stats!$L47)-SUM(P47:T47)</f>
        <v>0</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v>
      </c>
      <c r="N48" s="469">
        <f ca="1">IFERROR(COUNTIF(ADMIN!$S$130:INDEX(ADMIN!$S$130:$HL$161,32,ADMIN!$D$5*3-1),Stats!$L48)-SUM(O48:T48),0)</f>
        <v>1</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0</v>
      </c>
      <c r="O51" s="471">
        <f ca="1">COUNTIF(ADMIN!$S$182:INDEX(ADMIN!$S$182:$HL$197,16,ADMIN!$D$5*3-1),Stats!$L51)-SUM(P51:T51)</f>
        <v>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v>
      </c>
      <c r="N53" s="471">
        <f ca="1">IFERROR(COUNTIF(ADMIN!$S$130:INDEX(ADMIN!$S$130:$HL$161,32,ADMIN!$D$5*3-1),Stats!$L53)-SUM(O53:T53),0)</f>
        <v>1</v>
      </c>
      <c r="O53" s="471">
        <f ca="1">COUNTIF(ADMIN!$S$182:INDEX(ADMIN!$S$182:$HL$197,16,ADMIN!$D$5*3-1),Stats!$L53)-SUM(P53:T53)</f>
        <v>0</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30">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1">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2">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3">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4">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5">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6">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7">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8">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9">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40">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1">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2">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3">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4">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5">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6">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7">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8">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9">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50">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1">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2">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2026-06-11T14:47:05Z</dcterms:modified>
  <cp:category/>
</cp:coreProperties>
</file>