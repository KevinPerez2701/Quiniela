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ownloads\"/>
    </mc:Choice>
  </mc:AlternateContent>
  <xr:revisionPtr revIDLastSave="0" documentId="13_ncr:1_{A627594C-107D-46A2-8EBC-3F8573EA68AC}"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20" yWindow="-120" windowWidth="29040" windowHeight="1584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Q27" i="46" s="1"/>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34" i="46"/>
  <c r="K144" i="46"/>
  <c r="K142" i="46"/>
  <c r="K152" i="46"/>
  <c r="H202" i="46"/>
  <c r="H215" i="46"/>
  <c r="Q22" i="6"/>
  <c r="H211" i="46"/>
  <c r="D21" i="36"/>
  <c r="AF3" i="3" s="1"/>
  <c r="AF51" i="3" s="1"/>
  <c r="D507" i="36"/>
  <c r="C61" i="46"/>
  <c r="Q23" i="6"/>
  <c r="K5" i="46"/>
  <c r="C56" i="46" s="1"/>
  <c r="H216" i="46"/>
  <c r="AJ36" i="3"/>
  <c r="AJ84" i="3"/>
  <c r="C41" i="46" l="1"/>
  <c r="R7" i="51"/>
  <c r="Q56" i="46"/>
  <c r="AI56" i="46" s="1"/>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T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CH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CK45" i="46"/>
  <c r="BV33" i="46"/>
  <c r="AL45" i="46"/>
  <c r="BP45" i="46"/>
  <c r="AI47" i="46"/>
  <c r="BG47" i="46"/>
  <c r="BS45" i="46"/>
  <c r="BJ47" i="46"/>
  <c r="CH47" i="46"/>
  <c r="AR49" i="46"/>
  <c r="AU45" i="46"/>
  <c r="CK47" i="46"/>
  <c r="AU49" i="46"/>
  <c r="BS49" i="46"/>
  <c r="AX45" i="46"/>
  <c r="BV49" i="46"/>
  <c r="BY33" i="46"/>
  <c r="Z45" i="46"/>
  <c r="CB45" i="46"/>
  <c r="BY49" i="46"/>
  <c r="CB33" i="46"/>
  <c r="BJ52" i="46"/>
  <c r="AC56" i="46"/>
  <c r="BA56" i="46"/>
  <c r="BY56" i="46"/>
  <c r="AI58" i="46"/>
  <c r="BG58" i="46"/>
  <c r="CE58" i="46"/>
  <c r="AI45" i="46"/>
  <c r="BM52" i="46"/>
  <c r="CK52" i="46"/>
  <c r="AF56" i="46"/>
  <c r="BD56" i="46"/>
  <c r="CB56" i="46"/>
  <c r="AL58" i="46"/>
  <c r="BD45" i="46"/>
  <c r="AR52" i="46"/>
  <c r="BP52" i="46"/>
  <c r="CN52" i="46"/>
  <c r="CE53" i="46"/>
  <c r="CE56" i="46"/>
  <c r="BM58" i="46"/>
  <c r="Z37" i="46"/>
  <c r="BG45" i="46"/>
  <c r="Z47" i="46"/>
  <c r="CB47" i="46"/>
  <c r="BJ53" i="46"/>
  <c r="BJ56" i="46"/>
  <c r="BJ45" i="46"/>
  <c r="Z52" i="46"/>
  <c r="AX52" i="46"/>
  <c r="BV52" i="46"/>
  <c r="CK56" i="46"/>
  <c r="CN56" i="46"/>
  <c r="Z58" i="46"/>
  <c r="BP58" i="46"/>
  <c r="AU62" i="46"/>
  <c r="BS62" i="46"/>
  <c r="AL63" i="46"/>
  <c r="BJ63" i="46"/>
  <c r="CH63" i="46"/>
  <c r="BG52" i="46"/>
  <c r="AC58" i="46"/>
  <c r="BS58" i="46"/>
  <c r="Z62" i="46"/>
  <c r="AX62" i="46"/>
  <c r="BV62" i="46"/>
  <c r="AO63" i="46"/>
  <c r="BM63" i="46"/>
  <c r="CK63" i="46"/>
  <c r="AU53" i="46"/>
  <c r="AF58" i="46"/>
  <c r="BV58" i="46"/>
  <c r="AC62" i="46"/>
  <c r="BA62" i="46"/>
  <c r="BY62" i="46"/>
  <c r="AR63" i="46"/>
  <c r="BP63" i="46"/>
  <c r="CN63" i="46"/>
  <c r="Z65" i="46"/>
  <c r="BV65" i="46"/>
  <c r="CB52" i="46"/>
  <c r="AU56" i="46"/>
  <c r="AR58" i="46"/>
  <c r="BY58" i="46"/>
  <c r="AF62" i="46"/>
  <c r="BD62" i="46"/>
  <c r="CB62" i="46"/>
  <c r="AU63" i="46"/>
  <c r="BS63" i="46"/>
  <c r="CE52" i="46"/>
  <c r="AX56" i="46"/>
  <c r="AU58" i="46"/>
  <c r="CB58" i="46"/>
  <c r="AI62" i="46"/>
  <c r="BG62" i="46"/>
  <c r="CE62" i="46"/>
  <c r="Z63" i="46"/>
  <c r="AX63" i="46"/>
  <c r="BV63" i="46"/>
  <c r="BA58" i="46"/>
  <c r="BP62" i="46"/>
  <c r="BA63" i="46"/>
  <c r="AO65" i="46"/>
  <c r="BP65" i="46"/>
  <c r="AL66" i="46"/>
  <c r="BJ66" i="46"/>
  <c r="CH66" i="46"/>
  <c r="CH62" i="46"/>
  <c r="BD63" i="46"/>
  <c r="BS65" i="46"/>
  <c r="BM66" i="46"/>
  <c r="CK66" i="46"/>
  <c r="CN58" i="46"/>
  <c r="CK62" i="46"/>
  <c r="BG63" i="46"/>
  <c r="AU65" i="46"/>
  <c r="BP66" i="46"/>
  <c r="AL62" i="46"/>
  <c r="CN62" i="46"/>
  <c r="BY63" i="46"/>
  <c r="BA65" i="46"/>
  <c r="CB65" i="46"/>
  <c r="AU66" i="46"/>
  <c r="BS66" i="46"/>
  <c r="AO62" i="46"/>
  <c r="CB63" i="46"/>
  <c r="AC65" i="46"/>
  <c r="CE65" i="46"/>
  <c r="Z66" i="46"/>
  <c r="AX66" i="46"/>
  <c r="BV66" i="46"/>
  <c r="AC45" i="46"/>
  <c r="AR62" i="46"/>
  <c r="CE63" i="46"/>
  <c r="CN65" i="46"/>
  <c r="AL75" i="46"/>
  <c r="BJ75" i="46"/>
  <c r="CH75" i="46"/>
  <c r="CH45" i="46"/>
  <c r="BM62" i="46"/>
  <c r="AL65" i="46"/>
  <c r="AR75" i="46"/>
  <c r="BP75" i="46"/>
  <c r="CN75" i="46"/>
  <c r="AF52" i="46"/>
  <c r="BG65"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CE45"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K238" i="46"/>
  <c r="D15" i="51"/>
  <c r="K195" i="46"/>
  <c r="E4" i="47"/>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F4" i="47" l="1"/>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Y68"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AY101" i="3" l="1"/>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3" i="3"/>
  <c r="CA47" i="3"/>
  <c r="CB46" i="3"/>
  <c r="CB47" i="3"/>
  <c r="CB20" i="3"/>
  <c r="CB18" i="3"/>
  <c r="CB27" i="3"/>
  <c r="CA27" i="3"/>
  <c r="E23" i="48"/>
  <c r="F22" i="48" a="1"/>
  <c r="F22" i="48" s="1"/>
  <c r="CB26" i="3" l="1"/>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CF53" i="3" s="1"/>
  <c r="L92" i="3"/>
  <c r="CF50" i="3" s="1"/>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CF33" i="3" s="1"/>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CF8" i="3"/>
  <c r="CF26" i="3"/>
  <c r="B46" i="51"/>
  <c r="B47" i="51" s="1"/>
  <c r="E10" i="51"/>
  <c r="E28" i="48"/>
  <c r="F27" i="48" a="1"/>
  <c r="F27" i="48" s="1"/>
  <c r="E12" i="51"/>
  <c r="E11" i="51"/>
  <c r="CF14" i="3" l="1"/>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<sst xmlns="http://schemas.openxmlformats.org/spreadsheetml/2006/main" count="8284" uniqueCount="2065">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</sst>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0"/>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2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37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46185</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D7" sqref="AD7"/>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798"/>
      <c r="X6" s="189">
        <f ca="1">Horarios!C6</f>
        <v>46191.5</v>
      </c>
      <c r="Y6" s="190">
        <f ca="1">Horarios!C6</f>
        <v>46191.5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4</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1</v>
      </c>
      <c r="BG7" s="746">
        <f t="shared" ca="1" si="17"/>
        <v>0</v>
      </c>
      <c r="BH7" s="746">
        <f t="shared" ca="1" si="18"/>
        <v>0</v>
      </c>
      <c r="BI7" s="746">
        <f t="shared" ca="1" si="19"/>
        <v>1</v>
      </c>
      <c r="BJ7" s="746">
        <f t="shared" ca="1" si="20"/>
        <v>0</v>
      </c>
      <c r="BK7" s="746">
        <f t="shared" ca="1" si="21"/>
        <v>2</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0</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0</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4</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0</v>
      </c>
      <c r="AN8" s="224">
        <f t="shared" ca="1" si="16"/>
        <v>1</v>
      </c>
      <c r="AO8" s="224">
        <f t="shared" ca="1" si="16"/>
        <v>0</v>
      </c>
      <c r="AP8" s="224">
        <f t="shared" ca="1" si="16"/>
        <v>0</v>
      </c>
      <c r="AQ8" s="224">
        <f t="shared" ca="1" si="16"/>
        <v>1</v>
      </c>
      <c r="AR8" s="224">
        <f t="shared" ca="1" si="16"/>
        <v>1</v>
      </c>
      <c r="AS8" s="224">
        <f t="shared" ca="1" si="16"/>
        <v>2</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4</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0</v>
      </c>
      <c r="AN9" s="238">
        <f t="shared" ca="1" si="16"/>
        <v>1</v>
      </c>
      <c r="AO9" s="238">
        <f t="shared" ca="1" si="16"/>
        <v>0</v>
      </c>
      <c r="AP9" s="238">
        <f t="shared" ca="1" si="16"/>
        <v>0</v>
      </c>
      <c r="AQ9" s="238">
        <f t="shared" ca="1" si="16"/>
        <v>1</v>
      </c>
      <c r="AR9" s="238">
        <f t="shared" ca="1" si="16"/>
        <v>0</v>
      </c>
      <c r="AS9" s="238">
        <f t="shared" ca="1" si="16"/>
        <v>2</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1</v>
      </c>
      <c r="BG9" s="746">
        <f t="shared" ca="1" si="17"/>
        <v>0</v>
      </c>
      <c r="BH9" s="746">
        <f t="shared" ca="1" si="18"/>
        <v>0</v>
      </c>
      <c r="BI9" s="746">
        <f t="shared" ca="1" si="19"/>
        <v>1</v>
      </c>
      <c r="BJ9" s="746">
        <f t="shared" ca="1" si="20"/>
        <v>1</v>
      </c>
      <c r="BK9" s="746">
        <f t="shared" ca="1" si="21"/>
        <v>2</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0</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0</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4</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41"/>
      <c r="X53" s="189">
        <f ca="1">Horarios!C53</f>
        <v>46188.875</v>
      </c>
      <c r="Y53" s="190">
        <f ca="1">Horarios!C53</f>
        <v>46188.875</v>
      </c>
      <c r="Z53" s="191" t="str">
        <f>$Z$4</f>
        <v>J1</v>
      </c>
      <c r="AA53" s="192" t="str">
        <f ca="1">A55</f>
        <v>Irán</v>
      </c>
      <c r="AB53" s="478" t="str" cm="1">
        <f t="array" aca="1" ref="AB53" ca="1">Ver_flag_local</f>
        <v/>
      </c>
      <c r="AC53" s="193"/>
      <c r="AD53" s="194"/>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0</v>
      </c>
      <c r="BF58" s="746">
        <f ca="1">+BG58+BH58+BI58</f>
        <v>1</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46">
        <f ca="1">BJ58-BK58</f>
        <v>-1</v>
      </c>
      <c r="BM58" s="746">
        <f ca="1">CB58</f>
        <v>12</v>
      </c>
      <c r="BN58" s="746">
        <f ca="1">CF58</f>
        <v>12</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-1</v>
      </c>
      <c r="BV58" s="746">
        <f t="shared" ref="BV58:BV69" ca="1" si="181">BS58+COUNTIFS(BT$58:BT$69,BT58,BU$58:BU$69,"&gt;"&amp;BU58)</f>
        <v>12</v>
      </c>
      <c r="BW58" s="746" t="str">
        <f t="shared" ref="BW58:BW69" ca="1" si="182">IF(COUNTIF(BV$58:BV$69,BV58)=1,"-","Pos. "&amp;BV58&amp;" ("&amp;COUNTIF(BV$58:BV$69,BV58)&amp;")")</f>
        <v>-</v>
      </c>
      <c r="BX58" s="746" t="str">
        <f t="shared" ref="BX58:BX69" ca="1" si="183">IF(BW58="-","-",BJ58)</f>
        <v>-</v>
      </c>
      <c r="BY58" s="746">
        <f t="shared" ref="BY58:BY69" ca="1" si="184">BV58+COUNTIFS(BW$58:BW$69,BW58,BX$58:BX$69,"&gt;"&amp;BX58)</f>
        <v>12</v>
      </c>
      <c r="BZ58" s="746" t="str">
        <f t="shared" ref="BZ58:BZ69" ca="1" si="185">IF(COUNTIF(BY$58:BY$69,BY58)=1,"-","Pos. "&amp;BY58&amp;" ("&amp;COUNTIF(BY$58:BY$69,BY58)&amp;")")</f>
        <v>-</v>
      </c>
      <c r="CA58" s="746" t="str">
        <f ca="1">IF(BZ58="-","-",COUNTIF($BD$58:$BD$69,"&gt;"&amp;BD58))</f>
        <v>-</v>
      </c>
      <c r="CB58" s="746">
        <f ca="1">BY58+COUNTIFS(BZ$58:BZ$69,BZ58,CA$58:CA$69,"&gt;"&amp;CA58)</f>
        <v>12</v>
      </c>
      <c r="CC58" s="746"/>
      <c r="CD58" s="746">
        <f ca="1">IF(OR(INDEX($AW$102:$AW$113,MATCH($BD58,$AV$102:$AV$113,0))="",BZ58="-"),CB58,INDEX($AW$102:$AW$113,MATCH($BD58,$AV$102:$AV$113,0))+CB58/1000)</f>
        <v>12</v>
      </c>
      <c r="CE58" s="746" t="str">
        <f ca="1">IF(BZ58="-","-",COUNTIF(CD$58:CD$69,"&lt;"&amp;CD58))</f>
        <v>-</v>
      </c>
      <c r="CF58" s="746">
        <f ca="1">BY58+COUNTIFS(BZ$58:BZ$69,BZ58,CE$58:CE$69,"&lt;"&amp;CE58)</f>
        <v>12</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(11)</v>
      </c>
      <c r="BX59" s="746">
        <f t="shared" ca="1" si="183"/>
        <v>0</v>
      </c>
      <c r="BY59" s="746">
        <f t="shared" ca="1" si="184"/>
        <v>1</v>
      </c>
      <c r="BZ59" s="746" t="str">
        <f t="shared" ca="1" si="185"/>
        <v>Pos. 1 (11)</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7</v>
      </c>
      <c r="BN60" s="746">
        <f t="shared" ca="1" si="195"/>
        <v>7</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(11)</v>
      </c>
      <c r="BX60" s="746">
        <f t="shared" ca="1" si="183"/>
        <v>0</v>
      </c>
      <c r="BY60" s="746">
        <f t="shared" ca="1" si="184"/>
        <v>1</v>
      </c>
      <c r="BZ60" s="746" t="str">
        <f t="shared" ca="1" si="185"/>
        <v>Pos. 1 (11)</v>
      </c>
      <c r="CA60" s="746">
        <f t="shared" ca="1" si="199"/>
        <v>5</v>
      </c>
      <c r="CB60" s="746">
        <f t="shared" ca="1" si="200"/>
        <v>7</v>
      </c>
      <c r="CC60" s="746"/>
      <c r="CD60" s="746">
        <f t="shared" ca="1" si="201"/>
        <v>7</v>
      </c>
      <c r="CE60" s="746">
        <f t="shared" ca="1" si="202"/>
        <v>6</v>
      </c>
      <c r="CF60" s="746">
        <f t="shared" ca="1" si="203"/>
        <v>7</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23"/>
      <c r="X61" s="189">
        <f ca="1">Horarios!C61</f>
        <v>46188.75</v>
      </c>
      <c r="Y61" s="190">
        <f ca="1">Horarios!C61</f>
        <v>46188.75</v>
      </c>
      <c r="Z61" s="191" t="str">
        <f>$Z$4</f>
        <v>J1</v>
      </c>
      <c r="AA61" s="192" t="str">
        <f ca="1">A63</f>
        <v>Arabia Saudita</v>
      </c>
      <c r="AB61" s="478" t="str" cm="1">
        <f t="array" aca="1" ref="AB61" ca="1">Ver_flag_local</f>
        <v/>
      </c>
      <c r="AC61" s="193"/>
      <c r="AD61" s="194"/>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(11)</v>
      </c>
      <c r="BX61" s="746">
        <f t="shared" ca="1" si="183"/>
        <v>0</v>
      </c>
      <c r="BY61" s="746">
        <f t="shared" ca="1" si="184"/>
        <v>1</v>
      </c>
      <c r="BZ61" s="746" t="str">
        <f t="shared" ca="1" si="185"/>
        <v>Pos. 1 (11)</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5</v>
      </c>
      <c r="BN62" s="746">
        <f t="shared" ca="1" si="195"/>
        <v>5</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(11)</v>
      </c>
      <c r="BX62" s="746">
        <f t="shared" ca="1" si="183"/>
        <v>0</v>
      </c>
      <c r="BY62" s="746">
        <f t="shared" ca="1" si="184"/>
        <v>1</v>
      </c>
      <c r="BZ62" s="746" t="str">
        <f t="shared" ca="1" si="185"/>
        <v>Pos. 1 (11)</v>
      </c>
      <c r="CA62" s="746">
        <f t="shared" ca="1" si="199"/>
        <v>7</v>
      </c>
      <c r="CB62" s="746">
        <f t="shared" ca="1" si="200"/>
        <v>5</v>
      </c>
      <c r="CC62" s="746"/>
      <c r="CD62" s="746">
        <f t="shared" ca="1" si="201"/>
        <v>5</v>
      </c>
      <c r="CE62" s="746">
        <f t="shared" ca="1" si="202"/>
        <v>4</v>
      </c>
      <c r="CF62" s="746">
        <f t="shared" ca="1" si="203"/>
        <v>5</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Costa de Marfil</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10</v>
      </c>
      <c r="BN63" s="746">
        <f t="shared" ca="1" si="195"/>
        <v>10</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(11)</v>
      </c>
      <c r="BX63" s="746">
        <f t="shared" ca="1" si="183"/>
        <v>0</v>
      </c>
      <c r="BY63" s="746">
        <f t="shared" ca="1" si="184"/>
        <v>1</v>
      </c>
      <c r="BZ63" s="746" t="str">
        <f t="shared" ca="1" si="185"/>
        <v>Pos. 1 (11)</v>
      </c>
      <c r="CA63" s="746">
        <f t="shared" ca="1" si="199"/>
        <v>1</v>
      </c>
      <c r="CB63" s="746">
        <f t="shared" ca="1" si="200"/>
        <v>10</v>
      </c>
      <c r="CC63" s="746"/>
      <c r="CD63" s="746">
        <f t="shared" ca="1" si="201"/>
        <v>10</v>
      </c>
      <c r="CE63" s="746">
        <f t="shared" ca="1" si="202"/>
        <v>9</v>
      </c>
      <c r="CF63" s="746">
        <f t="shared" ca="1" si="203"/>
        <v>10</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Ghana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9</v>
      </c>
      <c r="BN64" s="746">
        <f t="shared" ca="1" si="195"/>
        <v>9</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(11)</v>
      </c>
      <c r="BX64" s="746">
        <f t="shared" ca="1" si="183"/>
        <v>0</v>
      </c>
      <c r="BY64" s="746">
        <f t="shared" ca="1" si="184"/>
        <v>1</v>
      </c>
      <c r="BZ64" s="746" t="str">
        <f t="shared" ca="1" si="185"/>
        <v>Pos. 1 (11)</v>
      </c>
      <c r="CA64" s="746">
        <f t="shared" ca="1" si="199"/>
        <v>3</v>
      </c>
      <c r="CB64" s="746">
        <f t="shared" ca="1" si="200"/>
        <v>9</v>
      </c>
      <c r="CC64" s="746"/>
      <c r="CD64" s="746">
        <f t="shared" ca="1" si="201"/>
        <v>9</v>
      </c>
      <c r="CE64" s="746">
        <f t="shared" ca="1" si="202"/>
        <v>8</v>
      </c>
      <c r="CF64" s="746">
        <f t="shared" ca="1" si="203"/>
        <v>9</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Haití</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(11)</v>
      </c>
      <c r="BX65" s="746">
        <f t="shared" ca="1" si="183"/>
        <v>0</v>
      </c>
      <c r="BY65" s="746">
        <f t="shared" ca="1" si="184"/>
        <v>1</v>
      </c>
      <c r="BZ65" s="746" t="str">
        <f t="shared" ca="1" si="185"/>
        <v>Pos. 1 (11)</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Irak</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8</v>
      </c>
      <c r="BN66" s="746">
        <f t="shared" ca="1" si="195"/>
        <v>8</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(11)</v>
      </c>
      <c r="BX66" s="746">
        <f t="shared" ca="1" si="183"/>
        <v>0</v>
      </c>
      <c r="BY66" s="746">
        <f t="shared" ca="1" si="184"/>
        <v>1</v>
      </c>
      <c r="BZ66" s="746" t="str">
        <f t="shared" ca="1" si="185"/>
        <v>Pos. 1 (11)</v>
      </c>
      <c r="CA66" s="746">
        <f t="shared" ca="1" si="199"/>
        <v>4</v>
      </c>
      <c r="CB66" s="746">
        <f t="shared" ca="1" si="200"/>
        <v>8</v>
      </c>
      <c r="CC66" s="746"/>
      <c r="CD66" s="746">
        <f t="shared" ca="1" si="201"/>
        <v>8</v>
      </c>
      <c r="CE66" s="746">
        <f t="shared" ca="1" si="202"/>
        <v>7</v>
      </c>
      <c r="CF66" s="746">
        <f t="shared" ca="1" si="203"/>
        <v>8</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Irán</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(11)</v>
      </c>
      <c r="BX67" s="746">
        <f t="shared" ca="1" si="183"/>
        <v>0</v>
      </c>
      <c r="BY67" s="746">
        <f t="shared" ca="1" si="184"/>
        <v>1</v>
      </c>
      <c r="BZ67" s="746" t="str">
        <f t="shared" ca="1" si="185"/>
        <v>Pos. 1 (11)</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Suecia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29" t="s">
        <v>438</v>
      </c>
      <c r="X68" s="189">
        <f ca="1">Horarios!C68</f>
        <v>46189.625</v>
      </c>
      <c r="Y68" s="190">
        <f ca="1">Horarios!C68</f>
        <v>46189.625</v>
      </c>
      <c r="Z68" s="191" t="str">
        <f>$Z$4</f>
        <v>J1</v>
      </c>
      <c r="AA68" s="192" t="str">
        <f ca="1">A69</f>
        <v>Francia</v>
      </c>
      <c r="AB68" s="478" t="str" cm="1">
        <f t="array" aca="1" ref="AB68" ca="1">Ver_flag_local</f>
        <v/>
      </c>
      <c r="AC68" s="193"/>
      <c r="AD68" s="194"/>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11</v>
      </c>
      <c r="BN68" s="746">
        <f t="shared" ca="1" si="195"/>
        <v>11</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(11)</v>
      </c>
      <c r="BX68" s="746">
        <f t="shared" ca="1" si="183"/>
        <v>0</v>
      </c>
      <c r="BY68" s="746">
        <f t="shared" ca="1" si="184"/>
        <v>1</v>
      </c>
      <c r="BZ68" s="746" t="str">
        <f t="shared" ca="1" si="185"/>
        <v>Pos. 1 (11)</v>
      </c>
      <c r="CA68" s="746">
        <f t="shared" ca="1" si="199"/>
        <v>0</v>
      </c>
      <c r="CB68" s="746">
        <f t="shared" ca="1" si="200"/>
        <v>11</v>
      </c>
      <c r="CC68" s="746"/>
      <c r="CD68" s="746">
        <f t="shared" ca="1" si="201"/>
        <v>11</v>
      </c>
      <c r="CE68" s="746">
        <f t="shared" ca="1" si="202"/>
        <v>10</v>
      </c>
      <c r="CF68" s="746">
        <f t="shared" ca="1" si="203"/>
        <v>11</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Uzbekistán</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29"/>
      <c r="X69" s="189">
        <f ca="1">Horarios!C69</f>
        <v>46189.75</v>
      </c>
      <c r="Y69" s="190">
        <f ca="1">Horarios!C69</f>
        <v>46189.75</v>
      </c>
      <c r="Z69" s="191" t="str">
        <f>$Z$4</f>
        <v>J1</v>
      </c>
      <c r="AA69" s="192" t="str">
        <f ca="1">A71</f>
        <v>Irak</v>
      </c>
      <c r="AB69" s="478" t="str" cm="1">
        <f t="array" aca="1" ref="AB69" ca="1">Ver_flag_local</f>
        <v/>
      </c>
      <c r="AC69" s="193"/>
      <c r="AD69" s="194"/>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6</v>
      </c>
      <c r="BN69" s="746">
        <f t="shared" ca="1" si="195"/>
        <v>6</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(11)</v>
      </c>
      <c r="BX69" s="746">
        <f t="shared" ca="1" si="183"/>
        <v>0</v>
      </c>
      <c r="BY69" s="746">
        <f t="shared" ca="1" si="184"/>
        <v>1</v>
      </c>
      <c r="BZ69" s="746" t="str">
        <f t="shared" ca="1" si="185"/>
        <v>Pos. 1 (11)</v>
      </c>
      <c r="CA69" s="746">
        <f t="shared" ca="1" si="199"/>
        <v>6</v>
      </c>
      <c r="CB69" s="746">
        <f ca="1">BY69+COUNTIFS(BZ$58:BZ$69,BZ69,CA$58:CA$69,"&gt;"&amp;CA69)</f>
        <v>6</v>
      </c>
      <c r="CC69" s="746"/>
      <c r="CD69" s="746">
        <f t="shared" ca="1" si="201"/>
        <v>6</v>
      </c>
      <c r="CE69" s="746">
        <f t="shared" ca="1" si="202"/>
        <v>5</v>
      </c>
      <c r="CF69" s="746">
        <f t="shared" ca="1" si="203"/>
        <v>6</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República Checa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25" t="s">
        <v>5</v>
      </c>
      <c r="X76" s="189">
        <f ca="1">Horarios!C76</f>
        <v>46189.875</v>
      </c>
      <c r="Y76" s="190">
        <f ca="1">Horarios!C76</f>
        <v>46189.875</v>
      </c>
      <c r="Z76" s="191" t="str">
        <f>$Z$4</f>
        <v>J1</v>
      </c>
      <c r="AA76" s="192" t="str">
        <f ca="1">A77</f>
        <v>Argentina</v>
      </c>
      <c r="AB76" s="478" t="str" cm="1">
        <f t="array" aca="1" ref="AB76" ca="1">Ver_flag_local</f>
        <v/>
      </c>
      <c r="AC76" s="193"/>
      <c r="AD76" s="194"/>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25"/>
      <c r="X77" s="189">
        <f ca="1">Horarios!C77</f>
        <v>46190</v>
      </c>
      <c r="Y77" s="190">
        <f ca="1">Horarios!C77</f>
        <v>46190</v>
      </c>
      <c r="Z77" s="191" t="str">
        <f>$Z$4</f>
        <v>J1</v>
      </c>
      <c r="AA77" s="192" t="str">
        <f ca="1">A79</f>
        <v>Austria</v>
      </c>
      <c r="AB77" s="478" t="str" cm="1">
        <f t="array" aca="1" ref="AB77" ca="1">Ver_flag_local</f>
        <v/>
      </c>
      <c r="AC77" s="193"/>
      <c r="AD77" s="194"/>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c r="AD84" s="194"/>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c r="AD92" s="194"/>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27"/>
      <c r="X93" s="189">
        <f ca="1">Horarios!C93</f>
        <v>46190.791666666664</v>
      </c>
      <c r="Y93" s="190">
        <f ca="1">Horarios!C93</f>
        <v>46190.791666666664</v>
      </c>
      <c r="Z93" s="191" t="str">
        <f>$Z$4</f>
        <v>J1</v>
      </c>
      <c r="AA93" s="192" t="str">
        <f ca="1">A95</f>
        <v>Ghana</v>
      </c>
      <c r="AB93" s="478" t="str" cm="1">
        <f t="array" aca="1" ref="AB93" ca="1">Ver_flag_local</f>
        <v/>
      </c>
      <c r="AC93" s="193"/>
      <c r="AD93" s="194"/>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4</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Costa de Marfil</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Ghana</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Haití</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Irak</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Irán</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Suecia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Uzbekistán</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4</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República Checa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f ca="1">+IFERROR(RANK(Y2,OFFSET($S$2,0,0,1,$D$5*3),0),"-")</f>
        <v>3</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1.9981</v>
      </c>
      <c r="T2" s="87"/>
      <c r="U2" s="65"/>
      <c r="V2" s="87">
        <f t="shared" ref="V2" ca="1" si="0">V4-(COLUMN()/10000)</f>
        <v>1.9978</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3</v>
      </c>
      <c r="Z3" s="87"/>
      <c r="AA3" s="65"/>
      <c r="AB3" s="87">
        <f ca="1">RANK(AB4,OFFSET($S$4,0,0,1,$D$5*3),0)</f>
        <v>3</v>
      </c>
      <c r="AC3" s="87"/>
      <c r="AD3" s="65"/>
      <c r="AE3" s="87">
        <f ca="1">RANK(AE4,OFFSET($S$4,0,0,1,$D$5*3),0)</f>
        <v>3</v>
      </c>
      <c r="AF3" s="87"/>
      <c r="AG3" s="65"/>
      <c r="AH3" s="87">
        <f ca="1">RANK(AH4,OFFSET($S$4,0,0,1,$D$5*3),0)</f>
        <v>3</v>
      </c>
      <c r="AI3" s="87"/>
      <c r="AJ3" s="65"/>
      <c r="AK3" s="87">
        <f ca="1">RANK(AK4,OFFSET($S$4,0,0,1,$D$5*3),0)</f>
        <v>3</v>
      </c>
      <c r="AL3" s="87"/>
      <c r="AM3" s="65"/>
      <c r="AN3" s="87">
        <f ca="1">RANK(AN4,OFFSET($S$4,0,0,1,$D$5*3),0)</f>
        <v>3</v>
      </c>
      <c r="AO3" s="87"/>
      <c r="AP3" s="65"/>
      <c r="AQ3" s="87">
        <f ca="1">RANK(AQ4,OFFSET($S$4,0,0,1,$D$5*3),0)</f>
        <v>3</v>
      </c>
      <c r="AR3" s="87"/>
      <c r="AS3" s="65"/>
      <c r="AT3" s="87">
        <f ca="1">RANK(AT4,OFFSET($S$4,0,0,1,$D$5*3),0)</f>
        <v>3</v>
      </c>
      <c r="AU3" s="87"/>
      <c r="AV3" s="65"/>
      <c r="AW3" s="87">
        <f ca="1">RANK(AW4,OFFSET($S$4,0,0,1,$D$5*3),0)</f>
        <v>3</v>
      </c>
      <c r="AX3" s="87"/>
      <c r="AY3" s="65"/>
      <c r="AZ3" s="87">
        <f ca="1">RANK(AZ4,OFFSET($S$4,0,0,1,$D$5*3),0)</f>
        <v>3</v>
      </c>
      <c r="BA3" s="87"/>
      <c r="BB3" s="65"/>
      <c r="BC3" s="87">
        <f ca="1">RANK(BC4,OFFSET($S$4,0,0,1,$D$5*3),0)</f>
        <v>3</v>
      </c>
      <c r="BD3" s="87"/>
      <c r="BE3" s="65"/>
      <c r="BF3" s="87">
        <f ca="1">RANK(BF4,OFFSET($S$4,0,0,1,$D$5*3),0)</f>
        <v>3</v>
      </c>
      <c r="BG3" s="87"/>
      <c r="BH3" s="65"/>
      <c r="BI3" s="87">
        <f ca="1">RANK(BI4,OFFSET($S$4,0,0,1,$D$5*3),0)</f>
        <v>3</v>
      </c>
      <c r="BJ3" s="87"/>
      <c r="BK3" s="65"/>
      <c r="BL3" s="87">
        <f ca="1">RANK(BL4,OFFSET($S$4,0,0,1,$D$5*3),0)</f>
        <v>3</v>
      </c>
      <c r="BM3" s="87"/>
      <c r="BN3" s="65"/>
      <c r="BO3" s="87">
        <f ca="1">RANK(BO4,OFFSET($S$4,0,0,1,$D$5*3),0)</f>
        <v>3</v>
      </c>
      <c r="BP3" s="87"/>
      <c r="BQ3" s="65"/>
      <c r="BR3" s="87">
        <f ca="1">RANK(BR4,OFFSET($S$4,0,0,1,$D$5*3),0)</f>
        <v>3</v>
      </c>
      <c r="BS3" s="87"/>
      <c r="BT3" s="65"/>
      <c r="BU3" s="87">
        <f ca="1">RANK(BU4,OFFSET($S$4,0,0,1,$D$5*3),0)</f>
        <v>3</v>
      </c>
      <c r="BV3" s="87"/>
      <c r="BW3" s="65"/>
      <c r="BX3" s="87">
        <f ca="1">RANK(BX4,OFFSET($S$4,0,0,1,$D$5*3),0)</f>
        <v>3</v>
      </c>
      <c r="BY3" s="87"/>
      <c r="BZ3" s="65"/>
      <c r="CA3" s="87">
        <f ca="1">RANK(CA4,OFFSET($S$4,0,0,1,$D$5*3),0)</f>
        <v>3</v>
      </c>
      <c r="CB3" s="87"/>
      <c r="CC3" s="65"/>
      <c r="CD3" s="87">
        <f ca="1">RANK(CD4,OFFSET($S$4,0,0,1,$D$5*3),0)</f>
        <v>3</v>
      </c>
      <c r="CE3" s="87"/>
      <c r="CF3" s="65"/>
      <c r="CG3" s="87">
        <f ca="1">RANK(CG4,OFFSET($S$4,0,0,1,$D$5*3),0)</f>
        <v>3</v>
      </c>
      <c r="CH3" s="87"/>
      <c r="CI3" s="65"/>
      <c r="CJ3" s="87">
        <f ca="1">RANK(CJ4,OFFSET($S$4,0,0,1,$D$5*3),0)</f>
        <v>3</v>
      </c>
      <c r="CK3" s="87"/>
      <c r="CL3" s="65"/>
      <c r="CM3" s="87">
        <f ca="1">RANK(CM4,OFFSET($S$4,0,0,1,$D$5*3),0)</f>
        <v>3</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2</v>
      </c>
      <c r="T4" s="68"/>
      <c r="U4" s="65"/>
      <c r="V4" s="67">
        <f ca="1">SUM(W6:W259)/2</f>
        <v>2</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1944</v>
      </c>
      <c r="T8" s="73">
        <f t="shared" si="48"/>
        <v>0</v>
      </c>
      <c r="U8" s="65"/>
      <c r="V8" s="74" t="s">
        <v>1942</v>
      </c>
      <c r="W8" s="73">
        <f t="shared" si="49"/>
        <v>0</v>
      </c>
      <c r="X8" s="65"/>
      <c r="Y8" s="74" t="s">
        <v>1944</v>
      </c>
      <c r="Z8" s="73">
        <f t="shared" si="50"/>
        <v>0</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1942</v>
      </c>
      <c r="T10" s="73">
        <f t="shared" si="48"/>
        <v>0</v>
      </c>
      <c r="U10" s="65"/>
      <c r="V10" s="74" t="s">
        <v>1948</v>
      </c>
      <c r="W10" s="73">
        <f t="shared" si="49"/>
        <v>0</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t="s">
        <v>1953</v>
      </c>
      <c r="W11" s="73">
        <f t="shared" si="49"/>
        <v>0</v>
      </c>
      <c r="X11" s="65"/>
      <c r="Y11" s="74" t="s">
        <v>1943</v>
      </c>
      <c r="Z11" s="73">
        <f t="shared" si="50"/>
        <v>0</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t="s">
        <v>1947</v>
      </c>
      <c r="W14" s="73">
        <f t="shared" si="49"/>
        <v>0</v>
      </c>
      <c r="X14" s="65"/>
      <c r="Y14" s="74" t="s">
        <v>2033</v>
      </c>
      <c r="Z14" s="73">
        <f t="shared" si="50"/>
        <v>0</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t="s">
        <v>1942</v>
      </c>
      <c r="W17" s="73">
        <f t="shared" si="49"/>
        <v>0</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t="s">
        <v>1943</v>
      </c>
      <c r="W21" s="73">
        <f t="shared" si="49"/>
        <v>0</v>
      </c>
      <c r="X21" s="65"/>
      <c r="Y21" s="74" t="s">
        <v>1944</v>
      </c>
      <c r="Z21" s="73">
        <f t="shared" si="53"/>
        <v>0</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1946</v>
      </c>
      <c r="T22" s="73">
        <f t="shared" si="48"/>
        <v>0</v>
      </c>
      <c r="U22" s="65"/>
      <c r="V22" s="74" t="s">
        <v>1942</v>
      </c>
      <c r="W22" s="73">
        <f t="shared" si="49"/>
        <v>0</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1943</v>
      </c>
      <c r="T23" s="73">
        <f t="shared" si="48"/>
        <v>0</v>
      </c>
      <c r="U23" s="65"/>
      <c r="V23" s="74" t="s">
        <v>1995</v>
      </c>
      <c r="W23" s="73">
        <f t="shared" si="49"/>
        <v>0</v>
      </c>
      <c r="X23" s="65"/>
      <c r="Y23" s="74" t="s">
        <v>1955</v>
      </c>
      <c r="Z23" s="73">
        <f t="shared" si="53"/>
        <v>0</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t="s">
        <v>1950</v>
      </c>
      <c r="W24" s="77">
        <f t="shared" si="49"/>
        <v>0</v>
      </c>
      <c r="X24" s="65"/>
      <c r="Y24" s="76" t="s">
        <v>1942</v>
      </c>
      <c r="Z24" s="77">
        <f t="shared" si="53"/>
        <v>0</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1951</v>
      </c>
      <c r="T25" s="73">
        <f t="shared" si="48"/>
        <v>0</v>
      </c>
      <c r="U25" s="65"/>
      <c r="V25" s="74" t="s">
        <v>1951</v>
      </c>
      <c r="W25" s="73">
        <f t="shared" si="49"/>
        <v>0</v>
      </c>
      <c r="X25" s="65"/>
      <c r="Y25" s="74" t="s">
        <v>1949</v>
      </c>
      <c r="Z25" s="73">
        <f t="shared" si="53"/>
        <v>0</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1945</v>
      </c>
      <c r="T27" s="73">
        <f t="shared" si="48"/>
        <v>0</v>
      </c>
      <c r="U27" s="65"/>
      <c r="V27" s="74" t="s">
        <v>1945</v>
      </c>
      <c r="W27" s="73">
        <f t="shared" si="49"/>
        <v>0</v>
      </c>
      <c r="X27" s="65"/>
      <c r="Y27" s="74" t="s">
        <v>1945</v>
      </c>
      <c r="Z27" s="73">
        <f t="shared" si="53"/>
        <v>0</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1944</v>
      </c>
      <c r="W28" s="73">
        <f t="shared" si="49"/>
        <v>0</v>
      </c>
      <c r="X28" s="65"/>
      <c r="Y28" s="74" t="s">
        <v>1952</v>
      </c>
      <c r="Z28" s="73">
        <f t="shared" si="53"/>
        <v>0</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1951</v>
      </c>
      <c r="T29" s="79">
        <f t="shared" si="54"/>
        <v>0</v>
      </c>
      <c r="U29" s="65"/>
      <c r="V29" s="78" t="s">
        <v>1942</v>
      </c>
      <c r="W29" s="79">
        <f t="shared" si="49"/>
        <v>0</v>
      </c>
      <c r="X29" s="65"/>
      <c r="Y29" s="78" t="s">
        <v>1942</v>
      </c>
      <c r="Z29" s="79">
        <f t="shared" si="53"/>
        <v>0</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2</v>
      </c>
      <c r="U78" s="64"/>
      <c r="V78" s="82"/>
      <c r="W78" s="83">
        <f>SUM(W6:W77)</f>
        <v>2</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abSelected="1"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2</v>
      </c>
      <c r="E5" s="92" cm="1">
        <f t="array" aca="1" ref="E5" ca="1">IFERROR(INDEX(Rango_Admin_Clas_Total,E$2,MATCH($A5,Rango_Admin_Clas_Primera,0)+1),"-")</f>
        <v>2</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Erika</v>
      </c>
      <c r="D6" s="91">
        <f ca="1">IFERROR(HLOOKUP(A6,Rango_Admin_Clas,4,FALSE),"-")</f>
        <v>2</v>
      </c>
      <c r="E6" s="92" cm="1">
        <f t="array" aca="1" ref="E6" ca="1">IFERROR(INDEX(Rango_Admin_Clas_Total,E$2,MATCH($A6,Rango_Admin_Clas_Primera,0)+1),"-")</f>
        <v>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Maria Delgado</v>
      </c>
      <c r="D7" s="91">
        <f ca="1">IFERROR(HLOOKUP(A7,Rango_Admin_Clas,4,FALSE),"-")</f>
        <v>0</v>
      </c>
      <c r="E7" s="92" cm="1">
        <f t="array" aca="1" ref="E7" ca="1">IFERROR(INDEX(Rango_Admin_Clas_Total,E$2,MATCH($A7,Rango_Admin_Clas_Primera,0)+1),"-")</f>
        <v>0</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1.9230769230769232E-2</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5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0</v>
      </c>
      <c r="J6" s="224">
        <f ca="1">+INDEX(WORLDCUP!$AT$6:$AT$97,MATCH(L6,WORLDCUP!$AI$6:$AI$97,0))</f>
        <v>-1</v>
      </c>
      <c r="K6" s="225" t="str">
        <f ca="1">+INDEX(WORLDCUP!$AR$6:$AR$97,MATCH(L6,WORLDCUP!$AI$6:$AI$97,0))&amp;"-"&amp;INDEX(WORLDCUP!$AS$6:$AS$97,MATCH(L6,WORLDCUP!$AI$6:$AI$97,0))</f>
        <v>1-2</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0</v>
      </c>
      <c r="J7" s="563">
        <f ca="1">+INDEX(WORLDCUP!$AT$6:$AT$97,MATCH(L7,WORLDCUP!$AI$6:$AI$97,0))</f>
        <v>-2</v>
      </c>
      <c r="K7" s="564" t="str">
        <f ca="1">+INDEX(WORLDCUP!$AR$6:$AR$97,MATCH(L7,WORLDCUP!$AI$6:$AI$97,0))&amp;"-"&amp;INDEX(WORLDCUP!$AS$6:$AS$97,MATCH(L7,WORLDCUP!$AI$6:$AI$97,0))</f>
        <v>0-2</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República Checa</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República Checa</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República Checa</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República Checa</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República Checa</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República Checa</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República Checa</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República Checa</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República Checa</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República Checa</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República Checa</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República Checa</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República Checa</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República Checa</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República Checa</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República Checa</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República Checa</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República Checa</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República Checa</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República Checa</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República Checa</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República Checa</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República Checa</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República Checa</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República Checa</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República Checa</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República Checa</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República Checa</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República Checa</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República Checa</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República Checa</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República Checa</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República Checa</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República Checa</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República Checa</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República Checa</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República Checa</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República Checa</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República Checa</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República Checa</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República Checa</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República Checa</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República Checa</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República Checa</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República Checa</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República Checa</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República Checa</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República Checa</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República Checa</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República Checa</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República Checa</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República Checa</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República Checa</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República Checa</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República Checa</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República Checa</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República Checa</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República Checa</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República Checa</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República Checa</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República Checa</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República Checa</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República Checa</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República Checa</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República Checa</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República Checa</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República Checa</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República Checa</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República Checa</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República Checa</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República Checa</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República Checa</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República Checa</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República Checa</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República Checa</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República Checa</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República Checa</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República Checa</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República Checa</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República Checa</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República Checa</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República Checa</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República Checa</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República Checa</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República Checa</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República Checa</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República Checa</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República Checa</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República Checa</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República Checa</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República Checa</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República Checa</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República Checa</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República Checa</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República Checa</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República Checa</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República Checa</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República Checa</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República Checa</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República Checa</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República Checa</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República Checa</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República Checa</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República Checa</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República Checa</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República Checa</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República Checa</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República Checa</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República Checa</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República Checa</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República Checa</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República Checa</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República Checa</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República Checa</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República Checa</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República Checa</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República Checa</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República Checa</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República Checa</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República Checa</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República Checa</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República Checa</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República Checa</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República Checa</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República Checa</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República Checa</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República Checa</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República Checa</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República Checa</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República Checa</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República Checa</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República Checa</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República Checa</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República Checa</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República Checa</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República Checa</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República Checa</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República Checa</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República Checa</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República Checa</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República Checa</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República Checa</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República Checa</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República Checa</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República Checa</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República Checa</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República Checa</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República Checa</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República Checa</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República Checa</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República Checa</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República Checa</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República Checa</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República Checa</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República Checa</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República Checa</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República Checa</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República Checa</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República Checa</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República Checa</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República Checa</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República Checa</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República Checa</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República Checa</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República Checa</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República Checa</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República Checa</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República Checa</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República Checa</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República Checa</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República Checa</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República Checa</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República Checa</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República Checa</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República Checa</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República Checa</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República Checa</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República Checa</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República Checa</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República Checa</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República Checa</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República Checa</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República Checa</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República Checa</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República Checa</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República Checa</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República Checa</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República Checa</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República Checa</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República Checa</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República Checa</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República Checa</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República Checa</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República Checa</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República Checa</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República Checa</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República Checa</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República Checa</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República Checa</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República Checa</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República Checa</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República Checa</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República Checa</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República Checa</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República Checa</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República Checa</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República Checa</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República Checa</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República Checa</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República Checa</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República Checa</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República Checa</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República Checa</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República Checa</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República Checa</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República Checa</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República Checa</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República Checa</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República Checa</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República Checa</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República Checa</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República Checa</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República Checa</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República Checa</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República Checa</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República Checa</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República Checa</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República Checa</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República Checa</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República Checa</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República Checa</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República Checa</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República Checa</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República Checa</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República Checa</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República Checa</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República Checa</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República Checa</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República Checa</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República Checa</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República Checa</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República Checa</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República Checa</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República Checa</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República Checa</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República Checa</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República Checa</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República Checa</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República Checa</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República Checa</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República Checa</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República Checa</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República Checa</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República Checa</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República Checa</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República Checa</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República Checa</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República Checa</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República Checa</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República Checa</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República Checa</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República Checa</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República Checa</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República Checa</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República Checa</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República Checa</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República Checa</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República Checa</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República Checa</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República Checa</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República Checa</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República Checa</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República Checa</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República Checa</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República Checa</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República Checa</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República Checa</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República Checa</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República Checa</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República Checa</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República Checa</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República Checa</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República Checa</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República Checa</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República Checa</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República Checa</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República Checa</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República Checa</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República Checa</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República Checa</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República Checa</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República Checa</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República Checa</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República Checa</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República Checa</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República Checa</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República Checa</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República Checa</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República Checa</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República Checa</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República Checa</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República Checa</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República Checa</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República Checa</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República Checa</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República Checa</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República Checa</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República Checa</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República Checa</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República Checa</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República Checa</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República Checa</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República Checa</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República Checa</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República Checa</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República Checa</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República Checa</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República Checa</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República Checa</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República Checa</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República Checa</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República Checa</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República Checa</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República Checa</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República Checa</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República Checa</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República Checa</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República Checa</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República Checa</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República Checa</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2026-06-12T12:17:29Z</dcterms:modified>
  <cp:category/>
</cp:coreProperties>
</file>