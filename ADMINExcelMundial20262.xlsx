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8ED5D108-6521-45EC-86BE-AFDE23FDDC0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Y5" i="46"/>
  <c r="V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s="1"/>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D442" i="36"/>
  <c r="D50" i="46" s="1"/>
  <c r="D373" i="36"/>
  <c r="D55" i="36"/>
  <c r="AM5"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5" i="46"/>
  <c r="Q22" i="6"/>
  <c r="H211" i="46"/>
  <c r="D21" i="36"/>
  <c r="AF3" i="3" s="1"/>
  <c r="AF51" i="3" s="1"/>
  <c r="D507" i="36"/>
  <c r="D20" i="36"/>
  <c r="AD3" i="3" s="1"/>
  <c r="D506" i="36"/>
  <c r="L6" i="34"/>
  <c r="C7" i="46"/>
  <c r="H233" i="46"/>
  <c r="H236" i="46"/>
  <c r="H237" i="46"/>
  <c r="C61" i="46"/>
  <c r="AM53" i="3"/>
  <c r="AM21" i="3"/>
  <c r="Q23" i="6"/>
  <c r="K5" i="46"/>
  <c r="C56" i="46" s="1"/>
  <c r="AA160" i="3"/>
  <c r="M258" i="46" s="1"/>
  <c r="AL5" i="3"/>
  <c r="AY5" i="3" s="1"/>
  <c r="H232" i="46"/>
  <c r="AA158" i="3"/>
  <c r="M256" i="46" s="1"/>
  <c r="AH158" i="3"/>
  <c r="H216" i="46"/>
  <c r="AH154" i="3"/>
  <c r="AN45" i="3"/>
  <c r="AJ52" i="3"/>
  <c r="AJ36" i="3"/>
  <c r="AJ84" i="3"/>
  <c r="M84" i="34"/>
  <c r="AC3" i="3" l="1"/>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H155" i="3"/>
  <c r="AG155" i="3" s="1"/>
  <c r="H212" i="46"/>
  <c r="H222" i="46"/>
  <c r="H220" i="46"/>
  <c r="H227" i="46"/>
  <c r="H229" i="46"/>
  <c r="Q45" i="46"/>
  <c r="H210" i="46"/>
  <c r="L13" i="34"/>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P202" i="46"/>
  <c r="P206" i="46"/>
  <c r="Q202" i="46"/>
  <c r="Q223" i="46"/>
  <c r="Q7" i="46"/>
  <c r="BA7" i="46" s="1"/>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DT130" i="3" s="1"/>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V244" i="46"/>
  <c r="AH244" i="46"/>
  <c r="BF244" i="46"/>
  <c r="CD244" i="46"/>
  <c r="AK244" i="46"/>
  <c r="BI244" i="46"/>
  <c r="CG244" i="46"/>
  <c r="AN244" i="46"/>
  <c r="BL244" i="46"/>
  <c r="CJ244" i="46"/>
  <c r="AQ244" i="46"/>
  <c r="BO244" i="46"/>
  <c r="CM244" i="46"/>
  <c r="AT244" i="46"/>
  <c r="BR244" i="46"/>
  <c r="Y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V6" i="46"/>
  <c r="CM6" i="46"/>
  <c r="Y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AE232" i="46"/>
  <c r="BC232" i="46"/>
  <c r="CA232" i="46"/>
  <c r="AH232" i="46"/>
  <c r="BF232" i="46"/>
  <c r="Y232" i="46"/>
  <c r="BI232" i="46"/>
  <c r="CJ232" i="46"/>
  <c r="AB232" i="46"/>
  <c r="BL232" i="46"/>
  <c r="CM232" i="46"/>
  <c r="AK232" i="46"/>
  <c r="BO232" i="46"/>
  <c r="AN232" i="46"/>
  <c r="BR232" i="46"/>
  <c r="AQ232" i="46"/>
  <c r="BU232" i="46"/>
  <c r="AT232" i="46"/>
  <c r="BX232" i="46"/>
  <c r="AW232" i="46"/>
  <c r="CD232" i="46"/>
  <c r="AZ232" i="46"/>
  <c r="CG232" i="46"/>
  <c r="V232" i="46"/>
  <c r="AT30" i="46"/>
  <c r="BR30" i="46"/>
  <c r="Y30" i="46"/>
  <c r="AW30" i="46"/>
  <c r="BU30" i="46"/>
  <c r="AB30" i="46"/>
  <c r="AZ30" i="46"/>
  <c r="BX30" i="46"/>
  <c r="AE30" i="46"/>
  <c r="BC30" i="46"/>
  <c r="CA30" i="46"/>
  <c r="AH30" i="46"/>
  <c r="BF30" i="46"/>
  <c r="CD30" i="46"/>
  <c r="AN30" i="46"/>
  <c r="AQ30" i="46"/>
  <c r="V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V54" i="46"/>
  <c r="AB54" i="46"/>
  <c r="AZ54" i="46"/>
  <c r="BX54" i="46"/>
  <c r="AE54" i="46"/>
  <c r="BC54" i="46"/>
  <c r="CA54" i="46"/>
  <c r="AK54" i="46"/>
  <c r="BO54" i="46"/>
  <c r="AN54" i="46"/>
  <c r="BR54" i="46"/>
  <c r="AQ54" i="46"/>
  <c r="BU54" i="46"/>
  <c r="AT54" i="46"/>
  <c r="CD54" i="46"/>
  <c r="AW54" i="46"/>
  <c r="CG54" i="46"/>
  <c r="BI54" i="46"/>
  <c r="BL54" i="46"/>
  <c r="CJ54" i="46"/>
  <c r="CM54" i="46"/>
  <c r="Y54" i="46"/>
  <c r="AH54" i="46"/>
  <c r="BF54" i="46"/>
  <c r="D367" i="36"/>
  <c r="AF91" i="3"/>
  <c r="AF67" i="3"/>
  <c r="AL85" i="3"/>
  <c r="AY85" i="3" s="1"/>
  <c r="AJ28" i="3"/>
  <c r="H244" i="46"/>
  <c r="H201" i="46"/>
  <c r="H214" i="46"/>
  <c r="H155" i="46"/>
  <c r="H140" i="46"/>
  <c r="H138" i="46"/>
  <c r="AK253" i="46"/>
  <c r="AL253" i="46" s="1"/>
  <c r="Y253" i="46"/>
  <c r="Z253" i="46" s="1"/>
  <c r="AZ253" i="46"/>
  <c r="BA253" i="46" s="1"/>
  <c r="AQ253" i="46"/>
  <c r="AR253" i="46" s="1"/>
  <c r="BI253" i="46"/>
  <c r="BJ253" i="46" s="1"/>
  <c r="BX253" i="46"/>
  <c r="BY253" i="46" s="1"/>
  <c r="AB253" i="46"/>
  <c r="AC253" i="46" s="1"/>
  <c r="AT253" i="46"/>
  <c r="AU253" i="46" s="1"/>
  <c r="CM253" i="46"/>
  <c r="CN253" i="46" s="1"/>
  <c r="BL253" i="46"/>
  <c r="BM253" i="46" s="1"/>
  <c r="CA253" i="46"/>
  <c r="CB253" i="46" s="1"/>
  <c r="AE253" i="46"/>
  <c r="AF253" i="46" s="1"/>
  <c r="AW253" i="46"/>
  <c r="AX253" i="46" s="1"/>
  <c r="BO253" i="46"/>
  <c r="BP253" i="46" s="1"/>
  <c r="CD253" i="46"/>
  <c r="CE253" i="46" s="1"/>
  <c r="AH253" i="46"/>
  <c r="AI253" i="46" s="1"/>
  <c r="BR253" i="46"/>
  <c r="BS253" i="46" s="1"/>
  <c r="BC253" i="46"/>
  <c r="BD253" i="46" s="1"/>
  <c r="CG253" i="46"/>
  <c r="CH253" i="46" s="1"/>
  <c r="V253" i="46"/>
  <c r="W253" i="46" s="1"/>
  <c r="CJ253" i="46"/>
  <c r="CK253" i="46" s="1"/>
  <c r="AN253" i="46"/>
  <c r="AO253" i="46" s="1"/>
  <c r="BF253" i="46"/>
  <c r="BG253" i="46" s="1"/>
  <c r="BU253" i="46"/>
  <c r="BV253" i="46" s="1"/>
  <c r="K193" i="46"/>
  <c r="K183" i="46"/>
  <c r="AN220" i="46"/>
  <c r="BL220" i="46"/>
  <c r="CJ220" i="46"/>
  <c r="AQ220" i="46"/>
  <c r="BO220" i="46"/>
  <c r="CM220" i="46"/>
  <c r="AT220" i="46"/>
  <c r="BX220" i="46"/>
  <c r="AW220" i="46"/>
  <c r="CA220" i="46"/>
  <c r="V220" i="46"/>
  <c r="AZ220" i="46"/>
  <c r="CD220" i="46"/>
  <c r="Y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V200" i="46"/>
  <c r="AZ200" i="46"/>
  <c r="CD200" i="46"/>
  <c r="Y200" i="46"/>
  <c r="AB200" i="46"/>
  <c r="BC200" i="46"/>
  <c r="BF200" i="46"/>
  <c r="CM200" i="46"/>
  <c r="K186"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R7" i="46" l="1"/>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V164" i="46"/>
  <c r="AT164" i="46"/>
  <c r="BR164" i="46"/>
  <c r="Y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AY101" i="3"/>
  <c r="BQ33" i="3"/>
  <c r="BR33" i="3" s="1"/>
  <c r="BQ49" i="3"/>
  <c r="BR49" i="3" s="1"/>
  <c r="BQ51" i="3"/>
  <c r="X97" i="3" l="1"/>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C9" i="3" s="1"/>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4" i="3" l="1"/>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CF14" i="3" s="1"/>
  <c r="L25" i="3"/>
  <c r="K24" i="3"/>
  <c r="L46" i="3"/>
  <c r="L48" i="3"/>
  <c r="K38" i="3"/>
  <c r="K69" i="3"/>
  <c r="L41" i="3"/>
  <c r="CF25" i="3" s="1"/>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E9" i="51"/>
  <c r="CF22" i="3"/>
  <c r="CF8" i="3"/>
  <c r="CF26" i="3"/>
  <c r="B46" i="51"/>
  <c r="B47" i="51" s="1"/>
  <c r="E10" i="51"/>
  <c r="E28" i="48"/>
  <c r="F27" i="48" a="1"/>
  <c r="F27" i="48" s="1"/>
  <c r="E12" i="51"/>
  <c r="E11" i="51"/>
  <c r="CF18" i="3" l="1"/>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W20" i="45" s="1"/>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2" i="45" l="1"/>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<sst xmlns="http://schemas.openxmlformats.org/spreadsheetml/2006/main" count="7832" uniqueCount="1994">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</sst>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46184.875</v>
      </c>
      <c r="Y4" s="190">
        <f ca="1">Horarios!C4</f>
        <v>46184.875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8" sqref="D8:D47"/>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t="str">
        <f ca="1">+IFERROR(RANK(Y2,OFFSET($S$2,0,0,1,$D$5*3),0),"-")</f>
        <v>-</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tr">
        <f>Idiomas!$G$363&amp;ADMIN!X5</f>
        <v>Pegar Valores Nombre J2</v>
      </c>
      <c r="W5" s="70"/>
      <c r="X5" s="65">
        <v>2</v>
      </c>
      <c r="Y5" s="69" t="str">
        <f>Idiomas!$G$363&amp;ADMIN!AA5</f>
        <v>Pegar Valores Nombre J3</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tr">
        <f>Idiomas!$D$364</f>
        <v>Pegar Valores (J1)</v>
      </c>
      <c r="W6" s="73">
        <f>IFERROR(IF($M6=V6,($D$8+$D$9+$D$10)*$I6,IF($N6=LEFT(V6,1),($D$8+MAX(0,IF($D$50=1,$D$9*(1-(ABS($Q6-ABS(VALUE(MID(V6,FIND("|",V6)+1,FIND("-",V6)-FIND("|",V6)-1))-VALUE(MID(V6,FIND("-",V6)+1,10)))))*$D$50),$D$9*(1-(IF($N6="X",ABS($O6-VALUE(MID(V6,FIND("|",V6)+1,FIND("-",V6)-FIND("|",V6)-1))),ABS($Q6-ABS(VALUE(MID(V6,FIND("|",V6)+1,FIND("-",V6)-FIND("|",V6)-1))-VALUE(MID(V6,FIND("-",V6)+1,10)))))*$D$50)))))*$I6,0)),0)</f>
        <v>0</v>
      </c>
      <c r="X6" s="111"/>
      <c r="Y6" s="72" t="str">
        <f>Idiomas!$D$364</f>
        <v>Pegar Valores (J1)</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c r="W7" s="73">
        <f t="shared" ref="W7:W41" si="49">IFERROR(IF($M7=V7,($D$8+$D$9+$D$10)*$I7,IF($N7=LEFT(V7,1),($D$8+MAX(0,IF($D$50=1,$D$9*(1-(ABS($Q7-ABS(VALUE(MID(V7,FIND("|",V7)+1,FIND("-",V7)-FIND("|",V7)-1))-VALUE(MID(V7,FIND("-",V7)+1,10)))))*$D$50),$D$9*(1-(IF($N7="X",ABS($O7-VALUE(MID(V7,FIND("|",V7)+1,FIND("-",V7)-FIND("|",V7)-1))),ABS($Q7-ABS(VALUE(MID(V7,FIND("|",V7)+1,FIND("-",V7)-FIND("|",V7)-1))-VALUE(MID(V7,FIND("-",V7)+1,10)))))*$D$50)))))*$I7,0)),0)</f>
        <v>0</v>
      </c>
      <c r="X7" s="111"/>
      <c r="Y7" s="72"/>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c r="W8" s="73">
        <f t="shared" si="49"/>
        <v>0</v>
      </c>
      <c r="X8" s="65"/>
      <c r="Y8" s="74"/>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c r="W9" s="73">
        <f t="shared" si="49"/>
        <v>0</v>
      </c>
      <c r="X9" s="65"/>
      <c r="Y9" s="75"/>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c r="W10" s="73">
        <f t="shared" si="49"/>
        <v>0</v>
      </c>
      <c r="X10" s="65"/>
      <c r="Y10" s="74"/>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c r="W11" s="73">
        <f t="shared" si="49"/>
        <v>0</v>
      </c>
      <c r="X11" s="65"/>
      <c r="Y11" s="74"/>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c r="W12" s="73">
        <f t="shared" si="49"/>
        <v>0</v>
      </c>
      <c r="X12" s="65"/>
      <c r="Y12" s="74"/>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c r="W13" s="73">
        <f t="shared" si="49"/>
        <v>0</v>
      </c>
      <c r="X13" s="65"/>
      <c r="Y13" s="74"/>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c r="W14" s="73">
        <f t="shared" si="49"/>
        <v>0</v>
      </c>
      <c r="X14" s="65"/>
      <c r="Y14" s="74"/>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c r="W15" s="73">
        <f t="shared" si="49"/>
        <v>0</v>
      </c>
      <c r="X15" s="65"/>
      <c r="Y15" s="74"/>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c r="W16" s="73">
        <f t="shared" si="49"/>
        <v>0</v>
      </c>
      <c r="X16" s="65"/>
      <c r="Y16" s="74"/>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c r="W17" s="73">
        <f t="shared" si="49"/>
        <v>0</v>
      </c>
      <c r="X17" s="65"/>
      <c r="Y17" s="74"/>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c r="W18" s="73">
        <f t="shared" si="49"/>
        <v>0</v>
      </c>
      <c r="X18" s="65"/>
      <c r="Y18" s="74"/>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c r="W19" s="73">
        <f t="shared" si="49"/>
        <v>0</v>
      </c>
      <c r="X19" s="65"/>
      <c r="Y19" s="74"/>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c r="W20" s="73">
        <f t="shared" si="49"/>
        <v>0</v>
      </c>
      <c r="X20" s="65"/>
      <c r="Y20" s="74"/>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c r="W21" s="73">
        <f t="shared" si="49"/>
        <v>0</v>
      </c>
      <c r="X21" s="65"/>
      <c r="Y21" s="74"/>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c r="W22" s="73">
        <f t="shared" si="49"/>
        <v>0</v>
      </c>
      <c r="X22" s="65"/>
      <c r="Y22" s="74"/>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c r="W23" s="73">
        <f t="shared" si="49"/>
        <v>0</v>
      </c>
      <c r="X23" s="65"/>
      <c r="Y23" s="74"/>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c r="W24" s="77">
        <f t="shared" si="49"/>
        <v>0</v>
      </c>
      <c r="X24" s="65"/>
      <c r="Y24" s="76"/>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c r="W25" s="73">
        <f t="shared" si="49"/>
        <v>0</v>
      </c>
      <c r="X25" s="65"/>
      <c r="Y25" s="74"/>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c r="W26" s="73">
        <f t="shared" si="49"/>
        <v>0</v>
      </c>
      <c r="X26" s="65"/>
      <c r="Y26" s="74"/>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c r="W27" s="73">
        <f t="shared" si="49"/>
        <v>0</v>
      </c>
      <c r="X27" s="65"/>
      <c r="Y27" s="74"/>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c r="W28" s="73">
        <f t="shared" si="49"/>
        <v>0</v>
      </c>
      <c r="X28" s="65"/>
      <c r="Y28" s="74"/>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c r="W29" s="79">
        <f t="shared" si="49"/>
        <v>0</v>
      </c>
      <c r="X29" s="65"/>
      <c r="Y29" s="78"/>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tr">
        <f>Idiomas!$D$365</f>
        <v>Pegar Valores (J2)</v>
      </c>
      <c r="W30" s="77">
        <f t="shared" si="49"/>
        <v>0</v>
      </c>
      <c r="X30" s="65"/>
      <c r="Y30" s="76" t="str">
        <f>Idiomas!$D$365</f>
        <v>Pegar Valores (J2)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c r="W31" s="73">
        <f t="shared" si="49"/>
        <v>0</v>
      </c>
      <c r="X31" s="65"/>
      <c r="Y31" s="74"/>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c r="W32" s="73">
        <f t="shared" si="49"/>
        <v>0</v>
      </c>
      <c r="X32" s="65"/>
      <c r="Y32" s="74"/>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c r="W33" s="73">
        <f t="shared" si="49"/>
        <v>0</v>
      </c>
      <c r="X33" s="65"/>
      <c r="Y33" s="74"/>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c r="W34" s="73">
        <f t="shared" si="49"/>
        <v>0</v>
      </c>
      <c r="X34" s="65"/>
      <c r="Y34" s="74"/>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c r="W35" s="73">
        <f t="shared" si="49"/>
        <v>0</v>
      </c>
      <c r="X35" s="65"/>
      <c r="Y35" s="74"/>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c r="W36" s="73">
        <f t="shared" si="49"/>
        <v>0</v>
      </c>
      <c r="X36" s="65"/>
      <c r="Y36" s="74"/>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c r="W37" s="73">
        <f t="shared" si="49"/>
        <v>0</v>
      </c>
      <c r="X37" s="65"/>
      <c r="Y37" s="74"/>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c r="W38" s="73">
        <f t="shared" si="49"/>
        <v>0</v>
      </c>
      <c r="X38" s="65"/>
      <c r="Y38" s="74"/>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c r="W39" s="73">
        <f t="shared" si="49"/>
        <v>0</v>
      </c>
      <c r="X39" s="65"/>
      <c r="Y39" s="74"/>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c r="W40" s="73">
        <f t="shared" si="49"/>
        <v>0</v>
      </c>
      <c r="X40" s="65"/>
      <c r="Y40" s="74"/>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c r="W41" s="73">
        <f t="shared" si="49"/>
        <v>0</v>
      </c>
      <c r="X41" s="65"/>
      <c r="Y41" s="74"/>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c r="W44" s="73">
        <f t="shared" si="58"/>
        <v>0</v>
      </c>
      <c r="X44" s="65"/>
      <c r="Y44" s="74"/>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c r="W45" s="73">
        <f t="shared" si="58"/>
        <v>0</v>
      </c>
      <c r="X45" s="65"/>
      <c r="Y45" s="74"/>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c r="W46" s="73">
        <f t="shared" si="58"/>
        <v>0</v>
      </c>
      <c r="X46" s="65"/>
      <c r="Y46" s="74"/>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c r="W47" s="73">
        <f t="shared" si="58"/>
        <v>0</v>
      </c>
      <c r="X47" s="65"/>
      <c r="Y47" s="74"/>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c r="W48" s="73">
        <f t="shared" si="58"/>
        <v>0</v>
      </c>
      <c r="X48" s="65"/>
      <c r="Y48" s="74"/>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c r="W49" s="73">
        <f t="shared" si="58"/>
        <v>0</v>
      </c>
      <c r="X49" s="65"/>
      <c r="Y49" s="74"/>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c r="W50" s="73">
        <f t="shared" si="58"/>
        <v>0</v>
      </c>
      <c r="X50" s="65"/>
      <c r="Y50" s="74"/>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c r="W51" s="73">
        <f t="shared" si="58"/>
        <v>0</v>
      </c>
      <c r="X51" s="65"/>
      <c r="Y51" s="74"/>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c r="W52" s="73">
        <f t="shared" si="58"/>
        <v>0</v>
      </c>
      <c r="X52" s="65"/>
      <c r="Y52" s="74"/>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c r="W53" s="79">
        <f t="shared" si="58"/>
        <v>0</v>
      </c>
      <c r="X53" s="65"/>
      <c r="Y53" s="78"/>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tr">
        <f>Idiomas!$D$366</f>
        <v>Pegar Valores (J3)</v>
      </c>
      <c r="W54" s="77">
        <f t="shared" si="58"/>
        <v>0</v>
      </c>
      <c r="X54" s="65"/>
      <c r="Y54" s="76" t="str">
        <f>Idiomas!$D$366</f>
        <v>Pegar Valores (J3)</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c r="W55" s="73">
        <f t="shared" si="58"/>
        <v>0</v>
      </c>
      <c r="X55" s="65"/>
      <c r="Y55" s="74"/>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c r="W56" s="73">
        <f t="shared" si="58"/>
        <v>0</v>
      </c>
      <c r="X56" s="65"/>
      <c r="Y56" s="74"/>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c r="W57" s="73">
        <f t="shared" si="58"/>
        <v>0</v>
      </c>
      <c r="X57" s="65"/>
      <c r="Y57" s="74"/>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c r="W58" s="73">
        <f t="shared" si="58"/>
        <v>0</v>
      </c>
      <c r="X58" s="65"/>
      <c r="Y58" s="74"/>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c r="W59" s="73">
        <f t="shared" si="58"/>
        <v>0</v>
      </c>
      <c r="X59" s="65"/>
      <c r="Y59" s="74"/>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c r="W60" s="77">
        <f t="shared" si="58"/>
        <v>0</v>
      </c>
      <c r="X60" s="65"/>
      <c r="Y60" s="76"/>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c r="W61" s="73">
        <f t="shared" si="58"/>
        <v>0</v>
      </c>
      <c r="X61" s="65"/>
      <c r="Y61" s="74"/>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c r="W62" s="73">
        <f t="shared" si="58"/>
        <v>0</v>
      </c>
      <c r="X62" s="65"/>
      <c r="Y62" s="74"/>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c r="W63" s="73">
        <f t="shared" si="58"/>
        <v>0</v>
      </c>
      <c r="X63" s="65"/>
      <c r="Y63" s="74"/>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c r="W64" s="73">
        <f t="shared" si="58"/>
        <v>0</v>
      </c>
      <c r="X64" s="65"/>
      <c r="Y64" s="74"/>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c r="W65" s="73">
        <f t="shared" si="58"/>
        <v>0</v>
      </c>
      <c r="X65" s="65"/>
      <c r="Y65" s="74"/>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c r="W66" s="73">
        <f t="shared" si="58"/>
        <v>0</v>
      </c>
      <c r="X66" s="65"/>
      <c r="Y66" s="74"/>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c r="W67" s="73">
        <f t="shared" si="58"/>
        <v>0</v>
      </c>
      <c r="X67" s="65"/>
      <c r="Y67" s="74"/>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c r="W68" s="73">
        <f t="shared" si="58"/>
        <v>0</v>
      </c>
      <c r="X68" s="65"/>
      <c r="Y68" s="74"/>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c r="W69" s="73">
        <f t="shared" si="58"/>
        <v>0</v>
      </c>
      <c r="X69" s="65"/>
      <c r="Y69" s="74"/>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c r="W70" s="73">
        <f t="shared" si="58"/>
        <v>0</v>
      </c>
      <c r="X70" s="65"/>
      <c r="Y70" s="74"/>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c r="W71" s="73">
        <f t="shared" si="58"/>
        <v>0</v>
      </c>
      <c r="X71" s="65"/>
      <c r="Y71" s="74"/>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c r="W72" s="73">
        <f t="shared" si="58"/>
        <v>0</v>
      </c>
      <c r="X72" s="65"/>
      <c r="Y72" s="74"/>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c r="W73" s="73">
        <f t="shared" si="58"/>
        <v>0</v>
      </c>
      <c r="X73" s="65"/>
      <c r="Y73" s="74"/>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c r="W76" s="73">
        <f t="shared" si="67"/>
        <v>0</v>
      </c>
      <c r="X76" s="65"/>
      <c r="Y76" s="74"/>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c r="W77" s="81">
        <f t="shared" si="67"/>
        <v>0</v>
      </c>
      <c r="X77" s="65"/>
      <c r="Y77" s="80"/>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c r="W80" s="77">
        <f t="shared" ref="W80" ca="1" si="91">($M80=V80)*$D$11</f>
        <v>0</v>
      </c>
      <c r="X80" s="64"/>
      <c r="Y80" s="76"/>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c r="W81" s="73">
        <f t="shared" ref="W81" ca="1" si="115">($M81=V81)*$D$12</f>
        <v>0</v>
      </c>
      <c r="X81" s="64"/>
      <c r="Y81" s="74"/>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c r="W82" s="73">
        <f t="shared" ref="W82" ca="1" si="139">($M82=V82)*$D$13</f>
        <v>0</v>
      </c>
      <c r="X82" s="64"/>
      <c r="Y82" s="74"/>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c r="W83" s="73">
        <f t="shared" ref="W83" ca="1" si="163">($M83=V83)*$D$14</f>
        <v>0</v>
      </c>
      <c r="X83" s="64"/>
      <c r="Y83" s="74"/>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c r="W84" s="73">
        <f t="shared" ref="W84:CH84" ca="1" si="189">($M84=V84)*$D$11</f>
        <v>0</v>
      </c>
      <c r="X84" s="64"/>
      <c r="Y84" s="74"/>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c r="W85" s="73">
        <f t="shared" ref="W85:CH85" ca="1" si="193">($M85=V85)*$D$12</f>
        <v>0</v>
      </c>
      <c r="X85" s="64"/>
      <c r="Y85" s="74"/>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c r="W86" s="73">
        <f t="shared" ref="W86:CH86" ca="1" si="197">($M86=V86)*$D$13</f>
        <v>0</v>
      </c>
      <c r="X86" s="64"/>
      <c r="Y86" s="74"/>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c r="W87" s="73">
        <f t="shared" ref="W87:CH87" ca="1" si="201">($M87=V87)*$D$14</f>
        <v>0</v>
      </c>
      <c r="X87" s="64"/>
      <c r="Y87" s="74"/>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c r="W88" s="73">
        <f t="shared" ref="W88:CH88" ca="1" si="205">($M88=V88)*$D$11</f>
        <v>0</v>
      </c>
      <c r="X88" s="64"/>
      <c r="Y88" s="74"/>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c r="W89" s="73">
        <f t="shared" ref="W89:CH89" ca="1" si="209">($M89=V89)*$D$12</f>
        <v>0</v>
      </c>
      <c r="X89" s="64"/>
      <c r="Y89" s="74"/>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c r="W90" s="73">
        <f t="shared" ref="W90:CH90" ca="1" si="213">($M90=V90)*$D$13</f>
        <v>0</v>
      </c>
      <c r="X90" s="64"/>
      <c r="Y90" s="74"/>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c r="W91" s="73">
        <f t="shared" ref="W91:CH91" ca="1" si="217">($M91=V91)*$D$14</f>
        <v>0</v>
      </c>
      <c r="X91" s="64"/>
      <c r="Y91" s="74"/>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c r="W92" s="73">
        <f t="shared" ref="W92:CH92" ca="1" si="221">($M92=V92)*$D$11</f>
        <v>0</v>
      </c>
      <c r="X92" s="64"/>
      <c r="Y92" s="74"/>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c r="W93" s="73">
        <f t="shared" ref="W93:CH93" ca="1" si="225">($M93=V93)*$D$12</f>
        <v>0</v>
      </c>
      <c r="X93" s="64"/>
      <c r="Y93" s="74"/>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c r="W94" s="73">
        <f t="shared" ref="W94:CH94" ca="1" si="229">($M94=V94)*$D$13</f>
        <v>0</v>
      </c>
      <c r="X94" s="64"/>
      <c r="Y94" s="74"/>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c r="W95" s="73">
        <f t="shared" ref="W95:CH95" ca="1" si="233">($M95=V95)*$D$14</f>
        <v>0</v>
      </c>
      <c r="X95" s="64"/>
      <c r="Y95" s="74"/>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c r="W96" s="73">
        <f t="shared" ref="W96:CH96" ca="1" si="237">($M96=V96)*$D$11</f>
        <v>0</v>
      </c>
      <c r="X96" s="64"/>
      <c r="Y96" s="74"/>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c r="W97" s="73">
        <f t="shared" ref="W97:CH97" ca="1" si="241">($M97=V97)*$D$12</f>
        <v>0</v>
      </c>
      <c r="X97" s="64"/>
      <c r="Y97" s="74"/>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c r="W98" s="73">
        <f t="shared" ref="W98:CH98" ca="1" si="245">($M98=V98)*$D$13</f>
        <v>0</v>
      </c>
      <c r="X98" s="64"/>
      <c r="Y98" s="74"/>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c r="W99" s="73">
        <f t="shared" ref="W99:CH99" ca="1" si="249">($M99=V99)*$D$14</f>
        <v>0</v>
      </c>
      <c r="X99" s="64"/>
      <c r="Y99" s="74"/>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c r="W100" s="73">
        <f t="shared" ref="W100:CH100" ca="1" si="253">($M100=V100)*$D$11</f>
        <v>0</v>
      </c>
      <c r="X100" s="64"/>
      <c r="Y100" s="74"/>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c r="W101" s="73">
        <f t="shared" ref="W101:CH101" ca="1" si="257">($M101=V101)*$D$12</f>
        <v>0</v>
      </c>
      <c r="X101" s="64"/>
      <c r="Y101" s="74"/>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c r="W102" s="73">
        <f t="shared" ref="W102:CH102" ca="1" si="261">($M102=V102)*$D$13</f>
        <v>0</v>
      </c>
      <c r="X102" s="64"/>
      <c r="Y102" s="74"/>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c r="W103" s="73">
        <f t="shared" ref="W103:CH103" ca="1" si="265">($M103=V103)*$D$14</f>
        <v>0</v>
      </c>
      <c r="X103" s="64"/>
      <c r="Y103" s="74"/>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c r="W104" s="73">
        <f t="shared" ref="W104:CH104" ca="1" si="269">($M104=V104)*$D$11</f>
        <v>0</v>
      </c>
      <c r="X104" s="64"/>
      <c r="Y104" s="74"/>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c r="W105" s="73">
        <f t="shared" ref="W105:CH105" ca="1" si="273">($M105=V105)*$D$12</f>
        <v>0</v>
      </c>
      <c r="X105" s="64"/>
      <c r="Y105" s="74"/>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c r="W106" s="73">
        <f t="shared" ref="W106:CH106" ca="1" si="277">($M106=V106)*$D$13</f>
        <v>0</v>
      </c>
      <c r="X106" s="64"/>
      <c r="Y106" s="74"/>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c r="W107" s="73">
        <f t="shared" ref="W107:CH107" ca="1" si="281">($M107=V107)*$D$14</f>
        <v>0</v>
      </c>
      <c r="X107" s="64"/>
      <c r="Y107" s="74"/>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c r="W108" s="73">
        <f t="shared" ref="W108:CH108" ca="1" si="285">($M108=V108)*$D$11</f>
        <v>0</v>
      </c>
      <c r="X108" s="64"/>
      <c r="Y108" s="74"/>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c r="W109" s="73">
        <f t="shared" ref="W109:CH109" ca="1" si="289">($M109=V109)*$D$12</f>
        <v>0</v>
      </c>
      <c r="X109" s="64"/>
      <c r="Y109" s="74"/>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c r="W110" s="73">
        <f t="shared" ref="W110:CH110" ca="1" si="293">($M110=V110)*$D$13</f>
        <v>0</v>
      </c>
      <c r="X110" s="64"/>
      <c r="Y110" s="74"/>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c r="W111" s="73">
        <f t="shared" ref="W111:CH111" ca="1" si="297">($M111=V111)*$D$14</f>
        <v>0</v>
      </c>
      <c r="X111" s="64"/>
      <c r="Y111" s="74"/>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c r="W112" s="73">
        <f t="shared" ref="W112:CH112" ca="1" si="301">($M112=V112)*$D$11</f>
        <v>0</v>
      </c>
      <c r="X112" s="64"/>
      <c r="Y112" s="74"/>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c r="W113" s="73">
        <f t="shared" ref="W113:CH113" ca="1" si="305">($M113=V113)*$D$12</f>
        <v>0</v>
      </c>
      <c r="X113" s="64"/>
      <c r="Y113" s="74"/>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c r="W114" s="73">
        <f t="shared" ref="W114:CH114" ca="1" si="309">($M114=V114)*$D$13</f>
        <v>0</v>
      </c>
      <c r="X114" s="64"/>
      <c r="Y114" s="74"/>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c r="W115" s="73">
        <f t="shared" ref="W115:CH115" ca="1" si="313">($M115=V115)*$D$14</f>
        <v>0</v>
      </c>
      <c r="X115" s="64"/>
      <c r="Y115" s="74"/>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c r="W116" s="73">
        <f t="shared" ref="W116:CH116" ca="1" si="317">($M116=V116)*$D$11</f>
        <v>0</v>
      </c>
      <c r="X116" s="64"/>
      <c r="Y116" s="74"/>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c r="W117" s="73">
        <f t="shared" ref="W117:CH117" ca="1" si="321">($M117=V117)*$D$12</f>
        <v>0</v>
      </c>
      <c r="X117" s="64"/>
      <c r="Y117" s="74"/>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c r="W118" s="73">
        <f t="shared" ref="W118:CH118" ca="1" si="325">($M118=V118)*$D$13</f>
        <v>0</v>
      </c>
      <c r="X118" s="64"/>
      <c r="Y118" s="74"/>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c r="W119" s="73">
        <f t="shared" ref="W119:CH119" ca="1" si="329">($M119=V119)*$D$14</f>
        <v>0</v>
      </c>
      <c r="X119" s="64"/>
      <c r="Y119" s="74"/>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c r="W120" s="73">
        <f t="shared" ref="W120:CH120" ca="1" si="333">($M120=V120)*$D$11</f>
        <v>0</v>
      </c>
      <c r="X120" s="64"/>
      <c r="Y120" s="74"/>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c r="W121" s="73">
        <f t="shared" ref="W121:CH121" ca="1" si="337">($M121=V121)*$D$12</f>
        <v>0</v>
      </c>
      <c r="X121" s="64"/>
      <c r="Y121" s="74"/>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c r="W122" s="73">
        <f t="shared" ref="W122:CH122" ca="1" si="341">($M122=V122)*$D$13</f>
        <v>0</v>
      </c>
      <c r="X122" s="64"/>
      <c r="Y122" s="74"/>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c r="W123" s="73">
        <f t="shared" ref="W123:CH123" ca="1" si="345">($M123=V123)*$D$14</f>
        <v>0</v>
      </c>
      <c r="X123" s="64"/>
      <c r="Y123" s="74"/>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c r="W124" s="73">
        <f t="shared" ref="W124:CH124" ca="1" si="349">($M124=V124)*$D$11</f>
        <v>0</v>
      </c>
      <c r="X124" s="64"/>
      <c r="Y124" s="74"/>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c r="W125" s="73">
        <f t="shared" ref="W125:CH125" ca="1" si="353">($M125=V125)*$D$12</f>
        <v>0</v>
      </c>
      <c r="X125" s="64"/>
      <c r="Y125" s="74"/>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c r="W126" s="73">
        <f t="shared" ref="W126:CH126" ca="1" si="357">($M126=V126)*$D$13</f>
        <v>0</v>
      </c>
      <c r="X126" s="64"/>
      <c r="Y126" s="74"/>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c r="W127" s="81">
        <f t="shared" ref="W127:CH127" ca="1" si="361">($M127=V127)*$D$14</f>
        <v>0</v>
      </c>
      <c r="X127" s="64"/>
      <c r="Y127" s="80"/>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c r="W130" s="77">
        <f t="shared" ref="W130:W161" ca="1" si="388">COUNTIF($M$130:$M$161,V130)*$D$15</f>
        <v>0</v>
      </c>
      <c r="X130" s="64"/>
      <c r="Y130" s="76"/>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c r="W131" s="73">
        <f t="shared" ca="1" si="388"/>
        <v>0</v>
      </c>
      <c r="X131" s="64"/>
      <c r="Y131" s="74"/>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c r="W132" s="73">
        <f t="shared" ca="1" si="388"/>
        <v>0</v>
      </c>
      <c r="X132" s="64"/>
      <c r="Y132" s="74"/>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c r="W133" s="73">
        <f t="shared" ca="1" si="388"/>
        <v>0</v>
      </c>
      <c r="X133" s="64"/>
      <c r="Y133" s="74"/>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c r="W134" s="73">
        <f t="shared" ca="1" si="388"/>
        <v>0</v>
      </c>
      <c r="X134" s="64"/>
      <c r="Y134" s="74"/>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c r="W135" s="73">
        <f t="shared" ca="1" si="388"/>
        <v>0</v>
      </c>
      <c r="X135" s="64"/>
      <c r="Y135" s="74"/>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c r="W136" s="73">
        <f t="shared" ca="1" si="388"/>
        <v>0</v>
      </c>
      <c r="X136" s="64"/>
      <c r="Y136" s="74"/>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c r="W137" s="73">
        <f t="shared" ca="1" si="388"/>
        <v>0</v>
      </c>
      <c r="X137" s="64"/>
      <c r="Y137" s="74"/>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c r="W138" s="73">
        <f t="shared" ca="1" si="388"/>
        <v>0</v>
      </c>
      <c r="X138" s="64"/>
      <c r="Y138" s="74"/>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c r="W139" s="73">
        <f t="shared" ca="1" si="388"/>
        <v>0</v>
      </c>
      <c r="X139" s="64"/>
      <c r="Y139" s="74"/>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c r="W140" s="73">
        <f t="shared" ca="1" si="388"/>
        <v>0</v>
      </c>
      <c r="X140" s="64"/>
      <c r="Y140" s="74"/>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c r="W141" s="73">
        <f t="shared" ca="1" si="388"/>
        <v>0</v>
      </c>
      <c r="X141" s="64"/>
      <c r="Y141" s="74"/>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c r="W142" s="73">
        <f t="shared" ca="1" si="388"/>
        <v>0</v>
      </c>
      <c r="X142" s="64"/>
      <c r="Y142" s="74"/>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c r="W143" s="73">
        <f t="shared" ca="1" si="388"/>
        <v>0</v>
      </c>
      <c r="X143" s="64"/>
      <c r="Y143" s="74"/>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c r="W144" s="73">
        <f t="shared" ca="1" si="388"/>
        <v>0</v>
      </c>
      <c r="X144" s="64"/>
      <c r="Y144" s="74"/>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c r="W145" s="73">
        <f t="shared" ca="1" si="388"/>
        <v>0</v>
      </c>
      <c r="X145" s="64"/>
      <c r="Y145" s="74"/>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c r="W146" s="73">
        <f t="shared" ca="1" si="388"/>
        <v>0</v>
      </c>
      <c r="X146" s="64"/>
      <c r="Y146" s="74"/>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c r="W147" s="73">
        <f t="shared" ca="1" si="388"/>
        <v>0</v>
      </c>
      <c r="X147" s="64"/>
      <c r="Y147" s="74"/>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c r="W148" s="73">
        <f t="shared" ca="1" si="388"/>
        <v>0</v>
      </c>
      <c r="X148" s="64"/>
      <c r="Y148" s="74"/>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c r="W149" s="73">
        <f t="shared" ca="1" si="388"/>
        <v>0</v>
      </c>
      <c r="X149" s="64"/>
      <c r="Y149" s="74"/>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c r="W150" s="73">
        <f t="shared" ca="1" si="388"/>
        <v>0</v>
      </c>
      <c r="X150" s="64"/>
      <c r="Y150" s="74"/>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c r="W151" s="73">
        <f t="shared" ca="1" si="388"/>
        <v>0</v>
      </c>
      <c r="X151" s="64"/>
      <c r="Y151" s="74"/>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c r="W152" s="73">
        <f t="shared" ca="1" si="388"/>
        <v>0</v>
      </c>
      <c r="X152" s="64"/>
      <c r="Y152" s="74"/>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c r="W153" s="73">
        <f t="shared" ca="1" si="388"/>
        <v>0</v>
      </c>
      <c r="X153" s="64"/>
      <c r="Y153" s="74"/>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c r="W154" s="73">
        <f t="shared" ca="1" si="388"/>
        <v>0</v>
      </c>
      <c r="X154" s="64"/>
      <c r="Y154" s="74"/>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c r="W155" s="73">
        <f t="shared" ca="1" si="388"/>
        <v>0</v>
      </c>
      <c r="X155" s="64"/>
      <c r="Y155" s="74"/>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c r="W156" s="73">
        <f t="shared" ca="1" si="388"/>
        <v>0</v>
      </c>
      <c r="X156" s="64"/>
      <c r="Y156" s="74"/>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c r="W157" s="73">
        <f t="shared" ca="1" si="388"/>
        <v>0</v>
      </c>
      <c r="X157" s="64"/>
      <c r="Y157" s="74"/>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c r="W158" s="73">
        <f t="shared" ca="1" si="388"/>
        <v>0</v>
      </c>
      <c r="X158" s="64"/>
      <c r="Y158" s="74"/>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c r="W159" s="73">
        <f t="shared" ca="1" si="388"/>
        <v>0</v>
      </c>
      <c r="X159" s="64"/>
      <c r="Y159" s="74"/>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c r="W160" s="73">
        <f t="shared" ca="1" si="388"/>
        <v>0</v>
      </c>
      <c r="X160" s="64"/>
      <c r="Y160" s="74"/>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c r="W161" s="81">
        <f t="shared" ca="1" si="388"/>
        <v>0</v>
      </c>
      <c r="X161" s="64"/>
      <c r="Y161" s="80"/>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tr">
        <f>Idiomas!$D$367</f>
        <v>Pegar Valores Dieciseisavos</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tr">
        <f>Idiomas!$D$367</f>
        <v>Pegar Valores Dieciseisavos</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c r="W165" s="77">
        <f t="shared" ca="1" si="437"/>
        <v>0</v>
      </c>
      <c r="X165" s="110"/>
      <c r="Y165" s="74"/>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c r="W166" s="77">
        <f t="shared" ca="1" si="437"/>
        <v>0</v>
      </c>
      <c r="X166" s="110"/>
      <c r="Y166" s="74"/>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c r="W167" s="77">
        <f t="shared" ca="1" si="437"/>
        <v>0</v>
      </c>
      <c r="X167" s="110"/>
      <c r="Y167" s="74"/>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c r="W168" s="77">
        <f t="shared" ca="1" si="437"/>
        <v>0</v>
      </c>
      <c r="X168" s="110"/>
      <c r="Y168" s="74"/>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c r="W169" s="77">
        <f t="shared" ca="1" si="437"/>
        <v>0</v>
      </c>
      <c r="X169" s="110"/>
      <c r="Y169" s="74"/>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c r="W170" s="77">
        <f t="shared" ca="1" si="437"/>
        <v>0</v>
      </c>
      <c r="X170" s="110"/>
      <c r="Y170" s="74"/>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c r="W171" s="77">
        <f t="shared" ca="1" si="437"/>
        <v>0</v>
      </c>
      <c r="X171" s="110"/>
      <c r="Y171" s="74"/>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c r="W172" s="77">
        <f t="shared" ca="1" si="437"/>
        <v>0</v>
      </c>
      <c r="X172" s="110"/>
      <c r="Y172" s="74"/>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c r="W173" s="77">
        <f t="shared" ca="1" si="437"/>
        <v>0</v>
      </c>
      <c r="X173" s="110"/>
      <c r="Y173" s="74"/>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c r="W174" s="77">
        <f t="shared" ca="1" si="437"/>
        <v>0</v>
      </c>
      <c r="X174" s="110"/>
      <c r="Y174" s="74"/>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c r="W175" s="77">
        <f t="shared" ca="1" si="437"/>
        <v>0</v>
      </c>
      <c r="X175" s="110"/>
      <c r="Y175" s="74"/>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c r="W176" s="77">
        <f t="shared" ca="1" si="437"/>
        <v>0</v>
      </c>
      <c r="X176" s="110"/>
      <c r="Y176" s="74"/>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c r="W178" s="77">
        <f t="shared" ca="1" si="467"/>
        <v>0</v>
      </c>
      <c r="X178" s="110"/>
      <c r="Y178" s="74"/>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c r="W179" s="81">
        <f t="shared" ca="1" si="467"/>
        <v>0</v>
      </c>
      <c r="X179" s="110"/>
      <c r="Y179" s="80"/>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c r="W182" s="77">
        <f t="shared" ref="W182:W197" si="493">COUNTIF($M$182:$M$197,V182)*$D$19</f>
        <v>0</v>
      </c>
      <c r="X182" s="64"/>
      <c r="Y182" s="76"/>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c r="W183" s="73">
        <f t="shared" si="493"/>
        <v>0</v>
      </c>
      <c r="X183" s="64"/>
      <c r="Y183" s="74"/>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c r="W184" s="73">
        <f t="shared" si="493"/>
        <v>0</v>
      </c>
      <c r="X184" s="64"/>
      <c r="Y184" s="74"/>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c r="W185" s="73">
        <f t="shared" si="493"/>
        <v>0</v>
      </c>
      <c r="X185" s="64"/>
      <c r="Y185" s="74"/>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c r="W186" s="73">
        <f t="shared" si="493"/>
        <v>0</v>
      </c>
      <c r="X186" s="64"/>
      <c r="Y186" s="74"/>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c r="W187" s="73">
        <f t="shared" si="493"/>
        <v>0</v>
      </c>
      <c r="X187" s="64"/>
      <c r="Y187" s="74"/>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c r="W188" s="73">
        <f t="shared" si="493"/>
        <v>0</v>
      </c>
      <c r="X188" s="64"/>
      <c r="Y188" s="74"/>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c r="W189" s="73">
        <f t="shared" si="493"/>
        <v>0</v>
      </c>
      <c r="X189" s="64"/>
      <c r="Y189" s="74"/>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c r="W190" s="73">
        <f t="shared" si="493"/>
        <v>0</v>
      </c>
      <c r="X190" s="64"/>
      <c r="Y190" s="74"/>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c r="W191" s="73">
        <f t="shared" si="493"/>
        <v>0</v>
      </c>
      <c r="X191" s="64"/>
      <c r="Y191" s="74"/>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c r="W192" s="73">
        <f t="shared" si="493"/>
        <v>0</v>
      </c>
      <c r="X192" s="64"/>
      <c r="Y192" s="74"/>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c r="W193" s="73">
        <f t="shared" si="493"/>
        <v>0</v>
      </c>
      <c r="X193" s="64"/>
      <c r="Y193" s="74"/>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c r="W194" s="73">
        <f t="shared" si="493"/>
        <v>0</v>
      </c>
      <c r="X194" s="64"/>
      <c r="Y194" s="74"/>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c r="W195" s="73">
        <f t="shared" si="493"/>
        <v>0</v>
      </c>
      <c r="X195" s="64"/>
      <c r="Y195" s="74"/>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c r="W196" s="73">
        <f t="shared" si="493"/>
        <v>0</v>
      </c>
      <c r="X196" s="64"/>
      <c r="Y196" s="74"/>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c r="W197" s="81">
        <f t="shared" si="493"/>
        <v>0</v>
      </c>
      <c r="X197" s="64"/>
      <c r="Y197" s="80"/>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tr">
        <f>Idiomas!$D$368</f>
        <v>Pegar Valores Octavos</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tr">
        <f>Idiomas!$D$368</f>
        <v>Pegar Valores Octavos</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c r="W201" s="73">
        <f t="shared" si="545"/>
        <v>0</v>
      </c>
      <c r="X201" s="110"/>
      <c r="Y201" s="80"/>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c r="W202" s="73">
        <f t="shared" si="545"/>
        <v>0</v>
      </c>
      <c r="X202" s="110"/>
      <c r="Y202" s="80"/>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c r="W203" s="73">
        <f t="shared" si="545"/>
        <v>0</v>
      </c>
      <c r="X203" s="110"/>
      <c r="Y203" s="80"/>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c r="W204" s="73">
        <f t="shared" si="545"/>
        <v>0</v>
      </c>
      <c r="X204" s="110"/>
      <c r="Y204" s="80"/>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c r="W205" s="73">
        <f t="shared" si="545"/>
        <v>0</v>
      </c>
      <c r="X205" s="110"/>
      <c r="Y205" s="80"/>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c r="W206" s="73">
        <f t="shared" si="545"/>
        <v>0</v>
      </c>
      <c r="X206" s="110"/>
      <c r="Y206" s="80"/>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c r="W207" s="85">
        <f t="shared" si="545"/>
        <v>0</v>
      </c>
      <c r="X207" s="110"/>
      <c r="Y207" s="80"/>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c r="W210" s="77">
        <f t="shared" ref="W210:W217" si="596">COUNTIF($M$210:$M$217,V210)*$D$23</f>
        <v>0</v>
      </c>
      <c r="X210" s="110"/>
      <c r="Y210" s="76"/>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c r="W211" s="73">
        <f t="shared" si="596"/>
        <v>0</v>
      </c>
      <c r="X211" s="110"/>
      <c r="Y211" s="74"/>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c r="W212" s="73">
        <f t="shared" si="596"/>
        <v>0</v>
      </c>
      <c r="X212" s="110"/>
      <c r="Y212" s="74"/>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c r="W213" s="73">
        <f t="shared" si="596"/>
        <v>0</v>
      </c>
      <c r="X213" s="110"/>
      <c r="Y213" s="74"/>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c r="W214" s="73">
        <f t="shared" si="596"/>
        <v>0</v>
      </c>
      <c r="X214" s="110"/>
      <c r="Y214" s="74"/>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c r="W215" s="73">
        <f t="shared" si="596"/>
        <v>0</v>
      </c>
      <c r="X215" s="110"/>
      <c r="Y215" s="74"/>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c r="W216" s="73">
        <f t="shared" si="596"/>
        <v>0</v>
      </c>
      <c r="X216" s="110"/>
      <c r="Y216" s="74"/>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c r="W217" s="81">
        <f t="shared" si="596"/>
        <v>0</v>
      </c>
      <c r="X217" s="110"/>
      <c r="Y217" s="80"/>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tr">
        <f>Idiomas!$D$369</f>
        <v>Pegar valores Cuartos</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tr">
        <f>Idiomas!$D$369</f>
        <v>Pegar valores Cuartos</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c r="W221" s="77">
        <f t="shared" si="647"/>
        <v>0</v>
      </c>
      <c r="X221" s="110"/>
      <c r="Y221" s="74"/>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c r="W222" s="77">
        <f t="shared" si="647"/>
        <v>0</v>
      </c>
      <c r="X222" s="110"/>
      <c r="Y222" s="74"/>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c r="W223" s="81">
        <f t="shared" si="647"/>
        <v>0</v>
      </c>
      <c r="X223" s="110"/>
      <c r="Y223" s="80"/>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c r="W226" s="77">
        <f t="shared" ref="W226" si="697">COUNTIF($M$226:$M$229,V226)*$D$27</f>
        <v>0</v>
      </c>
      <c r="X226" s="64"/>
      <c r="Y226" s="76"/>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c r="W227" s="73">
        <f t="shared" ref="W227" si="722">COUNTIF($M$226:$M$229,V227)*$D$27</f>
        <v>0</v>
      </c>
      <c r="X227" s="64"/>
      <c r="Y227" s="74"/>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c r="W228" s="73">
        <f t="shared" ref="W228" si="746">COUNTIF($M$226:$M$229,V228)*$D$27</f>
        <v>0</v>
      </c>
      <c r="X228" s="64"/>
      <c r="Y228" s="74"/>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c r="W229" s="81">
        <f t="shared" ref="W229" si="770">COUNTIF($M$226:$M$229,V229)*$D$27</f>
        <v>0</v>
      </c>
      <c r="X229" s="64"/>
      <c r="Y229" s="80"/>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tr">
        <f>Idiomas!$D$370</f>
        <v>Pegar valores Semifinales</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tr">
        <f>Idiomas!$D$370</f>
        <v>Pegar valores Semifinales</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c r="W236" s="77">
        <f t="shared" ref="W236" si="891">COUNTIF($M$236:$M$237,V236)*$D$31</f>
        <v>0</v>
      </c>
      <c r="X236" s="110"/>
      <c r="Y236" s="76"/>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c r="W237" s="81">
        <f t="shared" ref="W237" si="915">COUNTIF($M$236:$M$237,V237)*$D$31</f>
        <v>0</v>
      </c>
      <c r="X237" s="110"/>
      <c r="Y237" s="80"/>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c r="W240" s="77">
        <f t="shared" ref="W240" si="963">COUNTIF($M$240:$M$241,V240)*$D$32</f>
        <v>0</v>
      </c>
      <c r="X240" s="110"/>
      <c r="Y240" s="76"/>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c r="W241" s="81">
        <f t="shared" ref="W241" si="987">COUNTIF($M$240:$M$241,V241)*$D$32</f>
        <v>0</v>
      </c>
      <c r="X241" s="110"/>
      <c r="Y241" s="80"/>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tr">
        <f>Idiomas!$D$371</f>
        <v>Pegar valores 3º-4º puesto y Final</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tr">
        <f>Idiomas!$D$371</f>
        <v>Pegar valores 3º-4º puesto y Final</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c r="W250" s="77">
        <f t="shared" ref="W250" si="1131">COUNTIF($M$250,V250)*$D$39</f>
        <v>0</v>
      </c>
      <c r="X250" s="64"/>
      <c r="Y250" s="76"/>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c r="W251" s="73">
        <f t="shared" ref="W251" si="1155">COUNTIF($M$251,V251)*$D$40</f>
        <v>0</v>
      </c>
      <c r="X251" s="64"/>
      <c r="Y251" s="74"/>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c r="W252" s="73">
        <f t="shared" ref="W252" si="1179">COUNTIF($M$252,V252)*$D$41</f>
        <v>0</v>
      </c>
      <c r="X252" s="64"/>
      <c r="Y252" s="74"/>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tr">
        <f>Idiomas!$D$373</f>
        <v>Pegar Valores Cuadro de Honor</v>
      </c>
      <c r="W253" s="73">
        <f t="shared" ref="W253" si="1203">COUNTIF($M$253,V253)*$D$42</f>
        <v>0</v>
      </c>
      <c r="X253" s="64"/>
      <c r="Y253" s="74" t="str">
        <f>Idiomas!$D$373</f>
        <v>Pegar Valores Cuadro de Honor</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c r="W254" s="73">
        <f t="shared" ref="W254" si="1227">COUNTIF($M$254,V254)*$D$43</f>
        <v>0</v>
      </c>
      <c r="X254" s="64"/>
      <c r="Y254" s="74"/>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c r="W255" s="73">
        <f t="shared" ref="W255" si="1251">COUNTIF($M$255,V255)*$D$44</f>
        <v>0</v>
      </c>
      <c r="X255" s="64"/>
      <c r="Y255" s="74"/>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c r="W256" s="73">
        <f t="shared" ref="W256" si="1275">COUNTIF($M$256,V256)*$D$45</f>
        <v>0</v>
      </c>
      <c r="X256" s="64"/>
      <c r="Y256" s="74"/>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c r="W257" s="73">
        <f t="shared" ref="W257" si="1299">COUNTIF($M$257,V257)*$D$46</f>
        <v>0</v>
      </c>
      <c r="X257" s="64"/>
      <c r="Y257" s="74"/>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c r="W258" s="81">
        <f t="shared" ref="W258" si="1323">COUNTIF($M$258,V258)*$D$47</f>
        <v>0</v>
      </c>
      <c r="X258" s="64"/>
      <c r="Y258" s="80"/>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t="e">
        <f ca="1">RANK(Y264,OFFSET($S$264,0,0,1,$D$5*3),0)</f>
        <v>#N/A</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Pegar Valores Nombre J2</v>
      </c>
      <c r="W267" s="25"/>
      <c r="X267" s="25"/>
      <c r="Y267" s="25" t="str">
        <f t="shared" ref="Y267" si="1396">Y5</f>
        <v>Pegar Valores Nombre J3</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Pegar Valores Nombre J2</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t="str">
        <f ca="1">IFERROR(HLOOKUP(A7,Rango_Admin_Clas,3,FALSE),"-")</f>
        <v>-</v>
      </c>
      <c r="C7" s="18" t="str">
        <f ca="1">IFERROR(HLOOKUP(A7,Rango_Admin_Clas,5,FALSE),"-")</f>
        <v>-</v>
      </c>
      <c r="D7" s="91" t="str">
        <f ca="1">IFERROR(HLOOKUP(A7,Rango_Admin_Clas,4,FALSE),"-")</f>
        <v>-</v>
      </c>
      <c r="E7" s="92" t="str" cm="1">
        <f t="array" aca="1" ref="E7" ca="1">IFERROR(INDEX(Rango_Admin_Clas_Total,E$2,MATCH($A7,Rango_Admin_Clas_Primera,0)+1),"-")</f>
        <v>-</v>
      </c>
      <c r="F7" s="92" t="str" cm="1">
        <f t="array" aca="1" ref="F7" ca="1">IFERROR(INDEX(Rango_Admin_Clas_Total,F$2,MATCH($A7,Rango_Admin_Clas_Primera,0)+1),"-")</f>
        <v>-</v>
      </c>
      <c r="G7" s="92" t="str" cm="1">
        <f t="array" aca="1" ref="G7" ca="1">IFERROR(INDEX(Rango_Admin_Clas_Total,G$2,MATCH($A7,Rango_Admin_Clas_Primera,0)+1),"-")</f>
        <v>-</v>
      </c>
      <c r="H7" s="92" t="str" cm="1">
        <f t="array" aca="1" ref="H7" ca="1">IFERROR(INDEX(Rango_Admin_Clas_Total,H$2,MATCH($A7,Rango_Admin_Clas_Primera,0)+1),"-")</f>
        <v>-</v>
      </c>
      <c r="I7" s="92" t="str" cm="1">
        <f t="array" aca="1" ref="I7" ca="1">IFERROR(INDEX(Rango_Admin_Clas_Total,I$2,MATCH($A7,Rango_Admin_Clas_Primera,0)+1),"-")</f>
        <v>-</v>
      </c>
      <c r="J7" s="92" t="str" cm="1">
        <f t="array" aca="1" ref="J7" ca="1">IFERROR(INDEX(Rango_Admin_Clas_Total,J$2,MATCH($A7,Rango_Admin_Clas_Primera,0)+1),"-")</f>
        <v>-</v>
      </c>
      <c r="K7" s="92" t="str" cm="1">
        <f t="array" aca="1" ref="K7" ca="1">IFERROR(INDEX(Rango_Admin_Clas_Total,K$2,MATCH($A7,Rango_Admin_Clas_Primera,0)+1),"-")</f>
        <v>-</v>
      </c>
      <c r="L7" s="92" t="str" cm="1">
        <f t="array" aca="1" ref="L7" ca="1">IFERROR(INDEX(Rango_Admin_Clas_Total,L$2,MATCH($A7,Rango_Admin_Clas_Primera,0)+1),"-")</f>
        <v>-</v>
      </c>
      <c r="M7" s="92" t="str" cm="1">
        <f t="array" aca="1" ref="M7" ca="1">IFERROR(INDEX(Rango_Admin_Clas_Total,M$2,MATCH($A7,Rango_Admin_Clas_Primera,0)+1),"-")</f>
        <v>-</v>
      </c>
      <c r="N7" s="92" t="str" cm="1">
        <f t="array" aca="1" ref="N7" ca="1">IFERROR(INDEX(Rango_Admin_Clas_Total,N$2,MATCH($A7,Rango_Admin_Clas_Primera,0)+1),"-")</f>
        <v>-</v>
      </c>
      <c r="O7" s="92" t="str" cm="1">
        <f t="array" aca="1" ref="O7" ca="1">IFERROR(INDEX(Rango_Admin_Clas_Total,O$2,MATCH($A7,Rango_Admin_Clas_Primera,0)+1),"-")</f>
        <v>-</v>
      </c>
      <c r="P7" s="92" t="str" cm="1">
        <f t="array" aca="1" ref="P7" ca="1">IFERROR(INDEX(Rango_Admin_Clas_Total,P$2,MATCH($A7,Rango_Admin_Clas_Primera,0)+1),"-")</f>
        <v>-</v>
      </c>
      <c r="Q7" s="92" t="str" cm="1">
        <f t="array" aca="1" ref="Q7" ca="1">IFERROR(INDEX(Rango_Admin_Clas_Total,Q$2,MATCH($A7,Rango_Admin_Clas_Primera,0)+1),"-")</f>
        <v>-</v>
      </c>
      <c r="R7" s="92" t="str" cm="1">
        <f t="array" aca="1" ref="R7" ca="1">IFERROR(INDEX(Rango_Admin_Clas_Total,R$2,MATCH($A7,Rango_Admin_Clas_Primera,0)+1),"-")</f>
        <v>-</v>
      </c>
      <c r="S7" s="92" t="str" cm="1">
        <f t="array" aca="1" ref="S7" ca="1">IFERROR(INDEX(Rango_Admin_Clas_Total,S$2,MATCH($A7,Rango_Admin_Clas_Primera,0)+1),"-")</f>
        <v>-</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Pegar Valores Nombre J2</v>
      </c>
      <c r="G5" s="429" t="str">
        <f ca="1">IFERROR(VLOOKUP(G$2,Rango_Admin_DailyPred,MATCH($F5,Rango_Admin_DailyPred_Primera,0),0),"-")</f>
        <v>Pegar Valores (J1)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v>
      </c>
      <c r="G6" s="429" t="str">
        <f ca="1">IFERROR(VLOOKUP(G$2,Rango_Admin_DailyPred,MATCH($F6,Rango_Admin_DailyPred_Primera,0),0),"-")</f>
        <v>-</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Andres Alvarez</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Pegar Valores Nombre J2</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t="str">
        <f ca="1">IFERROR(HLOOKUP(C6,Rango_Admin_DailyClas,3,FALSE),"-")</f>
        <v>-</v>
      </c>
      <c r="F6" s="448" t="str">
        <f ca="1">IFERROR(HLOOKUP(C6,Rango_Admin_DailyClas,5,FALSE),"-")</f>
        <v>-</v>
      </c>
      <c r="G6" s="22" t="str">
        <f ca="1">IFERROR(HLOOKUP(C6,Rango_Admin_DailyClas,4,FALSE),"-")</f>
        <v>-</v>
      </c>
      <c r="H6" s="429" t="str">
        <f ca="1">IFERROR(VLOOKUP(H$2,Rango_Admin_DailyPred,MATCH($F6,Rango_Admin_DailyPred_Primera,0)+1,0),"-")</f>
        <v>-</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v>
      </c>
      <c r="N8" s="469">
        <f ca="1">IFERROR(COUNTIF(ADMIN!$S$130:INDEX(ADMIN!$S$130:$HL$161,32,ADMIN!$D$5*3-1),Stats!$L8)-SUM(O8:T8),0)</f>
        <v>0</v>
      </c>
      <c r="O8" s="469">
        <f ca="1">COUNTIF(ADMIN!$S$182:INDEX(ADMIN!$S$182:$HL$197,16,ADMIN!$D$5*3-1),Stats!$L8)-SUM(P8:T8)</f>
        <v>1</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2</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0</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1</v>
      </c>
      <c r="N10" s="469">
        <f ca="1">IFERROR(COUNTIF(ADMIN!$S$130:INDEX(ADMIN!$S$130:$HL$161,32,ADMIN!$D$5*3-1),Stats!$L10)-SUM(O10:T10),0)</f>
        <v>1</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1</v>
      </c>
      <c r="N11" s="471">
        <f ca="1">IFERROR(COUNTIF(ADMIN!$S$130:INDEX(ADMIN!$S$130:$HL$161,32,ADMIN!$D$5*3-1),Stats!$L11)-SUM(O11:T11),0)</f>
        <v>0</v>
      </c>
      <c r="O11" s="471">
        <f ca="1">COUNTIF(ADMIN!$S$182:INDEX(ADMIN!$S$182:$HL$197,16,ADMIN!$D$5*3-1),Stats!$L11)-SUM(P11:T11)</f>
        <v>0</v>
      </c>
      <c r="P11" s="471">
        <f ca="1">COUNTIF(ADMIN!$S$210:INDEX(ADMIN!$S$210:$HL$217,8,ADMIN!$D$5*3-1),Stats!$L11)-SUM(Q11:T11)</f>
        <v>1</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2</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12</v>
      </c>
      <c r="F12" s="456">
        <f ca="1">IFERROR(E12/B47,0)</f>
        <v>4.6439628482972135E-3</v>
      </c>
      <c r="G12" s="17"/>
      <c r="H12" s="454"/>
      <c r="I12" s="704"/>
      <c r="J12" s="706"/>
      <c r="K12" s="404"/>
      <c r="L12" s="133" t="str">
        <f ca="1">Horarios!Q7</f>
        <v>Australia</v>
      </c>
      <c r="M12" s="469">
        <f ca="1">ADMIN!$D$5-SUM(N12:T12)</f>
        <v>2</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1</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1</v>
      </c>
      <c r="N14" s="469">
        <f ca="1">IFERROR(COUNTIF(ADMIN!$S$130:INDEX(ADMIN!$S$130:$HL$161,32,ADMIN!$D$5*3-1),Stats!$L14)-SUM(O14:T14),0)</f>
        <v>0</v>
      </c>
      <c r="O14" s="469">
        <f ca="1">COUNTIF(ADMIN!$S$182:INDEX(ADMIN!$S$182:$HL$197,16,ADMIN!$D$5*3-1),Stats!$L14)-SUM(P14:T14)</f>
        <v>0</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1</v>
      </c>
      <c r="N15" s="471">
        <f ca="1">IFERROR(COUNTIF(ADMIN!$S$130:INDEX(ADMIN!$S$130:$HL$161,32,ADMIN!$D$5*3-1),Stats!$L15)-SUM(O15:T15),0)</f>
        <v>0</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1</v>
      </c>
      <c r="G16" s="17"/>
      <c r="H16" s="454"/>
      <c r="I16" s="704"/>
      <c r="J16" s="706"/>
      <c r="K16" s="404"/>
      <c r="L16" s="133" t="str">
        <f ca="1">Horarios!Q11</f>
        <v>Brasil</v>
      </c>
      <c r="M16" s="469">
        <f ca="1">ADMIN!$D$5-SUM(N16:T16)</f>
        <v>1</v>
      </c>
      <c r="N16" s="469">
        <f ca="1">IFERROR(COUNTIF(ADMIN!$S$130:INDEX(ADMIN!$S$130:$HL$161,32,ADMIN!$D$5*3-1),Stats!$L16)-SUM(O16:T16),0)</f>
        <v>0</v>
      </c>
      <c r="O16" s="469">
        <f ca="1">COUNTIF(ADMIN!$S$182:INDEX(ADMIN!$S$182:$HL$197,16,ADMIN!$D$5*3-1),Stats!$L16)-SUM(P16:T16)</f>
        <v>0</v>
      </c>
      <c r="P16" s="469">
        <f ca="1">COUNTIF(ADMIN!$S$210:INDEX(ADMIN!$S$210:$HL$217,8,ADMIN!$D$5*3-1),Stats!$L16)-SUM(Q16:T16)</f>
        <v>0</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2</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v>
      </c>
      <c r="N18" s="469">
        <f ca="1">IFERROR(COUNTIF(ADMIN!$S$130:INDEX(ADMIN!$S$130:$HL$161,32,ADMIN!$D$5*3-1),Stats!$L18)-SUM(O18:T18),0)</f>
        <v>1</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2</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v>
      </c>
      <c r="N20" s="469">
        <f ca="1">IFERROR(COUNTIF(ADMIN!$S$130:INDEX(ADMIN!$S$130:$HL$161,32,ADMIN!$D$5*3-1),Stats!$L20)-SUM(O20:T20),0)</f>
        <v>0</v>
      </c>
      <c r="O20" s="469">
        <f ca="1">COUNTIF(ADMIN!$S$182:INDEX(ADMIN!$S$182:$HL$197,16,ADMIN!$D$5*3-1),Stats!$L20)-SUM(P20:T20)</f>
        <v>1</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1</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0</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1</v>
      </c>
      <c r="N23" s="471">
        <f ca="1">IFERROR(COUNTIF(ADMIN!$S$130:INDEX(ADMIN!$S$130:$HL$161,32,ADMIN!$D$5*3-1),Stats!$L23)-SUM(O23:T23),0)</f>
        <v>1</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0</v>
      </c>
      <c r="O25" s="471">
        <f ca="1">COUNTIF(ADMIN!$S$182:INDEX(ADMIN!$S$182:$HL$197,16,ADMIN!$D$5*3-1),Stats!$L25)-SUM(P25:T25)</f>
        <v>1</v>
      </c>
      <c r="P25" s="471">
        <f ca="1">COUNTIF(ADMIN!$S$210:INDEX(ADMIN!$S$210:$HL$217,8,ADMIN!$D$5*3-1),Stats!$L25)-SUM(Q25:T25)</f>
        <v>0</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2</v>
      </c>
      <c r="N26" s="469">
        <f ca="1">IFERROR(COUNTIF(ADMIN!$S$130:INDEX(ADMIN!$S$130:$HL$161,32,ADMIN!$D$5*3-1),Stats!$L26)-SUM(O26:T26),0)</f>
        <v>0</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1</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1</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0</v>
      </c>
      <c r="T28" s="470">
        <f ca="1">IFERROR(COUNTIF(ADMIN!$S$250:INDEX(ADMIN!$S$250:$HL$250,1,ADMIN!$D$5*3-1),Stats!$L28),0)</f>
        <v>0</v>
      </c>
      <c r="U28" s="25"/>
      <c r="V28" s="11">
        <f t="shared" ca="1" si="0"/>
        <v>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0</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1</v>
      </c>
      <c r="N30" s="469">
        <f ca="1">IFERROR(COUNTIF(ADMIN!$S$130:INDEX(ADMIN!$S$130:$HL$161,32,ADMIN!$D$5*3-1),Stats!$L30)-SUM(O30:T30),0)</f>
        <v>0</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0</v>
      </c>
      <c r="S30" s="469">
        <f ca="1">IFERROR(COUNTIF(ADMIN!$S$251:INDEX(ADMIN!$S$251:$HL$251,1,ADMIN!$D$5*3-1),Stats!$L30),0)</f>
        <v>1</v>
      </c>
      <c r="T30" s="470">
        <f ca="1">IFERROR(COUNTIF(ADMIN!$S$250:INDEX(ADMIN!$S$250:$HL$250,1,ADMIN!$D$5*3-1),Stats!$L30),0)</f>
        <v>0</v>
      </c>
      <c r="U30" s="25"/>
      <c r="V30" s="11">
        <f t="shared" ca="1" si="0"/>
        <v>2</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2</v>
      </c>
      <c r="N31" s="471">
        <f ca="1">IFERROR(COUNTIF(ADMIN!$S$130:INDEX(ADMIN!$S$130:$HL$161,32,ADMIN!$D$5*3-1),Stats!$L31)-SUM(O31:T31),0)</f>
        <v>0</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1</v>
      </c>
      <c r="N33" s="471">
        <f ca="1">IFERROR(COUNTIF(ADMIN!$S$130:INDEX(ADMIN!$S$130:$HL$161,32,ADMIN!$D$5*3-1),Stats!$L33)-SUM(O33:T33),0)</f>
        <v>0</v>
      </c>
      <c r="O33" s="471">
        <f ca="1">COUNTIF(ADMIN!$S$182:INDEX(ADMIN!$S$182:$HL$197,16,ADMIN!$D$5*3-1),Stats!$L33)-SUM(P33:T33)</f>
        <v>0</v>
      </c>
      <c r="P33" s="471">
        <f ca="1">COUNTIF(ADMIN!$S$210:INDEX(ADMIN!$S$210:$HL$217,8,ADMIN!$D$5*3-1),Stats!$L33)-SUM(Q33:T33)</f>
        <v>1</v>
      </c>
      <c r="Q33" s="471">
        <f ca="1">COUNTIF(ADMIN!$S$226:INDEX(ADMIN!$S$226:$HL$229,4,ADMIN!$D$5*3-1),Stats!$L33)-SUM(R33:T33)</f>
        <v>0</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2</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2</v>
      </c>
      <c r="N35" s="471">
        <f ca="1">IFERROR(COUNTIF(ADMIN!$S$130:INDEX(ADMIN!$S$130:$HL$161,32,ADMIN!$D$5*3-1),Stats!$L35)-SUM(O35:T35),0)</f>
        <v>0</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1</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1</v>
      </c>
      <c r="N38" s="469">
        <f ca="1">IFERROR(COUNTIF(ADMIN!$S$130:INDEX(ADMIN!$S$130:$HL$161,32,ADMIN!$D$5*3-1),Stats!$L38)-SUM(O38:T38),0)</f>
        <v>1</v>
      </c>
      <c r="O38" s="469">
        <f ca="1">COUNTIF(ADMIN!$S$182:INDEX(ADMIN!$S$182:$HL$197,16,ADMIN!$D$5*3-1),Stats!$L38)-SUM(P38:T38)</f>
        <v>0</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2</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0</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v>
      </c>
      <c r="O40" s="469">
        <f ca="1">COUNTIF(ADMIN!$S$182:INDEX(ADMIN!$S$182:$HL$197,16,ADMIN!$D$5*3-1),Stats!$L40)-SUM(P40:T40)</f>
        <v>0</v>
      </c>
      <c r="P40" s="469">
        <f ca="1">COUNTIF(ADMIN!$S$210:INDEX(ADMIN!$S$210:$HL$217,8,ADMIN!$D$5*3-1),Stats!$L40)-SUM(Q40:T40)</f>
        <v>0</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1</v>
      </c>
      <c r="N42" s="469">
        <f ca="1">IFERROR(COUNTIF(ADMIN!$S$130:INDEX(ADMIN!$S$130:$HL$161,32,ADMIN!$D$5*3-1),Stats!$L42)-SUM(O42:T42),0)</f>
        <v>0</v>
      </c>
      <c r="O42" s="469">
        <f ca="1">COUNTIF(ADMIN!$S$182:INDEX(ADMIN!$S$182:$HL$197,16,ADMIN!$D$5*3-1),Stats!$L42)-SUM(P42:T42)</f>
        <v>0</v>
      </c>
      <c r="P42" s="469">
        <f ca="1">COUNTIF(ADMIN!$S$210:INDEX(ADMIN!$S$210:$HL$217,8,ADMIN!$D$5*3-1),Stats!$L42)-SUM(Q42:T42)</f>
        <v>1</v>
      </c>
      <c r="Q42" s="469">
        <f ca="1">COUNTIF(ADMIN!$S$226:INDEX(ADMIN!$S$226:$HL$229,4,ADMIN!$D$5*3-1),Stats!$L42)-SUM(R42:T42)</f>
        <v>0</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1</v>
      </c>
      <c r="N44" s="469">
        <f ca="1">IFERROR(COUNTIF(ADMIN!$S$130:INDEX(ADMIN!$S$130:$HL$161,32,ADMIN!$D$5*3-1),Stats!$L44)-SUM(O44:T44),0)</f>
        <v>0</v>
      </c>
      <c r="O44" s="469">
        <f ca="1">COUNTIF(ADMIN!$S$182:INDEX(ADMIN!$S$182:$HL$197,16,ADMIN!$D$5*3-1),Stats!$L44)-SUM(P44:T44)</f>
        <v>1</v>
      </c>
      <c r="P44" s="469">
        <f ca="1">COUNTIF(ADMIN!$S$210:INDEX(ADMIN!$S$210:$HL$217,8,ADMIN!$D$5*3-1),Stats!$L44)-SUM(Q44:T44)</f>
        <v>0</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1</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1</v>
      </c>
      <c r="U45" s="25"/>
      <c r="V45" s="11">
        <f t="shared" ca="1" si="0"/>
        <v>2</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2584</v>
      </c>
      <c r="C47" s="17"/>
      <c r="D47" s="453"/>
      <c r="E47" s="453"/>
      <c r="F47" s="453"/>
      <c r="G47" s="17"/>
      <c r="H47" s="17"/>
      <c r="I47" s="17"/>
      <c r="J47" s="25"/>
      <c r="K47" s="25"/>
      <c r="L47" s="132" t="str">
        <f ca="1">Horarios!Q42</f>
        <v>República Checa</v>
      </c>
      <c r="M47" s="471">
        <f ca="1">ADMIN!$D$5-SUM(N47:T47)</f>
        <v>1</v>
      </c>
      <c r="N47" s="471">
        <f ca="1">IFERROR(COUNTIF(ADMIN!$S$130:INDEX(ADMIN!$S$130:$HL$161,32,ADMIN!$D$5*3-1),Stats!$L47)-SUM(O47:T47),0)</f>
        <v>1</v>
      </c>
      <c r="O47" s="471">
        <f ca="1">COUNTIF(ADMIN!$S$182:INDEX(ADMIN!$S$182:$HL$197,16,ADMIN!$D$5*3-1),Stats!$L47)-SUM(P47:T47)</f>
        <v>0</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v>
      </c>
      <c r="N48" s="469">
        <f ca="1">IFERROR(COUNTIF(ADMIN!$S$130:INDEX(ADMIN!$S$130:$HL$161,32,ADMIN!$D$5*3-1),Stats!$L48)-SUM(O48:T48),0)</f>
        <v>1</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1</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0</v>
      </c>
      <c r="O51" s="471">
        <f ca="1">COUNTIF(ADMIN!$S$182:INDEX(ADMIN!$S$182:$HL$197,16,ADMIN!$D$5*3-1),Stats!$L51)-SUM(P51:T51)</f>
        <v>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v>
      </c>
      <c r="N53" s="471">
        <f ca="1">IFERROR(COUNTIF(ADMIN!$S$130:INDEX(ADMIN!$S$130:$HL$161,32,ADMIN!$D$5*3-1),Stats!$L53)-SUM(O53:T53),0)</f>
        <v>1</v>
      </c>
      <c r="O53" s="471">
        <f ca="1">COUNTIF(ADMIN!$S$182:INDEX(ADMIN!$S$182:$HL$197,16,ADMIN!$D$5*3-1),Stats!$L53)-SUM(P53:T53)</f>
        <v>0</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v>
      </c>
      <c r="N54" s="469">
        <f ca="1">IFERROR(COUNTIF(ADMIN!$S$130:INDEX(ADMIN!$S$130:$HL$161,32,ADMIN!$D$5*3-1),Stats!$L54)-SUM(O54:T54),0)</f>
        <v>1</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2026-06-11T15:58:51Z</dcterms:modified>
  <cp:category/>
</cp:coreProperties>
</file>