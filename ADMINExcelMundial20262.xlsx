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Quiniela\Test\"/>
    </mc:Choice>
  </mc:AlternateContent>
  <xr:revisionPtr revIDLastSave="0" documentId="13_ncr:1_{186967E5-EF54-4502-97FA-700545C40625}"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5" i="46"/>
  <c r="Q22" i="6"/>
  <c r="H211" i="46"/>
  <c r="D21" i="36"/>
  <c r="AF3" i="3" s="1"/>
  <c r="AF51" i="3" s="1"/>
  <c r="D507" i="36"/>
  <c r="D20" i="36"/>
  <c r="AD3" i="3" s="1"/>
  <c r="D506" i="36"/>
  <c r="L6" i="34"/>
  <c r="C7" i="46"/>
  <c r="H233" i="46"/>
  <c r="H236" i="46"/>
  <c r="H237" i="46"/>
  <c r="C61" i="46"/>
  <c r="AM53" i="3"/>
  <c r="AM21" i="3"/>
  <c r="Q23" i="6"/>
  <c r="K5" i="46"/>
  <c r="C56" i="46" s="1"/>
  <c r="AA160" i="3"/>
  <c r="M258" i="46" s="1"/>
  <c r="AL5" i="3"/>
  <c r="AY5" i="3" s="1"/>
  <c r="H232" i="46"/>
  <c r="AA158" i="3"/>
  <c r="M256" i="46" s="1"/>
  <c r="AH158" i="3"/>
  <c r="H216" i="46"/>
  <c r="AH154" i="3"/>
  <c r="AN45" i="3"/>
  <c r="AJ52" i="3"/>
  <c r="AJ36" i="3"/>
  <c r="AJ84" i="3"/>
  <c r="M84" i="34"/>
  <c r="AC3" i="3" l="1"/>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H155" i="3"/>
  <c r="AG155" i="3" s="1"/>
  <c r="H212" i="46"/>
  <c r="H222" i="46"/>
  <c r="H220" i="46"/>
  <c r="H227" i="46"/>
  <c r="H229" i="46"/>
  <c r="Q45" i="46"/>
  <c r="H210" i="46"/>
  <c r="L13" i="34"/>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P202" i="46"/>
  <c r="P206" i="46"/>
  <c r="Q202" i="46"/>
  <c r="Q223" i="46"/>
  <c r="Q7" i="46"/>
  <c r="BA7" i="46" s="1"/>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AT30" i="46"/>
  <c r="BR30" i="46"/>
  <c r="Y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W253" i="46"/>
  <c r="CJ253" i="46"/>
  <c r="CK253" i="46" s="1"/>
  <c r="AN253" i="46"/>
  <c r="AO253" i="46" s="1"/>
  <c r="BF253" i="46"/>
  <c r="BG253" i="46" s="1"/>
  <c r="BU253" i="46"/>
  <c r="BV253" i="46" s="1"/>
  <c r="K193" i="46"/>
  <c r="K183" i="46"/>
  <c r="AN220" i="46"/>
  <c r="BL220" i="46"/>
  <c r="CJ220" i="46"/>
  <c r="AQ220" i="46"/>
  <c r="BO220" i="46"/>
  <c r="CM220" i="46"/>
  <c r="AT220" i="46"/>
  <c r="BX220" i="46"/>
  <c r="AW220" i="46"/>
  <c r="CA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Y200" i="46"/>
  <c r="AB200" i="46"/>
  <c r="BC200" i="46"/>
  <c r="BF200" i="46"/>
  <c r="CM200" i="46"/>
  <c r="K186"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R7" i="46" l="1"/>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C9" i="3" s="1"/>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4" i="3" l="1"/>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CF14" i="3" s="1"/>
  <c r="L25" i="3"/>
  <c r="K24" i="3"/>
  <c r="L46" i="3"/>
  <c r="L48" i="3"/>
  <c r="K38" i="3"/>
  <c r="K69" i="3"/>
  <c r="L41" i="3"/>
  <c r="CF25" i="3" s="1"/>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E9" i="51"/>
  <c r="CF22" i="3"/>
  <c r="CF8" i="3"/>
  <c r="CF26" i="3"/>
  <c r="B46" i="51"/>
  <c r="B47" i="51" s="1"/>
  <c r="E10" i="51"/>
  <c r="E28" i="48"/>
  <c r="F27" i="48" a="1"/>
  <c r="F27" i="48" s="1"/>
  <c r="E12" i="51"/>
  <c r="E11" i="51"/>
  <c r="CF18" i="3" l="1"/>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<sst xmlns="http://schemas.openxmlformats.org/spreadsheetml/2006/main" count="8058" uniqueCount="2032">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</sst>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abSelected="1"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L245" zoomScaleNormal="100" workbookViewId="0">
      <selection activeCell="V257" sqref="V25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
        <v>1946</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Andres Alvarez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Erika</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2</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2</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2</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24</v>
      </c>
      <c r="F12" s="456">
        <f ca="1">IFERROR(E12/B47,0)</f>
        <v>9.2879256965944269E-3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0</v>
      </c>
      <c r="N13" s="471">
        <f ca="1">IFERROR(COUNTIF(ADMIN!$S$130:INDEX(ADMIN!$S$130:$HL$161,32,ADMIN!$D$5*3-1),Stats!$L13)-SUM(O13:T13),0)</f>
        <v>2</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0</v>
      </c>
      <c r="N15" s="471">
        <f ca="1">IFERROR(COUNTIF(ADMIN!$S$130:INDEX(ADMIN!$S$130:$HL$161,32,ADMIN!$D$5*3-1),Stats!$L15)-SUM(O15:T15),0)</f>
        <v>1</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2</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2</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0</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0</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2</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1</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1</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1</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1</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2</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1</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1</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1</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2</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1</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2</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2</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1</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2026-06-11T18:21:14Z</dcterms:modified>
  <cp:category/>
</cp:coreProperties>
</file>