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<sst xmlns="http://schemas.openxmlformats.org/spreadsheetml/2006/main" count="8284" uniqueCount="2065">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</sst>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v>4</v>
      </c>
      <c r="AC127" s="310">
        <v>0</v>
      </c>
      <c r="AD127" s="310">
        <v>0</v>
      </c>
      <c r="AE127" s="301">
        <v>3</v>
      </c>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v>2</v>
      </c>
      <c r="AD131" s="305">
        <v>0</v>
      </c>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v>2</v>
      </c>
      <c r="AD132" s="309">
        <v>1</v>
      </c>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v>1</v>
      </c>
      <c r="AD133" s="309">
        <v>2</v>
      </c>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v>3</v>
      </c>
      <c r="AD134" s="310">
        <v>1</v>
      </c>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v>0</v>
      </c>
      <c r="AD138" s="323">
        <v>2</v>
      </c>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v>1</v>
      </c>
      <c r="AD139" s="310">
        <v>2</v>
      </c>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v>4</v>
      </c>
      <c r="AD143" s="335">
        <v>6</v>
      </c>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v>1</v>
      </c>
      <c r="AD147" s="335">
        <v>0</v>
      </c>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inlineStr">
        <is>
          <t>Kylian Mbappé</t>
        </is>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inlineStr">
        <is>
          <t>Lionel Messi</t>
        </is>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inlineStr">
        <is>
          <t>Jude Bellingham</t>
        </is>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inlineStr">
        <is>
          <t>Rodri</t>
        </is>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inlineStr">
        <is>
          <t>Lionel Messi</t>
        </is>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inlineStr">
        <is>
          <t>Kylian Mbappé</t>
        </is>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inlineStr">
        <is>
          <t>Harry Kane</t>
        </is>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inlineStr">
        <is>
          <t>Kylian Mbappé</t>
        </is>
      </c>
      <c r="T254" s="73">
        <f>COUNTIF($M$254,S254)*$D$43</f>
        <v>0</v>
      </c>
      <c r="U254" s="64"/>
      <c r="V254" s="74" t="s">
        <v>2029</v>
      </c>
      <c r="W254" s="73">
        <f t="shared" ref="W254" si="1227">COUNTIF($M$254,V254)*$D$43</f>
        <v>0</v>
      </c>
      <c r="X254" s="64"/>
      <c r="Y254" s="74" t="inlineStr">
        <is>
          <t>Kylian Mbappé</t>
        </is>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inlineStr">
        <is>
          <t>Luis Díaz</t>
        </is>
      </c>
      <c r="W255" s="73">
        <f t="shared" ref="W255" si="1251">COUNTIF($M$255,V255)*$D$44</f>
        <v>0</v>
      </c>
      <c r="X255" s="64"/>
      <c r="Y255" s="74" t="inlineStr">
        <is>
          <t>Julián Álvarez</t>
        </is>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inlineStr">
        <is>
          <t>Vitinha</t>
        </is>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inlineStr">
        <is>
          <t>Kylian Mbappé</t>
        </is>
      </c>
      <c r="T257" s="73">
        <f>COUNTIF($M$257,S257)*$D$46</f>
        <v>0</v>
      </c>
      <c r="U257" s="64"/>
      <c r="V257" s="74" t="s">
        <v>2029</v>
      </c>
      <c r="W257" s="73">
        <f t="shared" ref="W257" si="1299">COUNTIF($M$257,V257)*$D$46</f>
        <v>0</v>
      </c>
      <c r="X257" s="64"/>
      <c r="Y257" s="74" t="inlineStr">
        <is>
          <t>Lamine Yamal</t>
        </is>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inlineStr">
        <is>
          <t>Luis Díaz</t>
        </is>
      </c>
      <c r="W258" s="81">
        <f t="shared" ref="W258" si="1323">COUNTIF($M$258,V258)*$D$47</f>
        <v>0</v>
      </c>
      <c r="X258" s="64"/>
      <c r="Y258" s="80" t="inlineStr">
        <is>
          <t>Kylian Mbappé</t>
        </is>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