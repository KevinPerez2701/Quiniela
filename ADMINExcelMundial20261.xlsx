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autoCompressPictures="0" defaultThemeVersion="124226"/>
  <mc:AlternateContent xmlns:mc="http://schemas.openxmlformats.org/markup-compatibility/2006">
    <mc:Choice Requires="x15">
      <x15ac:absPath xmlns:x15ac="http://schemas.microsoft.com/office/spreadsheetml/2010/11/ac" url="C:\Users\kevinper\Downloads\Test\"/>
    </mc:Choice>
  </mc:AlternateContent>
  <xr:revisionPtr revIDLastSave="0" documentId="13_ncr:1_{5950D065-9E1F-492A-8CAC-82C51491000A}"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7020" yWindow="3210" windowWidth="21585" windowHeight="11055"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fullCalcOnLoad="1" calcId="181029"/>
  <fileRecoveryPr autoRecover="0"/>
</workbook>
</file>

<file path=xl/calcChain.xml><?xml version="1.0" encoding="utf-8"?>
<calcChain xmlns="http://schemas.openxmlformats.org/spreadsheetml/2006/main">
  <c r="AG89" i="3" l="1"/>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Q76" i="46" s="1"/>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P74" i="46"/>
  <c r="O74" i="46"/>
  <c r="P73" i="46"/>
  <c r="O73" i="46"/>
  <c r="P72" i="46"/>
  <c r="O72" i="46"/>
  <c r="P71" i="46"/>
  <c r="O71" i="46"/>
  <c r="P70" i="46"/>
  <c r="O70" i="46"/>
  <c r="P69" i="46"/>
  <c r="O69" i="46"/>
  <c r="P68" i="46"/>
  <c r="O68" i="46"/>
  <c r="P67" i="46"/>
  <c r="O67" i="46"/>
  <c r="P66" i="46"/>
  <c r="O66" i="46"/>
  <c r="P65" i="46"/>
  <c r="O65" i="46"/>
  <c r="P64" i="46"/>
  <c r="O64" i="46"/>
  <c r="P63" i="46"/>
  <c r="O63" i="46"/>
  <c r="P62" i="46"/>
  <c r="O62" i="46"/>
  <c r="P61" i="46"/>
  <c r="O61" i="46"/>
  <c r="P60" i="46"/>
  <c r="Q60" i="46" s="1"/>
  <c r="O60" i="46"/>
  <c r="P59" i="46"/>
  <c r="O59" i="46"/>
  <c r="P58" i="46"/>
  <c r="O58" i="46"/>
  <c r="P57" i="46"/>
  <c r="O57" i="46"/>
  <c r="P56" i="46"/>
  <c r="O56" i="46"/>
  <c r="M56" i="46" s="1"/>
  <c r="P55" i="46"/>
  <c r="O55" i="46"/>
  <c r="P53" i="46"/>
  <c r="O53" i="46"/>
  <c r="O52" i="46"/>
  <c r="P51" i="46"/>
  <c r="O51" i="46"/>
  <c r="P50" i="46"/>
  <c r="O50" i="46"/>
  <c r="P49" i="46"/>
  <c r="O49" i="46"/>
  <c r="P48" i="46"/>
  <c r="O48" i="46"/>
  <c r="P47" i="46"/>
  <c r="O47" i="46"/>
  <c r="P46" i="46"/>
  <c r="O46" i="46"/>
  <c r="P45" i="46"/>
  <c r="Q45" i="46" s="1"/>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267" i="46"/>
  <c r="CJ267" i="46"/>
  <c r="CG267" i="46"/>
  <c r="CD267" i="46"/>
  <c r="CA267" i="46"/>
  <c r="BX267" i="46"/>
  <c r="BU267" i="46"/>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D338" i="36"/>
  <c r="C42" i="46" s="1"/>
  <c r="D337" i="36"/>
  <c r="C41" i="46" s="1"/>
  <c r="D336" i="36"/>
  <c r="C40" i="46" s="1"/>
  <c r="D335" i="36"/>
  <c r="T7" i="51" s="1"/>
  <c r="D331" i="36"/>
  <c r="C35" i="46" s="1"/>
  <c r="D328" i="36"/>
  <c r="C32" i="46" s="1"/>
  <c r="D327" i="36"/>
  <c r="C31" i="46" s="1"/>
  <c r="D325" i="36"/>
  <c r="C29" i="46" s="1"/>
  <c r="D322" i="36"/>
  <c r="C26" i="46" s="1"/>
  <c r="D321" i="36"/>
  <c r="C25" i="46" s="1"/>
  <c r="D320" i="36"/>
  <c r="C24" i="46" s="1"/>
  <c r="D316" i="36"/>
  <c r="C20" i="46" s="1"/>
  <c r="D313" i="36"/>
  <c r="C17" i="46" s="1"/>
  <c r="D312" i="36"/>
  <c r="C16" i="46" s="1"/>
  <c r="D311" i="36"/>
  <c r="C15" i="46" s="1"/>
  <c r="D309" i="36"/>
  <c r="C13" i="46" s="1"/>
  <c r="D308" i="36"/>
  <c r="C12" i="46" s="1"/>
  <c r="D299" i="36"/>
  <c r="C5" i="46" s="1"/>
  <c r="D10" i="36"/>
  <c r="D9" i="36"/>
  <c r="M180" i="46"/>
  <c r="M128" i="46"/>
  <c r="D453" i="36"/>
  <c r="C4" i="47" s="1"/>
  <c r="D452" i="36"/>
  <c r="B4" i="47" s="1"/>
  <c r="D164" i="46"/>
  <c r="D451" i="36"/>
  <c r="D434" i="36"/>
  <c r="D436" i="36"/>
  <c r="D439" i="36"/>
  <c r="D440" i="36"/>
  <c r="D433" i="36"/>
  <c r="D339" i="36"/>
  <c r="C43" i="46" s="1"/>
  <c r="D340" i="36"/>
  <c r="C44" i="46" s="1"/>
  <c r="D341" i="36"/>
  <c r="C45" i="46" s="1"/>
  <c r="D300" i="36"/>
  <c r="D301" i="36"/>
  <c r="D303" i="36"/>
  <c r="D7" i="46" s="1"/>
  <c r="D344" i="36"/>
  <c r="M7" i="51" s="1"/>
  <c r="D345" i="36"/>
  <c r="D346" i="36"/>
  <c r="D349" i="36"/>
  <c r="D350" i="36"/>
  <c r="D351" i="36"/>
  <c r="D352" i="36"/>
  <c r="D353" i="36"/>
  <c r="D354" i="36"/>
  <c r="D357" i="36"/>
  <c r="D358" i="36"/>
  <c r="D359" i="36"/>
  <c r="D360" i="36"/>
  <c r="D361" i="36"/>
  <c r="D362" i="36"/>
  <c r="D375" i="36"/>
  <c r="D376" i="36"/>
  <c r="D377" i="36"/>
  <c r="D378" i="36"/>
  <c r="D379" i="36"/>
  <c r="D380" i="36"/>
  <c r="D383" i="36"/>
  <c r="D384" i="36"/>
  <c r="D385" i="36"/>
  <c r="D386" i="36"/>
  <c r="D387" i="36"/>
  <c r="D388" i="36"/>
  <c r="D391" i="36"/>
  <c r="D392" i="36"/>
  <c r="D393" i="36"/>
  <c r="D394" i="36"/>
  <c r="D395" i="36"/>
  <c r="D396" i="36"/>
  <c r="D399" i="36"/>
  <c r="D400" i="36"/>
  <c r="D401" i="36"/>
  <c r="D402" i="36"/>
  <c r="D403" i="36"/>
  <c r="D404" i="36"/>
  <c r="D407" i="36"/>
  <c r="D408" i="36"/>
  <c r="D409" i="36"/>
  <c r="D410" i="36"/>
  <c r="D411" i="36"/>
  <c r="D412" i="36"/>
  <c r="D415" i="36"/>
  <c r="D416" i="36"/>
  <c r="D417" i="36"/>
  <c r="D418" i="36"/>
  <c r="D419" i="36"/>
  <c r="D420" i="36"/>
  <c r="D423" i="36"/>
  <c r="D424" i="36"/>
  <c r="D425" i="36"/>
  <c r="D426" i="36"/>
  <c r="D427" i="36"/>
  <c r="D428" i="36"/>
  <c r="D429" i="36"/>
  <c r="D430" i="36"/>
  <c r="D431" i="36"/>
  <c r="D6" i="36"/>
  <c r="D8" i="36"/>
  <c r="W1" i="3" s="1"/>
  <c r="D85" i="36"/>
  <c r="C19" i="34" s="1"/>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7" i="36"/>
  <c r="C5" i="30" s="1"/>
  <c r="D285" i="36"/>
  <c r="D6" i="3"/>
  <c r="D7" i="3"/>
  <c r="D8" i="3"/>
  <c r="D15" i="3"/>
  <c r="D14" i="3"/>
  <c r="D16" i="3"/>
  <c r="D23" i="3"/>
  <c r="D22" i="3"/>
  <c r="D24" i="3"/>
  <c r="D71" i="36"/>
  <c r="AI6" i="3"/>
  <c r="AI7" i="3"/>
  <c r="AI8" i="3"/>
  <c r="AI9" i="3"/>
  <c r="D5" i="3"/>
  <c r="D12" i="3"/>
  <c r="D13" i="3"/>
  <c r="D21" i="3"/>
  <c r="D20" i="3"/>
  <c r="D47" i="36"/>
  <c r="D131" i="36"/>
  <c r="D12" i="36"/>
  <c r="D28" i="36"/>
  <c r="W136" i="3" s="1"/>
  <c r="D27" i="36"/>
  <c r="D26" i="36"/>
  <c r="W118" i="3" s="1"/>
  <c r="D25" i="36"/>
  <c r="W99"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66" i="36"/>
  <c r="D70" i="36"/>
  <c r="D67" i="36"/>
  <c r="D11" i="36"/>
  <c r="D134" i="36"/>
  <c r="D24" i="36"/>
  <c r="AJ100" i="3" s="1"/>
  <c r="D114" i="36"/>
  <c r="D124" i="36"/>
  <c r="D4" i="36"/>
  <c r="K8" i="30" s="1"/>
  <c r="D84" i="36"/>
  <c r="B2" i="34" s="1"/>
  <c r="W129" i="3"/>
  <c r="D115" i="36"/>
  <c r="D126" i="36"/>
  <c r="D118" i="36"/>
  <c r="D128" i="36"/>
  <c r="D119" i="36"/>
  <c r="D129" i="36"/>
  <c r="D81" i="36"/>
  <c r="B3" i="34" s="1"/>
  <c r="D113" i="36"/>
  <c r="D51" i="36"/>
  <c r="AL149" i="3" s="1"/>
  <c r="D120" i="36"/>
  <c r="D130" i="36"/>
  <c r="D82" i="36"/>
  <c r="B15" i="34" s="1"/>
  <c r="D122" i="36"/>
  <c r="D123" i="36"/>
  <c r="D52" i="36"/>
  <c r="AM149" i="3" s="1"/>
  <c r="D121" i="36"/>
  <c r="D133" i="36"/>
  <c r="D15" i="36"/>
  <c r="C7" i="30" s="1"/>
  <c r="D132" i="36"/>
  <c r="D5" i="36"/>
  <c r="D64" i="36"/>
  <c r="Z6" i="3" s="1"/>
  <c r="D50" i="36"/>
  <c r="AM148" i="3" s="1"/>
  <c r="D29" i="36"/>
  <c r="W141" i="3" s="1"/>
  <c r="D116" i="36"/>
  <c r="D125" i="36"/>
  <c r="D83" i="36"/>
  <c r="B16" i="34" s="1"/>
  <c r="D30" i="36"/>
  <c r="W145" i="3" s="1"/>
  <c r="D117" i="36"/>
  <c r="D53" i="36"/>
  <c r="AJ5" i="3" s="1"/>
  <c r="D65" i="36"/>
  <c r="Z8" i="3" s="1"/>
  <c r="D31" i="36"/>
  <c r="AA149" i="3" s="1"/>
  <c r="D22" i="36"/>
  <c r="BC5" i="3" s="1"/>
  <c r="BC57" i="3" s="1"/>
  <c r="D18" i="36"/>
  <c r="Z3" i="3" s="1"/>
  <c r="D23" i="36"/>
  <c r="AV3" i="3" s="1"/>
  <c r="D49" i="36"/>
  <c r="AL148" i="3" s="1"/>
  <c r="D127" i="36"/>
  <c r="D16" i="36"/>
  <c r="X3" i="3" s="1"/>
  <c r="D63" i="36"/>
  <c r="Z4" i="3" s="1"/>
  <c r="D17" i="36"/>
  <c r="Y3" i="3" s="1"/>
  <c r="D69" i="36"/>
  <c r="AZ61" i="3" s="1"/>
  <c r="D279" i="36"/>
  <c r="D278" i="36"/>
  <c r="D277" i="36"/>
  <c r="D284" i="36"/>
  <c r="D283" i="36"/>
  <c r="D282" i="36"/>
  <c r="D280" i="36"/>
  <c r="D281" i="36"/>
  <c r="D68" i="36"/>
  <c r="D48" i="36"/>
  <c r="C9" i="30" s="1"/>
  <c r="D469" i="36"/>
  <c r="S4" i="47" s="1"/>
  <c r="D422" i="36"/>
  <c r="D414" i="36"/>
  <c r="D406" i="36"/>
  <c r="D398" i="36"/>
  <c r="D390" i="36"/>
  <c r="D382" i="36"/>
  <c r="D374" i="36"/>
  <c r="D356" i="36"/>
  <c r="D348" i="36"/>
  <c r="D343" i="36"/>
  <c r="C47" i="46" s="1"/>
  <c r="D438" i="36"/>
  <c r="D435" i="36"/>
  <c r="D454" i="36"/>
  <c r="D4" i="47" s="1"/>
  <c r="D304" i="36"/>
  <c r="C8" i="46" s="1"/>
  <c r="D317" i="36"/>
  <c r="C21" i="46" s="1"/>
  <c r="D329" i="36"/>
  <c r="C33" i="46" s="1"/>
  <c r="D421" i="36"/>
  <c r="D413" i="36"/>
  <c r="D405" i="36"/>
  <c r="D397" i="36"/>
  <c r="D389" i="36"/>
  <c r="D381" i="36"/>
  <c r="D363" i="36"/>
  <c r="D355" i="36"/>
  <c r="D347" i="36"/>
  <c r="D342" i="36"/>
  <c r="C46" i="46" s="1"/>
  <c r="D437" i="36"/>
  <c r="D307" i="36"/>
  <c r="C11" i="46" s="1"/>
  <c r="D319" i="36"/>
  <c r="C23" i="46" s="1"/>
  <c r="D330" i="36"/>
  <c r="C34" i="46" s="1"/>
  <c r="D305" i="36"/>
  <c r="C9" i="46" s="1"/>
  <c r="D314" i="36"/>
  <c r="C18" i="46" s="1"/>
  <c r="D323" i="36"/>
  <c r="C27" i="46" s="1"/>
  <c r="D332" i="36"/>
  <c r="C36" i="46" s="1"/>
  <c r="D306" i="36"/>
  <c r="C10" i="46" s="1"/>
  <c r="D315" i="36"/>
  <c r="C19" i="46" s="1"/>
  <c r="D324" i="36"/>
  <c r="C28" i="46" s="1"/>
  <c r="D333" i="36"/>
  <c r="C37" i="46" s="1"/>
  <c r="D182" i="36"/>
  <c r="K112" i="46" s="1"/>
  <c r="D38" i="36"/>
  <c r="W158" i="3" s="1"/>
  <c r="D468" i="36"/>
  <c r="K248" i="46" s="1"/>
  <c r="D184" i="36"/>
  <c r="K114" i="46" s="1"/>
  <c r="D181" i="36"/>
  <c r="K111" i="46" s="1"/>
  <c r="D138" i="36"/>
  <c r="D197" i="36"/>
  <c r="K127" i="46" s="1"/>
  <c r="D464" i="36"/>
  <c r="N4" i="47" s="1"/>
  <c r="D72" i="36"/>
  <c r="D73" i="36"/>
  <c r="D74" i="36"/>
  <c r="AY3" i="3" s="1"/>
  <c r="D148" i="36"/>
  <c r="K246" i="46" s="1"/>
  <c r="D136" i="36"/>
  <c r="K79" i="46" s="1"/>
  <c r="D171" i="36"/>
  <c r="K101" i="46" s="1"/>
  <c r="D502" i="36"/>
  <c r="H6" i="51" s="1"/>
  <c r="D494" i="36"/>
  <c r="D3" i="51" s="1"/>
  <c r="D486" i="36"/>
  <c r="D493" i="36"/>
  <c r="D485" i="36"/>
  <c r="D496" i="36"/>
  <c r="D5" i="51" s="1"/>
  <c r="D503" i="36"/>
  <c r="D501" i="36"/>
  <c r="H5" i="51" s="1"/>
  <c r="D492" i="36"/>
  <c r="D497" i="36"/>
  <c r="E7" i="51" s="1"/>
  <c r="D488" i="36"/>
  <c r="D12" i="51" s="1"/>
  <c r="D487" i="36"/>
  <c r="D11" i="51" s="1"/>
  <c r="D500" i="36"/>
  <c r="I7" i="51" s="1"/>
  <c r="D484" i="36"/>
  <c r="D480" i="36"/>
  <c r="F3" i="50" s="1"/>
  <c r="D495" i="36"/>
  <c r="D4" i="51" s="1"/>
  <c r="D499" i="36"/>
  <c r="H7" i="51" s="1"/>
  <c r="D491" i="36"/>
  <c r="D481" i="36"/>
  <c r="G3" i="50" s="1"/>
  <c r="D478" i="36"/>
  <c r="D498" i="36"/>
  <c r="D490" i="36"/>
  <c r="D489" i="36"/>
  <c r="D13" i="51" s="1"/>
  <c r="D513" i="36"/>
  <c r="D479" i="36"/>
  <c r="E3" i="50" s="1"/>
  <c r="D504" i="36"/>
  <c r="D173" i="36"/>
  <c r="K103" i="46" s="1"/>
  <c r="D272" i="36"/>
  <c r="D460" i="36"/>
  <c r="K208" i="46" s="1"/>
  <c r="D157" i="36"/>
  <c r="K87" i="46" s="1"/>
  <c r="D310" i="36"/>
  <c r="C14" i="46" s="1"/>
  <c r="D318" i="36"/>
  <c r="C22" i="46" s="1"/>
  <c r="D326" i="36"/>
  <c r="C30" i="46" s="1"/>
  <c r="D334" i="36"/>
  <c r="C38" i="46" s="1"/>
  <c r="D271" i="36"/>
  <c r="D140" i="36"/>
  <c r="D150" i="36"/>
  <c r="K80" i="46" s="1"/>
  <c r="D475" i="36"/>
  <c r="F3" i="48" s="1"/>
  <c r="D474" i="36"/>
  <c r="G1" i="48" s="1"/>
  <c r="D39" i="36"/>
  <c r="W159" i="3" s="1"/>
  <c r="D145" i="36"/>
  <c r="K235" i="46" s="1"/>
  <c r="D174" i="36"/>
  <c r="K104" i="46" s="1"/>
  <c r="D276" i="36"/>
  <c r="D37" i="36"/>
  <c r="W156" i="3" s="1"/>
  <c r="D144" i="36"/>
  <c r="K231" i="46" s="1"/>
  <c r="D192" i="36"/>
  <c r="K122" i="46" s="1"/>
  <c r="D166" i="36"/>
  <c r="K96" i="46" s="1"/>
  <c r="D275" i="36"/>
  <c r="D33" i="36"/>
  <c r="W151" i="3" s="1"/>
  <c r="D142" i="36"/>
  <c r="K219" i="46" s="1"/>
  <c r="D190" i="36"/>
  <c r="K120" i="46" s="1"/>
  <c r="D165" i="36"/>
  <c r="K95" i="46" s="1"/>
  <c r="D273" i="36"/>
  <c r="D149" i="36"/>
  <c r="D141" i="36"/>
  <c r="K209" i="46" s="1"/>
  <c r="D189" i="36"/>
  <c r="K119" i="46" s="1"/>
  <c r="D158" i="36"/>
  <c r="K88" i="46" s="1"/>
  <c r="D176" i="36"/>
  <c r="K106" i="46" s="1"/>
  <c r="D168" i="36"/>
  <c r="D160" i="36"/>
  <c r="K90" i="46" s="1"/>
  <c r="D152" i="36"/>
  <c r="K82" i="46" s="1"/>
  <c r="D274" i="36"/>
  <c r="D40" i="36"/>
  <c r="W160" i="3" s="1"/>
  <c r="D32" i="36"/>
  <c r="W150" i="3" s="1"/>
  <c r="D465" i="36"/>
  <c r="O4" i="47" s="1"/>
  <c r="D461" i="36"/>
  <c r="K218" i="46" s="1"/>
  <c r="D457" i="36"/>
  <c r="K162" i="46" s="1"/>
  <c r="D191" i="36"/>
  <c r="K121" i="46" s="1"/>
  <c r="D183" i="36"/>
  <c r="D175" i="36"/>
  <c r="D167" i="36"/>
  <c r="K97" i="46" s="1"/>
  <c r="D159" i="36"/>
  <c r="K89" i="46" s="1"/>
  <c r="D151" i="36"/>
  <c r="K81" i="46" s="1"/>
  <c r="D196" i="36"/>
  <c r="K126" i="46" s="1"/>
  <c r="D188" i="36"/>
  <c r="K118" i="46" s="1"/>
  <c r="D180" i="36"/>
  <c r="K110" i="46" s="1"/>
  <c r="D172" i="36"/>
  <c r="D164" i="36"/>
  <c r="K94" i="46" s="1"/>
  <c r="D156" i="36"/>
  <c r="D455" i="36"/>
  <c r="K78" i="46" s="1"/>
  <c r="D270" i="36"/>
  <c r="D36" i="36"/>
  <c r="W155" i="3" s="1"/>
  <c r="D467" i="36"/>
  <c r="K245" i="46" s="1"/>
  <c r="D463" i="36"/>
  <c r="K230" i="46" s="1"/>
  <c r="D459" i="36"/>
  <c r="K198" i="46" s="1"/>
  <c r="D195" i="36"/>
  <c r="K125" i="46" s="1"/>
  <c r="D187" i="36"/>
  <c r="K117" i="46" s="1"/>
  <c r="D179" i="36"/>
  <c r="D163" i="36"/>
  <c r="K93" i="46" s="1"/>
  <c r="D155" i="36"/>
  <c r="K85" i="46" s="1"/>
  <c r="D372" i="36"/>
  <c r="D470" i="36"/>
  <c r="D269" i="36"/>
  <c r="D35" i="36"/>
  <c r="W154" i="3" s="1"/>
  <c r="D147" i="36"/>
  <c r="K243" i="46" s="1"/>
  <c r="D143" i="36"/>
  <c r="K225" i="46" s="1"/>
  <c r="D139" i="36"/>
  <c r="K181" i="46" s="1"/>
  <c r="D194" i="36"/>
  <c r="D186" i="36"/>
  <c r="K116" i="46" s="1"/>
  <c r="D178" i="36"/>
  <c r="K108" i="46" s="1"/>
  <c r="D170" i="36"/>
  <c r="K100" i="46" s="1"/>
  <c r="D162" i="36"/>
  <c r="K92" i="46" s="1"/>
  <c r="D154" i="36"/>
  <c r="K84" i="46" s="1"/>
  <c r="D456" i="36"/>
  <c r="F4" i="47" s="1"/>
  <c r="D34" i="36"/>
  <c r="W152" i="3" s="1"/>
  <c r="D466" i="36"/>
  <c r="P4" i="47" s="1"/>
  <c r="D462" i="36"/>
  <c r="L4" i="47" s="1"/>
  <c r="D458" i="36"/>
  <c r="K180" i="46" s="1"/>
  <c r="D193" i="36"/>
  <c r="K123" i="46" s="1"/>
  <c r="D185" i="36"/>
  <c r="K115" i="46" s="1"/>
  <c r="D177" i="36"/>
  <c r="K107" i="46" s="1"/>
  <c r="D169" i="36"/>
  <c r="K99" i="46" s="1"/>
  <c r="D161" i="36"/>
  <c r="K91" i="46" s="1"/>
  <c r="D153" i="36"/>
  <c r="K83" i="46" s="1"/>
  <c r="D202" i="36"/>
  <c r="D200" i="36"/>
  <c r="K215" i="46" s="1"/>
  <c r="D199" i="36"/>
  <c r="K184" i="46" s="1"/>
  <c r="D203" i="36"/>
  <c r="K240" i="46" s="1"/>
  <c r="D201" i="36"/>
  <c r="K226" i="46" s="1"/>
  <c r="D198" i="36"/>
  <c r="K135" i="46" s="1"/>
  <c r="K163" i="46"/>
  <c r="D109" i="36"/>
  <c r="L42" i="34" s="1"/>
  <c r="D108" i="36"/>
  <c r="L41" i="34" s="1"/>
  <c r="D106" i="36"/>
  <c r="L38" i="34" s="1"/>
  <c r="D105" i="36"/>
  <c r="L35" i="34" s="1"/>
  <c r="D93" i="36"/>
  <c r="D104" i="36"/>
  <c r="L32" i="34" s="1"/>
  <c r="D96" i="36"/>
  <c r="L18" i="34" s="1"/>
  <c r="D89" i="36"/>
  <c r="L9" i="34" s="1"/>
  <c r="D95" i="36"/>
  <c r="L15" i="34" s="1"/>
  <c r="D94" i="36"/>
  <c r="L14" i="34" s="1"/>
  <c r="D112" i="36"/>
  <c r="D110" i="36"/>
  <c r="L45" i="34" s="1"/>
  <c r="D86" i="36"/>
  <c r="L4" i="34" s="1"/>
  <c r="D101" i="36"/>
  <c r="L27" i="34" s="1"/>
  <c r="D100" i="36"/>
  <c r="L25" i="34" s="1"/>
  <c r="D103" i="36"/>
  <c r="D99" i="36"/>
  <c r="L23" i="34" s="1"/>
  <c r="D102" i="36"/>
  <c r="D98" i="36"/>
  <c r="L21" i="34" s="1"/>
  <c r="D92" i="36"/>
  <c r="L12" i="34" s="1"/>
  <c r="D97" i="36"/>
  <c r="L20" i="34" s="1"/>
  <c r="D91" i="36"/>
  <c r="L11" i="34" s="1"/>
  <c r="D88" i="36"/>
  <c r="L6" i="34" s="1"/>
  <c r="D90" i="36"/>
  <c r="D87" i="36"/>
  <c r="L5" i="34" s="1"/>
  <c r="K199" i="46"/>
  <c r="B1" i="47"/>
  <c r="D509" i="36"/>
  <c r="D445" i="36"/>
  <c r="D446" i="36"/>
  <c r="D444" i="36"/>
  <c r="D302" i="36"/>
  <c r="C7" i="46" s="1"/>
  <c r="M66" i="46"/>
  <c r="E222" i="46"/>
  <c r="E207" i="46"/>
  <c r="M207" i="46"/>
  <c r="D366" i="36"/>
  <c r="D443" i="36"/>
  <c r="D43" i="36"/>
  <c r="AA156" i="3" s="1"/>
  <c r="K249" i="46"/>
  <c r="C62" i="46" s="1"/>
  <c r="C39" i="46"/>
  <c r="AZ5" i="3"/>
  <c r="M37" i="46"/>
  <c r="E179" i="46"/>
  <c r="E247" i="46"/>
  <c r="E206" i="46"/>
  <c r="K113" i="46"/>
  <c r="K182" i="46"/>
  <c r="D266" i="36"/>
  <c r="L2" i="32" s="1"/>
  <c r="D365" i="36"/>
  <c r="D364" i="36"/>
  <c r="K236" i="46"/>
  <c r="K196" i="46"/>
  <c r="G4" i="47"/>
  <c r="H4" i="47"/>
  <c r="D77" i="36"/>
  <c r="D75" i="36"/>
  <c r="D76" i="36"/>
  <c r="D78" i="36"/>
  <c r="D510" i="36"/>
  <c r="D56" i="36"/>
  <c r="AN5" i="3" s="1"/>
  <c r="D261" i="36"/>
  <c r="C58" i="46" s="1"/>
  <c r="D44" i="36"/>
  <c r="D368" i="36"/>
  <c r="D508" i="36"/>
  <c r="D57" i="36"/>
  <c r="AO5" i="3" s="1"/>
  <c r="AO29" i="3" s="1"/>
  <c r="D262" i="36"/>
  <c r="C59" i="46" s="1"/>
  <c r="D45" i="36"/>
  <c r="AA159" i="3" s="1"/>
  <c r="D19" i="36"/>
  <c r="AA3" i="3" s="1"/>
  <c r="D58" i="36"/>
  <c r="AP5" i="3" s="1"/>
  <c r="AP85" i="3" s="1"/>
  <c r="D263" i="36"/>
  <c r="C60" i="46" s="1"/>
  <c r="D46" i="36"/>
  <c r="AH160" i="3" s="1"/>
  <c r="D369" i="36"/>
  <c r="D511" i="36"/>
  <c r="D59" i="36"/>
  <c r="AQ5" i="3" s="1"/>
  <c r="D264" i="36"/>
  <c r="H256" i="46" s="1"/>
  <c r="D370" i="36"/>
  <c r="D512" i="36"/>
  <c r="D60" i="36"/>
  <c r="AR5" i="3" s="1"/>
  <c r="D135" i="36"/>
  <c r="K5" i="46" s="1"/>
  <c r="C56" i="46" s="1"/>
  <c r="D442" i="36"/>
  <c r="D50" i="46" s="1"/>
  <c r="D373" i="36"/>
  <c r="D55" i="36"/>
  <c r="AM5" i="3" s="1"/>
  <c r="AM53" i="3" s="1"/>
  <c r="D61" i="36"/>
  <c r="AS5" i="3" s="1"/>
  <c r="D41" i="36"/>
  <c r="AA154" i="3" s="1"/>
  <c r="D371" i="36"/>
  <c r="D54" i="36"/>
  <c r="BD5" i="3" s="1"/>
  <c r="BD57" i="3" s="1"/>
  <c r="D62" i="36"/>
  <c r="AT5" i="3" s="1"/>
  <c r="D137" i="36"/>
  <c r="H152" i="46" s="1"/>
  <c r="D260" i="36"/>
  <c r="H172" i="46" s="1"/>
  <c r="D42" i="36"/>
  <c r="AA155" i="3" s="1"/>
  <c r="M254" i="46" s="1"/>
  <c r="T254" i="46" s="1"/>
  <c r="D441" i="36"/>
  <c r="C49" i="46" s="1"/>
  <c r="M74" i="46"/>
  <c r="M72" i="46"/>
  <c r="M43" i="46"/>
  <c r="M16" i="46"/>
  <c r="M65" i="46"/>
  <c r="M33" i="46"/>
  <c r="Q179" i="46"/>
  <c r="Q27" i="46"/>
  <c r="E221" i="46"/>
  <c r="Q21" i="46"/>
  <c r="Q13" i="46"/>
  <c r="E233" i="46"/>
  <c r="M8" i="46"/>
  <c r="M61" i="46"/>
  <c r="M45" i="46"/>
  <c r="M69" i="46"/>
  <c r="M29" i="46"/>
  <c r="Q201" i="46"/>
  <c r="M221" i="46"/>
  <c r="M49" i="46"/>
  <c r="M13" i="46"/>
  <c r="M77" i="46"/>
  <c r="M57" i="46"/>
  <c r="E223" i="46"/>
  <c r="M26" i="46"/>
  <c r="M36" i="46"/>
  <c r="M50" i="46"/>
  <c r="M47" i="46"/>
  <c r="M62" i="46"/>
  <c r="M11" i="46"/>
  <c r="M44" i="46"/>
  <c r="M53" i="46"/>
  <c r="M14" i="46"/>
  <c r="M17" i="46"/>
  <c r="J4" i="47"/>
  <c r="R4" i="47"/>
  <c r="K259" i="46"/>
  <c r="S7" i="51"/>
  <c r="D505" i="36"/>
  <c r="D107" i="36"/>
  <c r="B3" i="30"/>
  <c r="AX18" i="45"/>
  <c r="S267" i="46"/>
  <c r="K128" i="46"/>
  <c r="H257" i="46"/>
  <c r="AZ37" i="3"/>
  <c r="AZ21" i="3"/>
  <c r="AZ13" i="3"/>
  <c r="AZ29" i="3"/>
  <c r="R7" i="51"/>
  <c r="AZ53" i="3"/>
  <c r="AZ77" i="3"/>
  <c r="AZ45" i="3"/>
  <c r="AZ69" i="3"/>
  <c r="AJ3" i="3"/>
  <c r="AJ60" i="3" s="1"/>
  <c r="AZ93" i="3"/>
  <c r="AZ85" i="3"/>
  <c r="H241" i="46"/>
  <c r="K224" i="46"/>
  <c r="K139" i="46"/>
  <c r="K153" i="46"/>
  <c r="K136" i="46"/>
  <c r="K138" i="46"/>
  <c r="K132" i="46"/>
  <c r="K134" i="46"/>
  <c r="K144" i="46"/>
  <c r="K142" i="46"/>
  <c r="K152" i="46"/>
  <c r="K154" i="46"/>
  <c r="K148" i="46"/>
  <c r="K150" i="46"/>
  <c r="K160" i="46"/>
  <c r="K158" i="46"/>
  <c r="K137" i="46"/>
  <c r="H202" i="46"/>
  <c r="H204" i="46"/>
  <c r="H205" i="46"/>
  <c r="H207" i="46"/>
  <c r="Q22" i="6"/>
  <c r="H210" i="46"/>
  <c r="H229" i="46"/>
  <c r="H220" i="46"/>
  <c r="D21" i="36"/>
  <c r="AF3" i="3" s="1"/>
  <c r="AF51" i="3" s="1"/>
  <c r="D507" i="36"/>
  <c r="D20" i="36"/>
  <c r="AD3" i="3" s="1"/>
  <c r="D506" i="36"/>
  <c r="H233" i="46"/>
  <c r="H236" i="46"/>
  <c r="H237" i="46"/>
  <c r="C61" i="46"/>
  <c r="AM21" i="3"/>
  <c r="AA160" i="3"/>
  <c r="M258" i="46" s="1"/>
  <c r="AL5" i="3"/>
  <c r="AY5" i="3" s="1"/>
  <c r="AR61" i="3"/>
  <c r="H232" i="46"/>
  <c r="AA158" i="3"/>
  <c r="M256" i="46" s="1"/>
  <c r="AH158" i="3"/>
  <c r="H216" i="46"/>
  <c r="AH154" i="3"/>
  <c r="AN45" i="3"/>
  <c r="M84" i="34"/>
  <c r="AC3" i="3"/>
  <c r="AC130" i="3" s="1"/>
  <c r="H228" i="46" l="1"/>
  <c r="Q56" i="46"/>
  <c r="AJ84" i="3"/>
  <c r="Q23" i="6"/>
  <c r="AJ52" i="3"/>
  <c r="H221" i="46"/>
  <c r="Q59" i="46"/>
  <c r="I4" i="47"/>
  <c r="AH155" i="3"/>
  <c r="H222" i="46"/>
  <c r="H227" i="46"/>
  <c r="Q4" i="47"/>
  <c r="AJ36" i="3"/>
  <c r="H215" i="46"/>
  <c r="K234" i="46"/>
  <c r="AN38" i="45"/>
  <c r="AJ32" i="45"/>
  <c r="AF47" i="45"/>
  <c r="AF29" i="45"/>
  <c r="AF11" i="45"/>
  <c r="AB46" i="45"/>
  <c r="AB10" i="45"/>
  <c r="AO37" i="45"/>
  <c r="AK31" i="45"/>
  <c r="AG46" i="45"/>
  <c r="AG28" i="45"/>
  <c r="AG10" i="45"/>
  <c r="AC45" i="45"/>
  <c r="AC36" i="45"/>
  <c r="AC27" i="45"/>
  <c r="AN37" i="45"/>
  <c r="AJ31" i="45"/>
  <c r="AF46" i="45"/>
  <c r="AF28" i="45"/>
  <c r="AF10" i="45"/>
  <c r="AB45" i="45"/>
  <c r="AB36" i="45"/>
  <c r="AB27" i="45"/>
  <c r="AB18" i="45"/>
  <c r="AB9" i="45"/>
  <c r="AC33" i="45"/>
  <c r="AB24" i="45"/>
  <c r="AB6" i="45"/>
  <c r="AB37" i="45"/>
  <c r="AW26" i="45"/>
  <c r="AO14" i="45"/>
  <c r="AK20" i="45"/>
  <c r="AG41" i="45"/>
  <c r="AG23" i="45"/>
  <c r="AG5" i="45"/>
  <c r="AC43" i="45"/>
  <c r="AC34" i="45"/>
  <c r="AC25" i="45"/>
  <c r="AC16" i="45"/>
  <c r="AC7" i="45"/>
  <c r="AC42" i="45"/>
  <c r="AC15" i="45"/>
  <c r="AB15" i="45"/>
  <c r="AB28" i="45"/>
  <c r="AV26" i="45"/>
  <c r="AN14" i="45"/>
  <c r="AJ20" i="45"/>
  <c r="AF41" i="45"/>
  <c r="AF23" i="45"/>
  <c r="AF5" i="45"/>
  <c r="AB43" i="45"/>
  <c r="AB34" i="45"/>
  <c r="AB25" i="45"/>
  <c r="AB16" i="45"/>
  <c r="AB7" i="45"/>
  <c r="AG4" i="45"/>
  <c r="AC6" i="45"/>
  <c r="AC28" i="45"/>
  <c r="AC9" i="45"/>
  <c r="AW25" i="45"/>
  <c r="AO13" i="45"/>
  <c r="AK19" i="45"/>
  <c r="AG40" i="45"/>
  <c r="AG22" i="45"/>
  <c r="AC24" i="45"/>
  <c r="AC10" i="45"/>
  <c r="AV25" i="45"/>
  <c r="AN13" i="45"/>
  <c r="AJ19" i="45"/>
  <c r="AF40" i="45"/>
  <c r="AF22" i="45"/>
  <c r="AF4" i="45"/>
  <c r="AB42" i="45"/>
  <c r="AB33" i="45"/>
  <c r="AB19" i="45"/>
  <c r="AS32" i="45"/>
  <c r="AK44" i="45"/>
  <c r="AK8" i="45"/>
  <c r="AG35" i="45"/>
  <c r="AG17" i="45"/>
  <c r="AC49" i="45"/>
  <c r="AC40" i="45"/>
  <c r="AC31" i="45"/>
  <c r="AC22" i="45"/>
  <c r="AC13" i="45"/>
  <c r="AC4" i="45"/>
  <c r="AG29" i="45"/>
  <c r="AC46" i="45"/>
  <c r="AR32" i="45"/>
  <c r="AJ44" i="45"/>
  <c r="AJ8" i="45"/>
  <c r="AF35" i="45"/>
  <c r="AF17" i="45"/>
  <c r="AB49" i="45"/>
  <c r="AB40" i="45"/>
  <c r="AB31" i="45"/>
  <c r="AB22" i="45"/>
  <c r="AB13" i="45"/>
  <c r="AB4" i="45"/>
  <c r="AG47" i="45"/>
  <c r="AG11" i="45"/>
  <c r="AC18" i="45"/>
  <c r="AS31" i="45"/>
  <c r="AK43" i="45"/>
  <c r="AK7" i="45"/>
  <c r="AG34" i="45"/>
  <c r="AG16" i="45"/>
  <c r="AC48" i="45"/>
  <c r="AC39" i="45"/>
  <c r="AC30" i="45"/>
  <c r="AC21" i="45"/>
  <c r="AC12" i="45"/>
  <c r="AC3" i="45"/>
  <c r="AK32" i="45"/>
  <c r="AC37" i="45"/>
  <c r="AR31" i="45"/>
  <c r="AJ43" i="45"/>
  <c r="AJ7" i="45"/>
  <c r="AF34" i="45"/>
  <c r="AF16" i="45"/>
  <c r="AB48" i="45"/>
  <c r="AB39" i="45"/>
  <c r="AB30" i="45"/>
  <c r="AB21" i="45"/>
  <c r="AB12" i="45"/>
  <c r="AB3" i="45"/>
  <c r="AO38" i="45"/>
  <c r="AC19" i="45"/>
  <c r="Q26" i="46"/>
  <c r="H212" i="46"/>
  <c r="Q63" i="46"/>
  <c r="Q75" i="46"/>
  <c r="K12" i="30"/>
  <c r="H211" i="46"/>
  <c r="L13" i="34"/>
  <c r="H1" i="50"/>
  <c r="Q244" i="46"/>
  <c r="AH159" i="3"/>
  <c r="K227" i="46"/>
  <c r="H251" i="46"/>
  <c r="H258" i="46"/>
  <c r="H247" i="46"/>
  <c r="AJ76" i="3"/>
  <c r="T1" i="6"/>
  <c r="AH156" i="3"/>
  <c r="H223" i="46"/>
  <c r="H200" i="46"/>
  <c r="H252" i="46"/>
  <c r="H226" i="46"/>
  <c r="K213" i="46"/>
  <c r="K151" i="46"/>
  <c r="Q25" i="6"/>
  <c r="K229" i="46"/>
  <c r="J5" i="46"/>
  <c r="H255" i="46"/>
  <c r="AJ92" i="3"/>
  <c r="AG160" i="3"/>
  <c r="AL77" i="3"/>
  <c r="AY77" i="3" s="1"/>
  <c r="AL61" i="3"/>
  <c r="AY61" i="3" s="1"/>
  <c r="AL45" i="3"/>
  <c r="AY45" i="3" s="1"/>
  <c r="AL101" i="3"/>
  <c r="AL29" i="3"/>
  <c r="AY29" i="3" s="1"/>
  <c r="AJ12" i="3"/>
  <c r="H179" i="46"/>
  <c r="AL21" i="3"/>
  <c r="AY21" i="3" s="1"/>
  <c r="H3" i="45"/>
  <c r="H11" i="45" s="1"/>
  <c r="H19" i="45" s="1"/>
  <c r="H27" i="45" s="1"/>
  <c r="H35" i="45" s="1"/>
  <c r="H43" i="45" s="1"/>
  <c r="T3" i="45" s="1"/>
  <c r="T11" i="45" s="1"/>
  <c r="T19" i="45" s="1"/>
  <c r="T27" i="45" s="1"/>
  <c r="T35" i="45" s="1"/>
  <c r="T43" i="45" s="1"/>
  <c r="AG155" i="3"/>
  <c r="H187" i="46"/>
  <c r="Q47" i="46"/>
  <c r="P202" i="46"/>
  <c r="P206" i="46"/>
  <c r="Q202" i="46"/>
  <c r="Q223" i="46"/>
  <c r="Q7" i="46"/>
  <c r="Q52" i="46"/>
  <c r="Q53" i="46"/>
  <c r="AC53" i="46" s="1"/>
  <c r="Q58" i="46"/>
  <c r="Q62" i="46"/>
  <c r="Q66" i="46"/>
  <c r="Q74" i="46"/>
  <c r="Q9" i="46"/>
  <c r="Q36" i="46"/>
  <c r="Q40" i="46"/>
  <c r="Q44" i="46"/>
  <c r="T44" i="46" s="1"/>
  <c r="Q30" i="46"/>
  <c r="P203" i="46"/>
  <c r="Q203" i="46"/>
  <c r="Q207" i="46"/>
  <c r="Q65" i="46"/>
  <c r="Q232" i="46"/>
  <c r="Q33" i="46"/>
  <c r="Q37" i="46"/>
  <c r="AU37" i="46" s="1"/>
  <c r="Q41" i="46"/>
  <c r="Q49" i="46"/>
  <c r="P204" i="46"/>
  <c r="P247" i="46"/>
  <c r="Q39" i="46"/>
  <c r="Q77" i="46"/>
  <c r="P222" i="46"/>
  <c r="T77" i="46"/>
  <c r="M177" i="46"/>
  <c r="M169" i="46"/>
  <c r="AG154" i="3"/>
  <c r="M253" i="46"/>
  <c r="AG156" i="3"/>
  <c r="M255" i="46"/>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K4" i="47"/>
  <c r="H176" i="46"/>
  <c r="H196" i="46"/>
  <c r="H186" i="46"/>
  <c r="Q21" i="6"/>
  <c r="H166" i="46"/>
  <c r="H193" i="46"/>
  <c r="H139" i="46"/>
  <c r="H174" i="46"/>
  <c r="H178" i="46"/>
  <c r="H130" i="46"/>
  <c r="H170" i="46"/>
  <c r="AL69" i="3"/>
  <c r="AY69" i="3" s="1"/>
  <c r="H164" i="46"/>
  <c r="H188" i="46"/>
  <c r="H190" i="46"/>
  <c r="H182" i="46"/>
  <c r="M257" i="46"/>
  <c r="AG159" i="3"/>
  <c r="Y75" i="3"/>
  <c r="Y59" i="3"/>
  <c r="Y67" i="3"/>
  <c r="Y146" i="3"/>
  <c r="Y100" i="3"/>
  <c r="Y11" i="3"/>
  <c r="Y27" i="3" s="1"/>
  <c r="Y43" i="3" s="1"/>
  <c r="Y130" i="3"/>
  <c r="Y91" i="3"/>
  <c r="Y19" i="3"/>
  <c r="Y35" i="3" s="1"/>
  <c r="Y137" i="3"/>
  <c r="Y119" i="3"/>
  <c r="Y51" i="3"/>
  <c r="Y142" i="3"/>
  <c r="Y83" i="3"/>
  <c r="AO256" i="46"/>
  <c r="BM256" i="46"/>
  <c r="CK256" i="46"/>
  <c r="AR256" i="46"/>
  <c r="BP256" i="46"/>
  <c r="CN256" i="46"/>
  <c r="W256" i="46"/>
  <c r="AU256" i="46"/>
  <c r="BS256" i="46"/>
  <c r="Z256" i="46"/>
  <c r="AX256" i="46"/>
  <c r="BV256" i="46"/>
  <c r="AC256" i="46"/>
  <c r="BA256" i="46"/>
  <c r="BY256" i="46"/>
  <c r="AF256" i="46"/>
  <c r="BD256" i="46"/>
  <c r="CB256" i="46"/>
  <c r="CE256" i="46"/>
  <c r="CH256" i="46"/>
  <c r="AI256" i="46"/>
  <c r="AL256" i="46"/>
  <c r="BG256" i="46"/>
  <c r="BJ256" i="46"/>
  <c r="AF142" i="3"/>
  <c r="AF137" i="3"/>
  <c r="AG158" i="3"/>
  <c r="H217" i="46"/>
  <c r="H203" i="46"/>
  <c r="H142" i="46"/>
  <c r="H135" i="46"/>
  <c r="H157" i="46"/>
  <c r="H149" i="46"/>
  <c r="K190" i="46"/>
  <c r="K185" i="46"/>
  <c r="C50" i="46"/>
  <c r="H159" i="46"/>
  <c r="AO258" i="46"/>
  <c r="BM258" i="46"/>
  <c r="CK258" i="46"/>
  <c r="AR258" i="46"/>
  <c r="BP258" i="46"/>
  <c r="CN258" i="46"/>
  <c r="W258" i="46"/>
  <c r="AU258" i="46"/>
  <c r="BS258" i="46"/>
  <c r="Z258" i="46"/>
  <c r="AX258" i="46"/>
  <c r="BV258" i="46"/>
  <c r="AC258" i="46"/>
  <c r="BA258" i="46"/>
  <c r="BY258" i="46"/>
  <c r="AF258" i="46"/>
  <c r="BD258" i="46"/>
  <c r="CB258" i="46"/>
  <c r="CE258" i="46"/>
  <c r="CH258" i="46"/>
  <c r="AI258" i="46"/>
  <c r="AL258" i="46"/>
  <c r="BG258" i="46"/>
  <c r="BJ258" i="46"/>
  <c r="Z255" i="46"/>
  <c r="AX255" i="46"/>
  <c r="BV255" i="46"/>
  <c r="AC255" i="46"/>
  <c r="BA255" i="46"/>
  <c r="BY255" i="46"/>
  <c r="AF255" i="46"/>
  <c r="BD255" i="46"/>
  <c r="CB255" i="46"/>
  <c r="AI255" i="46"/>
  <c r="BG255" i="46"/>
  <c r="CE255" i="46"/>
  <c r="AL255" i="46"/>
  <c r="BJ255" i="46"/>
  <c r="CH255" i="46"/>
  <c r="AO255" i="46"/>
  <c r="BM255" i="46"/>
  <c r="CK255" i="46"/>
  <c r="AR255" i="46"/>
  <c r="AU255" i="46"/>
  <c r="BP255" i="46"/>
  <c r="BS255" i="46"/>
  <c r="CN255" i="46"/>
  <c r="W255" i="46"/>
  <c r="AF75" i="3"/>
  <c r="K129" i="46"/>
  <c r="H131" i="46"/>
  <c r="H250" i="46"/>
  <c r="H158" i="46"/>
  <c r="H151" i="46"/>
  <c r="H137" i="46"/>
  <c r="H206" i="46"/>
  <c r="D13" i="36"/>
  <c r="K14" i="30" s="1"/>
  <c r="D432" i="36"/>
  <c r="AO254" i="46"/>
  <c r="BM254" i="46"/>
  <c r="CK254" i="46"/>
  <c r="AR254" i="46"/>
  <c r="BP254" i="46"/>
  <c r="CN254" i="46"/>
  <c r="W254" i="46"/>
  <c r="AU254" i="46"/>
  <c r="BS254" i="46"/>
  <c r="Z254" i="46"/>
  <c r="AX254" i="46"/>
  <c r="BV254" i="46"/>
  <c r="BG254" i="46"/>
  <c r="BJ254" i="46"/>
  <c r="AC254" i="46"/>
  <c r="BY254" i="46"/>
  <c r="AF254" i="46"/>
  <c r="CB254" i="46"/>
  <c r="AI254" i="46"/>
  <c r="CE254" i="46"/>
  <c r="AL254" i="46"/>
  <c r="CH254" i="46"/>
  <c r="BA254" i="46"/>
  <c r="BD254" i="46"/>
  <c r="H147" i="46"/>
  <c r="H132" i="46"/>
  <c r="H161" i="46"/>
  <c r="K197" i="46"/>
  <c r="D367" i="36"/>
  <c r="AF91" i="3"/>
  <c r="AF67" i="3"/>
  <c r="AL85" i="3"/>
  <c r="AY85" i="3" s="1"/>
  <c r="AJ28" i="3"/>
  <c r="H244" i="46"/>
  <c r="H201" i="46"/>
  <c r="H214" i="46"/>
  <c r="H155" i="46"/>
  <c r="H140" i="46"/>
  <c r="H138" i="46"/>
  <c r="AL253" i="46"/>
  <c r="Z253" i="46"/>
  <c r="BA253" i="46"/>
  <c r="AR253" i="46"/>
  <c r="BJ253" i="46"/>
  <c r="BY253" i="46"/>
  <c r="AC253" i="46"/>
  <c r="AU253" i="46"/>
  <c r="CN253" i="46"/>
  <c r="BM253" i="46"/>
  <c r="CB253" i="46"/>
  <c r="AF253" i="46"/>
  <c r="AX253" i="46"/>
  <c r="BP253" i="46"/>
  <c r="CE253" i="46"/>
  <c r="AI253" i="46"/>
  <c r="BS253" i="46"/>
  <c r="BD253" i="46"/>
  <c r="CH253" i="46"/>
  <c r="W253" i="46"/>
  <c r="CK253" i="46"/>
  <c r="AO253" i="46"/>
  <c r="BG253" i="46"/>
  <c r="BV253" i="46"/>
  <c r="K193" i="46"/>
  <c r="K183" i="46"/>
  <c r="H213" i="46"/>
  <c r="H156" i="46"/>
  <c r="H134" i="46"/>
  <c r="H253" i="46"/>
  <c r="H254" i="46"/>
  <c r="H141" i="46"/>
  <c r="H133" i="46"/>
  <c r="K186" i="46"/>
  <c r="Q55" i="46"/>
  <c r="Q247" i="46"/>
  <c r="P232" i="46"/>
  <c r="M203" i="46"/>
  <c r="E203" i="46"/>
  <c r="M202" i="46"/>
  <c r="W77" i="46"/>
  <c r="W45" i="46"/>
  <c r="W36" i="46"/>
  <c r="W52" i="46"/>
  <c r="W26" i="46"/>
  <c r="W75" i="46"/>
  <c r="W33" i="46"/>
  <c r="W17" i="46"/>
  <c r="W7" i="46"/>
  <c r="W74" i="46"/>
  <c r="W66" i="46"/>
  <c r="W58" i="46"/>
  <c r="W41" i="46"/>
  <c r="W65" i="46"/>
  <c r="W49" i="46"/>
  <c r="W56" i="46"/>
  <c r="W63" i="46"/>
  <c r="W47" i="46"/>
  <c r="W21" i="46"/>
  <c r="W13" i="46"/>
  <c r="W62" i="46"/>
  <c r="E165" i="46"/>
  <c r="AC7" i="46"/>
  <c r="BA7" i="46"/>
  <c r="BY7" i="46"/>
  <c r="AI7" i="46"/>
  <c r="BG7" i="46"/>
  <c r="CE7" i="46"/>
  <c r="AO7" i="46"/>
  <c r="BM7" i="46"/>
  <c r="CK7" i="46"/>
  <c r="AF7" i="46"/>
  <c r="BS7" i="46"/>
  <c r="AR7" i="46"/>
  <c r="CB7" i="46"/>
  <c r="AX7" i="46"/>
  <c r="CN7" i="46"/>
  <c r="AL7" i="46"/>
  <c r="AU7" i="46"/>
  <c r="BD7" i="46"/>
  <c r="BJ7" i="46"/>
  <c r="BP7" i="46"/>
  <c r="BV7" i="46"/>
  <c r="CH7" i="46"/>
  <c r="AR13" i="46"/>
  <c r="BP13" i="46"/>
  <c r="CN13" i="46"/>
  <c r="AU13" i="46"/>
  <c r="BS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AO26" i="46"/>
  <c r="BM26" i="46"/>
  <c r="CK26" i="46"/>
  <c r="AR26" i="46"/>
  <c r="BP26" i="46"/>
  <c r="CN26" i="46"/>
  <c r="AU26" i="46"/>
  <c r="BS26" i="46"/>
  <c r="Z26" i="46"/>
  <c r="AX26" i="46"/>
  <c r="BV26" i="46"/>
  <c r="AC26" i="46"/>
  <c r="BA26" i="46"/>
  <c r="BY26" i="46"/>
  <c r="AX21" i="46"/>
  <c r="AL26" i="46"/>
  <c r="BP21" i="46"/>
  <c r="BD26" i="46"/>
  <c r="BG26" i="46"/>
  <c r="CB26" i="46"/>
  <c r="CE26" i="46"/>
  <c r="Z21" i="46"/>
  <c r="AF26" i="46"/>
  <c r="AI33" i="46"/>
  <c r="BG33" i="46"/>
  <c r="CE33" i="46"/>
  <c r="AI26" i="46"/>
  <c r="AL33" i="46"/>
  <c r="BJ33" i="46"/>
  <c r="CH33" i="46"/>
  <c r="BJ26" i="46"/>
  <c r="AO33" i="46"/>
  <c r="BM33" i="46"/>
  <c r="CK33" i="46"/>
  <c r="BV17" i="46"/>
  <c r="CH26" i="46"/>
  <c r="AR33" i="46"/>
  <c r="BP33" i="46"/>
  <c r="CN33" i="46"/>
  <c r="AU33" i="46"/>
  <c r="BS33" i="46"/>
  <c r="AC33" i="46"/>
  <c r="AI36" i="46"/>
  <c r="BG36" i="46"/>
  <c r="CE36" i="46"/>
  <c r="AF33" i="46"/>
  <c r="AL36" i="46"/>
  <c r="BJ36" i="46"/>
  <c r="CH36" i="46"/>
  <c r="AX33" i="46"/>
  <c r="AO36" i="46"/>
  <c r="BM36" i="46"/>
  <c r="CK36" i="46"/>
  <c r="BA33" i="46"/>
  <c r="AR36" i="46"/>
  <c r="BP36" i="46"/>
  <c r="CN36" i="46"/>
  <c r="BD33" i="46"/>
  <c r="AU36" i="46"/>
  <c r="BS36" i="46"/>
  <c r="BA36" i="46"/>
  <c r="BM37" i="46"/>
  <c r="AO41" i="46"/>
  <c r="BM41" i="46"/>
  <c r="CK41" i="46"/>
  <c r="BD36" i="46"/>
  <c r="AR41" i="46"/>
  <c r="BP41" i="46"/>
  <c r="CN41" i="46"/>
  <c r="AO45" i="46"/>
  <c r="BM45" i="46"/>
  <c r="CK45" i="46"/>
  <c r="Z33" i="46"/>
  <c r="BV36" i="46"/>
  <c r="BV33" i="46"/>
  <c r="BY36" i="46"/>
  <c r="CB36" i="46"/>
  <c r="AX41" i="46"/>
  <c r="CB41" i="46"/>
  <c r="AL45" i="46"/>
  <c r="BP45" i="46"/>
  <c r="AI47" i="46"/>
  <c r="BG47" i="46"/>
  <c r="CE47" i="46"/>
  <c r="AO49" i="46"/>
  <c r="BM49" i="46"/>
  <c r="CK49" i="46"/>
  <c r="BA41" i="46"/>
  <c r="CE41" i="46"/>
  <c r="AR45" i="46"/>
  <c r="BS45" i="46"/>
  <c r="AL47" i="46"/>
  <c r="BJ47" i="46"/>
  <c r="CH47" i="46"/>
  <c r="AR49" i="46"/>
  <c r="BP49" i="46"/>
  <c r="CN49" i="46"/>
  <c r="Z41" i="46"/>
  <c r="BD41" i="46"/>
  <c r="CH41" i="46"/>
  <c r="AU45" i="46"/>
  <c r="BV45" i="46"/>
  <c r="AO47" i="46"/>
  <c r="BM47" i="46"/>
  <c r="CK47" i="46"/>
  <c r="AU49" i="46"/>
  <c r="BS49" i="46"/>
  <c r="AC41" i="46"/>
  <c r="BG41" i="46"/>
  <c r="CN44" i="46"/>
  <c r="AX45" i="46"/>
  <c r="BY45" i="46"/>
  <c r="AR47" i="46"/>
  <c r="BP47" i="46"/>
  <c r="CN47" i="46"/>
  <c r="Z49" i="46"/>
  <c r="AX49" i="46"/>
  <c r="BV49" i="46"/>
  <c r="BY33" i="46"/>
  <c r="Z36" i="46"/>
  <c r="AF41" i="46"/>
  <c r="BJ41" i="46"/>
  <c r="Z45" i="46"/>
  <c r="BA45" i="46"/>
  <c r="CB45" i="46"/>
  <c r="AU47" i="46"/>
  <c r="BS47" i="46"/>
  <c r="AC49" i="46"/>
  <c r="BA49" i="46"/>
  <c r="BY49" i="46"/>
  <c r="CB33" i="46"/>
  <c r="BS41" i="46"/>
  <c r="AF45" i="46"/>
  <c r="BD47" i="46"/>
  <c r="CB49" i="46"/>
  <c r="AL52" i="46"/>
  <c r="BJ52" i="46"/>
  <c r="CH52" i="46"/>
  <c r="AC56" i="46"/>
  <c r="BA56" i="46"/>
  <c r="BY56" i="46"/>
  <c r="AI58" i="46"/>
  <c r="BG58" i="46"/>
  <c r="CE58" i="46"/>
  <c r="AC36" i="46"/>
  <c r="BV41" i="46"/>
  <c r="AI45" i="46"/>
  <c r="BV47" i="46"/>
  <c r="CE49" i="46"/>
  <c r="AO52" i="46"/>
  <c r="BM52" i="46"/>
  <c r="CK52" i="46"/>
  <c r="AF56" i="46"/>
  <c r="BD56" i="46"/>
  <c r="CB56" i="46"/>
  <c r="AL58" i="46"/>
  <c r="BJ58" i="46"/>
  <c r="CH58" i="46"/>
  <c r="AF36" i="46"/>
  <c r="BY41" i="46"/>
  <c r="BD45" i="46"/>
  <c r="BY47" i="46"/>
  <c r="AF49" i="46"/>
  <c r="CH49" i="46"/>
  <c r="AR52" i="46"/>
  <c r="BP52" i="46"/>
  <c r="CN52" i="46"/>
  <c r="AI56" i="46"/>
  <c r="BG56" i="46"/>
  <c r="CE56" i="46"/>
  <c r="AO58" i="46"/>
  <c r="BM58" i="46"/>
  <c r="CK58" i="46"/>
  <c r="AX36" i="46"/>
  <c r="Z37" i="46"/>
  <c r="BG45" i="46"/>
  <c r="Z47" i="46"/>
  <c r="CB47" i="46"/>
  <c r="AI49" i="46"/>
  <c r="AU52" i="46"/>
  <c r="BS52" i="46"/>
  <c r="AL56" i="46"/>
  <c r="BJ56" i="46"/>
  <c r="CH56" i="46"/>
  <c r="BJ45" i="46"/>
  <c r="AC47" i="46"/>
  <c r="AL49" i="46"/>
  <c r="Z52" i="46"/>
  <c r="AX52" i="46"/>
  <c r="BV52" i="46"/>
  <c r="AO56" i="46"/>
  <c r="BM56" i="46"/>
  <c r="CK56" i="46"/>
  <c r="CN45" i="46"/>
  <c r="AX47" i="46"/>
  <c r="BD52" i="46"/>
  <c r="CN56" i="46"/>
  <c r="Z58" i="46"/>
  <c r="BP58" i="46"/>
  <c r="AU62" i="46"/>
  <c r="BS62" i="46"/>
  <c r="AL63" i="46"/>
  <c r="BJ63" i="46"/>
  <c r="CH63" i="46"/>
  <c r="CN37" i="46"/>
  <c r="BA47" i="46"/>
  <c r="BG52" i="46"/>
  <c r="Z56" i="46"/>
  <c r="AC58" i="46"/>
  <c r="BS58" i="46"/>
  <c r="Z62" i="46"/>
  <c r="AX62" i="46"/>
  <c r="BV62" i="46"/>
  <c r="AO63" i="46"/>
  <c r="BM63" i="46"/>
  <c r="CK63" i="46"/>
  <c r="AI41" i="46"/>
  <c r="BY52" i="46"/>
  <c r="AR56" i="46"/>
  <c r="AF58" i="46"/>
  <c r="BV58" i="46"/>
  <c r="AC62" i="46"/>
  <c r="BA62" i="46"/>
  <c r="BY62" i="46"/>
  <c r="AR63" i="46"/>
  <c r="BP63" i="46"/>
  <c r="CN63" i="46"/>
  <c r="Z65" i="46"/>
  <c r="AX65" i="46"/>
  <c r="BV65" i="46"/>
  <c r="AL41" i="46"/>
  <c r="CB52" i="46"/>
  <c r="AU56" i="46"/>
  <c r="AR58" i="46"/>
  <c r="BY58" i="46"/>
  <c r="AF62" i="46"/>
  <c r="BD62" i="46"/>
  <c r="CB62" i="46"/>
  <c r="AU63" i="46"/>
  <c r="BS63" i="46"/>
  <c r="AU41" i="46"/>
  <c r="BD49" i="46"/>
  <c r="AC52" i="46"/>
  <c r="CE52" i="46"/>
  <c r="AX56" i="46"/>
  <c r="AU58" i="46"/>
  <c r="CB58" i="46"/>
  <c r="AI62" i="46"/>
  <c r="BG62" i="46"/>
  <c r="CE62" i="46"/>
  <c r="Z63" i="46"/>
  <c r="AX63" i="46"/>
  <c r="BV63" i="46"/>
  <c r="BA58" i="46"/>
  <c r="BP62" i="46"/>
  <c r="BA63" i="46"/>
  <c r="AO65" i="46"/>
  <c r="BP65" i="46"/>
  <c r="AL66" i="46"/>
  <c r="BJ66" i="46"/>
  <c r="CH66" i="46"/>
  <c r="BD58" i="46"/>
  <c r="CH62" i="46"/>
  <c r="BD63" i="46"/>
  <c r="AR65" i="46"/>
  <c r="BS65" i="46"/>
  <c r="AO66" i="46"/>
  <c r="BM66" i="46"/>
  <c r="CK66" i="46"/>
  <c r="CN58" i="46"/>
  <c r="CK62" i="46"/>
  <c r="BG63" i="46"/>
  <c r="AU65" i="46"/>
  <c r="BY65" i="46"/>
  <c r="AR66" i="46"/>
  <c r="BP66" i="46"/>
  <c r="CN66" i="46"/>
  <c r="BG49" i="46"/>
  <c r="AL62" i="46"/>
  <c r="CN62" i="46"/>
  <c r="BY63" i="46"/>
  <c r="BA65" i="46"/>
  <c r="CB65" i="46"/>
  <c r="AU66" i="46"/>
  <c r="BS66" i="46"/>
  <c r="BJ49" i="46"/>
  <c r="BP56" i="46"/>
  <c r="AO62" i="46"/>
  <c r="CB63" i="46"/>
  <c r="AC65" i="46"/>
  <c r="BD65" i="46"/>
  <c r="CE65" i="46"/>
  <c r="Z66" i="46"/>
  <c r="AX66" i="46"/>
  <c r="BV66" i="46"/>
  <c r="AC45" i="46"/>
  <c r="AR62" i="46"/>
  <c r="CE63" i="46"/>
  <c r="AF65" i="46"/>
  <c r="CN65" i="46"/>
  <c r="AF66" i="46"/>
  <c r="AU74" i="46"/>
  <c r="BS74" i="46"/>
  <c r="AL75" i="46"/>
  <c r="BJ75" i="46"/>
  <c r="CH75" i="46"/>
  <c r="CH45" i="46"/>
  <c r="BM62" i="46"/>
  <c r="AL65" i="46"/>
  <c r="BA66" i="46"/>
  <c r="AC74" i="46"/>
  <c r="BA74" i="46"/>
  <c r="BY74" i="46"/>
  <c r="AR75" i="46"/>
  <c r="BP75" i="46"/>
  <c r="CN75" i="46"/>
  <c r="AF52" i="46"/>
  <c r="BG65" i="46"/>
  <c r="BD66" i="46"/>
  <c r="AF74" i="46"/>
  <c r="BD74" i="46"/>
  <c r="CB74" i="46"/>
  <c r="AU75" i="46"/>
  <c r="BS75" i="46"/>
  <c r="AF47" i="46"/>
  <c r="AI52" i="46"/>
  <c r="BJ65" i="46"/>
  <c r="BG66" i="46"/>
  <c r="AI74" i="46"/>
  <c r="BG74" i="46"/>
  <c r="CE74" i="46"/>
  <c r="Z75" i="46"/>
  <c r="AX75" i="46"/>
  <c r="BV75" i="46"/>
  <c r="BA52" i="46"/>
  <c r="AC63" i="46"/>
  <c r="BM65" i="46"/>
  <c r="BY66" i="46"/>
  <c r="CH65" i="46"/>
  <c r="Z74" i="46"/>
  <c r="BV74" i="46"/>
  <c r="BM75" i="46"/>
  <c r="AO77" i="46"/>
  <c r="BM77" i="46"/>
  <c r="CK77" i="46"/>
  <c r="CK65" i="46"/>
  <c r="AL74" i="46"/>
  <c r="CH74" i="46"/>
  <c r="AC75" i="46"/>
  <c r="BY75" i="46"/>
  <c r="AR77" i="46"/>
  <c r="BP77" i="46"/>
  <c r="CN77" i="46"/>
  <c r="CE45" i="46"/>
  <c r="AO74" i="46"/>
  <c r="CK74" i="46"/>
  <c r="AF75" i="46"/>
  <c r="CB75" i="46"/>
  <c r="AU77" i="46"/>
  <c r="BS77" i="46"/>
  <c r="AX58" i="46"/>
  <c r="BJ62" i="46"/>
  <c r="AC66" i="46"/>
  <c r="AR74" i="46"/>
  <c r="CN74" i="46"/>
  <c r="AI75" i="46"/>
  <c r="CE75" i="46"/>
  <c r="Z77" i="46"/>
  <c r="AX77" i="46"/>
  <c r="BV77" i="46"/>
  <c r="AF63" i="46"/>
  <c r="AI66" i="46"/>
  <c r="AX74" i="46"/>
  <c r="AO75" i="46"/>
  <c r="CK75" i="46"/>
  <c r="AC77" i="46"/>
  <c r="BA77" i="46"/>
  <c r="BY77" i="46"/>
  <c r="AI63" i="46"/>
  <c r="CB66" i="46"/>
  <c r="BJ74" i="46"/>
  <c r="BA75" i="46"/>
  <c r="AF77" i="46"/>
  <c r="BD77" i="46"/>
  <c r="CB77" i="46"/>
  <c r="Z7" i="46"/>
  <c r="BS56" i="46"/>
  <c r="CE66" i="46"/>
  <c r="BJ77" i="46"/>
  <c r="CE77" i="46"/>
  <c r="BV56" i="46"/>
  <c r="CH77" i="46"/>
  <c r="BD75" i="46"/>
  <c r="BG75" i="46"/>
  <c r="BM74" i="46"/>
  <c r="AI77" i="46"/>
  <c r="BP74" i="46"/>
  <c r="AL77" i="46"/>
  <c r="AI65" i="46"/>
  <c r="BG77" i="46"/>
  <c r="Q46" i="46"/>
  <c r="P221" i="46"/>
  <c r="Q222" i="46"/>
  <c r="Q68" i="46"/>
  <c r="T256" i="46"/>
  <c r="Q16" i="46"/>
  <c r="T65" i="46"/>
  <c r="Q29" i="46"/>
  <c r="Q220" i="46"/>
  <c r="Q14" i="46"/>
  <c r="Q233" i="46"/>
  <c r="Q8" i="46"/>
  <c r="P178" i="46"/>
  <c r="P174" i="46"/>
  <c r="Q173" i="46"/>
  <c r="Q169" i="46"/>
  <c r="T47" i="46"/>
  <c r="Q50" i="46"/>
  <c r="T75" i="46"/>
  <c r="Q70" i="46"/>
  <c r="Q71" i="46"/>
  <c r="Q23" i="46"/>
  <c r="M46" i="46"/>
  <c r="M71" i="46"/>
  <c r="M70" i="46"/>
  <c r="M23" i="46"/>
  <c r="Q22" i="46"/>
  <c r="M22" i="46"/>
  <c r="Q200" i="46"/>
  <c r="T26" i="46"/>
  <c r="Q72" i="46"/>
  <c r="Q43" i="46"/>
  <c r="T17" i="46"/>
  <c r="Q64" i="46"/>
  <c r="T36" i="46"/>
  <c r="T13" i="46"/>
  <c r="Q34" i="46"/>
  <c r="T33" i="46"/>
  <c r="T7" i="46"/>
  <c r="F5" i="48" a="1"/>
  <c r="F5" i="48" s="1"/>
  <c r="V267" i="46"/>
  <c r="T253" i="46"/>
  <c r="T258" i="46"/>
  <c r="T58" i="46"/>
  <c r="M39" i="46"/>
  <c r="M28" i="46"/>
  <c r="Q28" i="46"/>
  <c r="Q12" i="46"/>
  <c r="E205" i="46"/>
  <c r="Q205" i="46"/>
  <c r="M233" i="46"/>
  <c r="P233" i="46"/>
  <c r="M244" i="46"/>
  <c r="P244" i="46"/>
  <c r="E164" i="46"/>
  <c r="Q164" i="46"/>
  <c r="E176" i="46"/>
  <c r="Q172" i="46"/>
  <c r="E168" i="46"/>
  <c r="M35" i="46"/>
  <c r="Q35" i="46"/>
  <c r="M51" i="46"/>
  <c r="Q51" i="46"/>
  <c r="T63" i="46"/>
  <c r="Q11" i="46"/>
  <c r="M64" i="46"/>
  <c r="M25" i="46"/>
  <c r="M10" i="46"/>
  <c r="Q18" i="46"/>
  <c r="Q57" i="46"/>
  <c r="T57" i="46" s="1"/>
  <c r="Q61" i="46"/>
  <c r="Q69" i="46"/>
  <c r="Q73" i="46"/>
  <c r="M73" i="46"/>
  <c r="M12" i="46"/>
  <c r="M24" i="46"/>
  <c r="Q171" i="46"/>
  <c r="M32" i="46"/>
  <c r="M40" i="46"/>
  <c r="T40" i="46" s="1"/>
  <c r="Q48" i="46"/>
  <c r="T48" i="46" s="1"/>
  <c r="M27" i="46"/>
  <c r="M19" i="46"/>
  <c r="D65" i="46"/>
  <c r="M59" i="46"/>
  <c r="T59" i="46" s="1"/>
  <c r="M15" i="46"/>
  <c r="P170" i="46"/>
  <c r="M60" i="46"/>
  <c r="M68" i="46"/>
  <c r="T68" i="46" s="1"/>
  <c r="M200" i="46"/>
  <c r="M76" i="46"/>
  <c r="P200" i="46"/>
  <c r="Q221" i="46"/>
  <c r="M223" i="46"/>
  <c r="T255"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T257" i="46"/>
  <c r="AC75" i="3"/>
  <c r="AC100" i="3"/>
  <c r="AC67" i="3"/>
  <c r="AC91" i="3"/>
  <c r="AC59" i="3"/>
  <c r="AC43" i="3"/>
  <c r="AC83" i="3"/>
  <c r="AC51" i="3"/>
  <c r="AC27" i="3"/>
  <c r="AC119" i="3"/>
  <c r="AC35" i="3"/>
  <c r="AC11" i="3"/>
  <c r="AC19" i="3"/>
  <c r="AC142" i="3"/>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T49" i="46"/>
  <c r="M42" i="46"/>
  <c r="T41" i="46"/>
  <c r="Q38" i="46"/>
  <c r="M34" i="46"/>
  <c r="Q32" i="46"/>
  <c r="Q31" i="46"/>
  <c r="Q25" i="46"/>
  <c r="Q24" i="46"/>
  <c r="T21" i="46"/>
  <c r="Q20" i="46"/>
  <c r="Q19" i="46"/>
  <c r="Q15" i="46"/>
  <c r="Q10" i="46"/>
  <c r="M9" i="46"/>
  <c r="T9" i="46" s="1"/>
  <c r="Q67" i="46"/>
  <c r="T62" i="46"/>
  <c r="T56" i="46"/>
  <c r="E167" i="46"/>
  <c r="T45" i="46"/>
  <c r="M38"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DT130"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AL55" i="46" s="1"/>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E7" i="48"/>
  <c r="F6" i="48" a="1"/>
  <c r="F6" i="48" s="1"/>
  <c r="DT100" i="3" l="1"/>
  <c r="AU53" i="46"/>
  <c r="DT119" i="3"/>
  <c r="BJ53" i="46"/>
  <c r="CE53" i="46"/>
  <c r="T18" i="46"/>
  <c r="T31" i="46"/>
  <c r="AX53" i="46"/>
  <c r="Z53" i="46"/>
  <c r="AL53" i="46"/>
  <c r="BG53" i="46"/>
  <c r="BP44" i="46"/>
  <c r="BM44" i="46"/>
  <c r="AX37" i="46"/>
  <c r="BV37" i="46"/>
  <c r="AC37" i="46"/>
  <c r="CE37" i="46"/>
  <c r="CK53" i="46"/>
  <c r="AI53" i="46"/>
  <c r="CB44" i="46"/>
  <c r="AO44" i="46"/>
  <c r="AL44" i="46"/>
  <c r="CE44" i="46"/>
  <c r="AR37" i="46"/>
  <c r="BP37" i="46"/>
  <c r="BG37" i="46"/>
  <c r="BM53" i="46"/>
  <c r="CB37" i="46"/>
  <c r="CB53" i="46"/>
  <c r="BA37" i="46"/>
  <c r="BD44" i="46"/>
  <c r="AF37" i="46"/>
  <c r="CH37" i="46"/>
  <c r="AI37" i="46"/>
  <c r="W53" i="46"/>
  <c r="BV53" i="46"/>
  <c r="BS53" i="46"/>
  <c r="BP53" i="46"/>
  <c r="AR53" i="46"/>
  <c r="AO53" i="46"/>
  <c r="BD53" i="46"/>
  <c r="BY44" i="46"/>
  <c r="CH44" i="46"/>
  <c r="AC44" i="46"/>
  <c r="BV44" i="46"/>
  <c r="BJ37" i="46"/>
  <c r="AL51" i="46"/>
  <c r="AU44" i="46"/>
  <c r="AF53" i="46"/>
  <c r="BY53" i="46"/>
  <c r="BY37" i="46"/>
  <c r="BD37" i="46"/>
  <c r="CK44" i="46"/>
  <c r="BG44" i="46"/>
  <c r="BS37" i="46"/>
  <c r="AX44" i="46"/>
  <c r="AL37" i="46"/>
  <c r="W37" i="46"/>
  <c r="T37" i="46"/>
  <c r="CK37" i="46"/>
  <c r="BA53" i="46"/>
  <c r="BS44" i="46"/>
  <c r="BJ44" i="46"/>
  <c r="AF44" i="46"/>
  <c r="AO37" i="46"/>
  <c r="Z44" i="46"/>
  <c r="T53" i="46"/>
  <c r="AR44" i="46"/>
  <c r="CN53" i="46"/>
  <c r="BA44" i="46"/>
  <c r="CH53" i="46"/>
  <c r="AI44" i="46"/>
  <c r="W44" i="46"/>
  <c r="T32" i="46"/>
  <c r="BV69" i="46"/>
  <c r="BY69" i="46"/>
  <c r="AC69" i="46"/>
  <c r="AR72" i="46"/>
  <c r="BA69" i="46"/>
  <c r="Z61" i="46"/>
  <c r="AR69" i="46"/>
  <c r="BP76" i="46"/>
  <c r="AX76" i="46"/>
  <c r="BP72" i="46"/>
  <c r="CB69" i="46"/>
  <c r="W27" i="46"/>
  <c r="CB27" i="46"/>
  <c r="CH27" i="46"/>
  <c r="AO27" i="46"/>
  <c r="BG27" i="46"/>
  <c r="AF27" i="46"/>
  <c r="CE27" i="46"/>
  <c r="BD27" i="46"/>
  <c r="AL27" i="46"/>
  <c r="CK27" i="46"/>
  <c r="AX27" i="46"/>
  <c r="BJ27" i="46"/>
  <c r="AI27" i="46"/>
  <c r="BY27" i="46"/>
  <c r="AR27" i="46"/>
  <c r="AC27" i="46"/>
  <c r="BV27" i="46"/>
  <c r="BP27" i="46"/>
  <c r="CN27" i="46"/>
  <c r="BS27" i="46"/>
  <c r="BA27" i="46"/>
  <c r="AU27" i="46"/>
  <c r="BM27" i="46"/>
  <c r="Z27" i="46"/>
  <c r="W8" i="46"/>
  <c r="AF8" i="46"/>
  <c r="CK8" i="46"/>
  <c r="CN8" i="46"/>
  <c r="Z8" i="46"/>
  <c r="AX8" i="46"/>
  <c r="BA8" i="46"/>
  <c r="BG8" i="46"/>
  <c r="BV8" i="46"/>
  <c r="AO8" i="46"/>
  <c r="BD8" i="46"/>
  <c r="AI8" i="46"/>
  <c r="CE8" i="46"/>
  <c r="AL8" i="46"/>
  <c r="CB8" i="46"/>
  <c r="BS8" i="46"/>
  <c r="BY8" i="46"/>
  <c r="AR8" i="46"/>
  <c r="AC8" i="46"/>
  <c r="CH8" i="46"/>
  <c r="BM8" i="46"/>
  <c r="BJ8" i="46"/>
  <c r="BP8" i="46"/>
  <c r="AU8" i="46"/>
  <c r="Z73" i="46"/>
  <c r="BM68" i="46"/>
  <c r="W11" i="46"/>
  <c r="AX11" i="46"/>
  <c r="Z11" i="46"/>
  <c r="CK11" i="46"/>
  <c r="BP11" i="46"/>
  <c r="BD11" i="46"/>
  <c r="CB11" i="46"/>
  <c r="AI11" i="46"/>
  <c r="BP70" i="46"/>
  <c r="BY73" i="46"/>
  <c r="W40" i="46"/>
  <c r="Z40" i="46"/>
  <c r="BG40" i="46"/>
  <c r="AL40" i="46"/>
  <c r="AX40" i="46"/>
  <c r="AC40" i="46"/>
  <c r="CE40" i="46"/>
  <c r="CH40" i="46"/>
  <c r="BV40" i="46"/>
  <c r="BA40" i="46"/>
  <c r="BJ40" i="46"/>
  <c r="BY40" i="46"/>
  <c r="AO40" i="46"/>
  <c r="AR40" i="46"/>
  <c r="CK40" i="46"/>
  <c r="CN40" i="46"/>
  <c r="AF40" i="46"/>
  <c r="BD40" i="46"/>
  <c r="CB40" i="46"/>
  <c r="AI40" i="46"/>
  <c r="AU40" i="46"/>
  <c r="BP40" i="46"/>
  <c r="BS40" i="46"/>
  <c r="BM40" i="46"/>
  <c r="W72" i="46"/>
  <c r="Z72" i="46"/>
  <c r="BD72" i="46"/>
  <c r="BJ72" i="46"/>
  <c r="AX72" i="46"/>
  <c r="CB72" i="46"/>
  <c r="BV72" i="46"/>
  <c r="AO72" i="46"/>
  <c r="AC72" i="46"/>
  <c r="BM72" i="46"/>
  <c r="BA72" i="46"/>
  <c r="CE72" i="46"/>
  <c r="CK72" i="46"/>
  <c r="AU72" i="46"/>
  <c r="BY72" i="46"/>
  <c r="CH72" i="46"/>
  <c r="AI72" i="46"/>
  <c r="AL72" i="46"/>
  <c r="BS72" i="46"/>
  <c r="CN72" i="46"/>
  <c r="W14" i="46"/>
  <c r="BS14" i="46"/>
  <c r="BA14" i="46"/>
  <c r="CE14" i="46"/>
  <c r="AR14" i="46"/>
  <c r="BJ14" i="46"/>
  <c r="CB14" i="46"/>
  <c r="AC14" i="46"/>
  <c r="BY14" i="46"/>
  <c r="AU14" i="46"/>
  <c r="Z14" i="46"/>
  <c r="AI14" i="46"/>
  <c r="AX14" i="46"/>
  <c r="BG14" i="46"/>
  <c r="CH14" i="46"/>
  <c r="BV14" i="46"/>
  <c r="BP14" i="46"/>
  <c r="AF14" i="46"/>
  <c r="AL14" i="46"/>
  <c r="BD14" i="46"/>
  <c r="BM14" i="46"/>
  <c r="AO14" i="46"/>
  <c r="CN14" i="46"/>
  <c r="CK14" i="46"/>
  <c r="BG72" i="46"/>
  <c r="AU70" i="46"/>
  <c r="BG73" i="46"/>
  <c r="BP67" i="46"/>
  <c r="AI73" i="46"/>
  <c r="W38" i="46"/>
  <c r="BP38" i="46"/>
  <c r="AX38" i="46"/>
  <c r="BV38" i="46"/>
  <c r="AC38" i="46"/>
  <c r="BD38" i="46"/>
  <c r="AR38" i="46"/>
  <c r="BA38" i="46"/>
  <c r="CN38" i="46"/>
  <c r="AU38" i="46"/>
  <c r="BY38" i="46"/>
  <c r="AF38" i="46"/>
  <c r="BS38" i="46"/>
  <c r="CB38" i="46"/>
  <c r="AO38" i="46"/>
  <c r="Z38" i="46"/>
  <c r="BM38" i="46"/>
  <c r="BG38" i="46"/>
  <c r="BJ38" i="46"/>
  <c r="AL38" i="46"/>
  <c r="CK38" i="46"/>
  <c r="AI38" i="46"/>
  <c r="CE38" i="46"/>
  <c r="CH38" i="46"/>
  <c r="W22" i="46"/>
  <c r="BP22" i="46"/>
  <c r="CN22" i="46"/>
  <c r="BS22" i="46"/>
  <c r="AC22" i="46"/>
  <c r="AF22" i="46"/>
  <c r="AO22" i="46"/>
  <c r="Z22" i="46"/>
  <c r="BA22" i="46"/>
  <c r="BD22" i="46"/>
  <c r="AX22" i="46"/>
  <c r="BY22" i="46"/>
  <c r="CB22" i="46"/>
  <c r="BV22" i="46"/>
  <c r="BJ22" i="46"/>
  <c r="CE22" i="46"/>
  <c r="CH22" i="46"/>
  <c r="CK22" i="46"/>
  <c r="AR22" i="46"/>
  <c r="AU22" i="46"/>
  <c r="BG22" i="46"/>
  <c r="AL22" i="46"/>
  <c r="AI22" i="46"/>
  <c r="BM22" i="46"/>
  <c r="CK68" i="46"/>
  <c r="T61" i="46"/>
  <c r="W32" i="46"/>
  <c r="BS32" i="46"/>
  <c r="BG32" i="46"/>
  <c r="Z32" i="46"/>
  <c r="BM32" i="46"/>
  <c r="AX32" i="46"/>
  <c r="AC32" i="46"/>
  <c r="AF32" i="46"/>
  <c r="AR32" i="46"/>
  <c r="BV32" i="46"/>
  <c r="BA32" i="46"/>
  <c r="BD32" i="46"/>
  <c r="BP32" i="46"/>
  <c r="BY32" i="46"/>
  <c r="CB32" i="46"/>
  <c r="BJ32" i="46"/>
  <c r="CN32" i="46"/>
  <c r="AO32" i="46"/>
  <c r="CK32" i="46"/>
  <c r="AU32" i="46"/>
  <c r="CE32" i="46"/>
  <c r="CH32" i="46"/>
  <c r="AL32" i="46"/>
  <c r="AI32" i="46"/>
  <c r="W57" i="46"/>
  <c r="AR57" i="46"/>
  <c r="CB57" i="46"/>
  <c r="Z57" i="46"/>
  <c r="AI57" i="46"/>
  <c r="AX57" i="46"/>
  <c r="AC57" i="46"/>
  <c r="CK57" i="46"/>
  <c r="AU57" i="46"/>
  <c r="BV57" i="46"/>
  <c r="BA57" i="46"/>
  <c r="BM57" i="46"/>
  <c r="BP57" i="46"/>
  <c r="BS57" i="46"/>
  <c r="BY57" i="46"/>
  <c r="CH57" i="46"/>
  <c r="CN57" i="46"/>
  <c r="AF57" i="46"/>
  <c r="BJ57" i="46"/>
  <c r="CE57" i="46"/>
  <c r="AL57" i="46"/>
  <c r="BG57" i="46"/>
  <c r="BD57" i="46"/>
  <c r="AO57" i="46"/>
  <c r="W51" i="46"/>
  <c r="BS51" i="46"/>
  <c r="BV51" i="46"/>
  <c r="AX51" i="46"/>
  <c r="CB51" i="46"/>
  <c r="CH51" i="46"/>
  <c r="CN51" i="46"/>
  <c r="AR51" i="46"/>
  <c r="AU51" i="46"/>
  <c r="AI51" i="46"/>
  <c r="BJ51" i="46"/>
  <c r="BG51" i="46"/>
  <c r="CE51" i="46"/>
  <c r="AC51" i="46"/>
  <c r="CK51" i="46"/>
  <c r="AO51" i="46"/>
  <c r="BA51" i="46"/>
  <c r="AF51" i="46"/>
  <c r="BY51" i="46"/>
  <c r="Z51" i="46"/>
  <c r="BD51" i="46"/>
  <c r="BP51" i="46"/>
  <c r="BM51" i="46"/>
  <c r="W28" i="46"/>
  <c r="Z28" i="46"/>
  <c r="AU28" i="46"/>
  <c r="BV28" i="46"/>
  <c r="BS28" i="46"/>
  <c r="AC28" i="46"/>
  <c r="AO28" i="46"/>
  <c r="BA28" i="46"/>
  <c r="AI28" i="46"/>
  <c r="BY28" i="46"/>
  <c r="BG28" i="46"/>
  <c r="BD28" i="46"/>
  <c r="AF28" i="46"/>
  <c r="CH28" i="46"/>
  <c r="CE28" i="46"/>
  <c r="BP28" i="46"/>
  <c r="CB28" i="46"/>
  <c r="AL28" i="46"/>
  <c r="AR28" i="46"/>
  <c r="AX28" i="46"/>
  <c r="CN28" i="46"/>
  <c r="BM28" i="46"/>
  <c r="BJ28" i="46"/>
  <c r="CK28" i="46"/>
  <c r="W70" i="46"/>
  <c r="AL70" i="46"/>
  <c r="AC70" i="46"/>
  <c r="Z70" i="46"/>
  <c r="BA70" i="46"/>
  <c r="AI70" i="46"/>
  <c r="AX70" i="46"/>
  <c r="BY70" i="46"/>
  <c r="BG70" i="46"/>
  <c r="BV70" i="46"/>
  <c r="CE70" i="46"/>
  <c r="AF70" i="46"/>
  <c r="BD70" i="46"/>
  <c r="BM70" i="46"/>
  <c r="BJ70" i="46"/>
  <c r="CH70" i="46"/>
  <c r="BS70" i="46"/>
  <c r="CK70" i="46"/>
  <c r="CN70" i="46"/>
  <c r="CB70" i="46"/>
  <c r="AO70" i="46"/>
  <c r="AR76" i="46"/>
  <c r="AX64" i="46"/>
  <c r="CH76" i="46"/>
  <c r="CE71" i="46"/>
  <c r="W50" i="46"/>
  <c r="AI50" i="46"/>
  <c r="BG50" i="46"/>
  <c r="BJ50" i="46"/>
  <c r="CE50" i="46"/>
  <c r="CH50" i="46"/>
  <c r="AF50" i="46"/>
  <c r="BD50" i="46"/>
  <c r="CB50" i="46"/>
  <c r="AL50" i="46"/>
  <c r="AC50" i="46"/>
  <c r="AX50" i="46"/>
  <c r="CN50" i="46"/>
  <c r="AO50" i="46"/>
  <c r="AR50" i="46"/>
  <c r="BV50" i="46"/>
  <c r="BY50" i="46"/>
  <c r="AU50" i="46"/>
  <c r="CK50" i="46"/>
  <c r="BM50" i="46"/>
  <c r="BS50" i="46"/>
  <c r="BA50" i="46"/>
  <c r="Z50" i="46"/>
  <c r="BP50" i="46"/>
  <c r="W18" i="46"/>
  <c r="BV18" i="46"/>
  <c r="BD18" i="46"/>
  <c r="CB18" i="46"/>
  <c r="AL18" i="46"/>
  <c r="BJ18" i="46"/>
  <c r="AI18" i="46"/>
  <c r="CH18" i="46"/>
  <c r="AC18" i="46"/>
  <c r="BG18" i="46"/>
  <c r="AU18" i="46"/>
  <c r="Z18" i="46"/>
  <c r="BA18" i="46"/>
  <c r="CE18" i="46"/>
  <c r="AX18" i="46"/>
  <c r="BY18" i="46"/>
  <c r="BP18" i="46"/>
  <c r="BS18" i="46"/>
  <c r="CK18" i="46"/>
  <c r="AF18" i="46"/>
  <c r="BM18" i="46"/>
  <c r="AO18" i="46"/>
  <c r="CN18" i="46"/>
  <c r="AR18" i="46"/>
  <c r="CH15" i="46"/>
  <c r="W15" i="46"/>
  <c r="AR15" i="46"/>
  <c r="CN15" i="46"/>
  <c r="AL15" i="46"/>
  <c r="AO15" i="46"/>
  <c r="CK15" i="46"/>
  <c r="Z15" i="46"/>
  <c r="AF15" i="46"/>
  <c r="BY15" i="46"/>
  <c r="BG15" i="46"/>
  <c r="BD15" i="46"/>
  <c r="BJ15" i="46"/>
  <c r="BP15" i="46"/>
  <c r="AI15" i="46"/>
  <c r="BM15" i="46"/>
  <c r="AC15" i="46"/>
  <c r="BS15" i="46"/>
  <c r="CE15" i="46"/>
  <c r="AU15" i="46"/>
  <c r="BV15" i="46"/>
  <c r="BA15" i="46"/>
  <c r="CB15" i="46"/>
  <c r="AX15" i="46"/>
  <c r="W39" i="46"/>
  <c r="CE39" i="46"/>
  <c r="CK39" i="46"/>
  <c r="AR39" i="46"/>
  <c r="AU39" i="46"/>
  <c r="BP39" i="46"/>
  <c r="AL39" i="46"/>
  <c r="CN39" i="46"/>
  <c r="BJ39" i="46"/>
  <c r="BS39" i="46"/>
  <c r="CH39" i="46"/>
  <c r="AO39" i="46"/>
  <c r="BM39" i="46"/>
  <c r="AI39" i="46"/>
  <c r="BG39" i="46"/>
  <c r="AX39" i="46"/>
  <c r="BA39" i="46"/>
  <c r="BY39" i="46"/>
  <c r="BD39" i="46"/>
  <c r="Z39" i="46"/>
  <c r="BV39" i="46"/>
  <c r="AF39" i="46"/>
  <c r="CB39" i="46"/>
  <c r="AC39" i="46"/>
  <c r="T50" i="46"/>
  <c r="W71" i="46"/>
  <c r="BA71" i="46"/>
  <c r="AI71" i="46"/>
  <c r="BG71" i="46"/>
  <c r="BS71" i="46"/>
  <c r="BY71" i="46"/>
  <c r="AR71" i="46"/>
  <c r="AO71" i="46"/>
  <c r="BP71" i="46"/>
  <c r="Z71" i="46"/>
  <c r="BM71" i="46"/>
  <c r="CN71" i="46"/>
  <c r="CK71" i="46"/>
  <c r="AF71" i="46"/>
  <c r="AL71" i="46"/>
  <c r="CH71" i="46"/>
  <c r="CB71" i="46"/>
  <c r="AU71" i="46"/>
  <c r="AX71" i="46"/>
  <c r="BV71" i="46"/>
  <c r="BD71" i="46"/>
  <c r="AC71" i="46"/>
  <c r="BJ71" i="46"/>
  <c r="W29" i="46"/>
  <c r="AI29" i="46"/>
  <c r="AU29" i="46"/>
  <c r="BG29" i="46"/>
  <c r="CE29" i="46"/>
  <c r="AL29" i="46"/>
  <c r="BJ29" i="46"/>
  <c r="AO29" i="46"/>
  <c r="AR29" i="46"/>
  <c r="AF29" i="46"/>
  <c r="CH29" i="46"/>
  <c r="BM29" i="46"/>
  <c r="BP29" i="46"/>
  <c r="AC29" i="46"/>
  <c r="BD29" i="46"/>
  <c r="CK29" i="46"/>
  <c r="CN29" i="46"/>
  <c r="CB29" i="46"/>
  <c r="BA29" i="46"/>
  <c r="BS29" i="46"/>
  <c r="BY29" i="46"/>
  <c r="Z29" i="46"/>
  <c r="AX29" i="46"/>
  <c r="BV29" i="46"/>
  <c r="BV73" i="46"/>
  <c r="CN76" i="46"/>
  <c r="BJ64" i="46"/>
  <c r="AU76" i="46"/>
  <c r="BJ76" i="46"/>
  <c r="AF72" i="46"/>
  <c r="AX68" i="46"/>
  <c r="W60" i="46"/>
  <c r="AR60" i="46"/>
  <c r="BP60" i="46"/>
  <c r="AC60" i="46"/>
  <c r="CN60" i="46"/>
  <c r="BA60" i="46"/>
  <c r="BG60" i="46"/>
  <c r="AU60" i="46"/>
  <c r="Z60" i="46"/>
  <c r="BY60" i="46"/>
  <c r="AO60" i="46"/>
  <c r="BS60" i="46"/>
  <c r="AX60" i="46"/>
  <c r="BM60" i="46"/>
  <c r="BV60" i="46"/>
  <c r="CK60" i="46"/>
  <c r="CE60" i="46"/>
  <c r="AF60" i="46"/>
  <c r="CB60" i="46"/>
  <c r="CH60" i="46"/>
  <c r="BJ60" i="46"/>
  <c r="AI60" i="46"/>
  <c r="AL60" i="46"/>
  <c r="BD60" i="46"/>
  <c r="W61" i="46"/>
  <c r="BG61" i="46"/>
  <c r="AR61" i="46"/>
  <c r="CE61" i="46"/>
  <c r="BP61" i="46"/>
  <c r="AL61" i="46"/>
  <c r="AO61" i="46"/>
  <c r="CN61" i="46"/>
  <c r="AF61" i="46"/>
  <c r="BJ61" i="46"/>
  <c r="BM61" i="46"/>
  <c r="BD61" i="46"/>
  <c r="CH61" i="46"/>
  <c r="CK61" i="46"/>
  <c r="BS61" i="46"/>
  <c r="BY61" i="46"/>
  <c r="CB61" i="46"/>
  <c r="AC61" i="46"/>
  <c r="AI61" i="46"/>
  <c r="AU61" i="46"/>
  <c r="BA61" i="46"/>
  <c r="AX61" i="46"/>
  <c r="BV61" i="46"/>
  <c r="W23" i="46"/>
  <c r="CH23" i="46"/>
  <c r="BM23" i="46"/>
  <c r="CN23" i="46"/>
  <c r="AI23" i="46"/>
  <c r="BG23" i="46"/>
  <c r="Z23" i="46"/>
  <c r="BY23" i="46"/>
  <c r="AF23" i="46"/>
  <c r="AL23" i="46"/>
  <c r="BP23" i="46"/>
  <c r="BJ23" i="46"/>
  <c r="AC23" i="46"/>
  <c r="BD23" i="46"/>
  <c r="CK23" i="46"/>
  <c r="AR23" i="46"/>
  <c r="BV23" i="46"/>
  <c r="CB23" i="46"/>
  <c r="CE23" i="46"/>
  <c r="AO23" i="46"/>
  <c r="AX23" i="46"/>
  <c r="BA23" i="46"/>
  <c r="BS23" i="46"/>
  <c r="AU23" i="46"/>
  <c r="W67" i="46"/>
  <c r="BY67" i="46"/>
  <c r="AF67" i="46"/>
  <c r="CE67" i="46"/>
  <c r="AC67" i="46"/>
  <c r="CB67" i="46"/>
  <c r="AL67" i="46"/>
  <c r="BA67" i="46"/>
  <c r="BJ67" i="46"/>
  <c r="CH67" i="46"/>
  <c r="AI67" i="46"/>
  <c r="BG67" i="46"/>
  <c r="BV67" i="46"/>
  <c r="BD67" i="46"/>
  <c r="CN67" i="46"/>
  <c r="AR67" i="46"/>
  <c r="AO67" i="46"/>
  <c r="Z67" i="46"/>
  <c r="AU67" i="46"/>
  <c r="BM67" i="46"/>
  <c r="BS67" i="46"/>
  <c r="CK67" i="46"/>
  <c r="AX67" i="46"/>
  <c r="CH59" i="46"/>
  <c r="CH24" i="46"/>
  <c r="AI24" i="46"/>
  <c r="Z24" i="46"/>
  <c r="BG24" i="46"/>
  <c r="AU24" i="46"/>
  <c r="BV24" i="46"/>
  <c r="BM24" i="46"/>
  <c r="CK24" i="46"/>
  <c r="AL24" i="46"/>
  <c r="BY24" i="46"/>
  <c r="AF24" i="46"/>
  <c r="BJ24" i="46"/>
  <c r="CE24" i="46"/>
  <c r="BS24" i="46"/>
  <c r="CN24" i="46"/>
  <c r="AO24" i="46"/>
  <c r="AC24" i="46"/>
  <c r="CB24" i="46"/>
  <c r="BD24" i="46"/>
  <c r="BP24" i="46"/>
  <c r="AX24" i="46"/>
  <c r="BA24" i="46"/>
  <c r="AR24" i="46"/>
  <c r="W24" i="46"/>
  <c r="W10" i="46"/>
  <c r="T29" i="46"/>
  <c r="W46" i="46"/>
  <c r="AX46" i="46"/>
  <c r="BY46" i="46"/>
  <c r="AF46" i="46"/>
  <c r="BA46" i="46"/>
  <c r="BV46" i="46"/>
  <c r="CE46" i="46"/>
  <c r="AC46" i="46"/>
  <c r="BS46" i="46"/>
  <c r="BG46" i="46"/>
  <c r="AI46" i="46"/>
  <c r="CH46" i="46"/>
  <c r="BJ46" i="46"/>
  <c r="CK46" i="46"/>
  <c r="AL46" i="46"/>
  <c r="BD46" i="46"/>
  <c r="BM46" i="46"/>
  <c r="CB46" i="46"/>
  <c r="CN46" i="46"/>
  <c r="Z46" i="46"/>
  <c r="AO46" i="46"/>
  <c r="AU46" i="46"/>
  <c r="AR46" i="46"/>
  <c r="BP46" i="46"/>
  <c r="AR70" i="46"/>
  <c r="W20" i="46"/>
  <c r="BJ20" i="46"/>
  <c r="BM20" i="46"/>
  <c r="CH20" i="46"/>
  <c r="CK20" i="46"/>
  <c r="AF20" i="46"/>
  <c r="AU20" i="46"/>
  <c r="Z20" i="46"/>
  <c r="AL20" i="46"/>
  <c r="AR20" i="46"/>
  <c r="BS20" i="46"/>
  <c r="AX20" i="46"/>
  <c r="AI20" i="46"/>
  <c r="BY20" i="46"/>
  <c r="AO20" i="46"/>
  <c r="BP20" i="46"/>
  <c r="BV20" i="46"/>
  <c r="BA20" i="46"/>
  <c r="BG20" i="46"/>
  <c r="BD20" i="46"/>
  <c r="CB20" i="46"/>
  <c r="CE20" i="46"/>
  <c r="CN20" i="46"/>
  <c r="AC20" i="46"/>
  <c r="AF12" i="46"/>
  <c r="CE12" i="46"/>
  <c r="AC12" i="46"/>
  <c r="BY12" i="46"/>
  <c r="BD12" i="46"/>
  <c r="AO12" i="46"/>
  <c r="BG12" i="46"/>
  <c r="BV12" i="46"/>
  <c r="BJ12" i="46"/>
  <c r="AR12" i="46"/>
  <c r="CH12" i="46"/>
  <c r="W12" i="46"/>
  <c r="AL12" i="46"/>
  <c r="AU12" i="46"/>
  <c r="Z12" i="46"/>
  <c r="BM12" i="46"/>
  <c r="AI12" i="46"/>
  <c r="CK12" i="46"/>
  <c r="BP12" i="46"/>
  <c r="BS12" i="46"/>
  <c r="CN12" i="46"/>
  <c r="BA12" i="46"/>
  <c r="CB12" i="46"/>
  <c r="AX12" i="46"/>
  <c r="W25" i="46"/>
  <c r="Z25" i="46"/>
  <c r="AX25" i="46"/>
  <c r="AF25" i="46"/>
  <c r="AC25" i="46"/>
  <c r="BA25" i="46"/>
  <c r="BV25" i="46"/>
  <c r="BS25" i="46"/>
  <c r="AR25" i="46"/>
  <c r="AL25" i="46"/>
  <c r="AO25" i="46"/>
  <c r="BD25" i="46"/>
  <c r="BJ25" i="46"/>
  <c r="BP25" i="46"/>
  <c r="CB25" i="46"/>
  <c r="CH25" i="46"/>
  <c r="CK25" i="46"/>
  <c r="BY25" i="46"/>
  <c r="AI25" i="46"/>
  <c r="AU25" i="46"/>
  <c r="BG25" i="46"/>
  <c r="BM25" i="46"/>
  <c r="CN25" i="46"/>
  <c r="CE25" i="46"/>
  <c r="W16" i="46"/>
  <c r="BY16" i="46"/>
  <c r="Z16" i="46"/>
  <c r="BA16" i="46"/>
  <c r="AX16" i="46"/>
  <c r="BV16" i="46"/>
  <c r="AF16" i="46"/>
  <c r="CE16" i="46"/>
  <c r="BD16" i="46"/>
  <c r="AC16" i="46"/>
  <c r="BG16" i="46"/>
  <c r="BP16" i="46"/>
  <c r="AL16" i="46"/>
  <c r="AU16" i="46"/>
  <c r="CB16" i="46"/>
  <c r="BJ16" i="46"/>
  <c r="CH16" i="46"/>
  <c r="AR16" i="46"/>
  <c r="BM16" i="46"/>
  <c r="AO16" i="46"/>
  <c r="CK16" i="46"/>
  <c r="AI16" i="46"/>
  <c r="CN16" i="46"/>
  <c r="BS16" i="46"/>
  <c r="AC73" i="46"/>
  <c r="BM76" i="46"/>
  <c r="T27" i="46"/>
  <c r="W76" i="46"/>
  <c r="BV76" i="46"/>
  <c r="AC76" i="46"/>
  <c r="AF76" i="46"/>
  <c r="AI76" i="46"/>
  <c r="CK76" i="46"/>
  <c r="BA76" i="46"/>
  <c r="BD76" i="46"/>
  <c r="BG76" i="46"/>
  <c r="AL76" i="46"/>
  <c r="BY76" i="46"/>
  <c r="CB76" i="46"/>
  <c r="CE76" i="46"/>
  <c r="Z76" i="46"/>
  <c r="W19" i="46"/>
  <c r="AU19" i="46"/>
  <c r="Z19" i="46"/>
  <c r="BS19" i="46"/>
  <c r="AX19" i="46"/>
  <c r="BM19" i="46"/>
  <c r="AF19" i="46"/>
  <c r="AI19" i="46"/>
  <c r="AO19" i="46"/>
  <c r="AC19" i="46"/>
  <c r="BD19" i="46"/>
  <c r="BG19" i="46"/>
  <c r="BJ19" i="46"/>
  <c r="BP19" i="46"/>
  <c r="CK19" i="46"/>
  <c r="CH19" i="46"/>
  <c r="AL19" i="46"/>
  <c r="BA19" i="46"/>
  <c r="CB19" i="46"/>
  <c r="CE19" i="46"/>
  <c r="CN19" i="46"/>
  <c r="BV19" i="46"/>
  <c r="BY19" i="46"/>
  <c r="AR19" i="46"/>
  <c r="W73" i="46"/>
  <c r="AL73" i="46"/>
  <c r="CE73" i="46"/>
  <c r="AU73" i="46"/>
  <c r="AX73" i="46"/>
  <c r="BA73" i="46"/>
  <c r="BS73" i="46"/>
  <c r="AR73" i="46"/>
  <c r="AF73" i="46"/>
  <c r="AO73" i="46"/>
  <c r="BP73" i="46"/>
  <c r="BD73" i="46"/>
  <c r="BM73" i="46"/>
  <c r="CN73" i="46"/>
  <c r="CB73" i="46"/>
  <c r="CK73" i="46"/>
  <c r="BJ73" i="46"/>
  <c r="W64" i="46"/>
  <c r="AC64" i="46"/>
  <c r="BG64" i="46"/>
  <c r="BA64" i="46"/>
  <c r="CE64" i="46"/>
  <c r="Z64" i="46"/>
  <c r="BY64" i="46"/>
  <c r="BP64" i="46"/>
  <c r="AF64" i="46"/>
  <c r="CN64" i="46"/>
  <c r="AO64" i="46"/>
  <c r="BS64" i="46"/>
  <c r="AR64" i="46"/>
  <c r="CB64" i="46"/>
  <c r="AI64" i="46"/>
  <c r="BM64" i="46"/>
  <c r="AL64" i="46"/>
  <c r="BD64" i="46"/>
  <c r="BV64" i="46"/>
  <c r="AU64" i="46"/>
  <c r="CH64" i="46"/>
  <c r="CK64" i="46"/>
  <c r="BS76" i="46"/>
  <c r="AO76" i="46"/>
  <c r="CH73" i="46"/>
  <c r="AO68" i="46"/>
  <c r="Z68" i="46"/>
  <c r="BS69" i="46"/>
  <c r="BY68" i="46"/>
  <c r="BG69" i="46"/>
  <c r="CE68" i="46"/>
  <c r="BG68" i="46"/>
  <c r="BD69" i="46"/>
  <c r="AL68" i="46"/>
  <c r="AF69" i="46"/>
  <c r="CB68" i="46"/>
  <c r="AF68" i="46"/>
  <c r="W9" i="46"/>
  <c r="AI9" i="46"/>
  <c r="AO9" i="46"/>
  <c r="Z9" i="46"/>
  <c r="BM9" i="46"/>
  <c r="BV9" i="46"/>
  <c r="AX9" i="46"/>
  <c r="CK9" i="46"/>
  <c r="AC9" i="46"/>
  <c r="BA9" i="46"/>
  <c r="CH9" i="46"/>
  <c r="AU9" i="46"/>
  <c r="AL9" i="46"/>
  <c r="BP9" i="46"/>
  <c r="CB9" i="46"/>
  <c r="CN9" i="46"/>
  <c r="BS9" i="46"/>
  <c r="BY9" i="46"/>
  <c r="AF9" i="46"/>
  <c r="BJ9" i="46"/>
  <c r="AR9" i="46"/>
  <c r="CE9" i="46"/>
  <c r="BD9" i="46"/>
  <c r="BG9" i="46"/>
  <c r="W68" i="46"/>
  <c r="BS68" i="46"/>
  <c r="BV68" i="46"/>
  <c r="BD68" i="46"/>
  <c r="BJ68" i="46"/>
  <c r="AU68" i="46"/>
  <c r="AR68" i="46"/>
  <c r="AC68" i="46"/>
  <c r="BP68" i="46"/>
  <c r="BA68" i="46"/>
  <c r="CN68" i="46"/>
  <c r="W48" i="46"/>
  <c r="BV48" i="46"/>
  <c r="AC48" i="46"/>
  <c r="AF48" i="46"/>
  <c r="BA48" i="46"/>
  <c r="BD48" i="46"/>
  <c r="AI48" i="46"/>
  <c r="AL48" i="46"/>
  <c r="Z48" i="46"/>
  <c r="BY48" i="46"/>
  <c r="BJ48" i="46"/>
  <c r="AX48" i="46"/>
  <c r="CB48" i="46"/>
  <c r="BG48" i="46"/>
  <c r="CH48" i="46"/>
  <c r="CE48" i="46"/>
  <c r="AR48" i="46"/>
  <c r="AO48" i="46"/>
  <c r="BP48" i="46"/>
  <c r="AU48" i="46"/>
  <c r="CN48" i="46"/>
  <c r="BM48" i="46"/>
  <c r="CK48" i="46"/>
  <c r="BS48" i="46"/>
  <c r="W69" i="46"/>
  <c r="CH69" i="46"/>
  <c r="Z69" i="46"/>
  <c r="CE69" i="46"/>
  <c r="CN69" i="46"/>
  <c r="AO69" i="46"/>
  <c r="BM69" i="46"/>
  <c r="AU69" i="46"/>
  <c r="CK69" i="46"/>
  <c r="AL69" i="46"/>
  <c r="AI69" i="46"/>
  <c r="BJ69" i="46"/>
  <c r="W43" i="46"/>
  <c r="BG43" i="46"/>
  <c r="BS43" i="46"/>
  <c r="CE43" i="46"/>
  <c r="CH43" i="46"/>
  <c r="AU43" i="46"/>
  <c r="BY43" i="46"/>
  <c r="Z43" i="46"/>
  <c r="AC43" i="46"/>
  <c r="BA43" i="46"/>
  <c r="BD43" i="46"/>
  <c r="AF43" i="46"/>
  <c r="CB43" i="46"/>
  <c r="AI43" i="46"/>
  <c r="BV43" i="46"/>
  <c r="AR43" i="46"/>
  <c r="AX43" i="46"/>
  <c r="AO43" i="46"/>
  <c r="BJ43" i="46"/>
  <c r="CN43" i="46"/>
  <c r="CK43" i="46"/>
  <c r="BM43" i="46"/>
  <c r="AL43" i="46"/>
  <c r="BP43" i="46"/>
  <c r="AI68" i="46"/>
  <c r="CH68" i="46"/>
  <c r="AX69" i="46"/>
  <c r="BP69" i="46"/>
  <c r="DT59" i="3"/>
  <c r="DT146" i="3"/>
  <c r="AF257" i="46"/>
  <c r="BD257" i="46"/>
  <c r="CB257" i="46"/>
  <c r="AI257" i="46"/>
  <c r="BG257" i="46"/>
  <c r="CE257" i="46"/>
  <c r="AR257" i="46"/>
  <c r="BP257" i="46"/>
  <c r="CN257" i="46"/>
  <c r="W257" i="46"/>
  <c r="AU257" i="46"/>
  <c r="BS257" i="46"/>
  <c r="Z257" i="46"/>
  <c r="BV257" i="46"/>
  <c r="AC257" i="46"/>
  <c r="BY257" i="46"/>
  <c r="AL257" i="46"/>
  <c r="CH257" i="46"/>
  <c r="AO257" i="46"/>
  <c r="CK257" i="46"/>
  <c r="AX257" i="46"/>
  <c r="BA257" i="46"/>
  <c r="BJ257" i="46"/>
  <c r="BM257" i="46"/>
  <c r="AI55" i="46"/>
  <c r="BG55" i="46"/>
  <c r="W55" i="46"/>
  <c r="BV55" i="46"/>
  <c r="BS55" i="46"/>
  <c r="CN55" i="46"/>
  <c r="CK55" i="46"/>
  <c r="AC55" i="46"/>
  <c r="BA55" i="46"/>
  <c r="AX55" i="46"/>
  <c r="AU55" i="46"/>
  <c r="BP55" i="46"/>
  <c r="BM55" i="46"/>
  <c r="Z55" i="46"/>
  <c r="AR55" i="46"/>
  <c r="AO55" i="46"/>
  <c r="CE55" i="46"/>
  <c r="BD55" i="46"/>
  <c r="CH55" i="46"/>
  <c r="BY55" i="46"/>
  <c r="BJ55" i="46"/>
  <c r="AF55" i="46"/>
  <c r="CB55" i="46"/>
  <c r="BS31" i="46"/>
  <c r="Z31" i="46"/>
  <c r="CN31" i="46"/>
  <c r="CH31" i="46"/>
  <c r="AF31" i="46"/>
  <c r="BJ31" i="46"/>
  <c r="BY54" i="46"/>
  <c r="AC54" i="46"/>
  <c r="BA54" i="46"/>
  <c r="AF54" i="46"/>
  <c r="AX54" i="46"/>
  <c r="BP54" i="46"/>
  <c r="BV54" i="46"/>
  <c r="AU54" i="46"/>
  <c r="CE54" i="46"/>
  <c r="Z54" i="46"/>
  <c r="CN54" i="46"/>
  <c r="BJ54" i="46"/>
  <c r="AO54" i="46"/>
  <c r="CK54" i="46"/>
  <c r="CH54" i="46"/>
  <c r="BM54" i="46"/>
  <c r="CB54" i="46"/>
  <c r="AR54" i="46"/>
  <c r="BG54" i="46"/>
  <c r="BS54" i="46"/>
  <c r="W54" i="46"/>
  <c r="AL54" i="46"/>
  <c r="BD54" i="46"/>
  <c r="AI54" i="46"/>
  <c r="AU31" i="46"/>
  <c r="AR31" i="46"/>
  <c r="AL31" i="46"/>
  <c r="BY31" i="46"/>
  <c r="Z30" i="46"/>
  <c r="CE30" i="46"/>
  <c r="CH30" i="46"/>
  <c r="AF30" i="46"/>
  <c r="AL30" i="46"/>
  <c r="BG30" i="46"/>
  <c r="CB30" i="46"/>
  <c r="BY30" i="46"/>
  <c r="W30" i="46"/>
  <c r="BS30" i="46"/>
  <c r="BP30" i="46"/>
  <c r="BD30" i="46"/>
  <c r="AX30" i="46"/>
  <c r="AI30" i="46"/>
  <c r="BJ30" i="46"/>
  <c r="AO30" i="46"/>
  <c r="AR30" i="46"/>
  <c r="CK30" i="46"/>
  <c r="BV30" i="46"/>
  <c r="BA30" i="46"/>
  <c r="BM30" i="46"/>
  <c r="AU30" i="46"/>
  <c r="CN30" i="46"/>
  <c r="AC30" i="46"/>
  <c r="BV31" i="46"/>
  <c r="BA31" i="46"/>
  <c r="AX31" i="46"/>
  <c r="CK31" i="46"/>
  <c r="CE31" i="46"/>
  <c r="AC31" i="46"/>
  <c r="W31" i="46"/>
  <c r="BP31" i="46"/>
  <c r="BM31" i="46"/>
  <c r="BG31" i="46"/>
  <c r="AO31" i="46"/>
  <c r="AI31" i="46"/>
  <c r="CB31" i="46"/>
  <c r="BD31" i="46"/>
  <c r="AC6" i="46"/>
  <c r="AO6" i="46"/>
  <c r="BA6" i="46"/>
  <c r="BM6" i="46"/>
  <c r="BY6" i="46"/>
  <c r="CK6" i="46"/>
  <c r="AF6" i="46"/>
  <c r="AR6" i="46"/>
  <c r="BD6" i="46"/>
  <c r="BP6" i="46"/>
  <c r="CB6" i="46"/>
  <c r="CN6" i="46"/>
  <c r="AI6" i="46"/>
  <c r="AU6" i="46"/>
  <c r="BG6" i="46"/>
  <c r="BS6" i="46"/>
  <c r="CE6" i="46"/>
  <c r="Z6" i="46"/>
  <c r="AL6" i="46"/>
  <c r="AX6" i="46"/>
  <c r="BJ6" i="46"/>
  <c r="BV6" i="46"/>
  <c r="CH6" i="46"/>
  <c r="W6" i="46"/>
  <c r="AO11" i="46"/>
  <c r="AL11" i="46"/>
  <c r="CN11" i="46"/>
  <c r="BM11" i="46"/>
  <c r="BY11" i="46"/>
  <c r="BS11" i="46"/>
  <c r="BA11" i="46"/>
  <c r="BJ11" i="46"/>
  <c r="CH11" i="46"/>
  <c r="AR11" i="46"/>
  <c r="AC11" i="46"/>
  <c r="BG11" i="46"/>
  <c r="BV11" i="46"/>
  <c r="W34" i="46"/>
  <c r="AF11" i="46"/>
  <c r="CE11" i="46"/>
  <c r="AU11" i="46"/>
  <c r="CN59" i="46"/>
  <c r="CK59" i="46"/>
  <c r="AO59" i="46"/>
  <c r="BS59" i="46"/>
  <c r="BJ59" i="46"/>
  <c r="BM59" i="46"/>
  <c r="AL59" i="46"/>
  <c r="AF59" i="46"/>
  <c r="BD59" i="46"/>
  <c r="Z59" i="46"/>
  <c r="AC59" i="46"/>
  <c r="CB59" i="46"/>
  <c r="AX59" i="46"/>
  <c r="BA59" i="46"/>
  <c r="W59" i="46"/>
  <c r="BV59" i="46"/>
  <c r="BY59" i="46"/>
  <c r="BA35" i="46"/>
  <c r="CB35" i="46"/>
  <c r="AI35" i="46"/>
  <c r="BJ35" i="46"/>
  <c r="W35" i="46"/>
  <c r="BY35" i="46"/>
  <c r="CK35" i="46"/>
  <c r="CE35" i="46"/>
  <c r="AL35" i="46"/>
  <c r="AR35" i="46"/>
  <c r="Z35" i="46"/>
  <c r="BM35" i="46"/>
  <c r="BP35" i="46"/>
  <c r="AU35" i="46"/>
  <c r="AX35" i="46"/>
  <c r="BG35" i="46"/>
  <c r="CN35" i="46"/>
  <c r="BS35" i="46"/>
  <c r="BV35" i="46"/>
  <c r="AO35" i="46"/>
  <c r="AF35" i="46"/>
  <c r="AC35" i="46"/>
  <c r="BD35" i="46"/>
  <c r="CH35" i="46"/>
  <c r="BP59" i="46"/>
  <c r="CE59" i="46"/>
  <c r="BG59" i="46"/>
  <c r="AU59" i="46"/>
  <c r="AR59" i="46"/>
  <c r="AI59" i="46"/>
  <c r="AU34" i="46"/>
  <c r="CN34" i="46"/>
  <c r="AL34" i="46"/>
  <c r="AC34" i="46"/>
  <c r="AI10" i="46"/>
  <c r="CH10" i="46"/>
  <c r="BS10" i="46"/>
  <c r="AF10" i="46"/>
  <c r="CB10" i="46"/>
  <c r="AR10" i="46"/>
  <c r="CE10" i="46"/>
  <c r="BA10" i="46"/>
  <c r="CK10" i="46"/>
  <c r="BD10" i="46"/>
  <c r="Z10" i="46"/>
  <c r="BY10" i="46"/>
  <c r="BV10" i="46"/>
  <c r="BM10" i="46"/>
  <c r="BP10" i="46"/>
  <c r="AC10" i="46"/>
  <c r="AX10" i="46"/>
  <c r="AU10" i="46"/>
  <c r="AO10" i="46"/>
  <c r="BG10" i="46"/>
  <c r="AL10" i="46"/>
  <c r="BJ10" i="46"/>
  <c r="CN10" i="46"/>
  <c r="T34" i="46"/>
  <c r="CK34" i="46"/>
  <c r="CB34" i="46"/>
  <c r="BM34" i="46"/>
  <c r="AR34" i="46"/>
  <c r="BD34" i="46"/>
  <c r="AF34" i="46"/>
  <c r="BV34" i="46"/>
  <c r="AO34" i="46"/>
  <c r="BP34" i="46"/>
  <c r="CE34" i="46"/>
  <c r="AX34" i="46"/>
  <c r="BS34" i="46"/>
  <c r="BG34" i="46"/>
  <c r="Z34" i="46"/>
  <c r="CH34" i="46"/>
  <c r="AI34" i="46"/>
  <c r="BY34" i="46"/>
  <c r="BJ34" i="46"/>
  <c r="BA34" i="46"/>
  <c r="AO42" i="46"/>
  <c r="BM42" i="46"/>
  <c r="CK42" i="46"/>
  <c r="AR42" i="46"/>
  <c r="BP42" i="46"/>
  <c r="CN42" i="46"/>
  <c r="BJ42" i="46"/>
  <c r="AU42" i="46"/>
  <c r="BS42" i="46"/>
  <c r="AL42" i="46"/>
  <c r="Z42" i="46"/>
  <c r="AX42" i="46"/>
  <c r="BV42" i="46"/>
  <c r="CH42" i="46"/>
  <c r="AC42" i="46"/>
  <c r="BA42" i="46"/>
  <c r="BY42" i="46"/>
  <c r="AF42" i="46"/>
  <c r="BD42" i="46"/>
  <c r="CB42" i="46"/>
  <c r="AI42" i="46"/>
  <c r="BG42" i="46"/>
  <c r="CE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CN78" i="46" l="1"/>
  <c r="AU78" i="46"/>
  <c r="BJ78" i="46"/>
  <c r="AX78" i="46"/>
  <c r="BG78" i="46"/>
  <c r="CK78" i="46"/>
  <c r="BP78" i="46"/>
  <c r="CH78" i="46"/>
  <c r="BA78" i="46"/>
  <c r="Z78" i="46"/>
  <c r="AL78" i="46"/>
  <c r="AO78" i="46"/>
  <c r="CE78" i="46"/>
  <c r="AI78" i="46"/>
  <c r="AF78" i="46"/>
  <c r="BY78" i="46"/>
  <c r="AC78" i="46"/>
  <c r="BV78" i="46"/>
  <c r="BS78" i="46"/>
  <c r="AR78" i="46"/>
  <c r="BM78" i="46"/>
  <c r="BD45" i="3"/>
  <c r="BC45" i="3" s="1"/>
  <c r="CB78" i="46"/>
  <c r="BD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A14" i="3" l="1"/>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O40" i="45" l="1"/>
  <c r="DT22" i="3"/>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F10" i="48" s="1"/>
  <c r="E11" i="48"/>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14" i="32" l="1"/>
  <c r="W7" i="32"/>
  <c r="W26" i="32"/>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K99" i="3" s="1"/>
  <c r="C133" i="32"/>
  <c r="X133" i="3" s="1"/>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X121" i="3"/>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Y133" i="3" l="1"/>
  <c r="AY101" i="3"/>
  <c r="Y68"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s="1"/>
  <c r="F18" i="48" a="1"/>
  <c r="F18" i="48" s="1"/>
  <c r="E19" i="48"/>
  <c r="BX23" i="3" l="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CB48" i="3" s="1"/>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I95" i="3"/>
  <c r="I92" i="3"/>
  <c r="I62" i="3"/>
  <c r="I64" i="3"/>
  <c r="I63" i="3"/>
  <c r="CB37" i="3" s="1"/>
  <c r="I52" i="3"/>
  <c r="H57" i="3"/>
  <c r="I53" i="3"/>
  <c r="H38" i="3"/>
  <c r="I32" i="3"/>
  <c r="H56" i="3"/>
  <c r="I22" i="3"/>
  <c r="I41" i="3"/>
  <c r="I78" i="3"/>
  <c r="H40" i="3"/>
  <c r="I39" i="3"/>
  <c r="H33" i="3"/>
  <c r="H12" i="3"/>
  <c r="H70" i="3"/>
  <c r="H79" i="3"/>
  <c r="I24" i="3"/>
  <c r="H20" i="3"/>
  <c r="I56" i="3"/>
  <c r="CB31" i="3" s="1"/>
  <c r="H28" i="3"/>
  <c r="CA19" i="3" s="1"/>
  <c r="I93" i="3"/>
  <c r="CA52" i="3" s="1"/>
  <c r="H52" i="3"/>
  <c r="I28" i="3"/>
  <c r="CA18" i="3" s="1"/>
  <c r="H54" i="3"/>
  <c r="I40" i="3"/>
  <c r="CB23" i="3" s="1"/>
  <c r="I71" i="3"/>
  <c r="I76" i="3"/>
  <c r="CB42" i="3" s="1"/>
  <c r="H96" i="3"/>
  <c r="CA50" i="3" s="1"/>
  <c r="I68" i="3"/>
  <c r="H80" i="3"/>
  <c r="H5" i="3"/>
  <c r="I49" i="3"/>
  <c r="H85" i="3"/>
  <c r="CB49" i="3" s="1"/>
  <c r="I70" i="3"/>
  <c r="I8" i="3"/>
  <c r="I46" i="3"/>
  <c r="CB26" i="3" s="1"/>
  <c r="I37" i="3"/>
  <c r="I86" i="3"/>
  <c r="H69" i="3"/>
  <c r="H7" i="3"/>
  <c r="H41" i="3"/>
  <c r="I9" i="3"/>
  <c r="H71" i="3"/>
  <c r="I13" i="3"/>
  <c r="CB12" i="3" s="1"/>
  <c r="I38" i="3"/>
  <c r="I47" i="3"/>
  <c r="H14" i="3"/>
  <c r="H53" i="3"/>
  <c r="CB33" i="3" s="1"/>
  <c r="H48" i="3"/>
  <c r="H17" i="3"/>
  <c r="Q9" i="6" a="1"/>
  <c r="Q9" i="6" s="1"/>
  <c r="G19" i="46"/>
  <c r="I97" i="3"/>
  <c r="CB51" i="3" s="1"/>
  <c r="H68" i="3"/>
  <c r="I20" i="3"/>
  <c r="I96" i="3"/>
  <c r="CA53" i="3" s="1"/>
  <c r="H29" i="3"/>
  <c r="H93" i="3"/>
  <c r="H6" i="3"/>
  <c r="H9" i="3"/>
  <c r="CA12" i="3" s="1"/>
  <c r="I5" i="3"/>
  <c r="I69" i="3"/>
  <c r="CB43" i="3"/>
  <c r="CA16" i="3"/>
  <c r="CB16" i="3"/>
  <c r="CA43" i="3"/>
  <c r="CB53" i="3"/>
  <c r="CA47" i="3"/>
  <c r="CB46" i="3"/>
  <c r="CB47" i="3"/>
  <c r="CB20" i="3"/>
  <c r="CB18" i="3"/>
  <c r="CA45" i="3"/>
  <c r="CB45" i="3"/>
  <c r="CB27" i="3"/>
  <c r="CB36" i="3"/>
  <c r="CA36" i="3"/>
  <c r="CA27" i="3"/>
  <c r="E23" i="48"/>
  <c r="F22" i="48" a="1"/>
  <c r="F22" i="48" s="1"/>
  <c r="CA11" i="3" l="1"/>
  <c r="CB9" i="3"/>
  <c r="CA34" i="3"/>
  <c r="CA46" i="3"/>
  <c r="CC46" i="3" s="1"/>
  <c r="CA20" i="3"/>
  <c r="CC20" i="3" s="1"/>
  <c r="CB44" i="3"/>
  <c r="CA31" i="3"/>
  <c r="CC31" i="3" s="1"/>
  <c r="CA42" i="3"/>
  <c r="CC42" i="3" s="1"/>
  <c r="CA44" i="3"/>
  <c r="CA14" i="3"/>
  <c r="CB14" i="3"/>
  <c r="CA15" i="3"/>
  <c r="CB17" i="3"/>
  <c r="CB15" i="3"/>
  <c r="CA17" i="3"/>
  <c r="CB6" i="3"/>
  <c r="CC6" i="3" s="1"/>
  <c r="CB39" i="3"/>
  <c r="CB50" i="3"/>
  <c r="CC50" i="3" s="1"/>
  <c r="CA48" i="3"/>
  <c r="CC48" i="3" s="1"/>
  <c r="CA49" i="3"/>
  <c r="CC49" i="3" s="1"/>
  <c r="CB35" i="3"/>
  <c r="CA30" i="3"/>
  <c r="CC12" i="3"/>
  <c r="CB11" i="3"/>
  <c r="CC11" i="3" s="1"/>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16" i="3"/>
  <c r="CC47" i="3"/>
  <c r="CC53" i="3"/>
  <c r="CC45" i="3"/>
  <c r="CC27" i="3"/>
  <c r="CC36" i="3"/>
  <c r="E24" i="48"/>
  <c r="F23" i="48" a="1"/>
  <c r="F23" i="48" s="1"/>
  <c r="CC9" i="3" l="1"/>
  <c r="CC34" i="3"/>
  <c r="CC44"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K78" i="3"/>
  <c r="K76" i="3"/>
  <c r="L95" i="3"/>
  <c r="L92" i="3"/>
  <c r="K29" i="3"/>
  <c r="K94" i="3"/>
  <c r="CF52" i="3" s="1"/>
  <c r="L80" i="3"/>
  <c r="CF43" i="3" s="1"/>
  <c r="L78" i="3"/>
  <c r="L24" i="3"/>
  <c r="K80" i="3"/>
  <c r="L76" i="3"/>
  <c r="L88" i="3"/>
  <c r="K20" i="3"/>
  <c r="L40" i="3"/>
  <c r="CF23" i="3" s="1"/>
  <c r="K37" i="3"/>
  <c r="K48" i="3"/>
  <c r="L96" i="3"/>
  <c r="L30" i="3"/>
  <c r="K57" i="3"/>
  <c r="K5" i="3"/>
  <c r="K12" i="3"/>
  <c r="L16" i="3"/>
  <c r="CF13" i="3" s="1"/>
  <c r="K86" i="3"/>
  <c r="L17" i="3"/>
  <c r="CF11" i="3" s="1"/>
  <c r="L94" i="3"/>
  <c r="K93" i="3"/>
  <c r="K54" i="3"/>
  <c r="CF32" i="3" s="1"/>
  <c r="L57" i="3"/>
  <c r="CF33" i="3" s="1"/>
  <c r="K71" i="3"/>
  <c r="K72" i="3"/>
  <c r="L12" i="3"/>
  <c r="L49" i="3"/>
  <c r="K55" i="3"/>
  <c r="K81" i="3"/>
  <c r="K17" i="3"/>
  <c r="K85" i="3"/>
  <c r="L7" i="3"/>
  <c r="L77" i="3"/>
  <c r="CF44" i="3" s="1"/>
  <c r="L15" i="3"/>
  <c r="K47" i="3"/>
  <c r="L86" i="3"/>
  <c r="K65" i="3"/>
  <c r="K63" i="3"/>
  <c r="L45" i="3"/>
  <c r="K22" i="3"/>
  <c r="L60" i="3"/>
  <c r="CF34" i="3" s="1"/>
  <c r="K46" i="3"/>
  <c r="L23" i="3"/>
  <c r="L25" i="3"/>
  <c r="K24" i="3"/>
  <c r="L46" i="3"/>
  <c r="L48" i="3"/>
  <c r="K38" i="3"/>
  <c r="K69" i="3"/>
  <c r="L41" i="3"/>
  <c r="L70" i="3"/>
  <c r="CF38" i="3" s="1"/>
  <c r="K68" i="3"/>
  <c r="K56" i="3"/>
  <c r="L20" i="3"/>
  <c r="L32" i="3"/>
  <c r="CF21" i="3" s="1"/>
  <c r="L22" i="3"/>
  <c r="CF17" i="3" s="1"/>
  <c r="K8" i="3"/>
  <c r="K28" i="3"/>
  <c r="CF19" i="3" s="1"/>
  <c r="L28" i="3"/>
  <c r="CF18" i="3" s="1"/>
  <c r="L55" i="3"/>
  <c r="K33" i="3"/>
  <c r="K32" i="3"/>
  <c r="L72" i="3"/>
  <c r="K6" i="3"/>
  <c r="CF7" i="3" s="1"/>
  <c r="L13" i="3"/>
  <c r="CF12" i="3" s="1"/>
  <c r="K40" i="3"/>
  <c r="CF24" i="3" s="1"/>
  <c r="L8" i="3"/>
  <c r="K16" i="3"/>
  <c r="K7" i="3"/>
  <c r="K64" i="3"/>
  <c r="CF36" i="3" s="1"/>
  <c r="L39" i="3"/>
  <c r="L29" i="3"/>
  <c r="L71" i="3"/>
  <c r="K73" i="3"/>
  <c r="CF40" i="3" s="1"/>
  <c r="L6" i="3"/>
  <c r="CF31" i="3" s="1"/>
  <c r="K53" i="3"/>
  <c r="L4" i="3"/>
  <c r="L64" i="3"/>
  <c r="CF35" i="3" s="1"/>
  <c r="L54" i="3"/>
  <c r="CF30" i="3" s="1"/>
  <c r="K88" i="3"/>
  <c r="K87" i="3"/>
  <c r="CF47" i="3" s="1"/>
  <c r="K61" i="3"/>
  <c r="CF37" i="3" s="1"/>
  <c r="L47" i="3"/>
  <c r="CF29" i="3" s="1"/>
  <c r="CF49" i="3"/>
  <c r="CF45" i="3"/>
  <c r="CF50" i="3"/>
  <c r="CF16" i="3"/>
  <c r="CF46" i="3"/>
  <c r="CF53" i="3"/>
  <c r="E9" i="51"/>
  <c r="CF22" i="3"/>
  <c r="CF8" i="3"/>
  <c r="CF26" i="3"/>
  <c r="B46" i="51"/>
  <c r="B47" i="51" s="1"/>
  <c r="E10" i="51"/>
  <c r="E28" i="48"/>
  <c r="F27" i="48" a="1"/>
  <c r="F27" i="48" s="1"/>
  <c r="E12" i="51"/>
  <c r="E11" i="51"/>
  <c r="CF27" i="3" l="1"/>
  <c r="CF14" i="3"/>
  <c r="CF6" i="3"/>
  <c r="CF42" i="3"/>
  <c r="CF25" i="3"/>
  <c r="CF20" i="3"/>
  <c r="CF28" i="3"/>
  <c r="CF10" i="3"/>
  <c r="CF48" i="3"/>
  <c r="CF15" i="3"/>
  <c r="CF39" i="3"/>
  <c r="CF9" i="3"/>
  <c r="CF41" i="3"/>
  <c r="F12" i="51"/>
  <c r="F10" i="51"/>
  <c r="F11" i="51" s="1"/>
  <c r="F9" i="51"/>
  <c r="F8" i="51"/>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O23" i="3"/>
  <c r="O95" i="3"/>
  <c r="N87" i="3"/>
  <c r="N88" i="3"/>
  <c r="CJ28" i="3"/>
  <c r="CJ51" i="3"/>
  <c r="CJ19" i="3"/>
  <c r="CI12" i="3"/>
  <c r="CK35" i="3"/>
  <c r="CJ30" i="3"/>
  <c r="CK45" i="3"/>
  <c r="CJ45" i="3"/>
  <c r="CJ42" i="3"/>
  <c r="CI10" i="3"/>
  <c r="CK6" i="3"/>
  <c r="CK33" i="3"/>
  <c r="CJ52" i="3"/>
  <c r="CJ32" i="3"/>
  <c r="CJ53" i="3"/>
  <c r="CJ1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J8" i="3"/>
  <c r="CJ7" i="3"/>
  <c r="CJ39" i="3"/>
  <c r="CJ23" i="3"/>
  <c r="CJ25" i="3"/>
  <c r="CJ36" i="3"/>
  <c r="CJ34" i="3"/>
  <c r="CJ27" i="3"/>
  <c r="CJ26" i="3"/>
  <c r="CJ41" i="3"/>
  <c r="CL32" i="3" l="1"/>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CT11"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0" i="45" l="1"/>
  <c r="W22"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BG118" i="3"/>
  <c r="BG119" i="3"/>
  <c r="BG120" i="3"/>
  <c r="AZ106" i="3" s="1"/>
  <c r="BG121" i="3"/>
  <c r="AZ107" i="3" s="1"/>
  <c r="AZ103" i="3"/>
  <c r="AZ104" i="3"/>
  <c r="C179" i="46"/>
  <c r="D19" i="48" s="1" a="1"/>
  <c r="D19" i="48" s="1"/>
  <c r="D116" i="3"/>
  <c r="K176" i="46"/>
  <c r="D113" i="3"/>
  <c r="D110" i="3"/>
  <c r="C169" i="46"/>
  <c r="D9" i="48" s="1" a="1"/>
  <c r="D9" i="48" s="1"/>
  <c r="D106" i="3"/>
  <c r="DT103" i="3"/>
  <c r="D103" i="3"/>
  <c r="BG122" i="3"/>
  <c r="AZ108" i="3" s="1"/>
  <c r="AZ105" i="3"/>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Z201" i="46"/>
  <c r="BP200" i="46"/>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AR202" i="46"/>
  <c r="CE203" i="46"/>
  <c r="AU202" i="46"/>
  <c r="CH203" i="46"/>
  <c r="AO201" i="46"/>
  <c r="AX200" i="46"/>
  <c r="BS201" i="46"/>
  <c r="BD201" i="46"/>
  <c r="CH200" i="46"/>
  <c r="BP202" i="46"/>
  <c r="BS202" i="46"/>
  <c r="AR200" i="46"/>
  <c r="AR203" i="46"/>
  <c r="CN200" i="46"/>
  <c r="AC201" i="46"/>
  <c r="BD200" i="46"/>
  <c r="CB201" i="46"/>
  <c r="BJ201" i="46"/>
  <c r="Z203" i="46"/>
  <c r="BM201" i="46"/>
  <c r="AC203" i="46"/>
  <c r="CE201" i="46"/>
  <c r="AF203" i="46"/>
  <c r="CN202" i="46"/>
  <c r="AC202" i="46"/>
  <c r="BP203" i="46"/>
  <c r="AR201" i="46"/>
  <c r="Z200" i="46"/>
  <c r="BA201" i="46"/>
  <c r="CE200" i="46"/>
  <c r="AX203" i="46"/>
  <c r="BA203" i="46"/>
  <c r="BD203" i="46"/>
  <c r="AL201" i="46"/>
  <c r="BA202" i="46"/>
  <c r="CN203" i="46"/>
  <c r="W205" i="46"/>
  <c r="Z205" i="46"/>
  <c r="BM206" i="46"/>
  <c r="AL207" i="46"/>
  <c r="AO205" i="46"/>
  <c r="CB206" i="46"/>
  <c r="AR207" i="46"/>
  <c r="BG205" i="46"/>
  <c r="CB202" i="46"/>
  <c r="BV204" i="46"/>
  <c r="BG206" i="46"/>
  <c r="CE205" i="46"/>
  <c r="CN204" i="46"/>
  <c r="AC207" i="46"/>
  <c r="W203" i="46"/>
  <c r="AX205" i="46"/>
  <c r="CK206" i="46"/>
  <c r="AR206" i="46"/>
  <c r="W206" i="46"/>
  <c r="BJ207" i="46"/>
  <c r="AX204" i="46"/>
  <c r="CK205" i="46"/>
  <c r="BV207" i="46"/>
  <c r="BP204" i="46"/>
  <c r="AX207" i="46"/>
  <c r="AC204" i="46"/>
  <c r="BP205" i="46"/>
  <c r="AI205" i="46"/>
  <c r="AO200" i="46"/>
  <c r="BA207" i="46"/>
  <c r="AI204" i="46"/>
  <c r="BV205" i="46"/>
  <c r="AC205" i="46"/>
  <c r="BP206" i="46"/>
  <c r="AU206" i="46"/>
  <c r="CH207" i="46"/>
  <c r="AI206" i="46"/>
  <c r="CE207" i="46"/>
  <c r="BY204" i="46"/>
  <c r="AU200" i="46"/>
  <c r="AL206" i="46"/>
  <c r="BY207" i="46"/>
  <c r="BG201" i="46"/>
  <c r="BG204" i="46"/>
  <c r="AU203" i="46"/>
  <c r="BA205" i="46"/>
  <c r="CN206" i="46"/>
  <c r="AF205" i="46"/>
  <c r="BS206" i="46"/>
  <c r="AI207" i="46"/>
  <c r="AR205" i="46"/>
  <c r="CE206" i="46"/>
  <c r="BA206" i="46"/>
  <c r="W207" i="46"/>
  <c r="BA200" i="46"/>
  <c r="CK200" i="46"/>
  <c r="BJ206" i="46"/>
  <c r="CE204" i="46"/>
  <c r="AL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BJ183" i="46"/>
  <c r="AU182" i="46"/>
  <c r="CH183" i="46"/>
  <c r="BS182" i="46"/>
  <c r="AC182" i="46"/>
  <c r="AI183" i="46"/>
  <c r="AF182" i="46"/>
  <c r="BG183" i="46"/>
  <c r="AO183" i="46"/>
  <c r="AR182" i="46"/>
  <c r="CE183" i="46"/>
  <c r="Z182" i="46"/>
  <c r="BP182" i="46"/>
  <c r="AX182" i="46"/>
  <c r="CN182" i="46"/>
  <c r="AL183" i="46"/>
  <c r="BV182" i="46"/>
  <c r="BD182" i="46"/>
  <c r="BA183" i="46"/>
  <c r="BD184" i="46"/>
  <c r="BY182" i="46"/>
  <c r="AL186" i="46"/>
  <c r="BS184" i="46"/>
  <c r="AC186" i="46"/>
  <c r="BM186" i="46"/>
  <c r="BG187" i="46"/>
  <c r="AF186" i="46"/>
  <c r="AC187" i="46"/>
  <c r="AF187" i="46"/>
  <c r="AL187" i="46"/>
  <c r="AF189" i="46"/>
  <c r="CH189" i="46"/>
  <c r="BS190" i="46"/>
  <c r="AC191" i="46"/>
  <c r="AR191" i="46"/>
  <c r="CK190" i="46"/>
  <c r="AX191" i="46"/>
  <c r="BY192" i="46"/>
  <c r="AO196" i="46"/>
  <c r="BM190" i="46"/>
  <c r="CH192" i="46"/>
  <c r="CB182" i="46"/>
  <c r="CB184" i="46"/>
  <c r="CE182" i="46"/>
  <c r="AR183" i="46"/>
  <c r="AX185" i="46"/>
  <c r="BJ186"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AO194" i="46"/>
  <c r="AF193" i="46"/>
  <c r="AC184" i="46"/>
  <c r="BV183" i="46"/>
  <c r="AL184" i="46"/>
  <c r="BD185" i="46"/>
  <c r="AI185" i="46"/>
  <c r="BJ184" i="46"/>
  <c r="BP185" i="46"/>
  <c r="BA185" i="46"/>
  <c r="BV185" i="46"/>
  <c r="BS186" i="46"/>
  <c r="Z186" i="46"/>
  <c r="AR187" i="46"/>
  <c r="BD186" i="46"/>
  <c r="AX187" i="46"/>
  <c r="BA187" i="46"/>
  <c r="BD187" i="46"/>
  <c r="BJ187" i="46"/>
  <c r="AR188" i="46"/>
  <c r="AU188" i="46"/>
  <c r="Z188" i="46"/>
  <c r="AI189" i="46"/>
  <c r="CK189" i="46"/>
  <c r="BV190" i="46"/>
  <c r="W190" i="46"/>
  <c r="BG191" i="46"/>
  <c r="AC190" i="46"/>
  <c r="BM191" i="46"/>
  <c r="CH190" i="46"/>
  <c r="AI194" i="46"/>
  <c r="BV195" i="46"/>
  <c r="AU193" i="46"/>
  <c r="CH194" i="46"/>
  <c r="Z193" i="46"/>
  <c r="BM194" i="46"/>
  <c r="BD193" i="46"/>
  <c r="AI182" i="46"/>
  <c r="AO182" i="46"/>
  <c r="BA184" i="46"/>
  <c r="BD183" i="46"/>
  <c r="AC183" i="46"/>
  <c r="CH184" i="46"/>
  <c r="CB185" i="46"/>
  <c r="AO184" i="46"/>
  <c r="BG185" i="46"/>
  <c r="AL185" i="46"/>
  <c r="AF183" i="46"/>
  <c r="CN185" i="46"/>
  <c r="W185" i="46"/>
  <c r="AX186" i="46"/>
  <c r="BM184" i="46"/>
  <c r="CK186" i="46"/>
  <c r="BP187" i="46"/>
  <c r="CH187" i="46"/>
  <c r="BP188" i="46"/>
  <c r="BS188" i="46"/>
  <c r="AR190" i="46"/>
  <c r="BG189" i="46"/>
  <c r="BA188" i="46"/>
  <c r="AU187" i="46"/>
  <c r="AX189" i="46"/>
  <c r="AX190" i="46"/>
  <c r="CE191" i="46"/>
  <c r="AL191" i="46"/>
  <c r="BS189" i="46"/>
  <c r="BD190" i="46"/>
  <c r="CK191" i="46"/>
  <c r="BG194" i="46"/>
  <c r="AF192" i="46"/>
  <c r="BS193" i="46"/>
  <c r="AX193" i="46"/>
  <c r="CK194" i="46"/>
  <c r="AC193" i="46"/>
  <c r="AO192" i="46"/>
  <c r="CB193" i="46"/>
  <c r="BM183" i="46"/>
  <c r="W183" i="46"/>
  <c r="AL182" i="46"/>
  <c r="BM182" i="46"/>
  <c r="Z184" i="46"/>
  <c r="BY184" i="46"/>
  <c r="AI184" i="46"/>
  <c r="BY183" i="46"/>
  <c r="CK184" i="46"/>
  <c r="CE185" i="46"/>
  <c r="AR184" i="46"/>
  <c r="BJ185" i="46"/>
  <c r="AO185" i="46"/>
  <c r="AI186" i="46"/>
  <c r="BY185" i="46"/>
  <c r="BV186" i="46"/>
  <c r="AO187" i="46"/>
  <c r="CN187" i="46"/>
  <c r="AO186" i="46"/>
  <c r="AF188" i="46"/>
  <c r="AI188" i="46"/>
  <c r="AL188" i="46"/>
  <c r="AO188" i="46"/>
  <c r="CN188" i="46"/>
  <c r="AC189" i="46"/>
  <c r="BP190" i="46"/>
  <c r="CE189" i="46"/>
  <c r="Z191" i="46"/>
  <c r="BY190" i="46"/>
  <c r="Z190" i="46"/>
  <c r="BJ191" i="46"/>
  <c r="CE190" i="46"/>
  <c r="AU191" i="46"/>
  <c r="AR193" i="46"/>
  <c r="CE194" i="46"/>
  <c r="BD192" i="46"/>
  <c r="AI192" i="46"/>
  <c r="BV193" i="46"/>
  <c r="BA193" i="46"/>
  <c r="BM192" i="46"/>
  <c r="CK183" i="46"/>
  <c r="AU183" i="46"/>
  <c r="BJ182"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N190"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BY191" i="46"/>
  <c r="BY188" i="46"/>
  <c r="CB190" i="46"/>
  <c r="CN189" i="46"/>
  <c r="BJ190" i="46"/>
  <c r="BA192" i="46"/>
  <c r="CN193" i="46"/>
  <c r="AL190" i="46"/>
  <c r="CE192" i="46"/>
  <c r="BJ192" i="46"/>
  <c r="BS195"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BG196" i="46"/>
  <c r="AF195" i="46"/>
  <c r="BM193" i="46"/>
  <c r="AL196" i="46"/>
  <c r="CB196" i="46"/>
  <c r="BG197" i="46"/>
  <c r="BP196" i="46"/>
  <c r="AU192" i="46"/>
  <c r="CH193" i="46"/>
  <c r="BA195" i="46"/>
  <c r="CN196" i="46"/>
  <c r="BD194" i="46"/>
  <c r="BS192" i="46"/>
  <c r="CK195" i="46"/>
  <c r="CN195" i="46"/>
  <c r="W197" i="46"/>
  <c r="AX197" i="46"/>
  <c r="BY197" i="46"/>
  <c r="AL197" i="46"/>
  <c r="BP197" i="46"/>
  <c r="BS196" i="46"/>
  <c r="CE195" i="46"/>
  <c r="AR192" i="46"/>
  <c r="AU194" i="46"/>
  <c r="CB195" i="46"/>
  <c r="Z194" i="46"/>
  <c r="BG193" i="46"/>
  <c r="W192" i="46"/>
  <c r="BJ193" i="46"/>
  <c r="AU197" i="46"/>
  <c r="Z192" i="46"/>
  <c r="BV197" i="46"/>
  <c r="CK197" i="46"/>
  <c r="CE196" i="46"/>
  <c r="CB194" i="46"/>
  <c r="AC196" i="46"/>
  <c r="AX194" i="46"/>
  <c r="AI193" i="46"/>
  <c r="AC195" i="46"/>
  <c r="BP194" i="46"/>
  <c r="BV192" i="46"/>
  <c r="CN192" i="46"/>
  <c r="BS197" i="46"/>
  <c r="AU196" i="46"/>
  <c r="BJ197" i="46"/>
  <c r="BS194" i="46"/>
  <c r="BV194" i="46"/>
  <c r="BD196" i="46"/>
  <c r="CN194" i="46"/>
  <c r="AF196" i="46"/>
  <c r="AX192" i="46"/>
  <c r="CK193" i="46"/>
  <c r="BD195" i="46"/>
  <c r="AC194" i="46"/>
  <c r="AF194" i="46"/>
  <c r="AR196" i="46"/>
  <c r="BY194" i="46"/>
  <c r="AI197" i="46"/>
  <c r="CH197" i="46"/>
  <c r="AR195"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H198" i="46" l="1"/>
  <c r="AI198" i="46"/>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BJ198" i="46"/>
  <c r="BM198" i="46"/>
  <c r="BV198" i="46"/>
  <c r="BP198" i="46"/>
  <c r="Z198" i="46"/>
  <c r="BS198" i="46"/>
  <c r="AU198" i="46"/>
  <c r="W198" i="46"/>
  <c r="CE208" i="46"/>
  <c r="BG208" i="46"/>
  <c r="CE198" i="46"/>
  <c r="BY198" i="46"/>
  <c r="BD198" i="46"/>
  <c r="BD208" i="46"/>
  <c r="AR208" i="46"/>
  <c r="AX208" i="46"/>
  <c r="AP35" i="51"/>
  <c r="T208" i="46"/>
  <c r="G24" i="48"/>
  <c r="G9" i="48"/>
  <c r="G28" i="48"/>
  <c r="G26" i="48"/>
  <c r="G16" i="48"/>
  <c r="G25" i="48"/>
  <c r="G18" i="48"/>
  <c r="G11" i="48"/>
  <c r="G27" i="48"/>
  <c r="G12" i="48"/>
  <c r="G20" i="48"/>
  <c r="G19" i="48"/>
  <c r="G17" i="48"/>
  <c r="G14" i="48"/>
  <c r="G13" i="48"/>
  <c r="G15" i="48"/>
  <c r="G21" i="48"/>
  <c r="G22" i="48"/>
  <c r="G10" i="48"/>
  <c r="G2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22" i="46"/>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AU220" i="46"/>
  <c r="CB220" i="46"/>
  <c r="AR220" i="46"/>
  <c r="BA220" i="46"/>
  <c r="BM220" i="46"/>
  <c r="BS220" i="46"/>
  <c r="AC220" i="46"/>
  <c r="AF220" i="46"/>
  <c r="CE220" i="46"/>
  <c r="AI220" i="46"/>
  <c r="BY220" i="46"/>
  <c r="AO220" i="46"/>
  <c r="BG220" i="46"/>
  <c r="BD220" i="46"/>
  <c r="CN220" i="46"/>
  <c r="W220" i="46"/>
  <c r="AR210" i="46"/>
  <c r="BP210" i="46"/>
  <c r="CN210" i="46"/>
  <c r="AI211" i="46"/>
  <c r="BG211" i="46"/>
  <c r="CE211" i="46"/>
  <c r="AC210" i="46"/>
  <c r="BA210" i="46"/>
  <c r="BY210" i="46"/>
  <c r="AX210" i="46"/>
  <c r="CE210" i="46"/>
  <c r="W211" i="46"/>
  <c r="AX211" i="46"/>
  <c r="BY211" i="46"/>
  <c r="AL212" i="46"/>
  <c r="BJ212" i="46"/>
  <c r="CH212" i="46"/>
  <c r="W210" i="46"/>
  <c r="BD210" i="46"/>
  <c r="CH210" i="46"/>
  <c r="Z211" i="46"/>
  <c r="BA211" i="46"/>
  <c r="CB211" i="46"/>
  <c r="AO212" i="46"/>
  <c r="BM212" i="46"/>
  <c r="CK212" i="46"/>
  <c r="Z210" i="46"/>
  <c r="BG210" i="46"/>
  <c r="CK210" i="46"/>
  <c r="AC211" i="46"/>
  <c r="BD211" i="46"/>
  <c r="CH211" i="46"/>
  <c r="AR212" i="46"/>
  <c r="BP212" i="46"/>
  <c r="CN212" i="46"/>
  <c r="AF210" i="46"/>
  <c r="BJ210" i="46"/>
  <c r="AF211" i="46"/>
  <c r="BJ211" i="46"/>
  <c r="CK211" i="46"/>
  <c r="W212" i="46"/>
  <c r="AU212" i="46"/>
  <c r="BS212" i="46"/>
  <c r="AI210" i="46"/>
  <c r="BM210" i="46"/>
  <c r="AL211" i="46"/>
  <c r="BM211" i="46"/>
  <c r="CN211" i="46"/>
  <c r="Z212" i="46"/>
  <c r="AX212" i="46"/>
  <c r="BV212" i="46"/>
  <c r="AL210"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AU214" i="46"/>
  <c r="BS214" i="46"/>
  <c r="AL215"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AF217" i="46"/>
  <c r="CH217" i="46"/>
  <c r="CE212"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CB218" i="46"/>
  <c r="CN218" i="46"/>
  <c r="CE218" i="46"/>
  <c r="CH218" i="46"/>
  <c r="AX218" i="46"/>
  <c r="BD218" i="46"/>
  <c r="BP218" i="46"/>
  <c r="AX224" i="46"/>
  <c r="BJ218" i="46"/>
  <c r="Z218" i="46"/>
  <c r="W218" i="46"/>
  <c r="AR218" i="46"/>
  <c r="AU224" i="46"/>
  <c r="CH224" i="46"/>
  <c r="Z224" i="46"/>
  <c r="BG218" i="46"/>
  <c r="AI218" i="46"/>
  <c r="BY218" i="46"/>
  <c r="AL218" i="46"/>
  <c r="CK218" i="46"/>
  <c r="BD224" i="46"/>
  <c r="AI224" i="46"/>
  <c r="BM224" i="46"/>
  <c r="BA224" i="46"/>
  <c r="BV218" i="46"/>
  <c r="BA218" i="46"/>
  <c r="AU218" i="46"/>
  <c r="BG224" i="46"/>
  <c r="CB224" i="46"/>
  <c r="AC218" i="46"/>
  <c r="BM218" i="46"/>
  <c r="AF218" i="46"/>
  <c r="AO218" i="46"/>
  <c r="BS218" i="46"/>
  <c r="CN224" i="46"/>
  <c r="AC224" i="46"/>
  <c r="CK224" i="46"/>
  <c r="BV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BR264" i="46" l="1"/>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8" i="45" l="1"/>
  <c r="BN11" i="45"/>
  <c r="BN20" i="45"/>
  <c r="BN33" i="45"/>
  <c r="BN47" i="45"/>
  <c r="BN26" i="45"/>
  <c r="BN14" i="45"/>
  <c r="BN24" i="45"/>
  <c r="BN39" i="45"/>
  <c r="BN43" i="45"/>
  <c r="BN51" i="45"/>
  <c r="BN13" i="45"/>
  <c r="BN19" i="45"/>
  <c r="BN10" i="45"/>
  <c r="BN7" i="45"/>
  <c r="BN30" i="45"/>
  <c r="BN38" i="45"/>
  <c r="BN35" i="45"/>
  <c r="BN29" i="45"/>
  <c r="BN17" i="45"/>
  <c r="BN23" i="45"/>
  <c r="BN15" i="45"/>
  <c r="BN21" i="45"/>
  <c r="BN6" i="45"/>
  <c r="BN22" i="45"/>
  <c r="BN41" i="45"/>
  <c r="BN25" i="45"/>
  <c r="BN5" i="45"/>
  <c r="BN44" i="45"/>
  <c r="BN49" i="45"/>
  <c r="BN50" i="45"/>
  <c r="BN31" i="45"/>
  <c r="BN37" i="45"/>
  <c r="BN42" i="45"/>
  <c r="BN12" i="45"/>
  <c r="BN36" i="45"/>
  <c r="BN16" i="45"/>
  <c r="BN4" i="45"/>
  <c r="BN40" i="45"/>
  <c r="BN34" i="45"/>
  <c r="BN28" i="45"/>
  <c r="BN45" i="45"/>
  <c r="BN48" i="45"/>
  <c r="BN46" i="45"/>
  <c r="BN8" i="45"/>
  <c r="BN9" i="45"/>
  <c r="BN27" i="45"/>
  <c r="BN32" i="45"/>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S3" i="47"/>
  <c r="R2" i="47"/>
  <c r="T252" i="46"/>
  <c r="T238" i="46"/>
  <c r="M238" i="46"/>
  <c r="O3" i="47" s="1"/>
  <c r="T251" i="46"/>
  <c r="S2" i="47"/>
  <c r="R3" i="47"/>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AO250" i="46"/>
  <c r="AO259" i="46" s="1"/>
  <c r="BP250" i="46"/>
  <c r="BP259" i="46" s="1"/>
  <c r="AR250" i="46"/>
  <c r="AR259" i="46" s="1"/>
  <c r="BV250" i="46"/>
  <c r="BV259" i="46" s="1"/>
  <c r="AX250" i="46"/>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X259" i="46"/>
  <c r="CN259" i="46"/>
  <c r="T242" i="46"/>
  <c r="M242" i="46"/>
  <c r="P3" i="47" s="1"/>
  <c r="H28" i="50" l="1"/>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Y3" i="46"/>
  <c r="AQ3" i="46"/>
  <c r="AZ3" i="46"/>
  <c r="BI3" i="46"/>
  <c r="BO3" i="46"/>
  <c r="BR3" i="46"/>
  <c r="AB3" i="46"/>
  <c r="AH3" i="46"/>
  <c r="AN3" i="46"/>
  <c r="CA3" i="46"/>
  <c r="AK3" i="46"/>
  <c r="S3" i="46"/>
  <c r="CG3" i="46"/>
  <c r="CJ3" i="46"/>
  <c r="BL3" i="46"/>
  <c r="AE3" i="46"/>
  <c r="CD3" i="46"/>
  <c r="CM3" i="46"/>
  <c r="BX3" i="46"/>
  <c r="AW3" i="46"/>
  <c r="V3" i="46"/>
  <c r="BC3" i="46"/>
  <c r="AT3" i="46"/>
  <c r="V2" i="46"/>
  <c r="BF3" i="46"/>
  <c r="AK1" i="46" l="1"/>
  <c r="CJ1" i="46"/>
  <c r="Y1" i="46"/>
  <c r="BO1" i="46"/>
  <c r="AN1" i="46"/>
  <c r="AT1" i="46"/>
  <c r="CA1" i="46"/>
  <c r="BX1" i="46"/>
  <c r="BI1" i="46"/>
  <c r="BR1" i="46"/>
  <c r="BC1" i="46"/>
  <c r="CD1" i="46"/>
  <c r="AZ1" i="46"/>
  <c r="AH1" i="46"/>
  <c r="S1" i="46"/>
  <c r="H5" i="47" s="1" a="1"/>
  <c r="H5" i="47" s="1"/>
  <c r="BU1" i="46"/>
  <c r="V1" i="46"/>
  <c r="AW1" i="46"/>
  <c r="AB1" i="46"/>
  <c r="AE1" i="46"/>
  <c r="BL1" i="46"/>
  <c r="BF1" i="46"/>
  <c r="CM1" i="46"/>
  <c r="AQ1" i="46"/>
  <c r="CG1" i="46"/>
  <c r="R14" i="47" l="1"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N20" i="47" a="1"/>
  <c r="N20" i="47" s="1"/>
  <c r="Q27" i="47" a="1"/>
  <c r="Q27" i="47" s="1"/>
  <c r="S29" i="47" a="1"/>
  <c r="S29" i="47" s="1"/>
  <c r="M21" i="47" a="1"/>
  <c r="M21" i="47" s="1"/>
  <c r="O24" i="47" a="1"/>
  <c r="O24" i="47" s="1"/>
  <c r="N18" i="47" a="1"/>
  <c r="N18" i="47" s="1"/>
  <c r="J27" i="47" a="1"/>
  <c r="J27" i="47" s="1"/>
  <c r="L26" i="47" a="1"/>
  <c r="L26" i="47" s="1"/>
  <c r="K20" i="47" a="1"/>
  <c r="K20" i="47" s="1"/>
  <c r="L23" i="47" a="1"/>
  <c r="L23" i="47" s="1"/>
  <c r="E24" i="47" a="1"/>
  <c r="E24" i="47" s="1"/>
  <c r="J19" i="47" a="1"/>
  <c r="J19" i="47" s="1"/>
  <c r="N24" i="47" a="1"/>
  <c r="N24" i="47" s="1"/>
  <c r="R23" i="47" a="1"/>
  <c r="R23" i="47" s="1"/>
  <c r="E18" i="47" a="1"/>
  <c r="E18" i="47" s="1"/>
  <c r="Q22" i="47" a="1"/>
  <c r="Q22" i="47" s="1"/>
  <c r="L28" i="47" a="1"/>
  <c r="L28" i="47" s="1"/>
  <c r="K27" i="47" a="1"/>
  <c r="K27" i="47" s="1"/>
  <c r="L20" i="47" a="1"/>
  <c r="L20" i="47" s="1"/>
  <c r="M22" i="47" a="1"/>
  <c r="M22" i="47" s="1"/>
  <c r="R18" i="47" a="1"/>
  <c r="R18" i="47" s="1"/>
  <c r="R19" i="47" a="1"/>
  <c r="R19" i="47" s="1"/>
  <c r="P21" i="47" a="1"/>
  <c r="P21" i="47" s="1"/>
  <c r="K18" i="47" a="1"/>
  <c r="K18" i="47" s="1"/>
  <c r="Q18" i="47" a="1"/>
  <c r="Q18" i="47" s="1"/>
  <c r="Q29" i="47" a="1"/>
  <c r="Q29" i="47" s="1"/>
  <c r="N22" i="47" a="1"/>
  <c r="N22" i="47" s="1"/>
  <c r="O21" i="47" a="1"/>
  <c r="O21" i="47" s="1"/>
  <c r="O27" i="47" a="1"/>
  <c r="O27" i="47" s="1"/>
  <c r="L27" i="47" a="1"/>
  <c r="L27" i="47" s="1"/>
  <c r="P28" i="47" a="1"/>
  <c r="P28" i="47" s="1"/>
  <c r="R29" i="47" a="1"/>
  <c r="R29" i="47" s="1"/>
  <c r="S24" i="47" a="1"/>
  <c r="S24" i="47" s="1"/>
  <c r="M26" i="47" a="1"/>
  <c r="M26" i="47" s="1"/>
  <c r="F26" i="47" a="1"/>
  <c r="F26" i="47" s="1"/>
  <c r="P19" i="47" a="1"/>
  <c r="P19" i="47" s="1"/>
  <c r="S19" i="47" a="1"/>
  <c r="S19" i="47" s="1"/>
  <c r="N28" i="47" a="1"/>
  <c r="N28" i="47" s="1"/>
  <c r="P23" i="47" a="1"/>
  <c r="P23" i="47" s="1"/>
  <c r="R22" i="47" a="1"/>
  <c r="R22" i="47" s="1"/>
  <c r="R27" i="47" a="1"/>
  <c r="R27" i="47" s="1"/>
  <c r="M23" i="47" a="1"/>
  <c r="M23" i="47" s="1"/>
  <c r="J20" i="47" a="1"/>
  <c r="J20" i="47" s="1"/>
  <c r="P26" i="47" a="1"/>
  <c r="P26" i="47" s="1"/>
  <c r="R20" i="47" a="1"/>
  <c r="R20" i="47" s="1"/>
  <c r="M27" i="47" a="1"/>
  <c r="M27" i="47" s="1"/>
  <c r="L17" i="47" a="1"/>
  <c r="L17" i="47" s="1"/>
  <c r="M24" i="47" a="1"/>
  <c r="M24" i="47" s="1"/>
  <c r="I26" i="47" a="1"/>
  <c r="I26" i="47" s="1"/>
  <c r="K25" i="47" a="1"/>
  <c r="K25" i="47" s="1"/>
  <c r="O18" i="47" a="1"/>
  <c r="O18" i="47" s="1"/>
  <c r="J17" i="47" a="1"/>
  <c r="J17" i="47" s="1"/>
  <c r="H25" i="47" a="1"/>
  <c r="H25" i="47" s="1"/>
  <c r="S21" i="47" a="1"/>
  <c r="S21" i="47" s="1"/>
  <c r="N19" i="47" a="1"/>
  <c r="N19" i="47" s="1"/>
  <c r="O28" i="47" a="1"/>
  <c r="O28" i="47" s="1"/>
  <c r="P25" i="47" a="1"/>
  <c r="P25" i="47" s="1"/>
  <c r="Q19" i="47" a="1"/>
  <c r="Q19" i="47" s="1"/>
  <c r="Q21" i="47" a="1"/>
  <c r="Q21" i="47" s="1"/>
  <c r="R17" i="47" a="1"/>
  <c r="R17" i="47" s="1"/>
  <c r="M20" i="47" a="1"/>
  <c r="M20" i="47" s="1"/>
  <c r="N17" i="47" a="1"/>
  <c r="N17" i="47" s="1"/>
  <c r="Q20" i="47" a="1"/>
  <c r="Q20" i="47" s="1"/>
  <c r="L25" i="47" a="1"/>
  <c r="L25" i="47" s="1"/>
  <c r="J24" i="47" a="1"/>
  <c r="J24" i="47" s="1"/>
  <c r="K29" i="47" a="1"/>
  <c r="K29" i="47" s="1"/>
  <c r="L24" i="47" a="1"/>
  <c r="L24" i="47" s="1"/>
  <c r="Q26" i="47" a="1"/>
  <c r="Q26" i="47" s="1"/>
  <c r="J21" i="47" a="1"/>
  <c r="J21" i="47" s="1"/>
  <c r="L22" i="47" a="1"/>
  <c r="L22" i="47" s="1"/>
  <c r="L18" i="47" a="1"/>
  <c r="L18" i="47" s="1"/>
  <c r="Q23" i="47" a="1"/>
  <c r="Q23" i="47" s="1"/>
  <c r="R25" i="47" a="1"/>
  <c r="R25" i="47" s="1"/>
  <c r="Q14" i="47" a="1"/>
  <c r="Q14" i="47" s="1"/>
  <c r="H17" i="47" a="1"/>
  <c r="H17" i="47" s="1"/>
  <c r="H26" i="47" a="1"/>
  <c r="H26" i="47" s="1"/>
  <c r="O20" i="47" a="1"/>
  <c r="O20" i="47" s="1"/>
  <c r="M19" i="47" a="1"/>
  <c r="M19" i="47" s="1"/>
  <c r="S20" i="47" a="1"/>
  <c r="S20" i="47" s="1"/>
  <c r="K26" i="47" a="1"/>
  <c r="K26" i="47" s="1"/>
  <c r="O17" i="47" a="1"/>
  <c r="O17" i="47" s="1"/>
  <c r="I8" i="47" a="1"/>
  <c r="I8" i="47" s="1"/>
  <c r="L6" i="47" a="1"/>
  <c r="L6" i="47" s="1"/>
  <c r="J8" i="47" a="1"/>
  <c r="J8" i="47" s="1"/>
  <c r="K8" i="47" a="1"/>
  <c r="K8" i="47" s="1"/>
  <c r="E8" i="47" a="1"/>
  <c r="E8" i="47" s="1"/>
  <c r="L8" i="47" a="1"/>
  <c r="L8" i="47" s="1"/>
  <c r="M25" i="47" a="1"/>
  <c r="M25" i="47" s="1"/>
  <c r="Q6" i="47" a="1"/>
  <c r="Q6" i="47" s="1"/>
  <c r="F6" i="47" a="1"/>
  <c r="F6" i="47" s="1"/>
  <c r="B6" i="47"/>
  <c r="H8" i="47" a="1"/>
  <c r="H8" i="47" s="1"/>
  <c r="G6" i="47" a="1"/>
  <c r="G6" i="47" s="1"/>
  <c r="G7" i="47" a="1"/>
  <c r="G7" i="47" s="1"/>
  <c r="B7" i="47"/>
  <c r="O6" i="47" a="1"/>
  <c r="O6" i="47" s="1"/>
  <c r="D8" i="47"/>
  <c r="C8" i="47"/>
  <c r="Q24" i="47" a="1"/>
  <c r="Q24" i="47" s="1"/>
  <c r="S27" i="47" a="1"/>
  <c r="S27" i="47" s="1"/>
  <c r="O25" i="47" a="1"/>
  <c r="O25" i="47" s="1"/>
  <c r="N8" i="47" a="1"/>
  <c r="N8" i="47" s="1"/>
  <c r="K6" i="47" a="1"/>
  <c r="K6" i="47" s="1"/>
  <c r="I6" i="47" a="1"/>
  <c r="I6" i="47" s="1"/>
  <c r="I10" i="47" a="1"/>
  <c r="I10" i="47" s="1"/>
  <c r="E6" i="47" a="1"/>
  <c r="E6" i="47" s="1"/>
  <c r="D7" i="47"/>
  <c r="C7" i="47"/>
  <c r="F7" i="47" a="1"/>
  <c r="F7" i="47" s="1"/>
  <c r="M10" i="47" a="1"/>
  <c r="M10" i="47" s="1"/>
  <c r="P6" i="47" a="1"/>
  <c r="P6" i="47" s="1"/>
  <c r="J7" i="47" a="1"/>
  <c r="J7" i="47" s="1"/>
  <c r="B10" i="47"/>
  <c r="B8" i="47"/>
  <c r="C6" i="47"/>
  <c r="F8" i="47" a="1"/>
  <c r="F8" i="47" s="1"/>
  <c r="O8" i="47" a="1"/>
  <c r="O8" i="47" s="1"/>
  <c r="G8" i="47" a="1"/>
  <c r="G8" i="47" s="1"/>
  <c r="H7" i="47" a="1"/>
  <c r="H7" i="47" s="1"/>
  <c r="N9" i="47" a="1"/>
  <c r="N9" i="47" s="1"/>
  <c r="H14" i="47" a="1"/>
  <c r="H14" i="47" s="1"/>
  <c r="F19" i="47" a="1"/>
  <c r="F19" i="47" s="1"/>
  <c r="F10" i="47" a="1"/>
  <c r="F10" i="47" s="1"/>
  <c r="D27" i="47"/>
  <c r="D14" i="47"/>
  <c r="B19" i="47"/>
  <c r="D23" i="47"/>
  <c r="O9" i="47" a="1"/>
  <c r="O9" i="47" s="1"/>
  <c r="G23" i="47" a="1"/>
  <c r="G23" i="47" s="1"/>
  <c r="C9" i="47"/>
  <c r="C21" i="47"/>
  <c r="B26" i="47"/>
  <c r="B9" i="47"/>
  <c r="G18" i="47" a="1"/>
  <c r="G18" i="47" s="1"/>
  <c r="B13" i="47"/>
  <c r="E9" i="47" a="1"/>
  <c r="E9" i="47" s="1"/>
  <c r="D22" i="47"/>
  <c r="F9" i="47" a="1"/>
  <c r="F9" i="47" s="1"/>
  <c r="E14" i="47" a="1"/>
  <c r="E14" i="47" s="1"/>
  <c r="B16" i="47"/>
  <c r="B22" i="47"/>
  <c r="B21" i="47"/>
  <c r="D25" i="47"/>
  <c r="F21" i="47" a="1"/>
  <c r="F21" i="47" s="1"/>
  <c r="B29" i="47"/>
  <c r="H20" i="47" a="1"/>
  <c r="H20" i="47" s="1"/>
  <c r="B14" i="47"/>
  <c r="H19" i="47" a="1"/>
  <c r="H19" i="47" s="1"/>
  <c r="P9" i="47" a="1"/>
  <c r="P9" i="47" s="1"/>
  <c r="C12" i="47"/>
  <c r="C15" i="47"/>
  <c r="G9" i="47" a="1"/>
  <c r="G9" i="47" s="1"/>
  <c r="G22" i="47" a="1"/>
  <c r="G22" i="47" s="1"/>
  <c r="I9" i="47" a="1"/>
  <c r="I9" i="47" s="1"/>
  <c r="B27" i="47"/>
  <c r="Q9" i="47" a="1"/>
  <c r="Q9" i="47" s="1"/>
  <c r="E28" i="47" a="1"/>
  <c r="E28" i="47" s="1"/>
  <c r="L9" i="47" a="1"/>
  <c r="L9" i="47" s="1"/>
  <c r="D10" i="47"/>
  <c r="C24" i="47"/>
  <c r="I13" i="47" a="1"/>
  <c r="I13" i="47" s="1"/>
  <c r="G14" i="47" a="1"/>
  <c r="G14" i="47" s="1"/>
  <c r="D12" i="47"/>
  <c r="F11" i="47" a="1"/>
  <c r="F11" i="47" s="1"/>
  <c r="F22" i="47" a="1"/>
  <c r="F22" i="47" s="1"/>
  <c r="G26" i="47" a="1"/>
  <c r="G26" i="47" s="1"/>
  <c r="B25" i="47"/>
  <c r="O26" i="47" a="1"/>
  <c r="O26" i="47" s="1"/>
  <c r="C18" i="47"/>
  <c r="M9" i="47" a="1"/>
  <c r="M9" i="47" s="1"/>
  <c r="F25" i="47" a="1"/>
  <c r="F25" i="47" s="1"/>
  <c r="D11" i="47"/>
  <c r="I17" i="47" a="1"/>
  <c r="I17" i="47" s="1"/>
  <c r="E29" i="47" a="1"/>
  <c r="E29" i="47" s="1"/>
  <c r="S9" i="47" a="1"/>
  <c r="S9" i="47" s="1"/>
  <c r="D16" i="47"/>
  <c r="D19" i="47"/>
  <c r="C22" i="47"/>
  <c r="G21" i="47" a="1"/>
  <c r="G21" i="47" s="1"/>
  <c r="D15" i="47"/>
  <c r="R9" i="47" a="1"/>
  <c r="R9" i="47" s="1"/>
  <c r="C11" i="47"/>
  <c r="H9" i="47" a="1"/>
  <c r="H9" i="47" s="1"/>
  <c r="F16" i="47" a="1"/>
  <c r="F16" i="47" s="1"/>
  <c r="D26" i="47"/>
  <c r="G29" i="47" a="1"/>
  <c r="G29" i="47" s="1"/>
  <c r="I28" i="47" a="1"/>
  <c r="I28" i="47" s="1"/>
  <c r="E11" i="47" a="1"/>
  <c r="E11" i="47" s="1"/>
  <c r="C10" i="47"/>
  <c r="F20" i="47" a="1"/>
  <c r="F20" i="47" s="1"/>
  <c r="E22" i="47" a="1"/>
  <c r="E22" i="47" s="1"/>
  <c r="G11" i="47" a="1"/>
  <c r="G11" i="47" s="1"/>
  <c r="D28" i="47"/>
  <c r="D24" i="47"/>
  <c r="H12" i="47" a="1"/>
  <c r="H12" i="47" s="1"/>
  <c r="I20" i="47" a="1"/>
  <c r="I20" i="47" s="1"/>
  <c r="O10" i="47" a="1"/>
  <c r="O10" i="47" s="1"/>
  <c r="E12" i="47" a="1"/>
  <c r="E12" i="47" s="1"/>
  <c r="C20" i="47"/>
  <c r="G19" i="47" a="1"/>
  <c r="G19" i="47" s="1"/>
  <c r="K21" i="47" a="1"/>
  <c r="K21" i="47" s="1"/>
  <c r="E21" i="47" a="1"/>
  <c r="E21" i="47" s="1"/>
  <c r="F24" i="47" a="1"/>
  <c r="F24" i="47" s="1"/>
  <c r="J16" i="47" a="1"/>
  <c r="J16" i="47" s="1"/>
  <c r="S23" i="47" a="1"/>
  <c r="S23" i="47" s="1"/>
  <c r="K9" i="47" a="1"/>
  <c r="K9" i="47" s="1"/>
  <c r="D20" i="47"/>
  <c r="E15" i="47" a="1"/>
  <c r="E15" i="47" s="1"/>
  <c r="F28" i="47" a="1"/>
  <c r="F28" i="47" s="1"/>
  <c r="Q16" i="47" a="1"/>
  <c r="Q16" i="47" s="1"/>
  <c r="C14" i="47"/>
  <c r="I25" i="47" a="1"/>
  <c r="I25" i="47" s="1"/>
  <c r="H24" i="47" a="1"/>
  <c r="H24" i="47" s="1"/>
  <c r="B20" i="47"/>
  <c r="I15" i="47" a="1"/>
  <c r="I15" i="47" s="1"/>
  <c r="C26" i="47"/>
  <c r="C28" i="47"/>
  <c r="I21" i="47" a="1"/>
  <c r="I21" i="47" s="1"/>
  <c r="E13" i="47" a="1"/>
  <c r="E13" i="47" s="1"/>
  <c r="G15" i="47" a="1"/>
  <c r="G15" i="47" s="1"/>
  <c r="I16" i="47" a="1"/>
  <c r="I16" i="47" s="1"/>
  <c r="E16" i="47" a="1"/>
  <c r="E16" i="47" s="1"/>
  <c r="I24" i="47" a="1"/>
  <c r="I24" i="47" s="1"/>
  <c r="E23" i="47" a="1"/>
  <c r="E23" i="47" s="1"/>
  <c r="P18" i="47" a="1"/>
  <c r="P18" i="47" s="1"/>
  <c r="J9" i="47" a="1"/>
  <c r="J9" i="47" s="1"/>
  <c r="I29" i="47" a="1"/>
  <c r="I29" i="47" s="1"/>
  <c r="G12" i="47" a="1"/>
  <c r="G12" i="47" s="1"/>
  <c r="F15" i="47" a="1"/>
  <c r="F15" i="47" s="1"/>
  <c r="H18" i="47" a="1"/>
  <c r="H18" i="47" s="1"/>
  <c r="E19" i="47" a="1"/>
  <c r="E19" i="47" s="1"/>
  <c r="C13" i="47"/>
  <c r="C25" i="47"/>
  <c r="D9" i="47"/>
  <c r="C16" i="47"/>
  <c r="G25" i="47" a="1"/>
  <c r="G25" i="47" s="1"/>
  <c r="B23" i="47"/>
  <c r="K28" i="47" a="1"/>
  <c r="K28" i="47" s="1"/>
  <c r="G17" i="47" a="1"/>
  <c r="G17" i="47" s="1"/>
  <c r="I19" i="47" a="1"/>
  <c r="I19" i="47" s="1"/>
  <c r="G20" i="47" a="1"/>
  <c r="G20" i="47" s="1"/>
  <c r="B12" i="47"/>
  <c r="G24" i="47" a="1"/>
  <c r="G24" i="47" s="1"/>
  <c r="S12" i="47" a="1"/>
  <c r="S12" i="47" s="1"/>
  <c r="C27" i="47"/>
  <c r="L29" i="47" a="1"/>
  <c r="L29" i="47" s="1"/>
  <c r="N27" i="47" a="1"/>
  <c r="N27" i="47" s="1"/>
  <c r="P11" i="47" a="1"/>
  <c r="P11" i="47" s="1"/>
  <c r="I12" i="47" a="1"/>
  <c r="I12" i="47" s="1"/>
  <c r="I23" i="47" a="1"/>
  <c r="I23" i="47" s="1"/>
  <c r="M28" i="47" a="1"/>
  <c r="M28" i="47" s="1"/>
  <c r="D21" i="47"/>
  <c r="K19" i="47" a="1"/>
  <c r="K19" i="47" s="1"/>
  <c r="K15" i="47" a="1"/>
  <c r="K15" i="47" s="1"/>
  <c r="R28" i="47" a="1"/>
  <c r="R28" i="47" s="1"/>
  <c r="M29" i="47" a="1"/>
  <c r="M29" i="47" s="1"/>
  <c r="I22" i="47" a="1"/>
  <c r="I22" i="47" s="1"/>
  <c r="F29" i="47" a="1"/>
  <c r="F29" i="47" s="1"/>
  <c r="L16" i="47" a="1"/>
  <c r="L16" i="47" s="1"/>
  <c r="H22" i="47" a="1"/>
  <c r="H22" i="47" s="1"/>
  <c r="N25" i="47" a="1"/>
  <c r="N25" i="47" s="1"/>
  <c r="O16" i="47" a="1"/>
  <c r="O16" i="47" s="1"/>
  <c r="S18" i="47" a="1"/>
  <c r="S18" i="47" s="1"/>
  <c r="H28" i="47" a="1"/>
  <c r="H28" i="47" s="1"/>
  <c r="R26" i="47" a="1"/>
  <c r="R26" i="47" s="1"/>
  <c r="P24" i="47" a="1"/>
  <c r="P24" i="47" s="1"/>
  <c r="D17" i="47"/>
  <c r="G13" i="47" a="1"/>
  <c r="G13" i="47" s="1"/>
  <c r="P22" i="47" a="1"/>
  <c r="P22" i="47" s="1"/>
  <c r="D29" i="47"/>
  <c r="Q11" i="47" a="1"/>
  <c r="Q11" i="47" s="1"/>
  <c r="M16" i="47" a="1"/>
  <c r="M16" i="47" s="1"/>
  <c r="H21" i="47" a="1"/>
  <c r="H21" i="47" s="1"/>
  <c r="E25" i="47" a="1"/>
  <c r="E25" i="47" s="1"/>
  <c r="J23" i="47" a="1"/>
  <c r="J23" i="47" s="1"/>
  <c r="L15" i="47" a="1"/>
  <c r="L15" i="47" s="1"/>
  <c r="H11" i="47" a="1"/>
  <c r="H11" i="47" s="1"/>
  <c r="C29" i="47"/>
  <c r="Q13" i="47" a="1"/>
  <c r="Q13" i="47" s="1"/>
  <c r="N13" i="47" a="1"/>
  <c r="N13" i="47" s="1"/>
  <c r="D18" i="47"/>
  <c r="E17" i="47" a="1"/>
  <c r="E17" i="47" s="1"/>
  <c r="N26" i="47" a="1"/>
  <c r="N26" i="47" s="1"/>
  <c r="B28" i="47"/>
  <c r="P27" i="47" a="1"/>
  <c r="P27" i="47" s="1"/>
  <c r="F27" i="47" a="1"/>
  <c r="F27" i="47" s="1"/>
  <c r="F18" i="47" a="1"/>
  <c r="F18" i="47" s="1"/>
  <c r="D13" i="47"/>
  <c r="Q28" i="47" a="1"/>
  <c r="Q28" i="47" s="1"/>
  <c r="B18" i="47"/>
  <c r="B24" i="47"/>
  <c r="P14" i="47" a="1"/>
  <c r="P14" i="47" s="1"/>
  <c r="K22" i="47" a="1"/>
  <c r="K22" i="47" s="1"/>
  <c r="R10" i="47" a="1"/>
  <c r="R10" i="47" s="1"/>
  <c r="G28" i="47" a="1"/>
  <c r="G28" i="47" s="1"/>
  <c r="F17" i="47" a="1"/>
  <c r="F17" i="47" s="1"/>
  <c r="R21" i="47" a="1"/>
  <c r="R21" i="47" s="1"/>
  <c r="C23" i="47"/>
  <c r="S25" i="47" a="1"/>
  <c r="S25" i="47" s="1"/>
  <c r="B11" i="47"/>
  <c r="C19" i="47"/>
  <c r="C17" i="47"/>
  <c r="E27" i="47" a="1"/>
  <c r="E27" i="47" s="1"/>
  <c r="L19" i="47" a="1"/>
  <c r="L19" i="47" s="1"/>
  <c r="J18" i="47" a="1"/>
  <c r="J18" i="47" s="1"/>
  <c r="O15" i="47" a="1"/>
  <c r="O15" i="47" s="1"/>
  <c r="M15" i="47" a="1"/>
  <c r="M15" i="47" s="1"/>
  <c r="O12" i="47" a="1"/>
  <c r="O12" i="47" s="1"/>
  <c r="H27" i="47" a="1"/>
  <c r="H27" i="47" s="1"/>
  <c r="H10" i="47" a="1"/>
  <c r="H10" i="47" s="1"/>
  <c r="N11" i="47" a="1"/>
  <c r="N11" i="47" s="1"/>
  <c r="I11" i="47" a="1"/>
  <c r="I11" i="47" s="1"/>
  <c r="P17" i="47" a="1"/>
  <c r="P17" i="47" s="1"/>
  <c r="O23" i="47" a="1"/>
  <c r="O23" i="47" s="1"/>
  <c r="P10" i="47" a="1"/>
  <c r="P10" i="47" s="1"/>
  <c r="M18" i="47" a="1"/>
  <c r="M18" i="47" s="1"/>
  <c r="N23" i="47" a="1"/>
  <c r="N23" i="47" s="1"/>
  <c r="K14" i="47" a="1"/>
  <c r="K14" i="47" s="1"/>
  <c r="F12" i="47" a="1"/>
  <c r="F12" i="47" s="1"/>
  <c r="N21" i="47" a="1"/>
  <c r="N21" i="47" s="1"/>
  <c r="M17" i="47" a="1"/>
  <c r="M17" i="47" s="1"/>
  <c r="S10" i="47" a="1"/>
  <c r="S10" i="47" s="1"/>
  <c r="H29" i="47" a="1"/>
  <c r="H29" i="47" s="1"/>
  <c r="K17" i="47" a="1"/>
  <c r="K17" i="47" s="1"/>
  <c r="G27" i="47" a="1"/>
  <c r="G27" i="47" s="1"/>
  <c r="S11" i="47" a="1"/>
  <c r="S11" i="47" s="1"/>
  <c r="G16" i="47" a="1"/>
  <c r="G16" i="47" s="1"/>
  <c r="P16" i="47" a="1"/>
  <c r="P16" i="47" s="1"/>
  <c r="O22" i="47" a="1"/>
  <c r="O22" i="47" s="1"/>
  <c r="K23" i="47" a="1"/>
  <c r="K23" i="47" s="1"/>
  <c r="O29" i="47" a="1"/>
  <c r="O29" i="47" s="1"/>
  <c r="F23" i="47" a="1"/>
  <c r="F23" i="47" s="1"/>
  <c r="S26" i="47" a="1"/>
  <c r="S26" i="47" s="1"/>
  <c r="E26" i="47" a="1"/>
  <c r="E26" i="47" s="1"/>
  <c r="S28" i="47" a="1"/>
  <c r="S28" i="47" s="1"/>
  <c r="F13" i="47" a="1"/>
  <c r="F13" i="47" s="1"/>
  <c r="I14" i="47" a="1"/>
  <c r="I14" i="47" s="1"/>
  <c r="O19" i="47" a="1"/>
  <c r="O19" i="47" s="1"/>
  <c r="N15" i="47" a="1"/>
  <c r="N15" i="47" s="1"/>
  <c r="K24" i="47" a="1"/>
  <c r="K24" i="47" s="1"/>
  <c r="H15" i="47" a="1"/>
  <c r="H15" i="47" s="1"/>
  <c r="I27" i="47" a="1"/>
  <c r="I27" i="47" s="1"/>
  <c r="H13" i="47" a="1"/>
  <c r="H13" i="47" s="1"/>
  <c r="Q17" i="47" a="1"/>
  <c r="Q17" i="47" s="1"/>
  <c r="N29" i="47" a="1"/>
  <c r="N29" i="47" s="1"/>
  <c r="J10" i="47" a="1"/>
  <c r="J10" i="47" s="1"/>
  <c r="Q25" i="47" a="1"/>
  <c r="Q25" i="47" s="1"/>
  <c r="E20" i="47" a="1"/>
  <c r="E20" i="47" s="1"/>
  <c r="J26" i="47" a="1"/>
  <c r="J26" i="47" s="1"/>
  <c r="F14" i="47" a="1"/>
  <c r="F14" i="47" s="1"/>
  <c r="K13" i="47" a="1"/>
  <c r="K13" i="47" s="1"/>
  <c r="J25" i="47" a="1"/>
  <c r="J25" i="47" s="1"/>
  <c r="G10" i="47" a="1"/>
  <c r="G10" i="47" s="1"/>
  <c r="L21" i="47" a="1"/>
  <c r="L21" i="47" s="1"/>
  <c r="M12" i="47" a="1"/>
  <c r="M12" i="47" s="1"/>
  <c r="M11" i="47" a="1"/>
  <c r="M11" i="47" s="1"/>
  <c r="R24" i="47" a="1"/>
  <c r="R24" i="47" s="1"/>
  <c r="B17" i="47"/>
  <c r="H23" i="47" a="1"/>
  <c r="H23" i="47" s="1"/>
  <c r="L11" i="47" a="1"/>
  <c r="L11" i="47" s="1"/>
  <c r="I18" i="47" a="1"/>
  <c r="I18" i="47" s="1"/>
  <c r="J28" i="47" a="1"/>
  <c r="J28" i="47" s="1"/>
  <c r="P29" i="47" a="1"/>
  <c r="P29" i="47" s="1"/>
  <c r="S17" i="47" a="1"/>
  <c r="S17" i="47" s="1"/>
  <c r="S22" i="47" a="1"/>
  <c r="S22" i="47" s="1"/>
  <c r="B15" i="47"/>
  <c r="R11" i="47" a="1"/>
  <c r="R11" i="47" s="1"/>
  <c r="J14" i="47" a="1"/>
  <c r="J14" i="47" s="1"/>
  <c r="J29" i="47" a="1"/>
  <c r="J29" i="47" s="1"/>
  <c r="P20" i="47" a="1"/>
  <c r="P20" i="47" s="1"/>
  <c r="P12" i="47" a="1"/>
  <c r="P12" i="47" s="1"/>
  <c r="J22" i="47" a="1"/>
  <c r="J22" i="47" s="1"/>
  <c r="O14" i="47" a="1"/>
  <c r="O14" i="47" s="1"/>
  <c r="E10" i="47" a="1"/>
  <c r="E10" i="47" s="1"/>
  <c r="H24" i="50"/>
  <c r="H25" i="50"/>
  <c r="H23" i="50"/>
  <c r="H9" i="50"/>
  <c r="H20" i="50"/>
  <c r="H7" i="50"/>
  <c r="H18" i="50"/>
  <c r="H17" i="50"/>
  <c r="H10" i="50"/>
  <c r="H8" i="50"/>
  <c r="H6" i="50"/>
  <c r="H19" i="50"/>
  <c r="H12" i="50"/>
  <c r="H14" i="50"/>
  <c r="H4" i="50"/>
  <c r="H22" i="50"/>
  <c r="H16" i="50"/>
  <c r="H15" i="50"/>
  <c r="H27" i="50"/>
  <c r="H5" i="50"/>
  <c r="H11" i="50"/>
  <c r="H13" i="50"/>
  <c r="H26" i="50"/>
  <c r="H21" i="50"/>
  <c r="R63" i="6"/>
  <c r="R62" i="6"/>
  <c r="R61" i="6"/>
  <c r="R60" i="6"/>
  <c r="R59" i="6"/>
  <c r="R58" i="6"/>
  <c r="R57" i="6"/>
  <c r="R56" i="6"/>
  <c r="R55" i="6"/>
  <c r="R54" i="6"/>
  <c r="R53" i="6"/>
  <c r="R52" i="6"/>
  <c r="R51" i="6"/>
  <c r="R50" i="6"/>
  <c r="R49" i="6"/>
  <c r="R48" i="6"/>
  <c r="R47" i="6"/>
  <c r="R46" i="6"/>
  <c r="R45" i="6"/>
  <c r="R44" i="6"/>
  <c r="R43" i="6"/>
  <c r="R42" i="6"/>
  <c r="R41" i="6"/>
  <c r="AE35" i="51"/>
  <c r="AD35" i="51"/>
  <c r="I8" i="51"/>
  <c r="AM3" i="50"/>
  <c r="AL3" i="50"/>
  <c r="AK3" i="50"/>
  <c r="AJ3" i="50"/>
  <c r="AI3" i="50"/>
  <c r="AH3" i="50"/>
  <c r="AG3" i="50"/>
  <c r="AF3" i="50"/>
  <c r="AE3" i="50"/>
  <c r="AD3" i="50"/>
  <c r="AC3" i="50"/>
  <c r="AB3" i="50"/>
  <c r="AA3" i="50"/>
  <c r="Z3" i="50"/>
  <c r="Y3" i="50"/>
  <c r="X3" i="50"/>
  <c r="W3" i="50"/>
  <c r="V3" i="50"/>
  <c r="U3" i="50"/>
  <c r="T3" i="50"/>
  <c r="S3" i="50"/>
  <c r="R3" i="50"/>
  <c r="Q3" i="50"/>
  <c r="P3" i="50"/>
  <c r="O3" i="50"/>
  <c r="N3" i="50"/>
  <c r="M3" i="50"/>
  <c r="L3" i="50"/>
  <c r="K3" i="50"/>
  <c r="J3" i="50"/>
  <c r="I3" i="50"/>
  <c r="AM2" i="50"/>
  <c r="AM28" i="50" s="1"/>
  <c r="AL2" i="50"/>
  <c r="AL28" i="50" s="1"/>
  <c r="AK2" i="50"/>
  <c r="AK28" i="50" s="1"/>
  <c r="AJ2" i="50"/>
  <c r="AJ28" i="50" s="1"/>
  <c r="AI2" i="50"/>
  <c r="AI28" i="50" s="1"/>
  <c r="AH2" i="50"/>
  <c r="AH28" i="50" s="1"/>
  <c r="AG2" i="50"/>
  <c r="AG28" i="50" s="1"/>
  <c r="AF2" i="50"/>
  <c r="AF28" i="50" s="1"/>
  <c r="AE2" i="50"/>
  <c r="AE28" i="50" s="1"/>
  <c r="AD2" i="50"/>
  <c r="AD28" i="50" s="1"/>
  <c r="AC2" i="50"/>
  <c r="AC28" i="50" s="1"/>
  <c r="AB2" i="50"/>
  <c r="AB28" i="50" s="1"/>
  <c r="AA2" i="50"/>
  <c r="AA28" i="50" s="1"/>
  <c r="Z2" i="50"/>
  <c r="Z28" i="50" s="1"/>
  <c r="Y2" i="50"/>
  <c r="Y28" i="50" s="1"/>
  <c r="X2" i="50"/>
  <c r="X28" i="50" s="1"/>
  <c r="W2" i="50"/>
  <c r="W28" i="50" s="1"/>
  <c r="V2" i="50"/>
  <c r="V28" i="50" s="1"/>
  <c r="U2" i="50"/>
  <c r="U28" i="50" s="1"/>
  <c r="T2" i="50"/>
  <c r="T28" i="50" s="1"/>
  <c r="S2" i="50"/>
  <c r="S28" i="50" s="1"/>
  <c r="R2" i="50"/>
  <c r="R28" i="50" s="1"/>
  <c r="Q2" i="50"/>
  <c r="Q28" i="50" s="1"/>
  <c r="P2" i="50"/>
  <c r="P28" i="50" s="1"/>
  <c r="O2" i="50"/>
  <c r="O28" i="50" s="1"/>
  <c r="N2" i="50"/>
  <c r="N28" i="50" s="1"/>
  <c r="M2" i="50"/>
  <c r="M28" i="50" s="1"/>
  <c r="L2" i="50"/>
  <c r="L28" i="50" s="1"/>
  <c r="K2" i="50"/>
  <c r="K28" i="50" s="1"/>
  <c r="J2" i="50"/>
  <c r="J28" i="50" s="1"/>
  <c r="I2" i="50"/>
  <c r="I28" i="50" s="1"/>
  <c r="AL3" i="48"/>
  <c r="AK3" i="48"/>
  <c r="AJ3" i="48"/>
  <c r="AI3" i="48"/>
  <c r="AH3" i="48"/>
  <c r="AG3" i="48"/>
  <c r="AF3" i="48"/>
  <c r="AE3" i="48"/>
  <c r="AD3" i="48"/>
  <c r="AC3" i="48"/>
  <c r="AB3" i="48"/>
  <c r="AA3" i="48"/>
  <c r="Z3" i="48"/>
  <c r="Y3" i="48"/>
  <c r="X3" i="48"/>
  <c r="W3" i="48"/>
  <c r="V3" i="48"/>
  <c r="U3" i="48"/>
  <c r="T3" i="48"/>
  <c r="S3" i="48"/>
  <c r="R3" i="48"/>
  <c r="Q3" i="48"/>
  <c r="P3" i="48"/>
  <c r="O3" i="48"/>
  <c r="N3" i="48"/>
  <c r="M3" i="48"/>
  <c r="L3" i="48"/>
  <c r="K3" i="48"/>
  <c r="J3" i="48"/>
  <c r="I3" i="48"/>
  <c r="H3" i="48"/>
  <c r="AL2" i="48"/>
  <c r="AK2" i="48"/>
  <c r="AJ2" i="48"/>
  <c r="AI2" i="48"/>
  <c r="AH2" i="48"/>
  <c r="AG2" i="48"/>
  <c r="AF2" i="48"/>
  <c r="AE2" i="48"/>
  <c r="AD2" i="48"/>
  <c r="AC2" i="48"/>
  <c r="AB2" i="48"/>
  <c r="AA2" i="48"/>
  <c r="Z2" i="48"/>
  <c r="Y2" i="48"/>
  <c r="X2" i="48"/>
  <c r="W2" i="48"/>
  <c r="V2" i="48"/>
  <c r="U2" i="48"/>
  <c r="T2" i="48"/>
  <c r="S2" i="48"/>
  <c r="R2" i="48"/>
  <c r="Q2" i="48"/>
  <c r="P2" i="48"/>
  <c r="O2" i="48"/>
  <c r="N2" i="48"/>
  <c r="M2" i="48"/>
  <c r="L2" i="48"/>
  <c r="K2" i="48"/>
  <c r="J2" i="48"/>
  <c r="I2" i="48"/>
  <c r="H2" i="48"/>
  <c r="AJ4" i="50" l="1"/>
  <c r="AG27" i="50"/>
  <c r="Z11" i="50"/>
  <c r="T11" i="50"/>
  <c r="L12" i="50"/>
  <c r="M21" i="50"/>
  <c r="O5" i="50"/>
  <c r="AK23" i="50"/>
  <c r="T21" i="50"/>
  <c r="AK26" i="50"/>
  <c r="AF15" i="50"/>
  <c r="AJ8" i="50"/>
  <c r="AD26" i="50"/>
  <c r="K13" i="50"/>
  <c r="AK13" i="50"/>
  <c r="AK7" i="50"/>
  <c r="AJ21" i="50"/>
  <c r="Z26" i="50"/>
  <c r="R13" i="50"/>
  <c r="AK11" i="50"/>
  <c r="AF5" i="50"/>
  <c r="AL15" i="50"/>
  <c r="N16" i="50"/>
  <c r="AK4" i="50"/>
  <c r="AJ19" i="50"/>
  <c r="AC8" i="50"/>
  <c r="W25" i="50"/>
  <c r="R21" i="50"/>
  <c r="AM26" i="50"/>
  <c r="I13" i="50"/>
  <c r="AD11" i="50"/>
  <c r="AM5" i="50"/>
  <c r="J15" i="50"/>
  <c r="X16" i="50"/>
  <c r="R4" i="50"/>
  <c r="K19" i="50"/>
  <c r="R8" i="50"/>
  <c r="U7" i="50"/>
  <c r="W21" i="50"/>
  <c r="R26" i="50"/>
  <c r="AF13" i="50"/>
  <c r="N11" i="50"/>
  <c r="AL5" i="50"/>
  <c r="Y15" i="50"/>
  <c r="AC22" i="50"/>
  <c r="Y19" i="50"/>
  <c r="W10" i="50"/>
  <c r="V7" i="50"/>
  <c r="M24" i="50"/>
  <c r="O21" i="50"/>
  <c r="Q26" i="50"/>
  <c r="Y11" i="50"/>
  <c r="V5" i="50"/>
  <c r="N15" i="50"/>
  <c r="Q22" i="50"/>
  <c r="X14" i="50"/>
  <c r="V19" i="50"/>
  <c r="AD10" i="50"/>
  <c r="AC20" i="50"/>
  <c r="U24" i="50"/>
  <c r="V22" i="50"/>
  <c r="AA14" i="50"/>
  <c r="AH21" i="50"/>
  <c r="N21" i="50"/>
  <c r="AL26" i="50"/>
  <c r="T13" i="50"/>
  <c r="X11" i="50"/>
  <c r="M27" i="50"/>
  <c r="Z14" i="50"/>
  <c r="U6" i="50"/>
  <c r="AD17" i="50"/>
  <c r="AG9" i="50"/>
  <c r="T24" i="50"/>
  <c r="AD21" i="50"/>
  <c r="AF26" i="50"/>
  <c r="I26" i="50"/>
  <c r="AH13" i="50"/>
  <c r="L11" i="50"/>
  <c r="K27" i="50"/>
  <c r="I15" i="50"/>
  <c r="N22" i="50"/>
  <c r="AK14" i="50"/>
  <c r="N6" i="50"/>
  <c r="I21" i="50"/>
  <c r="X26" i="50"/>
  <c r="AG13" i="50"/>
  <c r="AJ13" i="50"/>
  <c r="AJ5" i="50"/>
  <c r="AF27" i="50"/>
  <c r="AH15" i="50"/>
  <c r="AK22" i="50"/>
  <c r="J12" i="50"/>
  <c r="AF17" i="50"/>
  <c r="AC9" i="50"/>
  <c r="T26" i="50"/>
  <c r="AI13" i="50"/>
  <c r="AJ27" i="50"/>
  <c r="AF16" i="50"/>
  <c r="AF4" i="50"/>
  <c r="AG12" i="50"/>
  <c r="AG6" i="50"/>
  <c r="AJ17" i="50"/>
  <c r="Z9" i="50"/>
  <c r="Z21" i="50"/>
  <c r="X13" i="50"/>
  <c r="AI11" i="50"/>
  <c r="W5" i="50"/>
  <c r="Z27" i="50"/>
  <c r="AH16" i="50"/>
  <c r="AK12" i="50"/>
  <c r="T8" i="50"/>
  <c r="AH18" i="50"/>
  <c r="S21" i="50"/>
  <c r="L26" i="50"/>
  <c r="Y13" i="50"/>
  <c r="AJ11" i="50"/>
  <c r="M5" i="50"/>
  <c r="O27" i="50"/>
  <c r="AG16" i="50"/>
  <c r="U4" i="50"/>
  <c r="AL23" i="50"/>
  <c r="R5" i="48"/>
  <c r="R4" i="48"/>
  <c r="R7" i="48"/>
  <c r="R8" i="48"/>
  <c r="R6" i="48"/>
  <c r="R21" i="48"/>
  <c r="R16" i="48"/>
  <c r="R9" i="48"/>
  <c r="R22" i="48"/>
  <c r="R17" i="48"/>
  <c r="R14" i="48"/>
  <c r="R15" i="48"/>
  <c r="R25" i="48"/>
  <c r="R19" i="48"/>
  <c r="R27" i="48"/>
  <c r="R24" i="48"/>
  <c r="R11" i="48"/>
  <c r="R28" i="48"/>
  <c r="R26" i="48"/>
  <c r="R10" i="48"/>
  <c r="R18" i="48"/>
  <c r="R23" i="48"/>
  <c r="R13" i="48"/>
  <c r="R12" i="48"/>
  <c r="R20" i="48"/>
  <c r="AD8" i="48"/>
  <c r="AD5" i="48"/>
  <c r="AD6" i="48"/>
  <c r="AD4" i="48"/>
  <c r="AD7" i="48"/>
  <c r="AD21" i="48"/>
  <c r="AD27" i="48"/>
  <c r="AD12" i="48"/>
  <c r="AD11" i="48"/>
  <c r="AD22" i="48"/>
  <c r="AD19" i="48"/>
  <c r="AD9" i="48"/>
  <c r="AD16" i="48"/>
  <c r="AD26" i="48"/>
  <c r="AD10" i="48"/>
  <c r="AD23" i="48"/>
  <c r="AD17" i="48"/>
  <c r="AD13" i="48"/>
  <c r="AD15" i="48"/>
  <c r="AD18" i="48"/>
  <c r="AD25" i="48"/>
  <c r="AD20" i="48"/>
  <c r="AD14" i="48"/>
  <c r="AD24" i="48"/>
  <c r="AD28" i="48"/>
  <c r="S5" i="48"/>
  <c r="S7" i="48"/>
  <c r="S8" i="48"/>
  <c r="S6" i="48"/>
  <c r="S4" i="48"/>
  <c r="S24" i="48"/>
  <c r="S28" i="48"/>
  <c r="S18" i="48"/>
  <c r="S23" i="48"/>
  <c r="S9" i="48"/>
  <c r="S13" i="48"/>
  <c r="S25" i="48"/>
  <c r="S10" i="48"/>
  <c r="S22" i="48"/>
  <c r="S20" i="48"/>
  <c r="S21" i="48"/>
  <c r="S17" i="48"/>
  <c r="S11" i="48"/>
  <c r="S26" i="48"/>
  <c r="S19" i="48"/>
  <c r="S27" i="48"/>
  <c r="S14" i="48"/>
  <c r="S12" i="48"/>
  <c r="S15" i="48"/>
  <c r="S16" i="48"/>
  <c r="AE5" i="48"/>
  <c r="AE4" i="48"/>
  <c r="AE7" i="48"/>
  <c r="AE8" i="48"/>
  <c r="AE6" i="48"/>
  <c r="AE14" i="48"/>
  <c r="AE21" i="48"/>
  <c r="AE22" i="48"/>
  <c r="AE10" i="48"/>
  <c r="AE11" i="48"/>
  <c r="AE12" i="48"/>
  <c r="AE16" i="48"/>
  <c r="AE28" i="48"/>
  <c r="AE23" i="48"/>
  <c r="AE13" i="48"/>
  <c r="AE15" i="48"/>
  <c r="AE20" i="48"/>
  <c r="AE27" i="48"/>
  <c r="AE17" i="48"/>
  <c r="AE24" i="48"/>
  <c r="AE26" i="48"/>
  <c r="AE25" i="48"/>
  <c r="AE18" i="48"/>
  <c r="AE9" i="48"/>
  <c r="AE19" i="48"/>
  <c r="AC21" i="50"/>
  <c r="L21" i="50"/>
  <c r="K21" i="50"/>
  <c r="M26" i="50"/>
  <c r="AE26" i="50"/>
  <c r="O13" i="50"/>
  <c r="S13" i="50"/>
  <c r="AC13" i="50"/>
  <c r="K11" i="50"/>
  <c r="AM11" i="50"/>
  <c r="AD5" i="50"/>
  <c r="T27" i="50"/>
  <c r="P27" i="50"/>
  <c r="AD27" i="50"/>
  <c r="T15" i="50"/>
  <c r="L15" i="50"/>
  <c r="P15" i="50"/>
  <c r="L16" i="50"/>
  <c r="Y22" i="50"/>
  <c r="AD22" i="50"/>
  <c r="J22" i="50"/>
  <c r="I4" i="50"/>
  <c r="L4" i="50"/>
  <c r="AF14" i="50"/>
  <c r="AB14" i="50"/>
  <c r="Q12" i="50"/>
  <c r="Y12" i="50"/>
  <c r="AF12" i="50"/>
  <c r="R19" i="50"/>
  <c r="Z19" i="50"/>
  <c r="AA19" i="50"/>
  <c r="O6" i="50"/>
  <c r="L6" i="50"/>
  <c r="AE8" i="50"/>
  <c r="AG8" i="50"/>
  <c r="AM8" i="50"/>
  <c r="I10" i="50"/>
  <c r="S10" i="50"/>
  <c r="AK10" i="50"/>
  <c r="Z17" i="50"/>
  <c r="R17" i="50"/>
  <c r="M18" i="50"/>
  <c r="O18" i="50"/>
  <c r="AL18" i="50"/>
  <c r="W7" i="50"/>
  <c r="AG7" i="50"/>
  <c r="I7" i="50"/>
  <c r="Y20" i="50"/>
  <c r="AL20" i="50"/>
  <c r="W9" i="50"/>
  <c r="AM9" i="50"/>
  <c r="I9" i="50"/>
  <c r="AA23" i="50"/>
  <c r="R23" i="50"/>
  <c r="AD23" i="50"/>
  <c r="S25" i="50"/>
  <c r="M25" i="50"/>
  <c r="I24" i="50"/>
  <c r="AH24" i="50"/>
  <c r="AB4" i="50"/>
  <c r="AE27" i="50"/>
  <c r="P10" i="50"/>
  <c r="AA25" i="50"/>
  <c r="I4" i="48"/>
  <c r="I8" i="48"/>
  <c r="I6" i="48"/>
  <c r="I5" i="48"/>
  <c r="I7" i="48"/>
  <c r="I10" i="48"/>
  <c r="I16" i="48"/>
  <c r="I20" i="48"/>
  <c r="I18" i="48"/>
  <c r="I15" i="48"/>
  <c r="I21" i="48"/>
  <c r="I19" i="48"/>
  <c r="I25" i="48"/>
  <c r="I14" i="48"/>
  <c r="I26" i="48"/>
  <c r="I17" i="48"/>
  <c r="I28" i="48"/>
  <c r="I24" i="48"/>
  <c r="I12" i="48"/>
  <c r="I9" i="48"/>
  <c r="I27" i="48"/>
  <c r="I23" i="48"/>
  <c r="I22" i="48"/>
  <c r="I13" i="48"/>
  <c r="I11" i="48"/>
  <c r="U4" i="48"/>
  <c r="U7" i="48"/>
  <c r="U6" i="48"/>
  <c r="U5" i="48"/>
  <c r="U8" i="48"/>
  <c r="U23" i="48"/>
  <c r="U22" i="48"/>
  <c r="U9" i="48"/>
  <c r="U20" i="48"/>
  <c r="U17" i="48"/>
  <c r="U28" i="48"/>
  <c r="U16" i="48"/>
  <c r="U24" i="48"/>
  <c r="U10" i="48"/>
  <c r="U25" i="48"/>
  <c r="U21" i="48"/>
  <c r="U12" i="48"/>
  <c r="U11" i="48"/>
  <c r="U26" i="48"/>
  <c r="U13" i="48"/>
  <c r="U27" i="48"/>
  <c r="U18" i="48"/>
  <c r="U14" i="48"/>
  <c r="U15" i="48"/>
  <c r="U19" i="48"/>
  <c r="AG8" i="48"/>
  <c r="AG7" i="48"/>
  <c r="AG5" i="48"/>
  <c r="AG4" i="48"/>
  <c r="AG6" i="48"/>
  <c r="AG11" i="48"/>
  <c r="AG10" i="48"/>
  <c r="AG25" i="48"/>
  <c r="AG14" i="48"/>
  <c r="AG24" i="48"/>
  <c r="AG26" i="48"/>
  <c r="AG12" i="48"/>
  <c r="AG20" i="48"/>
  <c r="AG18" i="48"/>
  <c r="AG22" i="48"/>
  <c r="AG21" i="48"/>
  <c r="AG16" i="48"/>
  <c r="AG15" i="48"/>
  <c r="AG28" i="48"/>
  <c r="AG27" i="48"/>
  <c r="AG19" i="48"/>
  <c r="AG17" i="48"/>
  <c r="AG9" i="48"/>
  <c r="AG13" i="48"/>
  <c r="AG23" i="48"/>
  <c r="J21" i="50"/>
  <c r="AE21" i="50"/>
  <c r="AL21" i="50"/>
  <c r="S26" i="50"/>
  <c r="N26" i="50"/>
  <c r="U13" i="50"/>
  <c r="AL13" i="50"/>
  <c r="J13" i="50"/>
  <c r="AG11" i="50"/>
  <c r="AF11" i="50"/>
  <c r="AL11" i="50"/>
  <c r="K5" i="50"/>
  <c r="AG5" i="50"/>
  <c r="AK27" i="50"/>
  <c r="V27" i="50"/>
  <c r="AM27" i="50"/>
  <c r="W15" i="50"/>
  <c r="X15" i="50"/>
  <c r="Q15" i="50"/>
  <c r="I16" i="50"/>
  <c r="AD16" i="50"/>
  <c r="K22" i="50"/>
  <c r="AF22" i="50"/>
  <c r="S22" i="50"/>
  <c r="O4" i="50"/>
  <c r="W4" i="50"/>
  <c r="AG4" i="50"/>
  <c r="AI14" i="50"/>
  <c r="S14" i="50"/>
  <c r="AH12" i="50"/>
  <c r="AJ12" i="50"/>
  <c r="R12" i="50"/>
  <c r="X19" i="50"/>
  <c r="Q19" i="50"/>
  <c r="P19" i="50"/>
  <c r="Q6" i="50"/>
  <c r="T6" i="50"/>
  <c r="N8" i="50"/>
  <c r="J8" i="50"/>
  <c r="Q8" i="50"/>
  <c r="AJ10" i="50"/>
  <c r="AC10" i="50"/>
  <c r="T10" i="50"/>
  <c r="AK17" i="50"/>
  <c r="AB17" i="50"/>
  <c r="J18" i="50"/>
  <c r="AG18" i="50"/>
  <c r="AM18" i="50"/>
  <c r="AB7" i="50"/>
  <c r="X7" i="50"/>
  <c r="S7" i="50"/>
  <c r="W20" i="50"/>
  <c r="M20" i="50"/>
  <c r="P9" i="50"/>
  <c r="T9" i="50"/>
  <c r="S9" i="50"/>
  <c r="S23" i="50"/>
  <c r="AI23" i="50"/>
  <c r="AB23" i="50"/>
  <c r="N25" i="50"/>
  <c r="I25" i="50"/>
  <c r="AG24" i="50"/>
  <c r="R24" i="50"/>
  <c r="AK24" i="50"/>
  <c r="S11" i="50"/>
  <c r="AB18" i="50"/>
  <c r="AE18" i="50"/>
  <c r="AE20" i="50"/>
  <c r="J6" i="48"/>
  <c r="J8" i="48"/>
  <c r="J4" i="48"/>
  <c r="J7" i="48"/>
  <c r="J5" i="48"/>
  <c r="J25" i="48"/>
  <c r="J15" i="48"/>
  <c r="J18" i="48"/>
  <c r="J13" i="48"/>
  <c r="J9" i="48"/>
  <c r="J17" i="48"/>
  <c r="J14" i="48"/>
  <c r="J20" i="48"/>
  <c r="J24" i="48"/>
  <c r="J26" i="48"/>
  <c r="J23" i="48"/>
  <c r="J12" i="48"/>
  <c r="J28" i="48"/>
  <c r="J16" i="48"/>
  <c r="J11" i="48"/>
  <c r="J22" i="48"/>
  <c r="J19" i="48"/>
  <c r="J21" i="48"/>
  <c r="J27" i="48"/>
  <c r="J10" i="48"/>
  <c r="V4" i="48"/>
  <c r="V5" i="48"/>
  <c r="V8" i="48"/>
  <c r="V7" i="48"/>
  <c r="V6" i="48"/>
  <c r="V14" i="48"/>
  <c r="V18" i="48"/>
  <c r="V21" i="48"/>
  <c r="V28" i="48"/>
  <c r="V15" i="48"/>
  <c r="V20" i="48"/>
  <c r="V12" i="48"/>
  <c r="V13" i="48"/>
  <c r="V9" i="48"/>
  <c r="V26" i="48"/>
  <c r="V24" i="48"/>
  <c r="V22" i="48"/>
  <c r="V11" i="48"/>
  <c r="V23" i="48"/>
  <c r="V25" i="48"/>
  <c r="V17" i="48"/>
  <c r="V16" i="48"/>
  <c r="V10" i="48"/>
  <c r="V27" i="48"/>
  <c r="V19" i="48"/>
  <c r="AH5" i="48"/>
  <c r="AH8" i="48"/>
  <c r="AH4" i="48"/>
  <c r="AH7" i="48"/>
  <c r="AH6" i="48"/>
  <c r="AH27" i="48"/>
  <c r="AH19" i="48"/>
  <c r="AH21" i="48"/>
  <c r="AH15" i="48"/>
  <c r="AH23" i="48"/>
  <c r="AH9" i="48"/>
  <c r="AH25" i="48"/>
  <c r="AH16" i="48"/>
  <c r="AH14" i="48"/>
  <c r="AH20" i="48"/>
  <c r="AH17" i="48"/>
  <c r="AH22" i="48"/>
  <c r="AH13" i="48"/>
  <c r="AH12" i="48"/>
  <c r="AH24" i="48"/>
  <c r="AH11" i="48"/>
  <c r="AH28" i="48"/>
  <c r="AH10" i="48"/>
  <c r="AH18" i="48"/>
  <c r="AH26" i="48"/>
  <c r="AB21" i="50"/>
  <c r="AK21" i="50"/>
  <c r="AC26" i="50"/>
  <c r="AA26" i="50"/>
  <c r="K26" i="50"/>
  <c r="M13" i="50"/>
  <c r="L13" i="50"/>
  <c r="AD13" i="50"/>
  <c r="O11" i="50"/>
  <c r="U11" i="50"/>
  <c r="AB5" i="50"/>
  <c r="U5" i="50"/>
  <c r="AH5" i="50"/>
  <c r="W27" i="50"/>
  <c r="AL27" i="50"/>
  <c r="AC27" i="50"/>
  <c r="AG15" i="50"/>
  <c r="AE15" i="50"/>
  <c r="V16" i="50"/>
  <c r="AM16" i="50"/>
  <c r="AC16" i="50"/>
  <c r="AM22" i="50"/>
  <c r="AL22" i="50"/>
  <c r="P22" i="50"/>
  <c r="AC4" i="50"/>
  <c r="Z4" i="50"/>
  <c r="O14" i="50"/>
  <c r="M14" i="50"/>
  <c r="AG14" i="50"/>
  <c r="K12" i="50"/>
  <c r="AE12" i="50"/>
  <c r="M19" i="50"/>
  <c r="W19" i="50"/>
  <c r="P6" i="50"/>
  <c r="R6" i="50"/>
  <c r="AH6" i="50"/>
  <c r="M8" i="50"/>
  <c r="W8" i="50"/>
  <c r="AL8" i="50"/>
  <c r="AM10" i="50"/>
  <c r="Z10" i="50"/>
  <c r="X17" i="50"/>
  <c r="AH17" i="50"/>
  <c r="AC17" i="50"/>
  <c r="T18" i="50"/>
  <c r="Y18" i="50"/>
  <c r="N18" i="50"/>
  <c r="T7" i="50"/>
  <c r="AM7" i="50"/>
  <c r="AB20" i="50"/>
  <c r="V20" i="50"/>
  <c r="AF20" i="50"/>
  <c r="AH9" i="50"/>
  <c r="AD9" i="50"/>
  <c r="N9" i="50"/>
  <c r="K23" i="50"/>
  <c r="V23" i="50"/>
  <c r="AH25" i="50"/>
  <c r="Q25" i="50"/>
  <c r="O25" i="50"/>
  <c r="Y24" i="50"/>
  <c r="AE24" i="50"/>
  <c r="AA24" i="50"/>
  <c r="AB6" i="50"/>
  <c r="K4" i="48"/>
  <c r="K7" i="48"/>
  <c r="K6" i="48"/>
  <c r="K5" i="48"/>
  <c r="K8" i="48"/>
  <c r="K17" i="48"/>
  <c r="K15" i="48"/>
  <c r="K23" i="48"/>
  <c r="K9" i="48"/>
  <c r="K28" i="48"/>
  <c r="K16" i="48"/>
  <c r="K13" i="48"/>
  <c r="K27" i="48"/>
  <c r="K19" i="48"/>
  <c r="K21" i="48"/>
  <c r="K10" i="48"/>
  <c r="K14" i="48"/>
  <c r="K25" i="48"/>
  <c r="K11" i="48"/>
  <c r="K22" i="48"/>
  <c r="K18" i="48"/>
  <c r="K12" i="48"/>
  <c r="K20" i="48"/>
  <c r="K24" i="48"/>
  <c r="K26" i="48"/>
  <c r="W6" i="48"/>
  <c r="W7" i="48"/>
  <c r="W4" i="48"/>
  <c r="W5" i="48"/>
  <c r="W8" i="48"/>
  <c r="W11" i="48"/>
  <c r="W10" i="48"/>
  <c r="W20" i="48"/>
  <c r="W13" i="48"/>
  <c r="W28" i="48"/>
  <c r="W21" i="48"/>
  <c r="W14" i="48"/>
  <c r="W22" i="48"/>
  <c r="W19" i="48"/>
  <c r="W17" i="48"/>
  <c r="W27" i="48"/>
  <c r="W18" i="48"/>
  <c r="W24" i="48"/>
  <c r="W25" i="48"/>
  <c r="W26" i="48"/>
  <c r="W23" i="48"/>
  <c r="W9" i="48"/>
  <c r="W12" i="48"/>
  <c r="W16" i="48"/>
  <c r="W15" i="48"/>
  <c r="AI8" i="48"/>
  <c r="AI7" i="48"/>
  <c r="AI4" i="48"/>
  <c r="AI6" i="48"/>
  <c r="AI5" i="48"/>
  <c r="AI12" i="48"/>
  <c r="AI11" i="48"/>
  <c r="AI27" i="48"/>
  <c r="AI9" i="48"/>
  <c r="AI13" i="48"/>
  <c r="AI24" i="48"/>
  <c r="AI15" i="48"/>
  <c r="AI19" i="48"/>
  <c r="AI18" i="48"/>
  <c r="AI25" i="48"/>
  <c r="AI26" i="48"/>
  <c r="AI17" i="48"/>
  <c r="AI16" i="48"/>
  <c r="AI23" i="48"/>
  <c r="AI14" i="48"/>
  <c r="AI10" i="48"/>
  <c r="AI28" i="48"/>
  <c r="AI22" i="48"/>
  <c r="AI20" i="48"/>
  <c r="AI21" i="48"/>
  <c r="V13" i="50"/>
  <c r="AH11" i="50"/>
  <c r="J5" i="50"/>
  <c r="Q27" i="50"/>
  <c r="J27" i="50"/>
  <c r="R15" i="50"/>
  <c r="AJ16" i="50"/>
  <c r="AE16" i="50"/>
  <c r="S16" i="50"/>
  <c r="L22" i="50"/>
  <c r="M22" i="50"/>
  <c r="AH22" i="50"/>
  <c r="N4" i="50"/>
  <c r="T4" i="50"/>
  <c r="R14" i="50"/>
  <c r="AH14" i="50"/>
  <c r="L14" i="50"/>
  <c r="W12" i="50"/>
  <c r="AA12" i="50"/>
  <c r="P12" i="50"/>
  <c r="AG19" i="50"/>
  <c r="T19" i="50"/>
  <c r="AA6" i="50"/>
  <c r="K6" i="50"/>
  <c r="AD8" i="50"/>
  <c r="AK8" i="50"/>
  <c r="AI8" i="50"/>
  <c r="J10" i="50"/>
  <c r="V10" i="50"/>
  <c r="AG17" i="50"/>
  <c r="AI17" i="50"/>
  <c r="M17" i="50"/>
  <c r="Q18" i="50"/>
  <c r="AC18" i="50"/>
  <c r="R7" i="50"/>
  <c r="M7" i="50"/>
  <c r="S20" i="50"/>
  <c r="O20" i="50"/>
  <c r="AM20" i="50"/>
  <c r="Q9" i="50"/>
  <c r="AI9" i="50"/>
  <c r="M9" i="50"/>
  <c r="X23" i="50"/>
  <c r="Q23" i="50"/>
  <c r="AJ25" i="50"/>
  <c r="Z25" i="50"/>
  <c r="AE25" i="50"/>
  <c r="AM24" i="50"/>
  <c r="K24" i="50"/>
  <c r="P24" i="50"/>
  <c r="AM21" i="50"/>
  <c r="AB26" i="50"/>
  <c r="AH26" i="50"/>
  <c r="N13" i="50"/>
  <c r="AB13" i="50"/>
  <c r="V11" i="50"/>
  <c r="R5" i="50"/>
  <c r="I5" i="50"/>
  <c r="Y5" i="50"/>
  <c r="U27" i="50"/>
  <c r="L27" i="50"/>
  <c r="AJ15" i="50"/>
  <c r="AB16" i="50"/>
  <c r="Q16" i="50"/>
  <c r="AI16" i="50"/>
  <c r="I22" i="50"/>
  <c r="O22" i="50"/>
  <c r="AI22" i="50"/>
  <c r="J4" i="50"/>
  <c r="S4" i="50"/>
  <c r="AD14" i="50"/>
  <c r="P14" i="50"/>
  <c r="AJ14" i="50"/>
  <c r="AC12" i="50"/>
  <c r="V12" i="50"/>
  <c r="O12" i="50"/>
  <c r="N19" i="50"/>
  <c r="AF19" i="50"/>
  <c r="X6" i="50"/>
  <c r="Y6" i="50"/>
  <c r="I6" i="50"/>
  <c r="AA8" i="50"/>
  <c r="O8" i="50"/>
  <c r="AL10" i="50"/>
  <c r="N17" i="50"/>
  <c r="T17" i="50"/>
  <c r="Q17" i="50"/>
  <c r="S18" i="50"/>
  <c r="R18" i="50"/>
  <c r="K18" i="50"/>
  <c r="AJ7" i="50"/>
  <c r="K20" i="50"/>
  <c r="P20" i="50"/>
  <c r="Z20" i="50"/>
  <c r="V9" i="50"/>
  <c r="AL9" i="50"/>
  <c r="J9" i="50"/>
  <c r="AJ23" i="50"/>
  <c r="O23" i="50"/>
  <c r="V25" i="50"/>
  <c r="U25" i="50"/>
  <c r="AB25" i="50"/>
  <c r="N24" i="50"/>
  <c r="X24" i="50"/>
  <c r="S24" i="50"/>
  <c r="S19" i="50"/>
  <c r="M6" i="48"/>
  <c r="M7" i="48"/>
  <c r="M5" i="48"/>
  <c r="M8" i="48"/>
  <c r="M4" i="48"/>
  <c r="M20" i="48"/>
  <c r="M17" i="48"/>
  <c r="M22" i="48"/>
  <c r="M14" i="48"/>
  <c r="M23" i="48"/>
  <c r="M26" i="48"/>
  <c r="M15" i="48"/>
  <c r="M13" i="48"/>
  <c r="M10" i="48"/>
  <c r="M18" i="48"/>
  <c r="M12" i="48"/>
  <c r="M21" i="48"/>
  <c r="M25" i="48"/>
  <c r="M24" i="48"/>
  <c r="M11" i="48"/>
  <c r="M27" i="48"/>
  <c r="M16" i="48"/>
  <c r="M9" i="48"/>
  <c r="M28" i="48"/>
  <c r="M19" i="48"/>
  <c r="Y5" i="48"/>
  <c r="Y7" i="48"/>
  <c r="Y4" i="48"/>
  <c r="Y8" i="48"/>
  <c r="Y6" i="48"/>
  <c r="Y23" i="48"/>
  <c r="Y22" i="48"/>
  <c r="Y12" i="48"/>
  <c r="Y26" i="48"/>
  <c r="Y25" i="48"/>
  <c r="Y18" i="48"/>
  <c r="Y13" i="48"/>
  <c r="Y27" i="48"/>
  <c r="Y14" i="48"/>
  <c r="Y15" i="48"/>
  <c r="Y24" i="48"/>
  <c r="Y21" i="48"/>
  <c r="Y11" i="48"/>
  <c r="Y16" i="48"/>
  <c r="Y28" i="48"/>
  <c r="Y9" i="48"/>
  <c r="Y20" i="48"/>
  <c r="Y19" i="48"/>
  <c r="Y17" i="48"/>
  <c r="Y10" i="48"/>
  <c r="AK7" i="48"/>
  <c r="AK5" i="48"/>
  <c r="AK8" i="48"/>
  <c r="AK4" i="48"/>
  <c r="AK6" i="48"/>
  <c r="AK22" i="48"/>
  <c r="AK25" i="48"/>
  <c r="AK15" i="48"/>
  <c r="AK12" i="48"/>
  <c r="AK11" i="48"/>
  <c r="AK9" i="48"/>
  <c r="AK24" i="48"/>
  <c r="AK17" i="48"/>
  <c r="AK19" i="48"/>
  <c r="AK18" i="48"/>
  <c r="AK16" i="48"/>
  <c r="AK14" i="48"/>
  <c r="AK20" i="48"/>
  <c r="AK23" i="48"/>
  <c r="AK13" i="48"/>
  <c r="AK21" i="48"/>
  <c r="AK10" i="48"/>
  <c r="AK27" i="48"/>
  <c r="AK26" i="48"/>
  <c r="AK28" i="48"/>
  <c r="AG21" i="50"/>
  <c r="O26" i="50"/>
  <c r="U26" i="50"/>
  <c r="J26" i="50"/>
  <c r="P13" i="50"/>
  <c r="Q13" i="50"/>
  <c r="AE13" i="50"/>
  <c r="R11" i="50"/>
  <c r="W11" i="50"/>
  <c r="P5" i="50"/>
  <c r="AK5" i="50"/>
  <c r="N5" i="50"/>
  <c r="AA27" i="50"/>
  <c r="AH27" i="50"/>
  <c r="I27" i="50"/>
  <c r="V15" i="50"/>
  <c r="AC15" i="50"/>
  <c r="R16" i="50"/>
  <c r="W16" i="50"/>
  <c r="AA16" i="50"/>
  <c r="U22" i="50"/>
  <c r="Z22" i="50"/>
  <c r="AA22" i="50"/>
  <c r="AI4" i="50"/>
  <c r="P4" i="50"/>
  <c r="V14" i="50"/>
  <c r="W14" i="50"/>
  <c r="Q14" i="50"/>
  <c r="Z12" i="50"/>
  <c r="AD12" i="50"/>
  <c r="AB12" i="50"/>
  <c r="L19" i="50"/>
  <c r="U19" i="50"/>
  <c r="AD6" i="50"/>
  <c r="AK6" i="50"/>
  <c r="J6" i="50"/>
  <c r="U8" i="50"/>
  <c r="I8" i="50"/>
  <c r="Z8" i="50"/>
  <c r="AF10" i="50"/>
  <c r="AH10" i="50"/>
  <c r="L17" i="50"/>
  <c r="S17" i="50"/>
  <c r="AA17" i="50"/>
  <c r="AK18" i="50"/>
  <c r="W18" i="50"/>
  <c r="AF18" i="50"/>
  <c r="AH7" i="50"/>
  <c r="AE7" i="50"/>
  <c r="I20" i="50"/>
  <c r="J20" i="50"/>
  <c r="U20" i="50"/>
  <c r="R9" i="50"/>
  <c r="AE9" i="50"/>
  <c r="AF9" i="50"/>
  <c r="U23" i="50"/>
  <c r="J23" i="50"/>
  <c r="AK25" i="50"/>
  <c r="AF25" i="50"/>
  <c r="Y25" i="50"/>
  <c r="O24" i="50"/>
  <c r="AF24" i="50"/>
  <c r="L24" i="50"/>
  <c r="Q6" i="48"/>
  <c r="Q5" i="48"/>
  <c r="Q4" i="48"/>
  <c r="Q7" i="48"/>
  <c r="Q8" i="48"/>
  <c r="Q9" i="48"/>
  <c r="Q23" i="48"/>
  <c r="Q10" i="48"/>
  <c r="Q24" i="48"/>
  <c r="Q14" i="48"/>
  <c r="Q15" i="48"/>
  <c r="Q28" i="48"/>
  <c r="Q11" i="48"/>
  <c r="Q21" i="48"/>
  <c r="Q17" i="48"/>
  <c r="Q22" i="48"/>
  <c r="Q19" i="48"/>
  <c r="Q13" i="48"/>
  <c r="Q16" i="48"/>
  <c r="Q25" i="48"/>
  <c r="Q27" i="48"/>
  <c r="Q18" i="48"/>
  <c r="Q26" i="48"/>
  <c r="Q20" i="48"/>
  <c r="Q12" i="48"/>
  <c r="AC4" i="48"/>
  <c r="AC6" i="48"/>
  <c r="AC7" i="48"/>
  <c r="AC8" i="48"/>
  <c r="AC5" i="48"/>
  <c r="AC20" i="48"/>
  <c r="AC24" i="48"/>
  <c r="AC28" i="48"/>
  <c r="AC10" i="48"/>
  <c r="AC18" i="48"/>
  <c r="AC16" i="48"/>
  <c r="AC12" i="48"/>
  <c r="AC23" i="48"/>
  <c r="AC21" i="48"/>
  <c r="AC9" i="48"/>
  <c r="AC11" i="48"/>
  <c r="AC27" i="48"/>
  <c r="AC15" i="48"/>
  <c r="AC17" i="48"/>
  <c r="AC19" i="48"/>
  <c r="AC26" i="48"/>
  <c r="AC13" i="48"/>
  <c r="AC14" i="48"/>
  <c r="AC25" i="48"/>
  <c r="AC22" i="48"/>
  <c r="L4" i="48"/>
  <c r="L7" i="48"/>
  <c r="L8" i="48"/>
  <c r="L6" i="48"/>
  <c r="L5" i="48"/>
  <c r="L17" i="48"/>
  <c r="L11" i="48"/>
  <c r="L22" i="48"/>
  <c r="L25" i="48"/>
  <c r="L16" i="48"/>
  <c r="L15" i="48"/>
  <c r="L18" i="48"/>
  <c r="L26" i="48"/>
  <c r="L9" i="48"/>
  <c r="L13" i="48"/>
  <c r="L28" i="48"/>
  <c r="L14" i="48"/>
  <c r="L24" i="48"/>
  <c r="L19" i="48"/>
  <c r="L27" i="48"/>
  <c r="L20" i="48"/>
  <c r="L21" i="48"/>
  <c r="L10" i="48"/>
  <c r="L12" i="48"/>
  <c r="L23" i="48"/>
  <c r="X4" i="48"/>
  <c r="X7" i="48"/>
  <c r="X8" i="48"/>
  <c r="X6" i="48"/>
  <c r="X5" i="48"/>
  <c r="X28" i="48"/>
  <c r="X11" i="48"/>
  <c r="X17" i="48"/>
  <c r="X9" i="48"/>
  <c r="X24" i="48"/>
  <c r="X25" i="48"/>
  <c r="X19" i="48"/>
  <c r="X26" i="48"/>
  <c r="X18" i="48"/>
  <c r="X15" i="48"/>
  <c r="X10" i="48"/>
  <c r="X21" i="48"/>
  <c r="X23" i="48"/>
  <c r="X13" i="48"/>
  <c r="X12" i="48"/>
  <c r="X22" i="48"/>
  <c r="X20" i="48"/>
  <c r="X16" i="48"/>
  <c r="X14" i="48"/>
  <c r="X27" i="48"/>
  <c r="AJ6" i="48"/>
  <c r="AJ8" i="48"/>
  <c r="AJ7" i="48"/>
  <c r="AJ4" i="48"/>
  <c r="AJ5" i="48"/>
  <c r="AJ27" i="48"/>
  <c r="AJ14" i="48"/>
  <c r="AJ9" i="48"/>
  <c r="AJ28" i="48"/>
  <c r="AJ23" i="48"/>
  <c r="AJ26" i="48"/>
  <c r="AJ19" i="48"/>
  <c r="AJ13" i="48"/>
  <c r="AJ15" i="48"/>
  <c r="AJ21" i="48"/>
  <c r="AJ10" i="48"/>
  <c r="AJ24" i="48"/>
  <c r="AJ11" i="48"/>
  <c r="AJ17" i="48"/>
  <c r="AJ25" i="48"/>
  <c r="AJ12" i="48"/>
  <c r="AJ20" i="48"/>
  <c r="AJ16" i="48"/>
  <c r="AJ18" i="48"/>
  <c r="AJ22" i="48"/>
  <c r="N7" i="48"/>
  <c r="N5" i="48"/>
  <c r="N4" i="48"/>
  <c r="N8" i="48"/>
  <c r="N6" i="48"/>
  <c r="N22" i="48"/>
  <c r="N27" i="48"/>
  <c r="N15" i="48"/>
  <c r="N25" i="48"/>
  <c r="N24" i="48"/>
  <c r="N18" i="48"/>
  <c r="N12" i="48"/>
  <c r="N28" i="48"/>
  <c r="N13" i="48"/>
  <c r="N11" i="48"/>
  <c r="N14" i="48"/>
  <c r="N20" i="48"/>
  <c r="N23" i="48"/>
  <c r="N17" i="48"/>
  <c r="N9" i="48"/>
  <c r="N16" i="48"/>
  <c r="N26" i="48"/>
  <c r="N21" i="48"/>
  <c r="N10" i="48"/>
  <c r="N19" i="48"/>
  <c r="Z6" i="48"/>
  <c r="Z4" i="48"/>
  <c r="Z8" i="48"/>
  <c r="Z5" i="48"/>
  <c r="Z7" i="48"/>
  <c r="Z21" i="48"/>
  <c r="Z12" i="48"/>
  <c r="Z26" i="48"/>
  <c r="Z14" i="48"/>
  <c r="Z16" i="48"/>
  <c r="Z20" i="48"/>
  <c r="Z28" i="48"/>
  <c r="Z19" i="48"/>
  <c r="Z25" i="48"/>
  <c r="Z15" i="48"/>
  <c r="Z22" i="48"/>
  <c r="Z27" i="48"/>
  <c r="Z18" i="48"/>
  <c r="Z17" i="48"/>
  <c r="Z10" i="48"/>
  <c r="Z23" i="48"/>
  <c r="Z11" i="48"/>
  <c r="Z24" i="48"/>
  <c r="Z9" i="48"/>
  <c r="Z13" i="48"/>
  <c r="AL5" i="48"/>
  <c r="AL6" i="48"/>
  <c r="AL7" i="48"/>
  <c r="AL8" i="48"/>
  <c r="AL4" i="48"/>
  <c r="AL10" i="48"/>
  <c r="AL21" i="48"/>
  <c r="AL16" i="48"/>
  <c r="AL25" i="48"/>
  <c r="AL19" i="48"/>
  <c r="AL22" i="48"/>
  <c r="AL28" i="48"/>
  <c r="AL20" i="48"/>
  <c r="AL9" i="48"/>
  <c r="AL12" i="48"/>
  <c r="AL11" i="48"/>
  <c r="AL14" i="48"/>
  <c r="AL26" i="48"/>
  <c r="AL15" i="48"/>
  <c r="AL23" i="48"/>
  <c r="AL17" i="48"/>
  <c r="AL13" i="48"/>
  <c r="AL24" i="48"/>
  <c r="AL27" i="48"/>
  <c r="AL18" i="48"/>
  <c r="AI21" i="50"/>
  <c r="U21" i="50"/>
  <c r="X21" i="50"/>
  <c r="Y26" i="50"/>
  <c r="AG26" i="50"/>
  <c r="V26" i="50"/>
  <c r="AA13" i="50"/>
  <c r="W13" i="50"/>
  <c r="Q11" i="50"/>
  <c r="M11" i="50"/>
  <c r="AA11" i="50"/>
  <c r="Q5" i="50"/>
  <c r="AI5" i="50"/>
  <c r="AA5" i="50"/>
  <c r="AB27" i="50"/>
  <c r="X27" i="50"/>
  <c r="AI15" i="50"/>
  <c r="U15" i="50"/>
  <c r="AA15" i="50"/>
  <c r="J16" i="50"/>
  <c r="AK16" i="50"/>
  <c r="AL16" i="50"/>
  <c r="W22" i="50"/>
  <c r="AB22" i="50"/>
  <c r="AD4" i="50"/>
  <c r="AM4" i="50"/>
  <c r="X4" i="50"/>
  <c r="U14" i="50"/>
  <c r="Y14" i="50"/>
  <c r="J14" i="50"/>
  <c r="T12" i="50"/>
  <c r="I12" i="50"/>
  <c r="AH19" i="50"/>
  <c r="AB19" i="50"/>
  <c r="Z6" i="50"/>
  <c r="AJ6" i="50"/>
  <c r="AM6" i="50"/>
  <c r="AB8" i="50"/>
  <c r="AF8" i="50"/>
  <c r="AI10" i="50"/>
  <c r="AG10" i="50"/>
  <c r="R10" i="50"/>
  <c r="O17" i="50"/>
  <c r="J17" i="50"/>
  <c r="I17" i="50"/>
  <c r="U18" i="50"/>
  <c r="L18" i="50"/>
  <c r="J7" i="50"/>
  <c r="Z7" i="50"/>
  <c r="AD7" i="50"/>
  <c r="X20" i="50"/>
  <c r="AK20" i="50"/>
  <c r="R20" i="50"/>
  <c r="AB9" i="50"/>
  <c r="L9" i="50"/>
  <c r="I23" i="50"/>
  <c r="AM23" i="50"/>
  <c r="L23" i="50"/>
  <c r="L25" i="50"/>
  <c r="AL25" i="50"/>
  <c r="X25" i="50"/>
  <c r="AJ24" i="50"/>
  <c r="W24" i="50"/>
  <c r="O5" i="48"/>
  <c r="O6" i="48"/>
  <c r="O8" i="48"/>
  <c r="O4" i="48"/>
  <c r="O7" i="48"/>
  <c r="O9" i="48"/>
  <c r="O17" i="48"/>
  <c r="O16" i="48"/>
  <c r="O14" i="48"/>
  <c r="O27" i="48"/>
  <c r="O22" i="48"/>
  <c r="O24" i="48"/>
  <c r="O19" i="48"/>
  <c r="O21" i="48"/>
  <c r="O18" i="48"/>
  <c r="O15" i="48"/>
  <c r="O20" i="48"/>
  <c r="O10" i="48"/>
  <c r="O26" i="48"/>
  <c r="O23" i="48"/>
  <c r="O28" i="48"/>
  <c r="O11" i="48"/>
  <c r="O12" i="48"/>
  <c r="O13" i="48"/>
  <c r="O25" i="48"/>
  <c r="AA4" i="48"/>
  <c r="AA7" i="48"/>
  <c r="AA8" i="48"/>
  <c r="AA5" i="48"/>
  <c r="AA6" i="48"/>
  <c r="AA16" i="48"/>
  <c r="AA13" i="48"/>
  <c r="AA26" i="48"/>
  <c r="AA21" i="48"/>
  <c r="AA14" i="48"/>
  <c r="AA23" i="48"/>
  <c r="AA11" i="48"/>
  <c r="AA18" i="48"/>
  <c r="AA27" i="48"/>
  <c r="AA28" i="48"/>
  <c r="AA22" i="48"/>
  <c r="AA19" i="48"/>
  <c r="AA24" i="48"/>
  <c r="AA15" i="48"/>
  <c r="AA10" i="48"/>
  <c r="AA20" i="48"/>
  <c r="AA9" i="48"/>
  <c r="AA25" i="48"/>
  <c r="AA12" i="48"/>
  <c r="AA17" i="48"/>
  <c r="Y21" i="50"/>
  <c r="Q21" i="50"/>
  <c r="AF21" i="50"/>
  <c r="AJ26" i="50"/>
  <c r="AI26" i="50"/>
  <c r="W26" i="50"/>
  <c r="AM13" i="50"/>
  <c r="Z13" i="50"/>
  <c r="AC11" i="50"/>
  <c r="I11" i="50"/>
  <c r="P11" i="50"/>
  <c r="X5" i="50"/>
  <c r="Z5" i="50"/>
  <c r="T5" i="50"/>
  <c r="N27" i="50"/>
  <c r="Y27" i="50"/>
  <c r="AB15" i="50"/>
  <c r="K15" i="50"/>
  <c r="M15" i="50"/>
  <c r="T16" i="50"/>
  <c r="P16" i="50"/>
  <c r="U16" i="50"/>
  <c r="AG22" i="50"/>
  <c r="AJ22" i="50"/>
  <c r="AA4" i="50"/>
  <c r="Y4" i="50"/>
  <c r="Q4" i="50"/>
  <c r="K14" i="50"/>
  <c r="I14" i="50"/>
  <c r="N14" i="50"/>
  <c r="X12" i="50"/>
  <c r="N12" i="50"/>
  <c r="AK19" i="50"/>
  <c r="AM19" i="50"/>
  <c r="AE19" i="50"/>
  <c r="AE6" i="50"/>
  <c r="W6" i="50"/>
  <c r="S6" i="50"/>
  <c r="K8" i="50"/>
  <c r="Y8" i="50"/>
  <c r="M10" i="50"/>
  <c r="L10" i="50"/>
  <c r="Q10" i="50"/>
  <c r="AL17" i="50"/>
  <c r="U17" i="50"/>
  <c r="P17" i="50"/>
  <c r="AD18" i="50"/>
  <c r="X18" i="50"/>
  <c r="N7" i="50"/>
  <c r="O7" i="50"/>
  <c r="P7" i="50"/>
  <c r="AG20" i="50"/>
  <c r="AJ20" i="50"/>
  <c r="AA20" i="50"/>
  <c r="X9" i="50"/>
  <c r="O9" i="50"/>
  <c r="T23" i="50"/>
  <c r="M23" i="50"/>
  <c r="AH23" i="50"/>
  <c r="K25" i="50"/>
  <c r="AG25" i="50"/>
  <c r="T25" i="50"/>
  <c r="AB24" i="50"/>
  <c r="AI24" i="50"/>
  <c r="H7" i="48"/>
  <c r="H22" i="48"/>
  <c r="H20" i="48"/>
  <c r="H13" i="48"/>
  <c r="H9" i="48"/>
  <c r="H19" i="48"/>
  <c r="H5" i="48"/>
  <c r="H14" i="48"/>
  <c r="H25" i="48"/>
  <c r="H10" i="48"/>
  <c r="H11" i="48"/>
  <c r="H16" i="48"/>
  <c r="H18" i="48"/>
  <c r="H17" i="48"/>
  <c r="H4" i="48"/>
  <c r="H26" i="48"/>
  <c r="H27" i="48"/>
  <c r="H24" i="48"/>
  <c r="H8" i="48"/>
  <c r="H6" i="48"/>
  <c r="H23" i="48"/>
  <c r="H28" i="48"/>
  <c r="H15" i="48"/>
  <c r="H21" i="48"/>
  <c r="H12" i="48"/>
  <c r="T8" i="48"/>
  <c r="T7" i="48"/>
  <c r="T5" i="48"/>
  <c r="T6" i="48"/>
  <c r="T4" i="48"/>
  <c r="T23" i="48"/>
  <c r="T21" i="48"/>
  <c r="T22" i="48"/>
  <c r="T11" i="48"/>
  <c r="T12" i="48"/>
  <c r="T14" i="48"/>
  <c r="T28" i="48"/>
  <c r="T10" i="48"/>
  <c r="T20" i="48"/>
  <c r="T26" i="48"/>
  <c r="T24" i="48"/>
  <c r="T17" i="48"/>
  <c r="T15" i="48"/>
  <c r="T13" i="48"/>
  <c r="T16" i="48"/>
  <c r="T27" i="48"/>
  <c r="T9" i="48"/>
  <c r="T18" i="48"/>
  <c r="T19" i="48"/>
  <c r="T25" i="48"/>
  <c r="AF7" i="48"/>
  <c r="AF5" i="48"/>
  <c r="AF8" i="48"/>
  <c r="AF4" i="48"/>
  <c r="AF6" i="48"/>
  <c r="AF10" i="48"/>
  <c r="AF12" i="48"/>
  <c r="AF13" i="48"/>
  <c r="AF11" i="48"/>
  <c r="AF24" i="48"/>
  <c r="AF19" i="48"/>
  <c r="AF25" i="48"/>
  <c r="AF28" i="48"/>
  <c r="AF20" i="48"/>
  <c r="AF18" i="48"/>
  <c r="AF26" i="48"/>
  <c r="AF9" i="48"/>
  <c r="AF23" i="48"/>
  <c r="AF21" i="48"/>
  <c r="AF17" i="48"/>
  <c r="AF14" i="48"/>
  <c r="AF27" i="48"/>
  <c r="AF22" i="48"/>
  <c r="AF16" i="48"/>
  <c r="AF15" i="48"/>
  <c r="P6" i="48"/>
  <c r="P4" i="48"/>
  <c r="P5" i="48"/>
  <c r="P8" i="48"/>
  <c r="P7" i="48"/>
  <c r="P19" i="48"/>
  <c r="P11" i="48"/>
  <c r="P24" i="48"/>
  <c r="P14" i="48"/>
  <c r="P21" i="48"/>
  <c r="P26" i="48"/>
  <c r="P15" i="48"/>
  <c r="P12" i="48"/>
  <c r="P25" i="48"/>
  <c r="P28" i="48"/>
  <c r="P16" i="48"/>
  <c r="P22" i="48"/>
  <c r="P27" i="48"/>
  <c r="P18" i="48"/>
  <c r="P20" i="48"/>
  <c r="P13" i="48"/>
  <c r="P23" i="48"/>
  <c r="P10" i="48"/>
  <c r="P9" i="48"/>
  <c r="P17" i="48"/>
  <c r="AB8" i="48"/>
  <c r="AB7" i="48"/>
  <c r="AB5" i="48"/>
  <c r="AB4" i="48"/>
  <c r="AB6" i="48"/>
  <c r="AB19" i="48"/>
  <c r="AB21" i="48"/>
  <c r="AB20" i="48"/>
  <c r="AB9" i="48"/>
  <c r="AB24" i="48"/>
  <c r="AB15" i="48"/>
  <c r="AB10" i="48"/>
  <c r="AB17" i="48"/>
  <c r="AB28" i="48"/>
  <c r="AB23" i="48"/>
  <c r="AB11" i="48"/>
  <c r="AB26" i="48"/>
  <c r="AB12" i="48"/>
  <c r="AB13" i="48"/>
  <c r="AB18" i="48"/>
  <c r="AB14" i="48"/>
  <c r="AB27" i="48"/>
  <c r="AB25" i="48"/>
  <c r="AB16" i="48"/>
  <c r="AB22" i="48"/>
  <c r="P21" i="50"/>
  <c r="J11" i="50"/>
  <c r="AC5" i="50"/>
  <c r="S5" i="50"/>
  <c r="AI27" i="50"/>
  <c r="S27" i="50"/>
  <c r="AM15" i="50"/>
  <c r="Z15" i="50"/>
  <c r="M16" i="50"/>
  <c r="Z16" i="50"/>
  <c r="Y16" i="50"/>
  <c r="AE22" i="50"/>
  <c r="AE4" i="50"/>
  <c r="K4" i="50"/>
  <c r="V4" i="50"/>
  <c r="AL14" i="50"/>
  <c r="AE14" i="50"/>
  <c r="S12" i="50"/>
  <c r="M12" i="50"/>
  <c r="AD19" i="50"/>
  <c r="AL19" i="50"/>
  <c r="AC19" i="50"/>
  <c r="AL6" i="50"/>
  <c r="AI6" i="50"/>
  <c r="M6" i="50"/>
  <c r="X8" i="50"/>
  <c r="P8" i="50"/>
  <c r="O10" i="50"/>
  <c r="U10" i="50"/>
  <c r="AE10" i="50"/>
  <c r="AE17" i="50"/>
  <c r="AM17" i="50"/>
  <c r="AJ18" i="50"/>
  <c r="V18" i="50"/>
  <c r="L7" i="50"/>
  <c r="AL7" i="50"/>
  <c r="AI7" i="50"/>
  <c r="AD20" i="50"/>
  <c r="T20" i="50"/>
  <c r="U9" i="50"/>
  <c r="AC23" i="50"/>
  <c r="Z23" i="50"/>
  <c r="W23" i="50"/>
  <c r="P25" i="50"/>
  <c r="AM25" i="50"/>
  <c r="AI25" i="50"/>
  <c r="J24" i="50"/>
  <c r="AL24" i="50"/>
  <c r="O15" i="50"/>
  <c r="AC14" i="50"/>
  <c r="AM12" i="50"/>
  <c r="J19" i="50"/>
  <c r="V6" i="50"/>
  <c r="L8" i="50"/>
  <c r="AA10" i="50"/>
  <c r="X10" i="50"/>
  <c r="K10" i="50"/>
  <c r="V17" i="50"/>
  <c r="Y17" i="50"/>
  <c r="AI18" i="50"/>
  <c r="I18" i="50"/>
  <c r="AC7" i="50"/>
  <c r="K7" i="50"/>
  <c r="Y7" i="50"/>
  <c r="AH20" i="50"/>
  <c r="L20" i="50"/>
  <c r="Q20" i="50"/>
  <c r="Y9" i="50"/>
  <c r="AJ9" i="50"/>
  <c r="AE23" i="50"/>
  <c r="N23" i="50"/>
  <c r="P23" i="50"/>
  <c r="AC25" i="50"/>
  <c r="AD25" i="50"/>
  <c r="AC24" i="50"/>
  <c r="Q24" i="50"/>
  <c r="V21" i="50"/>
  <c r="AA21" i="50"/>
  <c r="P26" i="50"/>
  <c r="AE11" i="50"/>
  <c r="AB11" i="50"/>
  <c r="L5" i="50"/>
  <c r="AE5" i="50"/>
  <c r="R27" i="50"/>
  <c r="AD15" i="50"/>
  <c r="AK15" i="50"/>
  <c r="S15" i="50"/>
  <c r="O16" i="50"/>
  <c r="K16" i="50"/>
  <c r="R22" i="50"/>
  <c r="X22" i="50"/>
  <c r="T22" i="50"/>
  <c r="AH4" i="50"/>
  <c r="M4" i="50"/>
  <c r="AL4" i="50"/>
  <c r="T14" i="50"/>
  <c r="AM14" i="50"/>
  <c r="AI12" i="50"/>
  <c r="AL12" i="50"/>
  <c r="U12" i="50"/>
  <c r="O19" i="50"/>
  <c r="AI19" i="50"/>
  <c r="I19" i="50"/>
  <c r="AC6" i="50"/>
  <c r="AF6" i="50"/>
  <c r="V8" i="50"/>
  <c r="AH8" i="50"/>
  <c r="S8" i="50"/>
  <c r="Y10" i="50"/>
  <c r="AB10" i="50"/>
  <c r="N10" i="50"/>
  <c r="W17" i="50"/>
  <c r="K17" i="50"/>
  <c r="P18" i="50"/>
  <c r="AA18" i="50"/>
  <c r="Z18" i="50"/>
  <c r="AF7" i="50"/>
  <c r="AA7" i="50"/>
  <c r="Q7" i="50"/>
  <c r="N20" i="50"/>
  <c r="AI20" i="50"/>
  <c r="AK9" i="50"/>
  <c r="AA9" i="50"/>
  <c r="K9" i="50"/>
  <c r="Y23" i="50"/>
  <c r="AG23" i="50"/>
  <c r="AF23" i="50"/>
  <c r="J25" i="50"/>
  <c r="R25" i="50"/>
  <c r="Z24" i="50"/>
  <c r="V24" i="50"/>
  <c r="AD24" i="50"/>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1">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valueMetadata>
</metadata>
</file>

<file path=xl/sharedStrings.xml><?xml version="1.0" encoding="utf-8"?>
<sst xmlns="http://schemas.openxmlformats.org/spreadsheetml/2006/main" count="13256" uniqueCount="2599">
  <si>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</si>
  <si>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</si>
  <si>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</si>
  <si>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</si>
  <si>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</si>
  <si>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</si>
  <si>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</si>
  <si>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</si>
  <si>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</si>
  <si>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</si>
  <si>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</si>
  <si>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</si>
  <si>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</si>
  <si>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</si>
  <si>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</si>
  <si>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</si>
  <si>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</si>
  <si>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</si>
  <si>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</si>
  <si>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</si>
  <si>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</si>
  <si>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</si>
  <si>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</si>
  <si>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</si>
  <si>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</si>
  <si>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</si>
  <si>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</si>
  <si>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</si>
  <si>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</si>
  <si>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</si>
  <si>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</si>
  <si>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</si>
  <si>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</si>
  <si>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</si>
  <si>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</si>
  <si>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</si>
  <si>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</si>
  <si>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</si>
  <si>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</si>
  <si>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</si>
  <si>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</si>
  <si>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</si>
  <si>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</si>
  <si>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</si>
  <si>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</si>
  <si>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</si>
  <si>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</si>
  <si>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</si>
  <si>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</si>
  <si>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</si>
  <si>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</si>
  <si>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</si>
  <si>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</si>
  <si>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</si>
  <si>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</si>
  <si>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</si>
  <si>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</si>
  <si>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</si>
  <si>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</si>
  <si>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</si>
  <si>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</si>
  <si>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</si>
  <si>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</si>
  <si>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</si>
  <si>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</si>
  <si>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</si>
  <si>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</si>
  <si>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</si>
  <si>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</si>
  <si>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</si>
  <si>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</si>
  <si>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</si>
  <si>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</si>
  <si>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</si>
  <si>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</si>
  <si>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</si>
  <si>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</si>
  <si>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</si>
  <si>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</si>
  <si>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</si>
  <si>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</si>
  <si>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</si>
  <si>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</si>
  <si>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</si>
  <si>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</si>
  <si>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</si>
  <si>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</si>
  <si>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</si>
  <si>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</si>
  <si>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</si>
  <si>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</si>
  <si>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</si>
  <si>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</si>
  <si>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</si>
  <si>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</si>
  <si>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</si>
  <si>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</si>
  <si>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</si>
  <si>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</si>
  <si>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</si>
  <si>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</si>
  <si>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</si>
  <si>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</si>
  <si>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</si>
  <si>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</si>
  <si>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</si>
  <si>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</si>
  <si>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</si>
  <si>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</si>
  <si>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</si>
  <si>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</si>
  <si>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</si>
  <si>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</si>
  <si>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</si>
  <si>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</si>
  <si>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</si>
  <si>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</si>
  <si>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</si>
  <si>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</si>
  <si>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</si>
  <si>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</si>
  <si>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</si>
  <si>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</si>
  <si>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</si>
  <si>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</si>
  <si>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</si>
  <si>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</si>
  <si>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</si>
  <si>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</si>
  <si>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</si>
  <si>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</si>
  <si>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</si>
  <si>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</si>
  <si>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</si>
  <si>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</si>
  <si>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</si>
  <si>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</si>
  <si>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</si>
  <si>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</si>
  <si>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</si>
  <si>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</si>
  <si>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</si>
  <si>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</si>
  <si>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</si>
  <si>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</si>
  <si>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</si>
  <si>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</si>
  <si>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</si>
  <si>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</si>
  <si>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</si>
  <si>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</si>
  <si>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</si>
  <si>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</si>
  <si>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</si>
  <si>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</si>
  <si>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</si>
  <si>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</si>
  <si>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</si>
  <si>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</si>
  <si>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</si>
  <si>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</si>
  <si>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</si>
  <si>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</si>
  <si>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</si>
  <si>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</si>
  <si>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</si>
  <si>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</si>
  <si>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</si>
  <si>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</si>
  <si>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</si>
  <si>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</si>
  <si>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</si>
  <si>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</si>
  <si>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</si>
  <si>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</si>
  <si>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</si>
  <si>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</si>
  <si>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</si>
  <si>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</si>
  <si>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</si>
  <si>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</si>
  <si>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</si>
  <si>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</si>
  <si>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</si>
  <si>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</si>
  <si>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</si>
  <si>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</si>
  <si>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</si>
  <si>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</si>
  <si>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</si>
  <si>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</si>
  <si>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</si>
  <si>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</si>
  <si>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</si>
  <si>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</si>
  <si>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</si>
  <si>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</si>
  <si>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</si>
  <si>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</si>
  <si>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</si>
  <si>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</si>
  <si>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</si>
  <si>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</si>
  <si>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</si>
  <si>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</si>
  <si>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</si>
  <si>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</si>
  <si>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</si>
  <si>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</si>
  <si>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</si>
  <si>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</si>
  <si>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</si>
  <si>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</si>
  <si>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</si>
  <si>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</si>
  <si>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</si>
  <si>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</si>
  <si>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</si>
  <si>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</si>
  <si>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</si>
  <si>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</si>
  <si>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</si>
  <si>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</si>
  <si>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</si>
  <si>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</si>
  <si>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</si>
  <si>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</si>
  <si>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</si>
  <si>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</si>
  <si>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</si>
  <si>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</si>
  <si>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</si>
  <si>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</si>
  <si>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</si>
  <si>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</si>
  <si>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</si>
  <si>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</si>
  <si>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</si>
  <si>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</si>
  <si>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</si>
  <si>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</si>
  <si>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</si>
  <si>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</si>
  <si>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</si>
  <si>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</si>
  <si>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</si>
  <si>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</si>
  <si>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</si>
  <si>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</si>
  <si>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</si>
  <si>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</si>
  <si>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</si>
  <si>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</si>
  <si>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</si>
  <si>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</si>
  <si>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</si>
  <si>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</si>
  <si>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</si>
  <si>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</si>
  <si>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</si>
  <si>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</si>
  <si>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</si>
  <si>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</si>
  <si>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</si>
  <si>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</si>
  <si>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</si>
  <si>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</si>
  <si>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</si>
  <si>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</si>
  <si>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</si>
  <si>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</si>
  <si>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</si>
  <si>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</si>
  <si>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</si>
  <si>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</si>
  <si>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</si>
  <si>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</si>
  <si>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</si>
  <si>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</si>
  <si>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</si>
  <si>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</si>
  <si>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</si>
  <si>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</si>
  <si>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</si>
  <si>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</si>
  <si>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</si>
  <si>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</si>
  <si>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</si>
  <si>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</si>
  <si>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</si>
  <si>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</si>
  <si>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</si>
  <si>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</si>
  <si>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</si>
  <si>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</si>
  <si>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</si>
  <si>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</si>
  <si>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</si>
  <si>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</si>
  <si>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</si>
  <si>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</si>
  <si>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</si>
  <si>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</si>
  <si>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</si>
  <si>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</si>
  <si>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</si>
  <si>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</si>
  <si>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</si>
  <si>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</si>
  <si>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</si>
  <si>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</si>
  <si>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</si>
  <si>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</si>
  <si>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</si>
  <si>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</si>
  <si>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</si>
  <si>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</si>
  <si>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</si>
  <si>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</si>
  <si>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</si>
  <si>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</si>
  <si>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</si>
  <si>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</si>
  <si>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</si>
  <si>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</si>
  <si>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</si>
  <si>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</si>
  <si>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</si>
  <si>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</si>
  <si>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</si>
  <si>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</si>
  <si>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</si>
  <si>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</si>
  <si>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</si>
  <si>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</si>
  <si>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</si>
  <si>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</si>
  <si>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</si>
  <si>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</si>
  <si>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</si>
  <si>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</si>
  <si>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</si>
  <si>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</si>
  <si>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</si>
  <si>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</si>
  <si>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</si>
  <si>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</si>
  <si>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</si>
  <si>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</si>
  <si>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</si>
  <si>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</si>
  <si>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</si>
  <si>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</si>
  <si>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</si>
  <si>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</si>
  <si>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</si>
  <si>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</si>
  <si>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</si>
  <si>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</si>
  <si>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</si>
  <si>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</si>
  <si>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</si>
  <si>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</si>
  <si>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</si>
  <si>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</si>
  <si>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</si>
  <si>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</si>
  <si>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</si>
  <si>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</si>
  <si>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</si>
  <si>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</si>
  <si>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</si>
  <si>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</si>
  <si>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</si>
  <si>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</si>
  <si>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</si>
  <si>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</si>
  <si>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</si>
  <si>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</si>
  <si>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</si>
  <si>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</si>
  <si>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</si>
  <si>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</si>
  <si>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</si>
  <si>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</si>
  <si>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</si>
  <si>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</si>
  <si>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</si>
  <si>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</si>
  <si>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</si>
  <si>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</si>
  <si>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</si>
  <si>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</si>
  <si>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</si>
  <si>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</si>
  <si>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</si>
  <si>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</si>
  <si>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</si>
  <si>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</si>
  <si>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</si>
  <si>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</si>
  <si>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</si>
  <si>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</si>
  <si>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</si>
  <si>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</si>
  <si>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</si>
  <si>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</si>
  <si>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</si>
  <si>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</si>
  <si>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</si>
  <si>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</si>
  <si>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</si>
  <si>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</si>
  <si>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</si>
  <si>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</si>
  <si>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</si>
  <si>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</si>
  <si>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</si>
  <si>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</si>
  <si>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</si>
  <si>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</si>
  <si>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</si>
  <si>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</si>
  <si>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</si>
  <si>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</si>
  <si>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</si>
  <si>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</si>
  <si>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</si>
  <si>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</si>
  <si>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</si>
  <si>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</si>
  <si>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</si>
  <si>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</si>
  <si>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</si>
  <si>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</si>
  <si>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</si>
  <si>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</si>
  <si>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</si>
  <si>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</si>
  <si>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</si>
  <si>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</si>
  <si>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</si>
  <si>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</si>
  <si>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</si>
  <si>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</si>
  <si>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</si>
  <si>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</si>
  <si>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</si>
  <si>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</si>
  <si>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</si>
  <si>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</si>
  <si>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</si>
  <si>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</si>
  <si>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</si>
  <si>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</si>
  <si>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</si>
  <si>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</si>
  <si>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</si>
  <si>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</si>
  <si>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</si>
  <si>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</si>
  <si>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</si>
  <si>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</si>
  <si>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</si>
  <si>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</si>
  <si>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</si>
  <si>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</si>
  <si>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</si>
  <si>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</si>
  <si>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</si>
  <si>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</si>
  <si>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</si>
  <si>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</si>
  <si>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</si>
  <si>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</si>
  <si>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</si>
  <si>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</si>
  <si>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</si>
  <si>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</si>
  <si>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</si>
  <si>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</si>
  <si>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</si>
  <si>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</si>
  <si>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</si>
  <si>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</si>
  <si>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</si>
  <si>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</si>
  <si>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</si>
  <si>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</si>
  <si>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</si>
  <si>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</si>
  <si>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</si>
  <si>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</si>
  <si>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</si>
  <si>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</si>
  <si>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</si>
  <si>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</si>
  <si>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</si>
  <si>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</si>
  <si>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</si>
  <si>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</si>
  <si>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</si>
  <si>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</si>
  <si>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</si>
  <si>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</si>
  <si>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</si>
  <si>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</si>
  <si>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</si>
  <si>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</si>
  <si>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</si>
  <si>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</si>
  <si>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</si>
  <si>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</si>
  <si>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</si>
  <si>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</si>
  <si>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</si>
  <si>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</si>
  <si>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</si>
  <si>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</si>
  <si>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</si>
  <si>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</si>
  <si>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</si>
  <si>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</si>
  <si>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</si>
  <si>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</si>
  <si>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</si>
  <si>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</si>
  <si>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</si>
  <si>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</si>
  <si>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</si>
  <si>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</si>
  <si>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</si>
  <si>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</si>
  <si>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</si>
  <si>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</si>
  <si>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</si>
  <si>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</si>
  <si>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</si>
  <si>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</si>
  <si>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</si>
  <si>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</si>
  <si>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</si>
  <si>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</si>
  <si>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</si>
  <si>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</si>
  <si>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</si>
  <si>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</si>
  <si>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</si>
  <si>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</si>
  <si>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</si>
  <si>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</si>
  <si>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</si>
  <si>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</si>
  <si>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</si>
  <si>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</si>
  <si>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</si>
  <si>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</si>
  <si>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</si>
  <si>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</si>
  <si>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</si>
  <si>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</si>
  <si>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</si>
  <si>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</si>
  <si>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</si>
  <si>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</si>
  <si>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</si>
  <si>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</si>
  <si>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</si>
  <si>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</si>
  <si>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</si>
  <si>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</si>
  <si>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</si>
  <si>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</si>
  <si>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</si>
  <si>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</si>
  <si>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</si>
  <si>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</si>
  <si>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</si>
  <si>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</si>
  <si>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</si>
  <si>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</si>
  <si>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</si>
  <si>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</si>
  <si>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</si>
  <si>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</si>
  <si>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</si>
  <si>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</si>
  <si>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</si>
  <si>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</si>
  <si>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</si>
  <si>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</si>
  <si>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</si>
  <si>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</si>
  <si>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</si>
  <si>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</si>
  <si>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</si>
  <si>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</si>
  <si>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</si>
  <si>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</si>
  <si>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</si>
  <si>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</si>
  <si>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</si>
  <si>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</si>
  <si>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</si>
  <si>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</si>
  <si>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</si>
  <si>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</si>
  <si>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</si>
  <si>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</si>
  <si>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</si>
  <si>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</si>
  <si>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</si>
  <si>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</si>
  <si>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</si>
  <si>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</si>
  <si>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</si>
  <si>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</si>
  <si>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</si>
  <si>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</si>
  <si>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</si>
  <si>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</si>
  <si>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</si>
  <si>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</si>
  <si>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</si>
  <si>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</si>
  <si>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</si>
  <si>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</si>
  <si>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</si>
  <si>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</si>
  <si>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</si>
  <si>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</si>
  <si>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</si>
  <si>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</si>
  <si>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</si>
  <si>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</si>
  <si>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</si>
  <si>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</si>
  <si>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</si>
  <si>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</si>
  <si>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</si>
  <si>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</si>
  <si>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</si>
  <si>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</si>
  <si>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</si>
  <si>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</si>
  <si>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</si>
  <si>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</si>
  <si>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</si>
  <si>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</si>
  <si>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</si>
  <si>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</si>
  <si>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</si>
  <si>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</si>
  <si>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</si>
  <si>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</si>
  <si>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</si>
  <si>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</si>
  <si>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</si>
  <si>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</si>
  <si>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</si>
  <si>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</si>
  <si>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</si>
  <si>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</si>
  <si>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</si>
  <si>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</si>
  <si>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</si>
  <si>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</si>
  <si>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</si>
  <si>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</si>
  <si>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</si>
  <si>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</si>
  <si>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</si>
  <si>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</si>
  <si>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</si>
  <si>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</si>
  <si>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</si>
  <si>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</si>
  <si>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</si>
  <si>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</si>
  <si>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</si>
  <si>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</si>
  <si>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</si>
  <si>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</si>
  <si>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</si>
  <si>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</si>
  <si>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</si>
  <si>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</si>
  <si>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</si>
  <si>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</si>
  <si>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</si>
  <si>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</si>
  <si>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</si>
  <si>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</si>
  <si>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</si>
  <si>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</si>
  <si>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</si>
  <si>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</si>
  <si>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</si>
  <si>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</si>
  <si>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</si>
  <si>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</si>
  <si>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</si>
  <si>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</si>
  <si>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</si>
  <si>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</si>
  <si>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</si>
  <si>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</si>
  <si>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</si>
  <si>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</si>
  <si>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</si>
  <si>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</si>
  <si>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</si>
  <si>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</si>
  <si>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</si>
  <si>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</si>
  <si>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</si>
  <si>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</si>
  <si>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</si>
  <si>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</si>
  <si>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</si>
  <si>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</si>
  <si>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</si>
  <si>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</si>
  <si>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</si>
  <si>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</si>
  <si>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</si>
  <si>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</si>
  <si>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</si>
  <si>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</si>
  <si>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</si>
  <si>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</si>
  <si>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</si>
  <si>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</si>
  <si>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</si>
  <si>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</si>
  <si>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</si>
  <si>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</si>
  <si>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</si>
  <si>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</si>
  <si>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</si>
  <si>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</si>
  <si>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</si>
  <si>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</si>
  <si>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</si>
  <si>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</si>
  <si>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</si>
  <si>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</si>
  <si>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</si>
  <si>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</si>
  <si>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</si>
  <si>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</si>
  <si>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</si>
  <si>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</si>
  <si>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</si>
  <si>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</si>
  <si>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</si>
  <si>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</si>
  <si>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</si>
  <si>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</si>
  <si>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</si>
  <si>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</si>
  <si>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</si>
  <si>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</si>
  <si>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</si>
  <si>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</si>
  <si>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</si>
  <si>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</si>
  <si>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</si>
  <si>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</si>
  <si>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</si>
  <si>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</si>
  <si>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</si>
  <si>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</si>
  <si>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</si>
  <si>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</si>
  <si>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</si>
  <si>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</si>
  <si>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</si>
  <si>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</si>
  <si>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</si>
  <si>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</si>
  <si>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</si>
  <si>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</si>
  <si>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</si>
  <si>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</si>
  <si>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</si>
  <si>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</si>
  <si>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</si>
  <si>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</si>
  <si>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</si>
  <si>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</si>
  <si>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</si>
  <si>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</si>
  <si>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</si>
  <si>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</si>
  <si>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</si>
  <si>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</si>
  <si>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</si>
  <si>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</si>
  <si>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</si>
  <si>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</si>
  <si>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</si>
  <si>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</si>
  <si>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</si>
  <si>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</si>
  <si>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</si>
  <si>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</si>
  <si>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</si>
  <si>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</si>
  <si>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</si>
  <si>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</si>
  <si>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</si>
  <si>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</si>
  <si>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</si>
  <si>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</si>
  <si>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</si>
  <si>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</si>
  <si>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</si>
  <si>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</si>
  <si>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</si>
  <si>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</si>
  <si>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</si>
  <si>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</si>
  <si>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</si>
  <si>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</si>
  <si>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</si>
  <si>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</si>
  <si>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</si>
  <si>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</si>
  <si>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</si>
  <si>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</si>
  <si>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</si>
  <si>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</si>
  <si>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</si>
  <si>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</si>
  <si>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</si>
  <si>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</si>
  <si>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</si>
  <si>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</si>
  <si>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</si>
  <si>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</si>
  <si>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</si>
  <si>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</si>
  <si>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</si>
  <si>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</si>
  <si>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</si>
  <si>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</si>
  <si>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</si>
  <si>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</si>
  <si>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</si>
  <si>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</si>
  <si>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</si>
  <si>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</si>
  <si>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</si>
  <si>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</si>
  <si>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</si>
  <si>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</si>
  <si>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</si>
  <si>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</si>
  <si>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</si>
  <si>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</si>
  <si>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</si>
  <si>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</si>
  <si>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</si>
  <si>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</si>
  <si>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</si>
  <si>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</si>
  <si>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</si>
  <si>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</si>
  <si>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</si>
  <si>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</si>
  <si>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</si>
  <si>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</si>
  <si>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</si>
  <si>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</si>
  <si>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</si>
  <si>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</si>
  <si>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</si>
  <si>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</si>
  <si>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</si>
  <si>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</si>
  <si>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</si>
  <si>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</si>
  <si>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</si>
  <si>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</si>
  <si>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</si>
  <si>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</si>
  <si>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</si>
  <si>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</si>
  <si>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</si>
  <si>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</si>
  <si>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</si>
  <si>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</si>
  <si>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</si>
  <si>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</si>
  <si>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</si>
  <si>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</si>
  <si>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</si>
  <si>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</si>
  <si>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</si>
  <si>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</si>
  <si>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</si>
  <si>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</si>
  <si>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</si>
  <si>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</si>
  <si>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</si>
  <si>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</si>
  <si>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</si>
  <si>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</si>
  <si>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</si>
  <si>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</si>
  <si>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</si>
  <si>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</si>
  <si>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</si>
  <si>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</si>
  <si>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</si>
  <si>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</si>
  <si>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</si>
  <si>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</si>
  <si>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</si>
  <si>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</si>
  <si>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</si>
  <si>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</si>
  <si>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</si>
  <si>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</si>
  <si>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</si>
  <si>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</si>
  <si>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</si>
  <si>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</si>
  <si>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</si>
  <si>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</si>
  <si>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</si>
  <si>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</si>
  <si>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</si>
  <si>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</si>
  <si>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</si>
  <si>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</si>
  <si>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</si>
  <si>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</si>
  <si>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</si>
  <si>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</si>
  <si>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</si>
  <si>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</si>
  <si>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</si>
  <si>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</si>
  <si>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</si>
  <si>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</si>
  <si>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</si>
  <si>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</si>
  <si>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</si>
  <si>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</si>
  <si>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</si>
  <si>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</si>
  <si>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</si>
  <si>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</si>
  <si>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</si>
  <si>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</si>
  <si>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</si>
  <si>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</si>
  <si>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</si>
  <si>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</si>
  <si>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</si>
  <si>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</si>
  <si>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</si>
  <si>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</si>
  <si>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</si>
  <si>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</si>
  <si>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</si>
  <si>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</si>
  <si>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</si>
  <si>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</si>
  <si>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</si>
  <si>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</si>
  <si>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</si>
  <si>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</si>
  <si>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</si>
  <si>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</si>
  <si>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</si>
  <si>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</si>
  <si>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</si>
  <si>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</si>
  <si>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</si>
  <si>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</si>
  <si>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</si>
  <si>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</si>
  <si>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</si>
  <si>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</si>
  <si>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</si>
  <si>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</si>
  <si>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</si>
  <si>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</si>
  <si>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</si>
  <si>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</si>
  <si>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</si>
  <si>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</si>
  <si>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</si>
  <si>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</si>
  <si>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</si>
  <si>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</si>
  <si>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</si>
  <si>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</si>
  <si>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</si>
  <si>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</si>
  <si>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</si>
  <si>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</si>
  <si>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</si>
  <si>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</si>
  <si>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</si>
  <si>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</si>
  <si>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</si>
  <si>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</si>
  <si>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</si>
  <si>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</si>
  <si>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</si>
  <si>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</si>
  <si>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</si>
  <si>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</si>
  <si>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</si>
  <si>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</si>
  <si>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</si>
  <si>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</si>
  <si>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</si>
  <si>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</si>
  <si>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</si>
  <si>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</si>
  <si>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</si>
  <si>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</si>
  <si>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</si>
  <si>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</si>
  <si>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</si>
  <si>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</si>
  <si>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</si>
  <si>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</si>
  <si>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</si>
  <si>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</si>
  <si>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</si>
  <si>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</si>
  <si>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</si>
  <si>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</si>
  <si>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</si>
  <si>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</si>
  <si>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</si>
  <si>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</si>
  <si>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</si>
  <si>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</si>
  <si>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</si>
  <si>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</si>
  <si>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</si>
  <si>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</si>
  <si>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</si>
  <si>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</si>
  <si>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</si>
  <si>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</si>
  <si>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</si>
  <si>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</si>
  <si>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</si>
  <si>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</si>
  <si>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</si>
  <si>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</si>
  <si>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</si>
  <si>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</si>
  <si>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</si>
  <si>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</si>
  <si>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</si>
  <si>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</si>
  <si>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</si>
  <si>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</si>
  <si>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</si>
  <si>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</si>
  <si>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</si>
  <si>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</si>
  <si>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</si>
  <si>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</si>
  <si>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</si>
  <si>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</si>
  <si>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</si>
  <si>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</si>
  <si>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</si>
  <si>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</si>
  <si>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</si>
  <si>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</si>
  <si>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</si>
  <si>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</si>
  <si>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</si>
  <si>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</si>
  <si>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</si>
  <si>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</si>
  <si>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</si>
  <si>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</si>
  <si>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</si>
  <si>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</si>
  <si>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</si>
  <si>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</si>
  <si>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</si>
  <si>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</si>
  <si>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</si>
  <si>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</si>
  <si>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</si>
  <si>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</si>
  <si>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</si>
  <si>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</si>
  <si>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</si>
  <si>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</si>
  <si>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</si>
  <si>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</si>
  <si>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</si>
  <si>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</si>
  <si>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</si>
  <si>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</si>
  <si>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</si>
  <si>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</si>
  <si>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</si>
  <si>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</si>
  <si>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</si>
  <si>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</si>
  <si>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</si>
  <si>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</si>
  <si>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</si>
  <si>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</si>
  <si>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</si>
  <si>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</si>
  <si>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</si>
  <si>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</si>
  <si>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</si>
  <si>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</si>
  <si>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</si>
  <si>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</si>
  <si>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</si>
  <si>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</si>
  <si>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</si>
  <si>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</si>
  <si>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</si>
  <si>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</si>
  <si>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</si>
  <si>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</si>
  <si>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</si>
  <si>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</si>
  <si>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</si>
  <si>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</si>
  <si>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</si>
  <si>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</si>
  <si>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</si>
  <si>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</si>
  <si>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</si>
  <si>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</si>
  <si>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</si>
  <si>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</si>
  <si>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</si>
  <si>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</si>
  <si>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</si>
  <si>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</si>
  <si>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</si>
  <si>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</si>
  <si>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</si>
  <si>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</si>
  <si>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</si>
  <si>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</si>
  <si>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</si>
  <si>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</si>
  <si>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</si>
  <si>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</si>
  <si>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</si>
  <si>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</si>
  <si>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</si>
  <si>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</si>
  <si>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</si>
  <si>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</si>
  <si>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</si>
  <si>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</si>
  <si>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</si>
  <si>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</si>
  <si>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</si>
  <si>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</si>
  <si>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</si>
  <si>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</si>
  <si>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</si>
  <si>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</si>
  <si>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</si>
  <si>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</si>
  <si>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</si>
  <si>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</si>
  <si>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</si>
  <si>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</si>
  <si>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</si>
  <si>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</si>
  <si>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</si>
  <si>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</si>
  <si>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</si>
  <si>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</si>
  <si>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</si>
  <si>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</si>
  <si>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</si>
  <si>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</si>
  <si>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</si>
  <si>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</si>
  <si>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</si>
  <si>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</si>
  <si>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</si>
  <si>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</si>
  <si>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</si>
  <si>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</si>
  <si>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</si>
  <si>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</si>
  <si>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</si>
  <si>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</si>
  <si>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</si>
  <si>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</si>
  <si>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</si>
  <si>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</si>
  <si>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</si>
  <si>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</si>
  <si>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</si>
  <si>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</si>
  <si>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</si>
  <si>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</si>
  <si>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</si>
  <si>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</si>
  <si>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</si>
  <si>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</si>
  <si>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</si>
  <si>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</si>
  <si>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</si>
  <si>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</si>
  <si>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</si>
  <si>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</si>
  <si>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</si>
  <si>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</si>
  <si>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</si>
  <si>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</si>
  <si>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</si>
  <si>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</si>
  <si>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</si>
  <si>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</si>
  <si>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</si>
  <si>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</si>
  <si>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</si>
  <si>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</si>
  <si>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</si>
  <si>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</si>
  <si>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</si>
  <si>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</si>
  <si>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</si>
  <si>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</si>
  <si>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</si>
  <si>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</si>
  <si>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</si>
  <si>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</si>
  <si>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</si>
  <si>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</si>
  <si>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</si>
  <si>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</si>
  <si>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</si>
  <si>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</si>
  <si>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</si>
  <si>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</si>
  <si>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</si>
  <si>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</si>
  <si>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</si>
  <si>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</si>
  <si>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</si>
  <si>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</si>
  <si>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</si>
  <si>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</si>
  <si>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</si>
  <si>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</si>
  <si>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</si>
  <si>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</si>
  <si>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</si>
  <si>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</si>
  <si>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</si>
  <si>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</si>
  <si>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</si>
  <si>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</si>
  <si>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</si>
  <si>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</si>
  <si>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</si>
  <si>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</si>
  <si>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</si>
  <si>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</si>
  <si>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</si>
  <si>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</si>
  <si>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</si>
  <si>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</si>
  <si>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</si>
  <si>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</si>
  <si>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</si>
  <si>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</si>
  <si>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</si>
  <si>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</si>
  <si>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</si>
  <si>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</si>
  <si>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</si>
  <si>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</si>
  <si>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</si>
  <si>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</si>
  <si>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</si>
  <si>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</si>
  <si>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</si>
  <si>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</si>
  <si>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</si>
  <si>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</si>
  <si>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</si>
  <si>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</si>
  <si>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</si>
  <si>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</si>
  <si>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</si>
  <si>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</si>
  <si>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</si>
  <si>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</si>
  <si>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</si>
  <si>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</si>
  <si>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</si>
  <si>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</si>
  <si>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</si>
  <si>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</si>
  <si>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</si>
  <si>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</si>
  <si>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</si>
  <si>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</si>
  <si>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</si>
  <si>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</si>
  <si>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</si>
  <si>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</si>
  <si>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</si>
  <si>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</si>
  <si>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</si>
  <si>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</si>
  <si>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</si>
  <si>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</si>
  <si>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</si>
  <si>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</si>
  <si>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</si>
  <si>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</si>
  <si>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</si>
  <si>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</si>
  <si>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</si>
  <si>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</si>
  <si>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</si>
  <si>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</si>
  <si>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</si>
  <si>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</si>
  <si>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</si>
  <si>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</si>
  <si>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</si>
  <si>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</si>
  <si>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</si>
  <si>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</si>
  <si>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</si>
  <si>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</si>
  <si>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</si>
  <si>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</si>
  <si>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</si>
  <si>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</si>
  <si>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</si>
  <si>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</si>
  <si>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</si>
  <si>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</si>
  <si>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</si>
  <si>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</si>
  <si>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</si>
  <si>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</si>
  <si>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</si>
  <si>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</si>
  <si>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</si>
  <si>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</si>
  <si>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</si>
  <si>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</si>
  <si>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</si>
  <si>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</si>
  <si>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</si>
  <si>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</si>
  <si>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</si>
  <si>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</si>
  <si>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</si>
  <si>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</si>
  <si>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</si>
  <si>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</si>
  <si>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</si>
  <si>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</si>
  <si>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</si>
  <si>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</si>
  <si>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</si>
  <si>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</si>
  <si>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</si>
  <si>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</si>
  <si>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</si>
  <si>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</si>
  <si>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</si>
  <si>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</si>
  <si>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</si>
  <si>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</si>
  <si>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</si>
  <si>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</si>
  <si>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</si>
  <si>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</si>
  <si>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</si>
  <si>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</si>
  <si>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</si>
  <si>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</si>
  <si>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</si>
  <si>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</si>
  <si>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</si>
  <si>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</si>
  <si>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</si>
  <si>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</si>
  <si>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</si>
  <si>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</si>
  <si>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</si>
  <si>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</si>
  <si>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</si>
  <si>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</si>
  <si>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</si>
  <si>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</si>
  <si>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</si>
  <si>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</si>
  <si>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</si>
  <si>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</si>
  <si>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</si>
  <si>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</si>
  <si>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</si>
  <si>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</si>
  <si>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</si>
  <si>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</si>
  <si>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</si>
  <si>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</si>
  <si>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</si>
  <si>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</si>
  <si>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</si>
  <si>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</si>
  <si>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</si>
  <si>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</si>
  <si>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</si>
  <si>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</si>
  <si>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</si>
  <si>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</si>
  <si>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</si>
  <si>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</si>
  <si>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</si>
  <si>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</si>
  <si>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</si>
  <si>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</si>
  <si>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</si>
  <si>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</si>
  <si>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</si>
  <si>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</si>
  <si>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</si>
  <si>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</si>
  <si>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</si>
  <si>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</si>
  <si>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</si>
  <si>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</si>
  <si>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</si>
  <si>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</si>
  <si>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</si>
  <si>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</si>
  <si>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</si>
  <si>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</si>
  <si>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</si>
  <si>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</si>
  <si>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</si>
  <si>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</si>
  <si>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</si>
  <si>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</si>
  <si>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</si>
  <si>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</si>
  <si>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</si>
  <si>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</si>
  <si>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</si>
  <si>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</si>
  <si>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</si>
  <si>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</si>
  <si>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</si>
  <si>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</si>
  <si>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</si>
  <si>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</si>
  <si>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</si>
  <si>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</si>
  <si>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</si>
  <si>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</si>
  <si>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</si>
  <si>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</si>
  <si>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</si>
  <si>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</si>
  <si>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</si>
  <si>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</si>
  <si>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</si>
  <si>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</si>
  <si>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</si>
  <si>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</si>
  <si>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</si>
  <si>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</si>
  <si>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</si>
  <si>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</si>
  <si>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</si>
  <si>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</si>
  <si>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</si>
  <si>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</si>
  <si>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</si>
  <si>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</si>
  <si>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</si>
  <si>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</si>
  <si>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</si>
  <si>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</si>
  <si>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</si>
  <si>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</si>
  <si>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</si>
  <si>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</si>
  <si>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</si>
  <si>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</si>
  <si>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</si>
  <si>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</si>
  <si>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</si>
  <si>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</si>
  <si>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</si>
  <si>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</si>
  <si>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</si>
  <si>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</si>
  <si>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</si>
  <si>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</si>
  <si>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</si>
  <si>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</si>
  <si>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</si>
  <si>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</si>
  <si>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</si>
  <si>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</si>
  <si>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</si>
  <si>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</si>
  <si>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</si>
  <si>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</si>
  <si>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</si>
  <si>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</si>
  <si>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</si>
  <si>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</si>
  <si>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</si>
  <si>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</si>
  <si>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</si>
  <si>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</si>
  <si>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</si>
  <si>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</si>
  <si>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</si>
  <si>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</si>
  <si>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</si>
  <si>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</si>
  <si>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</si>
  <si>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</si>
  <si>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</si>
  <si>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</si>
  <si>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</si>
  <si>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</si>
  <si>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</si>
  <si>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</si>
  <si>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</si>
  <si>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</si>
  <si>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</si>
  <si>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</si>
  <si>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</si>
  <si>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</si>
  <si>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</si>
  <si>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</si>
  <si>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</si>
  <si>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</si>
  <si>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</si>
  <si>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</si>
  <si>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</si>
  <si>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</si>
  <si>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</si>
  <si>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</si>
  <si>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</si>
  <si>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</si>
  <si>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</si>
  <si>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</si>
  <si>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</si>
  <si>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</si>
  <si>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</si>
  <si>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</si>
  <si>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</si>
  <si>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</si>
  <si>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</si>
  <si>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</si>
  <si>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</si>
  <si>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</si>
  <si>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</si>
  <si>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</si>
  <si>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</si>
  <si>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</si>
  <si>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</si>
  <si>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</si>
  <si>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</si>
  <si>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</si>
  <si>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</si>
  <si>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</si>
  <si>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</si>
  <si>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</si>
  <si>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</si>
  <si>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</si>
  <si>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</si>
  <si>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</si>
  <si>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</si>
  <si>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</si>
  <si>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</si>
  <si>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</si>
  <si>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</si>
  <si>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</si>
  <si>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</si>
  <si>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</si>
  <si>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</si>
  <si>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</si>
  <si>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</si>
  <si>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</si>
  <si>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</si>
  <si>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</si>
  <si>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</si>
  <si>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</si>
  <si>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</si>
  <si>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</si>
  <si>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</si>
  <si>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</si>
  <si>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</si>
  <si>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</si>
  <si>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</si>
  <si>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</si>
  <si>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</si>
  <si>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</si>
  <si>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</si>
  <si>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</si>
  <si>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</si>
  <si>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</si>
  <si>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</si>
  <si>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</si>
  <si>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</si>
  <si>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</si>
  <si>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</si>
  <si>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</si>
  <si>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</si>
  <si>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</si>
  <si>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</si>
  <si>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</si>
  <si>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</si>
  <si>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</si>
  <si>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</si>
  <si>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</si>
  <si>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</si>
  <si>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</si>
  <si>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</si>
  <si>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</si>
  <si>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</si>
  <si>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</si>
  <si>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</si>
  <si>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</si>
  <si>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</si>
  <si>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</si>
  <si>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</si>
  <si>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</si>
  <si>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</si>
  <si>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</si>
  <si>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</si>
  <si>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</si>
  <si>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</si>
  <si>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</si>
  <si>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</si>
  <si>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</si>
  <si>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</si>
  <si>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</si>
  <si>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</si>
  <si>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</si>
  <si>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</si>
  <si>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</si>
  <si>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</si>
  <si>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</si>
  <si>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</si>
  <si>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</si>
  <si>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</si>
  <si>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</si>
  <si>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</si>
  <si>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</si>
  <si>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</si>
  <si>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</si>
  <si>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</si>
  <si>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</si>
  <si>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</si>
  <si>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</si>
  <si>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</si>
  <si>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</si>
  <si>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</si>
  <si>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</si>
  <si>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</si>
  <si>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</si>
  <si>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</si>
  <si>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</si>
  <si>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</si>
  <si>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</si>
  <si>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</si>
  <si>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</si>
  <si>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</si>
  <si>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</si>
  <si>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</si>
  <si>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</si>
  <si>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</si>
  <si>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</si>
  <si>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</si>
  <si>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</si>
  <si>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</si>
  <si>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</si>
  <si>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</si>
  <si>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</si>
  <si>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</si>
  <si>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</si>
  <si>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</si>
  <si>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</si>
  <si>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</si>
  <si>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</si>
  <si>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</si>
  <si>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</si>
  <si>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</si>
  <si>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</si>
  <si>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</si>
  <si>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</si>
  <si>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</si>
  <si>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</si>
  <si>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</si>
  <si>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</si>
  <si>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</si>
  <si>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</si>
  <si>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</si>
  <si>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</si>
  <si>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</si>
  <si>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</si>
  <si>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</si>
  <si>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</si>
  <si>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</si>
  <si>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</si>
  <si>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</si>
  <si>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</si>
  <si>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</si>
  <si>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</si>
  <si>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</si>
  <si>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</si>
  <si>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</si>
  <si>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</si>
  <si>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</si>
  <si>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</si>
  <si>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</si>
  <si>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</si>
  <si>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</si>
  <si>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</si>
  <si>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</si>
  <si>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</si>
  <si>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</si>
  <si>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</si>
  <si>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</si>
  <si>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</si>
  <si>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</si>
  <si>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</si>
  <si>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</si>
  <si>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</si>
  <si>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</si>
  <si>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</si>
  <si>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</si>
  <si>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</si>
  <si>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</si>
  <si>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</si>
  <si>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</si>
  <si>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</si>
  <si>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</si>
  <si>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</si>
  <si>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</si>
  <si>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</si>
  <si>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</si>
  <si>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</si>
  <si>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</si>
  <si>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</si>
  <si>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</si>
  <si>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</si>
  <si>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</si>
  <si>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</si>
  <si>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</si>
  <si>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</si>
  <si>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</si>
  <si>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</si>
  <si>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</si>
  <si>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</si>
  <si>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</si>
  <si>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</si>
  <si>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</si>
  <si>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</si>
  <si>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</si>
  <si>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</si>
  <si>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</si>
  <si>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</si>
  <si>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</si>
  <si>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</si>
  <si>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</si>
  <si>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</si>
  <si>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</si>
  <si>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</si>
  <si>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</si>
  <si>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</si>
  <si>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</si>
  <si>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</si>
  <si>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</si>
  <si>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</si>
  <si>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</si>
  <si>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</si>
  <si>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</si>
  <si>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</si>
  <si>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</si>
  <si>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</si>
  <si>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</si>
  <si>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</si>
  <si>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</si>
  <si>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</si>
  <si>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</si>
  <si>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</si>
  <si>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</si>
  <si>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</si>
  <si>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</si>
  <si>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</si>
  <si>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</si>
  <si>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</si>
  <si>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</si>
  <si>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</si>
  <si>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</si>
  <si>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</si>
  <si>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</si>
  <si>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</si>
  <si>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</si>
  <si>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</si>
  <si>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</si>
  <si>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</si>
  <si>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</si>
  <si>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</si>
  <si>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</si>
  <si>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</si>
  <si>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</si>
  <si>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</si>
  <si>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</si>
  <si>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</si>
  <si>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</si>
  <si>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</si>
  <si>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</si>
  <si>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</si>
  <si>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</si>
  <si>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</si>
  <si>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</si>
  <si>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</si>
  <si>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</si>
  <si>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</si>
  <si>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</si>
  <si>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</si>
  <si>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</si>
  <si>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</si>
  <si>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</si>
  <si>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</si>
  <si>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</si>
  <si>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</si>
  <si>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</si>
  <si>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</si>
  <si>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</si>
  <si>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</si>
  <si>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</si>
  <si>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</si>
  <si>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</si>
  <si>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</si>
  <si>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</si>
  <si>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</si>
  <si>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</si>
  <si>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</si>
  <si>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</si>
  <si>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</si>
  <si>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</si>
  <si>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</si>
  <si>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</si>
  <si>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</si>
  <si>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</si>
  <si>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</si>
  <si>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</si>
  <si>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</si>
  <si>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</si>
  <si>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</si>
  <si>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</si>
  <si>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</si>
  <si>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</si>
  <si>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</si>
  <si>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</si>
  <si>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</si>
  <si>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</si>
  <si>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</si>
  <si>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</si>
  <si>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</si>
  <si>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</si>
  <si>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</si>
  <si>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</si>
  <si>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</si>
  <si>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</si>
  <si>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</si>
  <si>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</si>
  <si>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</si>
  <si>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</si>
  <si>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</si>
  <si>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</si>
  <si>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</si>
  <si>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</si>
  <si>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</si>
  <si>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</si>
  <si>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</si>
  <si>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</si>
  <si>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</si>
  <si>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</si>
  <si>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</si>
  <si>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</si>
  <si>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</si>
  <si>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</si>
  <si>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</si>
  <si>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</si>
  <si>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</si>
  <si>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</si>
  <si>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</si>
  <si>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</si>
  <si>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</si>
  <si>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</si>
  <si>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</si>
  <si>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</si>
  <si>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</si>
  <si>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</si>
  <si>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</si>
  <si>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</si>
  <si>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</si>
  <si>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</si>
  <si>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</si>
  <si>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</si>
  <si>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</si>
  <si>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</si>
  <si>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</si>
  <si>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</si>
  <si>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</si>
  <si>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</si>
  <si>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</si>
  <si>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</si>
  <si>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</si>
  <si>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</si>
  <si>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Kevin Perez</t>
  </si>
  <si>
    <t>1|2-0</t>
  </si>
  <si>
    <t>X|1-1</t>
  </si>
  <si>
    <t>1|1-0</t>
  </si>
  <si>
    <t>2|0-1</t>
  </si>
  <si>
    <t>2|0-2</t>
  </si>
  <si>
    <t>X|0-0</t>
  </si>
  <si>
    <t>1|4-0</t>
  </si>
  <si>
    <t>1|2-1</t>
  </si>
  <si>
    <t>1|3-0</t>
  </si>
  <si>
    <t>1|3-1</t>
  </si>
  <si>
    <t>1|4-1</t>
  </si>
  <si>
    <t>2|1-3</t>
  </si>
  <si>
    <t>2|0-3</t>
  </si>
  <si>
    <t>2|1-2</t>
  </si>
  <si>
    <t>Sudáfrica-Canadá·X|1-1</t>
  </si>
  <si>
    <t>Brasil-Japón·1|3-1</t>
  </si>
  <si>
    <t>Alemania-Paraguay·1|2-0</t>
  </si>
  <si>
    <t>Países Bajos-Marruecos·X|1-1</t>
  </si>
  <si>
    <t>Costa de Marfil-Noruega·1|2-1</t>
  </si>
  <si>
    <t>Francia-Suecia·1|3-0</t>
  </si>
  <si>
    <t>México-Escocia·1|1-0</t>
  </si>
  <si>
    <t>Inglaterra-Irak·1|2-1</t>
  </si>
  <si>
    <t>Bélgica-Ecuador·1|1-0</t>
  </si>
  <si>
    <t>Turquía-Catar·X|0-0</t>
  </si>
  <si>
    <t>España-Austria·1|2-0</t>
  </si>
  <si>
    <t>Colombia-Ghana·1|1-0</t>
  </si>
  <si>
    <t>Suiza-Egipto·1|2-1</t>
  </si>
  <si>
    <t>Estados Unidos-Nueva Zelanda·1|2-1</t>
  </si>
  <si>
    <t>Argentina-Uruguay·1|1-0</t>
  </si>
  <si>
    <t>Portugal-Croacia·1|2-0</t>
  </si>
  <si>
    <t>Canadá-Marruecos·2|1-3</t>
  </si>
  <si>
    <t>Alemania-Francia·2|1-2</t>
  </si>
  <si>
    <t>Brasil-Costa de Marfil·1|1-0</t>
  </si>
  <si>
    <t>México-Inglaterra·2|0-1</t>
  </si>
  <si>
    <t>Colombia-España·2|1-2</t>
  </si>
  <si>
    <t>Turquía-Bélgica·X|1-1</t>
  </si>
  <si>
    <t>Argentina-Estados Unidos·1|3-0</t>
  </si>
  <si>
    <t>Suiza-Portugal·2|1-2</t>
  </si>
  <si>
    <t>Francia-Marruecos·X|1-1</t>
  </si>
  <si>
    <t>España-Turquía·1|2-1</t>
  </si>
  <si>
    <t>Brasil-Inglaterra·X|1-1</t>
  </si>
  <si>
    <t>Argentina-Portugal·2|0-1</t>
  </si>
  <si>
    <t>Marruecos-España·2|1-2</t>
  </si>
  <si>
    <t>Inglaterra-Portugal·X|1-1</t>
  </si>
  <si>
    <t>Marruecos-Inglaterra·1|2-1</t>
  </si>
  <si>
    <t>España-Portugal·1|1-0</t>
  </si>
  <si>
    <t>Kylian Mpappe</t>
  </si>
  <si>
    <t>Cristiano Ronaldo</t>
  </si>
  <si>
    <t>Lamine Yamal</t>
  </si>
  <si>
    <t>Achraf Hakimi</t>
  </si>
  <si>
    <t>Ylich</t>
  </si>
  <si>
    <t>2|2-3</t>
  </si>
  <si>
    <t>1|3-2</t>
  </si>
  <si>
    <t>1|4-2</t>
  </si>
  <si>
    <t>X|2-2</t>
  </si>
  <si>
    <t>2|1-4</t>
  </si>
  <si>
    <t>2|2-4</t>
  </si>
  <si>
    <t>1|4-3</t>
  </si>
  <si>
    <t>Sudáfrica-Canadá·2|1-3</t>
  </si>
  <si>
    <t>Brasil-Suecia·1|5-1</t>
  </si>
  <si>
    <t>Ecuador-Países Bajos·1|2-0</t>
  </si>
  <si>
    <t>Japón-Escocia·1|2-1</t>
  </si>
  <si>
    <t>Alemania-Noruega·1|4-1</t>
  </si>
  <si>
    <t>Francia-Egipto·1|5-0</t>
  </si>
  <si>
    <t>México-Curazao·1|4-2</t>
  </si>
  <si>
    <t>Ghana-Uzbekistán·1|3-1</t>
  </si>
  <si>
    <t>Nueva Zelanda-Arabia Saudita·2|1-2</t>
  </si>
  <si>
    <t>Paraguay-Bosnia y Herzegovina·1|3-1</t>
  </si>
  <si>
    <t>Uruguay-Austria·1|4-1</t>
  </si>
  <si>
    <t>Colombia-Inglaterra·1|3-2</t>
  </si>
  <si>
    <t>Catar-Argelia·2|2-3</t>
  </si>
  <si>
    <t>Australia-Bélgica·2|1-2</t>
  </si>
  <si>
    <t>Argentina-España·1|4-3</t>
  </si>
  <si>
    <t>Portugal-Croacia·1|4-2</t>
  </si>
  <si>
    <t>Canadá-Japón·2|1-3</t>
  </si>
  <si>
    <t>Ecuador-Francia·2|0-4</t>
  </si>
  <si>
    <t>Brasil-Alemania·1|3-1</t>
  </si>
  <si>
    <t>México-Ghana·2|1-4</t>
  </si>
  <si>
    <t>Colombia-Uruguay·2|0-2</t>
  </si>
  <si>
    <t>Paraguay-Arabia Saudita·1|2-1</t>
  </si>
  <si>
    <t>Argentina-Bélgica·1|3-1</t>
  </si>
  <si>
    <t>Argelia-Portugal·2|1-4</t>
  </si>
  <si>
    <t>Francia-Japón·1|3-1</t>
  </si>
  <si>
    <t>Uruguay-Paraguay·1|2-1</t>
  </si>
  <si>
    <t>Brasil-Ghana·1|3-2</t>
  </si>
  <si>
    <t>Argentina-Portugal·1|4-2</t>
  </si>
  <si>
    <t>Francia-Uruguay·1|3-1</t>
  </si>
  <si>
    <t>Brasil-Argentina·1|3-1</t>
  </si>
  <si>
    <t>Uruguay-Argentina·2|1-3</t>
  </si>
  <si>
    <t>Francia-Brasil·1|3-2</t>
  </si>
  <si>
    <t>Kylian Mbappe</t>
  </si>
  <si>
    <t>Vinicius Junior</t>
  </si>
  <si>
    <t>Neymar</t>
  </si>
  <si>
    <t>RICARDO RIVERO</t>
  </si>
  <si>
    <t>Corea del Sur-Canadá·X|1-1</t>
  </si>
  <si>
    <t>Brasil-Países Bajos·1|1-0</t>
  </si>
  <si>
    <t>Alemania-Paraguay·2|0-1</t>
  </si>
  <si>
    <t>Japón-Marruecos·X|1-1</t>
  </si>
  <si>
    <t>Ecuador-Noruega·2|0-2</t>
  </si>
  <si>
    <t>Francia-Cabo Verde·1|2-0</t>
  </si>
  <si>
    <t>México-Costa de Marfil·X|1-1</t>
  </si>
  <si>
    <t>Inglaterra-Colombia·1|1-0</t>
  </si>
  <si>
    <t>Bélgica-República Checa·1|2-1</t>
  </si>
  <si>
    <t>Estados Unidos-Bosnia y Herzegovina·1|3-1</t>
  </si>
  <si>
    <t>RD Congo-Croacia·2|0-1</t>
  </si>
  <si>
    <t>Suiza-Argelia·X|0-0</t>
  </si>
  <si>
    <t>Turquía-Irán·1|2-0</t>
  </si>
  <si>
    <t>Portugal-Senegal·1|3-0</t>
  </si>
  <si>
    <t>Canadá-Japón·2|0-1</t>
  </si>
  <si>
    <t>Paraguay-Francia·2|0-1</t>
  </si>
  <si>
    <t>Brasil-Noruega·X|2-2</t>
  </si>
  <si>
    <t>México-Inglaterra·2|0-2</t>
  </si>
  <si>
    <t>Croacia-España·2|1-3</t>
  </si>
  <si>
    <t>Estados Unidos-Bélgica·2|0-1</t>
  </si>
  <si>
    <t>Argentina-Turquía·1|2-0</t>
  </si>
  <si>
    <t>Suiza-Portugal·2|1-3</t>
  </si>
  <si>
    <t>Francia-Japón·X|0-0</t>
  </si>
  <si>
    <t>España-Bélgica·1|2-0</t>
  </si>
  <si>
    <t>Brasil-Inglaterra·2|0-1</t>
  </si>
  <si>
    <t>Argentina-Portugal·X|2-2</t>
  </si>
  <si>
    <t>Japón-España·2|1-2</t>
  </si>
  <si>
    <t>Inglaterra-Portugal·2|0-1</t>
  </si>
  <si>
    <t>Japón-Inglaterra·2|2-3</t>
  </si>
  <si>
    <t>Julián Álvarez</t>
  </si>
  <si>
    <t>Harry Kane</t>
  </si>
  <si>
    <t>Alexander Sorloth</t>
  </si>
  <si>
    <t>Vinicius Jr</t>
  </si>
  <si>
    <t>Takefusa Kubo</t>
  </si>
  <si>
    <t>Simon Melendez</t>
  </si>
  <si>
    <t>1|5-0</t>
  </si>
  <si>
    <t>2|0-4</t>
  </si>
  <si>
    <t>1|5-2</t>
  </si>
  <si>
    <t>República Checa-Suiza·2|0-1</t>
  </si>
  <si>
    <t>Brasil-Suecia·1|2-0</t>
  </si>
  <si>
    <t>Ecuador-Estados Unidos·1|3-1</t>
  </si>
  <si>
    <t>Japón-Marruecos·1|2-0</t>
  </si>
  <si>
    <t>Alemania-Francia·2|0-4</t>
  </si>
  <si>
    <t>Noruega-Países Bajos·1|3-0</t>
  </si>
  <si>
    <t>Corea del Sur-Arabia Saudita·1|2-1</t>
  </si>
  <si>
    <t>Inglaterra-Uzbekistán·1|1-0</t>
  </si>
  <si>
    <t>Bélgica-México·1|2-0</t>
  </si>
  <si>
    <t>Turquía-Bosnia y Herzegovina·1|1-0</t>
  </si>
  <si>
    <t>España-Argelia·1|3-0</t>
  </si>
  <si>
    <t>Colombia-Croacia·1|2-1</t>
  </si>
  <si>
    <t>Canadá-Austria·1|2-0</t>
  </si>
  <si>
    <t>Paraguay-Egipto·1|3-2</t>
  </si>
  <si>
    <t>Portugal-Costa de Marfil·1|2-0</t>
  </si>
  <si>
    <t>Suiza-Japón·2|1-4</t>
  </si>
  <si>
    <t>Ecuador-Noruega·2|1-3</t>
  </si>
  <si>
    <t>Brasil-Francia·2|1-2</t>
  </si>
  <si>
    <t>Corea del Sur-Inglaterra·2|0-2</t>
  </si>
  <si>
    <t>Turquía-Bélgica·2|0-1</t>
  </si>
  <si>
    <t>Argentina-Paraguay·1|1-0</t>
  </si>
  <si>
    <t>Canadá-Portugal·2|1-2</t>
  </si>
  <si>
    <t>Noruega-Japón·1|2-1</t>
  </si>
  <si>
    <t>España-Bélgica·1|1-0</t>
  </si>
  <si>
    <t>Francia-Inglaterra·1|3-1</t>
  </si>
  <si>
    <t>Argentina-Portugal·X|1-1</t>
  </si>
  <si>
    <t>Noruega-España·X|1-1</t>
  </si>
  <si>
    <t>Francia-Portugal·X|1-1</t>
  </si>
  <si>
    <t>Noruega-Portugal·2|1-2</t>
  </si>
  <si>
    <t>España-Francia·1|2-1</t>
  </si>
  <si>
    <t>Erling Haaland</t>
  </si>
  <si>
    <t>Rodri</t>
  </si>
  <si>
    <t>EDUARDO PINTO</t>
  </si>
  <si>
    <t>Corea del Sur-Suiza·2|1-2</t>
  </si>
  <si>
    <t>Brasil-Japón·1|2-1</t>
  </si>
  <si>
    <t>Alemania-Escocia·1|3-1</t>
  </si>
  <si>
    <t>Costa de Marfil-Senegal·2|0-1</t>
  </si>
  <si>
    <t>Francia-Paraguay·1|2-0</t>
  </si>
  <si>
    <t>República Checa-Ecuador·X|1-1</t>
  </si>
  <si>
    <t>Inglaterra-Noruega·1|2-1</t>
  </si>
  <si>
    <t>Bélgica-Arabia Saudita·1|2-0</t>
  </si>
  <si>
    <t>Turquía-Bosnia y Herzegovina·1|2-1</t>
  </si>
  <si>
    <t>España-Argentina·1|1-0</t>
  </si>
  <si>
    <t>Colombia-Croacia·1|2-0</t>
  </si>
  <si>
    <t>Canadá-Argelia·2|0-1</t>
  </si>
  <si>
    <t>Estados Unidos-Egipto·2|0-1</t>
  </si>
  <si>
    <t>Austria-Uruguay·X|1-1</t>
  </si>
  <si>
    <t>Portugal-Ghana·1|3-1</t>
  </si>
  <si>
    <t>Suiza-Países Bajos·2|1-2</t>
  </si>
  <si>
    <t>Brasil-Senegal·1|2-0</t>
  </si>
  <si>
    <t>Ecuador-Inglaterra·2|0-2</t>
  </si>
  <si>
    <t>Colombia-España·1|1-0</t>
  </si>
  <si>
    <t>Turquía-Bélgica·1|2-1</t>
  </si>
  <si>
    <t>Uruguay-Egipto·2|0-1</t>
  </si>
  <si>
    <t>Argelia-Portugal·X|1-1</t>
  </si>
  <si>
    <t>Francia-Países Bajos·1|1-0</t>
  </si>
  <si>
    <t>Colombia-Turquía·X|1-1</t>
  </si>
  <si>
    <t>Brasil-Inglaterra·1|2-1</t>
  </si>
  <si>
    <t>Egipto-Portugal·2|1-2</t>
  </si>
  <si>
    <t>Francia-Turquía·1|2-1</t>
  </si>
  <si>
    <t>Brasil-Portugal·2|0-1</t>
  </si>
  <si>
    <t>Turquía-Brasil·2|1-2</t>
  </si>
  <si>
    <t>Francia-Portugal·1|2-1</t>
  </si>
  <si>
    <t>KYLIAN MBAPPE</t>
  </si>
  <si>
    <t>HARRY KANE</t>
  </si>
  <si>
    <t>ERLING HALLAND</t>
  </si>
  <si>
    <t>KILYAN MBAPPE</t>
  </si>
  <si>
    <t>VITINHA</t>
  </si>
  <si>
    <t>VINICIUS</t>
  </si>
  <si>
    <t>Edicxon Mendoza</t>
  </si>
  <si>
    <t>Brasil-Suecia·1|3-1</t>
  </si>
  <si>
    <t>Países Bajos-Marruecos·1|2-1</t>
  </si>
  <si>
    <t>Ecuador-Noruega·2|1-2</t>
  </si>
  <si>
    <t>Francia-Paraguay·1|3-1</t>
  </si>
  <si>
    <t>México-Arabia Saudita·1|2-1</t>
  </si>
  <si>
    <t>Inglaterra-Senegal·1|2-0</t>
  </si>
  <si>
    <t>Bélgica-Corea del Sur·1|2-1</t>
  </si>
  <si>
    <t>Turquía-Japón·1|2-1</t>
  </si>
  <si>
    <t>Canadá-Irán·1|2-0</t>
  </si>
  <si>
    <t>Estados Unidos-Egipto·1|2-0</t>
  </si>
  <si>
    <t>Argentina-Uruguay·1|2-1</t>
  </si>
  <si>
    <t>Portugal-Ghana·1|2-0</t>
  </si>
  <si>
    <t>Brasil-Noruega·1|2-1</t>
  </si>
  <si>
    <t>México-Inglaterra·2|1-2</t>
  </si>
  <si>
    <t>Argentina-Estados Unidos·1|2-1</t>
  </si>
  <si>
    <t>Canadá-Portugal·2|0-2</t>
  </si>
  <si>
    <t>Francia-Países Bajos·1|2-1</t>
  </si>
  <si>
    <t>España-Turquía·1|2-0</t>
  </si>
  <si>
    <t>Argentina-Portugal·2|1-2</t>
  </si>
  <si>
    <t>Francia-España·2|1-2</t>
  </si>
  <si>
    <t>Brasil-Portugal·2|1-3</t>
  </si>
  <si>
    <t>Francia-Brasil·1|2-0</t>
  </si>
  <si>
    <t>España-Portugal·2|1-2</t>
  </si>
  <si>
    <t>Cristiano R</t>
  </si>
  <si>
    <t>Kylian Mbappé</t>
  </si>
  <si>
    <t>RICARDO DEFENDINI</t>
  </si>
  <si>
    <t>Corea del Sur-Canadá·1|2-1</t>
  </si>
  <si>
    <t>Alemania-Estados Unidos·1|2-0</t>
  </si>
  <si>
    <t>Ecuador-Noruega·1|2-1</t>
  </si>
  <si>
    <t>Francia-Suecia·1|3-1</t>
  </si>
  <si>
    <t>México-Costa de Marfil·1|1-0</t>
  </si>
  <si>
    <t>Inglaterra-Argelia·1|3-0</t>
  </si>
  <si>
    <t>Suiza-Irán·1|1-0</t>
  </si>
  <si>
    <t>Paraguay-Egipto·1|1-0</t>
  </si>
  <si>
    <t>Portugal-Senegal·1|2-0</t>
  </si>
  <si>
    <t>Corea del Sur-Países Bajos·2|1-2</t>
  </si>
  <si>
    <t>Brasil-Ecuador·1|2-1</t>
  </si>
  <si>
    <t>México-Inglaterra·2|1-3</t>
  </si>
  <si>
    <t>Turquía-Bélgica·2|1-2</t>
  </si>
  <si>
    <t>Argentina-Paraguay·1|2-0</t>
  </si>
  <si>
    <t>Suiza-Portugal·2|0-2</t>
  </si>
  <si>
    <t>España-Bélgica·1|3-1</t>
  </si>
  <si>
    <t>Argentina-Portugal·1|2-1</t>
  </si>
  <si>
    <t>Brasil-Argentina·2|1-2</t>
  </si>
  <si>
    <t>Francia-Brasil·2|1-2</t>
  </si>
  <si>
    <t>España-Argentina·1|2-1</t>
  </si>
  <si>
    <t>Lautaro Martinez</t>
  </si>
  <si>
    <t>Lionel Messi</t>
  </si>
  <si>
    <t>Rafael Aguilar</t>
  </si>
  <si>
    <t>México-Bosnia y Herzegovina·1|1-0</t>
  </si>
  <si>
    <t>Alemania-Estados Unidos·1|2-1</t>
  </si>
  <si>
    <t>Corea del Sur-Escocia·1|2-0</t>
  </si>
  <si>
    <t>Inglaterra-Senegal·1|3-1</t>
  </si>
  <si>
    <t>Paraguay-Canadá·1|2-0</t>
  </si>
  <si>
    <t>España-Austria·1|3-0</t>
  </si>
  <si>
    <t>Suiza-Costa de Marfil·1|2-1</t>
  </si>
  <si>
    <t>Turquía-Egipto·1|1-0</t>
  </si>
  <si>
    <t>Portugal-Ghana·1|3-0</t>
  </si>
  <si>
    <t>México-Países Bajos·2|1-2</t>
  </si>
  <si>
    <t>Brasil-Ecuador·1|3-1</t>
  </si>
  <si>
    <t>Colombia-España·2|1-3</t>
  </si>
  <si>
    <t>Paraguay-Bélgica·1|2-1</t>
  </si>
  <si>
    <t>España-Paraguay·1|3-1</t>
  </si>
  <si>
    <t>Brasil-Inglaterra·1|3-2</t>
  </si>
  <si>
    <t>Brasil-Portugal·2|1-2</t>
  </si>
  <si>
    <t>España-Portugal·2|0-1</t>
  </si>
  <si>
    <t>Mbappe</t>
  </si>
  <si>
    <t>Julian Alvarez</t>
  </si>
  <si>
    <t>Vitinha</t>
  </si>
  <si>
    <t>Bruno Fernandez</t>
  </si>
  <si>
    <t>Luis Pinto</t>
  </si>
  <si>
    <t>República Checa-Bosnia y Herzegovina·1|1-0</t>
  </si>
  <si>
    <t>Brasil-Suecia·1|2-1</t>
  </si>
  <si>
    <t>Países Bajos-Escocia·1|2-1</t>
  </si>
  <si>
    <t>Ecuador-Noruega·2|0-1</t>
  </si>
  <si>
    <t>Francia-Japón·1|2-0</t>
  </si>
  <si>
    <t>México-Marruecos·2|0-1</t>
  </si>
  <si>
    <t>Bélgica-Corea del Sur·1|3-0</t>
  </si>
  <si>
    <t>Turquía-Canadá·1|1-0</t>
  </si>
  <si>
    <t>Colombia-Croacia·X|0-0</t>
  </si>
  <si>
    <t>Suiza-Argelia·1|1-0</t>
  </si>
  <si>
    <t>Paraguay-Egipto·1|2-1</t>
  </si>
  <si>
    <t>Argentina-Uruguay·1|2-0</t>
  </si>
  <si>
    <t>Portugal-Costa de Marfil·1|3-1</t>
  </si>
  <si>
    <t>República Checa-Países Bajos·2|0-2</t>
  </si>
  <si>
    <t>Alemania-Francia·2|0-1</t>
  </si>
  <si>
    <t>Marruecos-Inglaterra·2|0-2</t>
  </si>
  <si>
    <t>Francia-España·X|2-2</t>
  </si>
  <si>
    <t>Inglaterra-Argentina·2|0-1</t>
  </si>
  <si>
    <t>Francia-Inglaterra·1|2-1</t>
  </si>
  <si>
    <t>España-Argentina·X|1-1</t>
  </si>
  <si>
    <t>Dixon Torrealba</t>
  </si>
  <si>
    <t>Corea del Sur-Canadá·2|1-2</t>
  </si>
  <si>
    <t>Alemania-Japón·1|2-0</t>
  </si>
  <si>
    <t>Francia-Irán·1|3-0</t>
  </si>
  <si>
    <t>México-Costa de Marfil·1|2-1</t>
  </si>
  <si>
    <t>Estados Unidos-Bosnia y Herzegovina·1|1-0</t>
  </si>
  <si>
    <t>Colombia-Croacia·1|1-0</t>
  </si>
  <si>
    <t>Suiza-Austria·1|1-0</t>
  </si>
  <si>
    <t>Turquía-Egipto·1|2-1</t>
  </si>
  <si>
    <t>Canadá-Países Bajos·2|0-2</t>
  </si>
  <si>
    <t>Colombia-España·2|0-2</t>
  </si>
  <si>
    <t>Estados Unidos-Bélgica·2|1-2</t>
  </si>
  <si>
    <t>Brasil-Inglaterra·2|1-2</t>
  </si>
  <si>
    <t>Inglaterra-Argentina·2|1-2</t>
  </si>
  <si>
    <t>Lamine Yama</t>
  </si>
  <si>
    <t>Jude Bellingham</t>
  </si>
  <si>
    <t xml:space="preserve">jaidali </t>
  </si>
  <si>
    <t>México-Canadá·2|0-2</t>
  </si>
  <si>
    <t>Alemania-Turquía·1|3-0</t>
  </si>
  <si>
    <t>Ecuador-Francia·2|0-3</t>
  </si>
  <si>
    <t>Irak-Irán·1|4-0</t>
  </si>
  <si>
    <t>República Checa-Suecia·1|1-0</t>
  </si>
  <si>
    <t>Inglaterra-RD Congo·1|3-0</t>
  </si>
  <si>
    <t>Bélgica-Sudáfrica·1|3-1</t>
  </si>
  <si>
    <t>Estados Unidos-Bosnia y Herzegovina·1|2-1</t>
  </si>
  <si>
    <t>España-Argelia·1|4-0</t>
  </si>
  <si>
    <t>Suiza-Austria·1|2-1</t>
  </si>
  <si>
    <t>Paraguay-Nueva Zelanda·1|2-1</t>
  </si>
  <si>
    <t>Portugal-Panamá·1|3-1</t>
  </si>
  <si>
    <t>Canadá-Países Bajos·2|1-3</t>
  </si>
  <si>
    <t>Alemania-Irak·2|2-3</t>
  </si>
  <si>
    <t>Brasil-Francia·2|1-3</t>
  </si>
  <si>
    <t>República Checa-Inglaterra·2|1-3</t>
  </si>
  <si>
    <t>Argentina-Paraguay·1|3-0</t>
  </si>
  <si>
    <t>Irak-Países Bajos·2|0-3</t>
  </si>
  <si>
    <t>España-Bélgica·1|2-1</t>
  </si>
  <si>
    <t>Francia-Inglaterra·1|2-0</t>
  </si>
  <si>
    <t>Países Bajos-España·X|1-1</t>
  </si>
  <si>
    <t>Francia-Argentina·1|2-1</t>
  </si>
  <si>
    <t>Países Bajos-Argentina·2|1-2</t>
  </si>
  <si>
    <t>España-Francia·1|1-0</t>
  </si>
  <si>
    <t>mbappe</t>
  </si>
  <si>
    <t xml:space="preserve">lamine yamal </t>
  </si>
  <si>
    <t>messi</t>
  </si>
  <si>
    <t>lamine yamal</t>
  </si>
  <si>
    <t>pedri</t>
  </si>
  <si>
    <t>Jorge Rojas</t>
  </si>
  <si>
    <t>Corea del Sur-Suiza·1|2-0</t>
  </si>
  <si>
    <t>Alemania-Japón·1|3-1</t>
  </si>
  <si>
    <t>Países Bajos-Marruecos·X|2-2</t>
  </si>
  <si>
    <t>Bélgica-Arabia Saudita·X|1-1</t>
  </si>
  <si>
    <t>España-Argelia·1|3-1</t>
  </si>
  <si>
    <t>Catar-Jordania·1|1-0</t>
  </si>
  <si>
    <t>Turquía-Egipto·2|0-1</t>
  </si>
  <si>
    <t>Argentina-Uruguay·X|1-1</t>
  </si>
  <si>
    <t>Corea del Sur-Países Bajos·2|0-2</t>
  </si>
  <si>
    <t>Alemania-Francia·2|1-3</t>
  </si>
  <si>
    <t>Colombia-España·X|1-1</t>
  </si>
  <si>
    <t>Argentina-Egipto·1|3-1</t>
  </si>
  <si>
    <t>Catar-Portugal·2|0-2</t>
  </si>
  <si>
    <t>Francia-Países Bajos·1|3-2</t>
  </si>
  <si>
    <t>Francia-España·1|3-1</t>
  </si>
  <si>
    <t>España-Inglaterra·X|2-2</t>
  </si>
  <si>
    <t>Francia-Portugal·X|2-2</t>
  </si>
  <si>
    <t>Olise</t>
  </si>
  <si>
    <t>Lamile</t>
  </si>
  <si>
    <t>Cristiano</t>
  </si>
  <si>
    <t>Freddy Parra (1)</t>
  </si>
  <si>
    <t>Alemania-Australia·1|4-1</t>
  </si>
  <si>
    <t>Países Bajos-Escocia·1|3-1</t>
  </si>
  <si>
    <t>Ecuador-Noruega·2|1-4</t>
  </si>
  <si>
    <t>Francia-Suecia·1|4-2</t>
  </si>
  <si>
    <t>México-Arabia Saudita·1|2-0</t>
  </si>
  <si>
    <t>Inglaterra-Senegal·1|2-1</t>
  </si>
  <si>
    <t>Bélgica-Corea del Sur·X|2-2</t>
  </si>
  <si>
    <t>Turquía-Catar·1|2-0</t>
  </si>
  <si>
    <t>Uruguay-Argelia·1|2-1</t>
  </si>
  <si>
    <t>Colombia-Croacia·2|1-2</t>
  </si>
  <si>
    <t>Suiza-Austria·X|1-1</t>
  </si>
  <si>
    <t>Paraguay-Nueva Zelanda·1|1-0</t>
  </si>
  <si>
    <t>Argentina-España·2|1-3</t>
  </si>
  <si>
    <t>República Checa-Países Bajos·2|1-2</t>
  </si>
  <si>
    <t>Alemania-Francia·2|1-4</t>
  </si>
  <si>
    <t>Croacia-Uruguay·1|3-1</t>
  </si>
  <si>
    <t>España-Paraguay·1|4-0</t>
  </si>
  <si>
    <t>Suiza-Portugal·2|1-4</t>
  </si>
  <si>
    <t>Francia-Países Bajos·1|3-1</t>
  </si>
  <si>
    <t>Croacia-Bélgica·1|2-0</t>
  </si>
  <si>
    <t>España-Portugal·2|2-3</t>
  </si>
  <si>
    <t>Francia-Croacia·1|3-1</t>
  </si>
  <si>
    <t>Brasil-Portugal·2|2-3</t>
  </si>
  <si>
    <t>Croacia-Brasil·2|0-3</t>
  </si>
  <si>
    <t>Mbappe (Francia)</t>
  </si>
  <si>
    <t>Endrick ( Brasil)</t>
  </si>
  <si>
    <t>Cristiano Ronaldo (Portugal)</t>
  </si>
  <si>
    <t>Vitinha (Portugal)</t>
  </si>
  <si>
    <t>Joao Neves (Portugal)</t>
  </si>
  <si>
    <t>Freddy Parra (2)</t>
  </si>
  <si>
    <t>1|7-0</t>
  </si>
  <si>
    <t>2|0-5</t>
  </si>
  <si>
    <t>Corea del Sur-Canadá·2|1-3</t>
  </si>
  <si>
    <t>Marruecos-Suecia·1|2-0</t>
  </si>
  <si>
    <t>Países Bajos-Brasil·X|1-1</t>
  </si>
  <si>
    <t>Costa de Marfil-Noruega·2|1-3</t>
  </si>
  <si>
    <t>Francia-Irán·1|4-0</t>
  </si>
  <si>
    <t>México-Ecuador·1|2-1</t>
  </si>
  <si>
    <t>Inglaterra-Uzbekistán·1|3-0</t>
  </si>
  <si>
    <t>Turquía-Senegal·1|2-1</t>
  </si>
  <si>
    <t>España-Argelia·1|3-2</t>
  </si>
  <si>
    <t>Colombia-Croacia·2|1-4</t>
  </si>
  <si>
    <t>Suiza-Austria·1|2-0</t>
  </si>
  <si>
    <t>Estados Unidos-Egipto·1|1-0</t>
  </si>
  <si>
    <t>Argentina-Uruguay·2|1-2</t>
  </si>
  <si>
    <t>Portugal-Ghana·1|4-1</t>
  </si>
  <si>
    <t>Canadá-Brasil·2|1-3</t>
  </si>
  <si>
    <t>Marruecos-Noruega·X|1-1</t>
  </si>
  <si>
    <t>Croacia-España·2|1-2</t>
  </si>
  <si>
    <t>Turquía-Bélgica·2|1-4</t>
  </si>
  <si>
    <t>Uruguay-Estados Unidos·1|2-0</t>
  </si>
  <si>
    <t>Noruega-Inglaterra·1|2-1</t>
  </si>
  <si>
    <t>Uruguay-Portugal·2|0-2</t>
  </si>
  <si>
    <t>Brasil-España·1|2-0</t>
  </si>
  <si>
    <t>España-Noruega·1|2-0</t>
  </si>
  <si>
    <t>Haaland</t>
  </si>
  <si>
    <t>Endrick</t>
  </si>
  <si>
    <t>Ronaldo</t>
  </si>
  <si>
    <t>Corea del Sur-Bosnia y Herzegovina·X|1-1</t>
  </si>
  <si>
    <t>Costa de Marfil-Escocia·1|2-0</t>
  </si>
  <si>
    <t>Alemania-Noruega·1|1-0</t>
  </si>
  <si>
    <t>Francia-Estados Unidos·1|3-1</t>
  </si>
  <si>
    <t>México-Ecuador·X|1-1</t>
  </si>
  <si>
    <t>Bélgica-Argelia·1|2-0</t>
  </si>
  <si>
    <t>Paraguay-Canadá·1|1-0</t>
  </si>
  <si>
    <t>Suiza-Irán·1|2-1</t>
  </si>
  <si>
    <t>Corea del Sur-Países Bajos·2|1-3</t>
  </si>
  <si>
    <t>Costa de Marfil-Francia·2|1-2</t>
  </si>
  <si>
    <t>Brasil-Alemania·1|2-1</t>
  </si>
  <si>
    <t>Ecuador-Inglaterra·2|1-2</t>
  </si>
  <si>
    <t>Croacia-España·2|0-2</t>
  </si>
  <si>
    <t>Paraguay-Bélgica·2|0-2</t>
  </si>
  <si>
    <t>Francia-España·1|3-2</t>
  </si>
  <si>
    <t>Brasil-Argentina·X|1-1</t>
  </si>
  <si>
    <t xml:space="preserve">Francia </t>
  </si>
  <si>
    <t>michael olise</t>
  </si>
  <si>
    <t>endrick</t>
  </si>
  <si>
    <t>vinicius Jr</t>
  </si>
  <si>
    <t>Dembele</t>
  </si>
  <si>
    <t>raphinha</t>
  </si>
  <si>
    <t>Mariana Suarez (Samuel 2)</t>
  </si>
  <si>
    <t>Samuel Montes</t>
  </si>
  <si>
    <t>Alemania-Escocia·1|3-0</t>
  </si>
  <si>
    <t>Francia-Suecia·1|4-0</t>
  </si>
  <si>
    <t>México-Costa de Marfil·2|0-2</t>
  </si>
  <si>
    <t>Croacia-Senegal·2|1-2</t>
  </si>
  <si>
    <t>Bélgica-Sudáfrica·1|2-1</t>
  </si>
  <si>
    <t>Turquía-Bosnia y Herzegovina·1|2-0</t>
  </si>
  <si>
    <t>Colombia-Inglaterra·2|1-2</t>
  </si>
  <si>
    <t>Corea del Sur-Marruecos·2|0-2</t>
  </si>
  <si>
    <t>Alemania-Francia·1|3-2</t>
  </si>
  <si>
    <t>Brasil-Ecuador·1|1-0</t>
  </si>
  <si>
    <t>Costa de Marfil-Senegal·1|3-2</t>
  </si>
  <si>
    <t>Inglaterra-España·2|1-2</t>
  </si>
  <si>
    <t>Turquía-Bélgica·1|1-0</t>
  </si>
  <si>
    <t>Argentina-Egipto·1|3-2</t>
  </si>
  <si>
    <t>Alemania-Marruecos·X|1-1</t>
  </si>
  <si>
    <t>Brasil-Costa de Marfil·1|2-0</t>
  </si>
  <si>
    <t>Marruecos-España·X|1-1</t>
  </si>
  <si>
    <t>Brasil-Portugal·2|0-2</t>
  </si>
  <si>
    <t>Marruecos-Brasil·2|1-2</t>
  </si>
  <si>
    <t>Cristiano ronaldo</t>
  </si>
  <si>
    <t>Vinicius</t>
  </si>
  <si>
    <t>Ferran torres</t>
  </si>
  <si>
    <t>Lamine yamal</t>
  </si>
  <si>
    <t>Luis Márquez</t>
  </si>
  <si>
    <t>República Checa-Bosnia y Herzegovina·2|1-2</t>
  </si>
  <si>
    <t>Países Bajos-Marruecos·1|1-0</t>
  </si>
  <si>
    <t>Francia-Suecia·1|2-0</t>
  </si>
  <si>
    <t>México-Escocia·1|2-1</t>
  </si>
  <si>
    <t>Inglaterra-Senegal·1|1-0</t>
  </si>
  <si>
    <t>Bélgica-Corea del Sur·1|3-1</t>
  </si>
  <si>
    <t>Turquía-Suiza·1|2-1</t>
  </si>
  <si>
    <t>Canadá-Costa de Marfil·1|2-1</t>
  </si>
  <si>
    <t>Bosnia y Herzegovina-Países Bajos·2|0-1</t>
  </si>
  <si>
    <t>Alemania-Francia·X|1-1</t>
  </si>
  <si>
    <t>Colombia-España·2|0-1</t>
  </si>
  <si>
    <t>Francia-España·X|1-1</t>
  </si>
  <si>
    <t>España-Portugal·X|1-1</t>
  </si>
  <si>
    <t>Olisse</t>
  </si>
  <si>
    <t>Havertz</t>
  </si>
  <si>
    <t>Kane</t>
  </si>
  <si>
    <t>Doku</t>
  </si>
  <si>
    <t>Alvaro Urdaneta</t>
  </si>
  <si>
    <t>República Checa-Bosnia y Herzegovina·1|2-1</t>
  </si>
  <si>
    <t>Países Bajos-Marruecos·1|3-1</t>
  </si>
  <si>
    <t>Ecuador-Senegal·1|2-1</t>
  </si>
  <si>
    <t>Inglaterra-Noruega·1|3-2</t>
  </si>
  <si>
    <t>Bélgica-Corea del Sur·1|2-0</t>
  </si>
  <si>
    <t>Turquía-Canadá·1|3-1</t>
  </si>
  <si>
    <t>Suiza-Irán·1|3-0</t>
  </si>
  <si>
    <t>Portugal-Costa de Marfil·1|3-0</t>
  </si>
  <si>
    <t>Turquía-Bélgica·2|1-3</t>
  </si>
  <si>
    <t>Francia-España·2|2-3</t>
  </si>
  <si>
    <t>Francia-Brasil·1|3-1</t>
  </si>
  <si>
    <t>Oyarzabal</t>
  </si>
  <si>
    <t>Bruno Fernandes</t>
  </si>
  <si>
    <t>Pedri</t>
  </si>
  <si>
    <t>Alemania-Paraguay·1|3-1</t>
  </si>
  <si>
    <t>Países Bajos-Escocia·1|2-0</t>
  </si>
  <si>
    <t>Costa de Marfil-Noruega·2|1-2</t>
  </si>
  <si>
    <t>México-Marruecos·1|2-1</t>
  </si>
  <si>
    <t>Bélgica-República Checa·1|1-0</t>
  </si>
  <si>
    <t>Estados Unidos-Ecuador·2|1-2</t>
  </si>
  <si>
    <t>España-Austria·1|3-1</t>
  </si>
  <si>
    <t>Alemania-Francia·2|2-3</t>
  </si>
  <si>
    <t>Colombia-España·2|2-3</t>
  </si>
  <si>
    <t>Ecuador-Bélgica·2|1-2</t>
  </si>
  <si>
    <t>Argentina-Turquía·1|3-1</t>
  </si>
  <si>
    <t>España-Brasil·1|2-1</t>
  </si>
  <si>
    <t>Francia-Portugal·1|3-1</t>
  </si>
  <si>
    <t>Harry kane</t>
  </si>
  <si>
    <t>Fernando (Jessika)</t>
  </si>
  <si>
    <t>Ricardo Ortega</t>
  </si>
  <si>
    <t>República Checa-Suiza·1|2-1</t>
  </si>
  <si>
    <t>Escocia-Suecia·2|1-2</t>
  </si>
  <si>
    <t>Alemania-Australia·1|3-1</t>
  </si>
  <si>
    <t>Países Bajos-Brasil·1|2-1</t>
  </si>
  <si>
    <t>Ecuador-Noruega·1|2-0</t>
  </si>
  <si>
    <t>Francia-Japón·1|3-0</t>
  </si>
  <si>
    <t>México-Arabia Saudita·1|4-0</t>
  </si>
  <si>
    <t>Inglaterra-Senegal·1|5-0</t>
  </si>
  <si>
    <t>Bélgica-Sudáfrica·2|1-2</t>
  </si>
  <si>
    <t>Estados Unidos-Catar·1|3-1</t>
  </si>
  <si>
    <t>España-Jordania·1|5-0</t>
  </si>
  <si>
    <t>Portugal-Croacia·1|3-0</t>
  </si>
  <si>
    <t>Canadá-Argentina·1|2-1</t>
  </si>
  <si>
    <t>Paraguay-Nueva Zelanda·1|2-0</t>
  </si>
  <si>
    <t>Austria-Uruguay·2|0-1</t>
  </si>
  <si>
    <t>Colombia-Panamá·1|3-1</t>
  </si>
  <si>
    <t>República Checa-Países Bajos·2|1-3</t>
  </si>
  <si>
    <t>Alemania-Francia·1|2-1</t>
  </si>
  <si>
    <t>Suecia-Ecuador·2|1-3</t>
  </si>
  <si>
    <t>Portugal-España·2|2-3</t>
  </si>
  <si>
    <t>Estados Unidos-Sudáfrica·2|1-2</t>
  </si>
  <si>
    <t>Uruguay-Paraguay·1|1-0</t>
  </si>
  <si>
    <t>Canadá-Colombia·2|2-3</t>
  </si>
  <si>
    <t>Alemania-Países Bajos·1|2-1</t>
  </si>
  <si>
    <t>España-Sudáfrica·1|4-1</t>
  </si>
  <si>
    <t>Ecuador-Inglaterra·2|1-3</t>
  </si>
  <si>
    <t>Uruguay-Colombia·2|0-1</t>
  </si>
  <si>
    <t>Alemania-España·1|2-1</t>
  </si>
  <si>
    <t>Inglaterra-Colombia·1|3-1</t>
  </si>
  <si>
    <t>España-Colombia·1|1-0</t>
  </si>
  <si>
    <t>Alemania-Inglaterra·1|3-1</t>
  </si>
  <si>
    <t>Luis Suarez</t>
  </si>
  <si>
    <t>Dion Drena</t>
  </si>
  <si>
    <t>1|6-0</t>
  </si>
  <si>
    <t>1|7-1</t>
  </si>
  <si>
    <t>1|5-1</t>
  </si>
  <si>
    <t>2|1-5</t>
  </si>
  <si>
    <t>México-Canadá·1|2-1</t>
  </si>
  <si>
    <t>Brasil-Japón·1|3-2</t>
  </si>
  <si>
    <t>Alemania-Estados Unidos·1|4-1</t>
  </si>
  <si>
    <t>Ecuador-Noruega·X|2-2</t>
  </si>
  <si>
    <t>Francia-Arabia Saudita·1|4-0</t>
  </si>
  <si>
    <t>Corea del Sur-Costa de Marfil·1|2-1</t>
  </si>
  <si>
    <t>Bélgica-República Checa·1|3-2</t>
  </si>
  <si>
    <t>Paraguay-Bosnia y Herzegovina·1|2-1</t>
  </si>
  <si>
    <t>Colombia-Ghana·1|2-1</t>
  </si>
  <si>
    <t>Suiza-Nueva Zelanda·1|2-0</t>
  </si>
  <si>
    <t>Turquía-Egipto·1|3-1</t>
  </si>
  <si>
    <t>Portugal-Croacia·1|3-1</t>
  </si>
  <si>
    <t>México-Marruecos·2|1-3</t>
  </si>
  <si>
    <t>Alemania-Francia·X|2-2</t>
  </si>
  <si>
    <t>Brasil-Noruega·X|1-1</t>
  </si>
  <si>
    <t>Corea del Sur-Inglaterra·2|1-2</t>
  </si>
  <si>
    <t>Paraguay-Bélgica·X|1-1</t>
  </si>
  <si>
    <t>Argentina-Turquía·1|2-1</t>
  </si>
  <si>
    <t>Francia-Marruecos·1|2-1</t>
  </si>
  <si>
    <t>España-Paraguay·1|2-0</t>
  </si>
  <si>
    <t>Noruega-Inglaterra·2|1-2</t>
  </si>
  <si>
    <t>Inglaterra-Portugal·2|1-2</t>
  </si>
  <si>
    <t>España-Inglaterra·1|2-1</t>
  </si>
  <si>
    <t>Francia-Portugal·2|0-2</t>
  </si>
  <si>
    <t>Halland</t>
  </si>
  <si>
    <t>Vithina</t>
  </si>
  <si>
    <t>Nuno Mendez</t>
  </si>
  <si>
    <t>Xavier (Kevin 2)</t>
  </si>
  <si>
    <t>Jared Oropeza</t>
  </si>
  <si>
    <t>X|3-3</t>
  </si>
  <si>
    <t>México-Suiza·2|1-2</t>
  </si>
  <si>
    <t>Marruecos-Países Bajos·1|2-0</t>
  </si>
  <si>
    <t>Alemania-Haití·1|3-0</t>
  </si>
  <si>
    <t>Japón-Brasil·2|2-3</t>
  </si>
  <si>
    <t>Inglaterra-Costa de Marfil·1|2-0</t>
  </si>
  <si>
    <t>Bélgica-Argelia·1|1-0</t>
  </si>
  <si>
    <t>Turquía-Catar·1|3-1</t>
  </si>
  <si>
    <t>España-Austria·1|4-0</t>
  </si>
  <si>
    <t>Estados Unidos-Nueva Zelanda·1|1-0</t>
  </si>
  <si>
    <t>Suiza-Brasil·2|2-3</t>
  </si>
  <si>
    <t>Marruecos-Ecuador·1|2-1</t>
  </si>
  <si>
    <t>Corea del Sur-Inglaterra·2|1-3</t>
  </si>
  <si>
    <t>Colombia-España·2|2-4</t>
  </si>
  <si>
    <t>Turquía-Bélgica·1|3-1</t>
  </si>
  <si>
    <t>España-Turquía·1|3-2</t>
  </si>
  <si>
    <t>Marruecos-Inglaterra·2|2-4</t>
  </si>
  <si>
    <t>Argentina-Portugal·1|3-2</t>
  </si>
  <si>
    <t>Francia-España·2|3-4</t>
  </si>
  <si>
    <t>Inglaterra-Argentina·2|1-3</t>
  </si>
  <si>
    <t>España-Argentina·2|2-3</t>
  </si>
  <si>
    <t>MBAPPE</t>
  </si>
  <si>
    <t>MESSI</t>
  </si>
  <si>
    <t>KANE</t>
  </si>
  <si>
    <t>JULIAN ALVAREZ</t>
  </si>
  <si>
    <t>LAMINE YAMAL</t>
  </si>
  <si>
    <t>Andres Fermin</t>
  </si>
  <si>
    <t>México-Suiza·2|0-1</t>
  </si>
  <si>
    <t>Alemania-Escocia·1|2-0</t>
  </si>
  <si>
    <t>Ecuador-Senegal·2|1-2</t>
  </si>
  <si>
    <t>Francia-Suecia·1|2-1</t>
  </si>
  <si>
    <t>Corea del Sur-Costa de Marfil·1|1-0</t>
  </si>
  <si>
    <t>Inglaterra-RD Congo·1|2-0</t>
  </si>
  <si>
    <t>Bélgica-Noruega·2|0-1</t>
  </si>
  <si>
    <t>Australia-Catar·1|1-0</t>
  </si>
  <si>
    <t>Colombia-Croacia·2|0-1</t>
  </si>
  <si>
    <t>Canadá-Irán·1|1-0</t>
  </si>
  <si>
    <t>Suiza-Países Bajos·2|0-2</t>
  </si>
  <si>
    <t>Brasil-Senegal·1|1-0</t>
  </si>
  <si>
    <t>Australia-Noruega·2|0-1</t>
  </si>
  <si>
    <t>Argentina-Egipto·1|2-1</t>
  </si>
  <si>
    <t>España-Noruega·1|2-1</t>
  </si>
  <si>
    <t>Francia-España·1|2-1</t>
  </si>
  <si>
    <t>España-Inglaterra·1|2-0</t>
  </si>
  <si>
    <t>Francia-Portugal·1|2-0</t>
  </si>
  <si>
    <t>Ousmane Dembélé</t>
  </si>
  <si>
    <t>Juan Dorante</t>
  </si>
  <si>
    <t>República Checa-Canadá·1|2-1</t>
  </si>
  <si>
    <t>Brasil-Japón·1|2-0</t>
  </si>
  <si>
    <t>Estados Unidos-Bosnia y Herzegovina·1|3-2</t>
  </si>
  <si>
    <t>Suiza-Argelia·1|3-1</t>
  </si>
  <si>
    <t>Turquía-Irán·1|1-0</t>
  </si>
  <si>
    <t>Brasil-Noruega·1|3-0</t>
  </si>
  <si>
    <t>Estados Unidos-Bélgica·1|2-0</t>
  </si>
  <si>
    <t>Argentina-Turquía·1|3-0</t>
  </si>
  <si>
    <t>Francia-Países Bajos·2|1-3</t>
  </si>
  <si>
    <t>España-Estados Unidos·1|3-1</t>
  </si>
  <si>
    <t>Países Bajos-España·1|3-1</t>
  </si>
  <si>
    <t>Brasil-Argentina·2|2-3</t>
  </si>
  <si>
    <t>España-Brasil·2|1-3</t>
  </si>
  <si>
    <t>Países Bajos-Argentina·1|4-3</t>
  </si>
  <si>
    <t>Mbappé</t>
  </si>
  <si>
    <t>Messi</t>
  </si>
  <si>
    <t>Inter</t>
  </si>
  <si>
    <t>Carlos Gimenez</t>
  </si>
  <si>
    <t>República Checa-Canadá·2|1-2</t>
  </si>
  <si>
    <t>Francia-Paraguay·1|4-0</t>
  </si>
  <si>
    <t>México-Costa de Marfil·1|2-0</t>
  </si>
  <si>
    <t>Inglaterra-Senegal·1|3-0</t>
  </si>
  <si>
    <t>España-Austria·1|2-1</t>
  </si>
  <si>
    <t>Suiza-Argelia·1|2-0</t>
  </si>
  <si>
    <t>Brasil-Noruega·1|3-1</t>
  </si>
  <si>
    <t>Argentina-Portugal·1|1-0</t>
  </si>
  <si>
    <t>Brasil-Argentina·1|1-0</t>
  </si>
  <si>
    <t>España-Argentina·2|1-2</t>
  </si>
  <si>
    <t>Francia-Brasil·1|2-1</t>
  </si>
  <si>
    <t>Vinícius Júnior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</si>
</sst>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s>
  <cellStyleXfs count="10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xf numFmtId="0" fontId="24" fillId="0" borderId="0"/>
    <xf numFmtId="0" fontId="108" fillId="0" borderId="0"/>
    <xf numFmtId="0" fontId="24" fillId="0" borderId="0"/>
  </cellStyleXfs>
  <cellXfs count="865">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101">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Normal 7" xfId="98" xr:uid="{8CC271B2-73DB-4B98-96B1-BBDF663DD96C}"/>
    <cellStyle name="Normal 8" xfId="99" xr:uid="{C3C58A53-2ED5-4D76-8F68-9B79748FED05}"/>
    <cellStyle name="Normal 9" xfId="100" xr:uid="{95983FE4-591F-4A37-ADA1-60825A7D5F56}"/>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Stats!$H$8:$H$31</c:f>
              <c:numCache>
                <c:formatCode>General</c:formatCode>
                <c:ptCount val="24"/>
                <c:pt idx="0">
                  <c:v>0</c:v>
                </c:pt>
              </c:numCache>
            </c:num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numRef>
              <c:f>Stats!$H$8:$H$31</c:f>
              <c:numCache>
                <c:formatCode>General</c:formatCode>
                <c:ptCount val="24"/>
                <c:pt idx="0">
                  <c:v>0</c:v>
                </c:pt>
              </c:numCache>
            </c:num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numRef>
              <c:f>Stats!$H$8:$H$31</c:f>
              <c:numCache>
                <c:formatCode>General</c:formatCode>
                <c:ptCount val="24"/>
                <c:pt idx="0">
                  <c:v>0</c:v>
                </c:pt>
              </c:numCache>
            </c:num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22"/>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0">
    <v>0</v>
    <v>4</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D13" sqref="D13"/>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1" customHeight="1">
      <c r="A3" s="383"/>
      <c r="B3" s="795" t="str">
        <f>Idiomas!D8</f>
        <v>XXIII Mundial USA/MEX/CAN 2026</v>
      </c>
      <c r="C3" s="795"/>
      <c r="D3" s="795"/>
      <c r="E3" s="795"/>
      <c r="F3" s="795"/>
      <c r="G3" s="795"/>
      <c r="H3" s="795"/>
      <c r="I3" s="795"/>
      <c r="J3" s="795"/>
      <c r="K3" s="795"/>
      <c r="L3" s="795"/>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100000000000001"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4.9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100000000000001"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4.95" customHeight="1" thickBot="1">
      <c r="A8" s="383"/>
      <c r="B8" s="391"/>
      <c r="C8" s="40" t="s">
        <v>158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100000000000001"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4.95" customHeight="1" thickBot="1">
      <c r="A10" s="383"/>
      <c r="B10" s="391"/>
      <c r="C10" s="40" t="s">
        <v>2585</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100000000000001"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4.9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100000000000001"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4.9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39.950000000000003" customHeight="1" thickBot="1">
      <c r="A16" s="383"/>
      <c r="B16" s="383"/>
      <c r="C16" s="383"/>
      <c r="D16" s="383"/>
      <c r="E16" s="793"/>
      <c r="F16" s="794"/>
      <c r="G16" s="794"/>
      <c r="H16" s="794"/>
      <c r="I16" s="794"/>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39.950000000000003" customHeight="1" thickBot="1">
      <c r="A17" s="383"/>
      <c r="B17" s="383"/>
      <c r="C17" s="383"/>
      <c r="D17" s="383"/>
      <c r="E17" s="792"/>
      <c r="F17" s="792"/>
      <c r="G17" s="792"/>
      <c r="H17" s="792"/>
      <c r="I17" s="792"/>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1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Quedan 38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0.95"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100000000000001"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796"/>
      <c r="C24" s="797"/>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46184</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D7" sqref="AD7"/>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30" t="str">
        <f>Idiomas!D8</f>
        <v>XXIII Mundial USA/MEX/CAN 2026</v>
      </c>
      <c r="X1" s="830"/>
      <c r="Y1" s="830"/>
      <c r="Z1" s="830"/>
      <c r="AA1" s="830"/>
      <c r="AB1" s="830"/>
      <c r="AC1" s="830"/>
      <c r="AD1" s="830"/>
      <c r="AE1" s="830"/>
      <c r="AF1" s="830"/>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9.9499999999999993"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7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Pendiente</v>
      </c>
      <c r="E4" s="742" t="str">
        <f t="shared" ref="E4:E9" si="1">IF(D4="Pendiente","-",INDEX($BT$6:$BT$53,MATCH($AA4,$BD$6:$BD$53,0)))</f>
        <v>-</v>
      </c>
      <c r="F4" s="742" t="str">
        <f t="shared" ref="F4:F9" si="2">IF(D4="Pendiente","-",INDEX($BT$6:$BT$53,MATCH($AF4,$BD$6:$BD$53,0)))</f>
        <v>-</v>
      </c>
      <c r="G4" s="742"/>
      <c r="H4" s="742" t="str">
        <f t="shared" ref="H4:H9" si="3">IF(D4="Pendiente","-",INDEX($BZ$6:$BZ$53,MATCH($AA4,$BD$6:$BD$53,0)))</f>
        <v>-</v>
      </c>
      <c r="I4" s="742" t="str">
        <f t="shared" ref="I4:I9" si="4">IF(D4="Pendiente","-",INDEX($BZ$6:$BZ$53,MATCH($AF4,$BD$6:$BD$53,0)))</f>
        <v>-</v>
      </c>
      <c r="J4" s="742"/>
      <c r="K4" s="742" t="str">
        <f t="shared" ref="K4:K9" si="5">IF(D4="Pendiente","-",INDEX($CE$6:$CE$53,MATCH($AA4,$BD$6:$BD$53,0)))</f>
        <v>-</v>
      </c>
      <c r="L4" s="742" t="str">
        <f t="shared" ref="L4:L9" si="6">IF(D4="Pendiente","-",INDEX($CE$6:$CE$53,MATCH($AF4,$BD$6:$BD$53,0)))</f>
        <v>-</v>
      </c>
      <c r="M4" s="742"/>
      <c r="N4" s="742" t="str">
        <f t="shared" ref="N4:N9" si="7">IF(D4="Pendiente","-",INDEX($CH$6:$CH$53,MATCH($AA4,$BD$6:$BD$53,0)))</f>
        <v>-</v>
      </c>
      <c r="O4" s="742" t="str">
        <f t="shared" ref="O4:O9" si="8">IF(D4="Pendiente","-",INDEX($CH$6:$CH$53,MATCH($AF4,$BD$6:$BD$53,0)))</f>
        <v>-</v>
      </c>
      <c r="P4" s="742"/>
      <c r="Q4" s="742" t="str">
        <f t="shared" ref="Q4:Q9" si="9">IF(D4="Pendiente","-",INDEX($CN$6:$CN$53,MATCH($AA4,$BD$6:$BD$53,0)))</f>
        <v>-</v>
      </c>
      <c r="R4" s="742" t="str">
        <f t="shared" ref="R4:R9" si="10">IF(D4="Pendiente","-",INDEX($CN$6:$CN$53,MATCH($AF4,$BD$6:$BD$53,0)))</f>
        <v>-</v>
      </c>
      <c r="S4" s="742"/>
      <c r="T4" s="742" t="str">
        <f t="shared" ref="T4:T9" si="11">IF(D4="Pendiente","-",INDEX($CS$6:$CS$53,MATCH($AA4,$BD$6:$BD$53,0)))</f>
        <v>-</v>
      </c>
      <c r="U4" s="742" t="str">
        <f t="shared" ref="U4:U9" si="12">IF(D4="Pendiente","-",INDEX($CS$6:$CS$53,MATCH($AF4,$BD$6:$BD$53,0)))</f>
        <v>-</v>
      </c>
      <c r="V4" s="172"/>
      <c r="W4" s="826" t="s">
        <v>0</v>
      </c>
      <c r="X4" s="189">
        <f ca="1">Horarios!C4</f>
        <v>46184.625</v>
      </c>
      <c r="Y4" s="190">
        <f ca="1">Horarios!C4</f>
        <v>46184.625</v>
      </c>
      <c r="Z4" s="191" t="str">
        <f>Idiomas!D63</f>
        <v>J1</v>
      </c>
      <c r="AA4" s="192" t="str">
        <f ca="1">+A5</f>
        <v>México</v>
      </c>
      <c r="AB4" s="480" t="str" cm="1">
        <f t="array" aca="1" ref="AB4" ca="1">Ver_flag_local</f>
        <v/>
      </c>
      <c r="AC4" s="193">
        <v>2</v>
      </c>
      <c r="AD4" s="194">
        <v>0</v>
      </c>
      <c r="AE4" s="483" t="str" cm="1">
        <f t="array" aca="1" ref="AE4" ca="1">Ver_flag_visit</f>
        <v/>
      </c>
      <c r="AF4" s="195" t="str">
        <f ca="1">A6</f>
        <v>Sudáfrica</v>
      </c>
      <c r="AG4" s="413">
        <f t="shared" ref="AG4:AG9" si="13">IF(NOT(OR(ISBLANK(AC4),ISBLANK(AD4))),1,0)</f>
        <v>0</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México-Sudáfrica</v>
      </c>
      <c r="DU4" s="742"/>
      <c r="DV4" s="742"/>
      <c r="DW4" s="8"/>
    </row>
    <row r="5" spans="1:127" ht="17.100000000000001" customHeight="1">
      <c r="A5" s="743" t="str">
        <f ca="1">+Equipos!B2</f>
        <v>México</v>
      </c>
      <c r="B5" s="740"/>
      <c r="C5" s="740"/>
      <c r="D5" s="742" t="str">
        <f t="shared" si="0"/>
        <v>Pendiente</v>
      </c>
      <c r="E5" s="742" t="str">
        <f t="shared" si="1"/>
        <v>-</v>
      </c>
      <c r="F5" s="742" t="str">
        <f t="shared" si="2"/>
        <v>-</v>
      </c>
      <c r="G5" s="742"/>
      <c r="H5" s="742" t="str">
        <f t="shared" si="3"/>
        <v>-</v>
      </c>
      <c r="I5" s="742" t="str">
        <f t="shared" si="4"/>
        <v>-</v>
      </c>
      <c r="J5" s="742"/>
      <c r="K5" s="742" t="str">
        <f t="shared" si="5"/>
        <v>-</v>
      </c>
      <c r="L5" s="742" t="str">
        <f t="shared" si="6"/>
        <v>-</v>
      </c>
      <c r="M5" s="742"/>
      <c r="N5" s="742" t="str">
        <f t="shared" si="7"/>
        <v>-</v>
      </c>
      <c r="O5" s="742" t="str">
        <f t="shared" si="8"/>
        <v>-</v>
      </c>
      <c r="P5" s="742"/>
      <c r="Q5" s="742" t="str">
        <f t="shared" si="9"/>
        <v>-</v>
      </c>
      <c r="R5" s="742" t="str">
        <f t="shared" si="10"/>
        <v>-</v>
      </c>
      <c r="S5" s="742"/>
      <c r="T5" s="742" t="str">
        <f t="shared" si="11"/>
        <v>-</v>
      </c>
      <c r="U5" s="742" t="str">
        <f t="shared" si="12"/>
        <v>-</v>
      </c>
      <c r="V5" s="172"/>
      <c r="W5" s="826"/>
      <c r="X5" s="189">
        <f ca="1">Horarios!C5</f>
        <v>46184.916666666664</v>
      </c>
      <c r="Y5" s="190">
        <f ca="1">Horarios!C5</f>
        <v>46184.916666666664</v>
      </c>
      <c r="Z5" s="191" t="str">
        <f>$Z$4</f>
        <v>J1</v>
      </c>
      <c r="AA5" s="192" t="str">
        <f ca="1">A7</f>
        <v>Corea del Sur</v>
      </c>
      <c r="AB5" s="480" t="str" cm="1">
        <f t="array" aca="1" ref="AB5" ca="1">Ver_flag_local</f>
        <v/>
      </c>
      <c r="AC5" s="193"/>
      <c r="AD5" s="194"/>
      <c r="AE5" s="483" t="str" cm="1">
        <f t="array" aca="1" ref="AE5" ca="1">Ver_flag_visit</f>
        <v/>
      </c>
      <c r="AF5" s="195" t="str">
        <f ca="1">A8</f>
        <v>República Checa</v>
      </c>
      <c r="AG5" s="413">
        <f t="shared" si="13"/>
        <v>0</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2"/>
      <c r="BC5" s="750" t="str">
        <f>Idiomas!D22</f>
        <v>Grupo</v>
      </c>
      <c r="BD5" s="750" t="str">
        <f>Idiomas!D54</f>
        <v>Selección</v>
      </c>
      <c r="BE5" s="750" t="str">
        <f t="shared" ref="BE5:BL5" si="14">+AM5</f>
        <v>Pts</v>
      </c>
      <c r="BF5" s="750" t="str">
        <f t="shared" si="14"/>
        <v>J</v>
      </c>
      <c r="BG5" s="750" t="str">
        <f t="shared" si="14"/>
        <v>G</v>
      </c>
      <c r="BH5" s="750" t="str">
        <f t="shared" si="14"/>
        <v>E</v>
      </c>
      <c r="BI5" s="750" t="str">
        <f t="shared" si="14"/>
        <v>P</v>
      </c>
      <c r="BJ5" s="750" t="str">
        <f t="shared" si="14"/>
        <v>GF</v>
      </c>
      <c r="BK5" s="750" t="str">
        <f t="shared" si="14"/>
        <v>GC</v>
      </c>
      <c r="BL5" s="750" t="str">
        <f t="shared" si="14"/>
        <v>DG</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Corea del Sur-República Checa</v>
      </c>
      <c r="DU5" s="742"/>
      <c r="DV5" s="742"/>
      <c r="DW5" s="8"/>
    </row>
    <row r="6" spans="1:127" ht="17.100000000000001" customHeight="1">
      <c r="A6" s="743" t="str">
        <f ca="1">+Equipos!B3</f>
        <v>Sudáfrica</v>
      </c>
      <c r="B6" s="740"/>
      <c r="C6" s="744"/>
      <c r="D6" s="742" t="str">
        <f t="shared" si="0"/>
        <v>Pendiente</v>
      </c>
      <c r="E6" s="742" t="str">
        <f t="shared" si="1"/>
        <v>-</v>
      </c>
      <c r="F6" s="742" t="str">
        <f t="shared" si="2"/>
        <v>-</v>
      </c>
      <c r="G6" s="742"/>
      <c r="H6" s="742" t="str">
        <f t="shared" si="3"/>
        <v>-</v>
      </c>
      <c r="I6" s="742" t="str">
        <f t="shared" si="4"/>
        <v>-</v>
      </c>
      <c r="J6" s="742"/>
      <c r="K6" s="742" t="str">
        <f t="shared" si="5"/>
        <v>-</v>
      </c>
      <c r="L6" s="742" t="str">
        <f t="shared" si="6"/>
        <v>-</v>
      </c>
      <c r="M6" s="742"/>
      <c r="N6" s="742" t="str">
        <f t="shared" si="7"/>
        <v>-</v>
      </c>
      <c r="O6" s="742" t="str">
        <f t="shared" si="8"/>
        <v>-</v>
      </c>
      <c r="P6" s="742"/>
      <c r="Q6" s="742" t="str">
        <f t="shared" si="9"/>
        <v>-</v>
      </c>
      <c r="R6" s="742" t="str">
        <f t="shared" si="10"/>
        <v>-</v>
      </c>
      <c r="S6" s="742"/>
      <c r="T6" s="742" t="str">
        <f t="shared" si="11"/>
        <v>-</v>
      </c>
      <c r="U6" s="742" t="str">
        <f t="shared" si="12"/>
        <v>-</v>
      </c>
      <c r="V6" s="172"/>
      <c r="W6" s="826"/>
      <c r="X6" s="189">
        <f ca="1">Horarios!C6</f>
        <v>46191.5</v>
      </c>
      <c r="Y6" s="190">
        <f ca="1">Horarios!C6</f>
        <v>46191.5</v>
      </c>
      <c r="Z6" s="191" t="str">
        <f>Idiomas!D64</f>
        <v>J2</v>
      </c>
      <c r="AA6" s="192" t="str">
        <f ca="1">A8</f>
        <v>República Checa</v>
      </c>
      <c r="AB6" s="480" t="str" cm="1">
        <f t="array" aca="1" ref="AB6" ca="1">Ver_flag_local</f>
        <v/>
      </c>
      <c r="AC6" s="193"/>
      <c r="AD6" s="194"/>
      <c r="AE6" s="483" t="str" cm="1">
        <f t="array" aca="1" ref="AE6" ca="1">Ver_flag_visit</f>
        <v/>
      </c>
      <c r="AF6" s="195" t="str">
        <f ca="1">A6</f>
        <v>Sudáfrica</v>
      </c>
      <c r="AG6" s="413">
        <f t="shared" si="13"/>
        <v>0</v>
      </c>
      <c r="AH6" s="196">
        <v>25</v>
      </c>
      <c r="AI6" s="19" t="str">
        <f>AJ6&amp;$B$4</f>
        <v>1A</v>
      </c>
      <c r="AJ6" s="211">
        <v>1</v>
      </c>
      <c r="AK6" s="490" t="str" cm="1">
        <f t="array" aca="1" ref="AK6" ca="1">Ver_flag_visit</f>
        <v/>
      </c>
      <c r="AL6" s="212" t="str">
        <f ca="1">IFERROR(INDEX($BD$6:$BD$53,MATCH(AI6,$BN$6:$BN$53,0)),"")</f>
        <v>México</v>
      </c>
      <c r="AM6" s="213">
        <f t="shared" ref="AM6:AT9" ca="1" si="16">INDEX($BE$6:$BN$53,MATCH($AL6,$BD$6:$BD$53,0),MATCH(AM$5,$BE$5:$BN$5,0))</f>
        <v>0</v>
      </c>
      <c r="AN6" s="214">
        <f t="shared" ca="1" si="16"/>
        <v>0</v>
      </c>
      <c r="AO6" s="214">
        <f t="shared" ca="1" si="16"/>
        <v>0</v>
      </c>
      <c r="AP6" s="214">
        <f t="shared" ca="1" si="16"/>
        <v>0</v>
      </c>
      <c r="AQ6" s="214">
        <f t="shared" ca="1" si="16"/>
        <v>0</v>
      </c>
      <c r="AR6" s="214">
        <f t="shared" ca="1" si="16"/>
        <v>0</v>
      </c>
      <c r="AS6" s="214">
        <f t="shared" ca="1" si="16"/>
        <v>0</v>
      </c>
      <c r="AT6" s="215">
        <f t="shared" ca="1" si="16"/>
        <v>0</v>
      </c>
      <c r="AU6" s="420">
        <f ca="1">INDEX($DL$6:$DL$53,MATCH(AI6,$DP$6:$DP$53,0))</f>
        <v>1</v>
      </c>
      <c r="AV6" s="217" t="str">
        <f ca="1">INDEX($BD$6:$BD$53,MATCH(AI6,$BM$6:$BM$53,0))</f>
        <v>México</v>
      </c>
      <c r="AW6" s="427"/>
      <c r="AX6" s="218"/>
      <c r="AY6" s="219" t="str">
        <f ca="1">+A5</f>
        <v>México</v>
      </c>
      <c r="AZ6" s="220"/>
      <c r="BA6" s="175"/>
      <c r="BB6" s="742"/>
      <c r="BC6" s="754" t="str">
        <f ca="1">+INDEX(T_Equipos[Grupo],MATCH(WORLDCUP!BD6,T_Equipos[NombreEquipo],0))</f>
        <v>A</v>
      </c>
      <c r="BD6" s="742" t="str">
        <f ca="1">+Equipos!B2</f>
        <v>México</v>
      </c>
      <c r="BE6" s="746">
        <f ca="1">+BG6*3+BH6+IF($AZ$3="no",0,INDEX($AZ$6:$AZ$97,MATCH(BD6,$AY$6:$AY$97,0)))</f>
        <v>0</v>
      </c>
      <c r="BF6" s="746">
        <f ca="1">+BG6+BH6+BI6</f>
        <v>0</v>
      </c>
      <c r="BG6" s="746">
        <f t="shared" ref="BG6:BG53" ca="1" si="17">+COUNTIFS(FGLocal,BD6,Ganador,"Local")+COUNTIFS(FGVisitante,BD6,Ganador,"Visitante")</f>
        <v>0</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0</v>
      </c>
      <c r="BK6" s="746">
        <f t="shared" ref="BK6:BK53" ca="1" si="21">+SUMIFS(FG_GolesLocal,FGVisitante,BD6,Ganador,"&lt;&gt;"&amp;"Pendiente",FG_GolesLocal,"&lt;&gt;"&amp;"",FG_GolesVisitante,"&lt;&gt;"&amp;"")+SUMIFS(FG_GolesVisitante,FGLocal,BD6,Ganador,"&lt;&gt;"&amp;"Pendiente",FG_GolesLocal,"&lt;&gt;"&amp;"",FG_GolesVisitante,"&lt;&gt;"&amp;"")</f>
        <v>0</v>
      </c>
      <c r="BL6" s="746">
        <f ca="1">+BJ6-BK6</f>
        <v>0</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0</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P.1 (4)</v>
      </c>
      <c r="BU6" s="756">
        <f ca="1">IF($BT6="-","-",COUNTIFS(FGLocal,$BD6,Ganador,"Local",Part1Empate1V,$BT6)+COUNTIFS(FGVisitante,$BD6,Ganador,"Visitante",Part1Empate1L,$BT6))</f>
        <v>0</v>
      </c>
      <c r="BV6" s="756">
        <f ca="1">IF($BT6="-","-",COUNTIFS(FGLocal,$BD6,Ganador,"Empate",Part1Empate1V,$BT6)+COUNTIFS(FGVisitante,$BD6,Ganador,"Empate",Part1Empate1L,$BT6))</f>
        <v>0</v>
      </c>
      <c r="BW6" s="756">
        <f ca="1">IF($BT6="-","-",COUNTIFS(FGLocal,$BD6,Ganador,"Visitante",Part1Empate1V,$BT6)+COUNTIFS(FGVisitante,$BD6,Ganador,"Local",Part1Empate1L,$BT6))</f>
        <v>0</v>
      </c>
      <c r="BX6" s="756">
        <f ca="1">IF($BT6="-","-",BU6*3+BV6)</f>
        <v>0</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P.1 (4)</v>
      </c>
      <c r="CA6" s="756">
        <f ca="1">IF($BZ6="-","-",SUMIFS(FG_GolesLocal,FGLocal,$BD6,Part1Empate2V,$BZ6)+SUMIFS(FG_GolesVisitante,FGVisitante,$BD6,Part1Empate2L,$BZ6))</f>
        <v>0</v>
      </c>
      <c r="CB6" s="756">
        <f ca="1">IF($BZ6="-","-",SUMIFS(FG_GolesVisitante,FGLocal,$BD6,Part1Empate2V,$BZ6)+SUMIFS(FG_GolesLocal,FGVisitante,$BD6,Part1Empate2L,$BZ6))</f>
        <v>0</v>
      </c>
      <c r="CC6" s="756">
        <f ca="1">IF($BZ6="-","-",CA6-CB6)</f>
        <v>0</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P.1 (4)</v>
      </c>
      <c r="CF6" s="756">
        <f ca="1">IF($CE6="-","-",SUMIFS(FG_GolesLocal,FGLocal,$BD6,Part1Empate3V,$CE6)+SUMIFS(FG_GolesVisitante,FGVisitante,$BD6,Part1Empate3L,$CE6))</f>
        <v>0</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P.1 (4)</v>
      </c>
      <c r="CI6" s="756">
        <f ca="1">IF($CH6="-","-",COUNTIFS(FGLocal,$BD6,Ganador,"Local",Part2Empate4V,$CH6)+COUNTIFS(FGVisitante,$BD6,Ganador,"Visitante",Part2Empate4L,$CH6))</f>
        <v>0</v>
      </c>
      <c r="CJ6" s="756">
        <f ca="1">IF($CH6="-","-",COUNTIFS(FGLocal,$BD6,Ganador,"Empate",Part2Empate4V,$CH6)+COUNTIFS(FGVisitante,$BD6,Ganador,"Empate",Part2Empate4L,$CH6))</f>
        <v>0</v>
      </c>
      <c r="CK6" s="756">
        <f ca="1">IF($CH6="-","-",COUNTIFS(FGLocal,$BD6,Ganador,"Visitante",Part2Empate4V,$CH6)+COUNTIFS(FGVisitante,$BD6,Ganador,"Local",Part2Empate4L,$CH6))</f>
        <v>0</v>
      </c>
      <c r="CL6" s="756">
        <f ca="1">IF($CH6="-","-",CI6*3+CJ6)</f>
        <v>0</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P.1 (4)</v>
      </c>
      <c r="CO6" s="756">
        <f ca="1">IF($CN6="-","-",SUMIFS(FG_GolesLocal,FGLocal,$BD6,Part2Empate5V,$CN6)+SUMIFS(FG_GolesVisitante,FGVisitante,$BD6,Part2Empate5L,$CN6))</f>
        <v>0</v>
      </c>
      <c r="CP6" s="756">
        <f ca="1">IF($CN6="-","-",SUMIFS(FG_GolesVisitante,FGLocal,$BD6,Part2Empate5V,$CN6)+SUMIFS(FG_GolesLocal,FGVisitante,$BD6,Part2Empate5L,$CN6))</f>
        <v>0</v>
      </c>
      <c r="CQ6" s="756">
        <f ca="1">IF($CN6="-","-",CO6-CP6)</f>
        <v>0</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P.1 (4)</v>
      </c>
      <c r="CT6" s="756">
        <f ca="1">IF($CS6="-","-",SUMIFS(FG_GolesLocal,FGLocal,$BD6,Part2Empate6V,$CS6)+SUMIFS(FG_GolesVisitante,FGVisitante,$BD6,Part2Empate6L,$CS6))</f>
        <v>0</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P.1 (4)</v>
      </c>
      <c r="CW6" s="755">
        <f ca="1">IF(CV6="-","-",BL6)</f>
        <v>0</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P.1 (4)</v>
      </c>
      <c r="CZ6" s="755">
        <f ca="1">IF(CY6="-","-",BJ6)</f>
        <v>0</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P.1 (4)</v>
      </c>
      <c r="DC6" s="754">
        <f ca="1">IF(DB6="-","-",COUNTIFS(T_Equipos[Rank],"&lt;"&amp;INDEX(T_Equipos[Rank],MATCH(BD6,T_Equipos[NombreEquipo],0)),$BC$6:$BC$53,INDEX(T_Equipos[Grupo],MATCH(BD6,T_Equipos[NombreEquipo],0)))+1)</f>
        <v>1</v>
      </c>
      <c r="DD6" s="754">
        <f ca="1">DA6+COUNTIFS($DB$6:$DB$53,DB6,$DC$6:DC$53,"&lt;"&amp;DC6,$BC$6:$BC$53,INDEX(T_Equipos[Grupo],MATCH(BD6,T_Equipos[NombreEquipo],0)))</f>
        <v>1</v>
      </c>
      <c r="DE6" s="754"/>
      <c r="DF6" s="754">
        <f ca="1">IF(OR(INDEX($AW$6:$AW$97,MATCH($BD6,$AV$6:$AV$97,0))="",DB6="-"),DD6,INDEX($AW$6:$AW$97,MATCH($BD6,$AV$6:$AV$97,0))+DD6/1000)</f>
        <v>1</v>
      </c>
      <c r="DG6" s="754">
        <f ca="1">IF(DB6="-","-",COUNTIFS(DF$6:DF$53,"&lt;"&amp;DF6,$BC$6:$BC$53,INDEX(T_Equipos[Grupo],MATCH(BD6,T_Equipos[NombreEquipo],0))))</f>
        <v>0</v>
      </c>
      <c r="DH6" s="754">
        <f ca="1">DA6+COUNTIFS(DB$6:DB$53,DB6,DG$6:DG$53,"&lt;"&amp;DG6,$BC$6:$BC$53,INDEX(T_Equipos[Grupo],MATCH(BD6,T_Equipos[NombreEquipo],0)))</f>
        <v>1</v>
      </c>
      <c r="DI6" s="742"/>
      <c r="DJ6" s="742">
        <f ca="1">INDEX($DA$6:$DA$53,MATCH($DQ6,$BD$6:$BD$53,0))</f>
        <v>1</v>
      </c>
      <c r="DK6" s="742">
        <f t="shared" ref="DK6:DK53" ca="1" si="24">+SUMIF($BC$6:$BC$53,BC6,$BF$6:$BF$53)</f>
        <v>0</v>
      </c>
      <c r="DL6" s="742">
        <f ca="1">IF(OR(DK6=12,$AJ$99=144),COUNTIFS($DJ$6:$DJ$53,DJ6,$BC$6:$BC$53,BC6),1)</f>
        <v>1</v>
      </c>
      <c r="DM6" s="736" t="str">
        <f ca="1">DJ6&amp;"."&amp;DL6</f>
        <v>1.1</v>
      </c>
      <c r="DN6" s="742" cm="1">
        <f t="array" aca="1" ref="DN6" ca="1">OFFSET(Horarios!$P$3,DJ6-1,0,DL6,1)</f>
        <v>1</v>
      </c>
      <c r="DO6" s="742"/>
      <c r="DP6" s="742" t="s">
        <v>645</v>
      </c>
      <c r="DQ6" s="742" t="str">
        <f ca="1">INDEX($BD$6:$BD$53,MATCH(DP6,$BM$6:$BM$53,0))</f>
        <v>México</v>
      </c>
      <c r="DR6" s="742"/>
      <c r="DS6" s="742"/>
      <c r="DT6" s="742" t="str">
        <f t="shared" ca="1" si="15"/>
        <v>República Checa-Sudáfrica</v>
      </c>
      <c r="DU6" s="742"/>
      <c r="DV6" s="742"/>
      <c r="DW6" s="8"/>
    </row>
    <row r="7" spans="1:127" ht="17.100000000000001" customHeight="1">
      <c r="A7" s="743" t="str">
        <f ca="1">+Equipos!B4</f>
        <v>Corea del Sur</v>
      </c>
      <c r="B7" s="740"/>
      <c r="C7" s="742"/>
      <c r="D7" s="742" t="str">
        <f t="shared" si="0"/>
        <v>Pendiente</v>
      </c>
      <c r="E7" s="742" t="str">
        <f t="shared" si="1"/>
        <v>-</v>
      </c>
      <c r="F7" s="742" t="str">
        <f t="shared" si="2"/>
        <v>-</v>
      </c>
      <c r="G7" s="742"/>
      <c r="H7" s="742" t="str">
        <f t="shared" si="3"/>
        <v>-</v>
      </c>
      <c r="I7" s="742" t="str">
        <f t="shared" si="4"/>
        <v>-</v>
      </c>
      <c r="J7" s="742"/>
      <c r="K7" s="742" t="str">
        <f t="shared" si="5"/>
        <v>-</v>
      </c>
      <c r="L7" s="742" t="str">
        <f t="shared" si="6"/>
        <v>-</v>
      </c>
      <c r="M7" s="742"/>
      <c r="N7" s="742" t="str">
        <f t="shared" si="7"/>
        <v>-</v>
      </c>
      <c r="O7" s="742" t="str">
        <f t="shared" si="8"/>
        <v>-</v>
      </c>
      <c r="P7" s="742"/>
      <c r="Q7" s="742" t="str">
        <f t="shared" si="9"/>
        <v>-</v>
      </c>
      <c r="R7" s="742" t="str">
        <f t="shared" si="10"/>
        <v>-</v>
      </c>
      <c r="S7" s="742"/>
      <c r="T7" s="742" t="str">
        <f t="shared" si="11"/>
        <v>-</v>
      </c>
      <c r="U7" s="742" t="str">
        <f t="shared" si="12"/>
        <v>-</v>
      </c>
      <c r="V7" s="172"/>
      <c r="W7" s="826"/>
      <c r="X7" s="189">
        <f ca="1">Horarios!C7</f>
        <v>46191.875</v>
      </c>
      <c r="Y7" s="190">
        <f ca="1">Horarios!C7</f>
        <v>46191.875</v>
      </c>
      <c r="Z7" s="191" t="str">
        <f>$Z$6</f>
        <v>J2</v>
      </c>
      <c r="AA7" s="192" t="str">
        <f ca="1">A5</f>
        <v>México</v>
      </c>
      <c r="AB7" s="480" t="str" cm="1">
        <f t="array" aca="1" ref="AB7" ca="1">Ver_flag_local</f>
        <v/>
      </c>
      <c r="AC7" s="193"/>
      <c r="AD7" s="194"/>
      <c r="AE7" s="483" t="str" cm="1">
        <f t="array" aca="1" ref="AE7" ca="1">Ver_flag_visit</f>
        <v/>
      </c>
      <c r="AF7" s="195" t="str">
        <f ca="1">A7</f>
        <v>Corea del Sur</v>
      </c>
      <c r="AG7" s="413">
        <f t="shared" si="13"/>
        <v>0</v>
      </c>
      <c r="AH7" s="196">
        <v>28</v>
      </c>
      <c r="AI7" s="19" t="str">
        <f>AJ7&amp;$B$4</f>
        <v>2A</v>
      </c>
      <c r="AJ7" s="221">
        <v>2</v>
      </c>
      <c r="AK7" s="491" t="str" cm="1">
        <f t="array" aca="1" ref="AK7" ca="1">Ver_flag_visit</f>
        <v/>
      </c>
      <c r="AL7" s="222" t="str">
        <f ca="1">IFERROR(INDEX($BD$6:$BD$53,MATCH(AI7,$BN$6:$BN$53,0)),"")</f>
        <v>Sudáfrica</v>
      </c>
      <c r="AM7" s="223">
        <f t="shared" ca="1" si="16"/>
        <v>0</v>
      </c>
      <c r="AN7" s="224">
        <f t="shared" ca="1" si="16"/>
        <v>0</v>
      </c>
      <c r="AO7" s="224">
        <f t="shared" ca="1" si="16"/>
        <v>0</v>
      </c>
      <c r="AP7" s="224">
        <f t="shared" ca="1" si="16"/>
        <v>0</v>
      </c>
      <c r="AQ7" s="224">
        <f t="shared" ca="1" si="16"/>
        <v>0</v>
      </c>
      <c r="AR7" s="224">
        <f t="shared" ca="1" si="16"/>
        <v>0</v>
      </c>
      <c r="AS7" s="224">
        <f t="shared" ca="1" si="16"/>
        <v>0</v>
      </c>
      <c r="AT7" s="225">
        <f t="shared" ca="1" si="16"/>
        <v>0</v>
      </c>
      <c r="AU7" s="420">
        <f ca="1">INDEX($DL$6:$DL$53,MATCH(AI7,$DP$6:$DP$53,0))</f>
        <v>1</v>
      </c>
      <c r="AV7" s="217" t="str">
        <f ca="1">INDEX($BD$6:$BD$53,MATCH(AI7,$BM$6:$BM$53,0))</f>
        <v>Sudáfrica</v>
      </c>
      <c r="AW7" s="427"/>
      <c r="AX7" s="218"/>
      <c r="AY7" s="226" t="str">
        <f ca="1">+A6</f>
        <v>Sudáfrica</v>
      </c>
      <c r="AZ7" s="227"/>
      <c r="BA7" s="175"/>
      <c r="BB7" s="742"/>
      <c r="BC7" s="754" t="str">
        <f ca="1">+INDEX(T_Equipos[Grupo],MATCH(WORLDCUP!BD7,T_Equipos[NombreEquipo],0))</f>
        <v>A</v>
      </c>
      <c r="BD7" s="742" t="str">
        <f ca="1">+Equipos!B3</f>
        <v>Sudáfrica</v>
      </c>
      <c r="BE7" s="746">
        <f t="shared" ref="BE7:BE53" ca="1" si="25">+BG7*3+BH7+IF($AZ$3="no",0,INDEX($AZ$6:$AZ$97,MATCH(BD7,$AY$6:$AY$97,0)))</f>
        <v>0</v>
      </c>
      <c r="BF7" s="746">
        <f t="shared" ref="BF7:BF53" ca="1" si="26">+BG7+BH7+BI7</f>
        <v>0</v>
      </c>
      <c r="BG7" s="746">
        <f t="shared" ca="1" si="17"/>
        <v>0</v>
      </c>
      <c r="BH7" s="746">
        <f t="shared" ca="1" si="18"/>
        <v>0</v>
      </c>
      <c r="BI7" s="746">
        <f t="shared" ca="1" si="19"/>
        <v>0</v>
      </c>
      <c r="BJ7" s="746">
        <f t="shared" ca="1" si="20"/>
        <v>0</v>
      </c>
      <c r="BK7" s="746">
        <f t="shared" ca="1" si="21"/>
        <v>0</v>
      </c>
      <c r="BL7" s="746">
        <f t="shared" ref="BL7:BL53" ca="1" si="27">+BJ7-BK7</f>
        <v>0</v>
      </c>
      <c r="BM7" s="746" t="str">
        <f t="shared" ca="1" si="22"/>
        <v>2A</v>
      </c>
      <c r="BN7" s="746" t="str">
        <f t="shared" ca="1" si="23"/>
        <v>2A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0</v>
      </c>
      <c r="BS7" s="755">
        <f ca="1">BP7+COUNTIFS($BQ$6:$BQ$53,BQ7,$BR$6:BR$53,"&gt;"&amp;BR7,$BC$6:$BC$53,INDEX(T_Equipos[Grupo],MATCH(BD7,T_Equipos[NombreEquipo],0)))</f>
        <v>1</v>
      </c>
      <c r="BT7" s="755" t="str">
        <f ca="1">IF(COUNTIFS($BS$6:$BS$53,BS7,$BC$6:$BC$53,INDEX(T_Equipos[Grupo],MATCH(BD7,T_Equipos[NombreEquipo],0)))=1,"-","P."&amp;BS7&amp;" ("&amp;COUNTIFS($BS$6:$BS$53,BS7,$BC$6:$BC$53,INDEX(T_Equipos[Grupo],MATCH(BD7,T_Equipos[NombreEquipo],0)))&amp;")")</f>
        <v>P.1 (4)</v>
      </c>
      <c r="BU7" s="756">
        <f ca="1">IF($BT7="-","-",COUNTIFS(FGLocal,$BD7,Ganador,"Local",Part1Empate1V,$BT7)+COUNTIFS(FGVisitante,$BD7,Ganador,"Visitante",Part1Empate1L,$BT7))</f>
        <v>0</v>
      </c>
      <c r="BV7" s="756">
        <f ca="1">IF($BT7="-","-",COUNTIFS(FGLocal,$BD7,Ganador,"Empate",Part1Empate1V,$BT7)+COUNTIFS(FGVisitante,$BD7,Ganador,"Empate",Part1Empate1L,$BT7))</f>
        <v>0</v>
      </c>
      <c r="BW7" s="756">
        <f ca="1">IF($BT7="-","-",COUNTIFS(FGLocal,$BD7,Ganador,"Visitante",Part1Empate1V,$BT7)+COUNTIFS(FGVisitante,$BD7,Ganador,"Local",Part1Empate1L,$BT7))</f>
        <v>0</v>
      </c>
      <c r="BX7" s="756">
        <f ca="1">IF($BT7="-","-",BU7*3+BV7)</f>
        <v>0</v>
      </c>
      <c r="BY7" s="756">
        <f ca="1">BS7+COUNTIFS($BT$6:$BT$53,BT7,$BX$6:BX$53,"&gt;"&amp;BX7,$BC$6:$BC$53,INDEX(T_Equipos[Grupo],MATCH(BD7,T_Equipos[NombreEquipo],0)))</f>
        <v>1</v>
      </c>
      <c r="BZ7" s="755" t="str">
        <f ca="1">IF(COUNTIFS($BY$6:$BY$53,BY7,$BC$6:$BC$53,INDEX(T_Equipos[Grupo],MATCH(BD7,T_Equipos[NombreEquipo],0)))=1,"-","P."&amp;BY7&amp;" ("&amp;COUNTIFS($BY$6:$BY$53,BY7,$BC$6:$BC$53,INDEX(T_Equipos[Grupo],MATCH(BD7,T_Equipos[NombreEquipo],0)))&amp;")")</f>
        <v>P.1 (4)</v>
      </c>
      <c r="CA7" s="756">
        <f ca="1">IF($BZ7="-","-",SUMIFS(FG_GolesLocal,FGLocal,$BD7,Part1Empate2V,$BZ7)+SUMIFS(FG_GolesVisitante,FGVisitante,$BD7,Part1Empate2L,$BZ7))</f>
        <v>0</v>
      </c>
      <c r="CB7" s="756">
        <f ca="1">IF($BZ7="-","-",SUMIFS(FG_GolesVisitante,FGLocal,$BD7,Part1Empate2V,$BZ7)+SUMIFS(FG_GolesLocal,FGVisitante,$BD7,Part1Empate2L,$BZ7))</f>
        <v>0</v>
      </c>
      <c r="CC7" s="756">
        <f ca="1">IF($BZ7="-","-",CA7-CB7)</f>
        <v>0</v>
      </c>
      <c r="CD7" s="756">
        <f ca="1">BY7+COUNTIFS($BZ$6:$BZ$53,BZ7,$CC$6:CC$53,"&gt;"&amp;CC7,$BC$6:$BC$53,INDEX(T_Equipos[Grupo],MATCH(BD7,T_Equipos[NombreEquipo],0)))</f>
        <v>1</v>
      </c>
      <c r="CE7" s="755" t="str">
        <f ca="1">IF(COUNTIFS($CD$6:$CD$53,CD7,$BC$6:$BC$53,INDEX(T_Equipos[Grupo],MATCH(BD7,T_Equipos[NombreEquipo],0)))=1,"-","P."&amp;CD7&amp;" ("&amp;COUNTIFS($CD$6:$CD$53,CD7,$BC$6:$BC$53,INDEX(T_Equipos[Grupo],MATCH(BD7,T_Equipos[NombreEquipo],0)))&amp;")")</f>
        <v>P.1 (4)</v>
      </c>
      <c r="CF7" s="756">
        <f ca="1">IF($CE7="-","-",SUMIFS(FG_GolesLocal,FGLocal,$BD7,Part1Empate3V,$CE7)+SUMIFS(FG_GolesVisitante,FGVisitante,$BD7,Part1Empate3L,$CE7))</f>
        <v>0</v>
      </c>
      <c r="CG7" s="756">
        <f ca="1">CD7+COUNTIFS($CE$6:$CE$53,CE7,$CF$6:CF$53,"&gt;"&amp;CF7,$BC$6:$BC$53,INDEX(T_Equipos[Grupo],MATCH(BD7,T_Equipos[NombreEquipo],0)))</f>
        <v>1</v>
      </c>
      <c r="CH7" s="755" t="str">
        <f ca="1">IF(COUNTIFS($CG$6:$CG$53,CG7,$BC$6:$BC$53,INDEX(T_Equipos[Grupo],MATCH(BD7,T_Equipos[NombreEquipo],0)))=1,"-","P."&amp;CG7&amp;" ("&amp;COUNTIFS($CG$6:$CG$53,CG7,$BC$6:$BC$53,INDEX(T_Equipos[Grupo],MATCH(BD7,T_Equipos[NombreEquipo],0)))&amp;")")</f>
        <v>P.1 (4)</v>
      </c>
      <c r="CI7" s="756">
        <f ca="1">IF($CH7="-","-",COUNTIFS(FGLocal,$BD7,Ganador,"Local",Part2Empate4V,$CH7)+COUNTIFS(FGVisitante,$BD7,Ganador,"Visitante",Part2Empate4L,$CH7))</f>
        <v>0</v>
      </c>
      <c r="CJ7" s="756">
        <f ca="1">IF($CH7="-","-",COUNTIFS(FGLocal,$BD7,Ganador,"Empate",Part2Empate4V,$CH7)+COUNTIFS(FGVisitante,$BD7,Ganador,"Empate",Part2Empate4L,$CH7))</f>
        <v>0</v>
      </c>
      <c r="CK7" s="756">
        <f ca="1">IF($CH7="-","-",COUNTIFS(FGLocal,$BD7,Ganador,"Visitante",Part2Empate4V,$CH7)+COUNTIFS(FGVisitante,$BD7,Ganador,"Local",Part2Empate4L,$CH7))</f>
        <v>0</v>
      </c>
      <c r="CL7" s="756">
        <f ca="1">IF($CH7="-","-",CI7*3+CJ7)</f>
        <v>0</v>
      </c>
      <c r="CM7" s="756">
        <f ca="1">CG7+COUNTIFS($CH$6:$CH$53,CH7,$CL$6:CL$53,"&gt;"&amp;CL7,$BC$6:$BC$53,INDEX(T_Equipos[Grupo],MATCH(BD7,T_Equipos[NombreEquipo],0)))</f>
        <v>1</v>
      </c>
      <c r="CN7" s="755" t="str">
        <f ca="1">IF(COUNTIFS($CM$6:$CM$53,CM7,$BC$6:$BC$53,INDEX(T_Equipos[Grupo],MATCH(BD7,T_Equipos[NombreEquipo],0)))=1,"-","P."&amp;CM7&amp;" ("&amp;COUNTIFS($CM$6:$CM$53,CM7,$BC$6:$BC$53,INDEX(T_Equipos[Grupo],MATCH(BD7,T_Equipos[NombreEquipo],0)))&amp;")")</f>
        <v>P.1 (4)</v>
      </c>
      <c r="CO7" s="756">
        <f ca="1">IF($CN7="-","-",SUMIFS(FG_GolesLocal,FGLocal,$BD7,Part2Empate5V,$CN7)+SUMIFS(FG_GolesVisitante,FGVisitante,$BD7,Part2Empate5L,$CN7))</f>
        <v>0</v>
      </c>
      <c r="CP7" s="756">
        <f ca="1">IF($CN7="-","-",SUMIFS(FG_GolesVisitante,FGLocal,$BD7,Part2Empate5V,$CN7)+SUMIFS(FG_GolesLocal,FGVisitante,$BD7,Part2Empate5L,$CN7))</f>
        <v>0</v>
      </c>
      <c r="CQ7" s="756">
        <f ca="1">IF($CN7="-","-",CO7-CP7)</f>
        <v>0</v>
      </c>
      <c r="CR7" s="756">
        <f ca="1">CM7+COUNTIFS($CN$6:$CN$53,CN7,$CQ$6:CQ$53,"&gt;"&amp;CQ7,$BC$6:$BC$53,INDEX(T_Equipos[Grupo],MATCH(BD7,T_Equipos[NombreEquipo],0)))</f>
        <v>1</v>
      </c>
      <c r="CS7" s="755" t="str">
        <f ca="1">IF(COUNTIFS($CR$6:$CR$53,CR7,$BC$6:$BC$53,INDEX(T_Equipos[Grupo],MATCH(BD7,T_Equipos[NombreEquipo],0)))=1,"-","P."&amp;CR7&amp;" ("&amp;COUNTIFS($CR$6:$CR$53,CR7,$BC$6:$BC$53,INDEX(T_Equipos[Grupo],MATCH(BD7,T_Equipos[NombreEquipo],0)))&amp;")")</f>
        <v>P.1 (4)</v>
      </c>
      <c r="CT7" s="756">
        <f ca="1">IF($CS7="-","-",SUMIFS(FG_GolesLocal,FGLocal,$BD7,Part2Empate6V,$CS7)+SUMIFS(FG_GolesVisitante,FGVisitante,$BD7,Part2Empate6L,$CS7))</f>
        <v>0</v>
      </c>
      <c r="CU7" s="756">
        <f ca="1">CR7+COUNTIFS($CS$6:$CS$53,CS7,$CT$6:CT$53,"&gt;"&amp;CT7,$BC$6:$BC$53,INDEX(T_Equipos[Grupo],MATCH(BD7,T_Equipos[NombreEquipo],0)))</f>
        <v>1</v>
      </c>
      <c r="CV7" s="755" t="str">
        <f ca="1">IF(COUNTIFS($CU$6:$CU$53,CU7,$BC$6:$BC$53,INDEX(T_Equipos[Grupo],MATCH(BD7,T_Equipos[NombreEquipo],0)))=1,"-","P."&amp;CU7&amp;" ("&amp;COUNTIFS($CU$6:$CU$53,CU7,$BC$6:$BC$53,INDEX(T_Equipos[Grupo],MATCH(BD7,T_Equipos[NombreEquipo],0)))&amp;")")</f>
        <v>P.1 (4)</v>
      </c>
      <c r="CW7" s="755">
        <f t="shared" ref="CW7:CW53" ca="1" si="30">IF(CV7="-","-",BL7)</f>
        <v>0</v>
      </c>
      <c r="CX7" s="755">
        <f ca="1">CU7+COUNTIFS($CV$6:$CV$53,CV7,$CW$6:CW$53,"&gt;"&amp;CW7,$BC$6:$BC$53,INDEX(T_Equipos[Grupo],MATCH(BD7,T_Equipos[NombreEquipo],0)))</f>
        <v>1</v>
      </c>
      <c r="CY7" s="755" t="str">
        <f ca="1">IF(COUNTIFS($CX$6:$CX$53,CX7,$BC$6:$BC$53,INDEX(T_Equipos[Grupo],MATCH(BD7,T_Equipos[NombreEquipo],0)))=1,"-","P."&amp;CX7&amp;" ("&amp;COUNTIFS($CX$6:$CX$53,CX7,$BC$6:$BC$53,INDEX(T_Equipos[Grupo],MATCH(BD7,T_Equipos[NombreEquipo],0)))&amp;")")</f>
        <v>P.1 (4)</v>
      </c>
      <c r="CZ7" s="755">
        <f t="shared" ref="CZ7:CZ53" ca="1" si="31">IF(CY7="-","-",BJ7)</f>
        <v>0</v>
      </c>
      <c r="DA7" s="756">
        <f ca="1">CX7+COUNTIFS($CY$6:$CY$53,CY7,$CZ$6:CZ$53,"&gt;"&amp;CZ7,$BC$6:$BC$53,INDEX(T_Equipos[Grupo],MATCH(BD7,T_Equipos[NombreEquipo],0)))</f>
        <v>1</v>
      </c>
      <c r="DB7" s="755" t="str">
        <f ca="1">IF(COUNTIFS($DA$6:$DA$53,DA7,$BC$6:$BC$53,INDEX(T_Equipos[Grupo],MATCH(BD7,T_Equipos[NombreEquipo],0)))=1,"-","P."&amp;DA7&amp;" ("&amp;COUNTIFS($DA$6:$DA$53,DA7,$BC$6:$BC$53,INDEX(T_Equipos[Grupo],MATCH(BD7,T_Equipos[NombreEquipo],0)))&amp;")")</f>
        <v>P.1 (4)</v>
      </c>
      <c r="DC7" s="754">
        <f ca="1">IF(DB7="-","-",COUNTIFS(T_Equipos[Rank],"&lt;"&amp;INDEX(T_Equipos[Rank],MATCH(BD7,T_Equipos[NombreEquipo],0)),$BC$6:$BC$53,INDEX(T_Equipos[Grupo],MATCH(BD7,T_Equipos[NombreEquipo],0)))+1)</f>
        <v>2</v>
      </c>
      <c r="DD7" s="754">
        <f ca="1">DA7+COUNTIFS($DB$6:$DB$53,DB7,$DC$6:DC$53,"&lt;"&amp;DC7,$BC$6:$BC$53,INDEX(T_Equipos[Grupo],MATCH(BD7,T_Equipos[NombreEquipo],0)))</f>
        <v>2</v>
      </c>
      <c r="DE7" s="754"/>
      <c r="DF7" s="754">
        <f t="shared" ref="DF7:DF9" ca="1" si="32">IF(OR(INDEX($AW$6:$AW$97,MATCH($BD7,$AV$6:$AV$97,0))="",DB7="-"),DD7,INDEX($AW$6:$AW$97,MATCH($BD7,$AV$6:$AV$97,0))+DD7/1000)</f>
        <v>2</v>
      </c>
      <c r="DG7" s="754">
        <f ca="1">IF(DB7="-","-",COUNTIFS(DF$6:DF$53,"&lt;"&amp;DF7,$BC$6:$BC$53,INDEX(T_Equipos[Grupo],MATCH(BD7,T_Equipos[NombreEquipo],0))))</f>
        <v>1</v>
      </c>
      <c r="DH7" s="754">
        <f ca="1">DA7+COUNTIFS(DB$6:DB$53,DB7,DG$6:DG$53,"&lt;"&amp;DG7,$BC$6:$BC$53,INDEX(T_Equipos[Grupo],MATCH(BD7,T_Equipos[NombreEquipo],0)))</f>
        <v>2</v>
      </c>
      <c r="DI7" s="742"/>
      <c r="DJ7" s="742">
        <f ca="1">INDEX($DA$6:$DA$53,MATCH($DQ7,$BD$6:$BD$53,0))</f>
        <v>1</v>
      </c>
      <c r="DK7" s="742">
        <f t="shared" ca="1" si="24"/>
        <v>0</v>
      </c>
      <c r="DL7" s="742">
        <f t="shared" ref="DL7:DL53" ca="1" si="33">IF(OR(DK7=12,$AJ$99=144),COUNTIFS($DJ$6:$DJ$53,DJ7,$BC$6:$BC$53,BC7),1)</f>
        <v>1</v>
      </c>
      <c r="DM7" s="736" t="str">
        <f t="shared" ref="DM7:DM53" ca="1" si="34">DJ7&amp;"."&amp;DL7</f>
        <v>1.1</v>
      </c>
      <c r="DN7" s="742" cm="1">
        <f t="array" aca="1" ref="DN7" ca="1">OFFSET(Horarios!$P$3,DJ7-1,0,DL7,1)</f>
        <v>1</v>
      </c>
      <c r="DO7" s="742"/>
      <c r="DP7" s="742" t="s">
        <v>646</v>
      </c>
      <c r="DQ7" s="742" t="str">
        <f t="shared" ref="DQ7:DQ53" ca="1" si="35">INDEX($BD$6:$BD$53,MATCH(DP7,$BM$6:$BM$53,0))</f>
        <v>Sudáfrica</v>
      </c>
      <c r="DR7" s="742"/>
      <c r="DS7" s="742"/>
      <c r="DT7" s="742" t="str">
        <f t="shared" ca="1" si="15"/>
        <v>México-Corea del Sur</v>
      </c>
      <c r="DU7" s="742"/>
      <c r="DV7" s="742"/>
      <c r="DW7" s="8"/>
    </row>
    <row r="8" spans="1:127" ht="17.100000000000001" customHeight="1">
      <c r="A8" s="743" t="str">
        <f ca="1">+Equipos!B5</f>
        <v>República Checa</v>
      </c>
      <c r="B8" s="740"/>
      <c r="C8" s="742"/>
      <c r="D8" s="742" t="str">
        <f t="shared" si="0"/>
        <v>Pendiente</v>
      </c>
      <c r="E8" s="742" t="str">
        <f t="shared" si="1"/>
        <v>-</v>
      </c>
      <c r="F8" s="742" t="str">
        <f t="shared" si="2"/>
        <v>-</v>
      </c>
      <c r="G8" s="742"/>
      <c r="H8" s="742" t="str">
        <f t="shared" si="3"/>
        <v>-</v>
      </c>
      <c r="I8" s="742" t="str">
        <f t="shared" si="4"/>
        <v>-</v>
      </c>
      <c r="J8" s="742"/>
      <c r="K8" s="742" t="str">
        <f t="shared" si="5"/>
        <v>-</v>
      </c>
      <c r="L8" s="742" t="str">
        <f t="shared" si="6"/>
        <v>-</v>
      </c>
      <c r="M8" s="742"/>
      <c r="N8" s="742" t="str">
        <f t="shared" si="7"/>
        <v>-</v>
      </c>
      <c r="O8" s="742" t="str">
        <f t="shared" si="8"/>
        <v>-</v>
      </c>
      <c r="P8" s="742"/>
      <c r="Q8" s="742" t="str">
        <f t="shared" si="9"/>
        <v>-</v>
      </c>
      <c r="R8" s="742" t="str">
        <f t="shared" si="10"/>
        <v>-</v>
      </c>
      <c r="S8" s="742"/>
      <c r="T8" s="742" t="str">
        <f t="shared" si="11"/>
        <v>-</v>
      </c>
      <c r="U8" s="742" t="str">
        <f t="shared" si="12"/>
        <v>-</v>
      </c>
      <c r="V8" s="172"/>
      <c r="W8" s="826"/>
      <c r="X8" s="189">
        <f ca="1">Horarios!C8</f>
        <v>46197.875</v>
      </c>
      <c r="Y8" s="190">
        <f ca="1">Horarios!C8</f>
        <v>46197.875</v>
      </c>
      <c r="Z8" s="191" t="str">
        <f>Idiomas!D65</f>
        <v>J3</v>
      </c>
      <c r="AA8" s="192" t="str">
        <f ca="1">A8</f>
        <v>República Checa</v>
      </c>
      <c r="AB8" s="480" t="str" cm="1">
        <f t="array" aca="1" ref="AB8" ca="1">Ver_flag_local</f>
        <v/>
      </c>
      <c r="AC8" s="193"/>
      <c r="AD8" s="194"/>
      <c r="AE8" s="483" t="str" cm="1">
        <f t="array" aca="1" ref="AE8" ca="1">Ver_flag_visit</f>
        <v/>
      </c>
      <c r="AF8" s="195" t="str">
        <f ca="1">A5</f>
        <v>México</v>
      </c>
      <c r="AG8" s="413">
        <f t="shared" si="13"/>
        <v>0</v>
      </c>
      <c r="AH8" s="196">
        <v>53</v>
      </c>
      <c r="AI8" s="19" t="str">
        <f>AJ8&amp;$B$4</f>
        <v>3A</v>
      </c>
      <c r="AJ8" s="221">
        <v>3</v>
      </c>
      <c r="AK8" s="491" t="str" cm="1">
        <f t="array" aca="1" ref="AK8" ca="1">Ver_flag_visit</f>
        <v/>
      </c>
      <c r="AL8" s="222" t="str">
        <f ca="1">IFERROR(INDEX($BD$6:$BD$53,MATCH(AI8,$BN$6:$BN$53,0)),"")</f>
        <v>Corea del Sur</v>
      </c>
      <c r="AM8" s="223">
        <f t="shared" ca="1" si="16"/>
        <v>0</v>
      </c>
      <c r="AN8" s="224">
        <f t="shared" ca="1" si="16"/>
        <v>0</v>
      </c>
      <c r="AO8" s="224">
        <f t="shared" ca="1" si="16"/>
        <v>0</v>
      </c>
      <c r="AP8" s="224">
        <f t="shared" ca="1" si="16"/>
        <v>0</v>
      </c>
      <c r="AQ8" s="224">
        <f t="shared" ca="1" si="16"/>
        <v>0</v>
      </c>
      <c r="AR8" s="224">
        <f t="shared" ca="1" si="16"/>
        <v>0</v>
      </c>
      <c r="AS8" s="224">
        <f t="shared" ca="1" si="16"/>
        <v>0</v>
      </c>
      <c r="AT8" s="225">
        <f t="shared" ca="1" si="16"/>
        <v>0</v>
      </c>
      <c r="AU8" s="420">
        <f ca="1">INDEX($DL$6:$DL$53,MATCH(AI8,$DP$6:$DP$53,0))</f>
        <v>1</v>
      </c>
      <c r="AV8" s="217" t="str">
        <f ca="1">INDEX($BD$6:$BD$53,MATCH(AI8,$BM$6:$BM$53,0))</f>
        <v>Corea del Sur</v>
      </c>
      <c r="AW8" s="427"/>
      <c r="AX8" s="218"/>
      <c r="AY8" s="219" t="str">
        <f ca="1">+A7</f>
        <v>Corea del Sur</v>
      </c>
      <c r="AZ8" s="220"/>
      <c r="BA8" s="175"/>
      <c r="BB8" s="742"/>
      <c r="BC8" s="754" t="str">
        <f ca="1">+INDEX(T_Equipos[Grupo],MATCH(WORLDCUP!BD8,T_Equipos[NombreEquipo],0))</f>
        <v>A</v>
      </c>
      <c r="BD8" s="742" t="str">
        <f ca="1">+Equipos!B4</f>
        <v>Corea del Sur</v>
      </c>
      <c r="BE8" s="746">
        <f t="shared" ca="1" si="25"/>
        <v>0</v>
      </c>
      <c r="BF8" s="746">
        <f t="shared" ca="1" si="26"/>
        <v>0</v>
      </c>
      <c r="BG8" s="746">
        <f t="shared" ca="1" si="17"/>
        <v>0</v>
      </c>
      <c r="BH8" s="746">
        <f t="shared" ca="1" si="18"/>
        <v>0</v>
      </c>
      <c r="BI8" s="746">
        <f t="shared" ca="1" si="19"/>
        <v>0</v>
      </c>
      <c r="BJ8" s="746">
        <f t="shared" ca="1" si="20"/>
        <v>0</v>
      </c>
      <c r="BK8" s="746">
        <f t="shared" ca="1" si="21"/>
        <v>0</v>
      </c>
      <c r="BL8" s="746">
        <f t="shared" ca="1" si="27"/>
        <v>0</v>
      </c>
      <c r="BM8" s="746" t="str">
        <f t="shared" ca="1" si="22"/>
        <v>3A</v>
      </c>
      <c r="BN8" s="746" t="str">
        <f t="shared" ca="1" si="23"/>
        <v>3A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0</v>
      </c>
      <c r="BS8" s="755">
        <f ca="1">BP8+COUNTIFS($BQ$6:$BQ$53,BQ8,$BR$6:BR$53,"&gt;"&amp;BR8,$BC$6:$BC$53,INDEX(T_Equipos[Grupo],MATCH(BD8,T_Equipos[NombreEquipo],0)))</f>
        <v>1</v>
      </c>
      <c r="BT8" s="755" t="str">
        <f ca="1">IF(COUNTIFS($BS$6:$BS$53,BS8,$BC$6:$BC$53,INDEX(T_Equipos[Grupo],MATCH(BD8,T_Equipos[NombreEquipo],0)))=1,"-","P."&amp;BS8&amp;" ("&amp;COUNTIFS($BS$6:$BS$53,BS8,$BC$6:$BC$53,INDEX(T_Equipos[Grupo],MATCH(BD8,T_Equipos[NombreEquipo],0)))&amp;")")</f>
        <v>P.1 (4)</v>
      </c>
      <c r="BU8" s="756">
        <f ca="1">IF($BT8="-","-",COUNTIFS(FGLocal,$BD8,Ganador,"Local",Part1Empate1V,$BT8)+COUNTIFS(FGVisitante,$BD8,Ganador,"Visitante",Part1Empate1L,$BT8))</f>
        <v>0</v>
      </c>
      <c r="BV8" s="756">
        <f ca="1">IF($BT8="-","-",COUNTIFS(FGLocal,$BD8,Ganador,"Empate",Part1Empate1V,$BT8)+COUNTIFS(FGVisitante,$BD8,Ganador,"Empate",Part1Empate1L,$BT8))</f>
        <v>0</v>
      </c>
      <c r="BW8" s="756">
        <f ca="1">IF($BT8="-","-",COUNTIFS(FGLocal,$BD8,Ganador,"Visitante",Part1Empate1V,$BT8)+COUNTIFS(FGVisitante,$BD8,Ganador,"Local",Part1Empate1L,$BT8))</f>
        <v>0</v>
      </c>
      <c r="BX8" s="756">
        <f ca="1">IF($BT8="-","-",BU8*3+BV8)</f>
        <v>0</v>
      </c>
      <c r="BY8" s="756">
        <f ca="1">BS8+COUNTIFS($BT$6:$BT$53,BT8,$BX$6:BX$53,"&gt;"&amp;BX8,$BC$6:$BC$53,INDEX(T_Equipos[Grupo],MATCH(BD8,T_Equipos[NombreEquipo],0)))</f>
        <v>1</v>
      </c>
      <c r="BZ8" s="755" t="str">
        <f ca="1">IF(COUNTIFS($BY$6:$BY$53,BY8,$BC$6:$BC$53,INDEX(T_Equipos[Grupo],MATCH(BD8,T_Equipos[NombreEquipo],0)))=1,"-","P."&amp;BY8&amp;" ("&amp;COUNTIFS($BY$6:$BY$53,BY8,$BC$6:$BC$53,INDEX(T_Equipos[Grupo],MATCH(BD8,T_Equipos[NombreEquipo],0)))&amp;")")</f>
        <v>P.1 (4)</v>
      </c>
      <c r="CA8" s="756">
        <f ca="1">IF($BZ8="-","-",SUMIFS(FG_GolesLocal,FGLocal,$BD8,Part1Empate2V,$BZ8)+SUMIFS(FG_GolesVisitante,FGVisitante,$BD8,Part1Empate2L,$BZ8))</f>
        <v>0</v>
      </c>
      <c r="CB8" s="756">
        <f ca="1">IF($BZ8="-","-",SUMIFS(FG_GolesVisitante,FGLocal,$BD8,Part1Empate2V,$BZ8)+SUMIFS(FG_GolesLocal,FGVisitante,$BD8,Part1Empate2L,$BZ8))</f>
        <v>0</v>
      </c>
      <c r="CC8" s="756">
        <f ca="1">IF($BZ8="-","-",CA8-CB8)</f>
        <v>0</v>
      </c>
      <c r="CD8" s="756">
        <f ca="1">BY8+COUNTIFS($BZ$6:$BZ$53,BZ8,$CC$6:CC$53,"&gt;"&amp;CC8,$BC$6:$BC$53,INDEX(T_Equipos[Grupo],MATCH(BD8,T_Equipos[NombreEquipo],0)))</f>
        <v>1</v>
      </c>
      <c r="CE8" s="755" t="str">
        <f ca="1">IF(COUNTIFS($CD$6:$CD$53,CD8,$BC$6:$BC$53,INDEX(T_Equipos[Grupo],MATCH(BD8,T_Equipos[NombreEquipo],0)))=1,"-","P."&amp;CD8&amp;" ("&amp;COUNTIFS($CD$6:$CD$53,CD8,$BC$6:$BC$53,INDEX(T_Equipos[Grupo],MATCH(BD8,T_Equipos[NombreEquipo],0)))&amp;")")</f>
        <v>P.1 (4)</v>
      </c>
      <c r="CF8" s="756">
        <f ca="1">IF($CE8="-","-",SUMIFS(FG_GolesLocal,FGLocal,$BD8,Part1Empate3V,$CE8)+SUMIFS(FG_GolesVisitante,FGVisitante,$BD8,Part1Empate3L,$CE8))</f>
        <v>0</v>
      </c>
      <c r="CG8" s="756">
        <f ca="1">CD8+COUNTIFS($CE$6:$CE$53,CE8,$CF$6:CF$53,"&gt;"&amp;CF8,$BC$6:$BC$53,INDEX(T_Equipos[Grupo],MATCH(BD8,T_Equipos[NombreEquipo],0)))</f>
        <v>1</v>
      </c>
      <c r="CH8" s="755" t="str">
        <f ca="1">IF(COUNTIFS($CG$6:$CG$53,CG8,$BC$6:$BC$53,INDEX(T_Equipos[Grupo],MATCH(BD8,T_Equipos[NombreEquipo],0)))=1,"-","P."&amp;CG8&amp;" ("&amp;COUNTIFS($CG$6:$CG$53,CG8,$BC$6:$BC$53,INDEX(T_Equipos[Grupo],MATCH(BD8,T_Equipos[NombreEquipo],0)))&amp;")")</f>
        <v>P.1 (4)</v>
      </c>
      <c r="CI8" s="756">
        <f ca="1">IF($CH8="-","-",COUNTIFS(FGLocal,$BD8,Ganador,"Local",Part2Empate4V,$CH8)+COUNTIFS(FGVisitante,$BD8,Ganador,"Visitante",Part2Empate4L,$CH8))</f>
        <v>0</v>
      </c>
      <c r="CJ8" s="756">
        <f ca="1">IF($CH8="-","-",COUNTIFS(FGLocal,$BD8,Ganador,"Empate",Part2Empate4V,$CH8)+COUNTIFS(FGVisitante,$BD8,Ganador,"Empate",Part2Empate4L,$CH8))</f>
        <v>0</v>
      </c>
      <c r="CK8" s="756">
        <f ca="1">IF($CH8="-","-",COUNTIFS(FGLocal,$BD8,Ganador,"Visitante",Part2Empate4V,$CH8)+COUNTIFS(FGVisitante,$BD8,Ganador,"Local",Part2Empate4L,$CH8))</f>
        <v>0</v>
      </c>
      <c r="CL8" s="756">
        <f ca="1">IF($CH8="-","-",CI8*3+CJ8)</f>
        <v>0</v>
      </c>
      <c r="CM8" s="756">
        <f ca="1">CG8+COUNTIFS($CH$6:$CH$53,CH8,$CL$6:CL$53,"&gt;"&amp;CL8,$BC$6:$BC$53,INDEX(T_Equipos[Grupo],MATCH(BD8,T_Equipos[NombreEquipo],0)))</f>
        <v>1</v>
      </c>
      <c r="CN8" s="755" t="str">
        <f ca="1">IF(COUNTIFS($CM$6:$CM$53,CM8,$BC$6:$BC$53,INDEX(T_Equipos[Grupo],MATCH(BD8,T_Equipos[NombreEquipo],0)))=1,"-","P."&amp;CM8&amp;" ("&amp;COUNTIFS($CM$6:$CM$53,CM8,$BC$6:$BC$53,INDEX(T_Equipos[Grupo],MATCH(BD8,T_Equipos[NombreEquipo],0)))&amp;")")</f>
        <v>P.1 (4)</v>
      </c>
      <c r="CO8" s="756">
        <f ca="1">IF($CN8="-","-",SUMIFS(FG_GolesLocal,FGLocal,$BD8,Part2Empate5V,$CN8)+SUMIFS(FG_GolesVisitante,FGVisitante,$BD8,Part2Empate5L,$CN8))</f>
        <v>0</v>
      </c>
      <c r="CP8" s="756">
        <f ca="1">IF($CN8="-","-",SUMIFS(FG_GolesVisitante,FGLocal,$BD8,Part2Empate5V,$CN8)+SUMIFS(FG_GolesLocal,FGVisitante,$BD8,Part2Empate5L,$CN8))</f>
        <v>0</v>
      </c>
      <c r="CQ8" s="756">
        <f ca="1">IF($CN8="-","-",CO8-CP8)</f>
        <v>0</v>
      </c>
      <c r="CR8" s="756">
        <f ca="1">CM8+COUNTIFS($CN$6:$CN$53,CN8,$CQ$6:CQ$53,"&gt;"&amp;CQ8,$BC$6:$BC$53,INDEX(T_Equipos[Grupo],MATCH(BD8,T_Equipos[NombreEquipo],0)))</f>
        <v>1</v>
      </c>
      <c r="CS8" s="755" t="str">
        <f ca="1">IF(COUNTIFS($CR$6:$CR$53,CR8,$BC$6:$BC$53,INDEX(T_Equipos[Grupo],MATCH(BD8,T_Equipos[NombreEquipo],0)))=1,"-","P."&amp;CR8&amp;" ("&amp;COUNTIFS($CR$6:$CR$53,CR8,$BC$6:$BC$53,INDEX(T_Equipos[Grupo],MATCH(BD8,T_Equipos[NombreEquipo],0)))&amp;")")</f>
        <v>P.1 (4)</v>
      </c>
      <c r="CT8" s="756">
        <f ca="1">IF($CS8="-","-",SUMIFS(FG_GolesLocal,FGLocal,$BD8,Part2Empate6V,$CS8)+SUMIFS(FG_GolesVisitante,FGVisitante,$BD8,Part2Empate6L,$CS8))</f>
        <v>0</v>
      </c>
      <c r="CU8" s="756">
        <f ca="1">CR8+COUNTIFS($CS$6:$CS$53,CS8,$CT$6:CT$53,"&gt;"&amp;CT8,$BC$6:$BC$53,INDEX(T_Equipos[Grupo],MATCH(BD8,T_Equipos[NombreEquipo],0)))</f>
        <v>1</v>
      </c>
      <c r="CV8" s="755" t="str">
        <f ca="1">IF(COUNTIFS($CU$6:$CU$53,CU8,$BC$6:$BC$53,INDEX(T_Equipos[Grupo],MATCH(BD8,T_Equipos[NombreEquipo],0)))=1,"-","P."&amp;CU8&amp;" ("&amp;COUNTIFS($CU$6:$CU$53,CU8,$BC$6:$BC$53,INDEX(T_Equipos[Grupo],MATCH(BD8,T_Equipos[NombreEquipo],0)))&amp;")")</f>
        <v>P.1 (4)</v>
      </c>
      <c r="CW8" s="755">
        <f t="shared" ca="1" si="30"/>
        <v>0</v>
      </c>
      <c r="CX8" s="755">
        <f ca="1">CU8+COUNTIFS($CV$6:$CV$53,CV8,$CW$6:CW$53,"&gt;"&amp;CW8,$BC$6:$BC$53,INDEX(T_Equipos[Grupo],MATCH(BD8,T_Equipos[NombreEquipo],0)))</f>
        <v>1</v>
      </c>
      <c r="CY8" s="755" t="str">
        <f ca="1">IF(COUNTIFS($CX$6:$CX$53,CX8,$BC$6:$BC$53,INDEX(T_Equipos[Grupo],MATCH(BD8,T_Equipos[NombreEquipo],0)))=1,"-","P."&amp;CX8&amp;" ("&amp;COUNTIFS($CX$6:$CX$53,CX8,$BC$6:$BC$53,INDEX(T_Equipos[Grupo],MATCH(BD8,T_Equipos[NombreEquipo],0)))&amp;")")</f>
        <v>P.1 (4)</v>
      </c>
      <c r="CZ8" s="755">
        <f t="shared" ca="1" si="31"/>
        <v>0</v>
      </c>
      <c r="DA8" s="756">
        <f ca="1">CX8+COUNTIFS($CY$6:$CY$53,CY8,$CZ$6:CZ$53,"&gt;"&amp;CZ8,$BC$6:$BC$53,INDEX(T_Equipos[Grupo],MATCH(BD8,T_Equipos[NombreEquipo],0)))</f>
        <v>1</v>
      </c>
      <c r="DB8" s="755" t="str">
        <f ca="1">IF(COUNTIFS($DA$6:$DA$53,DA8,$BC$6:$BC$53,INDEX(T_Equipos[Grupo],MATCH(BD8,T_Equipos[NombreEquipo],0)))=1,"-","P."&amp;DA8&amp;" ("&amp;COUNTIFS($DA$6:$DA$53,DA8,$BC$6:$BC$53,INDEX(T_Equipos[Grupo],MATCH(BD8,T_Equipos[NombreEquipo],0)))&amp;")")</f>
        <v>P.1 (4)</v>
      </c>
      <c r="DC8" s="754">
        <f ca="1">IF(DB8="-","-",COUNTIFS(T_Equipos[Rank],"&lt;"&amp;INDEX(T_Equipos[Rank],MATCH(BD8,T_Equipos[NombreEquipo],0)),$BC$6:$BC$53,INDEX(T_Equipos[Grupo],MATCH(BD8,T_Equipos[NombreEquipo],0)))+1)</f>
        <v>3</v>
      </c>
      <c r="DD8" s="754">
        <f ca="1">DA8+COUNTIFS($DB$6:$DB$53,DB8,$DC$6:DC$53,"&lt;"&amp;DC8,$BC$6:$BC$53,INDEX(T_Equipos[Grupo],MATCH(BD8,T_Equipos[NombreEquipo],0)))</f>
        <v>3</v>
      </c>
      <c r="DE8" s="754"/>
      <c r="DF8" s="754">
        <f t="shared" ca="1" si="32"/>
        <v>3</v>
      </c>
      <c r="DG8" s="754">
        <f ca="1">IF(DB8="-","-",COUNTIFS(DF$6:DF$53,"&lt;"&amp;DF8,$BC$6:$BC$53,INDEX(T_Equipos[Grupo],MATCH(BD8,T_Equipos[NombreEquipo],0))))</f>
        <v>2</v>
      </c>
      <c r="DH8" s="754">
        <f ca="1">DA8+COUNTIFS(DB$6:DB$53,DB8,DG$6:DG$53,"&lt;"&amp;DG8,$BC$6:$BC$53,INDEX(T_Equipos[Grupo],MATCH(BD8,T_Equipos[NombreEquipo],0)))</f>
        <v>3</v>
      </c>
      <c r="DI8" s="742"/>
      <c r="DJ8" s="742">
        <f ca="1">INDEX($DA$6:$DA$53,MATCH($DQ8,$BD$6:$BD$53,0))</f>
        <v>1</v>
      </c>
      <c r="DK8" s="742">
        <f t="shared" ca="1" si="24"/>
        <v>0</v>
      </c>
      <c r="DL8" s="742">
        <f t="shared" ca="1" si="33"/>
        <v>1</v>
      </c>
      <c r="DM8" s="736" t="str">
        <f t="shared" ca="1" si="34"/>
        <v>1.1</v>
      </c>
      <c r="DN8" s="742" cm="1">
        <f t="array" aca="1" ref="DN8" ca="1">OFFSET(Horarios!$P$3,DJ8-1,0,DL8,1)</f>
        <v>1</v>
      </c>
      <c r="DO8" s="742"/>
      <c r="DP8" s="742" t="s">
        <v>89</v>
      </c>
      <c r="DQ8" s="742" t="str">
        <f t="shared" ca="1" si="35"/>
        <v>Corea del Sur</v>
      </c>
      <c r="DR8" s="742"/>
      <c r="DS8" s="742"/>
      <c r="DT8" s="742" t="str">
        <f t="shared" ca="1" si="15"/>
        <v>República Checa-México</v>
      </c>
      <c r="DU8" s="742"/>
      <c r="DV8" s="742"/>
      <c r="DW8" s="8"/>
    </row>
    <row r="9" spans="1:127" ht="18" customHeight="1" thickBot="1">
      <c r="A9" s="737"/>
      <c r="B9" s="740"/>
      <c r="C9" s="737"/>
      <c r="D9" s="742" t="str">
        <f t="shared" si="0"/>
        <v>Pendiente</v>
      </c>
      <c r="E9" s="742" t="str">
        <f t="shared" si="1"/>
        <v>-</v>
      </c>
      <c r="F9" s="742" t="str">
        <f t="shared" si="2"/>
        <v>-</v>
      </c>
      <c r="G9" s="742"/>
      <c r="H9" s="742" t="str">
        <f t="shared" si="3"/>
        <v>-</v>
      </c>
      <c r="I9" s="742" t="str">
        <f t="shared" si="4"/>
        <v>-</v>
      </c>
      <c r="J9" s="742"/>
      <c r="K9" s="742" t="str">
        <f t="shared" si="5"/>
        <v>-</v>
      </c>
      <c r="L9" s="742" t="str">
        <f t="shared" si="6"/>
        <v>-</v>
      </c>
      <c r="M9" s="742"/>
      <c r="N9" s="742" t="str">
        <f t="shared" si="7"/>
        <v>-</v>
      </c>
      <c r="O9" s="742" t="str">
        <f t="shared" si="8"/>
        <v>-</v>
      </c>
      <c r="P9" s="742"/>
      <c r="Q9" s="742" t="str">
        <f t="shared" si="9"/>
        <v>-</v>
      </c>
      <c r="R9" s="742" t="str">
        <f t="shared" si="10"/>
        <v>-</v>
      </c>
      <c r="S9" s="742"/>
      <c r="T9" s="742" t="str">
        <f t="shared" si="11"/>
        <v>-</v>
      </c>
      <c r="U9" s="742" t="str">
        <f t="shared" si="12"/>
        <v>-</v>
      </c>
      <c r="V9" s="172"/>
      <c r="W9" s="827"/>
      <c r="X9" s="228">
        <f ca="1">Horarios!C9</f>
        <v>46197.875</v>
      </c>
      <c r="Y9" s="229">
        <f ca="1">Horarios!C9</f>
        <v>46197.875</v>
      </c>
      <c r="Z9" s="230" t="str">
        <f>$Z$8</f>
        <v>J3</v>
      </c>
      <c r="AA9" s="231" t="str">
        <f ca="1">A6</f>
        <v>Sudáfrica</v>
      </c>
      <c r="AB9" s="481" t="str" cm="1">
        <f t="array" aca="1" ref="AB9" ca="1">Ver_flag_local</f>
        <v/>
      </c>
      <c r="AC9" s="232"/>
      <c r="AD9" s="233"/>
      <c r="AE9" s="484" t="str" cm="1">
        <f t="array" aca="1" ref="AE9" ca="1">Ver_flag_visit</f>
        <v/>
      </c>
      <c r="AF9" s="234" t="str">
        <f ca="1">A7</f>
        <v>Corea del Sur</v>
      </c>
      <c r="AG9" s="413">
        <f t="shared" si="13"/>
        <v>0</v>
      </c>
      <c r="AH9" s="196">
        <v>54</v>
      </c>
      <c r="AI9" s="19" t="str">
        <f>AJ9&amp;$B$4</f>
        <v>4A</v>
      </c>
      <c r="AJ9" s="235">
        <v>4</v>
      </c>
      <c r="AK9" s="492" t="str" cm="1">
        <f t="array" aca="1" ref="AK9" ca="1">Ver_flag_visit</f>
        <v/>
      </c>
      <c r="AL9" s="236" t="str">
        <f ca="1">IFERROR(INDEX($BD$6:$BD$53,MATCH(AI9,$BN$6:$BN$53,0)),"")</f>
        <v>República Checa</v>
      </c>
      <c r="AM9" s="237">
        <f t="shared" ca="1" si="16"/>
        <v>0</v>
      </c>
      <c r="AN9" s="238">
        <f t="shared" ca="1" si="16"/>
        <v>0</v>
      </c>
      <c r="AO9" s="238">
        <f t="shared" ca="1" si="16"/>
        <v>0</v>
      </c>
      <c r="AP9" s="238">
        <f t="shared" ca="1" si="16"/>
        <v>0</v>
      </c>
      <c r="AQ9" s="238">
        <f t="shared" ca="1" si="16"/>
        <v>0</v>
      </c>
      <c r="AR9" s="238">
        <f t="shared" ca="1" si="16"/>
        <v>0</v>
      </c>
      <c r="AS9" s="238">
        <f t="shared" ca="1" si="16"/>
        <v>0</v>
      </c>
      <c r="AT9" s="239">
        <f t="shared" ca="1" si="16"/>
        <v>0</v>
      </c>
      <c r="AU9" s="420">
        <f ca="1">INDEX($DL$6:$DL$53,MATCH(AI9,$DP$6:$DP$53,0))</f>
        <v>1</v>
      </c>
      <c r="AV9" s="217" t="str">
        <f ca="1">INDEX($BD$6:$BD$53,MATCH(AI9,$BM$6:$BM$53,0))</f>
        <v>República Checa</v>
      </c>
      <c r="AW9" s="427"/>
      <c r="AX9" s="218"/>
      <c r="AY9" s="240" t="str">
        <f ca="1">+A8</f>
        <v>República Checa</v>
      </c>
      <c r="AZ9" s="241"/>
      <c r="BA9" s="175"/>
      <c r="BB9" s="742"/>
      <c r="BC9" s="754" t="str">
        <f ca="1">+INDEX(T_Equipos[Grupo],MATCH(WORLDCUP!BD9,T_Equipos[NombreEquipo],0))</f>
        <v>A</v>
      </c>
      <c r="BD9" s="742" t="str">
        <f ca="1">+Equipos!B5</f>
        <v>República Checa</v>
      </c>
      <c r="BE9" s="746">
        <f t="shared" ca="1" si="25"/>
        <v>0</v>
      </c>
      <c r="BF9" s="746">
        <f t="shared" ca="1" si="26"/>
        <v>0</v>
      </c>
      <c r="BG9" s="746">
        <f t="shared" ca="1" si="17"/>
        <v>0</v>
      </c>
      <c r="BH9" s="746">
        <f t="shared" ca="1" si="18"/>
        <v>0</v>
      </c>
      <c r="BI9" s="746">
        <f t="shared" ca="1" si="19"/>
        <v>0</v>
      </c>
      <c r="BJ9" s="746">
        <f t="shared" ca="1" si="20"/>
        <v>0</v>
      </c>
      <c r="BK9" s="746">
        <f t="shared" ca="1" si="21"/>
        <v>0</v>
      </c>
      <c r="BL9" s="746">
        <f t="shared" ca="1" si="27"/>
        <v>0</v>
      </c>
      <c r="BM9" s="746" t="str">
        <f t="shared" ca="1" si="22"/>
        <v>4A</v>
      </c>
      <c r="BN9" s="746" t="str">
        <f t="shared" ca="1" si="23"/>
        <v>4A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0</v>
      </c>
      <c r="BS9" s="755">
        <f ca="1">BP9+COUNTIFS($BQ$6:$BQ$53,BQ9,$BR$6:BR$53,"&gt;"&amp;BR9,$BC$6:$BC$53,INDEX(T_Equipos[Grupo],MATCH(BD9,T_Equipos[NombreEquipo],0)))</f>
        <v>1</v>
      </c>
      <c r="BT9" s="755" t="str">
        <f ca="1">IF(COUNTIFS($BS$6:$BS$53,BS9,$BC$6:$BC$53,INDEX(T_Equipos[Grupo],MATCH(BD9,T_Equipos[NombreEquipo],0)))=1,"-","P."&amp;BS9&amp;" ("&amp;COUNTIFS($BS$6:$BS$53,BS9,$BC$6:$BC$53,INDEX(T_Equipos[Grupo],MATCH(BD9,T_Equipos[NombreEquipo],0)))&amp;")")</f>
        <v>P.1 (4)</v>
      </c>
      <c r="BU9" s="756">
        <f ca="1">IF($BT9="-","-",COUNTIFS(FGLocal,$BD9,Ganador,"Local",Part1Empate1V,$BT9)+COUNTIFS(FGVisitante,$BD9,Ganador,"Visitante",Part1Empate1L,$BT9))</f>
        <v>0</v>
      </c>
      <c r="BV9" s="756">
        <f ca="1">IF($BT9="-","-",COUNTIFS(FGLocal,$BD9,Ganador,"Empate",Part1Empate1V,$BT9)+COUNTIFS(FGVisitante,$BD9,Ganador,"Empate",Part1Empate1L,$BT9))</f>
        <v>0</v>
      </c>
      <c r="BW9" s="756">
        <f ca="1">IF($BT9="-","-",COUNTIFS(FGLocal,$BD9,Ganador,"Visitante",Part1Empate1V,$BT9)+COUNTIFS(FGVisitante,$BD9,Ganador,"Local",Part1Empate1L,$BT9))</f>
        <v>0</v>
      </c>
      <c r="BX9" s="756">
        <f ca="1">IF($BT9="-","-",BU9*3+BV9)</f>
        <v>0</v>
      </c>
      <c r="BY9" s="756">
        <f ca="1">BS9+COUNTIFS($BT$6:$BT$53,BT9,$BX$6:BX$53,"&gt;"&amp;BX9,$BC$6:$BC$53,INDEX(T_Equipos[Grupo],MATCH(BD9,T_Equipos[NombreEquipo],0)))</f>
        <v>1</v>
      </c>
      <c r="BZ9" s="755" t="str">
        <f ca="1">IF(COUNTIFS($BY$6:$BY$53,BY9,$BC$6:$BC$53,INDEX(T_Equipos[Grupo],MATCH(BD9,T_Equipos[NombreEquipo],0)))=1,"-","P."&amp;BY9&amp;" ("&amp;COUNTIFS($BY$6:$BY$53,BY9,$BC$6:$BC$53,INDEX(T_Equipos[Grupo],MATCH(BD9,T_Equipos[NombreEquipo],0)))&amp;")")</f>
        <v>P.1 (4)</v>
      </c>
      <c r="CA9" s="756">
        <f ca="1">IF($BZ9="-","-",SUMIFS(FG_GolesLocal,FGLocal,$BD9,Part1Empate2V,$BZ9)+SUMIFS(FG_GolesVisitante,FGVisitante,$BD9,Part1Empate2L,$BZ9))</f>
        <v>0</v>
      </c>
      <c r="CB9" s="756">
        <f ca="1">IF($BZ9="-","-",SUMIFS(FG_GolesVisitante,FGLocal,$BD9,Part1Empate2V,$BZ9)+SUMIFS(FG_GolesLocal,FGVisitante,$BD9,Part1Empate2L,$BZ9))</f>
        <v>0</v>
      </c>
      <c r="CC9" s="756">
        <f ca="1">IF($BZ9="-","-",CA9-CB9)</f>
        <v>0</v>
      </c>
      <c r="CD9" s="756">
        <f ca="1">BY9+COUNTIFS($BZ$6:$BZ$53,BZ9,$CC$6:CC$53,"&gt;"&amp;CC9,$BC$6:$BC$53,INDEX(T_Equipos[Grupo],MATCH(BD9,T_Equipos[NombreEquipo],0)))</f>
        <v>1</v>
      </c>
      <c r="CE9" s="755" t="str">
        <f ca="1">IF(COUNTIFS($CD$6:$CD$53,CD9,$BC$6:$BC$53,INDEX(T_Equipos[Grupo],MATCH(BD9,T_Equipos[NombreEquipo],0)))=1,"-","P."&amp;CD9&amp;" ("&amp;COUNTIFS($CD$6:$CD$53,CD9,$BC$6:$BC$53,INDEX(T_Equipos[Grupo],MATCH(BD9,T_Equipos[NombreEquipo],0)))&amp;")")</f>
        <v>P.1 (4)</v>
      </c>
      <c r="CF9" s="756">
        <f ca="1">IF($CE9="-","-",SUMIFS(FG_GolesLocal,FGLocal,$BD9,Part1Empate3V,$CE9)+SUMIFS(FG_GolesVisitante,FGVisitante,$BD9,Part1Empate3L,$CE9))</f>
        <v>0</v>
      </c>
      <c r="CG9" s="756">
        <f ca="1">CD9+COUNTIFS($CE$6:$CE$53,CE9,$CF$6:CF$53,"&gt;"&amp;CF9,$BC$6:$BC$53,INDEX(T_Equipos[Grupo],MATCH(BD9,T_Equipos[NombreEquipo],0)))</f>
        <v>1</v>
      </c>
      <c r="CH9" s="755" t="str">
        <f ca="1">IF(COUNTIFS($CG$6:$CG$53,CG9,$BC$6:$BC$53,INDEX(T_Equipos[Grupo],MATCH(BD9,T_Equipos[NombreEquipo],0)))=1,"-","P."&amp;CG9&amp;" ("&amp;COUNTIFS($CG$6:$CG$53,CG9,$BC$6:$BC$53,INDEX(T_Equipos[Grupo],MATCH(BD9,T_Equipos[NombreEquipo],0)))&amp;")")</f>
        <v>P.1 (4)</v>
      </c>
      <c r="CI9" s="756">
        <f ca="1">IF($CH9="-","-",COUNTIFS(FGLocal,$BD9,Ganador,"Local",Part2Empate4V,$CH9)+COUNTIFS(FGVisitante,$BD9,Ganador,"Visitante",Part2Empate4L,$CH9))</f>
        <v>0</v>
      </c>
      <c r="CJ9" s="756">
        <f ca="1">IF($CH9="-","-",COUNTIFS(FGLocal,$BD9,Ganador,"Empate",Part2Empate4V,$CH9)+COUNTIFS(FGVisitante,$BD9,Ganador,"Empate",Part2Empate4L,$CH9))</f>
        <v>0</v>
      </c>
      <c r="CK9" s="756">
        <f ca="1">IF($CH9="-","-",COUNTIFS(FGLocal,$BD9,Ganador,"Visitante",Part2Empate4V,$CH9)+COUNTIFS(FGVisitante,$BD9,Ganador,"Local",Part2Empate4L,$CH9))</f>
        <v>0</v>
      </c>
      <c r="CL9" s="756">
        <f ca="1">IF($CH9="-","-",CI9*3+CJ9)</f>
        <v>0</v>
      </c>
      <c r="CM9" s="756">
        <f ca="1">CG9+COUNTIFS($CH$6:$CH$53,CH9,$CL$6:CL$53,"&gt;"&amp;CL9,$BC$6:$BC$53,INDEX(T_Equipos[Grupo],MATCH(BD9,T_Equipos[NombreEquipo],0)))</f>
        <v>1</v>
      </c>
      <c r="CN9" s="755" t="str">
        <f ca="1">IF(COUNTIFS($CM$6:$CM$53,CM9,$BC$6:$BC$53,INDEX(T_Equipos[Grupo],MATCH(BD9,T_Equipos[NombreEquipo],0)))=1,"-","P."&amp;CM9&amp;" ("&amp;COUNTIFS($CM$6:$CM$53,CM9,$BC$6:$BC$53,INDEX(T_Equipos[Grupo],MATCH(BD9,T_Equipos[NombreEquipo],0)))&amp;")")</f>
        <v>P.1 (4)</v>
      </c>
      <c r="CO9" s="756">
        <f ca="1">IF($CN9="-","-",SUMIFS(FG_GolesLocal,FGLocal,$BD9,Part2Empate5V,$CN9)+SUMIFS(FG_GolesVisitante,FGVisitante,$BD9,Part2Empate5L,$CN9))</f>
        <v>0</v>
      </c>
      <c r="CP9" s="756">
        <f ca="1">IF($CN9="-","-",SUMIFS(FG_GolesVisitante,FGLocal,$BD9,Part2Empate5V,$CN9)+SUMIFS(FG_GolesLocal,FGVisitante,$BD9,Part2Empate5L,$CN9))</f>
        <v>0</v>
      </c>
      <c r="CQ9" s="756">
        <f ca="1">IF($CN9="-","-",CO9-CP9)</f>
        <v>0</v>
      </c>
      <c r="CR9" s="756">
        <f ca="1">CM9+COUNTIFS($CN$6:$CN$53,CN9,$CQ$6:CQ$53,"&gt;"&amp;CQ9,$BC$6:$BC$53,INDEX(T_Equipos[Grupo],MATCH(BD9,T_Equipos[NombreEquipo],0)))</f>
        <v>1</v>
      </c>
      <c r="CS9" s="755" t="str">
        <f ca="1">IF(COUNTIFS($CR$6:$CR$53,CR9,$BC$6:$BC$53,INDEX(T_Equipos[Grupo],MATCH(BD9,T_Equipos[NombreEquipo],0)))=1,"-","P."&amp;CR9&amp;" ("&amp;COUNTIFS($CR$6:$CR$53,CR9,$BC$6:$BC$53,INDEX(T_Equipos[Grupo],MATCH(BD9,T_Equipos[NombreEquipo],0)))&amp;")")</f>
        <v>P.1 (4)</v>
      </c>
      <c r="CT9" s="756">
        <f ca="1">IF($CS9="-","-",SUMIFS(FG_GolesLocal,FGLocal,$BD9,Part2Empate6V,$CS9)+SUMIFS(FG_GolesVisitante,FGVisitante,$BD9,Part2Empate6L,$CS9))</f>
        <v>0</v>
      </c>
      <c r="CU9" s="756">
        <f ca="1">CR9+COUNTIFS($CS$6:$CS$53,CS9,$CT$6:CT$53,"&gt;"&amp;CT9,$BC$6:$BC$53,INDEX(T_Equipos[Grupo],MATCH(BD9,T_Equipos[NombreEquipo],0)))</f>
        <v>1</v>
      </c>
      <c r="CV9" s="755" t="str">
        <f ca="1">IF(COUNTIFS($CU$6:$CU$53,CU9,$BC$6:$BC$53,INDEX(T_Equipos[Grupo],MATCH(BD9,T_Equipos[NombreEquipo],0)))=1,"-","P."&amp;CU9&amp;" ("&amp;COUNTIFS($CU$6:$CU$53,CU9,$BC$6:$BC$53,INDEX(T_Equipos[Grupo],MATCH(BD9,T_Equipos[NombreEquipo],0)))&amp;")")</f>
        <v>P.1 (4)</v>
      </c>
      <c r="CW9" s="755">
        <f t="shared" ca="1" si="30"/>
        <v>0</v>
      </c>
      <c r="CX9" s="755">
        <f ca="1">CU9+COUNTIFS($CV$6:$CV$53,CV9,$CW$6:CW$53,"&gt;"&amp;CW9,$BC$6:$BC$53,INDEX(T_Equipos[Grupo],MATCH(BD9,T_Equipos[NombreEquipo],0)))</f>
        <v>1</v>
      </c>
      <c r="CY9" s="755" t="str">
        <f ca="1">IF(COUNTIFS($CX$6:$CX$53,CX9,$BC$6:$BC$53,INDEX(T_Equipos[Grupo],MATCH(BD9,T_Equipos[NombreEquipo],0)))=1,"-","P."&amp;CX9&amp;" ("&amp;COUNTIFS($CX$6:$CX$53,CX9,$BC$6:$BC$53,INDEX(T_Equipos[Grupo],MATCH(BD9,T_Equipos[NombreEquipo],0)))&amp;")")</f>
        <v>P.1 (4)</v>
      </c>
      <c r="CZ9" s="755">
        <f t="shared" ca="1" si="31"/>
        <v>0</v>
      </c>
      <c r="DA9" s="756">
        <f ca="1">CX9+COUNTIFS($CY$6:$CY$53,CY9,$CZ$6:CZ$53,"&gt;"&amp;CZ9,$BC$6:$BC$53,INDEX(T_Equipos[Grupo],MATCH(BD9,T_Equipos[NombreEquipo],0)))</f>
        <v>1</v>
      </c>
      <c r="DB9" s="755" t="str">
        <f ca="1">IF(COUNTIFS($DA$6:$DA$53,DA9,$BC$6:$BC$53,INDEX(T_Equipos[Grupo],MATCH(BD9,T_Equipos[NombreEquipo],0)))=1,"-","P."&amp;DA9&amp;" ("&amp;COUNTIFS($DA$6:$DA$53,DA9,$BC$6:$BC$53,INDEX(T_Equipos[Grupo],MATCH(BD9,T_Equipos[NombreEquipo],0)))&amp;")")</f>
        <v>P.1 (4)</v>
      </c>
      <c r="DC9" s="754">
        <f ca="1">IF(DB9="-","-",COUNTIFS(T_Equipos[Rank],"&lt;"&amp;INDEX(T_Equipos[Rank],MATCH(BD9,T_Equipos[NombreEquipo],0)),$BC$6:$BC$53,INDEX(T_Equipos[Grupo],MATCH(BD9,T_Equipos[NombreEquipo],0)))+1)</f>
        <v>4</v>
      </c>
      <c r="DD9" s="754">
        <f ca="1">DA9+COUNTIFS($DB$6:$DB$53,DB9,$DC$6:DC$53,"&lt;"&amp;DC9,$BC$6:$BC$53,INDEX(T_Equipos[Grupo],MATCH(BD9,T_Equipos[NombreEquipo],0)))</f>
        <v>4</v>
      </c>
      <c r="DE9" s="754"/>
      <c r="DF9" s="754">
        <f t="shared" ca="1" si="32"/>
        <v>4</v>
      </c>
      <c r="DG9" s="754">
        <f ca="1">IF(DB9="-","-",COUNTIFS(DF$6:DF$53,"&lt;"&amp;DF9,$BC$6:$BC$53,INDEX(T_Equipos[Grupo],MATCH(BD9,T_Equipos[NombreEquipo],0))))</f>
        <v>3</v>
      </c>
      <c r="DH9" s="754">
        <f ca="1">DA9+COUNTIFS(DB$6:DB$53,DB9,DG$6:DG$53,"&lt;"&amp;DG9,$BC$6:$BC$53,INDEX(T_Equipos[Grupo],MATCH(BD9,T_Equipos[NombreEquipo],0)))</f>
        <v>4</v>
      </c>
      <c r="DI9" s="742"/>
      <c r="DJ9" s="742">
        <f ca="1">INDEX($DA$6:$DA$53,MATCH($DQ9,$BD$6:$BD$53,0))</f>
        <v>1</v>
      </c>
      <c r="DK9" s="742">
        <f t="shared" ca="1" si="24"/>
        <v>0</v>
      </c>
      <c r="DL9" s="742">
        <f t="shared" ca="1" si="33"/>
        <v>1</v>
      </c>
      <c r="DM9" s="736" t="str">
        <f t="shared" ca="1" si="34"/>
        <v>1.1</v>
      </c>
      <c r="DN9" s="742" cm="1">
        <f t="array" aca="1" ref="DN9" ca="1">OFFSET(Horarios!$P$3,DJ9-1,0,DL9,1)</f>
        <v>1</v>
      </c>
      <c r="DO9" s="742"/>
      <c r="DP9" s="742" t="s">
        <v>647</v>
      </c>
      <c r="DQ9" s="742" t="str">
        <f t="shared" ca="1" si="35"/>
        <v>República Checa</v>
      </c>
      <c r="DR9" s="742"/>
      <c r="DS9" s="742"/>
      <c r="DT9" s="742" t="str">
        <f t="shared" ca="1" si="15"/>
        <v>Sudáfrica-Corea del Sur</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Canadá</v>
      </c>
      <c r="BE10" s="746">
        <f t="shared" ca="1" si="25"/>
        <v>0</v>
      </c>
      <c r="BF10" s="746">
        <f t="shared" ca="1" si="26"/>
        <v>0</v>
      </c>
      <c r="BG10" s="746">
        <f t="shared" ca="1" si="17"/>
        <v>0</v>
      </c>
      <c r="BH10" s="746">
        <f t="shared" ca="1" si="18"/>
        <v>0</v>
      </c>
      <c r="BI10" s="746">
        <f t="shared" ca="1" si="19"/>
        <v>0</v>
      </c>
      <c r="BJ10" s="746">
        <f t="shared" ca="1" si="20"/>
        <v>0</v>
      </c>
      <c r="BK10" s="746">
        <f t="shared" ca="1" si="21"/>
        <v>0</v>
      </c>
      <c r="BL10" s="746">
        <f t="shared" ca="1" si="27"/>
        <v>0</v>
      </c>
      <c r="BM10" s="746" t="str">
        <f t="shared" ca="1" si="22"/>
        <v>1B</v>
      </c>
      <c r="BN10" s="746" t="str">
        <f t="shared" ca="1" si="23"/>
        <v>1B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0</v>
      </c>
      <c r="BS10" s="755">
        <f ca="1">BP10+COUNTIFS($BQ$6:$BQ$53,BQ10,$BR$6:BR$53,"&gt;"&amp;BR10,$BC$6:$BC$53,INDEX(T_Equipos[Grupo],MATCH(BD10,T_Equipos[NombreEquipo],0)))</f>
        <v>1</v>
      </c>
      <c r="BT10" s="755" t="str">
        <f ca="1">IF(COUNTIFS($BS$6:$BS$53,BS10,$BC$6:$BC$53,INDEX(T_Equipos[Grupo],MATCH(BD10,T_Equipos[NombreEquipo],0)))=1,"-","P."&amp;BS10&amp;" ("&amp;COUNTIFS($BS$6:$BS$53,BS10,$BC$6:$BC$53,INDEX(T_Equipos[Grupo],MATCH(BD10,T_Equipos[NombreEquipo],0)))&amp;")")</f>
        <v>P.1 (4)</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0</v>
      </c>
      <c r="BW10" s="756">
        <f t="shared" ref="BW10:BW53" ca="1" si="38">IF($BT10="-","-",COUNTIFS(FGLocal,$BD10,Ganador,"Visitante",Part1Empate1V,$BT10)+COUNTIFS(FGVisitante,$BD10,Ganador,"Local",Part1Empate1L,$BT10))</f>
        <v>0</v>
      </c>
      <c r="BX10" s="756">
        <f t="shared" ref="BX10:BX53" ca="1" si="39">IF($BT10="-","-",BU10*3+BV10)</f>
        <v>0</v>
      </c>
      <c r="BY10" s="756">
        <f ca="1">BS10+COUNTIFS($BT$6:$BT$53,BT10,$BX$6:BX$53,"&gt;"&amp;BX10,$BC$6:$BC$53,INDEX(T_Equipos[Grupo],MATCH(BD10,T_Equipos[NombreEquipo],0)))</f>
        <v>1</v>
      </c>
      <c r="BZ10" s="755" t="str">
        <f ca="1">IF(COUNTIFS($BY$6:$BY$53,BY10,$BC$6:$BC$53,INDEX(T_Equipos[Grupo],MATCH(BD10,T_Equipos[NombreEquipo],0)))=1,"-","P."&amp;BY10&amp;" ("&amp;COUNTIFS($BY$6:$BY$53,BY10,$BC$6:$BC$53,INDEX(T_Equipos[Grupo],MATCH(BD10,T_Equipos[NombreEquipo],0)))&amp;")")</f>
        <v>P.1 (4)</v>
      </c>
      <c r="CA10" s="756">
        <f t="shared" ref="CA10:CA53" ca="1" si="40">IF($BZ10="-","-",SUMIFS(FG_GolesLocal,FGLocal,$BD10,Part1Empate2V,$BZ10)+SUMIFS(FG_GolesVisitante,FGVisitante,$BD10,Part1Empate2L,$BZ10))</f>
        <v>0</v>
      </c>
      <c r="CB10" s="756">
        <f t="shared" ref="CB10:CB53" ca="1" si="41">IF($BZ10="-","-",SUMIFS(FG_GolesVisitante,FGLocal,$BD10,Part1Empate2V,$BZ10)+SUMIFS(FG_GolesLocal,FGVisitante,$BD10,Part1Empate2L,$BZ10))</f>
        <v>0</v>
      </c>
      <c r="CC10" s="756">
        <f t="shared" ref="CC10:CC53" ca="1" si="42">IF($BZ10="-","-",CA10-CB10)</f>
        <v>0</v>
      </c>
      <c r="CD10" s="756">
        <f ca="1">BY10+COUNTIFS($BZ$6:$BZ$53,BZ10,$CC$6:CC$53,"&gt;"&amp;CC10,$BC$6:$BC$53,INDEX(T_Equipos[Grupo],MATCH(BD10,T_Equipos[NombreEquipo],0)))</f>
        <v>1</v>
      </c>
      <c r="CE10" s="755" t="str">
        <f ca="1">IF(COUNTIFS($CD$6:$CD$53,CD10,$BC$6:$BC$53,INDEX(T_Equipos[Grupo],MATCH(BD10,T_Equipos[NombreEquipo],0)))=1,"-","P."&amp;CD10&amp;" ("&amp;COUNTIFS($CD$6:$CD$53,CD10,$BC$6:$BC$53,INDEX(T_Equipos[Grupo],MATCH(BD10,T_Equipos[NombreEquipo],0)))&amp;")")</f>
        <v>P.1 (4)</v>
      </c>
      <c r="CF10" s="756">
        <f t="shared" ref="CF10:CF53" ca="1" si="43">IF($CE10="-","-",SUMIFS(FG_GolesLocal,FGLocal,$BD10,Part1Empate3V,$CE10)+SUMIFS(FG_GolesVisitante,FGVisitante,$BD10,Part1Empate3L,$CE10))</f>
        <v>0</v>
      </c>
      <c r="CG10" s="756">
        <f ca="1">CD10+COUNTIFS($CE$6:$CE$53,CE10,$CF$6:CF$53,"&gt;"&amp;CF10,$BC$6:$BC$53,INDEX(T_Equipos[Grupo],MATCH(BD10,T_Equipos[NombreEquipo],0)))</f>
        <v>1</v>
      </c>
      <c r="CH10" s="755" t="str">
        <f ca="1">IF(COUNTIFS($CG$6:$CG$53,CG10,$BC$6:$BC$53,INDEX(T_Equipos[Grupo],MATCH(BD10,T_Equipos[NombreEquipo],0)))=1,"-","P."&amp;CG10&amp;" ("&amp;COUNTIFS($CG$6:$CG$53,CG10,$BC$6:$BC$53,INDEX(T_Equipos[Grupo],MATCH(BD10,T_Equipos[NombreEquipo],0)))&amp;")")</f>
        <v>P.1 (4)</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0</v>
      </c>
      <c r="CK10" s="756">
        <f t="shared" ref="CK10:CK53" ca="1" si="46">IF($CH10="-","-",COUNTIFS(FGLocal,$BD10,Ganador,"Visitante",Part2Empate4V,$CH10)+COUNTIFS(FGVisitante,$BD10,Ganador,"Local",Part2Empate4L,$CH10))</f>
        <v>0</v>
      </c>
      <c r="CL10" s="756">
        <f t="shared" ref="CL10:CL53" ca="1" si="47">IF($CH10="-","-",CI10*3+CJ10)</f>
        <v>0</v>
      </c>
      <c r="CM10" s="756">
        <f ca="1">CG10+COUNTIFS($CH$6:$CH$53,CH10,$CL$6:CL$53,"&gt;"&amp;CL10,$BC$6:$BC$53,INDEX(T_Equipos[Grupo],MATCH(BD10,T_Equipos[NombreEquipo],0)))</f>
        <v>1</v>
      </c>
      <c r="CN10" s="755" t="str">
        <f ca="1">IF(COUNTIFS($CM$6:$CM$53,CM10,$BC$6:$BC$53,INDEX(T_Equipos[Grupo],MATCH(BD10,T_Equipos[NombreEquipo],0)))=1,"-","P."&amp;CM10&amp;" ("&amp;COUNTIFS($CM$6:$CM$53,CM10,$BC$6:$BC$53,INDEX(T_Equipos[Grupo],MATCH(BD10,T_Equipos[NombreEquipo],0)))&amp;")")</f>
        <v>P.1 (4)</v>
      </c>
      <c r="CO10" s="756">
        <f t="shared" ref="CO10:CO53" ca="1" si="48">IF($CN10="-","-",SUMIFS(FG_GolesLocal,FGLocal,$BD10,Part2Empate5V,$CN10)+SUMIFS(FG_GolesVisitante,FGVisitante,$BD10,Part2Empate5L,$CN10))</f>
        <v>0</v>
      </c>
      <c r="CP10" s="756">
        <f t="shared" ref="CP10:CP53" ca="1" si="49">IF($CN10="-","-",SUMIFS(FG_GolesVisitante,FGLocal,$BD10,Part2Empate5V,$CN10)+SUMIFS(FG_GolesLocal,FGVisitante,$BD10,Part2Empate5L,$CN10))</f>
        <v>0</v>
      </c>
      <c r="CQ10" s="756">
        <f t="shared" ref="CQ10:CQ53" ca="1" si="50">IF($CN10="-","-",CO10-CP10)</f>
        <v>0</v>
      </c>
      <c r="CR10" s="756">
        <f ca="1">CM10+COUNTIFS($CN$6:$CN$53,CN10,$CQ$6:CQ$53,"&gt;"&amp;CQ10,$BC$6:$BC$53,INDEX(T_Equipos[Grupo],MATCH(BD10,T_Equipos[NombreEquipo],0)))</f>
        <v>1</v>
      </c>
      <c r="CS10" s="755" t="str">
        <f ca="1">IF(COUNTIFS($CR$6:$CR$53,CR10,$BC$6:$BC$53,INDEX(T_Equipos[Grupo],MATCH(BD10,T_Equipos[NombreEquipo],0)))=1,"-","P."&amp;CR10&amp;" ("&amp;COUNTIFS($CR$6:$CR$53,CR10,$BC$6:$BC$53,INDEX(T_Equipos[Grupo],MATCH(BD10,T_Equipos[NombreEquipo],0)))&amp;")")</f>
        <v>P.1 (4)</v>
      </c>
      <c r="CT10" s="756">
        <f t="shared" ref="CT10:CT53" ca="1" si="51">IF($CS10="-","-",SUMIFS(FG_GolesLocal,FGLocal,$BD10,Part2Empate6V,$CS10)+SUMIFS(FG_GolesVisitante,FGVisitante,$BD10,Part2Empate6L,$CS10))</f>
        <v>0</v>
      </c>
      <c r="CU10" s="756">
        <f ca="1">CR10+COUNTIFS($CS$6:$CS$53,CS10,$CT$6:CT$53,"&gt;"&amp;CT10,$BC$6:$BC$53,INDEX(T_Equipos[Grupo],MATCH(BD10,T_Equipos[NombreEquipo],0)))</f>
        <v>1</v>
      </c>
      <c r="CV10" s="755" t="str">
        <f ca="1">IF(COUNTIFS($CU$6:$CU$53,CU10,$BC$6:$BC$53,INDEX(T_Equipos[Grupo],MATCH(BD10,T_Equipos[NombreEquipo],0)))=1,"-","P."&amp;CU10&amp;" ("&amp;COUNTIFS($CU$6:$CU$53,CU10,$BC$6:$BC$53,INDEX(T_Equipos[Grupo],MATCH(BD10,T_Equipos[NombreEquipo],0)))&amp;")")</f>
        <v>P.1 (4)</v>
      </c>
      <c r="CW10" s="755">
        <f t="shared" ca="1" si="30"/>
        <v>0</v>
      </c>
      <c r="CX10" s="755">
        <f ca="1">CU10+COUNTIFS($CV$6:$CV$53,CV10,$CW$6:CW$53,"&gt;"&amp;CW10,$BC$6:$BC$53,INDEX(T_Equipos[Grupo],MATCH(BD10,T_Equipos[NombreEquipo],0)))</f>
        <v>1</v>
      </c>
      <c r="CY10" s="755" t="str">
        <f ca="1">IF(COUNTIFS($CX$6:$CX$53,CX10,$BC$6:$BC$53,INDEX(T_Equipos[Grupo],MATCH(BD10,T_Equipos[NombreEquipo],0)))=1,"-","P."&amp;CX10&amp;" ("&amp;COUNTIFS($CX$6:$CX$53,CX10,$BC$6:$BC$53,INDEX(T_Equipos[Grupo],MATCH(BD10,T_Equipos[NombreEquipo],0)))&amp;")")</f>
        <v>P.1 (4)</v>
      </c>
      <c r="CZ10" s="755">
        <f t="shared" ca="1" si="31"/>
        <v>0</v>
      </c>
      <c r="DA10" s="756">
        <f ca="1">CX10+COUNTIFS($CY$6:$CY$53,CY10,$CZ$6:CZ$53,"&gt;"&amp;CZ10,$BC$6:$BC$53,INDEX(T_Equipos[Grupo],MATCH(BD10,T_Equipos[NombreEquipo],0)))</f>
        <v>1</v>
      </c>
      <c r="DB10" s="755" t="str">
        <f ca="1">IF(COUNTIFS($DA$6:$DA$53,DA10,$BC$6:$BC$53,INDEX(T_Equipos[Grupo],MATCH(BD10,T_Equipos[NombreEquipo],0)))=1,"-","P."&amp;DA10&amp;" ("&amp;COUNTIFS($DA$6:$DA$53,DA10,$BC$6:$BC$53,INDEX(T_Equipos[Grupo],MATCH(BD10,T_Equipos[NombreEquipo],0)))&amp;")")</f>
        <v>P.1 (4)</v>
      </c>
      <c r="DC10" s="754">
        <f ca="1">IF(DB10="-","-",COUNTIFS(T_Equipos[Rank],"&lt;"&amp;INDEX(T_Equipos[Rank],MATCH(BD10,T_Equipos[NombreEquipo],0)),$BC$6:$BC$53,INDEX(T_Equipos[Grupo],MATCH(BD10,T_Equipos[NombreEquipo],0)))+1)</f>
        <v>1</v>
      </c>
      <c r="DD10" s="754">
        <f ca="1">DA10+COUNTIFS($DB$6:$DB$53,DB10,$DC$6:DC$53,"&lt;"&amp;DC10,$BC$6:$BC$53,INDEX(T_Equipos[Grupo],MATCH(BD10,T_Equipos[NombreEquipo],0)))</f>
        <v>1</v>
      </c>
      <c r="DE10" s="754"/>
      <c r="DF10" s="754">
        <f t="shared" ref="DF10:DF53" ca="1" si="52">IF(OR(INDEX($AW$6:$AW$97,MATCH($BD10,$AV$6:$AV$97,0))="",DB10="-"),DD10,INDEX($AW$6:$AW$97,MATCH($BD10,$AV$6:$AV$97,0))+DD10/1000)</f>
        <v>1</v>
      </c>
      <c r="DG10" s="754">
        <f ca="1">IF(DB10="-","-",COUNTIFS(DF$6:DF$53,"&lt;"&amp;DF10,$BC$6:$BC$53,INDEX(T_Equipos[Grupo],MATCH(BD10,T_Equipos[NombreEquipo],0))))</f>
        <v>0</v>
      </c>
      <c r="DH10" s="754">
        <f ca="1">DA10+COUNTIFS(DB$6:DB$53,DB10,DG$6:DG$53,"&lt;"&amp;DG10,$BC$6:$BC$53,INDEX(T_Equipos[Grupo],MATCH(BD10,T_Equipos[NombreEquipo],0)))</f>
        <v>1</v>
      </c>
      <c r="DI10" s="742"/>
      <c r="DJ10" s="742">
        <f t="shared" ref="DJ10:DJ53" ca="1" si="53">INDEX($DA$6:$DA$53,MATCH($DQ10,$BD$6:$BD$53,0))</f>
        <v>1</v>
      </c>
      <c r="DK10" s="742">
        <f t="shared" ca="1" si="24"/>
        <v>0</v>
      </c>
      <c r="DL10" s="742">
        <f t="shared" ca="1" si="33"/>
        <v>1</v>
      </c>
      <c r="DM10" s="736" t="str">
        <f t="shared" ca="1" si="34"/>
        <v>1.1</v>
      </c>
      <c r="DN10" s="742" cm="1">
        <f t="array" aca="1" ref="DN10" ca="1">OFFSET(Horarios!$P$3,DJ10-1,0,DL10,1)</f>
        <v>1</v>
      </c>
      <c r="DO10" s="742"/>
      <c r="DP10" s="742" t="s">
        <v>648</v>
      </c>
      <c r="DQ10" s="742" t="str">
        <f t="shared" ca="1" si="35"/>
        <v>Canadá</v>
      </c>
      <c r="DR10" s="742"/>
      <c r="DS10" s="742"/>
      <c r="DT10" s="742" t="str">
        <f t="shared" si="15"/>
        <v>-</v>
      </c>
      <c r="DU10" s="742"/>
      <c r="DV10" s="742"/>
      <c r="DW10" s="8"/>
    </row>
    <row r="11" spans="1:127" ht="15.95"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y Herzegovina</v>
      </c>
      <c r="BE11" s="746">
        <f t="shared" ca="1" si="25"/>
        <v>0</v>
      </c>
      <c r="BF11" s="746">
        <f t="shared" ca="1" si="26"/>
        <v>0</v>
      </c>
      <c r="BG11" s="746">
        <f t="shared" ca="1" si="17"/>
        <v>0</v>
      </c>
      <c r="BH11" s="746">
        <f t="shared" ca="1" si="18"/>
        <v>0</v>
      </c>
      <c r="BI11" s="746">
        <f t="shared" ca="1" si="19"/>
        <v>0</v>
      </c>
      <c r="BJ11" s="746">
        <f t="shared" ca="1" si="20"/>
        <v>0</v>
      </c>
      <c r="BK11" s="746">
        <f t="shared" ca="1" si="21"/>
        <v>0</v>
      </c>
      <c r="BL11" s="746">
        <f t="shared" ca="1" si="27"/>
        <v>0</v>
      </c>
      <c r="BM11" s="746" t="str">
        <f t="shared" ca="1" si="22"/>
        <v>2B</v>
      </c>
      <c r="BN11" s="746" t="str">
        <f t="shared" ca="1" si="23"/>
        <v>2B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0</v>
      </c>
      <c r="BS11" s="755">
        <f ca="1">BP11+COUNTIFS($BQ$6:$BQ$53,BQ11,$BR$6:BR$53,"&gt;"&amp;BR11,$BC$6:$BC$53,INDEX(T_Equipos[Grupo],MATCH(BD11,T_Equipos[NombreEquipo],0)))</f>
        <v>1</v>
      </c>
      <c r="BT11" s="755" t="str">
        <f ca="1">IF(COUNTIFS($BS$6:$BS$53,BS11,$BC$6:$BC$53,INDEX(T_Equipos[Grupo],MATCH(BD11,T_Equipos[NombreEquipo],0)))=1,"-","P."&amp;BS11&amp;" ("&amp;COUNTIFS($BS$6:$BS$53,BS11,$BC$6:$BC$53,INDEX(T_Equipos[Grupo],MATCH(BD11,T_Equipos[NombreEquipo],0)))&amp;")")</f>
        <v>P.1 (4)</v>
      </c>
      <c r="BU11" s="756">
        <f t="shared" ca="1" si="36"/>
        <v>0</v>
      </c>
      <c r="BV11" s="756">
        <f t="shared" ca="1" si="37"/>
        <v>0</v>
      </c>
      <c r="BW11" s="756">
        <f t="shared" ca="1" si="38"/>
        <v>0</v>
      </c>
      <c r="BX11" s="756">
        <f t="shared" ca="1" si="39"/>
        <v>0</v>
      </c>
      <c r="BY11" s="756">
        <f ca="1">BS11+COUNTIFS($BT$6:$BT$53,BT11,$BX$6:BX$53,"&gt;"&amp;BX11,$BC$6:$BC$53,INDEX(T_Equipos[Grupo],MATCH(BD11,T_Equipos[NombreEquipo],0)))</f>
        <v>1</v>
      </c>
      <c r="BZ11" s="755" t="str">
        <f ca="1">IF(COUNTIFS($BY$6:$BY$53,BY11,$BC$6:$BC$53,INDEX(T_Equipos[Grupo],MATCH(BD11,T_Equipos[NombreEquipo],0)))=1,"-","P."&amp;BY11&amp;" ("&amp;COUNTIFS($BY$6:$BY$53,BY11,$BC$6:$BC$53,INDEX(T_Equipos[Grupo],MATCH(BD11,T_Equipos[NombreEquipo],0)))&amp;")")</f>
        <v>P.1 (4)</v>
      </c>
      <c r="CA11" s="756">
        <f t="shared" ca="1" si="40"/>
        <v>0</v>
      </c>
      <c r="CB11" s="756">
        <f t="shared" ca="1" si="41"/>
        <v>0</v>
      </c>
      <c r="CC11" s="756">
        <f t="shared" ca="1" si="42"/>
        <v>0</v>
      </c>
      <c r="CD11" s="756">
        <f ca="1">BY11+COUNTIFS($BZ$6:$BZ$53,BZ11,$CC$6:CC$53,"&gt;"&amp;CC11,$BC$6:$BC$53,INDEX(T_Equipos[Grupo],MATCH(BD11,T_Equipos[NombreEquipo],0)))</f>
        <v>1</v>
      </c>
      <c r="CE11" s="755" t="str">
        <f ca="1">IF(COUNTIFS($CD$6:$CD$53,CD11,$BC$6:$BC$53,INDEX(T_Equipos[Grupo],MATCH(BD11,T_Equipos[NombreEquipo],0)))=1,"-","P."&amp;CD11&amp;" ("&amp;COUNTIFS($CD$6:$CD$53,CD11,$BC$6:$BC$53,INDEX(T_Equipos[Grupo],MATCH(BD11,T_Equipos[NombreEquipo],0)))&amp;")")</f>
        <v>P.1 (4)</v>
      </c>
      <c r="CF11" s="756">
        <f t="shared" ca="1" si="43"/>
        <v>0</v>
      </c>
      <c r="CG11" s="756">
        <f ca="1">CD11+COUNTIFS($CE$6:$CE$53,CE11,$CF$6:CF$53,"&gt;"&amp;CF11,$BC$6:$BC$53,INDEX(T_Equipos[Grupo],MATCH(BD11,T_Equipos[NombreEquipo],0)))</f>
        <v>1</v>
      </c>
      <c r="CH11" s="755" t="str">
        <f ca="1">IF(COUNTIFS($CG$6:$CG$53,CG11,$BC$6:$BC$53,INDEX(T_Equipos[Grupo],MATCH(BD11,T_Equipos[NombreEquipo],0)))=1,"-","P."&amp;CG11&amp;" ("&amp;COUNTIFS($CG$6:$CG$53,CG11,$BC$6:$BC$53,INDEX(T_Equipos[Grupo],MATCH(BD11,T_Equipos[NombreEquipo],0)))&amp;")")</f>
        <v>P.1 (4)</v>
      </c>
      <c r="CI11" s="756">
        <f t="shared" ca="1" si="44"/>
        <v>0</v>
      </c>
      <c r="CJ11" s="756">
        <f t="shared" ca="1" si="45"/>
        <v>0</v>
      </c>
      <c r="CK11" s="756">
        <f t="shared" ca="1" si="46"/>
        <v>0</v>
      </c>
      <c r="CL11" s="756">
        <f t="shared" ca="1" si="47"/>
        <v>0</v>
      </c>
      <c r="CM11" s="756">
        <f ca="1">CG11+COUNTIFS($CH$6:$CH$53,CH11,$CL$6:CL$53,"&gt;"&amp;CL11,$BC$6:$BC$53,INDEX(T_Equipos[Grupo],MATCH(BD11,T_Equipos[NombreEquipo],0)))</f>
        <v>1</v>
      </c>
      <c r="CN11" s="755" t="str">
        <f ca="1">IF(COUNTIFS($CM$6:$CM$53,CM11,$BC$6:$BC$53,INDEX(T_Equipos[Grupo],MATCH(BD11,T_Equipos[NombreEquipo],0)))=1,"-","P."&amp;CM11&amp;" ("&amp;COUNTIFS($CM$6:$CM$53,CM11,$BC$6:$BC$53,INDEX(T_Equipos[Grupo],MATCH(BD11,T_Equipos[NombreEquipo],0)))&amp;")")</f>
        <v>P.1 (4)</v>
      </c>
      <c r="CO11" s="756">
        <f t="shared" ca="1" si="48"/>
        <v>0</v>
      </c>
      <c r="CP11" s="756">
        <f t="shared" ca="1" si="49"/>
        <v>0</v>
      </c>
      <c r="CQ11" s="756">
        <f t="shared" ca="1" si="50"/>
        <v>0</v>
      </c>
      <c r="CR11" s="756">
        <f ca="1">CM11+COUNTIFS($CN$6:$CN$53,CN11,$CQ$6:CQ$53,"&gt;"&amp;CQ11,$BC$6:$BC$53,INDEX(T_Equipos[Grupo],MATCH(BD11,T_Equipos[NombreEquipo],0)))</f>
        <v>1</v>
      </c>
      <c r="CS11" s="755" t="str">
        <f ca="1">IF(COUNTIFS($CR$6:$CR$53,CR11,$BC$6:$BC$53,INDEX(T_Equipos[Grupo],MATCH(BD11,T_Equipos[NombreEquipo],0)))=1,"-","P."&amp;CR11&amp;" ("&amp;COUNTIFS($CR$6:$CR$53,CR11,$BC$6:$BC$53,INDEX(T_Equipos[Grupo],MATCH(BD11,T_Equipos[NombreEquipo],0)))&amp;")")</f>
        <v>P.1 (4)</v>
      </c>
      <c r="CT11" s="756">
        <f t="shared" ca="1" si="51"/>
        <v>0</v>
      </c>
      <c r="CU11" s="756">
        <f ca="1">CR11+COUNTIFS($CS$6:$CS$53,CS11,$CT$6:CT$53,"&gt;"&amp;CT11,$BC$6:$BC$53,INDEX(T_Equipos[Grupo],MATCH(BD11,T_Equipos[NombreEquipo],0)))</f>
        <v>1</v>
      </c>
      <c r="CV11" s="755" t="str">
        <f ca="1">IF(COUNTIFS($CU$6:$CU$53,CU11,$BC$6:$BC$53,INDEX(T_Equipos[Grupo],MATCH(BD11,T_Equipos[NombreEquipo],0)))=1,"-","P."&amp;CU11&amp;" ("&amp;COUNTIFS($CU$6:$CU$53,CU11,$BC$6:$BC$53,INDEX(T_Equipos[Grupo],MATCH(BD11,T_Equipos[NombreEquipo],0)))&amp;")")</f>
        <v>P.1 (4)</v>
      </c>
      <c r="CW11" s="755">
        <f t="shared" ca="1" si="30"/>
        <v>0</v>
      </c>
      <c r="CX11" s="755">
        <f ca="1">CU11+COUNTIFS($CV$6:$CV$53,CV11,$CW$6:CW$53,"&gt;"&amp;CW11,$BC$6:$BC$53,INDEX(T_Equipos[Grupo],MATCH(BD11,T_Equipos[NombreEquipo],0)))</f>
        <v>1</v>
      </c>
      <c r="CY11" s="755" t="str">
        <f ca="1">IF(COUNTIFS($CX$6:$CX$53,CX11,$BC$6:$BC$53,INDEX(T_Equipos[Grupo],MATCH(BD11,T_Equipos[NombreEquipo],0)))=1,"-","P."&amp;CX11&amp;" ("&amp;COUNTIFS($CX$6:$CX$53,CX11,$BC$6:$BC$53,INDEX(T_Equipos[Grupo],MATCH(BD11,T_Equipos[NombreEquipo],0)))&amp;")")</f>
        <v>P.1 (4)</v>
      </c>
      <c r="CZ11" s="755">
        <f t="shared" ca="1" si="31"/>
        <v>0</v>
      </c>
      <c r="DA11" s="756">
        <f ca="1">CX11+COUNTIFS($CY$6:$CY$53,CY11,$CZ$6:CZ$53,"&gt;"&amp;CZ11,$BC$6:$BC$53,INDEX(T_Equipos[Grupo],MATCH(BD11,T_Equipos[NombreEquipo],0)))</f>
        <v>1</v>
      </c>
      <c r="DB11" s="755" t="str">
        <f ca="1">IF(COUNTIFS($DA$6:$DA$53,DA11,$BC$6:$BC$53,INDEX(T_Equipos[Grupo],MATCH(BD11,T_Equipos[NombreEquipo],0)))=1,"-","P."&amp;DA11&amp;" ("&amp;COUNTIFS($DA$6:$DA$53,DA11,$BC$6:$BC$53,INDEX(T_Equipos[Grupo],MATCH(BD11,T_Equipos[NombreEquipo],0)))&amp;")")</f>
        <v>P.1 (4)</v>
      </c>
      <c r="DC11" s="754">
        <f ca="1">IF(DB11="-","-",COUNTIFS(T_Equipos[Rank],"&lt;"&amp;INDEX(T_Equipos[Rank],MATCH(BD11,T_Equipos[NombreEquipo],0)),$BC$6:$BC$53,INDEX(T_Equipos[Grupo],MATCH(BD11,T_Equipos[NombreEquipo],0)))+1)</f>
        <v>2</v>
      </c>
      <c r="DD11" s="754">
        <f ca="1">DA11+COUNTIFS($DB$6:$DB$53,DB11,$DC$6:DC$53,"&lt;"&amp;DC11,$BC$6:$BC$53,INDEX(T_Equipos[Grupo],MATCH(BD11,T_Equipos[NombreEquipo],0)))</f>
        <v>2</v>
      </c>
      <c r="DE11" s="754"/>
      <c r="DF11" s="754">
        <f t="shared" ca="1" si="52"/>
        <v>2</v>
      </c>
      <c r="DG11" s="754">
        <f ca="1">IF(DB11="-","-",COUNTIFS(DF$6:DF$53,"&lt;"&amp;DF11,$BC$6:$BC$53,INDEX(T_Equipos[Grupo],MATCH(BD11,T_Equipos[NombreEquipo],0))))</f>
        <v>1</v>
      </c>
      <c r="DH11" s="754">
        <f ca="1">DA11+COUNTIFS(DB$6:DB$53,DB11,DG$6:DG$53,"&lt;"&amp;DG11,$BC$6:$BC$53,INDEX(T_Equipos[Grupo],MATCH(BD11,T_Equipos[NombreEquipo],0)))</f>
        <v>2</v>
      </c>
      <c r="DI11" s="742"/>
      <c r="DJ11" s="742">
        <f t="shared" ca="1" si="53"/>
        <v>1</v>
      </c>
      <c r="DK11" s="742">
        <f t="shared" ca="1" si="24"/>
        <v>0</v>
      </c>
      <c r="DL11" s="742">
        <f t="shared" ca="1" si="33"/>
        <v>1</v>
      </c>
      <c r="DM11" s="736" t="str">
        <f t="shared" ca="1" si="34"/>
        <v>1.1</v>
      </c>
      <c r="DN11" s="742" cm="1">
        <f t="array" aca="1" ref="DN11" ca="1">OFFSET(Horarios!$P$3,DJ11-1,0,DL11,1)</f>
        <v>1</v>
      </c>
      <c r="DO11" s="742"/>
      <c r="DP11" s="742" t="s">
        <v>649</v>
      </c>
      <c r="DQ11" s="742" t="str">
        <f t="shared" ca="1" si="35"/>
        <v>Bosnia y Herzegovina</v>
      </c>
      <c r="DR11" s="742"/>
      <c r="DS11" s="742"/>
      <c r="DT11" s="742" t="str">
        <f t="shared" si="15"/>
        <v>Casa-Fuera</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Pendiente</v>
      </c>
      <c r="E12" s="742" t="str">
        <f t="shared" ref="E12:E17" si="55">IF(D12="Pendiente","-",INDEX($BT$6:$BT$53,MATCH($AA12,$BD$6:$BD$53,0)))</f>
        <v>-</v>
      </c>
      <c r="F12" s="742" t="str">
        <f t="shared" ref="F12:F17" si="56">IF(D12="Pendiente","-",INDEX($BT$6:$BT$53,MATCH($AF12,$BD$6:$BD$53,0)))</f>
        <v>-</v>
      </c>
      <c r="G12" s="742"/>
      <c r="H12" s="742" t="str">
        <f t="shared" ref="H12:H17" si="57">IF(D12="Pendiente","-",INDEX($BZ$6:$BZ$53,MATCH($AA12,$BD$6:$BD$53,0)))</f>
        <v>-</v>
      </c>
      <c r="I12" s="742" t="str">
        <f t="shared" ref="I12:I17" si="58">IF(D12="Pendiente","-",INDEX($BZ$6:$BZ$53,MATCH($AF12,$BD$6:$BD$53,0)))</f>
        <v>-</v>
      </c>
      <c r="J12" s="742"/>
      <c r="K12" s="742" t="str">
        <f t="shared" ref="K12:K17" si="59">IF(D12="Pendiente","-",INDEX($CE$6:$CE$53,MATCH($AA12,$BD$6:$BD$53,0)))</f>
        <v>-</v>
      </c>
      <c r="L12" s="742" t="str">
        <f t="shared" ref="L12:L17" si="60">IF(D12="Pendiente","-",INDEX($CE$6:$CE$53,MATCH($AF12,$BD$6:$BD$53,0)))</f>
        <v>-</v>
      </c>
      <c r="M12" s="742"/>
      <c r="N12" s="742" t="str">
        <f t="shared" ref="N12:N17" si="61">IF(D12="Pendiente","-",INDEX($CH$6:$CH$53,MATCH($AA12,$BD$6:$BD$53,0)))</f>
        <v>-</v>
      </c>
      <c r="O12" s="742" t="str">
        <f t="shared" ref="O12:O17" si="62">IF(D12="Pendiente","-",INDEX($CH$6:$CH$53,MATCH($AF12,$BD$6:$BD$53,0)))</f>
        <v>-</v>
      </c>
      <c r="P12" s="742"/>
      <c r="Q12" s="742" t="str">
        <f t="shared" ref="Q12:Q17" si="63">IF(D12="Pendiente","-",INDEX($CN$6:$CN$53,MATCH($AA12,$BD$6:$BD$53,0)))</f>
        <v>-</v>
      </c>
      <c r="R12" s="742" t="str">
        <f t="shared" ref="R12:R17" si="64">IF(D12="Pendiente","-",INDEX($CN$6:$CN$53,MATCH($AF12,$BD$6:$BD$53,0)))</f>
        <v>-</v>
      </c>
      <c r="S12" s="742"/>
      <c r="T12" s="742" t="str">
        <f t="shared" ref="T12:T17" si="65">IF(D12="Pendiente","-",INDEX($CS$6:$CS$53,MATCH($AA12,$BD$6:$BD$53,0)))</f>
        <v>-</v>
      </c>
      <c r="U12" s="742" t="str">
        <f t="shared" ref="U12:U17" si="66">IF(D12="Pendiente","-",INDEX($CS$6:$CS$53,MATCH($AF12,$BD$6:$BD$53,0)))</f>
        <v>-</v>
      </c>
      <c r="V12" s="172"/>
      <c r="W12" s="828" t="s">
        <v>1</v>
      </c>
      <c r="X12" s="189">
        <f ca="1">Horarios!C12</f>
        <v>46185.625</v>
      </c>
      <c r="Y12" s="190">
        <f ca="1">Horarios!C12</f>
        <v>46185.625</v>
      </c>
      <c r="Z12" s="191" t="str">
        <f>$Z$4</f>
        <v>J1</v>
      </c>
      <c r="AA12" s="192" t="str">
        <f ca="1">A13</f>
        <v>Canadá</v>
      </c>
      <c r="AB12" s="478" t="str" cm="1">
        <f t="array" aca="1" ref="AB12" ca="1">Ver_flag_local</f>
        <v/>
      </c>
      <c r="AC12" s="193"/>
      <c r="AD12" s="194"/>
      <c r="AE12" s="483" t="str" cm="1">
        <f t="array" aca="1" ref="AE12" ca="1">Ver_flag_visit</f>
        <v/>
      </c>
      <c r="AF12" s="195" t="str">
        <f ca="1">A14</f>
        <v>Bosnia y Herzegovina</v>
      </c>
      <c r="AG12" s="413">
        <f t="shared" ref="AG12:AG17" si="67">IF(NOT(OR(ISBLANK(AC12),ISBLANK(AD12))),1,0)</f>
        <v>0</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Catar</v>
      </c>
      <c r="BE12" s="746">
        <f t="shared" ca="1" si="25"/>
        <v>0</v>
      </c>
      <c r="BF12" s="746">
        <f t="shared" ca="1" si="26"/>
        <v>0</v>
      </c>
      <c r="BG12" s="746">
        <f t="shared" ca="1" si="17"/>
        <v>0</v>
      </c>
      <c r="BH12" s="746">
        <f t="shared" ca="1" si="18"/>
        <v>0</v>
      </c>
      <c r="BI12" s="746">
        <f t="shared" ca="1" si="19"/>
        <v>0</v>
      </c>
      <c r="BJ12" s="746">
        <f t="shared" ca="1" si="20"/>
        <v>0</v>
      </c>
      <c r="BK12" s="746">
        <f t="shared" ca="1" si="21"/>
        <v>0</v>
      </c>
      <c r="BL12" s="746">
        <f t="shared" ca="1" si="27"/>
        <v>0</v>
      </c>
      <c r="BM12" s="746" t="str">
        <f t="shared" ca="1" si="22"/>
        <v>3B</v>
      </c>
      <c r="BN12" s="746" t="str">
        <f t="shared" ca="1" si="23"/>
        <v>3B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0</v>
      </c>
      <c r="BS12" s="755">
        <f ca="1">BP12+COUNTIFS($BQ$6:$BQ$53,BQ12,$BR$6:BR$53,"&gt;"&amp;BR12,$BC$6:$BC$53,INDEX(T_Equipos[Grupo],MATCH(BD12,T_Equipos[NombreEquipo],0)))</f>
        <v>1</v>
      </c>
      <c r="BT12" s="755" t="str">
        <f ca="1">IF(COUNTIFS($BS$6:$BS$53,BS12,$BC$6:$BC$53,INDEX(T_Equipos[Grupo],MATCH(BD12,T_Equipos[NombreEquipo],0)))=1,"-","P."&amp;BS12&amp;" ("&amp;COUNTIFS($BS$6:$BS$53,BS12,$BC$6:$BC$53,INDEX(T_Equipos[Grupo],MATCH(BD12,T_Equipos[NombreEquipo],0)))&amp;")")</f>
        <v>P.1 (4)</v>
      </c>
      <c r="BU12" s="756">
        <f t="shared" ca="1" si="36"/>
        <v>0</v>
      </c>
      <c r="BV12" s="756">
        <f t="shared" ca="1" si="37"/>
        <v>0</v>
      </c>
      <c r="BW12" s="756">
        <f t="shared" ca="1" si="38"/>
        <v>0</v>
      </c>
      <c r="BX12" s="756">
        <f t="shared" ca="1" si="39"/>
        <v>0</v>
      </c>
      <c r="BY12" s="756">
        <f ca="1">BS12+COUNTIFS($BT$6:$BT$53,BT12,$BX$6:BX$53,"&gt;"&amp;BX12,$BC$6:$BC$53,INDEX(T_Equipos[Grupo],MATCH(BD12,T_Equipos[NombreEquipo],0)))</f>
        <v>1</v>
      </c>
      <c r="BZ12" s="755" t="str">
        <f ca="1">IF(COUNTIFS($BY$6:$BY$53,BY12,$BC$6:$BC$53,INDEX(T_Equipos[Grupo],MATCH(BD12,T_Equipos[NombreEquipo],0)))=1,"-","P."&amp;BY12&amp;" ("&amp;COUNTIFS($BY$6:$BY$53,BY12,$BC$6:$BC$53,INDEX(T_Equipos[Grupo],MATCH(BD12,T_Equipos[NombreEquipo],0)))&amp;")")</f>
        <v>P.1 (4)</v>
      </c>
      <c r="CA12" s="756">
        <f t="shared" ca="1" si="40"/>
        <v>0</v>
      </c>
      <c r="CB12" s="756">
        <f t="shared" ca="1" si="41"/>
        <v>0</v>
      </c>
      <c r="CC12" s="756">
        <f t="shared" ca="1" si="42"/>
        <v>0</v>
      </c>
      <c r="CD12" s="756">
        <f ca="1">BY12+COUNTIFS($BZ$6:$BZ$53,BZ12,$CC$6:CC$53,"&gt;"&amp;CC12,$BC$6:$BC$53,INDEX(T_Equipos[Grupo],MATCH(BD12,T_Equipos[NombreEquipo],0)))</f>
        <v>1</v>
      </c>
      <c r="CE12" s="755" t="str">
        <f ca="1">IF(COUNTIFS($CD$6:$CD$53,CD12,$BC$6:$BC$53,INDEX(T_Equipos[Grupo],MATCH(BD12,T_Equipos[NombreEquipo],0)))=1,"-","P."&amp;CD12&amp;" ("&amp;COUNTIFS($CD$6:$CD$53,CD12,$BC$6:$BC$53,INDEX(T_Equipos[Grupo],MATCH(BD12,T_Equipos[NombreEquipo],0)))&amp;")")</f>
        <v>P.1 (4)</v>
      </c>
      <c r="CF12" s="756">
        <f t="shared" ca="1" si="43"/>
        <v>0</v>
      </c>
      <c r="CG12" s="756">
        <f ca="1">CD12+COUNTIFS($CE$6:$CE$53,CE12,$CF$6:CF$53,"&gt;"&amp;CF12,$BC$6:$BC$53,INDEX(T_Equipos[Grupo],MATCH(BD12,T_Equipos[NombreEquipo],0)))</f>
        <v>1</v>
      </c>
      <c r="CH12" s="755" t="str">
        <f ca="1">IF(COUNTIFS($CG$6:$CG$53,CG12,$BC$6:$BC$53,INDEX(T_Equipos[Grupo],MATCH(BD12,T_Equipos[NombreEquipo],0)))=1,"-","P."&amp;CG12&amp;" ("&amp;COUNTIFS($CG$6:$CG$53,CG12,$BC$6:$BC$53,INDEX(T_Equipos[Grupo],MATCH(BD12,T_Equipos[NombreEquipo],0)))&amp;")")</f>
        <v>P.1 (4)</v>
      </c>
      <c r="CI12" s="756">
        <f t="shared" ca="1" si="44"/>
        <v>0</v>
      </c>
      <c r="CJ12" s="756">
        <f t="shared" ca="1" si="45"/>
        <v>0</v>
      </c>
      <c r="CK12" s="756">
        <f t="shared" ca="1" si="46"/>
        <v>0</v>
      </c>
      <c r="CL12" s="756">
        <f t="shared" ca="1" si="47"/>
        <v>0</v>
      </c>
      <c r="CM12" s="756">
        <f ca="1">CG12+COUNTIFS($CH$6:$CH$53,CH12,$CL$6:CL$53,"&gt;"&amp;CL12,$BC$6:$BC$53,INDEX(T_Equipos[Grupo],MATCH(BD12,T_Equipos[NombreEquipo],0)))</f>
        <v>1</v>
      </c>
      <c r="CN12" s="755" t="str">
        <f ca="1">IF(COUNTIFS($CM$6:$CM$53,CM12,$BC$6:$BC$53,INDEX(T_Equipos[Grupo],MATCH(BD12,T_Equipos[NombreEquipo],0)))=1,"-","P."&amp;CM12&amp;" ("&amp;COUNTIFS($CM$6:$CM$53,CM12,$BC$6:$BC$53,INDEX(T_Equipos[Grupo],MATCH(BD12,T_Equipos[NombreEquipo],0)))&amp;")")</f>
        <v>P.1 (4)</v>
      </c>
      <c r="CO12" s="756">
        <f t="shared" ca="1" si="48"/>
        <v>0</v>
      </c>
      <c r="CP12" s="756">
        <f t="shared" ca="1" si="49"/>
        <v>0</v>
      </c>
      <c r="CQ12" s="756">
        <f t="shared" ca="1" si="50"/>
        <v>0</v>
      </c>
      <c r="CR12" s="756">
        <f ca="1">CM12+COUNTIFS($CN$6:$CN$53,CN12,$CQ$6:CQ$53,"&gt;"&amp;CQ12,$BC$6:$BC$53,INDEX(T_Equipos[Grupo],MATCH(BD12,T_Equipos[NombreEquipo],0)))</f>
        <v>1</v>
      </c>
      <c r="CS12" s="755" t="str">
        <f ca="1">IF(COUNTIFS($CR$6:$CR$53,CR12,$BC$6:$BC$53,INDEX(T_Equipos[Grupo],MATCH(BD12,T_Equipos[NombreEquipo],0)))=1,"-","P."&amp;CR12&amp;" ("&amp;COUNTIFS($CR$6:$CR$53,CR12,$BC$6:$BC$53,INDEX(T_Equipos[Grupo],MATCH(BD12,T_Equipos[NombreEquipo],0)))&amp;")")</f>
        <v>P.1 (4)</v>
      </c>
      <c r="CT12" s="756">
        <f t="shared" ca="1" si="51"/>
        <v>0</v>
      </c>
      <c r="CU12" s="756">
        <f ca="1">CR12+COUNTIFS($CS$6:$CS$53,CS12,$CT$6:CT$53,"&gt;"&amp;CT12,$BC$6:$BC$53,INDEX(T_Equipos[Grupo],MATCH(BD12,T_Equipos[NombreEquipo],0)))</f>
        <v>1</v>
      </c>
      <c r="CV12" s="755" t="str">
        <f ca="1">IF(COUNTIFS($CU$6:$CU$53,CU12,$BC$6:$BC$53,INDEX(T_Equipos[Grupo],MATCH(BD12,T_Equipos[NombreEquipo],0)))=1,"-","P."&amp;CU12&amp;" ("&amp;COUNTIFS($CU$6:$CU$53,CU12,$BC$6:$BC$53,INDEX(T_Equipos[Grupo],MATCH(BD12,T_Equipos[NombreEquipo],0)))&amp;")")</f>
        <v>P.1 (4)</v>
      </c>
      <c r="CW12" s="755">
        <f t="shared" ca="1" si="30"/>
        <v>0</v>
      </c>
      <c r="CX12" s="755">
        <f ca="1">CU12+COUNTIFS($CV$6:$CV$53,CV12,$CW$6:CW$53,"&gt;"&amp;CW12,$BC$6:$BC$53,INDEX(T_Equipos[Grupo],MATCH(BD12,T_Equipos[NombreEquipo],0)))</f>
        <v>1</v>
      </c>
      <c r="CY12" s="755" t="str">
        <f ca="1">IF(COUNTIFS($CX$6:$CX$53,CX12,$BC$6:$BC$53,INDEX(T_Equipos[Grupo],MATCH(BD12,T_Equipos[NombreEquipo],0)))=1,"-","P."&amp;CX12&amp;" ("&amp;COUNTIFS($CX$6:$CX$53,CX12,$BC$6:$BC$53,INDEX(T_Equipos[Grupo],MATCH(BD12,T_Equipos[NombreEquipo],0)))&amp;")")</f>
        <v>P.1 (4)</v>
      </c>
      <c r="CZ12" s="755">
        <f t="shared" ca="1" si="31"/>
        <v>0</v>
      </c>
      <c r="DA12" s="756">
        <f ca="1">CX12+COUNTIFS($CY$6:$CY$53,CY12,$CZ$6:CZ$53,"&gt;"&amp;CZ12,$BC$6:$BC$53,INDEX(T_Equipos[Grupo],MATCH(BD12,T_Equipos[NombreEquipo],0)))</f>
        <v>1</v>
      </c>
      <c r="DB12" s="755" t="str">
        <f ca="1">IF(COUNTIFS($DA$6:$DA$53,DA12,$BC$6:$BC$53,INDEX(T_Equipos[Grupo],MATCH(BD12,T_Equipos[NombreEquipo],0)))=1,"-","P."&amp;DA12&amp;" ("&amp;COUNTIFS($DA$6:$DA$53,DA12,$BC$6:$BC$53,INDEX(T_Equipos[Grupo],MATCH(BD12,T_Equipos[NombreEquipo],0)))&amp;")")</f>
        <v>P.1 (4)</v>
      </c>
      <c r="DC12" s="754">
        <f ca="1">IF(DB12="-","-",COUNTIFS(T_Equipos[Rank],"&lt;"&amp;INDEX(T_Equipos[Rank],MATCH(BD12,T_Equipos[NombreEquipo],0)),$BC$6:$BC$53,INDEX(T_Equipos[Grupo],MATCH(BD12,T_Equipos[NombreEquipo],0)))+1)</f>
        <v>3</v>
      </c>
      <c r="DD12" s="754">
        <f ca="1">DA12+COUNTIFS($DB$6:$DB$53,DB12,$DC$6:DC$53,"&lt;"&amp;DC12,$BC$6:$BC$53,INDEX(T_Equipos[Grupo],MATCH(BD12,T_Equipos[NombreEquipo],0)))</f>
        <v>3</v>
      </c>
      <c r="DE12" s="754"/>
      <c r="DF12" s="754">
        <f t="shared" ca="1" si="52"/>
        <v>3</v>
      </c>
      <c r="DG12" s="754">
        <f ca="1">IF(DB12="-","-",COUNTIFS(DF$6:DF$53,"&lt;"&amp;DF12,$BC$6:$BC$53,INDEX(T_Equipos[Grupo],MATCH(BD12,T_Equipos[NombreEquipo],0))))</f>
        <v>2</v>
      </c>
      <c r="DH12" s="754">
        <f ca="1">DA12+COUNTIFS(DB$6:DB$53,DB12,DG$6:DG$53,"&lt;"&amp;DG12,$BC$6:$BC$53,INDEX(T_Equipos[Grupo],MATCH(BD12,T_Equipos[NombreEquipo],0)))</f>
        <v>3</v>
      </c>
      <c r="DI12" s="742"/>
      <c r="DJ12" s="742">
        <f t="shared" ca="1" si="53"/>
        <v>1</v>
      </c>
      <c r="DK12" s="742">
        <f t="shared" ca="1" si="24"/>
        <v>0</v>
      </c>
      <c r="DL12" s="742">
        <f t="shared" ca="1" si="33"/>
        <v>1</v>
      </c>
      <c r="DM12" s="736" t="str">
        <f t="shared" ca="1" si="34"/>
        <v>1.1</v>
      </c>
      <c r="DN12" s="742" cm="1">
        <f t="array" aca="1" ref="DN12" ca="1">OFFSET(Horarios!$P$3,DJ12-1,0,DL12,1)</f>
        <v>1</v>
      </c>
      <c r="DO12" s="742"/>
      <c r="DP12" s="742" t="s">
        <v>90</v>
      </c>
      <c r="DQ12" s="742" t="str">
        <f t="shared" ca="1" si="35"/>
        <v>Catar</v>
      </c>
      <c r="DR12" s="742"/>
      <c r="DS12" s="742"/>
      <c r="DT12" s="742" t="str">
        <f t="shared" ca="1" si="15"/>
        <v>Canadá-Bosnia y Herzegovina</v>
      </c>
      <c r="DU12" s="742"/>
      <c r="DV12" s="742"/>
      <c r="DW12" s="8"/>
    </row>
    <row r="13" spans="1:127" ht="15.95" customHeight="1">
      <c r="A13" s="743" t="str">
        <f ca="1">+Equipos!B6</f>
        <v>Canadá</v>
      </c>
      <c r="B13" s="740"/>
      <c r="C13" s="740"/>
      <c r="D13" s="742" t="str">
        <f t="shared" si="54"/>
        <v>Pendiente</v>
      </c>
      <c r="E13" s="742" t="str">
        <f t="shared" si="55"/>
        <v>-</v>
      </c>
      <c r="F13" s="742" t="str">
        <f t="shared" si="56"/>
        <v>-</v>
      </c>
      <c r="G13" s="742"/>
      <c r="H13" s="742" t="str">
        <f t="shared" si="57"/>
        <v>-</v>
      </c>
      <c r="I13" s="742" t="str">
        <f t="shared" si="58"/>
        <v>-</v>
      </c>
      <c r="J13" s="742"/>
      <c r="K13" s="742" t="str">
        <f t="shared" si="59"/>
        <v>-</v>
      </c>
      <c r="L13" s="742" t="str">
        <f t="shared" si="60"/>
        <v>-</v>
      </c>
      <c r="M13" s="742"/>
      <c r="N13" s="742" t="str">
        <f t="shared" si="61"/>
        <v>-</v>
      </c>
      <c r="O13" s="742" t="str">
        <f t="shared" si="62"/>
        <v>-</v>
      </c>
      <c r="P13" s="742"/>
      <c r="Q13" s="742" t="str">
        <f t="shared" si="63"/>
        <v>-</v>
      </c>
      <c r="R13" s="742" t="str">
        <f t="shared" si="64"/>
        <v>-</v>
      </c>
      <c r="S13" s="742"/>
      <c r="T13" s="742" t="str">
        <f t="shared" si="65"/>
        <v>-</v>
      </c>
      <c r="U13" s="742" t="str">
        <f t="shared" si="66"/>
        <v>-</v>
      </c>
      <c r="V13" s="172"/>
      <c r="W13" s="828"/>
      <c r="X13" s="189">
        <f ca="1">Horarios!C13</f>
        <v>46186.625</v>
      </c>
      <c r="Y13" s="190">
        <f ca="1">Horarios!C13</f>
        <v>46186.625</v>
      </c>
      <c r="Z13" s="191" t="str">
        <f>$Z$4</f>
        <v>J1</v>
      </c>
      <c r="AA13" s="192" t="str">
        <f ca="1">A15</f>
        <v>Catar</v>
      </c>
      <c r="AB13" s="478" t="str" cm="1">
        <f t="array" aca="1" ref="AB13" ca="1">Ver_flag_local</f>
        <v/>
      </c>
      <c r="AC13" s="193"/>
      <c r="AD13" s="194"/>
      <c r="AE13" s="483" t="str" cm="1">
        <f t="array" aca="1" ref="AE13" ca="1">Ver_flag_visit</f>
        <v/>
      </c>
      <c r="AF13" s="195" t="str">
        <f ca="1">A16</f>
        <v>Suiza</v>
      </c>
      <c r="AG13" s="413">
        <f t="shared" si="67"/>
        <v>0</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2"/>
      <c r="BC13" s="754" t="str">
        <f ca="1">+INDEX(T_Equipos[Grupo],MATCH(WORLDCUP!BD13,T_Equipos[NombreEquipo],0))</f>
        <v>B</v>
      </c>
      <c r="BD13" s="742" t="str">
        <f ca="1">+Equipos!B9</f>
        <v>Suiza</v>
      </c>
      <c r="BE13" s="746">
        <f t="shared" ca="1" si="25"/>
        <v>0</v>
      </c>
      <c r="BF13" s="746">
        <f t="shared" ca="1" si="26"/>
        <v>0</v>
      </c>
      <c r="BG13" s="746">
        <f t="shared" ca="1" si="17"/>
        <v>0</v>
      </c>
      <c r="BH13" s="746">
        <f t="shared" ca="1" si="18"/>
        <v>0</v>
      </c>
      <c r="BI13" s="746">
        <f t="shared" ca="1" si="19"/>
        <v>0</v>
      </c>
      <c r="BJ13" s="746">
        <f t="shared" ca="1" si="20"/>
        <v>0</v>
      </c>
      <c r="BK13" s="746">
        <f t="shared" ca="1" si="21"/>
        <v>0</v>
      </c>
      <c r="BL13" s="746">
        <f t="shared" ca="1" si="27"/>
        <v>0</v>
      </c>
      <c r="BM13" s="746" t="str">
        <f t="shared" ca="1" si="22"/>
        <v>4B</v>
      </c>
      <c r="BN13" s="746" t="str">
        <f t="shared" ca="1" si="23"/>
        <v>4B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0</v>
      </c>
      <c r="BS13" s="755">
        <f ca="1">BP13+COUNTIFS($BQ$6:$BQ$53,BQ13,$BR$6:BR$53,"&gt;"&amp;BR13,$BC$6:$BC$53,INDEX(T_Equipos[Grupo],MATCH(BD13,T_Equipos[NombreEquipo],0)))</f>
        <v>1</v>
      </c>
      <c r="BT13" s="755" t="str">
        <f ca="1">IF(COUNTIFS($BS$6:$BS$53,BS13,$BC$6:$BC$53,INDEX(T_Equipos[Grupo],MATCH(BD13,T_Equipos[NombreEquipo],0)))=1,"-","P."&amp;BS13&amp;" ("&amp;COUNTIFS($BS$6:$BS$53,BS13,$BC$6:$BC$53,INDEX(T_Equipos[Grupo],MATCH(BD13,T_Equipos[NombreEquipo],0)))&amp;")")</f>
        <v>P.1 (4)</v>
      </c>
      <c r="BU13" s="756">
        <f t="shared" ca="1" si="36"/>
        <v>0</v>
      </c>
      <c r="BV13" s="756">
        <f t="shared" ca="1" si="37"/>
        <v>0</v>
      </c>
      <c r="BW13" s="756">
        <f t="shared" ca="1" si="38"/>
        <v>0</v>
      </c>
      <c r="BX13" s="756">
        <f t="shared" ca="1" si="39"/>
        <v>0</v>
      </c>
      <c r="BY13" s="756">
        <f ca="1">BS13+COUNTIFS($BT$6:$BT$53,BT13,$BX$6:BX$53,"&gt;"&amp;BX13,$BC$6:$BC$53,INDEX(T_Equipos[Grupo],MATCH(BD13,T_Equipos[NombreEquipo],0)))</f>
        <v>1</v>
      </c>
      <c r="BZ13" s="755" t="str">
        <f ca="1">IF(COUNTIFS($BY$6:$BY$53,BY13,$BC$6:$BC$53,INDEX(T_Equipos[Grupo],MATCH(BD13,T_Equipos[NombreEquipo],0)))=1,"-","P."&amp;BY13&amp;" ("&amp;COUNTIFS($BY$6:$BY$53,BY13,$BC$6:$BC$53,INDEX(T_Equipos[Grupo],MATCH(BD13,T_Equipos[NombreEquipo],0)))&amp;")")</f>
        <v>P.1 (4)</v>
      </c>
      <c r="CA13" s="756">
        <f t="shared" ca="1" si="40"/>
        <v>0</v>
      </c>
      <c r="CB13" s="756">
        <f t="shared" ca="1" si="41"/>
        <v>0</v>
      </c>
      <c r="CC13" s="756">
        <f t="shared" ca="1" si="42"/>
        <v>0</v>
      </c>
      <c r="CD13" s="756">
        <f ca="1">BY13+COUNTIFS($BZ$6:$BZ$53,BZ13,$CC$6:CC$53,"&gt;"&amp;CC13,$BC$6:$BC$53,INDEX(T_Equipos[Grupo],MATCH(BD13,T_Equipos[NombreEquipo],0)))</f>
        <v>1</v>
      </c>
      <c r="CE13" s="755" t="str">
        <f ca="1">IF(COUNTIFS($CD$6:$CD$53,CD13,$BC$6:$BC$53,INDEX(T_Equipos[Grupo],MATCH(BD13,T_Equipos[NombreEquipo],0)))=1,"-","P."&amp;CD13&amp;" ("&amp;COUNTIFS($CD$6:$CD$53,CD13,$BC$6:$BC$53,INDEX(T_Equipos[Grupo],MATCH(BD13,T_Equipos[NombreEquipo],0)))&amp;")")</f>
        <v>P.1 (4)</v>
      </c>
      <c r="CF13" s="756">
        <f t="shared" ca="1" si="43"/>
        <v>0</v>
      </c>
      <c r="CG13" s="756">
        <f ca="1">CD13+COUNTIFS($CE$6:$CE$53,CE13,$CF$6:CF$53,"&gt;"&amp;CF13,$BC$6:$BC$53,INDEX(T_Equipos[Grupo],MATCH(BD13,T_Equipos[NombreEquipo],0)))</f>
        <v>1</v>
      </c>
      <c r="CH13" s="755" t="str">
        <f ca="1">IF(COUNTIFS($CG$6:$CG$53,CG13,$BC$6:$BC$53,INDEX(T_Equipos[Grupo],MATCH(BD13,T_Equipos[NombreEquipo],0)))=1,"-","P."&amp;CG13&amp;" ("&amp;COUNTIFS($CG$6:$CG$53,CG13,$BC$6:$BC$53,INDEX(T_Equipos[Grupo],MATCH(BD13,T_Equipos[NombreEquipo],0)))&amp;")")</f>
        <v>P.1 (4)</v>
      </c>
      <c r="CI13" s="756">
        <f t="shared" ca="1" si="44"/>
        <v>0</v>
      </c>
      <c r="CJ13" s="756">
        <f t="shared" ca="1" si="45"/>
        <v>0</v>
      </c>
      <c r="CK13" s="756">
        <f t="shared" ca="1" si="46"/>
        <v>0</v>
      </c>
      <c r="CL13" s="756">
        <f t="shared" ca="1" si="47"/>
        <v>0</v>
      </c>
      <c r="CM13" s="756">
        <f ca="1">CG13+COUNTIFS($CH$6:$CH$53,CH13,$CL$6:CL$53,"&gt;"&amp;CL13,$BC$6:$BC$53,INDEX(T_Equipos[Grupo],MATCH(BD13,T_Equipos[NombreEquipo],0)))</f>
        <v>1</v>
      </c>
      <c r="CN13" s="755" t="str">
        <f ca="1">IF(COUNTIFS($CM$6:$CM$53,CM13,$BC$6:$BC$53,INDEX(T_Equipos[Grupo],MATCH(BD13,T_Equipos[NombreEquipo],0)))=1,"-","P."&amp;CM13&amp;" ("&amp;COUNTIFS($CM$6:$CM$53,CM13,$BC$6:$BC$53,INDEX(T_Equipos[Grupo],MATCH(BD13,T_Equipos[NombreEquipo],0)))&amp;")")</f>
        <v>P.1 (4)</v>
      </c>
      <c r="CO13" s="756">
        <f t="shared" ca="1" si="48"/>
        <v>0</v>
      </c>
      <c r="CP13" s="756">
        <f t="shared" ca="1" si="49"/>
        <v>0</v>
      </c>
      <c r="CQ13" s="756">
        <f t="shared" ca="1" si="50"/>
        <v>0</v>
      </c>
      <c r="CR13" s="756">
        <f ca="1">CM13+COUNTIFS($CN$6:$CN$53,CN13,$CQ$6:CQ$53,"&gt;"&amp;CQ13,$BC$6:$BC$53,INDEX(T_Equipos[Grupo],MATCH(BD13,T_Equipos[NombreEquipo],0)))</f>
        <v>1</v>
      </c>
      <c r="CS13" s="755" t="str">
        <f ca="1">IF(COUNTIFS($CR$6:$CR$53,CR13,$BC$6:$BC$53,INDEX(T_Equipos[Grupo],MATCH(BD13,T_Equipos[NombreEquipo],0)))=1,"-","P."&amp;CR13&amp;" ("&amp;COUNTIFS($CR$6:$CR$53,CR13,$BC$6:$BC$53,INDEX(T_Equipos[Grupo],MATCH(BD13,T_Equipos[NombreEquipo],0)))&amp;")")</f>
        <v>P.1 (4)</v>
      </c>
      <c r="CT13" s="756">
        <f t="shared" ca="1" si="51"/>
        <v>0</v>
      </c>
      <c r="CU13" s="756">
        <f ca="1">CR13+COUNTIFS($CS$6:$CS$53,CS13,$CT$6:CT$53,"&gt;"&amp;CT13,$BC$6:$BC$53,INDEX(T_Equipos[Grupo],MATCH(BD13,T_Equipos[NombreEquipo],0)))</f>
        <v>1</v>
      </c>
      <c r="CV13" s="755" t="str">
        <f ca="1">IF(COUNTIFS($CU$6:$CU$53,CU13,$BC$6:$BC$53,INDEX(T_Equipos[Grupo],MATCH(BD13,T_Equipos[NombreEquipo],0)))=1,"-","P."&amp;CU13&amp;" ("&amp;COUNTIFS($CU$6:$CU$53,CU13,$BC$6:$BC$53,INDEX(T_Equipos[Grupo],MATCH(BD13,T_Equipos[NombreEquipo],0)))&amp;")")</f>
        <v>P.1 (4)</v>
      </c>
      <c r="CW13" s="755">
        <f t="shared" ca="1" si="30"/>
        <v>0</v>
      </c>
      <c r="CX13" s="755">
        <f ca="1">CU13+COUNTIFS($CV$6:$CV$53,CV13,$CW$6:CW$53,"&gt;"&amp;CW13,$BC$6:$BC$53,INDEX(T_Equipos[Grupo],MATCH(BD13,T_Equipos[NombreEquipo],0)))</f>
        <v>1</v>
      </c>
      <c r="CY13" s="755" t="str">
        <f ca="1">IF(COUNTIFS($CX$6:$CX$53,CX13,$BC$6:$BC$53,INDEX(T_Equipos[Grupo],MATCH(BD13,T_Equipos[NombreEquipo],0)))=1,"-","P."&amp;CX13&amp;" ("&amp;COUNTIFS($CX$6:$CX$53,CX13,$BC$6:$BC$53,INDEX(T_Equipos[Grupo],MATCH(BD13,T_Equipos[NombreEquipo],0)))&amp;")")</f>
        <v>P.1 (4)</v>
      </c>
      <c r="CZ13" s="755">
        <f t="shared" ca="1" si="31"/>
        <v>0</v>
      </c>
      <c r="DA13" s="756">
        <f ca="1">CX13+COUNTIFS($CY$6:$CY$53,CY13,$CZ$6:CZ$53,"&gt;"&amp;CZ13,$BC$6:$BC$53,INDEX(T_Equipos[Grupo],MATCH(BD13,T_Equipos[NombreEquipo],0)))</f>
        <v>1</v>
      </c>
      <c r="DB13" s="755" t="str">
        <f ca="1">IF(COUNTIFS($DA$6:$DA$53,DA13,$BC$6:$BC$53,INDEX(T_Equipos[Grupo],MATCH(BD13,T_Equipos[NombreEquipo],0)))=1,"-","P."&amp;DA13&amp;" ("&amp;COUNTIFS($DA$6:$DA$53,DA13,$BC$6:$BC$53,INDEX(T_Equipos[Grupo],MATCH(BD13,T_Equipos[NombreEquipo],0)))&amp;")")</f>
        <v>P.1 (4)</v>
      </c>
      <c r="DC13" s="754">
        <f ca="1">IF(DB13="-","-",COUNTIFS(T_Equipos[Rank],"&lt;"&amp;INDEX(T_Equipos[Rank],MATCH(BD13,T_Equipos[NombreEquipo],0)),$BC$6:$BC$53,INDEX(T_Equipos[Grupo],MATCH(BD13,T_Equipos[NombreEquipo],0)))+1)</f>
        <v>4</v>
      </c>
      <c r="DD13" s="754">
        <f ca="1">DA13+COUNTIFS($DB$6:$DB$53,DB13,$DC$6:DC$53,"&lt;"&amp;DC13,$BC$6:$BC$53,INDEX(T_Equipos[Grupo],MATCH(BD13,T_Equipos[NombreEquipo],0)))</f>
        <v>4</v>
      </c>
      <c r="DE13" s="754"/>
      <c r="DF13" s="754">
        <f t="shared" ca="1" si="52"/>
        <v>4</v>
      </c>
      <c r="DG13" s="754">
        <f ca="1">IF(DB13="-","-",COUNTIFS(DF$6:DF$53,"&lt;"&amp;DF13,$BC$6:$BC$53,INDEX(T_Equipos[Grupo],MATCH(BD13,T_Equipos[NombreEquipo],0))))</f>
        <v>3</v>
      </c>
      <c r="DH13" s="754">
        <f ca="1">DA13+COUNTIFS(DB$6:DB$53,DB13,DG$6:DG$53,"&lt;"&amp;DG13,$BC$6:$BC$53,INDEX(T_Equipos[Grupo],MATCH(BD13,T_Equipos[NombreEquipo],0)))</f>
        <v>4</v>
      </c>
      <c r="DI13" s="742"/>
      <c r="DJ13" s="742">
        <f t="shared" ca="1" si="53"/>
        <v>1</v>
      </c>
      <c r="DK13" s="742">
        <f t="shared" ca="1" si="24"/>
        <v>0</v>
      </c>
      <c r="DL13" s="742">
        <f t="shared" ca="1" si="33"/>
        <v>1</v>
      </c>
      <c r="DM13" s="736" t="str">
        <f t="shared" ca="1" si="34"/>
        <v>1.1</v>
      </c>
      <c r="DN13" s="742" cm="1">
        <f t="array" aca="1" ref="DN13" ca="1">OFFSET(Horarios!$P$3,DJ13-1,0,DL13,1)</f>
        <v>1</v>
      </c>
      <c r="DO13" s="742"/>
      <c r="DP13" s="742" t="s">
        <v>650</v>
      </c>
      <c r="DQ13" s="742" t="str">
        <f t="shared" ca="1" si="35"/>
        <v>Suiza</v>
      </c>
      <c r="DR13" s="742"/>
      <c r="DS13" s="742"/>
      <c r="DT13" s="742" t="str">
        <f t="shared" ca="1" si="15"/>
        <v>Catar-Suiza</v>
      </c>
      <c r="DU13" s="742"/>
      <c r="DV13" s="742"/>
      <c r="DW13" s="8"/>
    </row>
    <row r="14" spans="1:127" ht="17.100000000000001" customHeight="1">
      <c r="A14" s="743" t="str">
        <f ca="1">+Equipos!B7</f>
        <v>Bosnia y Herzegovina</v>
      </c>
      <c r="B14" s="740"/>
      <c r="C14" s="744"/>
      <c r="D14" s="742" t="str">
        <f t="shared" si="54"/>
        <v>Pendiente</v>
      </c>
      <c r="E14" s="742" t="str">
        <f t="shared" si="55"/>
        <v>-</v>
      </c>
      <c r="F14" s="742" t="str">
        <f t="shared" si="56"/>
        <v>-</v>
      </c>
      <c r="G14" s="742"/>
      <c r="H14" s="742" t="str">
        <f t="shared" si="57"/>
        <v>-</v>
      </c>
      <c r="I14" s="742" t="str">
        <f t="shared" si="58"/>
        <v>-</v>
      </c>
      <c r="J14" s="742"/>
      <c r="K14" s="742" t="str">
        <f t="shared" si="59"/>
        <v>-</v>
      </c>
      <c r="L14" s="742" t="str">
        <f t="shared" si="60"/>
        <v>-</v>
      </c>
      <c r="M14" s="742"/>
      <c r="N14" s="742" t="str">
        <f t="shared" si="61"/>
        <v>-</v>
      </c>
      <c r="O14" s="742" t="str">
        <f t="shared" si="62"/>
        <v>-</v>
      </c>
      <c r="P14" s="742"/>
      <c r="Q14" s="742" t="str">
        <f t="shared" si="63"/>
        <v>-</v>
      </c>
      <c r="R14" s="742" t="str">
        <f t="shared" si="64"/>
        <v>-</v>
      </c>
      <c r="S14" s="742"/>
      <c r="T14" s="742" t="str">
        <f t="shared" si="65"/>
        <v>-</v>
      </c>
      <c r="U14" s="742" t="str">
        <f t="shared" si="66"/>
        <v>-</v>
      </c>
      <c r="V14" s="172"/>
      <c r="W14" s="828"/>
      <c r="X14" s="189">
        <f ca="1">Horarios!C14</f>
        <v>46191.625</v>
      </c>
      <c r="Y14" s="190">
        <f ca="1">Horarios!C14</f>
        <v>46191.625</v>
      </c>
      <c r="Z14" s="191" t="str">
        <f>$Z$6</f>
        <v>J2</v>
      </c>
      <c r="AA14" s="192" t="str">
        <f ca="1">A16</f>
        <v>Suiza</v>
      </c>
      <c r="AB14" s="478" t="str" cm="1">
        <f t="array" aca="1" ref="AB14" ca="1">Ver_flag_local</f>
        <v/>
      </c>
      <c r="AC14" s="193"/>
      <c r="AD14" s="194"/>
      <c r="AE14" s="483" t="str" cm="1">
        <f t="array" aca="1" ref="AE14" ca="1">Ver_flag_visit</f>
        <v/>
      </c>
      <c r="AF14" s="195" t="str">
        <f ca="1">A14</f>
        <v>Bosnia y Herzegovina</v>
      </c>
      <c r="AG14" s="413">
        <f t="shared" si="67"/>
        <v>0</v>
      </c>
      <c r="AH14" s="196">
        <v>26</v>
      </c>
      <c r="AI14" s="19" t="str">
        <f>AJ14&amp;$B$12</f>
        <v>1B</v>
      </c>
      <c r="AJ14" s="256">
        <v>1</v>
      </c>
      <c r="AK14" s="488" t="str" cm="1">
        <f t="array" aca="1" ref="AK14" ca="1">Ver_flag_visit</f>
        <v/>
      </c>
      <c r="AL14" s="212" t="str">
        <f ca="1">IFERROR(INDEX($BD$6:$BD$53,MATCH(AI14,$BN$6:$BN$53,0)),"")</f>
        <v>Canadá</v>
      </c>
      <c r="AM14" s="213">
        <f t="shared" ref="AM14:AT17" ca="1" si="71">INDEX($BE$6:$BN$53,MATCH($AL14,$BD$6:$BD$53,0),MATCH(AM$5,$BE$5:$BN$5,0))</f>
        <v>0</v>
      </c>
      <c r="AN14" s="214">
        <f t="shared" ca="1" si="71"/>
        <v>0</v>
      </c>
      <c r="AO14" s="214">
        <f t="shared" ca="1" si="71"/>
        <v>0</v>
      </c>
      <c r="AP14" s="214">
        <f t="shared" ca="1" si="71"/>
        <v>0</v>
      </c>
      <c r="AQ14" s="214">
        <f t="shared" ca="1" si="71"/>
        <v>0</v>
      </c>
      <c r="AR14" s="214">
        <f t="shared" ca="1" si="71"/>
        <v>0</v>
      </c>
      <c r="AS14" s="214">
        <f t="shared" ca="1" si="71"/>
        <v>0</v>
      </c>
      <c r="AT14" s="257">
        <f t="shared" ca="1" si="71"/>
        <v>0</v>
      </c>
      <c r="AU14" s="420">
        <f ca="1">INDEX($DL$6:$DL$53,MATCH(AI14,$DP$6:$DP$53,0))</f>
        <v>1</v>
      </c>
      <c r="AV14" s="217" t="str">
        <f ca="1">INDEX($BD$6:$BD$53,MATCH(AI14,$BM$6:$BM$53,0))</f>
        <v>Canadá</v>
      </c>
      <c r="AW14" s="427"/>
      <c r="AX14" s="218"/>
      <c r="AY14" s="219" t="str">
        <f ca="1">+A13</f>
        <v>Canadá</v>
      </c>
      <c r="AZ14" s="220"/>
      <c r="BA14" s="175"/>
      <c r="BB14" s="742"/>
      <c r="BC14" s="754" t="str">
        <f ca="1">+INDEX(T_Equipos[Grupo],MATCH(WORLDCUP!BD14,T_Equipos[NombreEquipo],0))</f>
        <v>C</v>
      </c>
      <c r="BD14" s="742" t="str">
        <f ca="1">+Equipos!B10</f>
        <v>Brasil</v>
      </c>
      <c r="BE14" s="746">
        <f t="shared" ca="1" si="25"/>
        <v>0</v>
      </c>
      <c r="BF14" s="746">
        <f t="shared" ca="1" si="26"/>
        <v>0</v>
      </c>
      <c r="BG14" s="746">
        <f t="shared" ca="1" si="17"/>
        <v>0</v>
      </c>
      <c r="BH14" s="746">
        <f t="shared" ca="1" si="18"/>
        <v>0</v>
      </c>
      <c r="BI14" s="746">
        <f t="shared" ca="1" si="19"/>
        <v>0</v>
      </c>
      <c r="BJ14" s="746">
        <f t="shared" ca="1" si="20"/>
        <v>0</v>
      </c>
      <c r="BK14" s="746">
        <f t="shared" ca="1" si="21"/>
        <v>0</v>
      </c>
      <c r="BL14" s="746">
        <f t="shared" ca="1" si="27"/>
        <v>0</v>
      </c>
      <c r="BM14" s="746" t="str">
        <f t="shared" ca="1" si="22"/>
        <v>1C</v>
      </c>
      <c r="BN14" s="746" t="str">
        <f t="shared" ca="1" si="23"/>
        <v>1C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0</v>
      </c>
      <c r="BS14" s="755">
        <f ca="1">BP14+COUNTIFS($BQ$6:$BQ$53,BQ14,$BR$6:BR$53,"&gt;"&amp;BR14,$BC$6:$BC$53,INDEX(T_Equipos[Grupo],MATCH(BD14,T_Equipos[NombreEquipo],0)))</f>
        <v>1</v>
      </c>
      <c r="BT14" s="755" t="str">
        <f ca="1">IF(COUNTIFS($BS$6:$BS$53,BS14,$BC$6:$BC$53,INDEX(T_Equipos[Grupo],MATCH(BD14,T_Equipos[NombreEquipo],0)))=1,"-","P."&amp;BS14&amp;" ("&amp;COUNTIFS($BS$6:$BS$53,BS14,$BC$6:$BC$53,INDEX(T_Equipos[Grupo],MATCH(BD14,T_Equipos[NombreEquipo],0)))&amp;")")</f>
        <v>P.1 (4)</v>
      </c>
      <c r="BU14" s="756">
        <f t="shared" ca="1" si="36"/>
        <v>0</v>
      </c>
      <c r="BV14" s="756">
        <f t="shared" ca="1" si="37"/>
        <v>0</v>
      </c>
      <c r="BW14" s="756">
        <f t="shared" ca="1" si="38"/>
        <v>0</v>
      </c>
      <c r="BX14" s="756">
        <f t="shared" ca="1" si="39"/>
        <v>0</v>
      </c>
      <c r="BY14" s="756">
        <f ca="1">BS14+COUNTIFS($BT$6:$BT$53,BT14,$BX$6:BX$53,"&gt;"&amp;BX14,$BC$6:$BC$53,INDEX(T_Equipos[Grupo],MATCH(BD14,T_Equipos[NombreEquipo],0)))</f>
        <v>1</v>
      </c>
      <c r="BZ14" s="755" t="str">
        <f ca="1">IF(COUNTIFS($BY$6:$BY$53,BY14,$BC$6:$BC$53,INDEX(T_Equipos[Grupo],MATCH(BD14,T_Equipos[NombreEquipo],0)))=1,"-","P."&amp;BY14&amp;" ("&amp;COUNTIFS($BY$6:$BY$53,BY14,$BC$6:$BC$53,INDEX(T_Equipos[Grupo],MATCH(BD14,T_Equipos[NombreEquipo],0)))&amp;")")</f>
        <v>P.1 (4)</v>
      </c>
      <c r="CA14" s="756">
        <f t="shared" ca="1" si="40"/>
        <v>0</v>
      </c>
      <c r="CB14" s="756">
        <f t="shared" ca="1" si="41"/>
        <v>0</v>
      </c>
      <c r="CC14" s="756">
        <f t="shared" ca="1" si="42"/>
        <v>0</v>
      </c>
      <c r="CD14" s="756">
        <f ca="1">BY14+COUNTIFS($BZ$6:$BZ$53,BZ14,$CC$6:CC$53,"&gt;"&amp;CC14,$BC$6:$BC$53,INDEX(T_Equipos[Grupo],MATCH(BD14,T_Equipos[NombreEquipo],0)))</f>
        <v>1</v>
      </c>
      <c r="CE14" s="755" t="str">
        <f ca="1">IF(COUNTIFS($CD$6:$CD$53,CD14,$BC$6:$BC$53,INDEX(T_Equipos[Grupo],MATCH(BD14,T_Equipos[NombreEquipo],0)))=1,"-","P."&amp;CD14&amp;" ("&amp;COUNTIFS($CD$6:$CD$53,CD14,$BC$6:$BC$53,INDEX(T_Equipos[Grupo],MATCH(BD14,T_Equipos[NombreEquipo],0)))&amp;")")</f>
        <v>P.1 (4)</v>
      </c>
      <c r="CF14" s="756">
        <f t="shared" ca="1" si="43"/>
        <v>0</v>
      </c>
      <c r="CG14" s="756">
        <f ca="1">CD14+COUNTIFS($CE$6:$CE$53,CE14,$CF$6:CF$53,"&gt;"&amp;CF14,$BC$6:$BC$53,INDEX(T_Equipos[Grupo],MATCH(BD14,T_Equipos[NombreEquipo],0)))</f>
        <v>1</v>
      </c>
      <c r="CH14" s="755" t="str">
        <f ca="1">IF(COUNTIFS($CG$6:$CG$53,CG14,$BC$6:$BC$53,INDEX(T_Equipos[Grupo],MATCH(BD14,T_Equipos[NombreEquipo],0)))=1,"-","P."&amp;CG14&amp;" ("&amp;COUNTIFS($CG$6:$CG$53,CG14,$BC$6:$BC$53,INDEX(T_Equipos[Grupo],MATCH(BD14,T_Equipos[NombreEquipo],0)))&amp;")")</f>
        <v>P.1 (4)</v>
      </c>
      <c r="CI14" s="756">
        <f t="shared" ca="1" si="44"/>
        <v>0</v>
      </c>
      <c r="CJ14" s="756">
        <f t="shared" ca="1" si="45"/>
        <v>0</v>
      </c>
      <c r="CK14" s="756">
        <f t="shared" ca="1" si="46"/>
        <v>0</v>
      </c>
      <c r="CL14" s="756">
        <f t="shared" ca="1" si="47"/>
        <v>0</v>
      </c>
      <c r="CM14" s="756">
        <f ca="1">CG14+COUNTIFS($CH$6:$CH$53,CH14,$CL$6:CL$53,"&gt;"&amp;CL14,$BC$6:$BC$53,INDEX(T_Equipos[Grupo],MATCH(BD14,T_Equipos[NombreEquipo],0)))</f>
        <v>1</v>
      </c>
      <c r="CN14" s="755" t="str">
        <f ca="1">IF(COUNTIFS($CM$6:$CM$53,CM14,$BC$6:$BC$53,INDEX(T_Equipos[Grupo],MATCH(BD14,T_Equipos[NombreEquipo],0)))=1,"-","P."&amp;CM14&amp;" ("&amp;COUNTIFS($CM$6:$CM$53,CM14,$BC$6:$BC$53,INDEX(T_Equipos[Grupo],MATCH(BD14,T_Equipos[NombreEquipo],0)))&amp;")")</f>
        <v>P.1 (4)</v>
      </c>
      <c r="CO14" s="756">
        <f t="shared" ca="1" si="48"/>
        <v>0</v>
      </c>
      <c r="CP14" s="756">
        <f t="shared" ca="1" si="49"/>
        <v>0</v>
      </c>
      <c r="CQ14" s="756">
        <f t="shared" ca="1" si="50"/>
        <v>0</v>
      </c>
      <c r="CR14" s="756">
        <f ca="1">CM14+COUNTIFS($CN$6:$CN$53,CN14,$CQ$6:CQ$53,"&gt;"&amp;CQ14,$BC$6:$BC$53,INDEX(T_Equipos[Grupo],MATCH(BD14,T_Equipos[NombreEquipo],0)))</f>
        <v>1</v>
      </c>
      <c r="CS14" s="755" t="str">
        <f ca="1">IF(COUNTIFS($CR$6:$CR$53,CR14,$BC$6:$BC$53,INDEX(T_Equipos[Grupo],MATCH(BD14,T_Equipos[NombreEquipo],0)))=1,"-","P."&amp;CR14&amp;" ("&amp;COUNTIFS($CR$6:$CR$53,CR14,$BC$6:$BC$53,INDEX(T_Equipos[Grupo],MATCH(BD14,T_Equipos[NombreEquipo],0)))&amp;")")</f>
        <v>P.1 (4)</v>
      </c>
      <c r="CT14" s="756">
        <f t="shared" ca="1" si="51"/>
        <v>0</v>
      </c>
      <c r="CU14" s="756">
        <f ca="1">CR14+COUNTIFS($CS$6:$CS$53,CS14,$CT$6:CT$53,"&gt;"&amp;CT14,$BC$6:$BC$53,INDEX(T_Equipos[Grupo],MATCH(BD14,T_Equipos[NombreEquipo],0)))</f>
        <v>1</v>
      </c>
      <c r="CV14" s="755" t="str">
        <f ca="1">IF(COUNTIFS($CU$6:$CU$53,CU14,$BC$6:$BC$53,INDEX(T_Equipos[Grupo],MATCH(BD14,T_Equipos[NombreEquipo],0)))=1,"-","P."&amp;CU14&amp;" ("&amp;COUNTIFS($CU$6:$CU$53,CU14,$BC$6:$BC$53,INDEX(T_Equipos[Grupo],MATCH(BD14,T_Equipos[NombreEquipo],0)))&amp;")")</f>
        <v>P.1 (4)</v>
      </c>
      <c r="CW14" s="755">
        <f t="shared" ca="1" si="30"/>
        <v>0</v>
      </c>
      <c r="CX14" s="755">
        <f ca="1">CU14+COUNTIFS($CV$6:$CV$53,CV14,$CW$6:CW$53,"&gt;"&amp;CW14,$BC$6:$BC$53,INDEX(T_Equipos[Grupo],MATCH(BD14,T_Equipos[NombreEquipo],0)))</f>
        <v>1</v>
      </c>
      <c r="CY14" s="755" t="str">
        <f ca="1">IF(COUNTIFS($CX$6:$CX$53,CX14,$BC$6:$BC$53,INDEX(T_Equipos[Grupo],MATCH(BD14,T_Equipos[NombreEquipo],0)))=1,"-","P."&amp;CX14&amp;" ("&amp;COUNTIFS($CX$6:$CX$53,CX14,$BC$6:$BC$53,INDEX(T_Equipos[Grupo],MATCH(BD14,T_Equipos[NombreEquipo],0)))&amp;")")</f>
        <v>P.1 (4)</v>
      </c>
      <c r="CZ14" s="755">
        <f t="shared" ca="1" si="31"/>
        <v>0</v>
      </c>
      <c r="DA14" s="756">
        <f ca="1">CX14+COUNTIFS($CY$6:$CY$53,CY14,$CZ$6:CZ$53,"&gt;"&amp;CZ14,$BC$6:$BC$53,INDEX(T_Equipos[Grupo],MATCH(BD14,T_Equipos[NombreEquipo],0)))</f>
        <v>1</v>
      </c>
      <c r="DB14" s="755" t="str">
        <f ca="1">IF(COUNTIFS($DA$6:$DA$53,DA14,$BC$6:$BC$53,INDEX(T_Equipos[Grupo],MATCH(BD14,T_Equipos[NombreEquipo],0)))=1,"-","P."&amp;DA14&amp;" ("&amp;COUNTIFS($DA$6:$DA$53,DA14,$BC$6:$BC$53,INDEX(T_Equipos[Grupo],MATCH(BD14,T_Equipos[NombreEquipo],0)))&amp;")")</f>
        <v>P.1 (4)</v>
      </c>
      <c r="DC14" s="754">
        <f ca="1">IF(DB14="-","-",COUNTIFS(T_Equipos[Rank],"&lt;"&amp;INDEX(T_Equipos[Rank],MATCH(BD14,T_Equipos[NombreEquipo],0)),$BC$6:$BC$53,INDEX(T_Equipos[Grupo],MATCH(BD14,T_Equipos[NombreEquipo],0)))+1)</f>
        <v>1</v>
      </c>
      <c r="DD14" s="754">
        <f ca="1">DA14+COUNTIFS($DB$6:$DB$53,DB14,$DC$6:DC$53,"&lt;"&amp;DC14,$BC$6:$BC$53,INDEX(T_Equipos[Grupo],MATCH(BD14,T_Equipos[NombreEquipo],0)))</f>
        <v>1</v>
      </c>
      <c r="DE14" s="754"/>
      <c r="DF14" s="754">
        <f t="shared" ca="1" si="52"/>
        <v>1</v>
      </c>
      <c r="DG14" s="754">
        <f ca="1">IF(DB14="-","-",COUNTIFS(DF$6:DF$53,"&lt;"&amp;DF14,$BC$6:$BC$53,INDEX(T_Equipos[Grupo],MATCH(BD14,T_Equipos[NombreEquipo],0))))</f>
        <v>0</v>
      </c>
      <c r="DH14" s="754">
        <f ca="1">DA14+COUNTIFS(DB$6:DB$53,DB14,DG$6:DG$53,"&lt;"&amp;DG14,$BC$6:$BC$53,INDEX(T_Equipos[Grupo],MATCH(BD14,T_Equipos[NombreEquipo],0)))</f>
        <v>1</v>
      </c>
      <c r="DI14" s="742"/>
      <c r="DJ14" s="742">
        <f t="shared" ca="1" si="53"/>
        <v>1</v>
      </c>
      <c r="DK14" s="742">
        <f t="shared" ca="1" si="24"/>
        <v>0</v>
      </c>
      <c r="DL14" s="742">
        <f t="shared" ca="1" si="33"/>
        <v>1</v>
      </c>
      <c r="DM14" s="736" t="str">
        <f t="shared" ca="1" si="34"/>
        <v>1.1</v>
      </c>
      <c r="DN14" s="742" cm="1">
        <f t="array" aca="1" ref="DN14" ca="1">OFFSET(Horarios!$P$3,DJ14-1,0,DL14,1)</f>
        <v>1</v>
      </c>
      <c r="DO14" s="742"/>
      <c r="DP14" s="742" t="s">
        <v>651</v>
      </c>
      <c r="DQ14" s="742" t="str">
        <f t="shared" ca="1" si="35"/>
        <v>Brasil</v>
      </c>
      <c r="DR14" s="742"/>
      <c r="DS14" s="742"/>
      <c r="DT14" s="742" t="str">
        <f t="shared" ca="1" si="15"/>
        <v>Suiza-Bosnia y Herzegovina</v>
      </c>
      <c r="DU14" s="742"/>
      <c r="DV14" s="742"/>
      <c r="DW14" s="8"/>
    </row>
    <row r="15" spans="1:127">
      <c r="A15" s="743" t="str">
        <f ca="1">+Equipos!B8</f>
        <v>Catar</v>
      </c>
      <c r="B15" s="740"/>
      <c r="C15" s="742"/>
      <c r="D15" s="742" t="str">
        <f t="shared" si="54"/>
        <v>Pendiente</v>
      </c>
      <c r="E15" s="742" t="str">
        <f t="shared" si="55"/>
        <v>-</v>
      </c>
      <c r="F15" s="742" t="str">
        <f t="shared" si="56"/>
        <v>-</v>
      </c>
      <c r="G15" s="742"/>
      <c r="H15" s="742" t="str">
        <f t="shared" si="57"/>
        <v>-</v>
      </c>
      <c r="I15" s="742" t="str">
        <f t="shared" si="58"/>
        <v>-</v>
      </c>
      <c r="J15" s="742"/>
      <c r="K15" s="742" t="str">
        <f t="shared" si="59"/>
        <v>-</v>
      </c>
      <c r="L15" s="742" t="str">
        <f t="shared" si="60"/>
        <v>-</v>
      </c>
      <c r="M15" s="742"/>
      <c r="N15" s="742" t="str">
        <f t="shared" si="61"/>
        <v>-</v>
      </c>
      <c r="O15" s="742" t="str">
        <f t="shared" si="62"/>
        <v>-</v>
      </c>
      <c r="P15" s="742"/>
      <c r="Q15" s="742" t="str">
        <f t="shared" si="63"/>
        <v>-</v>
      </c>
      <c r="R15" s="742" t="str">
        <f t="shared" si="64"/>
        <v>-</v>
      </c>
      <c r="S15" s="742"/>
      <c r="T15" s="742" t="str">
        <f t="shared" si="65"/>
        <v>-</v>
      </c>
      <c r="U15" s="742" t="str">
        <f t="shared" si="66"/>
        <v>-</v>
      </c>
      <c r="V15" s="172"/>
      <c r="W15" s="828"/>
      <c r="X15" s="189">
        <f ca="1">Horarios!C15</f>
        <v>46191.75</v>
      </c>
      <c r="Y15" s="190">
        <f ca="1">Horarios!C15</f>
        <v>46191.75</v>
      </c>
      <c r="Z15" s="191" t="str">
        <f>$Z$6</f>
        <v>J2</v>
      </c>
      <c r="AA15" s="192" t="str">
        <f ca="1">A13</f>
        <v>Canadá</v>
      </c>
      <c r="AB15" s="478" t="str" cm="1">
        <f t="array" aca="1" ref="AB15" ca="1">Ver_flag_local</f>
        <v/>
      </c>
      <c r="AC15" s="193"/>
      <c r="AD15" s="194"/>
      <c r="AE15" s="483" t="str" cm="1">
        <f t="array" aca="1" ref="AE15" ca="1">Ver_flag_visit</f>
        <v/>
      </c>
      <c r="AF15" s="195" t="str">
        <f ca="1">A15</f>
        <v>Catar</v>
      </c>
      <c r="AG15" s="413">
        <f t="shared" si="67"/>
        <v>0</v>
      </c>
      <c r="AH15" s="196">
        <v>27</v>
      </c>
      <c r="AI15" s="19" t="str">
        <f t="shared" ref="AI15:AI17" si="72">AJ15&amp;$B$12</f>
        <v>2B</v>
      </c>
      <c r="AJ15" s="258">
        <v>2</v>
      </c>
      <c r="AK15" s="486" t="str" cm="1">
        <f t="array" aca="1" ref="AK15" ca="1">Ver_flag_visit</f>
        <v/>
      </c>
      <c r="AL15" s="222" t="str">
        <f ca="1">IFERROR(INDEX($BD$6:$BD$53,MATCH(AI15,$BN$6:$BN$53,0)),"")</f>
        <v>Bosnia y Herzegovina</v>
      </c>
      <c r="AM15" s="223">
        <f t="shared" ca="1" si="71"/>
        <v>0</v>
      </c>
      <c r="AN15" s="224">
        <f t="shared" ca="1" si="71"/>
        <v>0</v>
      </c>
      <c r="AO15" s="224">
        <f t="shared" ca="1" si="71"/>
        <v>0</v>
      </c>
      <c r="AP15" s="224">
        <f t="shared" ca="1" si="71"/>
        <v>0</v>
      </c>
      <c r="AQ15" s="224">
        <f t="shared" ca="1" si="71"/>
        <v>0</v>
      </c>
      <c r="AR15" s="224">
        <f t="shared" ca="1" si="71"/>
        <v>0</v>
      </c>
      <c r="AS15" s="224">
        <f t="shared" ca="1" si="71"/>
        <v>0</v>
      </c>
      <c r="AT15" s="259">
        <f t="shared" ca="1" si="71"/>
        <v>0</v>
      </c>
      <c r="AU15" s="420">
        <f ca="1">INDEX($DL$6:$DL$53,MATCH(AI15,$DP$6:$DP$53,0))</f>
        <v>1</v>
      </c>
      <c r="AV15" s="217" t="str">
        <f ca="1">INDEX($BD$6:$BD$53,MATCH(AI15,$BM$6:$BM$53,0))</f>
        <v>Bosnia y Herzegovina</v>
      </c>
      <c r="AW15" s="427"/>
      <c r="AX15" s="218"/>
      <c r="AY15" s="226" t="str">
        <f ca="1">+A14</f>
        <v>Bosnia y Herzegovina</v>
      </c>
      <c r="AZ15" s="227"/>
      <c r="BA15" s="175"/>
      <c r="BB15" s="742"/>
      <c r="BC15" s="754" t="str">
        <f ca="1">+INDEX(T_Equipos[Grupo],MATCH(WORLDCUP!BD15,T_Equipos[NombreEquipo],0))</f>
        <v>C</v>
      </c>
      <c r="BD15" s="742" t="str">
        <f ca="1">+Equipos!B11</f>
        <v>Marruecos</v>
      </c>
      <c r="BE15" s="746">
        <f t="shared" ca="1" si="25"/>
        <v>0</v>
      </c>
      <c r="BF15" s="746">
        <f t="shared" ca="1" si="26"/>
        <v>0</v>
      </c>
      <c r="BG15" s="746">
        <f t="shared" ca="1" si="17"/>
        <v>0</v>
      </c>
      <c r="BH15" s="746">
        <f t="shared" ca="1" si="18"/>
        <v>0</v>
      </c>
      <c r="BI15" s="746">
        <f t="shared" ca="1" si="19"/>
        <v>0</v>
      </c>
      <c r="BJ15" s="746">
        <f t="shared" ca="1" si="20"/>
        <v>0</v>
      </c>
      <c r="BK15" s="746">
        <f t="shared" ca="1" si="21"/>
        <v>0</v>
      </c>
      <c r="BL15" s="746">
        <f t="shared" ca="1" si="27"/>
        <v>0</v>
      </c>
      <c r="BM15" s="746" t="str">
        <f t="shared" ca="1" si="22"/>
        <v>2C</v>
      </c>
      <c r="BN15" s="746" t="str">
        <f t="shared" ca="1" si="23"/>
        <v>2C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0</v>
      </c>
      <c r="BS15" s="755">
        <f ca="1">BP15+COUNTIFS($BQ$6:$BQ$53,BQ15,$BR$6:BR$53,"&gt;"&amp;BR15,$BC$6:$BC$53,INDEX(T_Equipos[Grupo],MATCH(BD15,T_Equipos[NombreEquipo],0)))</f>
        <v>1</v>
      </c>
      <c r="BT15" s="755" t="str">
        <f ca="1">IF(COUNTIFS($BS$6:$BS$53,BS15,$BC$6:$BC$53,INDEX(T_Equipos[Grupo],MATCH(BD15,T_Equipos[NombreEquipo],0)))=1,"-","P."&amp;BS15&amp;" ("&amp;COUNTIFS($BS$6:$BS$53,BS15,$BC$6:$BC$53,INDEX(T_Equipos[Grupo],MATCH(BD15,T_Equipos[NombreEquipo],0)))&amp;")")</f>
        <v>P.1 (4)</v>
      </c>
      <c r="BU15" s="756">
        <f t="shared" ca="1" si="36"/>
        <v>0</v>
      </c>
      <c r="BV15" s="756">
        <f t="shared" ca="1" si="37"/>
        <v>0</v>
      </c>
      <c r="BW15" s="756">
        <f t="shared" ca="1" si="38"/>
        <v>0</v>
      </c>
      <c r="BX15" s="756">
        <f t="shared" ca="1" si="39"/>
        <v>0</v>
      </c>
      <c r="BY15" s="756">
        <f ca="1">BS15+COUNTIFS($BT$6:$BT$53,BT15,$BX$6:BX$53,"&gt;"&amp;BX15,$BC$6:$BC$53,INDEX(T_Equipos[Grupo],MATCH(BD15,T_Equipos[NombreEquipo],0)))</f>
        <v>1</v>
      </c>
      <c r="BZ15" s="755" t="str">
        <f ca="1">IF(COUNTIFS($BY$6:$BY$53,BY15,$BC$6:$BC$53,INDEX(T_Equipos[Grupo],MATCH(BD15,T_Equipos[NombreEquipo],0)))=1,"-","P."&amp;BY15&amp;" ("&amp;COUNTIFS($BY$6:$BY$53,BY15,$BC$6:$BC$53,INDEX(T_Equipos[Grupo],MATCH(BD15,T_Equipos[NombreEquipo],0)))&amp;")")</f>
        <v>P.1 (4)</v>
      </c>
      <c r="CA15" s="756">
        <f t="shared" ca="1" si="40"/>
        <v>0</v>
      </c>
      <c r="CB15" s="756">
        <f t="shared" ca="1" si="41"/>
        <v>0</v>
      </c>
      <c r="CC15" s="756">
        <f t="shared" ca="1" si="42"/>
        <v>0</v>
      </c>
      <c r="CD15" s="756">
        <f ca="1">BY15+COUNTIFS($BZ$6:$BZ$53,BZ15,$CC$6:CC$53,"&gt;"&amp;CC15,$BC$6:$BC$53,INDEX(T_Equipos[Grupo],MATCH(BD15,T_Equipos[NombreEquipo],0)))</f>
        <v>1</v>
      </c>
      <c r="CE15" s="755" t="str">
        <f ca="1">IF(COUNTIFS($CD$6:$CD$53,CD15,$BC$6:$BC$53,INDEX(T_Equipos[Grupo],MATCH(BD15,T_Equipos[NombreEquipo],0)))=1,"-","P."&amp;CD15&amp;" ("&amp;COUNTIFS($CD$6:$CD$53,CD15,$BC$6:$BC$53,INDEX(T_Equipos[Grupo],MATCH(BD15,T_Equipos[NombreEquipo],0)))&amp;")")</f>
        <v>P.1 (4)</v>
      </c>
      <c r="CF15" s="756">
        <f t="shared" ca="1" si="43"/>
        <v>0</v>
      </c>
      <c r="CG15" s="756">
        <f ca="1">CD15+COUNTIFS($CE$6:$CE$53,CE15,$CF$6:CF$53,"&gt;"&amp;CF15,$BC$6:$BC$53,INDEX(T_Equipos[Grupo],MATCH(BD15,T_Equipos[NombreEquipo],0)))</f>
        <v>1</v>
      </c>
      <c r="CH15" s="755" t="str">
        <f ca="1">IF(COUNTIFS($CG$6:$CG$53,CG15,$BC$6:$BC$53,INDEX(T_Equipos[Grupo],MATCH(BD15,T_Equipos[NombreEquipo],0)))=1,"-","P."&amp;CG15&amp;" ("&amp;COUNTIFS($CG$6:$CG$53,CG15,$BC$6:$BC$53,INDEX(T_Equipos[Grupo],MATCH(BD15,T_Equipos[NombreEquipo],0)))&amp;")")</f>
        <v>P.1 (4)</v>
      </c>
      <c r="CI15" s="756">
        <f t="shared" ca="1" si="44"/>
        <v>0</v>
      </c>
      <c r="CJ15" s="756">
        <f t="shared" ca="1" si="45"/>
        <v>0</v>
      </c>
      <c r="CK15" s="756">
        <f t="shared" ca="1" si="46"/>
        <v>0</v>
      </c>
      <c r="CL15" s="756">
        <f t="shared" ca="1" si="47"/>
        <v>0</v>
      </c>
      <c r="CM15" s="756">
        <f ca="1">CG15+COUNTIFS($CH$6:$CH$53,CH15,$CL$6:CL$53,"&gt;"&amp;CL15,$BC$6:$BC$53,INDEX(T_Equipos[Grupo],MATCH(BD15,T_Equipos[NombreEquipo],0)))</f>
        <v>1</v>
      </c>
      <c r="CN15" s="755" t="str">
        <f ca="1">IF(COUNTIFS($CM$6:$CM$53,CM15,$BC$6:$BC$53,INDEX(T_Equipos[Grupo],MATCH(BD15,T_Equipos[NombreEquipo],0)))=1,"-","P."&amp;CM15&amp;" ("&amp;COUNTIFS($CM$6:$CM$53,CM15,$BC$6:$BC$53,INDEX(T_Equipos[Grupo],MATCH(BD15,T_Equipos[NombreEquipo],0)))&amp;")")</f>
        <v>P.1 (4)</v>
      </c>
      <c r="CO15" s="756">
        <f t="shared" ca="1" si="48"/>
        <v>0</v>
      </c>
      <c r="CP15" s="756">
        <f t="shared" ca="1" si="49"/>
        <v>0</v>
      </c>
      <c r="CQ15" s="756">
        <f t="shared" ca="1" si="50"/>
        <v>0</v>
      </c>
      <c r="CR15" s="756">
        <f ca="1">CM15+COUNTIFS($CN$6:$CN$53,CN15,$CQ$6:CQ$53,"&gt;"&amp;CQ15,$BC$6:$BC$53,INDEX(T_Equipos[Grupo],MATCH(BD15,T_Equipos[NombreEquipo],0)))</f>
        <v>1</v>
      </c>
      <c r="CS15" s="755" t="str">
        <f ca="1">IF(COUNTIFS($CR$6:$CR$53,CR15,$BC$6:$BC$53,INDEX(T_Equipos[Grupo],MATCH(BD15,T_Equipos[NombreEquipo],0)))=1,"-","P."&amp;CR15&amp;" ("&amp;COUNTIFS($CR$6:$CR$53,CR15,$BC$6:$BC$53,INDEX(T_Equipos[Grupo],MATCH(BD15,T_Equipos[NombreEquipo],0)))&amp;")")</f>
        <v>P.1 (4)</v>
      </c>
      <c r="CT15" s="756">
        <f t="shared" ca="1" si="51"/>
        <v>0</v>
      </c>
      <c r="CU15" s="756">
        <f ca="1">CR15+COUNTIFS($CS$6:$CS$53,CS15,$CT$6:CT$53,"&gt;"&amp;CT15,$BC$6:$BC$53,INDEX(T_Equipos[Grupo],MATCH(BD15,T_Equipos[NombreEquipo],0)))</f>
        <v>1</v>
      </c>
      <c r="CV15" s="755" t="str">
        <f ca="1">IF(COUNTIFS($CU$6:$CU$53,CU15,$BC$6:$BC$53,INDEX(T_Equipos[Grupo],MATCH(BD15,T_Equipos[NombreEquipo],0)))=1,"-","P."&amp;CU15&amp;" ("&amp;COUNTIFS($CU$6:$CU$53,CU15,$BC$6:$BC$53,INDEX(T_Equipos[Grupo],MATCH(BD15,T_Equipos[NombreEquipo],0)))&amp;")")</f>
        <v>P.1 (4)</v>
      </c>
      <c r="CW15" s="755">
        <f t="shared" ca="1" si="30"/>
        <v>0</v>
      </c>
      <c r="CX15" s="755">
        <f ca="1">CU15+COUNTIFS($CV$6:$CV$53,CV15,$CW$6:CW$53,"&gt;"&amp;CW15,$BC$6:$BC$53,INDEX(T_Equipos[Grupo],MATCH(BD15,T_Equipos[NombreEquipo],0)))</f>
        <v>1</v>
      </c>
      <c r="CY15" s="755" t="str">
        <f ca="1">IF(COUNTIFS($CX$6:$CX$53,CX15,$BC$6:$BC$53,INDEX(T_Equipos[Grupo],MATCH(BD15,T_Equipos[NombreEquipo],0)))=1,"-","P."&amp;CX15&amp;" ("&amp;COUNTIFS($CX$6:$CX$53,CX15,$BC$6:$BC$53,INDEX(T_Equipos[Grupo],MATCH(BD15,T_Equipos[NombreEquipo],0)))&amp;")")</f>
        <v>P.1 (4)</v>
      </c>
      <c r="CZ15" s="755">
        <f t="shared" ca="1" si="31"/>
        <v>0</v>
      </c>
      <c r="DA15" s="756">
        <f ca="1">CX15+COUNTIFS($CY$6:$CY$53,CY15,$CZ$6:CZ$53,"&gt;"&amp;CZ15,$BC$6:$BC$53,INDEX(T_Equipos[Grupo],MATCH(BD15,T_Equipos[NombreEquipo],0)))</f>
        <v>1</v>
      </c>
      <c r="DB15" s="755" t="str">
        <f ca="1">IF(COUNTIFS($DA$6:$DA$53,DA15,$BC$6:$BC$53,INDEX(T_Equipos[Grupo],MATCH(BD15,T_Equipos[NombreEquipo],0)))=1,"-","P."&amp;DA15&amp;" ("&amp;COUNTIFS($DA$6:$DA$53,DA15,$BC$6:$BC$53,INDEX(T_Equipos[Grupo],MATCH(BD15,T_Equipos[NombreEquipo],0)))&amp;")")</f>
        <v>P.1 (4)</v>
      </c>
      <c r="DC15" s="754">
        <f ca="1">IF(DB15="-","-",COUNTIFS(T_Equipos[Rank],"&lt;"&amp;INDEX(T_Equipos[Rank],MATCH(BD15,T_Equipos[NombreEquipo],0)),$BC$6:$BC$53,INDEX(T_Equipos[Grupo],MATCH(BD15,T_Equipos[NombreEquipo],0)))+1)</f>
        <v>2</v>
      </c>
      <c r="DD15" s="754">
        <f ca="1">DA15+COUNTIFS($DB$6:$DB$53,DB15,$DC$6:DC$53,"&lt;"&amp;DC15,$BC$6:$BC$53,INDEX(T_Equipos[Grupo],MATCH(BD15,T_Equipos[NombreEquipo],0)))</f>
        <v>2</v>
      </c>
      <c r="DE15" s="754"/>
      <c r="DF15" s="754">
        <f t="shared" ca="1" si="52"/>
        <v>2</v>
      </c>
      <c r="DG15" s="754">
        <f ca="1">IF(DB15="-","-",COUNTIFS(DF$6:DF$53,"&lt;"&amp;DF15,$BC$6:$BC$53,INDEX(T_Equipos[Grupo],MATCH(BD15,T_Equipos[NombreEquipo],0))))</f>
        <v>1</v>
      </c>
      <c r="DH15" s="754">
        <f ca="1">DA15+COUNTIFS(DB$6:DB$53,DB15,DG$6:DG$53,"&lt;"&amp;DG15,$BC$6:$BC$53,INDEX(T_Equipos[Grupo],MATCH(BD15,T_Equipos[NombreEquipo],0)))</f>
        <v>2</v>
      </c>
      <c r="DI15" s="742"/>
      <c r="DJ15" s="742">
        <f t="shared" ca="1" si="53"/>
        <v>1</v>
      </c>
      <c r="DK15" s="742">
        <f t="shared" ca="1" si="24"/>
        <v>0</v>
      </c>
      <c r="DL15" s="742">
        <f t="shared" ca="1" si="33"/>
        <v>1</v>
      </c>
      <c r="DM15" s="736" t="str">
        <f t="shared" ca="1" si="34"/>
        <v>1.1</v>
      </c>
      <c r="DN15" s="742" cm="1">
        <f t="array" aca="1" ref="DN15" ca="1">OFFSET(Horarios!$P$3,DJ15-1,0,DL15,1)</f>
        <v>1</v>
      </c>
      <c r="DO15" s="742"/>
      <c r="DP15" s="742" t="s">
        <v>656</v>
      </c>
      <c r="DQ15" s="742" t="str">
        <f t="shared" ca="1" si="35"/>
        <v>Marruecos</v>
      </c>
      <c r="DR15" s="742"/>
      <c r="DS15" s="742"/>
      <c r="DT15" s="742" t="str">
        <f t="shared" ca="1" si="15"/>
        <v>Canadá-Catar</v>
      </c>
      <c r="DU15" s="742"/>
      <c r="DV15" s="742"/>
      <c r="DW15" s="8"/>
    </row>
    <row r="16" spans="1:127">
      <c r="A16" s="743" t="str">
        <f ca="1">+Equipos!B9</f>
        <v>Suiza</v>
      </c>
      <c r="B16" s="740"/>
      <c r="C16" s="742"/>
      <c r="D16" s="742" t="str">
        <f t="shared" si="54"/>
        <v>Pendiente</v>
      </c>
      <c r="E16" s="742" t="str">
        <f t="shared" si="55"/>
        <v>-</v>
      </c>
      <c r="F16" s="742" t="str">
        <f t="shared" si="56"/>
        <v>-</v>
      </c>
      <c r="G16" s="742"/>
      <c r="H16" s="742" t="str">
        <f t="shared" si="57"/>
        <v>-</v>
      </c>
      <c r="I16" s="742" t="str">
        <f t="shared" si="58"/>
        <v>-</v>
      </c>
      <c r="J16" s="742"/>
      <c r="K16" s="742" t="str">
        <f t="shared" si="59"/>
        <v>-</v>
      </c>
      <c r="L16" s="742" t="str">
        <f t="shared" si="60"/>
        <v>-</v>
      </c>
      <c r="M16" s="742"/>
      <c r="N16" s="742" t="str">
        <f t="shared" si="61"/>
        <v>-</v>
      </c>
      <c r="O16" s="742" t="str">
        <f t="shared" si="62"/>
        <v>-</v>
      </c>
      <c r="P16" s="742"/>
      <c r="Q16" s="742" t="str">
        <f t="shared" si="63"/>
        <v>-</v>
      </c>
      <c r="R16" s="742" t="str">
        <f t="shared" si="64"/>
        <v>-</v>
      </c>
      <c r="S16" s="742"/>
      <c r="T16" s="742" t="str">
        <f t="shared" si="65"/>
        <v>-</v>
      </c>
      <c r="U16" s="742" t="str">
        <f t="shared" si="66"/>
        <v>-</v>
      </c>
      <c r="V16" s="172"/>
      <c r="W16" s="828"/>
      <c r="X16" s="189">
        <f ca="1">Horarios!C16</f>
        <v>46197.625</v>
      </c>
      <c r="Y16" s="190">
        <f ca="1">Horarios!C16</f>
        <v>46197.625</v>
      </c>
      <c r="Z16" s="191" t="str">
        <f>$Z$8</f>
        <v>J3</v>
      </c>
      <c r="AA16" s="192" t="str">
        <f ca="1">A16</f>
        <v>Suiza</v>
      </c>
      <c r="AB16" s="478" t="str" cm="1">
        <f t="array" aca="1" ref="AB16" ca="1">Ver_flag_local</f>
        <v/>
      </c>
      <c r="AC16" s="193"/>
      <c r="AD16" s="194"/>
      <c r="AE16" s="483" t="str" cm="1">
        <f t="array" aca="1" ref="AE16" ca="1">Ver_flag_visit</f>
        <v/>
      </c>
      <c r="AF16" s="195" t="str">
        <f ca="1">A13</f>
        <v>Canadá</v>
      </c>
      <c r="AG16" s="413">
        <f t="shared" si="67"/>
        <v>0</v>
      </c>
      <c r="AH16" s="196">
        <v>51</v>
      </c>
      <c r="AI16" s="19" t="str">
        <f t="shared" si="72"/>
        <v>3B</v>
      </c>
      <c r="AJ16" s="258">
        <v>3</v>
      </c>
      <c r="AK16" s="486" t="str" cm="1">
        <f t="array" aca="1" ref="AK16" ca="1">Ver_flag_visit</f>
        <v/>
      </c>
      <c r="AL16" s="222" t="str">
        <f ca="1">IFERROR(INDEX($BD$6:$BD$53,MATCH(AI16,$BN$6:$BN$53,0)),"")</f>
        <v>Catar</v>
      </c>
      <c r="AM16" s="223">
        <f t="shared" ca="1" si="71"/>
        <v>0</v>
      </c>
      <c r="AN16" s="224">
        <f t="shared" ca="1" si="71"/>
        <v>0</v>
      </c>
      <c r="AO16" s="224">
        <f t="shared" ca="1" si="71"/>
        <v>0</v>
      </c>
      <c r="AP16" s="224">
        <f t="shared" ca="1" si="71"/>
        <v>0</v>
      </c>
      <c r="AQ16" s="224">
        <f t="shared" ca="1" si="71"/>
        <v>0</v>
      </c>
      <c r="AR16" s="224">
        <f t="shared" ca="1" si="71"/>
        <v>0</v>
      </c>
      <c r="AS16" s="224">
        <f t="shared" ca="1" si="71"/>
        <v>0</v>
      </c>
      <c r="AT16" s="259">
        <f t="shared" ca="1" si="71"/>
        <v>0</v>
      </c>
      <c r="AU16" s="420">
        <f ca="1">INDEX($DL$6:$DL$53,MATCH(AI16,$DP$6:$DP$53,0))</f>
        <v>1</v>
      </c>
      <c r="AV16" s="217" t="str">
        <f ca="1">INDEX($BD$6:$BD$53,MATCH(AI16,$BM$6:$BM$53,0))</f>
        <v>Catar</v>
      </c>
      <c r="AW16" s="427"/>
      <c r="AX16" s="218"/>
      <c r="AY16" s="219" t="str">
        <f ca="1">+A15</f>
        <v>Catar</v>
      </c>
      <c r="AZ16" s="220"/>
      <c r="BA16" s="175"/>
      <c r="BB16" s="742"/>
      <c r="BC16" s="754" t="str">
        <f ca="1">+INDEX(T_Equipos[Grupo],MATCH(WORLDCUP!BD16,T_Equipos[NombreEquipo],0))</f>
        <v>C</v>
      </c>
      <c r="BD16" s="742" t="str">
        <f ca="1">+Equipos!B12</f>
        <v>Haití</v>
      </c>
      <c r="BE16" s="746">
        <f t="shared" ca="1" si="25"/>
        <v>0</v>
      </c>
      <c r="BF16" s="746">
        <f t="shared" ca="1" si="26"/>
        <v>0</v>
      </c>
      <c r="BG16" s="746">
        <f t="shared" ca="1" si="17"/>
        <v>0</v>
      </c>
      <c r="BH16" s="746">
        <f t="shared" ca="1" si="18"/>
        <v>0</v>
      </c>
      <c r="BI16" s="746">
        <f t="shared" ca="1" si="19"/>
        <v>0</v>
      </c>
      <c r="BJ16" s="746">
        <f t="shared" ca="1" si="20"/>
        <v>0</v>
      </c>
      <c r="BK16" s="746">
        <f t="shared" ca="1" si="21"/>
        <v>0</v>
      </c>
      <c r="BL16" s="746">
        <f t="shared" ca="1" si="27"/>
        <v>0</v>
      </c>
      <c r="BM16" s="746" t="str">
        <f t="shared" ca="1" si="22"/>
        <v>3C</v>
      </c>
      <c r="BN16" s="746" t="str">
        <f t="shared" ca="1" si="23"/>
        <v>3C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1</v>
      </c>
      <c r="BT16" s="755" t="str">
        <f ca="1">IF(COUNTIFS($BS$6:$BS$53,BS16,$BC$6:$BC$53,INDEX(T_Equipos[Grupo],MATCH(BD16,T_Equipos[NombreEquipo],0)))=1,"-","P."&amp;BS16&amp;" ("&amp;COUNTIFS($BS$6:$BS$53,BS16,$BC$6:$BC$53,INDEX(T_Equipos[Grupo],MATCH(BD16,T_Equipos[NombreEquipo],0)))&amp;")")</f>
        <v>P.1 (4)</v>
      </c>
      <c r="BU16" s="756">
        <f t="shared" ca="1" si="36"/>
        <v>0</v>
      </c>
      <c r="BV16" s="756">
        <f t="shared" ca="1" si="37"/>
        <v>0</v>
      </c>
      <c r="BW16" s="756">
        <f t="shared" ca="1" si="38"/>
        <v>0</v>
      </c>
      <c r="BX16" s="756">
        <f t="shared" ca="1" si="39"/>
        <v>0</v>
      </c>
      <c r="BY16" s="756">
        <f ca="1">BS16+COUNTIFS($BT$6:$BT$53,BT16,$BX$6:BX$53,"&gt;"&amp;BX16,$BC$6:$BC$53,INDEX(T_Equipos[Grupo],MATCH(BD16,T_Equipos[NombreEquipo],0)))</f>
        <v>1</v>
      </c>
      <c r="BZ16" s="755" t="str">
        <f ca="1">IF(COUNTIFS($BY$6:$BY$53,BY16,$BC$6:$BC$53,INDEX(T_Equipos[Grupo],MATCH(BD16,T_Equipos[NombreEquipo],0)))=1,"-","P."&amp;BY16&amp;" ("&amp;COUNTIFS($BY$6:$BY$53,BY16,$BC$6:$BC$53,INDEX(T_Equipos[Grupo],MATCH(BD16,T_Equipos[NombreEquipo],0)))&amp;")")</f>
        <v>P.1 (4)</v>
      </c>
      <c r="CA16" s="756">
        <f t="shared" ca="1" si="40"/>
        <v>0</v>
      </c>
      <c r="CB16" s="756">
        <f t="shared" ca="1" si="41"/>
        <v>0</v>
      </c>
      <c r="CC16" s="756">
        <f t="shared" ca="1" si="42"/>
        <v>0</v>
      </c>
      <c r="CD16" s="756">
        <f ca="1">BY16+COUNTIFS($BZ$6:$BZ$53,BZ16,$CC$6:CC$53,"&gt;"&amp;CC16,$BC$6:$BC$53,INDEX(T_Equipos[Grupo],MATCH(BD16,T_Equipos[NombreEquipo],0)))</f>
        <v>1</v>
      </c>
      <c r="CE16" s="755" t="str">
        <f ca="1">IF(COUNTIFS($CD$6:$CD$53,CD16,$BC$6:$BC$53,INDEX(T_Equipos[Grupo],MATCH(BD16,T_Equipos[NombreEquipo],0)))=1,"-","P."&amp;CD16&amp;" ("&amp;COUNTIFS($CD$6:$CD$53,CD16,$BC$6:$BC$53,INDEX(T_Equipos[Grupo],MATCH(BD16,T_Equipos[NombreEquipo],0)))&amp;")")</f>
        <v>P.1 (4)</v>
      </c>
      <c r="CF16" s="756">
        <f t="shared" ca="1" si="43"/>
        <v>0</v>
      </c>
      <c r="CG16" s="756">
        <f ca="1">CD16+COUNTIFS($CE$6:$CE$53,CE16,$CF$6:CF$53,"&gt;"&amp;CF16,$BC$6:$BC$53,INDEX(T_Equipos[Grupo],MATCH(BD16,T_Equipos[NombreEquipo],0)))</f>
        <v>1</v>
      </c>
      <c r="CH16" s="755" t="str">
        <f ca="1">IF(COUNTIFS($CG$6:$CG$53,CG16,$BC$6:$BC$53,INDEX(T_Equipos[Grupo],MATCH(BD16,T_Equipos[NombreEquipo],0)))=1,"-","P."&amp;CG16&amp;" ("&amp;COUNTIFS($CG$6:$CG$53,CG16,$BC$6:$BC$53,INDEX(T_Equipos[Grupo],MATCH(BD16,T_Equipos[NombreEquipo],0)))&amp;")")</f>
        <v>P.1 (4)</v>
      </c>
      <c r="CI16" s="756">
        <f t="shared" ca="1" si="44"/>
        <v>0</v>
      </c>
      <c r="CJ16" s="756">
        <f t="shared" ca="1" si="45"/>
        <v>0</v>
      </c>
      <c r="CK16" s="756">
        <f t="shared" ca="1" si="46"/>
        <v>0</v>
      </c>
      <c r="CL16" s="756">
        <f t="shared" ca="1" si="47"/>
        <v>0</v>
      </c>
      <c r="CM16" s="756">
        <f ca="1">CG16+COUNTIFS($CH$6:$CH$53,CH16,$CL$6:CL$53,"&gt;"&amp;CL16,$BC$6:$BC$53,INDEX(T_Equipos[Grupo],MATCH(BD16,T_Equipos[NombreEquipo],0)))</f>
        <v>1</v>
      </c>
      <c r="CN16" s="755" t="str">
        <f ca="1">IF(COUNTIFS($CM$6:$CM$53,CM16,$BC$6:$BC$53,INDEX(T_Equipos[Grupo],MATCH(BD16,T_Equipos[NombreEquipo],0)))=1,"-","P."&amp;CM16&amp;" ("&amp;COUNTIFS($CM$6:$CM$53,CM16,$BC$6:$BC$53,INDEX(T_Equipos[Grupo],MATCH(BD16,T_Equipos[NombreEquipo],0)))&amp;")")</f>
        <v>P.1 (4)</v>
      </c>
      <c r="CO16" s="756">
        <f t="shared" ca="1" si="48"/>
        <v>0</v>
      </c>
      <c r="CP16" s="756">
        <f t="shared" ca="1" si="49"/>
        <v>0</v>
      </c>
      <c r="CQ16" s="756">
        <f t="shared" ca="1" si="50"/>
        <v>0</v>
      </c>
      <c r="CR16" s="756">
        <f ca="1">CM16+COUNTIFS($CN$6:$CN$53,CN16,$CQ$6:CQ$53,"&gt;"&amp;CQ16,$BC$6:$BC$53,INDEX(T_Equipos[Grupo],MATCH(BD16,T_Equipos[NombreEquipo],0)))</f>
        <v>1</v>
      </c>
      <c r="CS16" s="755" t="str">
        <f ca="1">IF(COUNTIFS($CR$6:$CR$53,CR16,$BC$6:$BC$53,INDEX(T_Equipos[Grupo],MATCH(BD16,T_Equipos[NombreEquipo],0)))=1,"-","P."&amp;CR16&amp;" ("&amp;COUNTIFS($CR$6:$CR$53,CR16,$BC$6:$BC$53,INDEX(T_Equipos[Grupo],MATCH(BD16,T_Equipos[NombreEquipo],0)))&amp;")")</f>
        <v>P.1 (4)</v>
      </c>
      <c r="CT16" s="756">
        <f t="shared" ca="1" si="51"/>
        <v>0</v>
      </c>
      <c r="CU16" s="756">
        <f ca="1">CR16+COUNTIFS($CS$6:$CS$53,CS16,$CT$6:CT$53,"&gt;"&amp;CT16,$BC$6:$BC$53,INDEX(T_Equipos[Grupo],MATCH(BD16,T_Equipos[NombreEquipo],0)))</f>
        <v>1</v>
      </c>
      <c r="CV16" s="755" t="str">
        <f ca="1">IF(COUNTIFS($CU$6:$CU$53,CU16,$BC$6:$BC$53,INDEX(T_Equipos[Grupo],MATCH(BD16,T_Equipos[NombreEquipo],0)))=1,"-","P."&amp;CU16&amp;" ("&amp;COUNTIFS($CU$6:$CU$53,CU16,$BC$6:$BC$53,INDEX(T_Equipos[Grupo],MATCH(BD16,T_Equipos[NombreEquipo],0)))&amp;")")</f>
        <v>P.1 (4)</v>
      </c>
      <c r="CW16" s="755">
        <f t="shared" ca="1" si="30"/>
        <v>0</v>
      </c>
      <c r="CX16" s="755">
        <f ca="1">CU16+COUNTIFS($CV$6:$CV$53,CV16,$CW$6:CW$53,"&gt;"&amp;CW16,$BC$6:$BC$53,INDEX(T_Equipos[Grupo],MATCH(BD16,T_Equipos[NombreEquipo],0)))</f>
        <v>1</v>
      </c>
      <c r="CY16" s="755" t="str">
        <f ca="1">IF(COUNTIFS($CX$6:$CX$53,CX16,$BC$6:$BC$53,INDEX(T_Equipos[Grupo],MATCH(BD16,T_Equipos[NombreEquipo],0)))=1,"-","P."&amp;CX16&amp;" ("&amp;COUNTIFS($CX$6:$CX$53,CX16,$BC$6:$BC$53,INDEX(T_Equipos[Grupo],MATCH(BD16,T_Equipos[NombreEquipo],0)))&amp;")")</f>
        <v>P.1 (4)</v>
      </c>
      <c r="CZ16" s="755">
        <f t="shared" ca="1" si="31"/>
        <v>0</v>
      </c>
      <c r="DA16" s="756">
        <f ca="1">CX16+COUNTIFS($CY$6:$CY$53,CY16,$CZ$6:CZ$53,"&gt;"&amp;CZ16,$BC$6:$BC$53,INDEX(T_Equipos[Grupo],MATCH(BD16,T_Equipos[NombreEquipo],0)))</f>
        <v>1</v>
      </c>
      <c r="DB16" s="755" t="str">
        <f ca="1">IF(COUNTIFS($DA$6:$DA$53,DA16,$BC$6:$BC$53,INDEX(T_Equipos[Grupo],MATCH(BD16,T_Equipos[NombreEquipo],0)))=1,"-","P."&amp;DA16&amp;" ("&amp;COUNTIFS($DA$6:$DA$53,DA16,$BC$6:$BC$53,INDEX(T_Equipos[Grupo],MATCH(BD16,T_Equipos[NombreEquipo],0)))&amp;")")</f>
        <v>P.1 (4)</v>
      </c>
      <c r="DC16" s="754">
        <f ca="1">IF(DB16="-","-",COUNTIFS(T_Equipos[Rank],"&lt;"&amp;INDEX(T_Equipos[Rank],MATCH(BD16,T_Equipos[NombreEquipo],0)),$BC$6:$BC$53,INDEX(T_Equipos[Grupo],MATCH(BD16,T_Equipos[NombreEquipo],0)))+1)</f>
        <v>3</v>
      </c>
      <c r="DD16" s="754">
        <f ca="1">DA16+COUNTIFS($DB$6:$DB$53,DB16,$DC$6:DC$53,"&lt;"&amp;DC16,$BC$6:$BC$53,INDEX(T_Equipos[Grupo],MATCH(BD16,T_Equipos[NombreEquipo],0)))</f>
        <v>3</v>
      </c>
      <c r="DE16" s="754"/>
      <c r="DF16" s="754">
        <f t="shared" ca="1" si="52"/>
        <v>3</v>
      </c>
      <c r="DG16" s="754">
        <f ca="1">IF(DB16="-","-",COUNTIFS(DF$6:DF$53,"&lt;"&amp;DF16,$BC$6:$BC$53,INDEX(T_Equipos[Grupo],MATCH(BD16,T_Equipos[NombreEquipo],0))))</f>
        <v>2</v>
      </c>
      <c r="DH16" s="754">
        <f ca="1">DA16+COUNTIFS(DB$6:DB$53,DB16,DG$6:DG$53,"&lt;"&amp;DG16,$BC$6:$BC$53,INDEX(T_Equipos[Grupo],MATCH(BD16,T_Equipos[NombreEquipo],0)))</f>
        <v>3</v>
      </c>
      <c r="DI16" s="742"/>
      <c r="DJ16" s="742">
        <f t="shared" ca="1" si="53"/>
        <v>1</v>
      </c>
      <c r="DK16" s="742">
        <f t="shared" ca="1" si="24"/>
        <v>0</v>
      </c>
      <c r="DL16" s="742">
        <f t="shared" ca="1" si="33"/>
        <v>1</v>
      </c>
      <c r="DM16" s="736" t="str">
        <f t="shared" ca="1" si="34"/>
        <v>1.1</v>
      </c>
      <c r="DN16" s="742" cm="1">
        <f t="array" aca="1" ref="DN16" ca="1">OFFSET(Horarios!$P$3,DJ16-1,0,DL16,1)</f>
        <v>1</v>
      </c>
      <c r="DO16" s="742"/>
      <c r="DP16" s="742" t="s">
        <v>91</v>
      </c>
      <c r="DQ16" s="742" t="str">
        <f t="shared" ca="1" si="35"/>
        <v>Haití</v>
      </c>
      <c r="DR16" s="742"/>
      <c r="DS16" s="742"/>
      <c r="DT16" s="742" t="str">
        <f t="shared" ca="1" si="15"/>
        <v>Suiza-Canadá</v>
      </c>
      <c r="DU16" s="742"/>
      <c r="DV16" s="742"/>
      <c r="DW16" s="8"/>
    </row>
    <row r="17" spans="1:127" ht="15.75" thickBot="1">
      <c r="A17" s="737"/>
      <c r="B17" s="740"/>
      <c r="C17" s="737"/>
      <c r="D17" s="742" t="str">
        <f t="shared" si="54"/>
        <v>Pendiente</v>
      </c>
      <c r="E17" s="742" t="str">
        <f t="shared" si="55"/>
        <v>-</v>
      </c>
      <c r="F17" s="742" t="str">
        <f t="shared" si="56"/>
        <v>-</v>
      </c>
      <c r="G17" s="742"/>
      <c r="H17" s="742" t="str">
        <f t="shared" si="57"/>
        <v>-</v>
      </c>
      <c r="I17" s="742" t="str">
        <f t="shared" si="58"/>
        <v>-</v>
      </c>
      <c r="J17" s="742"/>
      <c r="K17" s="742" t="str">
        <f t="shared" si="59"/>
        <v>-</v>
      </c>
      <c r="L17" s="742" t="str">
        <f t="shared" si="60"/>
        <v>-</v>
      </c>
      <c r="M17" s="742"/>
      <c r="N17" s="742" t="str">
        <f t="shared" si="61"/>
        <v>-</v>
      </c>
      <c r="O17" s="742" t="str">
        <f t="shared" si="62"/>
        <v>-</v>
      </c>
      <c r="P17" s="742"/>
      <c r="Q17" s="742" t="str">
        <f t="shared" si="63"/>
        <v>-</v>
      </c>
      <c r="R17" s="742" t="str">
        <f t="shared" si="64"/>
        <v>-</v>
      </c>
      <c r="S17" s="742"/>
      <c r="T17" s="742" t="str">
        <f t="shared" si="65"/>
        <v>-</v>
      </c>
      <c r="U17" s="742" t="str">
        <f t="shared" si="66"/>
        <v>-</v>
      </c>
      <c r="V17" s="172"/>
      <c r="W17" s="829"/>
      <c r="X17" s="228">
        <f ca="1">Horarios!C17</f>
        <v>46197.625</v>
      </c>
      <c r="Y17" s="229">
        <f ca="1">Horarios!C17</f>
        <v>46197.625</v>
      </c>
      <c r="Z17" s="230" t="str">
        <f>$Z$8</f>
        <v>J3</v>
      </c>
      <c r="AA17" s="231" t="str">
        <f ca="1">A14</f>
        <v>Bosnia y Herzegovina</v>
      </c>
      <c r="AB17" s="479" t="str" cm="1">
        <f t="array" aca="1" ref="AB17" ca="1">Ver_flag_local</f>
        <v/>
      </c>
      <c r="AC17" s="232"/>
      <c r="AD17" s="233"/>
      <c r="AE17" s="484" t="str" cm="1">
        <f t="array" aca="1" ref="AE17" ca="1">Ver_flag_visit</f>
        <v/>
      </c>
      <c r="AF17" s="234" t="str">
        <f ca="1">A15</f>
        <v>Catar</v>
      </c>
      <c r="AG17" s="413">
        <f t="shared" si="67"/>
        <v>0</v>
      </c>
      <c r="AH17" s="196">
        <v>52</v>
      </c>
      <c r="AI17" s="19" t="str">
        <f t="shared" si="72"/>
        <v>4B</v>
      </c>
      <c r="AJ17" s="260">
        <v>4</v>
      </c>
      <c r="AK17" s="489" t="str" cm="1">
        <f t="array" aca="1" ref="AK17" ca="1">Ver_flag_visit</f>
        <v/>
      </c>
      <c r="AL17" s="261" t="str">
        <f ca="1">IFERROR(INDEX($BD$6:$BD$53,MATCH(AI17,$BN$6:$BN$53,0)),"")</f>
        <v>Suiza</v>
      </c>
      <c r="AM17" s="262">
        <f t="shared" ca="1" si="71"/>
        <v>0</v>
      </c>
      <c r="AN17" s="263">
        <f t="shared" ca="1" si="71"/>
        <v>0</v>
      </c>
      <c r="AO17" s="263">
        <f t="shared" ca="1" si="71"/>
        <v>0</v>
      </c>
      <c r="AP17" s="263">
        <f t="shared" ca="1" si="71"/>
        <v>0</v>
      </c>
      <c r="AQ17" s="263">
        <f t="shared" ca="1" si="71"/>
        <v>0</v>
      </c>
      <c r="AR17" s="263">
        <f t="shared" ca="1" si="71"/>
        <v>0</v>
      </c>
      <c r="AS17" s="263">
        <f t="shared" ca="1" si="71"/>
        <v>0</v>
      </c>
      <c r="AT17" s="264">
        <f t="shared" ca="1" si="71"/>
        <v>0</v>
      </c>
      <c r="AU17" s="420">
        <f ca="1">INDEX($DL$6:$DL$53,MATCH(AI17,$DP$6:$DP$53,0))</f>
        <v>1</v>
      </c>
      <c r="AV17" s="217" t="str">
        <f ca="1">INDEX($BD$6:$BD$53,MATCH(AI17,$BM$6:$BM$53,0))</f>
        <v>Suiza</v>
      </c>
      <c r="AW17" s="427"/>
      <c r="AX17" s="218"/>
      <c r="AY17" s="240" t="str">
        <f ca="1">+A16</f>
        <v>Suiza</v>
      </c>
      <c r="AZ17" s="241"/>
      <c r="BA17" s="175"/>
      <c r="BB17" s="742"/>
      <c r="BC17" s="754" t="str">
        <f ca="1">+INDEX(T_Equipos[Grupo],MATCH(WORLDCUP!BD17,T_Equipos[NombreEquipo],0))</f>
        <v>C</v>
      </c>
      <c r="BD17" s="742" t="str">
        <f ca="1">+Equipos!B13</f>
        <v>Escocia</v>
      </c>
      <c r="BE17" s="746">
        <f t="shared" ca="1" si="25"/>
        <v>0</v>
      </c>
      <c r="BF17" s="746">
        <f t="shared" ca="1" si="26"/>
        <v>0</v>
      </c>
      <c r="BG17" s="746">
        <f t="shared" ca="1" si="17"/>
        <v>0</v>
      </c>
      <c r="BH17" s="746">
        <f t="shared" ca="1" si="18"/>
        <v>0</v>
      </c>
      <c r="BI17" s="746">
        <f t="shared" ca="1" si="19"/>
        <v>0</v>
      </c>
      <c r="BJ17" s="746">
        <f t="shared" ca="1" si="20"/>
        <v>0</v>
      </c>
      <c r="BK17" s="746">
        <f t="shared" ca="1" si="21"/>
        <v>0</v>
      </c>
      <c r="BL17" s="746">
        <f t="shared" ca="1" si="27"/>
        <v>0</v>
      </c>
      <c r="BM17" s="746" t="str">
        <f t="shared" ca="1" si="22"/>
        <v>4C</v>
      </c>
      <c r="BN17" s="746" t="str">
        <f t="shared" ca="1" si="23"/>
        <v>4C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0</v>
      </c>
      <c r="BS17" s="755">
        <f ca="1">BP17+COUNTIFS($BQ$6:$BQ$53,BQ17,$BR$6:BR$53,"&gt;"&amp;BR17,$BC$6:$BC$53,INDEX(T_Equipos[Grupo],MATCH(BD17,T_Equipos[NombreEquipo],0)))</f>
        <v>1</v>
      </c>
      <c r="BT17" s="755" t="str">
        <f ca="1">IF(COUNTIFS($BS$6:$BS$53,BS17,$BC$6:$BC$53,INDEX(T_Equipos[Grupo],MATCH(BD17,T_Equipos[NombreEquipo],0)))=1,"-","P."&amp;BS17&amp;" ("&amp;COUNTIFS($BS$6:$BS$53,BS17,$BC$6:$BC$53,INDEX(T_Equipos[Grupo],MATCH(BD17,T_Equipos[NombreEquipo],0)))&amp;")")</f>
        <v>P.1 (4)</v>
      </c>
      <c r="BU17" s="756">
        <f t="shared" ca="1" si="36"/>
        <v>0</v>
      </c>
      <c r="BV17" s="756">
        <f t="shared" ca="1" si="37"/>
        <v>0</v>
      </c>
      <c r="BW17" s="756">
        <f t="shared" ca="1" si="38"/>
        <v>0</v>
      </c>
      <c r="BX17" s="756">
        <f t="shared" ca="1" si="39"/>
        <v>0</v>
      </c>
      <c r="BY17" s="756">
        <f ca="1">BS17+COUNTIFS($BT$6:$BT$53,BT17,$BX$6:BX$53,"&gt;"&amp;BX17,$BC$6:$BC$53,INDEX(T_Equipos[Grupo],MATCH(BD17,T_Equipos[NombreEquipo],0)))</f>
        <v>1</v>
      </c>
      <c r="BZ17" s="755" t="str">
        <f ca="1">IF(COUNTIFS($BY$6:$BY$53,BY17,$BC$6:$BC$53,INDEX(T_Equipos[Grupo],MATCH(BD17,T_Equipos[NombreEquipo],0)))=1,"-","P."&amp;BY17&amp;" ("&amp;COUNTIFS($BY$6:$BY$53,BY17,$BC$6:$BC$53,INDEX(T_Equipos[Grupo],MATCH(BD17,T_Equipos[NombreEquipo],0)))&amp;")")</f>
        <v>P.1 (4)</v>
      </c>
      <c r="CA17" s="756">
        <f t="shared" ca="1" si="40"/>
        <v>0</v>
      </c>
      <c r="CB17" s="756">
        <f t="shared" ca="1" si="41"/>
        <v>0</v>
      </c>
      <c r="CC17" s="756">
        <f t="shared" ca="1" si="42"/>
        <v>0</v>
      </c>
      <c r="CD17" s="756">
        <f ca="1">BY17+COUNTIFS($BZ$6:$BZ$53,BZ17,$CC$6:CC$53,"&gt;"&amp;CC17,$BC$6:$BC$53,INDEX(T_Equipos[Grupo],MATCH(BD17,T_Equipos[NombreEquipo],0)))</f>
        <v>1</v>
      </c>
      <c r="CE17" s="755" t="str">
        <f ca="1">IF(COUNTIFS($CD$6:$CD$53,CD17,$BC$6:$BC$53,INDEX(T_Equipos[Grupo],MATCH(BD17,T_Equipos[NombreEquipo],0)))=1,"-","P."&amp;CD17&amp;" ("&amp;COUNTIFS($CD$6:$CD$53,CD17,$BC$6:$BC$53,INDEX(T_Equipos[Grupo],MATCH(BD17,T_Equipos[NombreEquipo],0)))&amp;")")</f>
        <v>P.1 (4)</v>
      </c>
      <c r="CF17" s="756">
        <f t="shared" ca="1" si="43"/>
        <v>0</v>
      </c>
      <c r="CG17" s="756">
        <f ca="1">CD17+COUNTIFS($CE$6:$CE$53,CE17,$CF$6:CF$53,"&gt;"&amp;CF17,$BC$6:$BC$53,INDEX(T_Equipos[Grupo],MATCH(BD17,T_Equipos[NombreEquipo],0)))</f>
        <v>1</v>
      </c>
      <c r="CH17" s="755" t="str">
        <f ca="1">IF(COUNTIFS($CG$6:$CG$53,CG17,$BC$6:$BC$53,INDEX(T_Equipos[Grupo],MATCH(BD17,T_Equipos[NombreEquipo],0)))=1,"-","P."&amp;CG17&amp;" ("&amp;COUNTIFS($CG$6:$CG$53,CG17,$BC$6:$BC$53,INDEX(T_Equipos[Grupo],MATCH(BD17,T_Equipos[NombreEquipo],0)))&amp;")")</f>
        <v>P.1 (4)</v>
      </c>
      <c r="CI17" s="756">
        <f t="shared" ca="1" si="44"/>
        <v>0</v>
      </c>
      <c r="CJ17" s="756">
        <f t="shared" ca="1" si="45"/>
        <v>0</v>
      </c>
      <c r="CK17" s="756">
        <f t="shared" ca="1" si="46"/>
        <v>0</v>
      </c>
      <c r="CL17" s="756">
        <f t="shared" ca="1" si="47"/>
        <v>0</v>
      </c>
      <c r="CM17" s="756">
        <f ca="1">CG17+COUNTIFS($CH$6:$CH$53,CH17,$CL$6:CL$53,"&gt;"&amp;CL17,$BC$6:$BC$53,INDEX(T_Equipos[Grupo],MATCH(BD17,T_Equipos[NombreEquipo],0)))</f>
        <v>1</v>
      </c>
      <c r="CN17" s="755" t="str">
        <f ca="1">IF(COUNTIFS($CM$6:$CM$53,CM17,$BC$6:$BC$53,INDEX(T_Equipos[Grupo],MATCH(BD17,T_Equipos[NombreEquipo],0)))=1,"-","P."&amp;CM17&amp;" ("&amp;COUNTIFS($CM$6:$CM$53,CM17,$BC$6:$BC$53,INDEX(T_Equipos[Grupo],MATCH(BD17,T_Equipos[NombreEquipo],0)))&amp;")")</f>
        <v>P.1 (4)</v>
      </c>
      <c r="CO17" s="756">
        <f t="shared" ca="1" si="48"/>
        <v>0</v>
      </c>
      <c r="CP17" s="756">
        <f t="shared" ca="1" si="49"/>
        <v>0</v>
      </c>
      <c r="CQ17" s="756">
        <f t="shared" ca="1" si="50"/>
        <v>0</v>
      </c>
      <c r="CR17" s="756">
        <f ca="1">CM17+COUNTIFS($CN$6:$CN$53,CN17,$CQ$6:CQ$53,"&gt;"&amp;CQ17,$BC$6:$BC$53,INDEX(T_Equipos[Grupo],MATCH(BD17,T_Equipos[NombreEquipo],0)))</f>
        <v>1</v>
      </c>
      <c r="CS17" s="755" t="str">
        <f ca="1">IF(COUNTIFS($CR$6:$CR$53,CR17,$BC$6:$BC$53,INDEX(T_Equipos[Grupo],MATCH(BD17,T_Equipos[NombreEquipo],0)))=1,"-","P."&amp;CR17&amp;" ("&amp;COUNTIFS($CR$6:$CR$53,CR17,$BC$6:$BC$53,INDEX(T_Equipos[Grupo],MATCH(BD17,T_Equipos[NombreEquipo],0)))&amp;")")</f>
        <v>P.1 (4)</v>
      </c>
      <c r="CT17" s="756">
        <f t="shared" ca="1" si="51"/>
        <v>0</v>
      </c>
      <c r="CU17" s="756">
        <f ca="1">CR17+COUNTIFS($CS$6:$CS$53,CS17,$CT$6:CT$53,"&gt;"&amp;CT17,$BC$6:$BC$53,INDEX(T_Equipos[Grupo],MATCH(BD17,T_Equipos[NombreEquipo],0)))</f>
        <v>1</v>
      </c>
      <c r="CV17" s="755" t="str">
        <f ca="1">IF(COUNTIFS($CU$6:$CU$53,CU17,$BC$6:$BC$53,INDEX(T_Equipos[Grupo],MATCH(BD17,T_Equipos[NombreEquipo],0)))=1,"-","P."&amp;CU17&amp;" ("&amp;COUNTIFS($CU$6:$CU$53,CU17,$BC$6:$BC$53,INDEX(T_Equipos[Grupo],MATCH(BD17,T_Equipos[NombreEquipo],0)))&amp;")")</f>
        <v>P.1 (4)</v>
      </c>
      <c r="CW17" s="755">
        <f t="shared" ca="1" si="30"/>
        <v>0</v>
      </c>
      <c r="CX17" s="755">
        <f ca="1">CU17+COUNTIFS($CV$6:$CV$53,CV17,$CW$6:CW$53,"&gt;"&amp;CW17,$BC$6:$BC$53,INDEX(T_Equipos[Grupo],MATCH(BD17,T_Equipos[NombreEquipo],0)))</f>
        <v>1</v>
      </c>
      <c r="CY17" s="755" t="str">
        <f ca="1">IF(COUNTIFS($CX$6:$CX$53,CX17,$BC$6:$BC$53,INDEX(T_Equipos[Grupo],MATCH(BD17,T_Equipos[NombreEquipo],0)))=1,"-","P."&amp;CX17&amp;" ("&amp;COUNTIFS($CX$6:$CX$53,CX17,$BC$6:$BC$53,INDEX(T_Equipos[Grupo],MATCH(BD17,T_Equipos[NombreEquipo],0)))&amp;")")</f>
        <v>P.1 (4)</v>
      </c>
      <c r="CZ17" s="755">
        <f t="shared" ca="1" si="31"/>
        <v>0</v>
      </c>
      <c r="DA17" s="756">
        <f ca="1">CX17+COUNTIFS($CY$6:$CY$53,CY17,$CZ$6:CZ$53,"&gt;"&amp;CZ17,$BC$6:$BC$53,INDEX(T_Equipos[Grupo],MATCH(BD17,T_Equipos[NombreEquipo],0)))</f>
        <v>1</v>
      </c>
      <c r="DB17" s="755" t="str">
        <f ca="1">IF(COUNTIFS($DA$6:$DA$53,DA17,$BC$6:$BC$53,INDEX(T_Equipos[Grupo],MATCH(BD17,T_Equipos[NombreEquipo],0)))=1,"-","P."&amp;DA17&amp;" ("&amp;COUNTIFS($DA$6:$DA$53,DA17,$BC$6:$BC$53,INDEX(T_Equipos[Grupo],MATCH(BD17,T_Equipos[NombreEquipo],0)))&amp;")")</f>
        <v>P.1 (4)</v>
      </c>
      <c r="DC17" s="754">
        <f ca="1">IF(DB17="-","-",COUNTIFS(T_Equipos[Rank],"&lt;"&amp;INDEX(T_Equipos[Rank],MATCH(BD17,T_Equipos[NombreEquipo],0)),$BC$6:$BC$53,INDEX(T_Equipos[Grupo],MATCH(BD17,T_Equipos[NombreEquipo],0)))+1)</f>
        <v>4</v>
      </c>
      <c r="DD17" s="754">
        <f ca="1">DA17+COUNTIFS($DB$6:$DB$53,DB17,$DC$6:DC$53,"&lt;"&amp;DC17,$BC$6:$BC$53,INDEX(T_Equipos[Grupo],MATCH(BD17,T_Equipos[NombreEquipo],0)))</f>
        <v>4</v>
      </c>
      <c r="DE17" s="754"/>
      <c r="DF17" s="754">
        <f t="shared" ca="1" si="52"/>
        <v>4</v>
      </c>
      <c r="DG17" s="754">
        <f ca="1">IF(DB17="-","-",COUNTIFS(DF$6:DF$53,"&lt;"&amp;DF17,$BC$6:$BC$53,INDEX(T_Equipos[Grupo],MATCH(BD17,T_Equipos[NombreEquipo],0))))</f>
        <v>3</v>
      </c>
      <c r="DH17" s="754">
        <f ca="1">DA17+COUNTIFS(DB$6:DB$53,DB17,DG$6:DG$53,"&lt;"&amp;DG17,$BC$6:$BC$53,INDEX(T_Equipos[Grupo],MATCH(BD17,T_Equipos[NombreEquipo],0)))</f>
        <v>4</v>
      </c>
      <c r="DI17" s="742"/>
      <c r="DJ17" s="742">
        <f t="shared" ca="1" si="53"/>
        <v>1</v>
      </c>
      <c r="DK17" s="742">
        <f t="shared" ca="1" si="24"/>
        <v>0</v>
      </c>
      <c r="DL17" s="742">
        <f t="shared" ca="1" si="33"/>
        <v>1</v>
      </c>
      <c r="DM17" s="736" t="str">
        <f t="shared" ca="1" si="34"/>
        <v>1.1</v>
      </c>
      <c r="DN17" s="742" cm="1">
        <f t="array" aca="1" ref="DN17" ca="1">OFFSET(Horarios!$P$3,DJ17-1,0,DL17,1)</f>
        <v>1</v>
      </c>
      <c r="DO17" s="742"/>
      <c r="DP17" s="742" t="s">
        <v>657</v>
      </c>
      <c r="DQ17" s="742" t="str">
        <f t="shared" ca="1" si="35"/>
        <v>Escocia</v>
      </c>
      <c r="DR17" s="742"/>
      <c r="DS17" s="742"/>
      <c r="DT17" s="742" t="str">
        <f t="shared" ca="1" si="15"/>
        <v>Bosnia y Herzegovina-Catar</v>
      </c>
      <c r="DU17" s="742"/>
      <c r="DV17" s="742"/>
      <c r="DW17" s="8"/>
    </row>
    <row r="18" spans="1:127" ht="15.7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Estados Unidos</v>
      </c>
      <c r="BE18" s="746">
        <f t="shared" ca="1" si="25"/>
        <v>0</v>
      </c>
      <c r="BF18" s="746">
        <f t="shared" ca="1" si="26"/>
        <v>0</v>
      </c>
      <c r="BG18" s="746">
        <f t="shared" ca="1" si="17"/>
        <v>0</v>
      </c>
      <c r="BH18" s="746">
        <f t="shared" ca="1" si="18"/>
        <v>0</v>
      </c>
      <c r="BI18" s="746">
        <f t="shared" ca="1" si="19"/>
        <v>0</v>
      </c>
      <c r="BJ18" s="746">
        <f t="shared" ca="1" si="20"/>
        <v>0</v>
      </c>
      <c r="BK18" s="746">
        <f t="shared" ca="1" si="21"/>
        <v>0</v>
      </c>
      <c r="BL18" s="746">
        <f t="shared" ca="1" si="27"/>
        <v>0</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0</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P.1 (4)</v>
      </c>
      <c r="BU18" s="756">
        <f t="shared" ca="1" si="36"/>
        <v>0</v>
      </c>
      <c r="BV18" s="756">
        <f t="shared" ca="1" si="37"/>
        <v>0</v>
      </c>
      <c r="BW18" s="756">
        <f t="shared" ca="1" si="38"/>
        <v>0</v>
      </c>
      <c r="BX18" s="756">
        <f t="shared" ca="1" si="39"/>
        <v>0</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P.1 (4)</v>
      </c>
      <c r="CA18" s="756">
        <f t="shared" ca="1" si="40"/>
        <v>0</v>
      </c>
      <c r="CB18" s="756">
        <f t="shared" ca="1" si="41"/>
        <v>0</v>
      </c>
      <c r="CC18" s="756">
        <f t="shared" ca="1" si="42"/>
        <v>0</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P.1 (4)</v>
      </c>
      <c r="CF18" s="756">
        <f t="shared" ca="1" si="43"/>
        <v>0</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P.1 (4)</v>
      </c>
      <c r="CI18" s="756">
        <f t="shared" ca="1" si="44"/>
        <v>0</v>
      </c>
      <c r="CJ18" s="756">
        <f t="shared" ca="1" si="45"/>
        <v>0</v>
      </c>
      <c r="CK18" s="756">
        <f t="shared" ca="1" si="46"/>
        <v>0</v>
      </c>
      <c r="CL18" s="756">
        <f t="shared" ca="1" si="47"/>
        <v>0</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P.1 (4)</v>
      </c>
      <c r="CO18" s="756">
        <f t="shared" ca="1" si="48"/>
        <v>0</v>
      </c>
      <c r="CP18" s="756">
        <f t="shared" ca="1" si="49"/>
        <v>0</v>
      </c>
      <c r="CQ18" s="756">
        <f t="shared" ca="1" si="50"/>
        <v>0</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P.1 (4)</v>
      </c>
      <c r="CT18" s="756">
        <f t="shared" ca="1" si="51"/>
        <v>0</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P.1 (4)</v>
      </c>
      <c r="CW18" s="755">
        <f t="shared" ca="1" si="30"/>
        <v>0</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P.1 (4)</v>
      </c>
      <c r="CZ18" s="755">
        <f t="shared" ca="1" si="31"/>
        <v>0</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P.1 (4)</v>
      </c>
      <c r="DC18" s="754">
        <f ca="1">IF(DB18="-","-",COUNTIFS(T_Equipos[Rank],"&lt;"&amp;INDEX(T_Equipos[Rank],MATCH(BD18,T_Equipos[NombreEquipo],0)),$BC$6:$BC$53,INDEX(T_Equipos[Grupo],MATCH(BD18,T_Equipos[NombreEquipo],0)))+1)</f>
        <v>1</v>
      </c>
      <c r="DD18" s="754">
        <f ca="1">DA18+COUNTIFS($DB$6:$DB$53,DB18,$DC$6:DC$53,"&lt;"&amp;DC18,$BC$6:$BC$53,INDEX(T_Equipos[Grupo],MATCH(BD18,T_Equipos[NombreEquipo],0)))</f>
        <v>1</v>
      </c>
      <c r="DE18" s="754"/>
      <c r="DF18" s="754">
        <f t="shared" ca="1" si="52"/>
        <v>1</v>
      </c>
      <c r="DG18" s="754">
        <f ca="1">IF(DB18="-","-",COUNTIFS(DF$6:DF$53,"&lt;"&amp;DF18,$BC$6:$BC$53,INDEX(T_Equipos[Grupo],MATCH(BD18,T_Equipos[NombreEquipo],0))))</f>
        <v>0</v>
      </c>
      <c r="DH18" s="754">
        <f ca="1">DA18+COUNTIFS(DB$6:DB$53,DB18,DG$6:DG$53,"&lt;"&amp;DG18,$BC$6:$BC$53,INDEX(T_Equipos[Grupo],MATCH(BD18,T_Equipos[NombreEquipo],0)))</f>
        <v>1</v>
      </c>
      <c r="DI18" s="742"/>
      <c r="DJ18" s="742">
        <f t="shared" ca="1" si="53"/>
        <v>1</v>
      </c>
      <c r="DK18" s="742">
        <f t="shared" ca="1" si="24"/>
        <v>0</v>
      </c>
      <c r="DL18" s="742">
        <f t="shared" ca="1" si="33"/>
        <v>1</v>
      </c>
      <c r="DM18" s="736" t="str">
        <f t="shared" ca="1" si="34"/>
        <v>1.1</v>
      </c>
      <c r="DN18" s="742" cm="1">
        <f t="array" aca="1" ref="DN18" ca="1">OFFSET(Horarios!$P$3,DJ18-1,0,DL18,1)</f>
        <v>1</v>
      </c>
      <c r="DO18" s="742"/>
      <c r="DP18" s="742" t="s">
        <v>658</v>
      </c>
      <c r="DQ18" s="742" t="str">
        <f t="shared" ca="1" si="35"/>
        <v>Estados Unidos</v>
      </c>
      <c r="DR18" s="742"/>
      <c r="DS18" s="742"/>
      <c r="DT18" s="742" t="str">
        <f t="shared" si="15"/>
        <v>-</v>
      </c>
      <c r="DU18" s="742"/>
      <c r="DV18" s="742"/>
      <c r="DW18" s="8"/>
    </row>
    <row r="19" spans="1:127" ht="15.7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0</v>
      </c>
      <c r="BF19" s="746">
        <f t="shared" ca="1" si="26"/>
        <v>0</v>
      </c>
      <c r="BG19" s="746">
        <f t="shared" ca="1" si="17"/>
        <v>0</v>
      </c>
      <c r="BH19" s="746">
        <f t="shared" ca="1" si="18"/>
        <v>0</v>
      </c>
      <c r="BI19" s="746">
        <f t="shared" ca="1" si="19"/>
        <v>0</v>
      </c>
      <c r="BJ19" s="746">
        <f t="shared" ca="1" si="20"/>
        <v>0</v>
      </c>
      <c r="BK19" s="746">
        <f t="shared" ca="1" si="21"/>
        <v>0</v>
      </c>
      <c r="BL19" s="746">
        <f t="shared" ca="1" si="27"/>
        <v>0</v>
      </c>
      <c r="BM19" s="746" t="str">
        <f t="shared" ca="1" si="22"/>
        <v>2D</v>
      </c>
      <c r="BN19" s="746" t="str">
        <f t="shared" ca="1" si="23"/>
        <v>2D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0</v>
      </c>
      <c r="BS19" s="755">
        <f ca="1">BP19+COUNTIFS($BQ$6:$BQ$53,BQ19,$BR$6:BR$53,"&gt;"&amp;BR19,$BC$6:$BC$53,INDEX(T_Equipos[Grupo],MATCH(BD19,T_Equipos[NombreEquipo],0)))</f>
        <v>1</v>
      </c>
      <c r="BT19" s="755" t="str">
        <f ca="1">IF(COUNTIFS($BS$6:$BS$53,BS19,$BC$6:$BC$53,INDEX(T_Equipos[Grupo],MATCH(BD19,T_Equipos[NombreEquipo],0)))=1,"-","P."&amp;BS19&amp;" ("&amp;COUNTIFS($BS$6:$BS$53,BS19,$BC$6:$BC$53,INDEX(T_Equipos[Grupo],MATCH(BD19,T_Equipos[NombreEquipo],0)))&amp;")")</f>
        <v>P.1 (4)</v>
      </c>
      <c r="BU19" s="756">
        <f t="shared" ca="1" si="36"/>
        <v>0</v>
      </c>
      <c r="BV19" s="756">
        <f t="shared" ca="1" si="37"/>
        <v>0</v>
      </c>
      <c r="BW19" s="756">
        <f t="shared" ca="1" si="38"/>
        <v>0</v>
      </c>
      <c r="BX19" s="756">
        <f t="shared" ca="1" si="39"/>
        <v>0</v>
      </c>
      <c r="BY19" s="756">
        <f ca="1">BS19+COUNTIFS($BT$6:$BT$53,BT19,$BX$6:BX$53,"&gt;"&amp;BX19,$BC$6:$BC$53,INDEX(T_Equipos[Grupo],MATCH(BD19,T_Equipos[NombreEquipo],0)))</f>
        <v>1</v>
      </c>
      <c r="BZ19" s="755" t="str">
        <f ca="1">IF(COUNTIFS($BY$6:$BY$53,BY19,$BC$6:$BC$53,INDEX(T_Equipos[Grupo],MATCH(BD19,T_Equipos[NombreEquipo],0)))=1,"-","P."&amp;BY19&amp;" ("&amp;COUNTIFS($BY$6:$BY$53,BY19,$BC$6:$BC$53,INDEX(T_Equipos[Grupo],MATCH(BD19,T_Equipos[NombreEquipo],0)))&amp;")")</f>
        <v>P.1 (4)</v>
      </c>
      <c r="CA19" s="756">
        <f t="shared" ca="1" si="40"/>
        <v>0</v>
      </c>
      <c r="CB19" s="756">
        <f t="shared" ca="1" si="41"/>
        <v>0</v>
      </c>
      <c r="CC19" s="756">
        <f t="shared" ca="1" si="42"/>
        <v>0</v>
      </c>
      <c r="CD19" s="756">
        <f ca="1">BY19+COUNTIFS($BZ$6:$BZ$53,BZ19,$CC$6:CC$53,"&gt;"&amp;CC19,$BC$6:$BC$53,INDEX(T_Equipos[Grupo],MATCH(BD19,T_Equipos[NombreEquipo],0)))</f>
        <v>1</v>
      </c>
      <c r="CE19" s="755" t="str">
        <f ca="1">IF(COUNTIFS($CD$6:$CD$53,CD19,$BC$6:$BC$53,INDEX(T_Equipos[Grupo],MATCH(BD19,T_Equipos[NombreEquipo],0)))=1,"-","P."&amp;CD19&amp;" ("&amp;COUNTIFS($CD$6:$CD$53,CD19,$BC$6:$BC$53,INDEX(T_Equipos[Grupo],MATCH(BD19,T_Equipos[NombreEquipo],0)))&amp;")")</f>
        <v>P.1 (4)</v>
      </c>
      <c r="CF19" s="756">
        <f t="shared" ca="1" si="43"/>
        <v>0</v>
      </c>
      <c r="CG19" s="756">
        <f ca="1">CD19+COUNTIFS($CE$6:$CE$53,CE19,$CF$6:CF$53,"&gt;"&amp;CF19,$BC$6:$BC$53,INDEX(T_Equipos[Grupo],MATCH(BD19,T_Equipos[NombreEquipo],0)))</f>
        <v>1</v>
      </c>
      <c r="CH19" s="755" t="str">
        <f ca="1">IF(COUNTIFS($CG$6:$CG$53,CG19,$BC$6:$BC$53,INDEX(T_Equipos[Grupo],MATCH(BD19,T_Equipos[NombreEquipo],0)))=1,"-","P."&amp;CG19&amp;" ("&amp;COUNTIFS($CG$6:$CG$53,CG19,$BC$6:$BC$53,INDEX(T_Equipos[Grupo],MATCH(BD19,T_Equipos[NombreEquipo],0)))&amp;")")</f>
        <v>P.1 (4)</v>
      </c>
      <c r="CI19" s="756">
        <f t="shared" ca="1" si="44"/>
        <v>0</v>
      </c>
      <c r="CJ19" s="756">
        <f t="shared" ca="1" si="45"/>
        <v>0</v>
      </c>
      <c r="CK19" s="756">
        <f t="shared" ca="1" si="46"/>
        <v>0</v>
      </c>
      <c r="CL19" s="756">
        <f t="shared" ca="1" si="47"/>
        <v>0</v>
      </c>
      <c r="CM19" s="756">
        <f ca="1">CG19+COUNTIFS($CH$6:$CH$53,CH19,$CL$6:CL$53,"&gt;"&amp;CL19,$BC$6:$BC$53,INDEX(T_Equipos[Grupo],MATCH(BD19,T_Equipos[NombreEquipo],0)))</f>
        <v>1</v>
      </c>
      <c r="CN19" s="755" t="str">
        <f ca="1">IF(COUNTIFS($CM$6:$CM$53,CM19,$BC$6:$BC$53,INDEX(T_Equipos[Grupo],MATCH(BD19,T_Equipos[NombreEquipo],0)))=1,"-","P."&amp;CM19&amp;" ("&amp;COUNTIFS($CM$6:$CM$53,CM19,$BC$6:$BC$53,INDEX(T_Equipos[Grupo],MATCH(BD19,T_Equipos[NombreEquipo],0)))&amp;")")</f>
        <v>P.1 (4)</v>
      </c>
      <c r="CO19" s="756">
        <f t="shared" ca="1" si="48"/>
        <v>0</v>
      </c>
      <c r="CP19" s="756">
        <f t="shared" ca="1" si="49"/>
        <v>0</v>
      </c>
      <c r="CQ19" s="756">
        <f t="shared" ca="1" si="50"/>
        <v>0</v>
      </c>
      <c r="CR19" s="756">
        <f ca="1">CM19+COUNTIFS($CN$6:$CN$53,CN19,$CQ$6:CQ$53,"&gt;"&amp;CQ19,$BC$6:$BC$53,INDEX(T_Equipos[Grupo],MATCH(BD19,T_Equipos[NombreEquipo],0)))</f>
        <v>1</v>
      </c>
      <c r="CS19" s="755" t="str">
        <f ca="1">IF(COUNTIFS($CR$6:$CR$53,CR19,$BC$6:$BC$53,INDEX(T_Equipos[Grupo],MATCH(BD19,T_Equipos[NombreEquipo],0)))=1,"-","P."&amp;CR19&amp;" ("&amp;COUNTIFS($CR$6:$CR$53,CR19,$BC$6:$BC$53,INDEX(T_Equipos[Grupo],MATCH(BD19,T_Equipos[NombreEquipo],0)))&amp;")")</f>
        <v>P.1 (4)</v>
      </c>
      <c r="CT19" s="756">
        <f t="shared" ca="1" si="51"/>
        <v>0</v>
      </c>
      <c r="CU19" s="756">
        <f ca="1">CR19+COUNTIFS($CS$6:$CS$53,CS19,$CT$6:CT$53,"&gt;"&amp;CT19,$BC$6:$BC$53,INDEX(T_Equipos[Grupo],MATCH(BD19,T_Equipos[NombreEquipo],0)))</f>
        <v>1</v>
      </c>
      <c r="CV19" s="755" t="str">
        <f ca="1">IF(COUNTIFS($CU$6:$CU$53,CU19,$BC$6:$BC$53,INDEX(T_Equipos[Grupo],MATCH(BD19,T_Equipos[NombreEquipo],0)))=1,"-","P."&amp;CU19&amp;" ("&amp;COUNTIFS($CU$6:$CU$53,CU19,$BC$6:$BC$53,INDEX(T_Equipos[Grupo],MATCH(BD19,T_Equipos[NombreEquipo],0)))&amp;")")</f>
        <v>P.1 (4)</v>
      </c>
      <c r="CW19" s="755">
        <f t="shared" ca="1" si="30"/>
        <v>0</v>
      </c>
      <c r="CX19" s="755">
        <f ca="1">CU19+COUNTIFS($CV$6:$CV$53,CV19,$CW$6:CW$53,"&gt;"&amp;CW19,$BC$6:$BC$53,INDEX(T_Equipos[Grupo],MATCH(BD19,T_Equipos[NombreEquipo],0)))</f>
        <v>1</v>
      </c>
      <c r="CY19" s="755" t="str">
        <f ca="1">IF(COUNTIFS($CX$6:$CX$53,CX19,$BC$6:$BC$53,INDEX(T_Equipos[Grupo],MATCH(BD19,T_Equipos[NombreEquipo],0)))=1,"-","P."&amp;CX19&amp;" ("&amp;COUNTIFS($CX$6:$CX$53,CX19,$BC$6:$BC$53,INDEX(T_Equipos[Grupo],MATCH(BD19,T_Equipos[NombreEquipo],0)))&amp;")")</f>
        <v>P.1 (4)</v>
      </c>
      <c r="CZ19" s="755">
        <f t="shared" ca="1" si="31"/>
        <v>0</v>
      </c>
      <c r="DA19" s="756">
        <f ca="1">CX19+COUNTIFS($CY$6:$CY$53,CY19,$CZ$6:CZ$53,"&gt;"&amp;CZ19,$BC$6:$BC$53,INDEX(T_Equipos[Grupo],MATCH(BD19,T_Equipos[NombreEquipo],0)))</f>
        <v>1</v>
      </c>
      <c r="DB19" s="755" t="str">
        <f ca="1">IF(COUNTIFS($DA$6:$DA$53,DA19,$BC$6:$BC$53,INDEX(T_Equipos[Grupo],MATCH(BD19,T_Equipos[NombreEquipo],0)))=1,"-","P."&amp;DA19&amp;" ("&amp;COUNTIFS($DA$6:$DA$53,DA19,$BC$6:$BC$53,INDEX(T_Equipos[Grupo],MATCH(BD19,T_Equipos[NombreEquipo],0)))&amp;")")</f>
        <v>P.1 (4)</v>
      </c>
      <c r="DC19" s="754">
        <f ca="1">IF(DB19="-","-",COUNTIFS(T_Equipos[Rank],"&lt;"&amp;INDEX(T_Equipos[Rank],MATCH(BD19,T_Equipos[NombreEquipo],0)),$BC$6:$BC$53,INDEX(T_Equipos[Grupo],MATCH(BD19,T_Equipos[NombreEquipo],0)))+1)</f>
        <v>2</v>
      </c>
      <c r="DD19" s="754">
        <f ca="1">DA19+COUNTIFS($DB$6:$DB$53,DB19,$DC$6:DC$53,"&lt;"&amp;DC19,$BC$6:$BC$53,INDEX(T_Equipos[Grupo],MATCH(BD19,T_Equipos[NombreEquipo],0)))</f>
        <v>2</v>
      </c>
      <c r="DE19" s="754"/>
      <c r="DF19" s="754">
        <f t="shared" ca="1" si="52"/>
        <v>2</v>
      </c>
      <c r="DG19" s="754">
        <f ca="1">IF(DB19="-","-",COUNTIFS(DF$6:DF$53,"&lt;"&amp;DF19,$BC$6:$BC$53,INDEX(T_Equipos[Grupo],MATCH(BD19,T_Equipos[NombreEquipo],0))))</f>
        <v>1</v>
      </c>
      <c r="DH19" s="754">
        <f ca="1">DA19+COUNTIFS(DB$6:DB$53,DB19,DG$6:DG$53,"&lt;"&amp;DG19,$BC$6:$BC$53,INDEX(T_Equipos[Grupo],MATCH(BD19,T_Equipos[NombreEquipo],0)))</f>
        <v>2</v>
      </c>
      <c r="DI19" s="742"/>
      <c r="DJ19" s="742">
        <f t="shared" ca="1" si="53"/>
        <v>1</v>
      </c>
      <c r="DK19" s="742">
        <f t="shared" ca="1" si="24"/>
        <v>0</v>
      </c>
      <c r="DL19" s="742">
        <f t="shared" ca="1" si="33"/>
        <v>1</v>
      </c>
      <c r="DM19" s="736" t="str">
        <f t="shared" ca="1" si="34"/>
        <v>1.1</v>
      </c>
      <c r="DN19" s="742" cm="1">
        <f t="array" aca="1" ref="DN19" ca="1">OFFSET(Horarios!$P$3,DJ19-1,0,DL19,1)</f>
        <v>1</v>
      </c>
      <c r="DO19" s="742"/>
      <c r="DP19" s="742" t="s">
        <v>659</v>
      </c>
      <c r="DQ19" s="742" t="str">
        <f t="shared" ca="1" si="35"/>
        <v>Paraguay</v>
      </c>
      <c r="DR19" s="742"/>
      <c r="DS19" s="742"/>
      <c r="DT19" s="742" t="str">
        <f t="shared" si="15"/>
        <v>Casa-Fuera</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Pendiente</v>
      </c>
      <c r="E20" s="742" t="str">
        <f t="shared" ref="E20:E25" si="74">IF(D20="Pendiente","-",INDEX($BT$6:$BT$53,MATCH($AA20,$BD$6:$BD$53,0)))</f>
        <v>-</v>
      </c>
      <c r="F20" s="742" t="str">
        <f t="shared" ref="F20:F25" si="75">IF(D20="Pendiente","-",INDEX($BT$6:$BT$53,MATCH($AF20,$BD$6:$BD$53,0)))</f>
        <v>-</v>
      </c>
      <c r="G20" s="742"/>
      <c r="H20" s="742" t="str">
        <f t="shared" ref="H20:H25" si="76">IF(D20="Pendiente","-",INDEX($BZ$6:$BZ$53,MATCH($AA20,$BD$6:$BD$53,0)))</f>
        <v>-</v>
      </c>
      <c r="I20" s="742" t="str">
        <f t="shared" ref="I20:I25" si="77">IF(D20="Pendiente","-",INDEX($BZ$6:$BZ$53,MATCH($AF20,$BD$6:$BD$53,0)))</f>
        <v>-</v>
      </c>
      <c r="J20" s="742"/>
      <c r="K20" s="742" t="str">
        <f t="shared" ref="K20:K25" si="78">IF(D20="Pendiente","-",INDEX($CE$6:$CE$53,MATCH($AA20,$BD$6:$BD$53,0)))</f>
        <v>-</v>
      </c>
      <c r="L20" s="742" t="str">
        <f t="shared" ref="L20:L25" si="79">IF(D20="Pendiente","-",INDEX($CE$6:$CE$53,MATCH($AF20,$BD$6:$BD$53,0)))</f>
        <v>-</v>
      </c>
      <c r="M20" s="742"/>
      <c r="N20" s="742" t="str">
        <f t="shared" ref="N20:N25" si="80">IF(D20="Pendiente","-",INDEX($CH$6:$CH$53,MATCH($AA20,$BD$6:$BD$53,0)))</f>
        <v>-</v>
      </c>
      <c r="O20" s="742" t="str">
        <f t="shared" ref="O20:O25" si="81">IF(D20="Pendiente","-",INDEX($CH$6:$CH$53,MATCH($AF20,$BD$6:$BD$53,0)))</f>
        <v>-</v>
      </c>
      <c r="P20" s="742"/>
      <c r="Q20" s="742" t="str">
        <f t="shared" ref="Q20:Q25" si="82">IF(D20="Pendiente","-",INDEX($CN$6:$CN$53,MATCH($AA20,$BD$6:$BD$53,0)))</f>
        <v>-</v>
      </c>
      <c r="R20" s="742" t="str">
        <f t="shared" ref="R20:R25" si="83">IF(D20="Pendiente","-",INDEX($CN$6:$CN$53,MATCH($AF20,$BD$6:$BD$53,0)))</f>
        <v>-</v>
      </c>
      <c r="S20" s="742"/>
      <c r="T20" s="742" t="str">
        <f t="shared" ref="T20:T25" si="84">IF(D20="Pendiente","-",INDEX($CS$6:$CS$53,MATCH($AA20,$BD$6:$BD$53,0)))</f>
        <v>-</v>
      </c>
      <c r="U20" s="742" t="str">
        <f t="shared" ref="U20:U25" si="85">IF(D20="Pendiente","-",INDEX($CS$6:$CS$53,MATCH($AF20,$BD$6:$BD$53,0)))</f>
        <v>-</v>
      </c>
      <c r="V20" s="172"/>
      <c r="W20" s="837" t="s">
        <v>2</v>
      </c>
      <c r="X20" s="189">
        <f ca="1">Horarios!C20</f>
        <v>46186.75</v>
      </c>
      <c r="Y20" s="190">
        <f ca="1">Horarios!C20</f>
        <v>46186.75</v>
      </c>
      <c r="Z20" s="191" t="str">
        <f>$Z$4</f>
        <v>J1</v>
      </c>
      <c r="AA20" s="192" t="str">
        <f ca="1">A21</f>
        <v>Brasil</v>
      </c>
      <c r="AB20" s="478" t="str" cm="1">
        <f t="array" aca="1" ref="AB20" ca="1">Ver_flag_local</f>
        <v/>
      </c>
      <c r="AC20" s="193"/>
      <c r="AD20" s="194"/>
      <c r="AE20" s="483" t="str" cm="1">
        <f t="array" aca="1" ref="AE20" ca="1">Ver_flag_visit</f>
        <v/>
      </c>
      <c r="AF20" s="195" t="str">
        <f ca="1">A22</f>
        <v>Marruecos</v>
      </c>
      <c r="AG20" s="413">
        <f t="shared" ref="AG20:AG25" si="86">IF(NOT(OR(ISBLANK(AC20),ISBLANK(AD20))),1,0)</f>
        <v>0</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0</v>
      </c>
      <c r="BF20" s="746">
        <f t="shared" ca="1" si="26"/>
        <v>0</v>
      </c>
      <c r="BG20" s="746">
        <f t="shared" ca="1" si="17"/>
        <v>0</v>
      </c>
      <c r="BH20" s="746">
        <f t="shared" ca="1" si="18"/>
        <v>0</v>
      </c>
      <c r="BI20" s="746">
        <f t="shared" ca="1" si="19"/>
        <v>0</v>
      </c>
      <c r="BJ20" s="746">
        <f t="shared" ca="1" si="20"/>
        <v>0</v>
      </c>
      <c r="BK20" s="746">
        <f t="shared" ca="1" si="21"/>
        <v>0</v>
      </c>
      <c r="BL20" s="746">
        <f t="shared" ca="1" si="27"/>
        <v>0</v>
      </c>
      <c r="BM20" s="746" t="str">
        <f t="shared" ca="1" si="22"/>
        <v>3D</v>
      </c>
      <c r="BN20" s="746" t="str">
        <f t="shared" ca="1" si="23"/>
        <v>3D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0</v>
      </c>
      <c r="BS20" s="755">
        <f ca="1">BP20+COUNTIFS($BQ$6:$BQ$53,BQ20,$BR$6:BR$53,"&gt;"&amp;BR20,$BC$6:$BC$53,INDEX(T_Equipos[Grupo],MATCH(BD20,T_Equipos[NombreEquipo],0)))</f>
        <v>1</v>
      </c>
      <c r="BT20" s="755" t="str">
        <f ca="1">IF(COUNTIFS($BS$6:$BS$53,BS20,$BC$6:$BC$53,INDEX(T_Equipos[Grupo],MATCH(BD20,T_Equipos[NombreEquipo],0)))=1,"-","P."&amp;BS20&amp;" ("&amp;COUNTIFS($BS$6:$BS$53,BS20,$BC$6:$BC$53,INDEX(T_Equipos[Grupo],MATCH(BD20,T_Equipos[NombreEquipo],0)))&amp;")")</f>
        <v>P.1 (4)</v>
      </c>
      <c r="BU20" s="756">
        <f t="shared" ca="1" si="36"/>
        <v>0</v>
      </c>
      <c r="BV20" s="756">
        <f t="shared" ca="1" si="37"/>
        <v>0</v>
      </c>
      <c r="BW20" s="756">
        <f t="shared" ca="1" si="38"/>
        <v>0</v>
      </c>
      <c r="BX20" s="756">
        <f t="shared" ca="1" si="39"/>
        <v>0</v>
      </c>
      <c r="BY20" s="756">
        <f ca="1">BS20+COUNTIFS($BT$6:$BT$53,BT20,$BX$6:BX$53,"&gt;"&amp;BX20,$BC$6:$BC$53,INDEX(T_Equipos[Grupo],MATCH(BD20,T_Equipos[NombreEquipo],0)))</f>
        <v>1</v>
      </c>
      <c r="BZ20" s="755" t="str">
        <f ca="1">IF(COUNTIFS($BY$6:$BY$53,BY20,$BC$6:$BC$53,INDEX(T_Equipos[Grupo],MATCH(BD20,T_Equipos[NombreEquipo],0)))=1,"-","P."&amp;BY20&amp;" ("&amp;COUNTIFS($BY$6:$BY$53,BY20,$BC$6:$BC$53,INDEX(T_Equipos[Grupo],MATCH(BD20,T_Equipos[NombreEquipo],0)))&amp;")")</f>
        <v>P.1 (4)</v>
      </c>
      <c r="CA20" s="756">
        <f t="shared" ca="1" si="40"/>
        <v>0</v>
      </c>
      <c r="CB20" s="756">
        <f t="shared" ca="1" si="41"/>
        <v>0</v>
      </c>
      <c r="CC20" s="756">
        <f t="shared" ca="1" si="42"/>
        <v>0</v>
      </c>
      <c r="CD20" s="756">
        <f ca="1">BY20+COUNTIFS($BZ$6:$BZ$53,BZ20,$CC$6:CC$53,"&gt;"&amp;CC20,$BC$6:$BC$53,INDEX(T_Equipos[Grupo],MATCH(BD20,T_Equipos[NombreEquipo],0)))</f>
        <v>1</v>
      </c>
      <c r="CE20" s="755" t="str">
        <f ca="1">IF(COUNTIFS($CD$6:$CD$53,CD20,$BC$6:$BC$53,INDEX(T_Equipos[Grupo],MATCH(BD20,T_Equipos[NombreEquipo],0)))=1,"-","P."&amp;CD20&amp;" ("&amp;COUNTIFS($CD$6:$CD$53,CD20,$BC$6:$BC$53,INDEX(T_Equipos[Grupo],MATCH(BD20,T_Equipos[NombreEquipo],0)))&amp;")")</f>
        <v>P.1 (4)</v>
      </c>
      <c r="CF20" s="756">
        <f t="shared" ca="1" si="43"/>
        <v>0</v>
      </c>
      <c r="CG20" s="756">
        <f ca="1">CD20+COUNTIFS($CE$6:$CE$53,CE20,$CF$6:CF$53,"&gt;"&amp;CF20,$BC$6:$BC$53,INDEX(T_Equipos[Grupo],MATCH(BD20,T_Equipos[NombreEquipo],0)))</f>
        <v>1</v>
      </c>
      <c r="CH20" s="755" t="str">
        <f ca="1">IF(COUNTIFS($CG$6:$CG$53,CG20,$BC$6:$BC$53,INDEX(T_Equipos[Grupo],MATCH(BD20,T_Equipos[NombreEquipo],0)))=1,"-","P."&amp;CG20&amp;" ("&amp;COUNTIFS($CG$6:$CG$53,CG20,$BC$6:$BC$53,INDEX(T_Equipos[Grupo],MATCH(BD20,T_Equipos[NombreEquipo],0)))&amp;")")</f>
        <v>P.1 (4)</v>
      </c>
      <c r="CI20" s="756">
        <f t="shared" ca="1" si="44"/>
        <v>0</v>
      </c>
      <c r="CJ20" s="756">
        <f t="shared" ca="1" si="45"/>
        <v>0</v>
      </c>
      <c r="CK20" s="756">
        <f t="shared" ca="1" si="46"/>
        <v>0</v>
      </c>
      <c r="CL20" s="756">
        <f t="shared" ca="1" si="47"/>
        <v>0</v>
      </c>
      <c r="CM20" s="756">
        <f ca="1">CG20+COUNTIFS($CH$6:$CH$53,CH20,$CL$6:CL$53,"&gt;"&amp;CL20,$BC$6:$BC$53,INDEX(T_Equipos[Grupo],MATCH(BD20,T_Equipos[NombreEquipo],0)))</f>
        <v>1</v>
      </c>
      <c r="CN20" s="755" t="str">
        <f ca="1">IF(COUNTIFS($CM$6:$CM$53,CM20,$BC$6:$BC$53,INDEX(T_Equipos[Grupo],MATCH(BD20,T_Equipos[NombreEquipo],0)))=1,"-","P."&amp;CM20&amp;" ("&amp;COUNTIFS($CM$6:$CM$53,CM20,$BC$6:$BC$53,INDEX(T_Equipos[Grupo],MATCH(BD20,T_Equipos[NombreEquipo],0)))&amp;")")</f>
        <v>P.1 (4)</v>
      </c>
      <c r="CO20" s="756">
        <f t="shared" ca="1" si="48"/>
        <v>0</v>
      </c>
      <c r="CP20" s="756">
        <f t="shared" ca="1" si="49"/>
        <v>0</v>
      </c>
      <c r="CQ20" s="756">
        <f t="shared" ca="1" si="50"/>
        <v>0</v>
      </c>
      <c r="CR20" s="756">
        <f ca="1">CM20+COUNTIFS($CN$6:$CN$53,CN20,$CQ$6:CQ$53,"&gt;"&amp;CQ20,$BC$6:$BC$53,INDEX(T_Equipos[Grupo],MATCH(BD20,T_Equipos[NombreEquipo],0)))</f>
        <v>1</v>
      </c>
      <c r="CS20" s="755" t="str">
        <f ca="1">IF(COUNTIFS($CR$6:$CR$53,CR20,$BC$6:$BC$53,INDEX(T_Equipos[Grupo],MATCH(BD20,T_Equipos[NombreEquipo],0)))=1,"-","P."&amp;CR20&amp;" ("&amp;COUNTIFS($CR$6:$CR$53,CR20,$BC$6:$BC$53,INDEX(T_Equipos[Grupo],MATCH(BD20,T_Equipos[NombreEquipo],0)))&amp;")")</f>
        <v>P.1 (4)</v>
      </c>
      <c r="CT20" s="756">
        <f t="shared" ca="1" si="51"/>
        <v>0</v>
      </c>
      <c r="CU20" s="756">
        <f ca="1">CR20+COUNTIFS($CS$6:$CS$53,CS20,$CT$6:CT$53,"&gt;"&amp;CT20,$BC$6:$BC$53,INDEX(T_Equipos[Grupo],MATCH(BD20,T_Equipos[NombreEquipo],0)))</f>
        <v>1</v>
      </c>
      <c r="CV20" s="755" t="str">
        <f ca="1">IF(COUNTIFS($CU$6:$CU$53,CU20,$BC$6:$BC$53,INDEX(T_Equipos[Grupo],MATCH(BD20,T_Equipos[NombreEquipo],0)))=1,"-","P."&amp;CU20&amp;" ("&amp;COUNTIFS($CU$6:$CU$53,CU20,$BC$6:$BC$53,INDEX(T_Equipos[Grupo],MATCH(BD20,T_Equipos[NombreEquipo],0)))&amp;")")</f>
        <v>P.1 (4)</v>
      </c>
      <c r="CW20" s="755">
        <f t="shared" ca="1" si="30"/>
        <v>0</v>
      </c>
      <c r="CX20" s="755">
        <f ca="1">CU20+COUNTIFS($CV$6:$CV$53,CV20,$CW$6:CW$53,"&gt;"&amp;CW20,$BC$6:$BC$53,INDEX(T_Equipos[Grupo],MATCH(BD20,T_Equipos[NombreEquipo],0)))</f>
        <v>1</v>
      </c>
      <c r="CY20" s="755" t="str">
        <f ca="1">IF(COUNTIFS($CX$6:$CX$53,CX20,$BC$6:$BC$53,INDEX(T_Equipos[Grupo],MATCH(BD20,T_Equipos[NombreEquipo],0)))=1,"-","P."&amp;CX20&amp;" ("&amp;COUNTIFS($CX$6:$CX$53,CX20,$BC$6:$BC$53,INDEX(T_Equipos[Grupo],MATCH(BD20,T_Equipos[NombreEquipo],0)))&amp;")")</f>
        <v>P.1 (4)</v>
      </c>
      <c r="CZ20" s="755">
        <f t="shared" ca="1" si="31"/>
        <v>0</v>
      </c>
      <c r="DA20" s="756">
        <f ca="1">CX20+COUNTIFS($CY$6:$CY$53,CY20,$CZ$6:CZ$53,"&gt;"&amp;CZ20,$BC$6:$BC$53,INDEX(T_Equipos[Grupo],MATCH(BD20,T_Equipos[NombreEquipo],0)))</f>
        <v>1</v>
      </c>
      <c r="DB20" s="755" t="str">
        <f ca="1">IF(COUNTIFS($DA$6:$DA$53,DA20,$BC$6:$BC$53,INDEX(T_Equipos[Grupo],MATCH(BD20,T_Equipos[NombreEquipo],0)))=1,"-","P."&amp;DA20&amp;" ("&amp;COUNTIFS($DA$6:$DA$53,DA20,$BC$6:$BC$53,INDEX(T_Equipos[Grupo],MATCH(BD20,T_Equipos[NombreEquipo],0)))&amp;")")</f>
        <v>P.1 (4)</v>
      </c>
      <c r="DC20" s="754">
        <f ca="1">IF(DB20="-","-",COUNTIFS(T_Equipos[Rank],"&lt;"&amp;INDEX(T_Equipos[Rank],MATCH(BD20,T_Equipos[NombreEquipo],0)),$BC$6:$BC$53,INDEX(T_Equipos[Grupo],MATCH(BD20,T_Equipos[NombreEquipo],0)))+1)</f>
        <v>3</v>
      </c>
      <c r="DD20" s="754">
        <f ca="1">DA20+COUNTIFS($DB$6:$DB$53,DB20,$DC$6:DC$53,"&lt;"&amp;DC20,$BC$6:$BC$53,INDEX(T_Equipos[Grupo],MATCH(BD20,T_Equipos[NombreEquipo],0)))</f>
        <v>3</v>
      </c>
      <c r="DE20" s="754"/>
      <c r="DF20" s="754">
        <f t="shared" ca="1" si="52"/>
        <v>3</v>
      </c>
      <c r="DG20" s="754">
        <f ca="1">IF(DB20="-","-",COUNTIFS(DF$6:DF$53,"&lt;"&amp;DF20,$BC$6:$BC$53,INDEX(T_Equipos[Grupo],MATCH(BD20,T_Equipos[NombreEquipo],0))))</f>
        <v>2</v>
      </c>
      <c r="DH20" s="754">
        <f ca="1">DA20+COUNTIFS(DB$6:DB$53,DB20,DG$6:DG$53,"&lt;"&amp;DG20,$BC$6:$BC$53,INDEX(T_Equipos[Grupo],MATCH(BD20,T_Equipos[NombreEquipo],0)))</f>
        <v>3</v>
      </c>
      <c r="DI20" s="742"/>
      <c r="DJ20" s="742">
        <f t="shared" ca="1" si="53"/>
        <v>1</v>
      </c>
      <c r="DK20" s="742">
        <f t="shared" ca="1" si="24"/>
        <v>0</v>
      </c>
      <c r="DL20" s="742">
        <f t="shared" ca="1" si="33"/>
        <v>1</v>
      </c>
      <c r="DM20" s="736" t="str">
        <f t="shared" ca="1" si="34"/>
        <v>1.1</v>
      </c>
      <c r="DN20" s="742" cm="1">
        <f t="array" aca="1" ref="DN20" ca="1">OFFSET(Horarios!$P$3,DJ20-1,0,DL20,1)</f>
        <v>1</v>
      </c>
      <c r="DO20" s="742"/>
      <c r="DP20" s="742" t="s">
        <v>92</v>
      </c>
      <c r="DQ20" s="742" t="str">
        <f t="shared" ca="1" si="35"/>
        <v>Australia</v>
      </c>
      <c r="DR20" s="742"/>
      <c r="DS20" s="742"/>
      <c r="DT20" s="742" t="str">
        <f t="shared" ca="1" si="15"/>
        <v>Brasil-Marruecos</v>
      </c>
      <c r="DU20" s="742"/>
      <c r="DV20" s="742"/>
      <c r="DW20" s="8"/>
    </row>
    <row r="21" spans="1:127" ht="15.95" customHeight="1">
      <c r="A21" s="743" t="str">
        <f ca="1">+Equipos!B10</f>
        <v>Brasil</v>
      </c>
      <c r="B21" s="740"/>
      <c r="C21" s="740"/>
      <c r="D21" s="742" t="str">
        <f t="shared" si="73"/>
        <v>Pendiente</v>
      </c>
      <c r="E21" s="742" t="str">
        <f t="shared" si="74"/>
        <v>-</v>
      </c>
      <c r="F21" s="742" t="str">
        <f t="shared" si="75"/>
        <v>-</v>
      </c>
      <c r="G21" s="742"/>
      <c r="H21" s="742" t="str">
        <f t="shared" si="76"/>
        <v>-</v>
      </c>
      <c r="I21" s="742" t="str">
        <f t="shared" si="77"/>
        <v>-</v>
      </c>
      <c r="J21" s="742"/>
      <c r="K21" s="742" t="str">
        <f t="shared" si="78"/>
        <v>-</v>
      </c>
      <c r="L21" s="742" t="str">
        <f t="shared" si="79"/>
        <v>-</v>
      </c>
      <c r="M21" s="742"/>
      <c r="N21" s="742" t="str">
        <f t="shared" si="80"/>
        <v>-</v>
      </c>
      <c r="O21" s="742" t="str">
        <f t="shared" si="81"/>
        <v>-</v>
      </c>
      <c r="P21" s="742"/>
      <c r="Q21" s="742" t="str">
        <f t="shared" si="82"/>
        <v>-</v>
      </c>
      <c r="R21" s="742" t="str">
        <f t="shared" si="83"/>
        <v>-</v>
      </c>
      <c r="S21" s="742"/>
      <c r="T21" s="742" t="str">
        <f t="shared" si="84"/>
        <v>-</v>
      </c>
      <c r="U21" s="742" t="str">
        <f t="shared" si="85"/>
        <v>-</v>
      </c>
      <c r="V21" s="172"/>
      <c r="W21" s="837"/>
      <c r="X21" s="189">
        <f ca="1">Horarios!C21</f>
        <v>46186.875</v>
      </c>
      <c r="Y21" s="190">
        <f ca="1">Horarios!C21</f>
        <v>46186.875</v>
      </c>
      <c r="Z21" s="191" t="str">
        <f>$Z$4</f>
        <v>J1</v>
      </c>
      <c r="AA21" s="192" t="str">
        <f ca="1">A23</f>
        <v>Haití</v>
      </c>
      <c r="AB21" s="478" t="str" cm="1">
        <f t="array" aca="1" ref="AB21" ca="1">Ver_flag_local</f>
        <v/>
      </c>
      <c r="AC21" s="193"/>
      <c r="AD21" s="194"/>
      <c r="AE21" s="483" t="str" cm="1">
        <f t="array" aca="1" ref="AE21" ca="1">Ver_flag_visit</f>
        <v/>
      </c>
      <c r="AF21" s="195" t="str">
        <f ca="1">A24</f>
        <v>Escocia</v>
      </c>
      <c r="AG21" s="413">
        <f t="shared" si="86"/>
        <v>0</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2"/>
      <c r="BC21" s="754" t="str">
        <f ca="1">+INDEX(T_Equipos[Grupo],MATCH(WORLDCUP!BD21,T_Equipos[NombreEquipo],0))</f>
        <v>D</v>
      </c>
      <c r="BD21" s="742" t="str">
        <f ca="1">+Equipos!B17</f>
        <v>Turquía</v>
      </c>
      <c r="BE21" s="746">
        <f t="shared" ca="1" si="25"/>
        <v>0</v>
      </c>
      <c r="BF21" s="746">
        <f t="shared" ca="1" si="26"/>
        <v>0</v>
      </c>
      <c r="BG21" s="746">
        <f t="shared" ca="1" si="17"/>
        <v>0</v>
      </c>
      <c r="BH21" s="746">
        <f t="shared" ca="1" si="18"/>
        <v>0</v>
      </c>
      <c r="BI21" s="746">
        <f t="shared" ca="1" si="19"/>
        <v>0</v>
      </c>
      <c r="BJ21" s="746">
        <f t="shared" ca="1" si="20"/>
        <v>0</v>
      </c>
      <c r="BK21" s="746">
        <f t="shared" ca="1" si="21"/>
        <v>0</v>
      </c>
      <c r="BL21" s="746">
        <f t="shared" ca="1" si="27"/>
        <v>0</v>
      </c>
      <c r="BM21" s="746" t="str">
        <f t="shared" ca="1" si="22"/>
        <v>4D</v>
      </c>
      <c r="BN21" s="746" t="str">
        <f t="shared" ca="1" si="23"/>
        <v>4D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0</v>
      </c>
      <c r="BS21" s="755">
        <f ca="1">BP21+COUNTIFS($BQ$6:$BQ$53,BQ21,$BR$6:BR$53,"&gt;"&amp;BR21,$BC$6:$BC$53,INDEX(T_Equipos[Grupo],MATCH(BD21,T_Equipos[NombreEquipo],0)))</f>
        <v>1</v>
      </c>
      <c r="BT21" s="755" t="str">
        <f ca="1">IF(COUNTIFS($BS$6:$BS$53,BS21,$BC$6:$BC$53,INDEX(T_Equipos[Grupo],MATCH(BD21,T_Equipos[NombreEquipo],0)))=1,"-","P."&amp;BS21&amp;" ("&amp;COUNTIFS($BS$6:$BS$53,BS21,$BC$6:$BC$53,INDEX(T_Equipos[Grupo],MATCH(BD21,T_Equipos[NombreEquipo],0)))&amp;")")</f>
        <v>P.1 (4)</v>
      </c>
      <c r="BU21" s="756">
        <f t="shared" ca="1" si="36"/>
        <v>0</v>
      </c>
      <c r="BV21" s="756">
        <f t="shared" ca="1" si="37"/>
        <v>0</v>
      </c>
      <c r="BW21" s="756">
        <f t="shared" ca="1" si="38"/>
        <v>0</v>
      </c>
      <c r="BX21" s="756">
        <f t="shared" ca="1" si="39"/>
        <v>0</v>
      </c>
      <c r="BY21" s="756">
        <f ca="1">BS21+COUNTIFS($BT$6:$BT$53,BT21,$BX$6:BX$53,"&gt;"&amp;BX21,$BC$6:$BC$53,INDEX(T_Equipos[Grupo],MATCH(BD21,T_Equipos[NombreEquipo],0)))</f>
        <v>1</v>
      </c>
      <c r="BZ21" s="755" t="str">
        <f ca="1">IF(COUNTIFS($BY$6:$BY$53,BY21,$BC$6:$BC$53,INDEX(T_Equipos[Grupo],MATCH(BD21,T_Equipos[NombreEquipo],0)))=1,"-","P."&amp;BY21&amp;" ("&amp;COUNTIFS($BY$6:$BY$53,BY21,$BC$6:$BC$53,INDEX(T_Equipos[Grupo],MATCH(BD21,T_Equipos[NombreEquipo],0)))&amp;")")</f>
        <v>P.1 (4)</v>
      </c>
      <c r="CA21" s="756">
        <f t="shared" ca="1" si="40"/>
        <v>0</v>
      </c>
      <c r="CB21" s="756">
        <f t="shared" ca="1" si="41"/>
        <v>0</v>
      </c>
      <c r="CC21" s="756">
        <f t="shared" ca="1" si="42"/>
        <v>0</v>
      </c>
      <c r="CD21" s="756">
        <f ca="1">BY21+COUNTIFS($BZ$6:$BZ$53,BZ21,$CC$6:CC$53,"&gt;"&amp;CC21,$BC$6:$BC$53,INDEX(T_Equipos[Grupo],MATCH(BD21,T_Equipos[NombreEquipo],0)))</f>
        <v>1</v>
      </c>
      <c r="CE21" s="755" t="str">
        <f ca="1">IF(COUNTIFS($CD$6:$CD$53,CD21,$BC$6:$BC$53,INDEX(T_Equipos[Grupo],MATCH(BD21,T_Equipos[NombreEquipo],0)))=1,"-","P."&amp;CD21&amp;" ("&amp;COUNTIFS($CD$6:$CD$53,CD21,$BC$6:$BC$53,INDEX(T_Equipos[Grupo],MATCH(BD21,T_Equipos[NombreEquipo],0)))&amp;")")</f>
        <v>P.1 (4)</v>
      </c>
      <c r="CF21" s="756">
        <f t="shared" ca="1" si="43"/>
        <v>0</v>
      </c>
      <c r="CG21" s="756">
        <f ca="1">CD21+COUNTIFS($CE$6:$CE$53,CE21,$CF$6:CF$53,"&gt;"&amp;CF21,$BC$6:$BC$53,INDEX(T_Equipos[Grupo],MATCH(BD21,T_Equipos[NombreEquipo],0)))</f>
        <v>1</v>
      </c>
      <c r="CH21" s="755" t="str">
        <f ca="1">IF(COUNTIFS($CG$6:$CG$53,CG21,$BC$6:$BC$53,INDEX(T_Equipos[Grupo],MATCH(BD21,T_Equipos[NombreEquipo],0)))=1,"-","P."&amp;CG21&amp;" ("&amp;COUNTIFS($CG$6:$CG$53,CG21,$BC$6:$BC$53,INDEX(T_Equipos[Grupo],MATCH(BD21,T_Equipos[NombreEquipo],0)))&amp;")")</f>
        <v>P.1 (4)</v>
      </c>
      <c r="CI21" s="756">
        <f t="shared" ca="1" si="44"/>
        <v>0</v>
      </c>
      <c r="CJ21" s="756">
        <f t="shared" ca="1" si="45"/>
        <v>0</v>
      </c>
      <c r="CK21" s="756">
        <f t="shared" ca="1" si="46"/>
        <v>0</v>
      </c>
      <c r="CL21" s="756">
        <f t="shared" ca="1" si="47"/>
        <v>0</v>
      </c>
      <c r="CM21" s="756">
        <f ca="1">CG21+COUNTIFS($CH$6:$CH$53,CH21,$CL$6:CL$53,"&gt;"&amp;CL21,$BC$6:$BC$53,INDEX(T_Equipos[Grupo],MATCH(BD21,T_Equipos[NombreEquipo],0)))</f>
        <v>1</v>
      </c>
      <c r="CN21" s="755" t="str">
        <f ca="1">IF(COUNTIFS($CM$6:$CM$53,CM21,$BC$6:$BC$53,INDEX(T_Equipos[Grupo],MATCH(BD21,T_Equipos[NombreEquipo],0)))=1,"-","P."&amp;CM21&amp;" ("&amp;COUNTIFS($CM$6:$CM$53,CM21,$BC$6:$BC$53,INDEX(T_Equipos[Grupo],MATCH(BD21,T_Equipos[NombreEquipo],0)))&amp;")")</f>
        <v>P.1 (4)</v>
      </c>
      <c r="CO21" s="756">
        <f t="shared" ca="1" si="48"/>
        <v>0</v>
      </c>
      <c r="CP21" s="756">
        <f t="shared" ca="1" si="49"/>
        <v>0</v>
      </c>
      <c r="CQ21" s="756">
        <f t="shared" ca="1" si="50"/>
        <v>0</v>
      </c>
      <c r="CR21" s="756">
        <f ca="1">CM21+COUNTIFS($CN$6:$CN$53,CN21,$CQ$6:CQ$53,"&gt;"&amp;CQ21,$BC$6:$BC$53,INDEX(T_Equipos[Grupo],MATCH(BD21,T_Equipos[NombreEquipo],0)))</f>
        <v>1</v>
      </c>
      <c r="CS21" s="755" t="str">
        <f ca="1">IF(COUNTIFS($CR$6:$CR$53,CR21,$BC$6:$BC$53,INDEX(T_Equipos[Grupo],MATCH(BD21,T_Equipos[NombreEquipo],0)))=1,"-","P."&amp;CR21&amp;" ("&amp;COUNTIFS($CR$6:$CR$53,CR21,$BC$6:$BC$53,INDEX(T_Equipos[Grupo],MATCH(BD21,T_Equipos[NombreEquipo],0)))&amp;")")</f>
        <v>P.1 (4)</v>
      </c>
      <c r="CT21" s="756">
        <f t="shared" ca="1" si="51"/>
        <v>0</v>
      </c>
      <c r="CU21" s="756">
        <f ca="1">CR21+COUNTIFS($CS$6:$CS$53,CS21,$CT$6:CT$53,"&gt;"&amp;CT21,$BC$6:$BC$53,INDEX(T_Equipos[Grupo],MATCH(BD21,T_Equipos[NombreEquipo],0)))</f>
        <v>1</v>
      </c>
      <c r="CV21" s="755" t="str">
        <f ca="1">IF(COUNTIFS($CU$6:$CU$53,CU21,$BC$6:$BC$53,INDEX(T_Equipos[Grupo],MATCH(BD21,T_Equipos[NombreEquipo],0)))=1,"-","P."&amp;CU21&amp;" ("&amp;COUNTIFS($CU$6:$CU$53,CU21,$BC$6:$BC$53,INDEX(T_Equipos[Grupo],MATCH(BD21,T_Equipos[NombreEquipo],0)))&amp;")")</f>
        <v>P.1 (4)</v>
      </c>
      <c r="CW21" s="755">
        <f t="shared" ca="1" si="30"/>
        <v>0</v>
      </c>
      <c r="CX21" s="755">
        <f ca="1">CU21+COUNTIFS($CV$6:$CV$53,CV21,$CW$6:CW$53,"&gt;"&amp;CW21,$BC$6:$BC$53,INDEX(T_Equipos[Grupo],MATCH(BD21,T_Equipos[NombreEquipo],0)))</f>
        <v>1</v>
      </c>
      <c r="CY21" s="755" t="str">
        <f ca="1">IF(COUNTIFS($CX$6:$CX$53,CX21,$BC$6:$BC$53,INDEX(T_Equipos[Grupo],MATCH(BD21,T_Equipos[NombreEquipo],0)))=1,"-","P."&amp;CX21&amp;" ("&amp;COUNTIFS($CX$6:$CX$53,CX21,$BC$6:$BC$53,INDEX(T_Equipos[Grupo],MATCH(BD21,T_Equipos[NombreEquipo],0)))&amp;")")</f>
        <v>P.1 (4)</v>
      </c>
      <c r="CZ21" s="755">
        <f t="shared" ca="1" si="31"/>
        <v>0</v>
      </c>
      <c r="DA21" s="756">
        <f ca="1">CX21+COUNTIFS($CY$6:$CY$53,CY21,$CZ$6:CZ$53,"&gt;"&amp;CZ21,$BC$6:$BC$53,INDEX(T_Equipos[Grupo],MATCH(BD21,T_Equipos[NombreEquipo],0)))</f>
        <v>1</v>
      </c>
      <c r="DB21" s="755" t="str">
        <f ca="1">IF(COUNTIFS($DA$6:$DA$53,DA21,$BC$6:$BC$53,INDEX(T_Equipos[Grupo],MATCH(BD21,T_Equipos[NombreEquipo],0)))=1,"-","P."&amp;DA21&amp;" ("&amp;COUNTIFS($DA$6:$DA$53,DA21,$BC$6:$BC$53,INDEX(T_Equipos[Grupo],MATCH(BD21,T_Equipos[NombreEquipo],0)))&amp;")")</f>
        <v>P.1 (4)</v>
      </c>
      <c r="DC21" s="754">
        <f ca="1">IF(DB21="-","-",COUNTIFS(T_Equipos[Rank],"&lt;"&amp;INDEX(T_Equipos[Rank],MATCH(BD21,T_Equipos[NombreEquipo],0)),$BC$6:$BC$53,INDEX(T_Equipos[Grupo],MATCH(BD21,T_Equipos[NombreEquipo],0)))+1)</f>
        <v>4</v>
      </c>
      <c r="DD21" s="754">
        <f ca="1">DA21+COUNTIFS($DB$6:$DB$53,DB21,$DC$6:DC$53,"&lt;"&amp;DC21,$BC$6:$BC$53,INDEX(T_Equipos[Grupo],MATCH(BD21,T_Equipos[NombreEquipo],0)))</f>
        <v>4</v>
      </c>
      <c r="DE21" s="754"/>
      <c r="DF21" s="754">
        <f t="shared" ca="1" si="52"/>
        <v>4</v>
      </c>
      <c r="DG21" s="754">
        <f ca="1">IF(DB21="-","-",COUNTIFS(DF$6:DF$53,"&lt;"&amp;DF21,$BC$6:$BC$53,INDEX(T_Equipos[Grupo],MATCH(BD21,T_Equipos[NombreEquipo],0))))</f>
        <v>3</v>
      </c>
      <c r="DH21" s="754">
        <f ca="1">DA21+COUNTIFS(DB$6:DB$53,DB21,DG$6:DG$53,"&lt;"&amp;DG21,$BC$6:$BC$53,INDEX(T_Equipos[Grupo],MATCH(BD21,T_Equipos[NombreEquipo],0)))</f>
        <v>4</v>
      </c>
      <c r="DI21" s="742"/>
      <c r="DJ21" s="742">
        <f t="shared" ca="1" si="53"/>
        <v>1</v>
      </c>
      <c r="DK21" s="742">
        <f t="shared" ca="1" si="24"/>
        <v>0</v>
      </c>
      <c r="DL21" s="742">
        <f t="shared" ca="1" si="33"/>
        <v>1</v>
      </c>
      <c r="DM21" s="736" t="str">
        <f t="shared" ca="1" si="34"/>
        <v>1.1</v>
      </c>
      <c r="DN21" s="742" cm="1">
        <f t="array" aca="1" ref="DN21" ca="1">OFFSET(Horarios!$P$3,DJ21-1,0,DL21,1)</f>
        <v>1</v>
      </c>
      <c r="DO21" s="742"/>
      <c r="DP21" s="742" t="s">
        <v>660</v>
      </c>
      <c r="DQ21" s="742" t="str">
        <f t="shared" ca="1" si="35"/>
        <v>Turquía</v>
      </c>
      <c r="DR21" s="742"/>
      <c r="DS21" s="742"/>
      <c r="DT21" s="742" t="str">
        <f t="shared" ca="1" si="15"/>
        <v>Haití-Escocia</v>
      </c>
      <c r="DU21" s="742"/>
      <c r="DV21" s="742"/>
      <c r="DW21" s="8"/>
    </row>
    <row r="22" spans="1:127" ht="15.95" customHeight="1">
      <c r="A22" s="743" t="str">
        <f ca="1">+Equipos!B11</f>
        <v>Marruecos</v>
      </c>
      <c r="B22" s="740"/>
      <c r="C22" s="744"/>
      <c r="D22" s="742" t="str">
        <f t="shared" si="73"/>
        <v>Pendiente</v>
      </c>
      <c r="E22" s="742" t="str">
        <f t="shared" si="74"/>
        <v>-</v>
      </c>
      <c r="F22" s="742" t="str">
        <f t="shared" si="75"/>
        <v>-</v>
      </c>
      <c r="G22" s="742"/>
      <c r="H22" s="742" t="str">
        <f t="shared" si="76"/>
        <v>-</v>
      </c>
      <c r="I22" s="742" t="str">
        <f t="shared" si="77"/>
        <v>-</v>
      </c>
      <c r="J22" s="742"/>
      <c r="K22" s="742" t="str">
        <f t="shared" si="78"/>
        <v>-</v>
      </c>
      <c r="L22" s="742" t="str">
        <f t="shared" si="79"/>
        <v>-</v>
      </c>
      <c r="M22" s="742"/>
      <c r="N22" s="742" t="str">
        <f t="shared" si="80"/>
        <v>-</v>
      </c>
      <c r="O22" s="742" t="str">
        <f t="shared" si="81"/>
        <v>-</v>
      </c>
      <c r="P22" s="742"/>
      <c r="Q22" s="742" t="str">
        <f t="shared" si="82"/>
        <v>-</v>
      </c>
      <c r="R22" s="742" t="str">
        <f t="shared" si="83"/>
        <v>-</v>
      </c>
      <c r="S22" s="742"/>
      <c r="T22" s="742" t="str">
        <f t="shared" si="84"/>
        <v>-</v>
      </c>
      <c r="U22" s="742" t="str">
        <f t="shared" si="85"/>
        <v>-</v>
      </c>
      <c r="V22" s="172"/>
      <c r="W22" s="837"/>
      <c r="X22" s="189">
        <f ca="1">Horarios!C22</f>
        <v>46192.75</v>
      </c>
      <c r="Y22" s="190">
        <f ca="1">Horarios!C22</f>
        <v>46192.75</v>
      </c>
      <c r="Z22" s="191" t="str">
        <f>$Z$6</f>
        <v>J2</v>
      </c>
      <c r="AA22" s="192" t="str">
        <f ca="1">A24</f>
        <v>Escocia</v>
      </c>
      <c r="AB22" s="478" t="str" cm="1">
        <f t="array" aca="1" ref="AB22" ca="1">Ver_flag_local</f>
        <v/>
      </c>
      <c r="AC22" s="193"/>
      <c r="AD22" s="194"/>
      <c r="AE22" s="483" t="str" cm="1">
        <f t="array" aca="1" ref="AE22" ca="1">Ver_flag_visit</f>
        <v/>
      </c>
      <c r="AF22" s="195" t="str">
        <f ca="1">A22</f>
        <v>Marruecos</v>
      </c>
      <c r="AG22" s="413">
        <f t="shared" si="86"/>
        <v>0</v>
      </c>
      <c r="AH22" s="196">
        <v>30</v>
      </c>
      <c r="AI22" s="19" t="str">
        <f>AJ22&amp;$B$20</f>
        <v>1C</v>
      </c>
      <c r="AJ22" s="211">
        <v>1</v>
      </c>
      <c r="AK22" s="488" t="str" cm="1">
        <f t="array" aca="1" ref="AK22" ca="1">Ver_flag_visit</f>
        <v/>
      </c>
      <c r="AL22" s="212" t="str">
        <f ca="1">IFERROR(INDEX($BD$6:$BD$53,MATCH(AI22,$BN$6:$BN$53,0)),"")</f>
        <v>Brasil</v>
      </c>
      <c r="AM22" s="213">
        <f t="shared" ref="AM22:AT25" ca="1" si="90">INDEX($BE$6:$BN$53,MATCH($AL22,$BD$6:$BD$53,0),MATCH(AM$5,$BE$5:$BN$5,0))</f>
        <v>0</v>
      </c>
      <c r="AN22" s="214">
        <f t="shared" ca="1" si="90"/>
        <v>0</v>
      </c>
      <c r="AO22" s="214">
        <f t="shared" ca="1" si="90"/>
        <v>0</v>
      </c>
      <c r="AP22" s="214">
        <f t="shared" ca="1" si="90"/>
        <v>0</v>
      </c>
      <c r="AQ22" s="214">
        <f t="shared" ca="1" si="90"/>
        <v>0</v>
      </c>
      <c r="AR22" s="214">
        <f t="shared" ca="1" si="90"/>
        <v>0</v>
      </c>
      <c r="AS22" s="214">
        <f t="shared" ca="1" si="90"/>
        <v>0</v>
      </c>
      <c r="AT22" s="215">
        <f t="shared" ca="1" si="90"/>
        <v>0</v>
      </c>
      <c r="AU22" s="420">
        <f ca="1">INDEX($DL$6:$DL$53,MATCH(AI22,$DP$6:$DP$53,0))</f>
        <v>1</v>
      </c>
      <c r="AV22" s="217" t="str">
        <f ca="1">INDEX($BD$6:$BD$53,MATCH(AI22,$BM$6:$BM$53,0))</f>
        <v>Brasil</v>
      </c>
      <c r="AW22" s="427"/>
      <c r="AX22" s="218"/>
      <c r="AY22" s="219" t="str">
        <f ca="1">+A21</f>
        <v>Brasil</v>
      </c>
      <c r="AZ22" s="220"/>
      <c r="BA22" s="175"/>
      <c r="BB22" s="742"/>
      <c r="BC22" s="754" t="str">
        <f ca="1">+INDEX(T_Equipos[Grupo],MATCH(WORLDCUP!BD22,T_Equipos[NombreEquipo],0))</f>
        <v>E</v>
      </c>
      <c r="BD22" s="742" t="str">
        <f ca="1">+Equipos!B18</f>
        <v>Alemania</v>
      </c>
      <c r="BE22" s="746">
        <f t="shared" ca="1" si="25"/>
        <v>0</v>
      </c>
      <c r="BF22" s="746">
        <f t="shared" ca="1" si="26"/>
        <v>0</v>
      </c>
      <c r="BG22" s="746">
        <f t="shared" ca="1" si="17"/>
        <v>0</v>
      </c>
      <c r="BH22" s="746">
        <f t="shared" ca="1" si="18"/>
        <v>0</v>
      </c>
      <c r="BI22" s="746">
        <f t="shared" ca="1" si="19"/>
        <v>0</v>
      </c>
      <c r="BJ22" s="746">
        <f t="shared" ca="1" si="20"/>
        <v>0</v>
      </c>
      <c r="BK22" s="746">
        <f t="shared" ca="1" si="21"/>
        <v>0</v>
      </c>
      <c r="BL22" s="746">
        <f t="shared" ca="1" si="27"/>
        <v>0</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0</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(4)</v>
      </c>
      <c r="BU22" s="756">
        <f t="shared" ca="1" si="36"/>
        <v>0</v>
      </c>
      <c r="BV22" s="756">
        <f t="shared" ca="1" si="37"/>
        <v>0</v>
      </c>
      <c r="BW22" s="756">
        <f t="shared" ca="1" si="38"/>
        <v>0</v>
      </c>
      <c r="BX22" s="756">
        <f t="shared" ca="1" si="39"/>
        <v>0</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P.1 (4)</v>
      </c>
      <c r="CA22" s="756">
        <f t="shared" ca="1" si="40"/>
        <v>0</v>
      </c>
      <c r="CB22" s="756">
        <f t="shared" ca="1" si="41"/>
        <v>0</v>
      </c>
      <c r="CC22" s="756">
        <f t="shared" ca="1" si="42"/>
        <v>0</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P.1 (4)</v>
      </c>
      <c r="CF22" s="756">
        <f t="shared" ca="1" si="43"/>
        <v>0</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P.1 (4)</v>
      </c>
      <c r="CI22" s="756">
        <f t="shared" ca="1" si="44"/>
        <v>0</v>
      </c>
      <c r="CJ22" s="756">
        <f t="shared" ca="1" si="45"/>
        <v>0</v>
      </c>
      <c r="CK22" s="756">
        <f t="shared" ca="1" si="46"/>
        <v>0</v>
      </c>
      <c r="CL22" s="756">
        <f t="shared" ca="1" si="47"/>
        <v>0</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P.1 (4)</v>
      </c>
      <c r="CO22" s="756">
        <f t="shared" ca="1" si="48"/>
        <v>0</v>
      </c>
      <c r="CP22" s="756">
        <f t="shared" ca="1" si="49"/>
        <v>0</v>
      </c>
      <c r="CQ22" s="756">
        <f t="shared" ca="1" si="50"/>
        <v>0</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P.1 (4)</v>
      </c>
      <c r="CT22" s="756">
        <f t="shared" ca="1" si="51"/>
        <v>0</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P.1 (4)</v>
      </c>
      <c r="CW22" s="755">
        <f t="shared" ca="1" si="30"/>
        <v>0</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P.1 (4)</v>
      </c>
      <c r="CZ22" s="755">
        <f t="shared" ca="1" si="31"/>
        <v>0</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P.1 (4)</v>
      </c>
      <c r="DC22" s="754">
        <f ca="1">IF(DB22="-","-",COUNTIFS(T_Equipos[Rank],"&lt;"&amp;INDEX(T_Equipos[Rank],MATCH(BD22,T_Equipos[NombreEquipo],0)),$BC$6:$BC$53,INDEX(T_Equipos[Grupo],MATCH(BD22,T_Equipos[NombreEquipo],0)))+1)</f>
        <v>1</v>
      </c>
      <c r="DD22" s="754">
        <f ca="1">DA22+COUNTIFS($DB$6:$DB$53,DB22,$DC$6:DC$53,"&lt;"&amp;DC22,$BC$6:$BC$53,INDEX(T_Equipos[Grupo],MATCH(BD22,T_Equipos[NombreEquipo],0)))</f>
        <v>1</v>
      </c>
      <c r="DE22" s="754"/>
      <c r="DF22" s="754">
        <f t="shared" ca="1" si="52"/>
        <v>1</v>
      </c>
      <c r="DG22" s="754">
        <f ca="1">IF(DB22="-","-",COUNTIFS(DF$6:DF$53,"&lt;"&amp;DF22,$BC$6:$BC$53,INDEX(T_Equipos[Grupo],MATCH(BD22,T_Equipos[NombreEquipo],0))))</f>
        <v>0</v>
      </c>
      <c r="DH22" s="754">
        <f ca="1">DA22+COUNTIFS(DB$6:DB$53,DB22,DG$6:DG$53,"&lt;"&amp;DG22,$BC$6:$BC$53,INDEX(T_Equipos[Grupo],MATCH(BD22,T_Equipos[NombreEquipo],0)))</f>
        <v>1</v>
      </c>
      <c r="DI22" s="742"/>
      <c r="DJ22" s="742">
        <f t="shared" ca="1" si="53"/>
        <v>1</v>
      </c>
      <c r="DK22" s="742">
        <f t="shared" ca="1" si="24"/>
        <v>0</v>
      </c>
      <c r="DL22" s="742">
        <f t="shared" ca="1" si="33"/>
        <v>1</v>
      </c>
      <c r="DM22" s="736" t="str">
        <f t="shared" ca="1" si="34"/>
        <v>1.1</v>
      </c>
      <c r="DN22" s="742" cm="1">
        <f t="array" aca="1" ref="DN22" ca="1">OFFSET(Horarios!$P$3,DJ22-1,0,DL22,1)</f>
        <v>1</v>
      </c>
      <c r="DO22" s="742"/>
      <c r="DP22" s="742" t="s">
        <v>661</v>
      </c>
      <c r="DQ22" s="742" t="str">
        <f t="shared" ca="1" si="35"/>
        <v>Alemania</v>
      </c>
      <c r="DR22" s="742"/>
      <c r="DS22" s="742"/>
      <c r="DT22" s="742" t="str">
        <f t="shared" ca="1" si="15"/>
        <v>Escocia-Marruecos</v>
      </c>
      <c r="DU22" s="742"/>
      <c r="DV22" s="742"/>
      <c r="DW22" s="8"/>
    </row>
    <row r="23" spans="1:127" ht="15.95" customHeight="1">
      <c r="A23" s="743" t="str">
        <f ca="1">+Equipos!B12</f>
        <v>Haití</v>
      </c>
      <c r="B23" s="740"/>
      <c r="C23" s="742"/>
      <c r="D23" s="742" t="str">
        <f t="shared" si="73"/>
        <v>Pendiente</v>
      </c>
      <c r="E23" s="742" t="str">
        <f t="shared" si="74"/>
        <v>-</v>
      </c>
      <c r="F23" s="742" t="str">
        <f t="shared" si="75"/>
        <v>-</v>
      </c>
      <c r="G23" s="742"/>
      <c r="H23" s="742" t="str">
        <f t="shared" si="76"/>
        <v>-</v>
      </c>
      <c r="I23" s="742" t="str">
        <f t="shared" si="77"/>
        <v>-</v>
      </c>
      <c r="J23" s="742"/>
      <c r="K23" s="742" t="str">
        <f t="shared" si="78"/>
        <v>-</v>
      </c>
      <c r="L23" s="742" t="str">
        <f t="shared" si="79"/>
        <v>-</v>
      </c>
      <c r="M23" s="742"/>
      <c r="N23" s="742" t="str">
        <f t="shared" si="80"/>
        <v>-</v>
      </c>
      <c r="O23" s="742" t="str">
        <f t="shared" si="81"/>
        <v>-</v>
      </c>
      <c r="P23" s="742"/>
      <c r="Q23" s="742" t="str">
        <f t="shared" si="82"/>
        <v>-</v>
      </c>
      <c r="R23" s="742" t="str">
        <f t="shared" si="83"/>
        <v>-</v>
      </c>
      <c r="S23" s="742"/>
      <c r="T23" s="742" t="str">
        <f t="shared" si="84"/>
        <v>-</v>
      </c>
      <c r="U23" s="742" t="str">
        <f t="shared" si="85"/>
        <v>-</v>
      </c>
      <c r="V23" s="172"/>
      <c r="W23" s="837"/>
      <c r="X23" s="189">
        <f ca="1">Horarios!C23</f>
        <v>46192.854166666664</v>
      </c>
      <c r="Y23" s="190">
        <f ca="1">Horarios!C23</f>
        <v>46192.854166666664</v>
      </c>
      <c r="Z23" s="191" t="str">
        <f>$Z$6</f>
        <v>J2</v>
      </c>
      <c r="AA23" s="192" t="str">
        <f ca="1">A21</f>
        <v>Brasil</v>
      </c>
      <c r="AB23" s="478" t="str" cm="1">
        <f t="array" aca="1" ref="AB23" ca="1">Ver_flag_local</f>
        <v/>
      </c>
      <c r="AC23" s="193"/>
      <c r="AD23" s="194"/>
      <c r="AE23" s="483" t="str" cm="1">
        <f t="array" aca="1" ref="AE23" ca="1">Ver_flag_visit</f>
        <v/>
      </c>
      <c r="AF23" s="195" t="str">
        <f ca="1">A23</f>
        <v>Haití</v>
      </c>
      <c r="AG23" s="413">
        <f t="shared" si="86"/>
        <v>0</v>
      </c>
      <c r="AH23" s="196">
        <v>29</v>
      </c>
      <c r="AI23" s="19" t="str">
        <f t="shared" ref="AI23:AI25" si="91">AJ23&amp;$B$20</f>
        <v>2C</v>
      </c>
      <c r="AJ23" s="221">
        <v>2</v>
      </c>
      <c r="AK23" s="486" t="str" cm="1">
        <f t="array" aca="1" ref="AK23" ca="1">Ver_flag_visit</f>
        <v/>
      </c>
      <c r="AL23" s="222" t="str">
        <f ca="1">IFERROR(INDEX($BD$6:$BD$53,MATCH(AI23,$BN$6:$BN$53,0)),"")</f>
        <v>Marruecos</v>
      </c>
      <c r="AM23" s="223">
        <f t="shared" ca="1" si="90"/>
        <v>0</v>
      </c>
      <c r="AN23" s="224">
        <f t="shared" ca="1" si="90"/>
        <v>0</v>
      </c>
      <c r="AO23" s="224">
        <f t="shared" ca="1" si="90"/>
        <v>0</v>
      </c>
      <c r="AP23" s="224">
        <f t="shared" ca="1" si="90"/>
        <v>0</v>
      </c>
      <c r="AQ23" s="224">
        <f t="shared" ca="1" si="90"/>
        <v>0</v>
      </c>
      <c r="AR23" s="224">
        <f t="shared" ca="1" si="90"/>
        <v>0</v>
      </c>
      <c r="AS23" s="224">
        <f t="shared" ca="1" si="90"/>
        <v>0</v>
      </c>
      <c r="AT23" s="225">
        <f t="shared" ca="1" si="90"/>
        <v>0</v>
      </c>
      <c r="AU23" s="420">
        <f ca="1">INDEX($DL$6:$DL$53,MATCH(AI23,$DP$6:$DP$53,0))</f>
        <v>1</v>
      </c>
      <c r="AV23" s="217" t="str">
        <f ca="1">INDEX($BD$6:$BD$53,MATCH(AI23,$BM$6:$BM$53,0))</f>
        <v>Marruecos</v>
      </c>
      <c r="AW23" s="427"/>
      <c r="AX23" s="218"/>
      <c r="AY23" s="226" t="str">
        <f ca="1">+A22</f>
        <v>Marruecos</v>
      </c>
      <c r="AZ23" s="227"/>
      <c r="BA23" s="175"/>
      <c r="BB23" s="742"/>
      <c r="BC23" s="754" t="str">
        <f ca="1">+INDEX(T_Equipos[Grupo],MATCH(WORLDCUP!BD23,T_Equipos[NombreEquipo],0))</f>
        <v>E</v>
      </c>
      <c r="BD23" s="742" t="str">
        <f ca="1">+Equipos!B19</f>
        <v>Curazao</v>
      </c>
      <c r="BE23" s="746">
        <f t="shared" ca="1" si="25"/>
        <v>0</v>
      </c>
      <c r="BF23" s="746">
        <f t="shared" ca="1" si="26"/>
        <v>0</v>
      </c>
      <c r="BG23" s="746">
        <f t="shared" ca="1" si="17"/>
        <v>0</v>
      </c>
      <c r="BH23" s="746">
        <f t="shared" ca="1" si="18"/>
        <v>0</v>
      </c>
      <c r="BI23" s="746">
        <f t="shared" ca="1" si="19"/>
        <v>0</v>
      </c>
      <c r="BJ23" s="746">
        <f t="shared" ca="1" si="20"/>
        <v>0</v>
      </c>
      <c r="BK23" s="746">
        <f t="shared" ca="1" si="21"/>
        <v>0</v>
      </c>
      <c r="BL23" s="746">
        <f t="shared" ca="1" si="27"/>
        <v>0</v>
      </c>
      <c r="BM23" s="746" t="str">
        <f t="shared" ca="1" si="22"/>
        <v>2E</v>
      </c>
      <c r="BN23" s="746" t="str">
        <f t="shared" ca="1" si="23"/>
        <v>2E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0</v>
      </c>
      <c r="BS23" s="755">
        <f ca="1">BP23+COUNTIFS($BQ$6:$BQ$53,BQ23,$BR$6:BR$53,"&gt;"&amp;BR23,$BC$6:$BC$53,INDEX(T_Equipos[Grupo],MATCH(BD23,T_Equipos[NombreEquipo],0)))</f>
        <v>1</v>
      </c>
      <c r="BT23" s="755" t="str">
        <f ca="1">IF(COUNTIFS($BS$6:$BS$53,BS23,$BC$6:$BC$53,INDEX(T_Equipos[Grupo],MATCH(BD23,T_Equipos[NombreEquipo],0)))=1,"-","P."&amp;BS23&amp;" ("&amp;COUNTIFS($BS$6:$BS$53,BS23,$BC$6:$BC$53,INDEX(T_Equipos[Grupo],MATCH(BD23,T_Equipos[NombreEquipo],0)))&amp;")")</f>
        <v>P.1 (4)</v>
      </c>
      <c r="BU23" s="756">
        <f t="shared" ca="1" si="36"/>
        <v>0</v>
      </c>
      <c r="BV23" s="756">
        <f t="shared" ca="1" si="37"/>
        <v>0</v>
      </c>
      <c r="BW23" s="756">
        <f t="shared" ca="1" si="38"/>
        <v>0</v>
      </c>
      <c r="BX23" s="756">
        <f t="shared" ca="1" si="39"/>
        <v>0</v>
      </c>
      <c r="BY23" s="756">
        <f ca="1">BS23+COUNTIFS($BT$6:$BT$53,BT23,$BX$6:BX$53,"&gt;"&amp;BX23,$BC$6:$BC$53,INDEX(T_Equipos[Grupo],MATCH(BD23,T_Equipos[NombreEquipo],0)))</f>
        <v>1</v>
      </c>
      <c r="BZ23" s="755" t="str">
        <f ca="1">IF(COUNTIFS($BY$6:$BY$53,BY23,$BC$6:$BC$53,INDEX(T_Equipos[Grupo],MATCH(BD23,T_Equipos[NombreEquipo],0)))=1,"-","P."&amp;BY23&amp;" ("&amp;COUNTIFS($BY$6:$BY$53,BY23,$BC$6:$BC$53,INDEX(T_Equipos[Grupo],MATCH(BD23,T_Equipos[NombreEquipo],0)))&amp;")")</f>
        <v>P.1 (4)</v>
      </c>
      <c r="CA23" s="756">
        <f t="shared" ca="1" si="40"/>
        <v>0</v>
      </c>
      <c r="CB23" s="756">
        <f t="shared" ca="1" si="41"/>
        <v>0</v>
      </c>
      <c r="CC23" s="756">
        <f t="shared" ca="1" si="42"/>
        <v>0</v>
      </c>
      <c r="CD23" s="756">
        <f ca="1">BY23+COUNTIFS($BZ$6:$BZ$53,BZ23,$CC$6:CC$53,"&gt;"&amp;CC23,$BC$6:$BC$53,INDEX(T_Equipos[Grupo],MATCH(BD23,T_Equipos[NombreEquipo],0)))</f>
        <v>1</v>
      </c>
      <c r="CE23" s="755" t="str">
        <f ca="1">IF(COUNTIFS($CD$6:$CD$53,CD23,$BC$6:$BC$53,INDEX(T_Equipos[Grupo],MATCH(BD23,T_Equipos[NombreEquipo],0)))=1,"-","P."&amp;CD23&amp;" ("&amp;COUNTIFS($CD$6:$CD$53,CD23,$BC$6:$BC$53,INDEX(T_Equipos[Grupo],MATCH(BD23,T_Equipos[NombreEquipo],0)))&amp;")")</f>
        <v>P.1 (4)</v>
      </c>
      <c r="CF23" s="756">
        <f t="shared" ca="1" si="43"/>
        <v>0</v>
      </c>
      <c r="CG23" s="756">
        <f ca="1">CD23+COUNTIFS($CE$6:$CE$53,CE23,$CF$6:CF$53,"&gt;"&amp;CF23,$BC$6:$BC$53,INDEX(T_Equipos[Grupo],MATCH(BD23,T_Equipos[NombreEquipo],0)))</f>
        <v>1</v>
      </c>
      <c r="CH23" s="755" t="str">
        <f ca="1">IF(COUNTIFS($CG$6:$CG$53,CG23,$BC$6:$BC$53,INDEX(T_Equipos[Grupo],MATCH(BD23,T_Equipos[NombreEquipo],0)))=1,"-","P."&amp;CG23&amp;" ("&amp;COUNTIFS($CG$6:$CG$53,CG23,$BC$6:$BC$53,INDEX(T_Equipos[Grupo],MATCH(BD23,T_Equipos[NombreEquipo],0)))&amp;")")</f>
        <v>P.1 (4)</v>
      </c>
      <c r="CI23" s="756">
        <f t="shared" ca="1" si="44"/>
        <v>0</v>
      </c>
      <c r="CJ23" s="756">
        <f t="shared" ca="1" si="45"/>
        <v>0</v>
      </c>
      <c r="CK23" s="756">
        <f t="shared" ca="1" si="46"/>
        <v>0</v>
      </c>
      <c r="CL23" s="756">
        <f t="shared" ca="1" si="47"/>
        <v>0</v>
      </c>
      <c r="CM23" s="756">
        <f ca="1">CG23+COUNTIFS($CH$6:$CH$53,CH23,$CL$6:CL$53,"&gt;"&amp;CL23,$BC$6:$BC$53,INDEX(T_Equipos[Grupo],MATCH(BD23,T_Equipos[NombreEquipo],0)))</f>
        <v>1</v>
      </c>
      <c r="CN23" s="755" t="str">
        <f ca="1">IF(COUNTIFS($CM$6:$CM$53,CM23,$BC$6:$BC$53,INDEX(T_Equipos[Grupo],MATCH(BD23,T_Equipos[NombreEquipo],0)))=1,"-","P."&amp;CM23&amp;" ("&amp;COUNTIFS($CM$6:$CM$53,CM23,$BC$6:$BC$53,INDEX(T_Equipos[Grupo],MATCH(BD23,T_Equipos[NombreEquipo],0)))&amp;")")</f>
        <v>P.1 (4)</v>
      </c>
      <c r="CO23" s="756">
        <f t="shared" ca="1" si="48"/>
        <v>0</v>
      </c>
      <c r="CP23" s="756">
        <f t="shared" ca="1" si="49"/>
        <v>0</v>
      </c>
      <c r="CQ23" s="756">
        <f t="shared" ca="1" si="50"/>
        <v>0</v>
      </c>
      <c r="CR23" s="756">
        <f ca="1">CM23+COUNTIFS($CN$6:$CN$53,CN23,$CQ$6:CQ$53,"&gt;"&amp;CQ23,$BC$6:$BC$53,INDEX(T_Equipos[Grupo],MATCH(BD23,T_Equipos[NombreEquipo],0)))</f>
        <v>1</v>
      </c>
      <c r="CS23" s="755" t="str">
        <f ca="1">IF(COUNTIFS($CR$6:$CR$53,CR23,$BC$6:$BC$53,INDEX(T_Equipos[Grupo],MATCH(BD23,T_Equipos[NombreEquipo],0)))=1,"-","P."&amp;CR23&amp;" ("&amp;COUNTIFS($CR$6:$CR$53,CR23,$BC$6:$BC$53,INDEX(T_Equipos[Grupo],MATCH(BD23,T_Equipos[NombreEquipo],0)))&amp;")")</f>
        <v>P.1 (4)</v>
      </c>
      <c r="CT23" s="756">
        <f t="shared" ca="1" si="51"/>
        <v>0</v>
      </c>
      <c r="CU23" s="756">
        <f ca="1">CR23+COUNTIFS($CS$6:$CS$53,CS23,$CT$6:CT$53,"&gt;"&amp;CT23,$BC$6:$BC$53,INDEX(T_Equipos[Grupo],MATCH(BD23,T_Equipos[NombreEquipo],0)))</f>
        <v>1</v>
      </c>
      <c r="CV23" s="755" t="str">
        <f ca="1">IF(COUNTIFS($CU$6:$CU$53,CU23,$BC$6:$BC$53,INDEX(T_Equipos[Grupo],MATCH(BD23,T_Equipos[NombreEquipo],0)))=1,"-","P."&amp;CU23&amp;" ("&amp;COUNTIFS($CU$6:$CU$53,CU23,$BC$6:$BC$53,INDEX(T_Equipos[Grupo],MATCH(BD23,T_Equipos[NombreEquipo],0)))&amp;")")</f>
        <v>P.1 (4)</v>
      </c>
      <c r="CW23" s="755">
        <f t="shared" ca="1" si="30"/>
        <v>0</v>
      </c>
      <c r="CX23" s="755">
        <f ca="1">CU23+COUNTIFS($CV$6:$CV$53,CV23,$CW$6:CW$53,"&gt;"&amp;CW23,$BC$6:$BC$53,INDEX(T_Equipos[Grupo],MATCH(BD23,T_Equipos[NombreEquipo],0)))</f>
        <v>1</v>
      </c>
      <c r="CY23" s="755" t="str">
        <f ca="1">IF(COUNTIFS($CX$6:$CX$53,CX23,$BC$6:$BC$53,INDEX(T_Equipos[Grupo],MATCH(BD23,T_Equipos[NombreEquipo],0)))=1,"-","P."&amp;CX23&amp;" ("&amp;COUNTIFS($CX$6:$CX$53,CX23,$BC$6:$BC$53,INDEX(T_Equipos[Grupo],MATCH(BD23,T_Equipos[NombreEquipo],0)))&amp;")")</f>
        <v>P.1 (4)</v>
      </c>
      <c r="CZ23" s="755">
        <f t="shared" ca="1" si="31"/>
        <v>0</v>
      </c>
      <c r="DA23" s="756">
        <f ca="1">CX23+COUNTIFS($CY$6:$CY$53,CY23,$CZ$6:CZ$53,"&gt;"&amp;CZ23,$BC$6:$BC$53,INDEX(T_Equipos[Grupo],MATCH(BD23,T_Equipos[NombreEquipo],0)))</f>
        <v>1</v>
      </c>
      <c r="DB23" s="755" t="str">
        <f ca="1">IF(COUNTIFS($DA$6:$DA$53,DA23,$BC$6:$BC$53,INDEX(T_Equipos[Grupo],MATCH(BD23,T_Equipos[NombreEquipo],0)))=1,"-","P."&amp;DA23&amp;" ("&amp;COUNTIFS($DA$6:$DA$53,DA23,$BC$6:$BC$53,INDEX(T_Equipos[Grupo],MATCH(BD23,T_Equipos[NombreEquipo],0)))&amp;")")</f>
        <v>P.1 (4)</v>
      </c>
      <c r="DC23" s="754">
        <f ca="1">IF(DB23="-","-",COUNTIFS(T_Equipos[Rank],"&lt;"&amp;INDEX(T_Equipos[Rank],MATCH(BD23,T_Equipos[NombreEquipo],0)),$BC$6:$BC$53,INDEX(T_Equipos[Grupo],MATCH(BD23,T_Equipos[NombreEquipo],0)))+1)</f>
        <v>2</v>
      </c>
      <c r="DD23" s="754">
        <f ca="1">DA23+COUNTIFS($DB$6:$DB$53,DB23,$DC$6:DC$53,"&lt;"&amp;DC23,$BC$6:$BC$53,INDEX(T_Equipos[Grupo],MATCH(BD23,T_Equipos[NombreEquipo],0)))</f>
        <v>2</v>
      </c>
      <c r="DE23" s="754"/>
      <c r="DF23" s="754">
        <f t="shared" ca="1" si="52"/>
        <v>2</v>
      </c>
      <c r="DG23" s="754">
        <f ca="1">IF(DB23="-","-",COUNTIFS(DF$6:DF$53,"&lt;"&amp;DF23,$BC$6:$BC$53,INDEX(T_Equipos[Grupo],MATCH(BD23,T_Equipos[NombreEquipo],0))))</f>
        <v>1</v>
      </c>
      <c r="DH23" s="754">
        <f ca="1">DA23+COUNTIFS(DB$6:DB$53,DB23,DG$6:DG$53,"&lt;"&amp;DG23,$BC$6:$BC$53,INDEX(T_Equipos[Grupo],MATCH(BD23,T_Equipos[NombreEquipo],0)))</f>
        <v>2</v>
      </c>
      <c r="DI23" s="742"/>
      <c r="DJ23" s="742">
        <f t="shared" ca="1" si="53"/>
        <v>1</v>
      </c>
      <c r="DK23" s="742">
        <f t="shared" ca="1" si="24"/>
        <v>0</v>
      </c>
      <c r="DL23" s="742">
        <f t="shared" ca="1" si="33"/>
        <v>1</v>
      </c>
      <c r="DM23" s="736" t="str">
        <f t="shared" ca="1" si="34"/>
        <v>1.1</v>
      </c>
      <c r="DN23" s="742" cm="1">
        <f t="array" aca="1" ref="DN23" ca="1">OFFSET(Horarios!$P$3,DJ23-1,0,DL23,1)</f>
        <v>1</v>
      </c>
      <c r="DO23" s="742"/>
      <c r="DP23" s="742" t="s">
        <v>662</v>
      </c>
      <c r="DQ23" s="742" t="str">
        <f t="shared" ca="1" si="35"/>
        <v>Curazao</v>
      </c>
      <c r="DR23" s="742"/>
      <c r="DS23" s="742"/>
      <c r="DT23" s="742" t="str">
        <f t="shared" ca="1" si="15"/>
        <v>Brasil-Haití</v>
      </c>
      <c r="DU23" s="742"/>
      <c r="DV23" s="742"/>
      <c r="DW23" s="8"/>
    </row>
    <row r="24" spans="1:127" ht="15.95" customHeight="1">
      <c r="A24" s="743" t="str">
        <f ca="1">+Equipos!B13</f>
        <v>Escocia</v>
      </c>
      <c r="B24" s="740"/>
      <c r="C24" s="742"/>
      <c r="D24" s="742" t="str">
        <f t="shared" si="73"/>
        <v>Pendiente</v>
      </c>
      <c r="E24" s="742" t="str">
        <f t="shared" si="74"/>
        <v>-</v>
      </c>
      <c r="F24" s="742" t="str">
        <f t="shared" si="75"/>
        <v>-</v>
      </c>
      <c r="G24" s="742"/>
      <c r="H24" s="742" t="str">
        <f t="shared" si="76"/>
        <v>-</v>
      </c>
      <c r="I24" s="742" t="str">
        <f t="shared" si="77"/>
        <v>-</v>
      </c>
      <c r="J24" s="742"/>
      <c r="K24" s="742" t="str">
        <f t="shared" si="78"/>
        <v>-</v>
      </c>
      <c r="L24" s="742" t="str">
        <f t="shared" si="79"/>
        <v>-</v>
      </c>
      <c r="M24" s="742"/>
      <c r="N24" s="742" t="str">
        <f t="shared" si="80"/>
        <v>-</v>
      </c>
      <c r="O24" s="742" t="str">
        <f t="shared" si="81"/>
        <v>-</v>
      </c>
      <c r="P24" s="742"/>
      <c r="Q24" s="742" t="str">
        <f t="shared" si="82"/>
        <v>-</v>
      </c>
      <c r="R24" s="742" t="str">
        <f t="shared" si="83"/>
        <v>-</v>
      </c>
      <c r="S24" s="742"/>
      <c r="T24" s="742" t="str">
        <f t="shared" si="84"/>
        <v>-</v>
      </c>
      <c r="U24" s="742" t="str">
        <f t="shared" si="85"/>
        <v>-</v>
      </c>
      <c r="V24" s="172"/>
      <c r="W24" s="837"/>
      <c r="X24" s="189">
        <f ca="1">Horarios!C24</f>
        <v>46197.75</v>
      </c>
      <c r="Y24" s="190">
        <f ca="1">Horarios!C24</f>
        <v>46197.75</v>
      </c>
      <c r="Z24" s="191" t="str">
        <f>$Z$8</f>
        <v>J3</v>
      </c>
      <c r="AA24" s="192" t="str">
        <f ca="1">A24</f>
        <v>Escocia</v>
      </c>
      <c r="AB24" s="478" t="str" cm="1">
        <f t="array" aca="1" ref="AB24" ca="1">Ver_flag_local</f>
        <v/>
      </c>
      <c r="AC24" s="193"/>
      <c r="AD24" s="194"/>
      <c r="AE24" s="483" t="str" cm="1">
        <f t="array" aca="1" ref="AE24" ca="1">Ver_flag_visit</f>
        <v/>
      </c>
      <c r="AF24" s="195" t="str">
        <f ca="1">A21</f>
        <v>Brasil</v>
      </c>
      <c r="AG24" s="413">
        <f t="shared" si="86"/>
        <v>0</v>
      </c>
      <c r="AH24" s="196">
        <v>49</v>
      </c>
      <c r="AI24" s="19" t="str">
        <f t="shared" si="91"/>
        <v>3C</v>
      </c>
      <c r="AJ24" s="221">
        <v>3</v>
      </c>
      <c r="AK24" s="486" t="str" cm="1">
        <f t="array" aca="1" ref="AK24" ca="1">Ver_flag_visit</f>
        <v/>
      </c>
      <c r="AL24" s="222" t="str">
        <f ca="1">IFERROR(INDEX($BD$6:$BD$53,MATCH(AI24,$BN$6:$BN$53,0)),"")</f>
        <v>Haití</v>
      </c>
      <c r="AM24" s="223">
        <f t="shared" ca="1" si="90"/>
        <v>0</v>
      </c>
      <c r="AN24" s="224">
        <f t="shared" ca="1" si="90"/>
        <v>0</v>
      </c>
      <c r="AO24" s="224">
        <f t="shared" ca="1" si="90"/>
        <v>0</v>
      </c>
      <c r="AP24" s="224">
        <f t="shared" ca="1" si="90"/>
        <v>0</v>
      </c>
      <c r="AQ24" s="224">
        <f t="shared" ca="1" si="90"/>
        <v>0</v>
      </c>
      <c r="AR24" s="224">
        <f t="shared" ca="1" si="90"/>
        <v>0</v>
      </c>
      <c r="AS24" s="224">
        <f t="shared" ca="1" si="90"/>
        <v>0</v>
      </c>
      <c r="AT24" s="225">
        <f t="shared" ca="1" si="90"/>
        <v>0</v>
      </c>
      <c r="AU24" s="420">
        <f ca="1">INDEX($DL$6:$DL$53,MATCH(AI24,$DP$6:$DP$53,0))</f>
        <v>1</v>
      </c>
      <c r="AV24" s="217" t="str">
        <f ca="1">INDEX($BD$6:$BD$53,MATCH(AI24,$BM$6:$BM$53,0))</f>
        <v>Haití</v>
      </c>
      <c r="AW24" s="427"/>
      <c r="AX24" s="218"/>
      <c r="AY24" s="219" t="str">
        <f ca="1">+A23</f>
        <v>Haití</v>
      </c>
      <c r="AZ24" s="220"/>
      <c r="BA24" s="175"/>
      <c r="BB24" s="742"/>
      <c r="BC24" s="754" t="str">
        <f ca="1">+INDEX(T_Equipos[Grupo],MATCH(WORLDCUP!BD24,T_Equipos[NombreEquipo],0))</f>
        <v>E</v>
      </c>
      <c r="BD24" s="742" t="str">
        <f ca="1">+Equipos!B20</f>
        <v>Costa de Marfil</v>
      </c>
      <c r="BE24" s="746">
        <f t="shared" ca="1" si="25"/>
        <v>0</v>
      </c>
      <c r="BF24" s="746">
        <f t="shared" ca="1" si="26"/>
        <v>0</v>
      </c>
      <c r="BG24" s="746">
        <f t="shared" ca="1" si="17"/>
        <v>0</v>
      </c>
      <c r="BH24" s="746">
        <f t="shared" ca="1" si="18"/>
        <v>0</v>
      </c>
      <c r="BI24" s="746">
        <f t="shared" ca="1" si="19"/>
        <v>0</v>
      </c>
      <c r="BJ24" s="746">
        <f t="shared" ca="1" si="20"/>
        <v>0</v>
      </c>
      <c r="BK24" s="746">
        <f t="shared" ca="1" si="21"/>
        <v>0</v>
      </c>
      <c r="BL24" s="746">
        <f t="shared" ca="1" si="27"/>
        <v>0</v>
      </c>
      <c r="BM24" s="746" t="str">
        <f t="shared" ca="1" si="22"/>
        <v>3E</v>
      </c>
      <c r="BN24" s="746" t="str">
        <f t="shared" ca="1" si="23"/>
        <v>3E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0</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(4)</v>
      </c>
      <c r="BU24" s="756">
        <f t="shared" ca="1" si="36"/>
        <v>0</v>
      </c>
      <c r="BV24" s="756">
        <f t="shared" ca="1" si="37"/>
        <v>0</v>
      </c>
      <c r="BW24" s="756">
        <f t="shared" ca="1" si="38"/>
        <v>0</v>
      </c>
      <c r="BX24" s="756">
        <f t="shared" ca="1" si="39"/>
        <v>0</v>
      </c>
      <c r="BY24" s="756">
        <f ca="1">BS24+COUNTIFS($BT$6:$BT$53,BT24,$BX$6:BX$53,"&gt;"&amp;BX24,$BC$6:$BC$53,INDEX(T_Equipos[Grupo],MATCH(BD24,T_Equipos[NombreEquipo],0)))</f>
        <v>1</v>
      </c>
      <c r="BZ24" s="755" t="str">
        <f ca="1">IF(COUNTIFS($BY$6:$BY$53,BY24,$BC$6:$BC$53,INDEX(T_Equipos[Grupo],MATCH(BD24,T_Equipos[NombreEquipo],0)))=1,"-","P."&amp;BY24&amp;" ("&amp;COUNTIFS($BY$6:$BY$53,BY24,$BC$6:$BC$53,INDEX(T_Equipos[Grupo],MATCH(BD24,T_Equipos[NombreEquipo],0)))&amp;")")</f>
        <v>P.1 (4)</v>
      </c>
      <c r="CA24" s="756">
        <f t="shared" ca="1" si="40"/>
        <v>0</v>
      </c>
      <c r="CB24" s="756">
        <f t="shared" ca="1" si="41"/>
        <v>0</v>
      </c>
      <c r="CC24" s="756">
        <f t="shared" ca="1" si="42"/>
        <v>0</v>
      </c>
      <c r="CD24" s="756">
        <f ca="1">BY24+COUNTIFS($BZ$6:$BZ$53,BZ24,$CC$6:CC$53,"&gt;"&amp;CC24,$BC$6:$BC$53,INDEX(T_Equipos[Grupo],MATCH(BD24,T_Equipos[NombreEquipo],0)))</f>
        <v>1</v>
      </c>
      <c r="CE24" s="755" t="str">
        <f ca="1">IF(COUNTIFS($CD$6:$CD$53,CD24,$BC$6:$BC$53,INDEX(T_Equipos[Grupo],MATCH(BD24,T_Equipos[NombreEquipo],0)))=1,"-","P."&amp;CD24&amp;" ("&amp;COUNTIFS($CD$6:$CD$53,CD24,$BC$6:$BC$53,INDEX(T_Equipos[Grupo],MATCH(BD24,T_Equipos[NombreEquipo],0)))&amp;")")</f>
        <v>P.1 (4)</v>
      </c>
      <c r="CF24" s="756">
        <f t="shared" ca="1" si="43"/>
        <v>0</v>
      </c>
      <c r="CG24" s="756">
        <f ca="1">CD24+COUNTIFS($CE$6:$CE$53,CE24,$CF$6:CF$53,"&gt;"&amp;CF24,$BC$6:$BC$53,INDEX(T_Equipos[Grupo],MATCH(BD24,T_Equipos[NombreEquipo],0)))</f>
        <v>1</v>
      </c>
      <c r="CH24" s="755" t="str">
        <f ca="1">IF(COUNTIFS($CG$6:$CG$53,CG24,$BC$6:$BC$53,INDEX(T_Equipos[Grupo],MATCH(BD24,T_Equipos[NombreEquipo],0)))=1,"-","P."&amp;CG24&amp;" ("&amp;COUNTIFS($CG$6:$CG$53,CG24,$BC$6:$BC$53,INDEX(T_Equipos[Grupo],MATCH(BD24,T_Equipos[NombreEquipo],0)))&amp;")")</f>
        <v>P.1 (4)</v>
      </c>
      <c r="CI24" s="756">
        <f t="shared" ca="1" si="44"/>
        <v>0</v>
      </c>
      <c r="CJ24" s="756">
        <f t="shared" ca="1" si="45"/>
        <v>0</v>
      </c>
      <c r="CK24" s="756">
        <f t="shared" ca="1" si="46"/>
        <v>0</v>
      </c>
      <c r="CL24" s="756">
        <f t="shared" ca="1" si="47"/>
        <v>0</v>
      </c>
      <c r="CM24" s="756">
        <f ca="1">CG24+COUNTIFS($CH$6:$CH$53,CH24,$CL$6:CL$53,"&gt;"&amp;CL24,$BC$6:$BC$53,INDEX(T_Equipos[Grupo],MATCH(BD24,T_Equipos[NombreEquipo],0)))</f>
        <v>1</v>
      </c>
      <c r="CN24" s="755" t="str">
        <f ca="1">IF(COUNTIFS($CM$6:$CM$53,CM24,$BC$6:$BC$53,INDEX(T_Equipos[Grupo],MATCH(BD24,T_Equipos[NombreEquipo],0)))=1,"-","P."&amp;CM24&amp;" ("&amp;COUNTIFS($CM$6:$CM$53,CM24,$BC$6:$BC$53,INDEX(T_Equipos[Grupo],MATCH(BD24,T_Equipos[NombreEquipo],0)))&amp;")")</f>
        <v>P.1 (4)</v>
      </c>
      <c r="CO24" s="756">
        <f t="shared" ca="1" si="48"/>
        <v>0</v>
      </c>
      <c r="CP24" s="756">
        <f t="shared" ca="1" si="49"/>
        <v>0</v>
      </c>
      <c r="CQ24" s="756">
        <f t="shared" ca="1" si="50"/>
        <v>0</v>
      </c>
      <c r="CR24" s="756">
        <f ca="1">CM24+COUNTIFS($CN$6:$CN$53,CN24,$CQ$6:CQ$53,"&gt;"&amp;CQ24,$BC$6:$BC$53,INDEX(T_Equipos[Grupo],MATCH(BD24,T_Equipos[NombreEquipo],0)))</f>
        <v>1</v>
      </c>
      <c r="CS24" s="755" t="str">
        <f ca="1">IF(COUNTIFS($CR$6:$CR$53,CR24,$BC$6:$BC$53,INDEX(T_Equipos[Grupo],MATCH(BD24,T_Equipos[NombreEquipo],0)))=1,"-","P."&amp;CR24&amp;" ("&amp;COUNTIFS($CR$6:$CR$53,CR24,$BC$6:$BC$53,INDEX(T_Equipos[Grupo],MATCH(BD24,T_Equipos[NombreEquipo],0)))&amp;")")</f>
        <v>P.1 (4)</v>
      </c>
      <c r="CT24" s="756">
        <f t="shared" ca="1" si="51"/>
        <v>0</v>
      </c>
      <c r="CU24" s="756">
        <f ca="1">CR24+COUNTIFS($CS$6:$CS$53,CS24,$CT$6:CT$53,"&gt;"&amp;CT24,$BC$6:$BC$53,INDEX(T_Equipos[Grupo],MATCH(BD24,T_Equipos[NombreEquipo],0)))</f>
        <v>1</v>
      </c>
      <c r="CV24" s="755" t="str">
        <f ca="1">IF(COUNTIFS($CU$6:$CU$53,CU24,$BC$6:$BC$53,INDEX(T_Equipos[Grupo],MATCH(BD24,T_Equipos[NombreEquipo],0)))=1,"-","P."&amp;CU24&amp;" ("&amp;COUNTIFS($CU$6:$CU$53,CU24,$BC$6:$BC$53,INDEX(T_Equipos[Grupo],MATCH(BD24,T_Equipos[NombreEquipo],0)))&amp;")")</f>
        <v>P.1 (4)</v>
      </c>
      <c r="CW24" s="755">
        <f t="shared" ca="1" si="30"/>
        <v>0</v>
      </c>
      <c r="CX24" s="755">
        <f ca="1">CU24+COUNTIFS($CV$6:$CV$53,CV24,$CW$6:CW$53,"&gt;"&amp;CW24,$BC$6:$BC$53,INDEX(T_Equipos[Grupo],MATCH(BD24,T_Equipos[NombreEquipo],0)))</f>
        <v>1</v>
      </c>
      <c r="CY24" s="755" t="str">
        <f ca="1">IF(COUNTIFS($CX$6:$CX$53,CX24,$BC$6:$BC$53,INDEX(T_Equipos[Grupo],MATCH(BD24,T_Equipos[NombreEquipo],0)))=1,"-","P."&amp;CX24&amp;" ("&amp;COUNTIFS($CX$6:$CX$53,CX24,$BC$6:$BC$53,INDEX(T_Equipos[Grupo],MATCH(BD24,T_Equipos[NombreEquipo],0)))&amp;")")</f>
        <v>P.1 (4)</v>
      </c>
      <c r="CZ24" s="755">
        <f t="shared" ca="1" si="31"/>
        <v>0</v>
      </c>
      <c r="DA24" s="756">
        <f ca="1">CX24+COUNTIFS($CY$6:$CY$53,CY24,$CZ$6:CZ$53,"&gt;"&amp;CZ24,$BC$6:$BC$53,INDEX(T_Equipos[Grupo],MATCH(BD24,T_Equipos[NombreEquipo],0)))</f>
        <v>1</v>
      </c>
      <c r="DB24" s="755" t="str">
        <f ca="1">IF(COUNTIFS($DA$6:$DA$53,DA24,$BC$6:$BC$53,INDEX(T_Equipos[Grupo],MATCH(BD24,T_Equipos[NombreEquipo],0)))=1,"-","P."&amp;DA24&amp;" ("&amp;COUNTIFS($DA$6:$DA$53,DA24,$BC$6:$BC$53,INDEX(T_Equipos[Grupo],MATCH(BD24,T_Equipos[NombreEquipo],0)))&amp;")")</f>
        <v>P.1 (4)</v>
      </c>
      <c r="DC24" s="754">
        <f ca="1">IF(DB24="-","-",COUNTIFS(T_Equipos[Rank],"&lt;"&amp;INDEX(T_Equipos[Rank],MATCH(BD24,T_Equipos[NombreEquipo],0)),$BC$6:$BC$53,INDEX(T_Equipos[Grupo],MATCH(BD24,T_Equipos[NombreEquipo],0)))+1)</f>
        <v>3</v>
      </c>
      <c r="DD24" s="754">
        <f ca="1">DA24+COUNTIFS($DB$6:$DB$53,DB24,$DC$6:DC$53,"&lt;"&amp;DC24,$BC$6:$BC$53,INDEX(T_Equipos[Grupo],MATCH(BD24,T_Equipos[NombreEquipo],0)))</f>
        <v>3</v>
      </c>
      <c r="DE24" s="754"/>
      <c r="DF24" s="754">
        <f t="shared" ca="1" si="52"/>
        <v>3</v>
      </c>
      <c r="DG24" s="754">
        <f ca="1">IF(DB24="-","-",COUNTIFS(DF$6:DF$53,"&lt;"&amp;DF24,$BC$6:$BC$53,INDEX(T_Equipos[Grupo],MATCH(BD24,T_Equipos[NombreEquipo],0))))</f>
        <v>2</v>
      </c>
      <c r="DH24" s="754">
        <f ca="1">DA24+COUNTIFS(DB$6:DB$53,DB24,DG$6:DG$53,"&lt;"&amp;DG24,$BC$6:$BC$53,INDEX(T_Equipos[Grupo],MATCH(BD24,T_Equipos[NombreEquipo],0)))</f>
        <v>3</v>
      </c>
      <c r="DI24" s="742"/>
      <c r="DJ24" s="742">
        <f t="shared" ca="1" si="53"/>
        <v>1</v>
      </c>
      <c r="DK24" s="742">
        <f t="shared" ca="1" si="24"/>
        <v>0</v>
      </c>
      <c r="DL24" s="742">
        <f t="shared" ca="1" si="33"/>
        <v>1</v>
      </c>
      <c r="DM24" s="736" t="str">
        <f t="shared" ca="1" si="34"/>
        <v>1.1</v>
      </c>
      <c r="DN24" s="742" cm="1">
        <f t="array" aca="1" ref="DN24" ca="1">OFFSET(Horarios!$P$3,DJ24-1,0,DL24,1)</f>
        <v>1</v>
      </c>
      <c r="DO24" s="742"/>
      <c r="DP24" s="742" t="s">
        <v>93</v>
      </c>
      <c r="DQ24" s="742" t="str">
        <f t="shared" ca="1" si="35"/>
        <v>Costa de Marfil</v>
      </c>
      <c r="DR24" s="742"/>
      <c r="DS24" s="742"/>
      <c r="DT24" s="742" t="str">
        <f t="shared" ca="1" si="15"/>
        <v>Escocia-Brasil</v>
      </c>
      <c r="DU24" s="742"/>
      <c r="DV24" s="742"/>
      <c r="DW24" s="8"/>
    </row>
    <row r="25" spans="1:127" ht="17.100000000000001" customHeight="1" thickBot="1">
      <c r="A25" s="737"/>
      <c r="B25" s="737"/>
      <c r="C25" s="737"/>
      <c r="D25" s="742" t="str">
        <f t="shared" si="73"/>
        <v>Pendiente</v>
      </c>
      <c r="E25" s="742" t="str">
        <f t="shared" si="74"/>
        <v>-</v>
      </c>
      <c r="F25" s="742" t="str">
        <f t="shared" si="75"/>
        <v>-</v>
      </c>
      <c r="G25" s="742"/>
      <c r="H25" s="742" t="str">
        <f t="shared" si="76"/>
        <v>-</v>
      </c>
      <c r="I25" s="742" t="str">
        <f t="shared" si="77"/>
        <v>-</v>
      </c>
      <c r="J25" s="742"/>
      <c r="K25" s="742" t="str">
        <f t="shared" si="78"/>
        <v>-</v>
      </c>
      <c r="L25" s="742" t="str">
        <f t="shared" si="79"/>
        <v>-</v>
      </c>
      <c r="M25" s="742"/>
      <c r="N25" s="742" t="str">
        <f t="shared" si="80"/>
        <v>-</v>
      </c>
      <c r="O25" s="742" t="str">
        <f t="shared" si="81"/>
        <v>-</v>
      </c>
      <c r="P25" s="742"/>
      <c r="Q25" s="742" t="str">
        <f t="shared" si="82"/>
        <v>-</v>
      </c>
      <c r="R25" s="742" t="str">
        <f t="shared" si="83"/>
        <v>-</v>
      </c>
      <c r="S25" s="742"/>
      <c r="T25" s="742" t="str">
        <f t="shared" si="84"/>
        <v>-</v>
      </c>
      <c r="U25" s="742" t="str">
        <f t="shared" si="85"/>
        <v>-</v>
      </c>
      <c r="V25" s="172"/>
      <c r="W25" s="838"/>
      <c r="X25" s="228">
        <f ca="1">Horarios!C25</f>
        <v>46197.75</v>
      </c>
      <c r="Y25" s="229">
        <f ca="1">Horarios!C25</f>
        <v>46197.75</v>
      </c>
      <c r="Z25" s="230" t="str">
        <f>$Z$8</f>
        <v>J3</v>
      </c>
      <c r="AA25" s="231" t="str">
        <f ca="1">A22</f>
        <v>Marruecos</v>
      </c>
      <c r="AB25" s="479" t="str" cm="1">
        <f t="array" aca="1" ref="AB25" ca="1">Ver_flag_local</f>
        <v/>
      </c>
      <c r="AC25" s="232"/>
      <c r="AD25" s="233"/>
      <c r="AE25" s="484" t="str" cm="1">
        <f t="array" aca="1" ref="AE25" ca="1">Ver_flag_visit</f>
        <v/>
      </c>
      <c r="AF25" s="234" t="str">
        <f ca="1">A23</f>
        <v>Haití</v>
      </c>
      <c r="AG25" s="413">
        <f t="shared" si="86"/>
        <v>0</v>
      </c>
      <c r="AH25" s="196">
        <v>50</v>
      </c>
      <c r="AI25" s="19" t="str">
        <f t="shared" si="91"/>
        <v>4C</v>
      </c>
      <c r="AJ25" s="235">
        <v>4</v>
      </c>
      <c r="AK25" s="487" t="str" cm="1">
        <f t="array" aca="1" ref="AK25" ca="1">Ver_flag_visit</f>
        <v/>
      </c>
      <c r="AL25" s="236" t="str">
        <f ca="1">IFERROR(INDEX($BD$6:$BD$53,MATCH(AI25,$BN$6:$BN$53,0)),"")</f>
        <v>Escocia</v>
      </c>
      <c r="AM25" s="237">
        <f t="shared" ca="1" si="90"/>
        <v>0</v>
      </c>
      <c r="AN25" s="238">
        <f t="shared" ca="1" si="90"/>
        <v>0</v>
      </c>
      <c r="AO25" s="238">
        <f t="shared" ca="1" si="90"/>
        <v>0</v>
      </c>
      <c r="AP25" s="238">
        <f t="shared" ca="1" si="90"/>
        <v>0</v>
      </c>
      <c r="AQ25" s="238">
        <f t="shared" ca="1" si="90"/>
        <v>0</v>
      </c>
      <c r="AR25" s="238">
        <f t="shared" ca="1" si="90"/>
        <v>0</v>
      </c>
      <c r="AS25" s="238">
        <f t="shared" ca="1" si="90"/>
        <v>0</v>
      </c>
      <c r="AT25" s="239">
        <f t="shared" ca="1" si="90"/>
        <v>0</v>
      </c>
      <c r="AU25" s="420">
        <f ca="1">INDEX($DL$6:$DL$53,MATCH(AI25,$DP$6:$DP$53,0))</f>
        <v>1</v>
      </c>
      <c r="AV25" s="217" t="str">
        <f ca="1">INDEX($BD$6:$BD$53,MATCH(AI25,$BM$6:$BM$53,0))</f>
        <v>Escocia</v>
      </c>
      <c r="AW25" s="427"/>
      <c r="AX25" s="218"/>
      <c r="AY25" s="240" t="str">
        <f ca="1">+A24</f>
        <v>Escocia</v>
      </c>
      <c r="AZ25" s="241"/>
      <c r="BA25" s="175"/>
      <c r="BB25" s="742"/>
      <c r="BC25" s="754" t="str">
        <f ca="1">+INDEX(T_Equipos[Grupo],MATCH(WORLDCUP!BD25,T_Equipos[NombreEquipo],0))</f>
        <v>E</v>
      </c>
      <c r="BD25" s="742" t="str">
        <f ca="1">+Equipos!B21</f>
        <v>Ecuador</v>
      </c>
      <c r="BE25" s="746">
        <f t="shared" ca="1" si="25"/>
        <v>0</v>
      </c>
      <c r="BF25" s="746">
        <f t="shared" ca="1" si="26"/>
        <v>0</v>
      </c>
      <c r="BG25" s="746">
        <f t="shared" ca="1" si="17"/>
        <v>0</v>
      </c>
      <c r="BH25" s="746">
        <f t="shared" ca="1" si="18"/>
        <v>0</v>
      </c>
      <c r="BI25" s="746">
        <f t="shared" ca="1" si="19"/>
        <v>0</v>
      </c>
      <c r="BJ25" s="746">
        <f t="shared" ca="1" si="20"/>
        <v>0</v>
      </c>
      <c r="BK25" s="746">
        <f t="shared" ca="1" si="21"/>
        <v>0</v>
      </c>
      <c r="BL25" s="746">
        <f t="shared" ca="1" si="27"/>
        <v>0</v>
      </c>
      <c r="BM25" s="746" t="str">
        <f t="shared" ca="1" si="22"/>
        <v>4E</v>
      </c>
      <c r="BN25" s="746" t="str">
        <f t="shared" ca="1" si="23"/>
        <v>4E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0</v>
      </c>
      <c r="BS25" s="755">
        <f ca="1">BP25+COUNTIFS($BQ$6:$BQ$53,BQ25,$BR$6:BR$53,"&gt;"&amp;BR25,$BC$6:$BC$53,INDEX(T_Equipos[Grupo],MATCH(BD25,T_Equipos[NombreEquipo],0)))</f>
        <v>1</v>
      </c>
      <c r="BT25" s="755" t="str">
        <f ca="1">IF(COUNTIFS($BS$6:$BS$53,BS25,$BC$6:$BC$53,INDEX(T_Equipos[Grupo],MATCH(BD25,T_Equipos[NombreEquipo],0)))=1,"-","P."&amp;BS25&amp;" ("&amp;COUNTIFS($BS$6:$BS$53,BS25,$BC$6:$BC$53,INDEX(T_Equipos[Grupo],MATCH(BD25,T_Equipos[NombreEquipo],0)))&amp;")")</f>
        <v>P.1 (4)</v>
      </c>
      <c r="BU25" s="756">
        <f t="shared" ca="1" si="36"/>
        <v>0</v>
      </c>
      <c r="BV25" s="756">
        <f t="shared" ca="1" si="37"/>
        <v>0</v>
      </c>
      <c r="BW25" s="756">
        <f t="shared" ca="1" si="38"/>
        <v>0</v>
      </c>
      <c r="BX25" s="756">
        <f t="shared" ca="1" si="39"/>
        <v>0</v>
      </c>
      <c r="BY25" s="756">
        <f ca="1">BS25+COUNTIFS($BT$6:$BT$53,BT25,$BX$6:BX$53,"&gt;"&amp;BX25,$BC$6:$BC$53,INDEX(T_Equipos[Grupo],MATCH(BD25,T_Equipos[NombreEquipo],0)))</f>
        <v>1</v>
      </c>
      <c r="BZ25" s="755" t="str">
        <f ca="1">IF(COUNTIFS($BY$6:$BY$53,BY25,$BC$6:$BC$53,INDEX(T_Equipos[Grupo],MATCH(BD25,T_Equipos[NombreEquipo],0)))=1,"-","P."&amp;BY25&amp;" ("&amp;COUNTIFS($BY$6:$BY$53,BY25,$BC$6:$BC$53,INDEX(T_Equipos[Grupo],MATCH(BD25,T_Equipos[NombreEquipo],0)))&amp;")")</f>
        <v>P.1 (4)</v>
      </c>
      <c r="CA25" s="756">
        <f t="shared" ca="1" si="40"/>
        <v>0</v>
      </c>
      <c r="CB25" s="756">
        <f t="shared" ca="1" si="41"/>
        <v>0</v>
      </c>
      <c r="CC25" s="756">
        <f t="shared" ca="1" si="42"/>
        <v>0</v>
      </c>
      <c r="CD25" s="756">
        <f ca="1">BY25+COUNTIFS($BZ$6:$BZ$53,BZ25,$CC$6:CC$53,"&gt;"&amp;CC25,$BC$6:$BC$53,INDEX(T_Equipos[Grupo],MATCH(BD25,T_Equipos[NombreEquipo],0)))</f>
        <v>1</v>
      </c>
      <c r="CE25" s="755" t="str">
        <f ca="1">IF(COUNTIFS($CD$6:$CD$53,CD25,$BC$6:$BC$53,INDEX(T_Equipos[Grupo],MATCH(BD25,T_Equipos[NombreEquipo],0)))=1,"-","P."&amp;CD25&amp;" ("&amp;COUNTIFS($CD$6:$CD$53,CD25,$BC$6:$BC$53,INDEX(T_Equipos[Grupo],MATCH(BD25,T_Equipos[NombreEquipo],0)))&amp;")")</f>
        <v>P.1 (4)</v>
      </c>
      <c r="CF25" s="756">
        <f t="shared" ca="1" si="43"/>
        <v>0</v>
      </c>
      <c r="CG25" s="756">
        <f ca="1">CD25+COUNTIFS($CE$6:$CE$53,CE25,$CF$6:CF$53,"&gt;"&amp;CF25,$BC$6:$BC$53,INDEX(T_Equipos[Grupo],MATCH(BD25,T_Equipos[NombreEquipo],0)))</f>
        <v>1</v>
      </c>
      <c r="CH25" s="755" t="str">
        <f ca="1">IF(COUNTIFS($CG$6:$CG$53,CG25,$BC$6:$BC$53,INDEX(T_Equipos[Grupo],MATCH(BD25,T_Equipos[NombreEquipo],0)))=1,"-","P."&amp;CG25&amp;" ("&amp;COUNTIFS($CG$6:$CG$53,CG25,$BC$6:$BC$53,INDEX(T_Equipos[Grupo],MATCH(BD25,T_Equipos[NombreEquipo],0)))&amp;")")</f>
        <v>P.1 (4)</v>
      </c>
      <c r="CI25" s="756">
        <f t="shared" ca="1" si="44"/>
        <v>0</v>
      </c>
      <c r="CJ25" s="756">
        <f t="shared" ca="1" si="45"/>
        <v>0</v>
      </c>
      <c r="CK25" s="756">
        <f t="shared" ca="1" si="46"/>
        <v>0</v>
      </c>
      <c r="CL25" s="756">
        <f t="shared" ca="1" si="47"/>
        <v>0</v>
      </c>
      <c r="CM25" s="756">
        <f ca="1">CG25+COUNTIFS($CH$6:$CH$53,CH25,$CL$6:CL$53,"&gt;"&amp;CL25,$BC$6:$BC$53,INDEX(T_Equipos[Grupo],MATCH(BD25,T_Equipos[NombreEquipo],0)))</f>
        <v>1</v>
      </c>
      <c r="CN25" s="755" t="str">
        <f ca="1">IF(COUNTIFS($CM$6:$CM$53,CM25,$BC$6:$BC$53,INDEX(T_Equipos[Grupo],MATCH(BD25,T_Equipos[NombreEquipo],0)))=1,"-","P."&amp;CM25&amp;" ("&amp;COUNTIFS($CM$6:$CM$53,CM25,$BC$6:$BC$53,INDEX(T_Equipos[Grupo],MATCH(BD25,T_Equipos[NombreEquipo],0)))&amp;")")</f>
        <v>P.1 (4)</v>
      </c>
      <c r="CO25" s="756">
        <f t="shared" ca="1" si="48"/>
        <v>0</v>
      </c>
      <c r="CP25" s="756">
        <f t="shared" ca="1" si="49"/>
        <v>0</v>
      </c>
      <c r="CQ25" s="756">
        <f t="shared" ca="1" si="50"/>
        <v>0</v>
      </c>
      <c r="CR25" s="756">
        <f ca="1">CM25+COUNTIFS($CN$6:$CN$53,CN25,$CQ$6:CQ$53,"&gt;"&amp;CQ25,$BC$6:$BC$53,INDEX(T_Equipos[Grupo],MATCH(BD25,T_Equipos[NombreEquipo],0)))</f>
        <v>1</v>
      </c>
      <c r="CS25" s="755" t="str">
        <f ca="1">IF(COUNTIFS($CR$6:$CR$53,CR25,$BC$6:$BC$53,INDEX(T_Equipos[Grupo],MATCH(BD25,T_Equipos[NombreEquipo],0)))=1,"-","P."&amp;CR25&amp;" ("&amp;COUNTIFS($CR$6:$CR$53,CR25,$BC$6:$BC$53,INDEX(T_Equipos[Grupo],MATCH(BD25,T_Equipos[NombreEquipo],0)))&amp;")")</f>
        <v>P.1 (4)</v>
      </c>
      <c r="CT25" s="756">
        <f t="shared" ca="1" si="51"/>
        <v>0</v>
      </c>
      <c r="CU25" s="756">
        <f ca="1">CR25+COUNTIFS($CS$6:$CS$53,CS25,$CT$6:CT$53,"&gt;"&amp;CT25,$BC$6:$BC$53,INDEX(T_Equipos[Grupo],MATCH(BD25,T_Equipos[NombreEquipo],0)))</f>
        <v>1</v>
      </c>
      <c r="CV25" s="755" t="str">
        <f ca="1">IF(COUNTIFS($CU$6:$CU$53,CU25,$BC$6:$BC$53,INDEX(T_Equipos[Grupo],MATCH(BD25,T_Equipos[NombreEquipo],0)))=1,"-","P."&amp;CU25&amp;" ("&amp;COUNTIFS($CU$6:$CU$53,CU25,$BC$6:$BC$53,INDEX(T_Equipos[Grupo],MATCH(BD25,T_Equipos[NombreEquipo],0)))&amp;")")</f>
        <v>P.1 (4)</v>
      </c>
      <c r="CW25" s="755">
        <f t="shared" ca="1" si="30"/>
        <v>0</v>
      </c>
      <c r="CX25" s="755">
        <f ca="1">CU25+COUNTIFS($CV$6:$CV$53,CV25,$CW$6:CW$53,"&gt;"&amp;CW25,$BC$6:$BC$53,INDEX(T_Equipos[Grupo],MATCH(BD25,T_Equipos[NombreEquipo],0)))</f>
        <v>1</v>
      </c>
      <c r="CY25" s="755" t="str">
        <f ca="1">IF(COUNTIFS($CX$6:$CX$53,CX25,$BC$6:$BC$53,INDEX(T_Equipos[Grupo],MATCH(BD25,T_Equipos[NombreEquipo],0)))=1,"-","P."&amp;CX25&amp;" ("&amp;COUNTIFS($CX$6:$CX$53,CX25,$BC$6:$BC$53,INDEX(T_Equipos[Grupo],MATCH(BD25,T_Equipos[NombreEquipo],0)))&amp;")")</f>
        <v>P.1 (4)</v>
      </c>
      <c r="CZ25" s="755">
        <f t="shared" ca="1" si="31"/>
        <v>0</v>
      </c>
      <c r="DA25" s="756">
        <f ca="1">CX25+COUNTIFS($CY$6:$CY$53,CY25,$CZ$6:CZ$53,"&gt;"&amp;CZ25,$BC$6:$BC$53,INDEX(T_Equipos[Grupo],MATCH(BD25,T_Equipos[NombreEquipo],0)))</f>
        <v>1</v>
      </c>
      <c r="DB25" s="755" t="str">
        <f ca="1">IF(COUNTIFS($DA$6:$DA$53,DA25,$BC$6:$BC$53,INDEX(T_Equipos[Grupo],MATCH(BD25,T_Equipos[NombreEquipo],0)))=1,"-","P."&amp;DA25&amp;" ("&amp;COUNTIFS($DA$6:$DA$53,DA25,$BC$6:$BC$53,INDEX(T_Equipos[Grupo],MATCH(BD25,T_Equipos[NombreEquipo],0)))&amp;")")</f>
        <v>P.1 (4)</v>
      </c>
      <c r="DC25" s="754">
        <f ca="1">IF(DB25="-","-",COUNTIFS(T_Equipos[Rank],"&lt;"&amp;INDEX(T_Equipos[Rank],MATCH(BD25,T_Equipos[NombreEquipo],0)),$BC$6:$BC$53,INDEX(T_Equipos[Grupo],MATCH(BD25,T_Equipos[NombreEquipo],0)))+1)</f>
        <v>4</v>
      </c>
      <c r="DD25" s="754">
        <f ca="1">DA25+COUNTIFS($DB$6:$DB$53,DB25,$DC$6:DC$53,"&lt;"&amp;DC25,$BC$6:$BC$53,INDEX(T_Equipos[Grupo],MATCH(BD25,T_Equipos[NombreEquipo],0)))</f>
        <v>4</v>
      </c>
      <c r="DE25" s="754"/>
      <c r="DF25" s="754">
        <f t="shared" ca="1" si="52"/>
        <v>4</v>
      </c>
      <c r="DG25" s="754">
        <f ca="1">IF(DB25="-","-",COUNTIFS(DF$6:DF$53,"&lt;"&amp;DF25,$BC$6:$BC$53,INDEX(T_Equipos[Grupo],MATCH(BD25,T_Equipos[NombreEquipo],0))))</f>
        <v>3</v>
      </c>
      <c r="DH25" s="754">
        <f ca="1">DA25+COUNTIFS(DB$6:DB$53,DB25,DG$6:DG$53,"&lt;"&amp;DG25,$BC$6:$BC$53,INDEX(T_Equipos[Grupo],MATCH(BD25,T_Equipos[NombreEquipo],0)))</f>
        <v>4</v>
      </c>
      <c r="DI25" s="742"/>
      <c r="DJ25" s="742">
        <f t="shared" ca="1" si="53"/>
        <v>1</v>
      </c>
      <c r="DK25" s="742">
        <f t="shared" ca="1" si="24"/>
        <v>0</v>
      </c>
      <c r="DL25" s="742">
        <f t="shared" ca="1" si="33"/>
        <v>1</v>
      </c>
      <c r="DM25" s="736" t="str">
        <f t="shared" ca="1" si="34"/>
        <v>1.1</v>
      </c>
      <c r="DN25" s="742" cm="1">
        <f t="array" aca="1" ref="DN25" ca="1">OFFSET(Horarios!$P$3,DJ25-1,0,DL25,1)</f>
        <v>1</v>
      </c>
      <c r="DO25" s="742"/>
      <c r="DP25" s="742" t="s">
        <v>663</v>
      </c>
      <c r="DQ25" s="742" t="str">
        <f t="shared" ca="1" si="35"/>
        <v>Ecuador</v>
      </c>
      <c r="DR25" s="742"/>
      <c r="DS25" s="742"/>
      <c r="DT25" s="742" t="str">
        <f t="shared" ca="1" si="15"/>
        <v>Marruecos-Haití</v>
      </c>
      <c r="DU25" s="742"/>
      <c r="DV25" s="742"/>
      <c r="DW25" s="8"/>
    </row>
    <row r="26" spans="1:127" ht="15.7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Países Bajos</v>
      </c>
      <c r="BE26" s="746">
        <f t="shared" ca="1" si="25"/>
        <v>0</v>
      </c>
      <c r="BF26" s="746">
        <f t="shared" ca="1" si="26"/>
        <v>0</v>
      </c>
      <c r="BG26" s="746">
        <f t="shared" ca="1" si="17"/>
        <v>0</v>
      </c>
      <c r="BH26" s="746">
        <f t="shared" ca="1" si="18"/>
        <v>0</v>
      </c>
      <c r="BI26" s="746">
        <f t="shared" ca="1" si="19"/>
        <v>0</v>
      </c>
      <c r="BJ26" s="746">
        <f t="shared" ca="1" si="20"/>
        <v>0</v>
      </c>
      <c r="BK26" s="746">
        <f t="shared" ca="1" si="21"/>
        <v>0</v>
      </c>
      <c r="BL26" s="746">
        <f t="shared" ca="1" si="27"/>
        <v>0</v>
      </c>
      <c r="BM26" s="746" t="str">
        <f t="shared" ca="1" si="22"/>
        <v>1F</v>
      </c>
      <c r="BN26" s="746" t="str">
        <f t="shared" ca="1" si="23"/>
        <v>1F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0</v>
      </c>
      <c r="BS26" s="755">
        <f ca="1">BP26+COUNTIFS($BQ$6:$BQ$53,BQ26,$BR$6:BR$53,"&gt;"&amp;BR26,$BC$6:$BC$53,INDEX(T_Equipos[Grupo],MATCH(BD26,T_Equipos[NombreEquipo],0)))</f>
        <v>1</v>
      </c>
      <c r="BT26" s="755" t="str">
        <f ca="1">IF(COUNTIFS($BS$6:$BS$53,BS26,$BC$6:$BC$53,INDEX(T_Equipos[Grupo],MATCH(BD26,T_Equipos[NombreEquipo],0)))=1,"-","P."&amp;BS26&amp;" ("&amp;COUNTIFS($BS$6:$BS$53,BS26,$BC$6:$BC$53,INDEX(T_Equipos[Grupo],MATCH(BD26,T_Equipos[NombreEquipo],0)))&amp;")")</f>
        <v>P.1 (4)</v>
      </c>
      <c r="BU26" s="756">
        <f t="shared" ca="1" si="36"/>
        <v>0</v>
      </c>
      <c r="BV26" s="756">
        <f t="shared" ca="1" si="37"/>
        <v>0</v>
      </c>
      <c r="BW26" s="756">
        <f t="shared" ca="1" si="38"/>
        <v>0</v>
      </c>
      <c r="BX26" s="756">
        <f t="shared" ca="1" si="39"/>
        <v>0</v>
      </c>
      <c r="BY26" s="756">
        <f ca="1">BS26+COUNTIFS($BT$6:$BT$53,BT26,$BX$6:BX$53,"&gt;"&amp;BX26,$BC$6:$BC$53,INDEX(T_Equipos[Grupo],MATCH(BD26,T_Equipos[NombreEquipo],0)))</f>
        <v>1</v>
      </c>
      <c r="BZ26" s="755" t="str">
        <f ca="1">IF(COUNTIFS($BY$6:$BY$53,BY26,$BC$6:$BC$53,INDEX(T_Equipos[Grupo],MATCH(BD26,T_Equipos[NombreEquipo],0)))=1,"-","P."&amp;BY26&amp;" ("&amp;COUNTIFS($BY$6:$BY$53,BY26,$BC$6:$BC$53,INDEX(T_Equipos[Grupo],MATCH(BD26,T_Equipos[NombreEquipo],0)))&amp;")")</f>
        <v>P.1 (4)</v>
      </c>
      <c r="CA26" s="756">
        <f t="shared" ca="1" si="40"/>
        <v>0</v>
      </c>
      <c r="CB26" s="756">
        <f t="shared" ca="1" si="41"/>
        <v>0</v>
      </c>
      <c r="CC26" s="756">
        <f t="shared" ca="1" si="42"/>
        <v>0</v>
      </c>
      <c r="CD26" s="756">
        <f ca="1">BY26+COUNTIFS($BZ$6:$BZ$53,BZ26,$CC$6:CC$53,"&gt;"&amp;CC26,$BC$6:$BC$53,INDEX(T_Equipos[Grupo],MATCH(BD26,T_Equipos[NombreEquipo],0)))</f>
        <v>1</v>
      </c>
      <c r="CE26" s="755" t="str">
        <f ca="1">IF(COUNTIFS($CD$6:$CD$53,CD26,$BC$6:$BC$53,INDEX(T_Equipos[Grupo],MATCH(BD26,T_Equipos[NombreEquipo],0)))=1,"-","P."&amp;CD26&amp;" ("&amp;COUNTIFS($CD$6:$CD$53,CD26,$BC$6:$BC$53,INDEX(T_Equipos[Grupo],MATCH(BD26,T_Equipos[NombreEquipo],0)))&amp;")")</f>
        <v>P.1 (4)</v>
      </c>
      <c r="CF26" s="756">
        <f t="shared" ca="1" si="43"/>
        <v>0</v>
      </c>
      <c r="CG26" s="756">
        <f ca="1">CD26+COUNTIFS($CE$6:$CE$53,CE26,$CF$6:CF$53,"&gt;"&amp;CF26,$BC$6:$BC$53,INDEX(T_Equipos[Grupo],MATCH(BD26,T_Equipos[NombreEquipo],0)))</f>
        <v>1</v>
      </c>
      <c r="CH26" s="755" t="str">
        <f ca="1">IF(COUNTIFS($CG$6:$CG$53,CG26,$BC$6:$BC$53,INDEX(T_Equipos[Grupo],MATCH(BD26,T_Equipos[NombreEquipo],0)))=1,"-","P."&amp;CG26&amp;" ("&amp;COUNTIFS($CG$6:$CG$53,CG26,$BC$6:$BC$53,INDEX(T_Equipos[Grupo],MATCH(BD26,T_Equipos[NombreEquipo],0)))&amp;")")</f>
        <v>P.1 (4)</v>
      </c>
      <c r="CI26" s="756">
        <f t="shared" ca="1" si="44"/>
        <v>0</v>
      </c>
      <c r="CJ26" s="756">
        <f t="shared" ca="1" si="45"/>
        <v>0</v>
      </c>
      <c r="CK26" s="756">
        <f t="shared" ca="1" si="46"/>
        <v>0</v>
      </c>
      <c r="CL26" s="756">
        <f t="shared" ca="1" si="47"/>
        <v>0</v>
      </c>
      <c r="CM26" s="756">
        <f ca="1">CG26+COUNTIFS($CH$6:$CH$53,CH26,$CL$6:CL$53,"&gt;"&amp;CL26,$BC$6:$BC$53,INDEX(T_Equipos[Grupo],MATCH(BD26,T_Equipos[NombreEquipo],0)))</f>
        <v>1</v>
      </c>
      <c r="CN26" s="755" t="str">
        <f ca="1">IF(COUNTIFS($CM$6:$CM$53,CM26,$BC$6:$BC$53,INDEX(T_Equipos[Grupo],MATCH(BD26,T_Equipos[NombreEquipo],0)))=1,"-","P."&amp;CM26&amp;" ("&amp;COUNTIFS($CM$6:$CM$53,CM26,$BC$6:$BC$53,INDEX(T_Equipos[Grupo],MATCH(BD26,T_Equipos[NombreEquipo],0)))&amp;")")</f>
        <v>P.1 (4)</v>
      </c>
      <c r="CO26" s="756">
        <f t="shared" ca="1" si="48"/>
        <v>0</v>
      </c>
      <c r="CP26" s="756">
        <f t="shared" ca="1" si="49"/>
        <v>0</v>
      </c>
      <c r="CQ26" s="756">
        <f t="shared" ca="1" si="50"/>
        <v>0</v>
      </c>
      <c r="CR26" s="756">
        <f ca="1">CM26+COUNTIFS($CN$6:$CN$53,CN26,$CQ$6:CQ$53,"&gt;"&amp;CQ26,$BC$6:$BC$53,INDEX(T_Equipos[Grupo],MATCH(BD26,T_Equipos[NombreEquipo],0)))</f>
        <v>1</v>
      </c>
      <c r="CS26" s="755" t="str">
        <f ca="1">IF(COUNTIFS($CR$6:$CR$53,CR26,$BC$6:$BC$53,INDEX(T_Equipos[Grupo],MATCH(BD26,T_Equipos[NombreEquipo],0)))=1,"-","P."&amp;CR26&amp;" ("&amp;COUNTIFS($CR$6:$CR$53,CR26,$BC$6:$BC$53,INDEX(T_Equipos[Grupo],MATCH(BD26,T_Equipos[NombreEquipo],0)))&amp;")")</f>
        <v>P.1 (4)</v>
      </c>
      <c r="CT26" s="756">
        <f t="shared" ca="1" si="51"/>
        <v>0</v>
      </c>
      <c r="CU26" s="756">
        <f ca="1">CR26+COUNTIFS($CS$6:$CS$53,CS26,$CT$6:CT$53,"&gt;"&amp;CT26,$BC$6:$BC$53,INDEX(T_Equipos[Grupo],MATCH(BD26,T_Equipos[NombreEquipo],0)))</f>
        <v>1</v>
      </c>
      <c r="CV26" s="755" t="str">
        <f ca="1">IF(COUNTIFS($CU$6:$CU$53,CU26,$BC$6:$BC$53,INDEX(T_Equipos[Grupo],MATCH(BD26,T_Equipos[NombreEquipo],0)))=1,"-","P."&amp;CU26&amp;" ("&amp;COUNTIFS($CU$6:$CU$53,CU26,$BC$6:$BC$53,INDEX(T_Equipos[Grupo],MATCH(BD26,T_Equipos[NombreEquipo],0)))&amp;")")</f>
        <v>P.1 (4)</v>
      </c>
      <c r="CW26" s="755">
        <f t="shared" ca="1" si="30"/>
        <v>0</v>
      </c>
      <c r="CX26" s="755">
        <f ca="1">CU26+COUNTIFS($CV$6:$CV$53,CV26,$CW$6:CW$53,"&gt;"&amp;CW26,$BC$6:$BC$53,INDEX(T_Equipos[Grupo],MATCH(BD26,T_Equipos[NombreEquipo],0)))</f>
        <v>1</v>
      </c>
      <c r="CY26" s="755" t="str">
        <f ca="1">IF(COUNTIFS($CX$6:$CX$53,CX26,$BC$6:$BC$53,INDEX(T_Equipos[Grupo],MATCH(BD26,T_Equipos[NombreEquipo],0)))=1,"-","P."&amp;CX26&amp;" ("&amp;COUNTIFS($CX$6:$CX$53,CX26,$BC$6:$BC$53,INDEX(T_Equipos[Grupo],MATCH(BD26,T_Equipos[NombreEquipo],0)))&amp;")")</f>
        <v>P.1 (4)</v>
      </c>
      <c r="CZ26" s="755">
        <f t="shared" ca="1" si="31"/>
        <v>0</v>
      </c>
      <c r="DA26" s="756">
        <f ca="1">CX26+COUNTIFS($CY$6:$CY$53,CY26,$CZ$6:CZ$53,"&gt;"&amp;CZ26,$BC$6:$BC$53,INDEX(T_Equipos[Grupo],MATCH(BD26,T_Equipos[NombreEquipo],0)))</f>
        <v>1</v>
      </c>
      <c r="DB26" s="755" t="str">
        <f ca="1">IF(COUNTIFS($DA$6:$DA$53,DA26,$BC$6:$BC$53,INDEX(T_Equipos[Grupo],MATCH(BD26,T_Equipos[NombreEquipo],0)))=1,"-","P."&amp;DA26&amp;" ("&amp;COUNTIFS($DA$6:$DA$53,DA26,$BC$6:$BC$53,INDEX(T_Equipos[Grupo],MATCH(BD26,T_Equipos[NombreEquipo],0)))&amp;")")</f>
        <v>P.1 (4)</v>
      </c>
      <c r="DC26" s="754">
        <f ca="1">IF(DB26="-","-",COUNTIFS(T_Equipos[Rank],"&lt;"&amp;INDEX(T_Equipos[Rank],MATCH(BD26,T_Equipos[NombreEquipo],0)),$BC$6:$BC$53,INDEX(T_Equipos[Grupo],MATCH(BD26,T_Equipos[NombreEquipo],0)))+1)</f>
        <v>1</v>
      </c>
      <c r="DD26" s="754">
        <f ca="1">DA26+COUNTIFS($DB$6:$DB$53,DB26,$DC$6:DC$53,"&lt;"&amp;DC26,$BC$6:$BC$53,INDEX(T_Equipos[Grupo],MATCH(BD26,T_Equipos[NombreEquipo],0)))</f>
        <v>1</v>
      </c>
      <c r="DE26" s="754"/>
      <c r="DF26" s="754">
        <f t="shared" ca="1" si="52"/>
        <v>1</v>
      </c>
      <c r="DG26" s="754">
        <f ca="1">IF(DB26="-","-",COUNTIFS(DF$6:DF$53,"&lt;"&amp;DF26,$BC$6:$BC$53,INDEX(T_Equipos[Grupo],MATCH(BD26,T_Equipos[NombreEquipo],0))))</f>
        <v>0</v>
      </c>
      <c r="DH26" s="754">
        <f ca="1">DA26+COUNTIFS(DB$6:DB$53,DB26,DG$6:DG$53,"&lt;"&amp;DG26,$BC$6:$BC$53,INDEX(T_Equipos[Grupo],MATCH(BD26,T_Equipos[NombreEquipo],0)))</f>
        <v>1</v>
      </c>
      <c r="DI26" s="742"/>
      <c r="DJ26" s="742">
        <f t="shared" ca="1" si="53"/>
        <v>1</v>
      </c>
      <c r="DK26" s="742">
        <f t="shared" ca="1" si="24"/>
        <v>0</v>
      </c>
      <c r="DL26" s="742">
        <f t="shared" ca="1" si="33"/>
        <v>1</v>
      </c>
      <c r="DM26" s="736" t="str">
        <f t="shared" ca="1" si="34"/>
        <v>1.1</v>
      </c>
      <c r="DN26" s="742" cm="1">
        <f t="array" aca="1" ref="DN26" ca="1">OFFSET(Horarios!$P$3,DJ26-1,0,DL26,1)</f>
        <v>1</v>
      </c>
      <c r="DO26" s="742"/>
      <c r="DP26" s="742" t="s">
        <v>664</v>
      </c>
      <c r="DQ26" s="742" t="str">
        <f t="shared" ca="1" si="35"/>
        <v>Países Bajos</v>
      </c>
      <c r="DR26" s="742"/>
      <c r="DS26" s="742"/>
      <c r="DT26" s="742" t="str">
        <f t="shared" si="15"/>
        <v>-</v>
      </c>
      <c r="DU26" s="742"/>
      <c r="DV26" s="742"/>
      <c r="DW26" s="8"/>
    </row>
    <row r="27" spans="1:127" ht="15.7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Japón</v>
      </c>
      <c r="BE27" s="746">
        <f t="shared" ca="1" si="25"/>
        <v>0</v>
      </c>
      <c r="BF27" s="746">
        <f t="shared" ca="1" si="26"/>
        <v>0</v>
      </c>
      <c r="BG27" s="746">
        <f t="shared" ca="1" si="17"/>
        <v>0</v>
      </c>
      <c r="BH27" s="746">
        <f t="shared" ca="1" si="18"/>
        <v>0</v>
      </c>
      <c r="BI27" s="746">
        <f t="shared" ca="1" si="19"/>
        <v>0</v>
      </c>
      <c r="BJ27" s="746">
        <f t="shared" ca="1" si="20"/>
        <v>0</v>
      </c>
      <c r="BK27" s="746">
        <f t="shared" ca="1" si="21"/>
        <v>0</v>
      </c>
      <c r="BL27" s="746">
        <f t="shared" ca="1" si="27"/>
        <v>0</v>
      </c>
      <c r="BM27" s="746" t="str">
        <f t="shared" ca="1" si="22"/>
        <v>2F</v>
      </c>
      <c r="BN27" s="746" t="str">
        <f t="shared" ca="1" si="23"/>
        <v>2F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0</v>
      </c>
      <c r="BS27" s="755">
        <f ca="1">BP27+COUNTIFS($BQ$6:$BQ$53,BQ27,$BR$6:BR$53,"&gt;"&amp;BR27,$BC$6:$BC$53,INDEX(T_Equipos[Grupo],MATCH(BD27,T_Equipos[NombreEquipo],0)))</f>
        <v>1</v>
      </c>
      <c r="BT27" s="755" t="str">
        <f ca="1">IF(COUNTIFS($BS$6:$BS$53,BS27,$BC$6:$BC$53,INDEX(T_Equipos[Grupo],MATCH(BD27,T_Equipos[NombreEquipo],0)))=1,"-","P."&amp;BS27&amp;" ("&amp;COUNTIFS($BS$6:$BS$53,BS27,$BC$6:$BC$53,INDEX(T_Equipos[Grupo],MATCH(BD27,T_Equipos[NombreEquipo],0)))&amp;")")</f>
        <v>P.1 (4)</v>
      </c>
      <c r="BU27" s="756">
        <f t="shared" ca="1" si="36"/>
        <v>0</v>
      </c>
      <c r="BV27" s="756">
        <f t="shared" ca="1" si="37"/>
        <v>0</v>
      </c>
      <c r="BW27" s="756">
        <f t="shared" ca="1" si="38"/>
        <v>0</v>
      </c>
      <c r="BX27" s="756">
        <f t="shared" ca="1" si="39"/>
        <v>0</v>
      </c>
      <c r="BY27" s="756">
        <f ca="1">BS27+COUNTIFS($BT$6:$BT$53,BT27,$BX$6:BX$53,"&gt;"&amp;BX27,$BC$6:$BC$53,INDEX(T_Equipos[Grupo],MATCH(BD27,T_Equipos[NombreEquipo],0)))</f>
        <v>1</v>
      </c>
      <c r="BZ27" s="755" t="str">
        <f ca="1">IF(COUNTIFS($BY$6:$BY$53,BY27,$BC$6:$BC$53,INDEX(T_Equipos[Grupo],MATCH(BD27,T_Equipos[NombreEquipo],0)))=1,"-","P."&amp;BY27&amp;" ("&amp;COUNTIFS($BY$6:$BY$53,BY27,$BC$6:$BC$53,INDEX(T_Equipos[Grupo],MATCH(BD27,T_Equipos[NombreEquipo],0)))&amp;")")</f>
        <v>P.1 (4)</v>
      </c>
      <c r="CA27" s="756">
        <f t="shared" ca="1" si="40"/>
        <v>0</v>
      </c>
      <c r="CB27" s="756">
        <f t="shared" ca="1" si="41"/>
        <v>0</v>
      </c>
      <c r="CC27" s="756">
        <f t="shared" ca="1" si="42"/>
        <v>0</v>
      </c>
      <c r="CD27" s="756">
        <f ca="1">BY27+COUNTIFS($BZ$6:$BZ$53,BZ27,$CC$6:CC$53,"&gt;"&amp;CC27,$BC$6:$BC$53,INDEX(T_Equipos[Grupo],MATCH(BD27,T_Equipos[NombreEquipo],0)))</f>
        <v>1</v>
      </c>
      <c r="CE27" s="755" t="str">
        <f ca="1">IF(COUNTIFS($CD$6:$CD$53,CD27,$BC$6:$BC$53,INDEX(T_Equipos[Grupo],MATCH(BD27,T_Equipos[NombreEquipo],0)))=1,"-","P."&amp;CD27&amp;" ("&amp;COUNTIFS($CD$6:$CD$53,CD27,$BC$6:$BC$53,INDEX(T_Equipos[Grupo],MATCH(BD27,T_Equipos[NombreEquipo],0)))&amp;")")</f>
        <v>P.1 (4)</v>
      </c>
      <c r="CF27" s="756">
        <f t="shared" ca="1" si="43"/>
        <v>0</v>
      </c>
      <c r="CG27" s="756">
        <f ca="1">CD27+COUNTIFS($CE$6:$CE$53,CE27,$CF$6:CF$53,"&gt;"&amp;CF27,$BC$6:$BC$53,INDEX(T_Equipos[Grupo],MATCH(BD27,T_Equipos[NombreEquipo],0)))</f>
        <v>1</v>
      </c>
      <c r="CH27" s="755" t="str">
        <f ca="1">IF(COUNTIFS($CG$6:$CG$53,CG27,$BC$6:$BC$53,INDEX(T_Equipos[Grupo],MATCH(BD27,T_Equipos[NombreEquipo],0)))=1,"-","P."&amp;CG27&amp;" ("&amp;COUNTIFS($CG$6:$CG$53,CG27,$BC$6:$BC$53,INDEX(T_Equipos[Grupo],MATCH(BD27,T_Equipos[NombreEquipo],0)))&amp;")")</f>
        <v>P.1 (4)</v>
      </c>
      <c r="CI27" s="756">
        <f t="shared" ca="1" si="44"/>
        <v>0</v>
      </c>
      <c r="CJ27" s="756">
        <f t="shared" ca="1" si="45"/>
        <v>0</v>
      </c>
      <c r="CK27" s="756">
        <f t="shared" ca="1" si="46"/>
        <v>0</v>
      </c>
      <c r="CL27" s="756">
        <f t="shared" ca="1" si="47"/>
        <v>0</v>
      </c>
      <c r="CM27" s="756">
        <f ca="1">CG27+COUNTIFS($CH$6:$CH$53,CH27,$CL$6:CL$53,"&gt;"&amp;CL27,$BC$6:$BC$53,INDEX(T_Equipos[Grupo],MATCH(BD27,T_Equipos[NombreEquipo],0)))</f>
        <v>1</v>
      </c>
      <c r="CN27" s="755" t="str">
        <f ca="1">IF(COUNTIFS($CM$6:$CM$53,CM27,$BC$6:$BC$53,INDEX(T_Equipos[Grupo],MATCH(BD27,T_Equipos[NombreEquipo],0)))=1,"-","P."&amp;CM27&amp;" ("&amp;COUNTIFS($CM$6:$CM$53,CM27,$BC$6:$BC$53,INDEX(T_Equipos[Grupo],MATCH(BD27,T_Equipos[NombreEquipo],0)))&amp;")")</f>
        <v>P.1 (4)</v>
      </c>
      <c r="CO27" s="756">
        <f t="shared" ca="1" si="48"/>
        <v>0</v>
      </c>
      <c r="CP27" s="756">
        <f t="shared" ca="1" si="49"/>
        <v>0</v>
      </c>
      <c r="CQ27" s="756">
        <f t="shared" ca="1" si="50"/>
        <v>0</v>
      </c>
      <c r="CR27" s="756">
        <f ca="1">CM27+COUNTIFS($CN$6:$CN$53,CN27,$CQ$6:CQ$53,"&gt;"&amp;CQ27,$BC$6:$BC$53,INDEX(T_Equipos[Grupo],MATCH(BD27,T_Equipos[NombreEquipo],0)))</f>
        <v>1</v>
      </c>
      <c r="CS27" s="755" t="str">
        <f ca="1">IF(COUNTIFS($CR$6:$CR$53,CR27,$BC$6:$BC$53,INDEX(T_Equipos[Grupo],MATCH(BD27,T_Equipos[NombreEquipo],0)))=1,"-","P."&amp;CR27&amp;" ("&amp;COUNTIFS($CR$6:$CR$53,CR27,$BC$6:$BC$53,INDEX(T_Equipos[Grupo],MATCH(BD27,T_Equipos[NombreEquipo],0)))&amp;")")</f>
        <v>P.1 (4)</v>
      </c>
      <c r="CT27" s="756">
        <f t="shared" ca="1" si="51"/>
        <v>0</v>
      </c>
      <c r="CU27" s="756">
        <f ca="1">CR27+COUNTIFS($CS$6:$CS$53,CS27,$CT$6:CT$53,"&gt;"&amp;CT27,$BC$6:$BC$53,INDEX(T_Equipos[Grupo],MATCH(BD27,T_Equipos[NombreEquipo],0)))</f>
        <v>1</v>
      </c>
      <c r="CV27" s="755" t="str">
        <f ca="1">IF(COUNTIFS($CU$6:$CU$53,CU27,$BC$6:$BC$53,INDEX(T_Equipos[Grupo],MATCH(BD27,T_Equipos[NombreEquipo],0)))=1,"-","P."&amp;CU27&amp;" ("&amp;COUNTIFS($CU$6:$CU$53,CU27,$BC$6:$BC$53,INDEX(T_Equipos[Grupo],MATCH(BD27,T_Equipos[NombreEquipo],0)))&amp;")")</f>
        <v>P.1 (4)</v>
      </c>
      <c r="CW27" s="755">
        <f t="shared" ca="1" si="30"/>
        <v>0</v>
      </c>
      <c r="CX27" s="755">
        <f ca="1">CU27+COUNTIFS($CV$6:$CV$53,CV27,$CW$6:CW$53,"&gt;"&amp;CW27,$BC$6:$BC$53,INDEX(T_Equipos[Grupo],MATCH(BD27,T_Equipos[NombreEquipo],0)))</f>
        <v>1</v>
      </c>
      <c r="CY27" s="755" t="str">
        <f ca="1">IF(COUNTIFS($CX$6:$CX$53,CX27,$BC$6:$BC$53,INDEX(T_Equipos[Grupo],MATCH(BD27,T_Equipos[NombreEquipo],0)))=1,"-","P."&amp;CX27&amp;" ("&amp;COUNTIFS($CX$6:$CX$53,CX27,$BC$6:$BC$53,INDEX(T_Equipos[Grupo],MATCH(BD27,T_Equipos[NombreEquipo],0)))&amp;")")</f>
        <v>P.1 (4)</v>
      </c>
      <c r="CZ27" s="755">
        <f t="shared" ca="1" si="31"/>
        <v>0</v>
      </c>
      <c r="DA27" s="756">
        <f ca="1">CX27+COUNTIFS($CY$6:$CY$53,CY27,$CZ$6:CZ$53,"&gt;"&amp;CZ27,$BC$6:$BC$53,INDEX(T_Equipos[Grupo],MATCH(BD27,T_Equipos[NombreEquipo],0)))</f>
        <v>1</v>
      </c>
      <c r="DB27" s="755" t="str">
        <f ca="1">IF(COUNTIFS($DA$6:$DA$53,DA27,$BC$6:$BC$53,INDEX(T_Equipos[Grupo],MATCH(BD27,T_Equipos[NombreEquipo],0)))=1,"-","P."&amp;DA27&amp;" ("&amp;COUNTIFS($DA$6:$DA$53,DA27,$BC$6:$BC$53,INDEX(T_Equipos[Grupo],MATCH(BD27,T_Equipos[NombreEquipo],0)))&amp;")")</f>
        <v>P.1 (4)</v>
      </c>
      <c r="DC27" s="754">
        <f ca="1">IF(DB27="-","-",COUNTIFS(T_Equipos[Rank],"&lt;"&amp;INDEX(T_Equipos[Rank],MATCH(BD27,T_Equipos[NombreEquipo],0)),$BC$6:$BC$53,INDEX(T_Equipos[Grupo],MATCH(BD27,T_Equipos[NombreEquipo],0)))+1)</f>
        <v>2</v>
      </c>
      <c r="DD27" s="754">
        <f ca="1">DA27+COUNTIFS($DB$6:$DB$53,DB27,$DC$6:DC$53,"&lt;"&amp;DC27,$BC$6:$BC$53,INDEX(T_Equipos[Grupo],MATCH(BD27,T_Equipos[NombreEquipo],0)))</f>
        <v>2</v>
      </c>
      <c r="DE27" s="754"/>
      <c r="DF27" s="754">
        <f t="shared" ca="1" si="52"/>
        <v>2</v>
      </c>
      <c r="DG27" s="754">
        <f ca="1">IF(DB27="-","-",COUNTIFS(DF$6:DF$53,"&lt;"&amp;DF27,$BC$6:$BC$53,INDEX(T_Equipos[Grupo],MATCH(BD27,T_Equipos[NombreEquipo],0))))</f>
        <v>1</v>
      </c>
      <c r="DH27" s="754">
        <f ca="1">DA27+COUNTIFS(DB$6:DB$53,DB27,DG$6:DG$53,"&lt;"&amp;DG27,$BC$6:$BC$53,INDEX(T_Equipos[Grupo],MATCH(BD27,T_Equipos[NombreEquipo],0)))</f>
        <v>2</v>
      </c>
      <c r="DI27" s="742"/>
      <c r="DJ27" s="742">
        <f t="shared" ca="1" si="53"/>
        <v>1</v>
      </c>
      <c r="DK27" s="742">
        <f t="shared" ca="1" si="24"/>
        <v>0</v>
      </c>
      <c r="DL27" s="742">
        <f t="shared" ca="1" si="33"/>
        <v>1</v>
      </c>
      <c r="DM27" s="736" t="str">
        <f t="shared" ca="1" si="34"/>
        <v>1.1</v>
      </c>
      <c r="DN27" s="742" cm="1">
        <f t="array" aca="1" ref="DN27" ca="1">OFFSET(Horarios!$P$3,DJ27-1,0,DL27,1)</f>
        <v>1</v>
      </c>
      <c r="DO27" s="742"/>
      <c r="DP27" s="742" t="s">
        <v>665</v>
      </c>
      <c r="DQ27" s="742" t="str">
        <f t="shared" ca="1" si="35"/>
        <v>Japón</v>
      </c>
      <c r="DR27" s="742"/>
      <c r="DS27" s="742"/>
      <c r="DT27" s="742" t="str">
        <f t="shared" si="15"/>
        <v>Casa-Fuera</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Pendiente</v>
      </c>
      <c r="E28" s="742" t="str">
        <f t="shared" ref="E28:E33" si="95">IF(D28="Pendiente","-",INDEX($BT$6:$BT$53,MATCH($AA28,$BD$6:$BD$53,0)))</f>
        <v>-</v>
      </c>
      <c r="F28" s="742" t="str">
        <f t="shared" ref="F28:F33" si="96">IF(D28="Pendiente","-",INDEX($BT$6:$BT$53,MATCH($AF28,$BD$6:$BD$53,0)))</f>
        <v>-</v>
      </c>
      <c r="G28" s="742"/>
      <c r="H28" s="742" t="str">
        <f t="shared" ref="H28:H33" si="97">IF(D28="Pendiente","-",INDEX($BZ$6:$BZ$53,MATCH($AA28,$BD$6:$BD$53,0)))</f>
        <v>-</v>
      </c>
      <c r="I28" s="742" t="str">
        <f t="shared" ref="I28:I33" si="98">IF(D28="Pendiente","-",INDEX($BZ$6:$BZ$53,MATCH($AF28,$BD$6:$BD$53,0)))</f>
        <v>-</v>
      </c>
      <c r="J28" s="742"/>
      <c r="K28" s="742" t="str">
        <f t="shared" ref="K28:K33" si="99">IF(D28="Pendiente","-",INDEX($CE$6:$CE$53,MATCH($AA28,$BD$6:$BD$53,0)))</f>
        <v>-</v>
      </c>
      <c r="L28" s="742" t="str">
        <f t="shared" ref="L28:L33" si="100">IF(D28="Pendiente","-",INDEX($CE$6:$CE$53,MATCH($AF28,$BD$6:$BD$53,0)))</f>
        <v>-</v>
      </c>
      <c r="M28" s="742"/>
      <c r="N28" s="742" t="str">
        <f t="shared" ref="N28:N33" si="101">IF(D28="Pendiente","-",INDEX($CH$6:$CH$53,MATCH($AA28,$BD$6:$BD$53,0)))</f>
        <v>-</v>
      </c>
      <c r="O28" s="742" t="str">
        <f t="shared" ref="O28:O33" si="102">IF(D28="Pendiente","-",INDEX($CH$6:$CH$53,MATCH($AF28,$BD$6:$BD$53,0)))</f>
        <v>-</v>
      </c>
      <c r="P28" s="742"/>
      <c r="Q28" s="742" t="str">
        <f t="shared" ref="Q28:Q33" si="103">IF(D28="Pendiente","-",INDEX($CN$6:$CN$53,MATCH($AA28,$BD$6:$BD$53,0)))</f>
        <v>-</v>
      </c>
      <c r="R28" s="742" t="str">
        <f t="shared" ref="R28:R33" si="104">IF(D28="Pendiente","-",INDEX($CN$6:$CN$53,MATCH($AF28,$BD$6:$BD$53,0)))</f>
        <v>-</v>
      </c>
      <c r="S28" s="742"/>
      <c r="T28" s="742" t="str">
        <f t="shared" ref="T28:T33" si="105">IF(D28="Pendiente","-",INDEX($CS$6:$CS$53,MATCH($AA28,$BD$6:$BD$53,0)))</f>
        <v>-</v>
      </c>
      <c r="U28" s="742" t="str">
        <f t="shared" ref="U28:U33" si="106">IF(D28="Pendiente","-",INDEX($CS$6:$CS$53,MATCH($AF28,$BD$6:$BD$53,0)))</f>
        <v>-</v>
      </c>
      <c r="V28" s="172"/>
      <c r="W28" s="839" t="s">
        <v>73</v>
      </c>
      <c r="X28" s="189">
        <f ca="1">Horarios!C28</f>
        <v>46185.875</v>
      </c>
      <c r="Y28" s="190">
        <f ca="1">Horarios!C28</f>
        <v>46185.875</v>
      </c>
      <c r="Z28" s="191" t="str">
        <f>$Z$4</f>
        <v>J1</v>
      </c>
      <c r="AA28" s="192" t="str">
        <f ca="1">A29</f>
        <v>Estados Unidos</v>
      </c>
      <c r="AB28" s="478" t="str" cm="1">
        <f t="array" aca="1" ref="AB28" ca="1">Ver_flag_local</f>
        <v/>
      </c>
      <c r="AC28" s="193"/>
      <c r="AD28" s="194"/>
      <c r="AE28" s="483" t="str" cm="1">
        <f t="array" aca="1" ref="AE28" ca="1">Ver_flag_visit</f>
        <v/>
      </c>
      <c r="AF28" s="195" t="str">
        <f ca="1">A30</f>
        <v>Paraguay</v>
      </c>
      <c r="AG28" s="413">
        <f t="shared" ref="AG28:AG33" si="107">IF(NOT(OR(ISBLANK(AC28),ISBLANK(AD28))),1,0)</f>
        <v>0</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Suecia</v>
      </c>
      <c r="BE28" s="746">
        <f t="shared" ca="1" si="25"/>
        <v>0</v>
      </c>
      <c r="BF28" s="746">
        <f t="shared" ca="1" si="26"/>
        <v>0</v>
      </c>
      <c r="BG28" s="746">
        <f t="shared" ca="1" si="17"/>
        <v>0</v>
      </c>
      <c r="BH28" s="746">
        <f t="shared" ca="1" si="18"/>
        <v>0</v>
      </c>
      <c r="BI28" s="746">
        <f t="shared" ca="1" si="19"/>
        <v>0</v>
      </c>
      <c r="BJ28" s="746">
        <f t="shared" ca="1" si="20"/>
        <v>0</v>
      </c>
      <c r="BK28" s="746">
        <f t="shared" ca="1" si="21"/>
        <v>0</v>
      </c>
      <c r="BL28" s="746">
        <f t="shared" ca="1" si="27"/>
        <v>0</v>
      </c>
      <c r="BM28" s="746" t="str">
        <f t="shared" ca="1" si="22"/>
        <v>3F</v>
      </c>
      <c r="BN28" s="746" t="str">
        <f t="shared" ca="1" si="23"/>
        <v>3F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0</v>
      </c>
      <c r="BS28" s="755">
        <f ca="1">BP28+COUNTIFS($BQ$6:$BQ$53,BQ28,$BR$6:BR$53,"&gt;"&amp;BR28,$BC$6:$BC$53,INDEX(T_Equipos[Grupo],MATCH(BD28,T_Equipos[NombreEquipo],0)))</f>
        <v>1</v>
      </c>
      <c r="BT28" s="755" t="str">
        <f ca="1">IF(COUNTIFS($BS$6:$BS$53,BS28,$BC$6:$BC$53,INDEX(T_Equipos[Grupo],MATCH(BD28,T_Equipos[NombreEquipo],0)))=1,"-","P."&amp;BS28&amp;" ("&amp;COUNTIFS($BS$6:$BS$53,BS28,$BC$6:$BC$53,INDEX(T_Equipos[Grupo],MATCH(BD28,T_Equipos[NombreEquipo],0)))&amp;")")</f>
        <v>P.1 (4)</v>
      </c>
      <c r="BU28" s="756">
        <f t="shared" ca="1" si="36"/>
        <v>0</v>
      </c>
      <c r="BV28" s="756">
        <f t="shared" ca="1" si="37"/>
        <v>0</v>
      </c>
      <c r="BW28" s="756">
        <f t="shared" ca="1" si="38"/>
        <v>0</v>
      </c>
      <c r="BX28" s="756">
        <f t="shared" ca="1" si="39"/>
        <v>0</v>
      </c>
      <c r="BY28" s="756">
        <f ca="1">BS28+COUNTIFS($BT$6:$BT$53,BT28,$BX$6:BX$53,"&gt;"&amp;BX28,$BC$6:$BC$53,INDEX(T_Equipos[Grupo],MATCH(BD28,T_Equipos[NombreEquipo],0)))</f>
        <v>1</v>
      </c>
      <c r="BZ28" s="755" t="str">
        <f ca="1">IF(COUNTIFS($BY$6:$BY$53,BY28,$BC$6:$BC$53,INDEX(T_Equipos[Grupo],MATCH(BD28,T_Equipos[NombreEquipo],0)))=1,"-","P."&amp;BY28&amp;" ("&amp;COUNTIFS($BY$6:$BY$53,BY28,$BC$6:$BC$53,INDEX(T_Equipos[Grupo],MATCH(BD28,T_Equipos[NombreEquipo],0)))&amp;")")</f>
        <v>P.1 (4)</v>
      </c>
      <c r="CA28" s="756">
        <f t="shared" ca="1" si="40"/>
        <v>0</v>
      </c>
      <c r="CB28" s="756">
        <f t="shared" ca="1" si="41"/>
        <v>0</v>
      </c>
      <c r="CC28" s="756">
        <f t="shared" ca="1" si="42"/>
        <v>0</v>
      </c>
      <c r="CD28" s="756">
        <f ca="1">BY28+COUNTIFS($BZ$6:$BZ$53,BZ28,$CC$6:CC$53,"&gt;"&amp;CC28,$BC$6:$BC$53,INDEX(T_Equipos[Grupo],MATCH(BD28,T_Equipos[NombreEquipo],0)))</f>
        <v>1</v>
      </c>
      <c r="CE28" s="755" t="str">
        <f ca="1">IF(COUNTIFS($CD$6:$CD$53,CD28,$BC$6:$BC$53,INDEX(T_Equipos[Grupo],MATCH(BD28,T_Equipos[NombreEquipo],0)))=1,"-","P."&amp;CD28&amp;" ("&amp;COUNTIFS($CD$6:$CD$53,CD28,$BC$6:$BC$53,INDEX(T_Equipos[Grupo],MATCH(BD28,T_Equipos[NombreEquipo],0)))&amp;")")</f>
        <v>P.1 (4)</v>
      </c>
      <c r="CF28" s="756">
        <f t="shared" ca="1" si="43"/>
        <v>0</v>
      </c>
      <c r="CG28" s="756">
        <f ca="1">CD28+COUNTIFS($CE$6:$CE$53,CE28,$CF$6:CF$53,"&gt;"&amp;CF28,$BC$6:$BC$53,INDEX(T_Equipos[Grupo],MATCH(BD28,T_Equipos[NombreEquipo],0)))</f>
        <v>1</v>
      </c>
      <c r="CH28" s="755" t="str">
        <f ca="1">IF(COUNTIFS($CG$6:$CG$53,CG28,$BC$6:$BC$53,INDEX(T_Equipos[Grupo],MATCH(BD28,T_Equipos[NombreEquipo],0)))=1,"-","P."&amp;CG28&amp;" ("&amp;COUNTIFS($CG$6:$CG$53,CG28,$BC$6:$BC$53,INDEX(T_Equipos[Grupo],MATCH(BD28,T_Equipos[NombreEquipo],0)))&amp;")")</f>
        <v>P.1 (4)</v>
      </c>
      <c r="CI28" s="756">
        <f t="shared" ca="1" si="44"/>
        <v>0</v>
      </c>
      <c r="CJ28" s="756">
        <f t="shared" ca="1" si="45"/>
        <v>0</v>
      </c>
      <c r="CK28" s="756">
        <f t="shared" ca="1" si="46"/>
        <v>0</v>
      </c>
      <c r="CL28" s="756">
        <f t="shared" ca="1" si="47"/>
        <v>0</v>
      </c>
      <c r="CM28" s="756">
        <f ca="1">CG28+COUNTIFS($CH$6:$CH$53,CH28,$CL$6:CL$53,"&gt;"&amp;CL28,$BC$6:$BC$53,INDEX(T_Equipos[Grupo],MATCH(BD28,T_Equipos[NombreEquipo],0)))</f>
        <v>1</v>
      </c>
      <c r="CN28" s="755" t="str">
        <f ca="1">IF(COUNTIFS($CM$6:$CM$53,CM28,$BC$6:$BC$53,INDEX(T_Equipos[Grupo],MATCH(BD28,T_Equipos[NombreEquipo],0)))=1,"-","P."&amp;CM28&amp;" ("&amp;COUNTIFS($CM$6:$CM$53,CM28,$BC$6:$BC$53,INDEX(T_Equipos[Grupo],MATCH(BD28,T_Equipos[NombreEquipo],0)))&amp;")")</f>
        <v>P.1 (4)</v>
      </c>
      <c r="CO28" s="756">
        <f t="shared" ca="1" si="48"/>
        <v>0</v>
      </c>
      <c r="CP28" s="756">
        <f t="shared" ca="1" si="49"/>
        <v>0</v>
      </c>
      <c r="CQ28" s="756">
        <f t="shared" ca="1" si="50"/>
        <v>0</v>
      </c>
      <c r="CR28" s="756">
        <f ca="1">CM28+COUNTIFS($CN$6:$CN$53,CN28,$CQ$6:CQ$53,"&gt;"&amp;CQ28,$BC$6:$BC$53,INDEX(T_Equipos[Grupo],MATCH(BD28,T_Equipos[NombreEquipo],0)))</f>
        <v>1</v>
      </c>
      <c r="CS28" s="755" t="str">
        <f ca="1">IF(COUNTIFS($CR$6:$CR$53,CR28,$BC$6:$BC$53,INDEX(T_Equipos[Grupo],MATCH(BD28,T_Equipos[NombreEquipo],0)))=1,"-","P."&amp;CR28&amp;" ("&amp;COUNTIFS($CR$6:$CR$53,CR28,$BC$6:$BC$53,INDEX(T_Equipos[Grupo],MATCH(BD28,T_Equipos[NombreEquipo],0)))&amp;")")</f>
        <v>P.1 (4)</v>
      </c>
      <c r="CT28" s="756">
        <f t="shared" ca="1" si="51"/>
        <v>0</v>
      </c>
      <c r="CU28" s="756">
        <f ca="1">CR28+COUNTIFS($CS$6:$CS$53,CS28,$CT$6:CT$53,"&gt;"&amp;CT28,$BC$6:$BC$53,INDEX(T_Equipos[Grupo],MATCH(BD28,T_Equipos[NombreEquipo],0)))</f>
        <v>1</v>
      </c>
      <c r="CV28" s="755" t="str">
        <f ca="1">IF(COUNTIFS($CU$6:$CU$53,CU28,$BC$6:$BC$53,INDEX(T_Equipos[Grupo],MATCH(BD28,T_Equipos[NombreEquipo],0)))=1,"-","P."&amp;CU28&amp;" ("&amp;COUNTIFS($CU$6:$CU$53,CU28,$BC$6:$BC$53,INDEX(T_Equipos[Grupo],MATCH(BD28,T_Equipos[NombreEquipo],0)))&amp;")")</f>
        <v>P.1 (4)</v>
      </c>
      <c r="CW28" s="755">
        <f t="shared" ca="1" si="30"/>
        <v>0</v>
      </c>
      <c r="CX28" s="755">
        <f ca="1">CU28+COUNTIFS($CV$6:$CV$53,CV28,$CW$6:CW$53,"&gt;"&amp;CW28,$BC$6:$BC$53,INDEX(T_Equipos[Grupo],MATCH(BD28,T_Equipos[NombreEquipo],0)))</f>
        <v>1</v>
      </c>
      <c r="CY28" s="755" t="str">
        <f ca="1">IF(COUNTIFS($CX$6:$CX$53,CX28,$BC$6:$BC$53,INDEX(T_Equipos[Grupo],MATCH(BD28,T_Equipos[NombreEquipo],0)))=1,"-","P."&amp;CX28&amp;" ("&amp;COUNTIFS($CX$6:$CX$53,CX28,$BC$6:$BC$53,INDEX(T_Equipos[Grupo],MATCH(BD28,T_Equipos[NombreEquipo],0)))&amp;")")</f>
        <v>P.1 (4)</v>
      </c>
      <c r="CZ28" s="755">
        <f t="shared" ca="1" si="31"/>
        <v>0</v>
      </c>
      <c r="DA28" s="756">
        <f ca="1">CX28+COUNTIFS($CY$6:$CY$53,CY28,$CZ$6:CZ$53,"&gt;"&amp;CZ28,$BC$6:$BC$53,INDEX(T_Equipos[Grupo],MATCH(BD28,T_Equipos[NombreEquipo],0)))</f>
        <v>1</v>
      </c>
      <c r="DB28" s="755" t="str">
        <f ca="1">IF(COUNTIFS($DA$6:$DA$53,DA28,$BC$6:$BC$53,INDEX(T_Equipos[Grupo],MATCH(BD28,T_Equipos[NombreEquipo],0)))=1,"-","P."&amp;DA28&amp;" ("&amp;COUNTIFS($DA$6:$DA$53,DA28,$BC$6:$BC$53,INDEX(T_Equipos[Grupo],MATCH(BD28,T_Equipos[NombreEquipo],0)))&amp;")")</f>
        <v>P.1 (4)</v>
      </c>
      <c r="DC28" s="754">
        <f ca="1">IF(DB28="-","-",COUNTIFS(T_Equipos[Rank],"&lt;"&amp;INDEX(T_Equipos[Rank],MATCH(BD28,T_Equipos[NombreEquipo],0)),$BC$6:$BC$53,INDEX(T_Equipos[Grupo],MATCH(BD28,T_Equipos[NombreEquipo],0)))+1)</f>
        <v>3</v>
      </c>
      <c r="DD28" s="754">
        <f ca="1">DA28+COUNTIFS($DB$6:$DB$53,DB28,$DC$6:DC$53,"&lt;"&amp;DC28,$BC$6:$BC$53,INDEX(T_Equipos[Grupo],MATCH(BD28,T_Equipos[NombreEquipo],0)))</f>
        <v>3</v>
      </c>
      <c r="DE28" s="754"/>
      <c r="DF28" s="754">
        <f t="shared" ca="1" si="52"/>
        <v>3</v>
      </c>
      <c r="DG28" s="754">
        <f ca="1">IF(DB28="-","-",COUNTIFS(DF$6:DF$53,"&lt;"&amp;DF28,$BC$6:$BC$53,INDEX(T_Equipos[Grupo],MATCH(BD28,T_Equipos[NombreEquipo],0))))</f>
        <v>2</v>
      </c>
      <c r="DH28" s="754">
        <f ca="1">DA28+COUNTIFS(DB$6:DB$53,DB28,DG$6:DG$53,"&lt;"&amp;DG28,$BC$6:$BC$53,INDEX(T_Equipos[Grupo],MATCH(BD28,T_Equipos[NombreEquipo],0)))</f>
        <v>3</v>
      </c>
      <c r="DI28" s="742"/>
      <c r="DJ28" s="742">
        <f t="shared" ca="1" si="53"/>
        <v>1</v>
      </c>
      <c r="DK28" s="742">
        <f t="shared" ca="1" si="24"/>
        <v>0</v>
      </c>
      <c r="DL28" s="742">
        <f t="shared" ca="1" si="33"/>
        <v>1</v>
      </c>
      <c r="DM28" s="736" t="str">
        <f t="shared" ca="1" si="34"/>
        <v>1.1</v>
      </c>
      <c r="DN28" s="742" cm="1">
        <f t="array" aca="1" ref="DN28" ca="1">OFFSET(Horarios!$P$3,DJ28-1,0,DL28,1)</f>
        <v>1</v>
      </c>
      <c r="DO28" s="742"/>
      <c r="DP28" s="742" t="s">
        <v>94</v>
      </c>
      <c r="DQ28" s="742" t="str">
        <f t="shared" ca="1" si="35"/>
        <v>Suecia</v>
      </c>
      <c r="DR28" s="742"/>
      <c r="DS28" s="742"/>
      <c r="DT28" s="742" t="str">
        <f t="shared" ca="1" si="15"/>
        <v>Estados Unidos-Paraguay</v>
      </c>
      <c r="DU28" s="742"/>
      <c r="DV28" s="742"/>
      <c r="DW28" s="8"/>
    </row>
    <row r="29" spans="1:127" ht="15.95" customHeight="1">
      <c r="A29" s="743" t="str">
        <f ca="1">+Equipos!B14</f>
        <v>Estados Unidos</v>
      </c>
      <c r="B29" s="740"/>
      <c r="C29" s="740"/>
      <c r="D29" s="742" t="str">
        <f t="shared" si="94"/>
        <v>Pendiente</v>
      </c>
      <c r="E29" s="742" t="str">
        <f t="shared" si="95"/>
        <v>-</v>
      </c>
      <c r="F29" s="742" t="str">
        <f t="shared" si="96"/>
        <v>-</v>
      </c>
      <c r="G29" s="742"/>
      <c r="H29" s="742" t="str">
        <f t="shared" si="97"/>
        <v>-</v>
      </c>
      <c r="I29" s="742" t="str">
        <f t="shared" si="98"/>
        <v>-</v>
      </c>
      <c r="J29" s="742"/>
      <c r="K29" s="742" t="str">
        <f t="shared" si="99"/>
        <v>-</v>
      </c>
      <c r="L29" s="742" t="str">
        <f t="shared" si="100"/>
        <v>-</v>
      </c>
      <c r="M29" s="742"/>
      <c r="N29" s="742" t="str">
        <f t="shared" si="101"/>
        <v>-</v>
      </c>
      <c r="O29" s="742" t="str">
        <f t="shared" si="102"/>
        <v>-</v>
      </c>
      <c r="P29" s="742"/>
      <c r="Q29" s="742" t="str">
        <f t="shared" si="103"/>
        <v>-</v>
      </c>
      <c r="R29" s="742" t="str">
        <f t="shared" si="104"/>
        <v>-</v>
      </c>
      <c r="S29" s="742"/>
      <c r="T29" s="742" t="str">
        <f t="shared" si="105"/>
        <v>-</v>
      </c>
      <c r="U29" s="742" t="str">
        <f t="shared" si="106"/>
        <v>-</v>
      </c>
      <c r="V29" s="172"/>
      <c r="W29" s="839"/>
      <c r="X29" s="189">
        <f ca="1">Horarios!C29</f>
        <v>46187</v>
      </c>
      <c r="Y29" s="190">
        <f ca="1">Horarios!C29</f>
        <v>46187</v>
      </c>
      <c r="Z29" s="191" t="str">
        <f>$Z$4</f>
        <v>J1</v>
      </c>
      <c r="AA29" s="192" t="str">
        <f ca="1">A31</f>
        <v>Australia</v>
      </c>
      <c r="AB29" s="478" t="str" cm="1">
        <f t="array" aca="1" ref="AB29" ca="1">Ver_flag_local</f>
        <v/>
      </c>
      <c r="AC29" s="193"/>
      <c r="AD29" s="194"/>
      <c r="AE29" s="483" t="str" cm="1">
        <f t="array" aca="1" ref="AE29" ca="1">Ver_flag_visit</f>
        <v/>
      </c>
      <c r="AF29" s="195" t="str">
        <f ca="1">A32</f>
        <v>Turquía</v>
      </c>
      <c r="AG29" s="413">
        <f t="shared" si="107"/>
        <v>0</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2"/>
      <c r="BC29" s="754" t="str">
        <f ca="1">+INDEX(T_Equipos[Grupo],MATCH(WORLDCUP!BD29,T_Equipos[NombreEquipo],0))</f>
        <v>F</v>
      </c>
      <c r="BD29" s="742" t="str">
        <f ca="1">+Equipos!B25</f>
        <v>Túnez</v>
      </c>
      <c r="BE29" s="746">
        <f t="shared" ca="1" si="25"/>
        <v>0</v>
      </c>
      <c r="BF29" s="746">
        <f t="shared" ca="1" si="26"/>
        <v>0</v>
      </c>
      <c r="BG29" s="746">
        <f t="shared" ca="1" si="17"/>
        <v>0</v>
      </c>
      <c r="BH29" s="746">
        <f t="shared" ca="1" si="18"/>
        <v>0</v>
      </c>
      <c r="BI29" s="746">
        <f t="shared" ca="1" si="19"/>
        <v>0</v>
      </c>
      <c r="BJ29" s="746">
        <f t="shared" ca="1" si="20"/>
        <v>0</v>
      </c>
      <c r="BK29" s="746">
        <f t="shared" ca="1" si="21"/>
        <v>0</v>
      </c>
      <c r="BL29" s="746">
        <f t="shared" ca="1" si="27"/>
        <v>0</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1</v>
      </c>
      <c r="BT29" s="755" t="str">
        <f ca="1">IF(COUNTIFS($BS$6:$BS$53,BS29,$BC$6:$BC$53,INDEX(T_Equipos[Grupo],MATCH(BD29,T_Equipos[NombreEquipo],0)))=1,"-","P."&amp;BS29&amp;" ("&amp;COUNTIFS($BS$6:$BS$53,BS29,$BC$6:$BC$53,INDEX(T_Equipos[Grupo],MATCH(BD29,T_Equipos[NombreEquipo],0)))&amp;")")</f>
        <v>P.1 (4)</v>
      </c>
      <c r="BU29" s="756">
        <f t="shared" ca="1" si="36"/>
        <v>0</v>
      </c>
      <c r="BV29" s="756">
        <f t="shared" ca="1" si="37"/>
        <v>0</v>
      </c>
      <c r="BW29" s="756">
        <f t="shared" ca="1" si="38"/>
        <v>0</v>
      </c>
      <c r="BX29" s="756">
        <f t="shared" ca="1" si="39"/>
        <v>0</v>
      </c>
      <c r="BY29" s="756">
        <f ca="1">BS29+COUNTIFS($BT$6:$BT$53,BT29,$BX$6:BX$53,"&gt;"&amp;BX29,$BC$6:$BC$53,INDEX(T_Equipos[Grupo],MATCH(BD29,T_Equipos[NombreEquipo],0)))</f>
        <v>1</v>
      </c>
      <c r="BZ29" s="755" t="str">
        <f ca="1">IF(COUNTIFS($BY$6:$BY$53,BY29,$BC$6:$BC$53,INDEX(T_Equipos[Grupo],MATCH(BD29,T_Equipos[NombreEquipo],0)))=1,"-","P."&amp;BY29&amp;" ("&amp;COUNTIFS($BY$6:$BY$53,BY29,$BC$6:$BC$53,INDEX(T_Equipos[Grupo],MATCH(BD29,T_Equipos[NombreEquipo],0)))&amp;")")</f>
        <v>P.1 (4)</v>
      </c>
      <c r="CA29" s="756">
        <f t="shared" ca="1" si="40"/>
        <v>0</v>
      </c>
      <c r="CB29" s="756">
        <f t="shared" ca="1" si="41"/>
        <v>0</v>
      </c>
      <c r="CC29" s="756">
        <f t="shared" ca="1" si="42"/>
        <v>0</v>
      </c>
      <c r="CD29" s="756">
        <f ca="1">BY29+COUNTIFS($BZ$6:$BZ$53,BZ29,$CC$6:CC$53,"&gt;"&amp;CC29,$BC$6:$BC$53,INDEX(T_Equipos[Grupo],MATCH(BD29,T_Equipos[NombreEquipo],0)))</f>
        <v>1</v>
      </c>
      <c r="CE29" s="755" t="str">
        <f ca="1">IF(COUNTIFS($CD$6:$CD$53,CD29,$BC$6:$BC$53,INDEX(T_Equipos[Grupo],MATCH(BD29,T_Equipos[NombreEquipo],0)))=1,"-","P."&amp;CD29&amp;" ("&amp;COUNTIFS($CD$6:$CD$53,CD29,$BC$6:$BC$53,INDEX(T_Equipos[Grupo],MATCH(BD29,T_Equipos[NombreEquipo],0)))&amp;")")</f>
        <v>P.1 (4)</v>
      </c>
      <c r="CF29" s="756">
        <f t="shared" ca="1" si="43"/>
        <v>0</v>
      </c>
      <c r="CG29" s="756">
        <f ca="1">CD29+COUNTIFS($CE$6:$CE$53,CE29,$CF$6:CF$53,"&gt;"&amp;CF29,$BC$6:$BC$53,INDEX(T_Equipos[Grupo],MATCH(BD29,T_Equipos[NombreEquipo],0)))</f>
        <v>1</v>
      </c>
      <c r="CH29" s="755" t="str">
        <f ca="1">IF(COUNTIFS($CG$6:$CG$53,CG29,$BC$6:$BC$53,INDEX(T_Equipos[Grupo],MATCH(BD29,T_Equipos[NombreEquipo],0)))=1,"-","P."&amp;CG29&amp;" ("&amp;COUNTIFS($CG$6:$CG$53,CG29,$BC$6:$BC$53,INDEX(T_Equipos[Grupo],MATCH(BD29,T_Equipos[NombreEquipo],0)))&amp;")")</f>
        <v>P.1 (4)</v>
      </c>
      <c r="CI29" s="756">
        <f t="shared" ca="1" si="44"/>
        <v>0</v>
      </c>
      <c r="CJ29" s="756">
        <f t="shared" ca="1" si="45"/>
        <v>0</v>
      </c>
      <c r="CK29" s="756">
        <f t="shared" ca="1" si="46"/>
        <v>0</v>
      </c>
      <c r="CL29" s="756">
        <f t="shared" ca="1" si="47"/>
        <v>0</v>
      </c>
      <c r="CM29" s="756">
        <f ca="1">CG29+COUNTIFS($CH$6:$CH$53,CH29,$CL$6:CL$53,"&gt;"&amp;CL29,$BC$6:$BC$53,INDEX(T_Equipos[Grupo],MATCH(BD29,T_Equipos[NombreEquipo],0)))</f>
        <v>1</v>
      </c>
      <c r="CN29" s="755" t="str">
        <f ca="1">IF(COUNTIFS($CM$6:$CM$53,CM29,$BC$6:$BC$53,INDEX(T_Equipos[Grupo],MATCH(BD29,T_Equipos[NombreEquipo],0)))=1,"-","P."&amp;CM29&amp;" ("&amp;COUNTIFS($CM$6:$CM$53,CM29,$BC$6:$BC$53,INDEX(T_Equipos[Grupo],MATCH(BD29,T_Equipos[NombreEquipo],0)))&amp;")")</f>
        <v>P.1 (4)</v>
      </c>
      <c r="CO29" s="756">
        <f t="shared" ca="1" si="48"/>
        <v>0</v>
      </c>
      <c r="CP29" s="756">
        <f t="shared" ca="1" si="49"/>
        <v>0</v>
      </c>
      <c r="CQ29" s="756">
        <f t="shared" ca="1" si="50"/>
        <v>0</v>
      </c>
      <c r="CR29" s="756">
        <f ca="1">CM29+COUNTIFS($CN$6:$CN$53,CN29,$CQ$6:CQ$53,"&gt;"&amp;CQ29,$BC$6:$BC$53,INDEX(T_Equipos[Grupo],MATCH(BD29,T_Equipos[NombreEquipo],0)))</f>
        <v>1</v>
      </c>
      <c r="CS29" s="755" t="str">
        <f ca="1">IF(COUNTIFS($CR$6:$CR$53,CR29,$BC$6:$BC$53,INDEX(T_Equipos[Grupo],MATCH(BD29,T_Equipos[NombreEquipo],0)))=1,"-","P."&amp;CR29&amp;" ("&amp;COUNTIFS($CR$6:$CR$53,CR29,$BC$6:$BC$53,INDEX(T_Equipos[Grupo],MATCH(BD29,T_Equipos[NombreEquipo],0)))&amp;")")</f>
        <v>P.1 (4)</v>
      </c>
      <c r="CT29" s="756">
        <f t="shared" ca="1" si="51"/>
        <v>0</v>
      </c>
      <c r="CU29" s="756">
        <f ca="1">CR29+COUNTIFS($CS$6:$CS$53,CS29,$CT$6:CT$53,"&gt;"&amp;CT29,$BC$6:$BC$53,INDEX(T_Equipos[Grupo],MATCH(BD29,T_Equipos[NombreEquipo],0)))</f>
        <v>1</v>
      </c>
      <c r="CV29" s="755" t="str">
        <f ca="1">IF(COUNTIFS($CU$6:$CU$53,CU29,$BC$6:$BC$53,INDEX(T_Equipos[Grupo],MATCH(BD29,T_Equipos[NombreEquipo],0)))=1,"-","P."&amp;CU29&amp;" ("&amp;COUNTIFS($CU$6:$CU$53,CU29,$BC$6:$BC$53,INDEX(T_Equipos[Grupo],MATCH(BD29,T_Equipos[NombreEquipo],0)))&amp;")")</f>
        <v>P.1 (4)</v>
      </c>
      <c r="CW29" s="755">
        <f t="shared" ca="1" si="30"/>
        <v>0</v>
      </c>
      <c r="CX29" s="755">
        <f ca="1">CU29+COUNTIFS($CV$6:$CV$53,CV29,$CW$6:CW$53,"&gt;"&amp;CW29,$BC$6:$BC$53,INDEX(T_Equipos[Grupo],MATCH(BD29,T_Equipos[NombreEquipo],0)))</f>
        <v>1</v>
      </c>
      <c r="CY29" s="755" t="str">
        <f ca="1">IF(COUNTIFS($CX$6:$CX$53,CX29,$BC$6:$BC$53,INDEX(T_Equipos[Grupo],MATCH(BD29,T_Equipos[NombreEquipo],0)))=1,"-","P."&amp;CX29&amp;" ("&amp;COUNTIFS($CX$6:$CX$53,CX29,$BC$6:$BC$53,INDEX(T_Equipos[Grupo],MATCH(BD29,T_Equipos[NombreEquipo],0)))&amp;")")</f>
        <v>P.1 (4)</v>
      </c>
      <c r="CZ29" s="755">
        <f t="shared" ca="1" si="31"/>
        <v>0</v>
      </c>
      <c r="DA29" s="756">
        <f ca="1">CX29+COUNTIFS($CY$6:$CY$53,CY29,$CZ$6:CZ$53,"&gt;"&amp;CZ29,$BC$6:$BC$53,INDEX(T_Equipos[Grupo],MATCH(BD29,T_Equipos[NombreEquipo],0)))</f>
        <v>1</v>
      </c>
      <c r="DB29" s="755" t="str">
        <f ca="1">IF(COUNTIFS($DA$6:$DA$53,DA29,$BC$6:$BC$53,INDEX(T_Equipos[Grupo],MATCH(BD29,T_Equipos[NombreEquipo],0)))=1,"-","P."&amp;DA29&amp;" ("&amp;COUNTIFS($DA$6:$DA$53,DA29,$BC$6:$BC$53,INDEX(T_Equipos[Grupo],MATCH(BD29,T_Equipos[NombreEquipo],0)))&amp;")")</f>
        <v>P.1 (4)</v>
      </c>
      <c r="DC29" s="754">
        <f ca="1">IF(DB29="-","-",COUNTIFS(T_Equipos[Rank],"&lt;"&amp;INDEX(T_Equipos[Rank],MATCH(BD29,T_Equipos[NombreEquipo],0)),$BC$6:$BC$53,INDEX(T_Equipos[Grupo],MATCH(BD29,T_Equipos[NombreEquipo],0)))+1)</f>
        <v>4</v>
      </c>
      <c r="DD29" s="754">
        <f ca="1">DA29+COUNTIFS($DB$6:$DB$53,DB29,$DC$6:DC$53,"&lt;"&amp;DC29,$BC$6:$BC$53,INDEX(T_Equipos[Grupo],MATCH(BD29,T_Equipos[NombreEquipo],0)))</f>
        <v>4</v>
      </c>
      <c r="DE29" s="754"/>
      <c r="DF29" s="754">
        <f t="shared" ca="1" si="52"/>
        <v>4</v>
      </c>
      <c r="DG29" s="754">
        <f ca="1">IF(DB29="-","-",COUNTIFS(DF$6:DF$53,"&lt;"&amp;DF29,$BC$6:$BC$53,INDEX(T_Equipos[Grupo],MATCH(BD29,T_Equipos[NombreEquipo],0))))</f>
        <v>3</v>
      </c>
      <c r="DH29" s="754">
        <f ca="1">DA29+COUNTIFS(DB$6:DB$53,DB29,DG$6:DG$53,"&lt;"&amp;DG29,$BC$6:$BC$53,INDEX(T_Equipos[Grupo],MATCH(BD29,T_Equipos[NombreEquipo],0)))</f>
        <v>4</v>
      </c>
      <c r="DI29" s="742"/>
      <c r="DJ29" s="742">
        <f t="shared" ca="1" si="53"/>
        <v>1</v>
      </c>
      <c r="DK29" s="742">
        <f t="shared" ca="1" si="24"/>
        <v>0</v>
      </c>
      <c r="DL29" s="742">
        <f t="shared" ca="1" si="33"/>
        <v>1</v>
      </c>
      <c r="DM29" s="736" t="str">
        <f t="shared" ca="1" si="34"/>
        <v>1.1</v>
      </c>
      <c r="DN29" s="742" cm="1">
        <f t="array" aca="1" ref="DN29" ca="1">OFFSET(Horarios!$P$3,DJ29-1,0,DL29,1)</f>
        <v>1</v>
      </c>
      <c r="DO29" s="742"/>
      <c r="DP29" s="742" t="s">
        <v>666</v>
      </c>
      <c r="DQ29" s="742" t="str">
        <f t="shared" ca="1" si="35"/>
        <v>Túnez</v>
      </c>
      <c r="DR29" s="742"/>
      <c r="DS29" s="742"/>
      <c r="DT29" s="742" t="str">
        <f t="shared" ca="1" si="15"/>
        <v>Australia-Turquía</v>
      </c>
      <c r="DU29" s="742"/>
      <c r="DV29" s="742"/>
      <c r="DW29" s="8"/>
    </row>
    <row r="30" spans="1:127" ht="15.95" customHeight="1">
      <c r="A30" s="743" t="str">
        <f ca="1">+Equipos!B15</f>
        <v>Paraguay</v>
      </c>
      <c r="B30" s="740"/>
      <c r="C30" s="744"/>
      <c r="D30" s="742" t="str">
        <f t="shared" si="94"/>
        <v>Pendiente</v>
      </c>
      <c r="E30" s="742" t="str">
        <f t="shared" si="95"/>
        <v>-</v>
      </c>
      <c r="F30" s="742" t="str">
        <f t="shared" si="96"/>
        <v>-</v>
      </c>
      <c r="G30" s="742"/>
      <c r="H30" s="742" t="str">
        <f t="shared" si="97"/>
        <v>-</v>
      </c>
      <c r="I30" s="742" t="str">
        <f t="shared" si="98"/>
        <v>-</v>
      </c>
      <c r="J30" s="742"/>
      <c r="K30" s="742" t="str">
        <f t="shared" si="99"/>
        <v>-</v>
      </c>
      <c r="L30" s="742" t="str">
        <f t="shared" si="100"/>
        <v>-</v>
      </c>
      <c r="M30" s="742"/>
      <c r="N30" s="742" t="str">
        <f t="shared" si="101"/>
        <v>-</v>
      </c>
      <c r="O30" s="742" t="str">
        <f t="shared" si="102"/>
        <v>-</v>
      </c>
      <c r="P30" s="742"/>
      <c r="Q30" s="742" t="str">
        <f t="shared" si="103"/>
        <v>-</v>
      </c>
      <c r="R30" s="742" t="str">
        <f t="shared" si="104"/>
        <v>-</v>
      </c>
      <c r="S30" s="742"/>
      <c r="T30" s="742" t="str">
        <f t="shared" si="105"/>
        <v>-</v>
      </c>
      <c r="U30" s="742" t="str">
        <f t="shared" si="106"/>
        <v>-</v>
      </c>
      <c r="V30" s="172"/>
      <c r="W30" s="839"/>
      <c r="X30" s="189">
        <f ca="1">Horarios!C30</f>
        <v>46192.625</v>
      </c>
      <c r="Y30" s="190">
        <f ca="1">Horarios!C30</f>
        <v>46192.625</v>
      </c>
      <c r="Z30" s="191" t="str">
        <f>$Z$6</f>
        <v>J2</v>
      </c>
      <c r="AA30" s="192" t="str">
        <f ca="1">A29</f>
        <v>Estados Unidos</v>
      </c>
      <c r="AB30" s="478" t="str" cm="1">
        <f t="array" aca="1" ref="AB30" ca="1">Ver_flag_local</f>
        <v/>
      </c>
      <c r="AC30" s="193"/>
      <c r="AD30" s="194"/>
      <c r="AE30" s="483" t="str" cm="1">
        <f t="array" aca="1" ref="AE30" ca="1">Ver_flag_visit</f>
        <v/>
      </c>
      <c r="AF30" s="195" t="str">
        <f ca="1">A31</f>
        <v>Australia</v>
      </c>
      <c r="AG30" s="413">
        <f t="shared" si="107"/>
        <v>0</v>
      </c>
      <c r="AH30" s="196">
        <v>32</v>
      </c>
      <c r="AI30" s="19" t="str">
        <f>AJ30&amp;$B$28</f>
        <v>1D</v>
      </c>
      <c r="AJ30" s="211">
        <v>1</v>
      </c>
      <c r="AK30" s="488" t="str" cm="1">
        <f t="array" aca="1" ref="AK30" ca="1">Ver_flag_visit</f>
        <v/>
      </c>
      <c r="AL30" s="212" t="str">
        <f ca="1">IFERROR(INDEX($BD$6:$BD$53,MATCH(AI30,$BN$6:$BN$53,0)),"")</f>
        <v>Estados Unidos</v>
      </c>
      <c r="AM30" s="213">
        <f t="shared" ref="AM30:AT33" ca="1" si="111">INDEX($BE$6:$BN$53,MATCH($AL30,$BD$6:$BD$53,0),MATCH(AM$5,$BE$5:$BN$5,0))</f>
        <v>0</v>
      </c>
      <c r="AN30" s="214">
        <f t="shared" ca="1" si="111"/>
        <v>0</v>
      </c>
      <c r="AO30" s="214">
        <f t="shared" ca="1" si="111"/>
        <v>0</v>
      </c>
      <c r="AP30" s="214">
        <f t="shared" ca="1" si="111"/>
        <v>0</v>
      </c>
      <c r="AQ30" s="214">
        <f t="shared" ca="1" si="111"/>
        <v>0</v>
      </c>
      <c r="AR30" s="214">
        <f t="shared" ca="1" si="111"/>
        <v>0</v>
      </c>
      <c r="AS30" s="214">
        <f t="shared" ca="1" si="111"/>
        <v>0</v>
      </c>
      <c r="AT30" s="215">
        <f t="shared" ca="1" si="111"/>
        <v>0</v>
      </c>
      <c r="AU30" s="420">
        <f ca="1">INDEX($DL$6:$DL$53,MATCH(AI30,$DP$6:$DP$53,0))</f>
        <v>1</v>
      </c>
      <c r="AV30" s="217" t="str">
        <f ca="1">INDEX($BD$6:$BD$53,MATCH(AI30,$BM$6:$BM$53,0))</f>
        <v>Estados Unidos</v>
      </c>
      <c r="AW30" s="427"/>
      <c r="AX30" s="218"/>
      <c r="AY30" s="219" t="str">
        <f ca="1">+A29</f>
        <v>Estados Unidos</v>
      </c>
      <c r="AZ30" s="220"/>
      <c r="BA30" s="175"/>
      <c r="BB30" s="742"/>
      <c r="BC30" s="754" t="str">
        <f ca="1">+INDEX(T_Equipos[Grupo],MATCH(WORLDCUP!BD30,T_Equipos[NombreEquipo],0))</f>
        <v>G</v>
      </c>
      <c r="BD30" s="742" t="str">
        <f ca="1">+Equipos!B26</f>
        <v>Bélgica</v>
      </c>
      <c r="BE30" s="746">
        <f t="shared" ca="1" si="25"/>
        <v>0</v>
      </c>
      <c r="BF30" s="746">
        <f t="shared" ca="1" si="26"/>
        <v>0</v>
      </c>
      <c r="BG30" s="746">
        <f t="shared" ca="1" si="17"/>
        <v>0</v>
      </c>
      <c r="BH30" s="746">
        <f t="shared" ca="1" si="18"/>
        <v>0</v>
      </c>
      <c r="BI30" s="746">
        <f t="shared" ca="1" si="19"/>
        <v>0</v>
      </c>
      <c r="BJ30" s="746">
        <f t="shared" ca="1" si="20"/>
        <v>0</v>
      </c>
      <c r="BK30" s="746">
        <f t="shared" ca="1" si="21"/>
        <v>0</v>
      </c>
      <c r="BL30" s="746">
        <f t="shared" ca="1" si="27"/>
        <v>0</v>
      </c>
      <c r="BM30" s="746" t="str">
        <f t="shared" ca="1" si="22"/>
        <v>1G</v>
      </c>
      <c r="BN30" s="746" t="str">
        <f t="shared" ca="1" si="23"/>
        <v>1G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0</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(4)</v>
      </c>
      <c r="BU30" s="756">
        <f t="shared" ca="1" si="36"/>
        <v>0</v>
      </c>
      <c r="BV30" s="756">
        <f t="shared" ca="1" si="37"/>
        <v>0</v>
      </c>
      <c r="BW30" s="756">
        <f t="shared" ca="1" si="38"/>
        <v>0</v>
      </c>
      <c r="BX30" s="756">
        <f t="shared" ca="1" si="39"/>
        <v>0</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(4)</v>
      </c>
      <c r="CA30" s="756">
        <f t="shared" ca="1" si="40"/>
        <v>0</v>
      </c>
      <c r="CB30" s="756">
        <f t="shared" ca="1" si="41"/>
        <v>0</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(4)</v>
      </c>
      <c r="CF30" s="756">
        <f t="shared" ca="1" si="43"/>
        <v>0</v>
      </c>
      <c r="CG30" s="756">
        <f ca="1">CD30+COUNTIFS($CE$6:$CE$53,CE30,$CF$6:CF$53,"&gt;"&amp;CF30,$BC$6:$BC$53,INDEX(T_Equipos[Grupo],MATCH(BD30,T_Equipos[NombreEquipo],0)))</f>
        <v>1</v>
      </c>
      <c r="CH30" s="755" t="str">
        <f ca="1">IF(COUNTIFS($CG$6:$CG$53,CG30,$BC$6:$BC$53,INDEX(T_Equipos[Grupo],MATCH(BD30,T_Equipos[NombreEquipo],0)))=1,"-","P."&amp;CG30&amp;" ("&amp;COUNTIFS($CG$6:$CG$53,CG30,$BC$6:$BC$53,INDEX(T_Equipos[Grupo],MATCH(BD30,T_Equipos[NombreEquipo],0)))&amp;")")</f>
        <v>P.1 (4)</v>
      </c>
      <c r="CI30" s="756">
        <f t="shared" ca="1" si="44"/>
        <v>0</v>
      </c>
      <c r="CJ30" s="756">
        <f t="shared" ca="1" si="45"/>
        <v>0</v>
      </c>
      <c r="CK30" s="756">
        <f t="shared" ca="1" si="46"/>
        <v>0</v>
      </c>
      <c r="CL30" s="756">
        <f t="shared" ca="1" si="47"/>
        <v>0</v>
      </c>
      <c r="CM30" s="756">
        <f ca="1">CG30+COUNTIFS($CH$6:$CH$53,CH30,$CL$6:CL$53,"&gt;"&amp;CL30,$BC$6:$BC$53,INDEX(T_Equipos[Grupo],MATCH(BD30,T_Equipos[NombreEquipo],0)))</f>
        <v>1</v>
      </c>
      <c r="CN30" s="755" t="str">
        <f ca="1">IF(COUNTIFS($CM$6:$CM$53,CM30,$BC$6:$BC$53,INDEX(T_Equipos[Grupo],MATCH(BD30,T_Equipos[NombreEquipo],0)))=1,"-","P."&amp;CM30&amp;" ("&amp;COUNTIFS($CM$6:$CM$53,CM30,$BC$6:$BC$53,INDEX(T_Equipos[Grupo],MATCH(BD30,T_Equipos[NombreEquipo],0)))&amp;")")</f>
        <v>P.1 (4)</v>
      </c>
      <c r="CO30" s="756">
        <f t="shared" ca="1" si="48"/>
        <v>0</v>
      </c>
      <c r="CP30" s="756">
        <f t="shared" ca="1" si="49"/>
        <v>0</v>
      </c>
      <c r="CQ30" s="756">
        <f t="shared" ca="1" si="50"/>
        <v>0</v>
      </c>
      <c r="CR30" s="756">
        <f ca="1">CM30+COUNTIFS($CN$6:$CN$53,CN30,$CQ$6:CQ$53,"&gt;"&amp;CQ30,$BC$6:$BC$53,INDEX(T_Equipos[Grupo],MATCH(BD30,T_Equipos[NombreEquipo],0)))</f>
        <v>1</v>
      </c>
      <c r="CS30" s="755" t="str">
        <f ca="1">IF(COUNTIFS($CR$6:$CR$53,CR30,$BC$6:$BC$53,INDEX(T_Equipos[Grupo],MATCH(BD30,T_Equipos[NombreEquipo],0)))=1,"-","P."&amp;CR30&amp;" ("&amp;COUNTIFS($CR$6:$CR$53,CR30,$BC$6:$BC$53,INDEX(T_Equipos[Grupo],MATCH(BD30,T_Equipos[NombreEquipo],0)))&amp;")")</f>
        <v>P.1 (4)</v>
      </c>
      <c r="CT30" s="756">
        <f t="shared" ca="1" si="51"/>
        <v>0</v>
      </c>
      <c r="CU30" s="756">
        <f ca="1">CR30+COUNTIFS($CS$6:$CS$53,CS30,$CT$6:CT$53,"&gt;"&amp;CT30,$BC$6:$BC$53,INDEX(T_Equipos[Grupo],MATCH(BD30,T_Equipos[NombreEquipo],0)))</f>
        <v>1</v>
      </c>
      <c r="CV30" s="755" t="str">
        <f ca="1">IF(COUNTIFS($CU$6:$CU$53,CU30,$BC$6:$BC$53,INDEX(T_Equipos[Grupo],MATCH(BD30,T_Equipos[NombreEquipo],0)))=1,"-","P."&amp;CU30&amp;" ("&amp;COUNTIFS($CU$6:$CU$53,CU30,$BC$6:$BC$53,INDEX(T_Equipos[Grupo],MATCH(BD30,T_Equipos[NombreEquipo],0)))&amp;")")</f>
        <v>P.1 (4)</v>
      </c>
      <c r="CW30" s="755">
        <f t="shared" ca="1" si="30"/>
        <v>0</v>
      </c>
      <c r="CX30" s="755">
        <f ca="1">CU30+COUNTIFS($CV$6:$CV$53,CV30,$CW$6:CW$53,"&gt;"&amp;CW30,$BC$6:$BC$53,INDEX(T_Equipos[Grupo],MATCH(BD30,T_Equipos[NombreEquipo],0)))</f>
        <v>1</v>
      </c>
      <c r="CY30" s="755" t="str">
        <f ca="1">IF(COUNTIFS($CX$6:$CX$53,CX30,$BC$6:$BC$53,INDEX(T_Equipos[Grupo],MATCH(BD30,T_Equipos[NombreEquipo],0)))=1,"-","P."&amp;CX30&amp;" ("&amp;COUNTIFS($CX$6:$CX$53,CX30,$BC$6:$BC$53,INDEX(T_Equipos[Grupo],MATCH(BD30,T_Equipos[NombreEquipo],0)))&amp;")")</f>
        <v>P.1 (4)</v>
      </c>
      <c r="CZ30" s="755">
        <f t="shared" ca="1" si="31"/>
        <v>0</v>
      </c>
      <c r="DA30" s="756">
        <f ca="1">CX30+COUNTIFS($CY$6:$CY$53,CY30,$CZ$6:CZ$53,"&gt;"&amp;CZ30,$BC$6:$BC$53,INDEX(T_Equipos[Grupo],MATCH(BD30,T_Equipos[NombreEquipo],0)))</f>
        <v>1</v>
      </c>
      <c r="DB30" s="755" t="str">
        <f ca="1">IF(COUNTIFS($DA$6:$DA$53,DA30,$BC$6:$BC$53,INDEX(T_Equipos[Grupo],MATCH(BD30,T_Equipos[NombreEquipo],0)))=1,"-","P."&amp;DA30&amp;" ("&amp;COUNTIFS($DA$6:$DA$53,DA30,$BC$6:$BC$53,INDEX(T_Equipos[Grupo],MATCH(BD30,T_Equipos[NombreEquipo],0)))&amp;")")</f>
        <v>P.1 (4)</v>
      </c>
      <c r="DC30" s="754">
        <f ca="1">IF(DB30="-","-",COUNTIFS(T_Equipos[Rank],"&lt;"&amp;INDEX(T_Equipos[Rank],MATCH(BD30,T_Equipos[NombreEquipo],0)),$BC$6:$BC$53,INDEX(T_Equipos[Grupo],MATCH(BD30,T_Equipos[NombreEquipo],0)))+1)</f>
        <v>1</v>
      </c>
      <c r="DD30" s="754">
        <f ca="1">DA30+COUNTIFS($DB$6:$DB$53,DB30,$DC$6:DC$53,"&lt;"&amp;DC30,$BC$6:$BC$53,INDEX(T_Equipos[Grupo],MATCH(BD30,T_Equipos[NombreEquipo],0)))</f>
        <v>1</v>
      </c>
      <c r="DE30" s="754"/>
      <c r="DF30" s="754">
        <f t="shared" ca="1" si="52"/>
        <v>1</v>
      </c>
      <c r="DG30" s="754">
        <f ca="1">IF(DB30="-","-",COUNTIFS(DF$6:DF$53,"&lt;"&amp;DF30,$BC$6:$BC$53,INDEX(T_Equipos[Grupo],MATCH(BD30,T_Equipos[NombreEquipo],0))))</f>
        <v>0</v>
      </c>
      <c r="DH30" s="754">
        <f ca="1">DA30+COUNTIFS(DB$6:DB$53,DB30,DG$6:DG$53,"&lt;"&amp;DG30,$BC$6:$BC$53,INDEX(T_Equipos[Grupo],MATCH(BD30,T_Equipos[NombreEquipo],0)))</f>
        <v>1</v>
      </c>
      <c r="DI30" s="742"/>
      <c r="DJ30" s="742">
        <f t="shared" ca="1" si="53"/>
        <v>1</v>
      </c>
      <c r="DK30" s="742">
        <f t="shared" ca="1" si="24"/>
        <v>0</v>
      </c>
      <c r="DL30" s="742">
        <f t="shared" ca="1" si="33"/>
        <v>1</v>
      </c>
      <c r="DM30" s="736" t="str">
        <f t="shared" ca="1" si="34"/>
        <v>1.1</v>
      </c>
      <c r="DN30" s="742" cm="1">
        <f t="array" aca="1" ref="DN30" ca="1">OFFSET(Horarios!$P$3,DJ30-1,0,DL30,1)</f>
        <v>1</v>
      </c>
      <c r="DO30" s="742"/>
      <c r="DP30" s="742" t="s">
        <v>667</v>
      </c>
      <c r="DQ30" s="742" t="str">
        <f t="shared" ca="1" si="35"/>
        <v>Bélgica</v>
      </c>
      <c r="DR30" s="742"/>
      <c r="DS30" s="742"/>
      <c r="DT30" s="742" t="str">
        <f t="shared" ca="1" si="15"/>
        <v>Estados Unidos-Australia</v>
      </c>
      <c r="DU30" s="742"/>
      <c r="DV30" s="742"/>
      <c r="DW30" s="8"/>
    </row>
    <row r="31" spans="1:127" ht="15.95" customHeight="1">
      <c r="A31" s="743" t="str">
        <f ca="1">+Equipos!B16</f>
        <v>Australia</v>
      </c>
      <c r="B31" s="740"/>
      <c r="C31" s="742"/>
      <c r="D31" s="742" t="str">
        <f t="shared" si="94"/>
        <v>Pendiente</v>
      </c>
      <c r="E31" s="742" t="str">
        <f t="shared" si="95"/>
        <v>-</v>
      </c>
      <c r="F31" s="742" t="str">
        <f t="shared" si="96"/>
        <v>-</v>
      </c>
      <c r="G31" s="742"/>
      <c r="H31" s="742" t="str">
        <f t="shared" si="97"/>
        <v>-</v>
      </c>
      <c r="I31" s="742" t="str">
        <f t="shared" si="98"/>
        <v>-</v>
      </c>
      <c r="J31" s="742"/>
      <c r="K31" s="742" t="str">
        <f t="shared" si="99"/>
        <v>-</v>
      </c>
      <c r="L31" s="742" t="str">
        <f t="shared" si="100"/>
        <v>-</v>
      </c>
      <c r="M31" s="742"/>
      <c r="N31" s="742" t="str">
        <f t="shared" si="101"/>
        <v>-</v>
      </c>
      <c r="O31" s="742" t="str">
        <f t="shared" si="102"/>
        <v>-</v>
      </c>
      <c r="P31" s="742"/>
      <c r="Q31" s="742" t="str">
        <f t="shared" si="103"/>
        <v>-</v>
      </c>
      <c r="R31" s="742" t="str">
        <f t="shared" si="104"/>
        <v>-</v>
      </c>
      <c r="S31" s="742"/>
      <c r="T31" s="742" t="str">
        <f t="shared" si="105"/>
        <v>-</v>
      </c>
      <c r="U31" s="742" t="str">
        <f t="shared" si="106"/>
        <v>-</v>
      </c>
      <c r="V31" s="172"/>
      <c r="W31" s="839"/>
      <c r="X31" s="189">
        <f ca="1">Horarios!C31</f>
        <v>46192.958333333336</v>
      </c>
      <c r="Y31" s="190">
        <f ca="1">Horarios!C31</f>
        <v>46192.958333333336</v>
      </c>
      <c r="Z31" s="191" t="str">
        <f>$Z$6</f>
        <v>J2</v>
      </c>
      <c r="AA31" s="192" t="str">
        <f ca="1">A32</f>
        <v>Turquía</v>
      </c>
      <c r="AB31" s="478" t="str" cm="1">
        <f t="array" aca="1" ref="AB31" ca="1">Ver_flag_local</f>
        <v/>
      </c>
      <c r="AC31" s="193"/>
      <c r="AD31" s="194"/>
      <c r="AE31" s="483" t="str" cm="1">
        <f t="array" aca="1" ref="AE31" ca="1">Ver_flag_visit</f>
        <v/>
      </c>
      <c r="AF31" s="195" t="str">
        <f ca="1">A30</f>
        <v>Paraguay</v>
      </c>
      <c r="AG31" s="413">
        <f t="shared" si="107"/>
        <v>0</v>
      </c>
      <c r="AH31" s="196">
        <v>31</v>
      </c>
      <c r="AI31" s="19" t="str">
        <f t="shared" ref="AI31:AI33" si="112">AJ31&amp;$B$28</f>
        <v>2D</v>
      </c>
      <c r="AJ31" s="221">
        <v>2</v>
      </c>
      <c r="AK31" s="486" t="str" cm="1">
        <f t="array" aca="1" ref="AK31" ca="1">Ver_flag_visit</f>
        <v/>
      </c>
      <c r="AL31" s="222" t="str">
        <f ca="1">IFERROR(INDEX($BD$6:$BD$53,MATCH(AI31,$BN$6:$BN$53,0)),"")</f>
        <v>Paraguay</v>
      </c>
      <c r="AM31" s="223">
        <f t="shared" ca="1" si="111"/>
        <v>0</v>
      </c>
      <c r="AN31" s="224">
        <f t="shared" ca="1" si="111"/>
        <v>0</v>
      </c>
      <c r="AO31" s="224">
        <f t="shared" ca="1" si="111"/>
        <v>0</v>
      </c>
      <c r="AP31" s="224">
        <f t="shared" ca="1" si="111"/>
        <v>0</v>
      </c>
      <c r="AQ31" s="224">
        <f t="shared" ca="1" si="111"/>
        <v>0</v>
      </c>
      <c r="AR31" s="224">
        <f t="shared" ca="1" si="111"/>
        <v>0</v>
      </c>
      <c r="AS31" s="224">
        <f t="shared" ca="1" si="111"/>
        <v>0</v>
      </c>
      <c r="AT31" s="225">
        <f t="shared" ca="1" si="111"/>
        <v>0</v>
      </c>
      <c r="AU31" s="420">
        <f ca="1">INDEX($DL$6:$DL$53,MATCH(AI31,$DP$6:$DP$53,0))</f>
        <v>1</v>
      </c>
      <c r="AV31" s="217" t="str">
        <f ca="1">INDEX($BD$6:$BD$53,MATCH(AI31,$BM$6:$BM$53,0))</f>
        <v>Paraguay</v>
      </c>
      <c r="AW31" s="427"/>
      <c r="AX31" s="218"/>
      <c r="AY31" s="226" t="str">
        <f ca="1">+A30</f>
        <v>Paraguay</v>
      </c>
      <c r="AZ31" s="227"/>
      <c r="BA31" s="175"/>
      <c r="BB31" s="742"/>
      <c r="BC31" s="754" t="str">
        <f ca="1">+INDEX(T_Equipos[Grupo],MATCH(WORLDCUP!BD31,T_Equipos[NombreEquipo],0))</f>
        <v>G</v>
      </c>
      <c r="BD31" s="742" t="str">
        <f ca="1">+Equipos!B27</f>
        <v>Egipto</v>
      </c>
      <c r="BE31" s="746">
        <f t="shared" ca="1" si="25"/>
        <v>0</v>
      </c>
      <c r="BF31" s="746">
        <f t="shared" ca="1" si="26"/>
        <v>0</v>
      </c>
      <c r="BG31" s="746">
        <f t="shared" ca="1" si="17"/>
        <v>0</v>
      </c>
      <c r="BH31" s="746">
        <f t="shared" ca="1" si="18"/>
        <v>0</v>
      </c>
      <c r="BI31" s="746">
        <f t="shared" ca="1" si="19"/>
        <v>0</v>
      </c>
      <c r="BJ31" s="746">
        <f t="shared" ca="1" si="20"/>
        <v>0</v>
      </c>
      <c r="BK31" s="746">
        <f t="shared" ca="1" si="21"/>
        <v>0</v>
      </c>
      <c r="BL31" s="746">
        <f t="shared" ca="1" si="27"/>
        <v>0</v>
      </c>
      <c r="BM31" s="746" t="str">
        <f t="shared" ca="1" si="22"/>
        <v>2G</v>
      </c>
      <c r="BN31" s="746" t="str">
        <f t="shared" ca="1" si="23"/>
        <v>2G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0</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(4)</v>
      </c>
      <c r="BU31" s="756">
        <f t="shared" ca="1" si="36"/>
        <v>0</v>
      </c>
      <c r="BV31" s="756">
        <f t="shared" ca="1" si="37"/>
        <v>0</v>
      </c>
      <c r="BW31" s="756">
        <f t="shared" ca="1" si="38"/>
        <v>0</v>
      </c>
      <c r="BX31" s="756">
        <f t="shared" ca="1" si="39"/>
        <v>0</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(4)</v>
      </c>
      <c r="CA31" s="756">
        <f t="shared" ca="1" si="40"/>
        <v>0</v>
      </c>
      <c r="CB31" s="756">
        <f t="shared" ca="1" si="41"/>
        <v>0</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(4)</v>
      </c>
      <c r="CF31" s="756">
        <f t="shared" ca="1" si="43"/>
        <v>0</v>
      </c>
      <c r="CG31" s="756">
        <f ca="1">CD31+COUNTIFS($CE$6:$CE$53,CE31,$CF$6:CF$53,"&gt;"&amp;CF31,$BC$6:$BC$53,INDEX(T_Equipos[Grupo],MATCH(BD31,T_Equipos[NombreEquipo],0)))</f>
        <v>1</v>
      </c>
      <c r="CH31" s="755" t="str">
        <f ca="1">IF(COUNTIFS($CG$6:$CG$53,CG31,$BC$6:$BC$53,INDEX(T_Equipos[Grupo],MATCH(BD31,T_Equipos[NombreEquipo],0)))=1,"-","P."&amp;CG31&amp;" ("&amp;COUNTIFS($CG$6:$CG$53,CG31,$BC$6:$BC$53,INDEX(T_Equipos[Grupo],MATCH(BD31,T_Equipos[NombreEquipo],0)))&amp;")")</f>
        <v>P.1 (4)</v>
      </c>
      <c r="CI31" s="756">
        <f t="shared" ca="1" si="44"/>
        <v>0</v>
      </c>
      <c r="CJ31" s="756">
        <f t="shared" ca="1" si="45"/>
        <v>0</v>
      </c>
      <c r="CK31" s="756">
        <f t="shared" ca="1" si="46"/>
        <v>0</v>
      </c>
      <c r="CL31" s="756">
        <f t="shared" ca="1" si="47"/>
        <v>0</v>
      </c>
      <c r="CM31" s="756">
        <f ca="1">CG31+COUNTIFS($CH$6:$CH$53,CH31,$CL$6:CL$53,"&gt;"&amp;CL31,$BC$6:$BC$53,INDEX(T_Equipos[Grupo],MATCH(BD31,T_Equipos[NombreEquipo],0)))</f>
        <v>1</v>
      </c>
      <c r="CN31" s="755" t="str">
        <f ca="1">IF(COUNTIFS($CM$6:$CM$53,CM31,$BC$6:$BC$53,INDEX(T_Equipos[Grupo],MATCH(BD31,T_Equipos[NombreEquipo],0)))=1,"-","P."&amp;CM31&amp;" ("&amp;COUNTIFS($CM$6:$CM$53,CM31,$BC$6:$BC$53,INDEX(T_Equipos[Grupo],MATCH(BD31,T_Equipos[NombreEquipo],0)))&amp;")")</f>
        <v>P.1 (4)</v>
      </c>
      <c r="CO31" s="756">
        <f t="shared" ca="1" si="48"/>
        <v>0</v>
      </c>
      <c r="CP31" s="756">
        <f t="shared" ca="1" si="49"/>
        <v>0</v>
      </c>
      <c r="CQ31" s="756">
        <f t="shared" ca="1" si="50"/>
        <v>0</v>
      </c>
      <c r="CR31" s="756">
        <f ca="1">CM31+COUNTIFS($CN$6:$CN$53,CN31,$CQ$6:CQ$53,"&gt;"&amp;CQ31,$BC$6:$BC$53,INDEX(T_Equipos[Grupo],MATCH(BD31,T_Equipos[NombreEquipo],0)))</f>
        <v>1</v>
      </c>
      <c r="CS31" s="755" t="str">
        <f ca="1">IF(COUNTIFS($CR$6:$CR$53,CR31,$BC$6:$BC$53,INDEX(T_Equipos[Grupo],MATCH(BD31,T_Equipos[NombreEquipo],0)))=1,"-","P."&amp;CR31&amp;" ("&amp;COUNTIFS($CR$6:$CR$53,CR31,$BC$6:$BC$53,INDEX(T_Equipos[Grupo],MATCH(BD31,T_Equipos[NombreEquipo],0)))&amp;")")</f>
        <v>P.1 (4)</v>
      </c>
      <c r="CT31" s="756">
        <f t="shared" ca="1" si="51"/>
        <v>0</v>
      </c>
      <c r="CU31" s="756">
        <f ca="1">CR31+COUNTIFS($CS$6:$CS$53,CS31,$CT$6:CT$53,"&gt;"&amp;CT31,$BC$6:$BC$53,INDEX(T_Equipos[Grupo],MATCH(BD31,T_Equipos[NombreEquipo],0)))</f>
        <v>1</v>
      </c>
      <c r="CV31" s="755" t="str">
        <f ca="1">IF(COUNTIFS($CU$6:$CU$53,CU31,$BC$6:$BC$53,INDEX(T_Equipos[Grupo],MATCH(BD31,T_Equipos[NombreEquipo],0)))=1,"-","P."&amp;CU31&amp;" ("&amp;COUNTIFS($CU$6:$CU$53,CU31,$BC$6:$BC$53,INDEX(T_Equipos[Grupo],MATCH(BD31,T_Equipos[NombreEquipo],0)))&amp;")")</f>
        <v>P.1 (4)</v>
      </c>
      <c r="CW31" s="755">
        <f t="shared" ca="1" si="30"/>
        <v>0</v>
      </c>
      <c r="CX31" s="755">
        <f ca="1">CU31+COUNTIFS($CV$6:$CV$53,CV31,$CW$6:CW$53,"&gt;"&amp;CW31,$BC$6:$BC$53,INDEX(T_Equipos[Grupo],MATCH(BD31,T_Equipos[NombreEquipo],0)))</f>
        <v>1</v>
      </c>
      <c r="CY31" s="755" t="str">
        <f ca="1">IF(COUNTIFS($CX$6:$CX$53,CX31,$BC$6:$BC$53,INDEX(T_Equipos[Grupo],MATCH(BD31,T_Equipos[NombreEquipo],0)))=1,"-","P."&amp;CX31&amp;" ("&amp;COUNTIFS($CX$6:$CX$53,CX31,$BC$6:$BC$53,INDEX(T_Equipos[Grupo],MATCH(BD31,T_Equipos[NombreEquipo],0)))&amp;")")</f>
        <v>P.1 (4)</v>
      </c>
      <c r="CZ31" s="755">
        <f t="shared" ca="1" si="31"/>
        <v>0</v>
      </c>
      <c r="DA31" s="756">
        <f ca="1">CX31+COUNTIFS($CY$6:$CY$53,CY31,$CZ$6:CZ$53,"&gt;"&amp;CZ31,$BC$6:$BC$53,INDEX(T_Equipos[Grupo],MATCH(BD31,T_Equipos[NombreEquipo],0)))</f>
        <v>1</v>
      </c>
      <c r="DB31" s="755" t="str">
        <f ca="1">IF(COUNTIFS($DA$6:$DA$53,DA31,$BC$6:$BC$53,INDEX(T_Equipos[Grupo],MATCH(BD31,T_Equipos[NombreEquipo],0)))=1,"-","P."&amp;DA31&amp;" ("&amp;COUNTIFS($DA$6:$DA$53,DA31,$BC$6:$BC$53,INDEX(T_Equipos[Grupo],MATCH(BD31,T_Equipos[NombreEquipo],0)))&amp;")")</f>
        <v>P.1 (4)</v>
      </c>
      <c r="DC31" s="754">
        <f ca="1">IF(DB31="-","-",COUNTIFS(T_Equipos[Rank],"&lt;"&amp;INDEX(T_Equipos[Rank],MATCH(BD31,T_Equipos[NombreEquipo],0)),$BC$6:$BC$53,INDEX(T_Equipos[Grupo],MATCH(BD31,T_Equipos[NombreEquipo],0)))+1)</f>
        <v>2</v>
      </c>
      <c r="DD31" s="754">
        <f ca="1">DA31+COUNTIFS($DB$6:$DB$53,DB31,$DC$6:DC$53,"&lt;"&amp;DC31,$BC$6:$BC$53,INDEX(T_Equipos[Grupo],MATCH(BD31,T_Equipos[NombreEquipo],0)))</f>
        <v>2</v>
      </c>
      <c r="DE31" s="754"/>
      <c r="DF31" s="754">
        <f t="shared" ca="1" si="52"/>
        <v>2</v>
      </c>
      <c r="DG31" s="754">
        <f ca="1">IF(DB31="-","-",COUNTIFS(DF$6:DF$53,"&lt;"&amp;DF31,$BC$6:$BC$53,INDEX(T_Equipos[Grupo],MATCH(BD31,T_Equipos[NombreEquipo],0))))</f>
        <v>1</v>
      </c>
      <c r="DH31" s="754">
        <f ca="1">DA31+COUNTIFS(DB$6:DB$53,DB31,DG$6:DG$53,"&lt;"&amp;DG31,$BC$6:$BC$53,INDEX(T_Equipos[Grupo],MATCH(BD31,T_Equipos[NombreEquipo],0)))</f>
        <v>2</v>
      </c>
      <c r="DI31" s="742"/>
      <c r="DJ31" s="742">
        <f t="shared" ca="1" si="53"/>
        <v>1</v>
      </c>
      <c r="DK31" s="742">
        <f t="shared" ca="1" si="24"/>
        <v>0</v>
      </c>
      <c r="DL31" s="742">
        <f t="shared" ca="1" si="33"/>
        <v>1</v>
      </c>
      <c r="DM31" s="736" t="str">
        <f t="shared" ca="1" si="34"/>
        <v>1.1</v>
      </c>
      <c r="DN31" s="742" cm="1">
        <f t="array" aca="1" ref="DN31" ca="1">OFFSET(Horarios!$P$3,DJ31-1,0,DL31,1)</f>
        <v>1</v>
      </c>
      <c r="DO31" s="742"/>
      <c r="DP31" s="742" t="s">
        <v>668</v>
      </c>
      <c r="DQ31" s="742" t="str">
        <f t="shared" ca="1" si="35"/>
        <v>Egipto</v>
      </c>
      <c r="DR31" s="742"/>
      <c r="DS31" s="742"/>
      <c r="DT31" s="742" t="str">
        <f t="shared" ca="1" si="15"/>
        <v>Turquía-Paraguay</v>
      </c>
      <c r="DU31" s="742"/>
      <c r="DV31" s="742"/>
      <c r="DW31" s="8"/>
    </row>
    <row r="32" spans="1:127" ht="15.95" customHeight="1">
      <c r="A32" s="743" t="str">
        <f ca="1">+Equipos!B17</f>
        <v>Turquía</v>
      </c>
      <c r="B32" s="740"/>
      <c r="C32" s="742"/>
      <c r="D32" s="742" t="str">
        <f t="shared" si="94"/>
        <v>Pendiente</v>
      </c>
      <c r="E32" s="742" t="str">
        <f t="shared" si="95"/>
        <v>-</v>
      </c>
      <c r="F32" s="742" t="str">
        <f t="shared" si="96"/>
        <v>-</v>
      </c>
      <c r="G32" s="742"/>
      <c r="H32" s="742" t="str">
        <f t="shared" si="97"/>
        <v>-</v>
      </c>
      <c r="I32" s="742" t="str">
        <f t="shared" si="98"/>
        <v>-</v>
      </c>
      <c r="J32" s="742"/>
      <c r="K32" s="742" t="str">
        <f t="shared" si="99"/>
        <v>-</v>
      </c>
      <c r="L32" s="742" t="str">
        <f t="shared" si="100"/>
        <v>-</v>
      </c>
      <c r="M32" s="742"/>
      <c r="N32" s="742" t="str">
        <f t="shared" si="101"/>
        <v>-</v>
      </c>
      <c r="O32" s="742" t="str">
        <f t="shared" si="102"/>
        <v>-</v>
      </c>
      <c r="P32" s="742"/>
      <c r="Q32" s="742" t="str">
        <f t="shared" si="103"/>
        <v>-</v>
      </c>
      <c r="R32" s="742" t="str">
        <f t="shared" si="104"/>
        <v>-</v>
      </c>
      <c r="S32" s="742"/>
      <c r="T32" s="742" t="str">
        <f t="shared" si="105"/>
        <v>-</v>
      </c>
      <c r="U32" s="742" t="str">
        <f t="shared" si="106"/>
        <v>-</v>
      </c>
      <c r="V32" s="172"/>
      <c r="W32" s="839"/>
      <c r="X32" s="189">
        <f ca="1">Horarios!C32</f>
        <v>46198.916666666664</v>
      </c>
      <c r="Y32" s="190">
        <f ca="1">Horarios!C32</f>
        <v>46198.916666666664</v>
      </c>
      <c r="Z32" s="191" t="str">
        <f>$Z$8</f>
        <v>J3</v>
      </c>
      <c r="AA32" s="192" t="str">
        <f ca="1">A32</f>
        <v>Turquía</v>
      </c>
      <c r="AB32" s="478" t="str" cm="1">
        <f t="array" aca="1" ref="AB32" ca="1">Ver_flag_local</f>
        <v/>
      </c>
      <c r="AC32" s="193"/>
      <c r="AD32" s="194"/>
      <c r="AE32" s="483" t="str" cm="1">
        <f t="array" aca="1" ref="AE32" ca="1">Ver_flag_visit</f>
        <v/>
      </c>
      <c r="AF32" s="195" t="str">
        <f ca="1">A29</f>
        <v>Estados Unidos</v>
      </c>
      <c r="AG32" s="413">
        <f t="shared" si="107"/>
        <v>0</v>
      </c>
      <c r="AH32" s="196">
        <v>59</v>
      </c>
      <c r="AI32" s="19" t="str">
        <f t="shared" si="112"/>
        <v>3D</v>
      </c>
      <c r="AJ32" s="221">
        <v>3</v>
      </c>
      <c r="AK32" s="486" t="str" cm="1">
        <f t="array" aca="1" ref="AK32" ca="1">Ver_flag_visit</f>
        <v/>
      </c>
      <c r="AL32" s="222" t="str">
        <f ca="1">IFERROR(INDEX($BD$6:$BD$53,MATCH(AI32,$BN$6:$BN$53,0)),"")</f>
        <v>Australia</v>
      </c>
      <c r="AM32" s="223">
        <f t="shared" ca="1" si="111"/>
        <v>0</v>
      </c>
      <c r="AN32" s="224">
        <f t="shared" ca="1" si="111"/>
        <v>0</v>
      </c>
      <c r="AO32" s="224">
        <f t="shared" ca="1" si="111"/>
        <v>0</v>
      </c>
      <c r="AP32" s="224">
        <f t="shared" ca="1" si="111"/>
        <v>0</v>
      </c>
      <c r="AQ32" s="224">
        <f t="shared" ca="1" si="111"/>
        <v>0</v>
      </c>
      <c r="AR32" s="224">
        <f t="shared" ca="1" si="111"/>
        <v>0</v>
      </c>
      <c r="AS32" s="224">
        <f t="shared" ca="1" si="111"/>
        <v>0</v>
      </c>
      <c r="AT32" s="225">
        <f t="shared" ca="1" si="111"/>
        <v>0</v>
      </c>
      <c r="AU32" s="420">
        <f ca="1">INDEX($DL$6:$DL$53,MATCH(AI32,$DP$6:$DP$53,0))</f>
        <v>1</v>
      </c>
      <c r="AV32" s="217" t="str">
        <f ca="1">INDEX($BD$6:$BD$53,MATCH(AI32,$BM$6:$BM$53,0))</f>
        <v>Australia</v>
      </c>
      <c r="AW32" s="427"/>
      <c r="AX32" s="218"/>
      <c r="AY32" s="219" t="str">
        <f ca="1">+A31</f>
        <v>Australia</v>
      </c>
      <c r="AZ32" s="220"/>
      <c r="BA32" s="175"/>
      <c r="BB32" s="742"/>
      <c r="BC32" s="754" t="str">
        <f ca="1">+INDEX(T_Equipos[Grupo],MATCH(WORLDCUP!BD32,T_Equipos[NombreEquipo],0))</f>
        <v>G</v>
      </c>
      <c r="BD32" s="742" t="str">
        <f ca="1">+Equipos!B28</f>
        <v>Irán</v>
      </c>
      <c r="BE32" s="746">
        <f t="shared" ca="1" si="25"/>
        <v>0</v>
      </c>
      <c r="BF32" s="746">
        <f t="shared" ca="1" si="26"/>
        <v>0</v>
      </c>
      <c r="BG32" s="746">
        <f t="shared" ca="1" si="17"/>
        <v>0</v>
      </c>
      <c r="BH32" s="746">
        <f t="shared" ca="1" si="18"/>
        <v>0</v>
      </c>
      <c r="BI32" s="746">
        <f t="shared" ca="1" si="19"/>
        <v>0</v>
      </c>
      <c r="BJ32" s="746">
        <f t="shared" ca="1" si="20"/>
        <v>0</v>
      </c>
      <c r="BK32" s="746">
        <f t="shared" ca="1" si="21"/>
        <v>0</v>
      </c>
      <c r="BL32" s="746">
        <f t="shared" ca="1" si="27"/>
        <v>0</v>
      </c>
      <c r="BM32" s="746" t="str">
        <f t="shared" ca="1" si="22"/>
        <v>3G</v>
      </c>
      <c r="BN32" s="746" t="str">
        <f t="shared" ca="1" si="23"/>
        <v>3G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0</v>
      </c>
      <c r="BS32" s="755">
        <f ca="1">BP32+COUNTIFS($BQ$6:$BQ$53,BQ32,$BR$6:BR$53,"&gt;"&amp;BR32,$BC$6:$BC$53,INDEX(T_Equipos[Grupo],MATCH(BD32,T_Equipos[NombreEquipo],0)))</f>
        <v>1</v>
      </c>
      <c r="BT32" s="755" t="str">
        <f ca="1">IF(COUNTIFS($BS$6:$BS$53,BS32,$BC$6:$BC$53,INDEX(T_Equipos[Grupo],MATCH(BD32,T_Equipos[NombreEquipo],0)))=1,"-","P."&amp;BS32&amp;" ("&amp;COUNTIFS($BS$6:$BS$53,BS32,$BC$6:$BC$53,INDEX(T_Equipos[Grupo],MATCH(BD32,T_Equipos[NombreEquipo],0)))&amp;")")</f>
        <v>P.1 (4)</v>
      </c>
      <c r="BU32" s="756">
        <f t="shared" ca="1" si="36"/>
        <v>0</v>
      </c>
      <c r="BV32" s="756">
        <f t="shared" ca="1" si="37"/>
        <v>0</v>
      </c>
      <c r="BW32" s="756">
        <f t="shared" ca="1" si="38"/>
        <v>0</v>
      </c>
      <c r="BX32" s="756">
        <f t="shared" ca="1" si="39"/>
        <v>0</v>
      </c>
      <c r="BY32" s="756">
        <f ca="1">BS32+COUNTIFS($BT$6:$BT$53,BT32,$BX$6:BX$53,"&gt;"&amp;BX32,$BC$6:$BC$53,INDEX(T_Equipos[Grupo],MATCH(BD32,T_Equipos[NombreEquipo],0)))</f>
        <v>1</v>
      </c>
      <c r="BZ32" s="755" t="str">
        <f ca="1">IF(COUNTIFS($BY$6:$BY$53,BY32,$BC$6:$BC$53,INDEX(T_Equipos[Grupo],MATCH(BD32,T_Equipos[NombreEquipo],0)))=1,"-","P."&amp;BY32&amp;" ("&amp;COUNTIFS($BY$6:$BY$53,BY32,$BC$6:$BC$53,INDEX(T_Equipos[Grupo],MATCH(BD32,T_Equipos[NombreEquipo],0)))&amp;")")</f>
        <v>P.1 (4)</v>
      </c>
      <c r="CA32" s="756">
        <f t="shared" ca="1" si="40"/>
        <v>0</v>
      </c>
      <c r="CB32" s="756">
        <f t="shared" ca="1" si="41"/>
        <v>0</v>
      </c>
      <c r="CC32" s="756">
        <f t="shared" ca="1" si="42"/>
        <v>0</v>
      </c>
      <c r="CD32" s="756">
        <f ca="1">BY32+COUNTIFS($BZ$6:$BZ$53,BZ32,$CC$6:CC$53,"&gt;"&amp;CC32,$BC$6:$BC$53,INDEX(T_Equipos[Grupo],MATCH(BD32,T_Equipos[NombreEquipo],0)))</f>
        <v>1</v>
      </c>
      <c r="CE32" s="755" t="str">
        <f ca="1">IF(COUNTIFS($CD$6:$CD$53,CD32,$BC$6:$BC$53,INDEX(T_Equipos[Grupo],MATCH(BD32,T_Equipos[NombreEquipo],0)))=1,"-","P."&amp;CD32&amp;" ("&amp;COUNTIFS($CD$6:$CD$53,CD32,$BC$6:$BC$53,INDEX(T_Equipos[Grupo],MATCH(BD32,T_Equipos[NombreEquipo],0)))&amp;")")</f>
        <v>P.1 (4)</v>
      </c>
      <c r="CF32" s="756">
        <f t="shared" ca="1" si="43"/>
        <v>0</v>
      </c>
      <c r="CG32" s="756">
        <f ca="1">CD32+COUNTIFS($CE$6:$CE$53,CE32,$CF$6:CF$53,"&gt;"&amp;CF32,$BC$6:$BC$53,INDEX(T_Equipos[Grupo],MATCH(BD32,T_Equipos[NombreEquipo],0)))</f>
        <v>1</v>
      </c>
      <c r="CH32" s="755" t="str">
        <f ca="1">IF(COUNTIFS($CG$6:$CG$53,CG32,$BC$6:$BC$53,INDEX(T_Equipos[Grupo],MATCH(BD32,T_Equipos[NombreEquipo],0)))=1,"-","P."&amp;CG32&amp;" ("&amp;COUNTIFS($CG$6:$CG$53,CG32,$BC$6:$BC$53,INDEX(T_Equipos[Grupo],MATCH(BD32,T_Equipos[NombreEquipo],0)))&amp;")")</f>
        <v>P.1 (4)</v>
      </c>
      <c r="CI32" s="756">
        <f t="shared" ca="1" si="44"/>
        <v>0</v>
      </c>
      <c r="CJ32" s="756">
        <f t="shared" ca="1" si="45"/>
        <v>0</v>
      </c>
      <c r="CK32" s="756">
        <f t="shared" ca="1" si="46"/>
        <v>0</v>
      </c>
      <c r="CL32" s="756">
        <f t="shared" ca="1" si="47"/>
        <v>0</v>
      </c>
      <c r="CM32" s="756">
        <f ca="1">CG32+COUNTIFS($CH$6:$CH$53,CH32,$CL$6:CL$53,"&gt;"&amp;CL32,$BC$6:$BC$53,INDEX(T_Equipos[Grupo],MATCH(BD32,T_Equipos[NombreEquipo],0)))</f>
        <v>1</v>
      </c>
      <c r="CN32" s="755" t="str">
        <f ca="1">IF(COUNTIFS($CM$6:$CM$53,CM32,$BC$6:$BC$53,INDEX(T_Equipos[Grupo],MATCH(BD32,T_Equipos[NombreEquipo],0)))=1,"-","P."&amp;CM32&amp;" ("&amp;COUNTIFS($CM$6:$CM$53,CM32,$BC$6:$BC$53,INDEX(T_Equipos[Grupo],MATCH(BD32,T_Equipos[NombreEquipo],0)))&amp;")")</f>
        <v>P.1 (4)</v>
      </c>
      <c r="CO32" s="756">
        <f t="shared" ca="1" si="48"/>
        <v>0</v>
      </c>
      <c r="CP32" s="756">
        <f t="shared" ca="1" si="49"/>
        <v>0</v>
      </c>
      <c r="CQ32" s="756">
        <f t="shared" ca="1" si="50"/>
        <v>0</v>
      </c>
      <c r="CR32" s="756">
        <f ca="1">CM32+COUNTIFS($CN$6:$CN$53,CN32,$CQ$6:CQ$53,"&gt;"&amp;CQ32,$BC$6:$BC$53,INDEX(T_Equipos[Grupo],MATCH(BD32,T_Equipos[NombreEquipo],0)))</f>
        <v>1</v>
      </c>
      <c r="CS32" s="755" t="str">
        <f ca="1">IF(COUNTIFS($CR$6:$CR$53,CR32,$BC$6:$BC$53,INDEX(T_Equipos[Grupo],MATCH(BD32,T_Equipos[NombreEquipo],0)))=1,"-","P."&amp;CR32&amp;" ("&amp;COUNTIFS($CR$6:$CR$53,CR32,$BC$6:$BC$53,INDEX(T_Equipos[Grupo],MATCH(BD32,T_Equipos[NombreEquipo],0)))&amp;")")</f>
        <v>P.1 (4)</v>
      </c>
      <c r="CT32" s="756">
        <f t="shared" ca="1" si="51"/>
        <v>0</v>
      </c>
      <c r="CU32" s="756">
        <f ca="1">CR32+COUNTIFS($CS$6:$CS$53,CS32,$CT$6:CT$53,"&gt;"&amp;CT32,$BC$6:$BC$53,INDEX(T_Equipos[Grupo],MATCH(BD32,T_Equipos[NombreEquipo],0)))</f>
        <v>1</v>
      </c>
      <c r="CV32" s="755" t="str">
        <f ca="1">IF(COUNTIFS($CU$6:$CU$53,CU32,$BC$6:$BC$53,INDEX(T_Equipos[Grupo],MATCH(BD32,T_Equipos[NombreEquipo],0)))=1,"-","P."&amp;CU32&amp;" ("&amp;COUNTIFS($CU$6:$CU$53,CU32,$BC$6:$BC$53,INDEX(T_Equipos[Grupo],MATCH(BD32,T_Equipos[NombreEquipo],0)))&amp;")")</f>
        <v>P.1 (4)</v>
      </c>
      <c r="CW32" s="755">
        <f t="shared" ca="1" si="30"/>
        <v>0</v>
      </c>
      <c r="CX32" s="755">
        <f ca="1">CU32+COUNTIFS($CV$6:$CV$53,CV32,$CW$6:CW$53,"&gt;"&amp;CW32,$BC$6:$BC$53,INDEX(T_Equipos[Grupo],MATCH(BD32,T_Equipos[NombreEquipo],0)))</f>
        <v>1</v>
      </c>
      <c r="CY32" s="755" t="str">
        <f ca="1">IF(COUNTIFS($CX$6:$CX$53,CX32,$BC$6:$BC$53,INDEX(T_Equipos[Grupo],MATCH(BD32,T_Equipos[NombreEquipo],0)))=1,"-","P."&amp;CX32&amp;" ("&amp;COUNTIFS($CX$6:$CX$53,CX32,$BC$6:$BC$53,INDEX(T_Equipos[Grupo],MATCH(BD32,T_Equipos[NombreEquipo],0)))&amp;")")</f>
        <v>P.1 (4)</v>
      </c>
      <c r="CZ32" s="755">
        <f t="shared" ca="1" si="31"/>
        <v>0</v>
      </c>
      <c r="DA32" s="756">
        <f ca="1">CX32+COUNTIFS($CY$6:$CY$53,CY32,$CZ$6:CZ$53,"&gt;"&amp;CZ32,$BC$6:$BC$53,INDEX(T_Equipos[Grupo],MATCH(BD32,T_Equipos[NombreEquipo],0)))</f>
        <v>1</v>
      </c>
      <c r="DB32" s="755" t="str">
        <f ca="1">IF(COUNTIFS($DA$6:$DA$53,DA32,$BC$6:$BC$53,INDEX(T_Equipos[Grupo],MATCH(BD32,T_Equipos[NombreEquipo],0)))=1,"-","P."&amp;DA32&amp;" ("&amp;COUNTIFS($DA$6:$DA$53,DA32,$BC$6:$BC$53,INDEX(T_Equipos[Grupo],MATCH(BD32,T_Equipos[NombreEquipo],0)))&amp;")")</f>
        <v>P.1 (4)</v>
      </c>
      <c r="DC32" s="754">
        <f ca="1">IF(DB32="-","-",COUNTIFS(T_Equipos[Rank],"&lt;"&amp;INDEX(T_Equipos[Rank],MATCH(BD32,T_Equipos[NombreEquipo],0)),$BC$6:$BC$53,INDEX(T_Equipos[Grupo],MATCH(BD32,T_Equipos[NombreEquipo],0)))+1)</f>
        <v>3</v>
      </c>
      <c r="DD32" s="754">
        <f ca="1">DA32+COUNTIFS($DB$6:$DB$53,DB32,$DC$6:DC$53,"&lt;"&amp;DC32,$BC$6:$BC$53,INDEX(T_Equipos[Grupo],MATCH(BD32,T_Equipos[NombreEquipo],0)))</f>
        <v>3</v>
      </c>
      <c r="DE32" s="754"/>
      <c r="DF32" s="754">
        <f t="shared" ca="1" si="52"/>
        <v>3</v>
      </c>
      <c r="DG32" s="754">
        <f ca="1">IF(DB32="-","-",COUNTIFS(DF$6:DF$53,"&lt;"&amp;DF32,$BC$6:$BC$53,INDEX(T_Equipos[Grupo],MATCH(BD32,T_Equipos[NombreEquipo],0))))</f>
        <v>2</v>
      </c>
      <c r="DH32" s="754">
        <f ca="1">DA32+COUNTIFS(DB$6:DB$53,DB32,DG$6:DG$53,"&lt;"&amp;DG32,$BC$6:$BC$53,INDEX(T_Equipos[Grupo],MATCH(BD32,T_Equipos[NombreEquipo],0)))</f>
        <v>3</v>
      </c>
      <c r="DI32" s="742"/>
      <c r="DJ32" s="742">
        <f t="shared" ca="1" si="53"/>
        <v>1</v>
      </c>
      <c r="DK32" s="742">
        <f t="shared" ca="1" si="24"/>
        <v>0</v>
      </c>
      <c r="DL32" s="742">
        <f t="shared" ca="1" si="33"/>
        <v>1</v>
      </c>
      <c r="DM32" s="736" t="str">
        <f t="shared" ca="1" si="34"/>
        <v>1.1</v>
      </c>
      <c r="DN32" s="742" cm="1">
        <f t="array" aca="1" ref="DN32" ca="1">OFFSET(Horarios!$P$3,DJ32-1,0,DL32,1)</f>
        <v>1</v>
      </c>
      <c r="DO32" s="742"/>
      <c r="DP32" s="742" t="s">
        <v>435</v>
      </c>
      <c r="DQ32" s="742" t="str">
        <f t="shared" ca="1" si="35"/>
        <v>Irán</v>
      </c>
      <c r="DR32" s="742"/>
      <c r="DS32" s="742"/>
      <c r="DT32" s="742" t="str">
        <f t="shared" ca="1" si="15"/>
        <v>Turquía-Estados Unidos</v>
      </c>
      <c r="DU32" s="742"/>
      <c r="DV32" s="742"/>
      <c r="DW32" s="8"/>
    </row>
    <row r="33" spans="1:127" ht="17.100000000000001" customHeight="1" thickBot="1">
      <c r="A33" s="737"/>
      <c r="B33" s="737"/>
      <c r="C33" s="737"/>
      <c r="D33" s="742" t="str">
        <f t="shared" si="94"/>
        <v>Pendiente</v>
      </c>
      <c r="E33" s="742" t="str">
        <f t="shared" si="95"/>
        <v>-</v>
      </c>
      <c r="F33" s="742" t="str">
        <f t="shared" si="96"/>
        <v>-</v>
      </c>
      <c r="G33" s="742"/>
      <c r="H33" s="742" t="str">
        <f t="shared" si="97"/>
        <v>-</v>
      </c>
      <c r="I33" s="742" t="str">
        <f t="shared" si="98"/>
        <v>-</v>
      </c>
      <c r="J33" s="742"/>
      <c r="K33" s="742" t="str">
        <f t="shared" si="99"/>
        <v>-</v>
      </c>
      <c r="L33" s="742" t="str">
        <f t="shared" si="100"/>
        <v>-</v>
      </c>
      <c r="M33" s="742"/>
      <c r="N33" s="742" t="str">
        <f t="shared" si="101"/>
        <v>-</v>
      </c>
      <c r="O33" s="742" t="str">
        <f t="shared" si="102"/>
        <v>-</v>
      </c>
      <c r="P33" s="742"/>
      <c r="Q33" s="742" t="str">
        <f t="shared" si="103"/>
        <v>-</v>
      </c>
      <c r="R33" s="742" t="str">
        <f t="shared" si="104"/>
        <v>-</v>
      </c>
      <c r="S33" s="742"/>
      <c r="T33" s="742" t="str">
        <f t="shared" si="105"/>
        <v>-</v>
      </c>
      <c r="U33" s="742" t="str">
        <f t="shared" si="106"/>
        <v>-</v>
      </c>
      <c r="V33" s="172"/>
      <c r="W33" s="840"/>
      <c r="X33" s="228">
        <f ca="1">Horarios!C33</f>
        <v>46198.916666666664</v>
      </c>
      <c r="Y33" s="229">
        <f ca="1">Horarios!C33</f>
        <v>46198.916666666664</v>
      </c>
      <c r="Z33" s="230" t="str">
        <f>$Z$8</f>
        <v>J3</v>
      </c>
      <c r="AA33" s="231" t="str">
        <f ca="1">A30</f>
        <v>Paraguay</v>
      </c>
      <c r="AB33" s="479" t="str" cm="1">
        <f t="array" aca="1" ref="AB33" ca="1">Ver_flag_local</f>
        <v/>
      </c>
      <c r="AC33" s="232"/>
      <c r="AD33" s="233"/>
      <c r="AE33" s="484" t="str" cm="1">
        <f t="array" aca="1" ref="AE33" ca="1">Ver_flag_visit</f>
        <v/>
      </c>
      <c r="AF33" s="234" t="str">
        <f ca="1">A31</f>
        <v>Australia</v>
      </c>
      <c r="AG33" s="413">
        <f t="shared" si="107"/>
        <v>0</v>
      </c>
      <c r="AH33" s="196">
        <v>60</v>
      </c>
      <c r="AI33" s="19" t="str">
        <f t="shared" si="112"/>
        <v>4D</v>
      </c>
      <c r="AJ33" s="235">
        <v>4</v>
      </c>
      <c r="AK33" s="487" t="str" cm="1">
        <f t="array" aca="1" ref="AK33" ca="1">Ver_flag_visit</f>
        <v/>
      </c>
      <c r="AL33" s="236" t="str">
        <f ca="1">IFERROR(INDEX($BD$6:$BD$53,MATCH(AI33,$BN$6:$BN$53,0)),"")</f>
        <v>Turquía</v>
      </c>
      <c r="AM33" s="237">
        <f t="shared" ca="1" si="111"/>
        <v>0</v>
      </c>
      <c r="AN33" s="238">
        <f t="shared" ca="1" si="111"/>
        <v>0</v>
      </c>
      <c r="AO33" s="238">
        <f t="shared" ca="1" si="111"/>
        <v>0</v>
      </c>
      <c r="AP33" s="238">
        <f t="shared" ca="1" si="111"/>
        <v>0</v>
      </c>
      <c r="AQ33" s="238">
        <f t="shared" ca="1" si="111"/>
        <v>0</v>
      </c>
      <c r="AR33" s="238">
        <f t="shared" ca="1" si="111"/>
        <v>0</v>
      </c>
      <c r="AS33" s="238">
        <f t="shared" ca="1" si="111"/>
        <v>0</v>
      </c>
      <c r="AT33" s="239">
        <f t="shared" ca="1" si="111"/>
        <v>0</v>
      </c>
      <c r="AU33" s="420">
        <f ca="1">INDEX($DL$6:$DL$53,MATCH(AI33,$DP$6:$DP$53,0))</f>
        <v>1</v>
      </c>
      <c r="AV33" s="217" t="str">
        <f ca="1">INDEX($BD$6:$BD$53,MATCH(AI33,$BM$6:$BM$53,0))</f>
        <v>Turquía</v>
      </c>
      <c r="AW33" s="427"/>
      <c r="AX33" s="218"/>
      <c r="AY33" s="240" t="str">
        <f ca="1">+A32</f>
        <v>Turquía</v>
      </c>
      <c r="AZ33" s="241"/>
      <c r="BA33" s="175"/>
      <c r="BB33" s="742"/>
      <c r="BC33" s="754" t="str">
        <f ca="1">+INDEX(T_Equipos[Grupo],MATCH(WORLDCUP!BD33,T_Equipos[NombreEquipo],0))</f>
        <v>G</v>
      </c>
      <c r="BD33" s="742" t="str">
        <f ca="1">+Equipos!B29</f>
        <v>Nueva Zelanda</v>
      </c>
      <c r="BE33" s="746">
        <f t="shared" ca="1" si="25"/>
        <v>0</v>
      </c>
      <c r="BF33" s="746">
        <f t="shared" ca="1" si="26"/>
        <v>0</v>
      </c>
      <c r="BG33" s="746">
        <f t="shared" ca="1" si="17"/>
        <v>0</v>
      </c>
      <c r="BH33" s="746">
        <f t="shared" ca="1" si="18"/>
        <v>0</v>
      </c>
      <c r="BI33" s="746">
        <f t="shared" ca="1" si="19"/>
        <v>0</v>
      </c>
      <c r="BJ33" s="746">
        <f t="shared" ca="1" si="20"/>
        <v>0</v>
      </c>
      <c r="BK33" s="746">
        <f t="shared" ca="1" si="21"/>
        <v>0</v>
      </c>
      <c r="BL33" s="746">
        <f t="shared" ca="1" si="27"/>
        <v>0</v>
      </c>
      <c r="BM33" s="746" t="str">
        <f t="shared" ca="1" si="22"/>
        <v>4G</v>
      </c>
      <c r="BN33" s="746" t="str">
        <f t="shared" ca="1" si="23"/>
        <v>4G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0</v>
      </c>
      <c r="BS33" s="755">
        <f ca="1">BP33+COUNTIFS($BQ$6:$BQ$53,BQ33,$BR$6:BR$53,"&gt;"&amp;BR33,$BC$6:$BC$53,INDEX(T_Equipos[Grupo],MATCH(BD33,T_Equipos[NombreEquipo],0)))</f>
        <v>1</v>
      </c>
      <c r="BT33" s="755" t="str">
        <f ca="1">IF(COUNTIFS($BS$6:$BS$53,BS33,$BC$6:$BC$53,INDEX(T_Equipos[Grupo],MATCH(BD33,T_Equipos[NombreEquipo],0)))=1,"-","P."&amp;BS33&amp;" ("&amp;COUNTIFS($BS$6:$BS$53,BS33,$BC$6:$BC$53,INDEX(T_Equipos[Grupo],MATCH(BD33,T_Equipos[NombreEquipo],0)))&amp;")")</f>
        <v>P.1 (4)</v>
      </c>
      <c r="BU33" s="756">
        <f t="shared" ca="1" si="36"/>
        <v>0</v>
      </c>
      <c r="BV33" s="756">
        <f t="shared" ca="1" si="37"/>
        <v>0</v>
      </c>
      <c r="BW33" s="756">
        <f t="shared" ca="1" si="38"/>
        <v>0</v>
      </c>
      <c r="BX33" s="756">
        <f t="shared" ca="1" si="39"/>
        <v>0</v>
      </c>
      <c r="BY33" s="756">
        <f ca="1">BS33+COUNTIFS($BT$6:$BT$53,BT33,$BX$6:BX$53,"&gt;"&amp;BX33,$BC$6:$BC$53,INDEX(T_Equipos[Grupo],MATCH(BD33,T_Equipos[NombreEquipo],0)))</f>
        <v>1</v>
      </c>
      <c r="BZ33" s="755" t="str">
        <f ca="1">IF(COUNTIFS($BY$6:$BY$53,BY33,$BC$6:$BC$53,INDEX(T_Equipos[Grupo],MATCH(BD33,T_Equipos[NombreEquipo],0)))=1,"-","P."&amp;BY33&amp;" ("&amp;COUNTIFS($BY$6:$BY$53,BY33,$BC$6:$BC$53,INDEX(T_Equipos[Grupo],MATCH(BD33,T_Equipos[NombreEquipo],0)))&amp;")")</f>
        <v>P.1 (4)</v>
      </c>
      <c r="CA33" s="756">
        <f t="shared" ca="1" si="40"/>
        <v>0</v>
      </c>
      <c r="CB33" s="756">
        <f t="shared" ca="1" si="41"/>
        <v>0</v>
      </c>
      <c r="CC33" s="756">
        <f t="shared" ca="1" si="42"/>
        <v>0</v>
      </c>
      <c r="CD33" s="756">
        <f ca="1">BY33+COUNTIFS($BZ$6:$BZ$53,BZ33,$CC$6:CC$53,"&gt;"&amp;CC33,$BC$6:$BC$53,INDEX(T_Equipos[Grupo],MATCH(BD33,T_Equipos[NombreEquipo],0)))</f>
        <v>1</v>
      </c>
      <c r="CE33" s="755" t="str">
        <f ca="1">IF(COUNTIFS($CD$6:$CD$53,CD33,$BC$6:$BC$53,INDEX(T_Equipos[Grupo],MATCH(BD33,T_Equipos[NombreEquipo],0)))=1,"-","P."&amp;CD33&amp;" ("&amp;COUNTIFS($CD$6:$CD$53,CD33,$BC$6:$BC$53,INDEX(T_Equipos[Grupo],MATCH(BD33,T_Equipos[NombreEquipo],0)))&amp;")")</f>
        <v>P.1 (4)</v>
      </c>
      <c r="CF33" s="756">
        <f t="shared" ca="1" si="43"/>
        <v>0</v>
      </c>
      <c r="CG33" s="756">
        <f ca="1">CD33+COUNTIFS($CE$6:$CE$53,CE33,$CF$6:CF$53,"&gt;"&amp;CF33,$BC$6:$BC$53,INDEX(T_Equipos[Grupo],MATCH(BD33,T_Equipos[NombreEquipo],0)))</f>
        <v>1</v>
      </c>
      <c r="CH33" s="755" t="str">
        <f ca="1">IF(COUNTIFS($CG$6:$CG$53,CG33,$BC$6:$BC$53,INDEX(T_Equipos[Grupo],MATCH(BD33,T_Equipos[NombreEquipo],0)))=1,"-","P."&amp;CG33&amp;" ("&amp;COUNTIFS($CG$6:$CG$53,CG33,$BC$6:$BC$53,INDEX(T_Equipos[Grupo],MATCH(BD33,T_Equipos[NombreEquipo],0)))&amp;")")</f>
        <v>P.1 (4)</v>
      </c>
      <c r="CI33" s="756">
        <f t="shared" ca="1" si="44"/>
        <v>0</v>
      </c>
      <c r="CJ33" s="756">
        <f t="shared" ca="1" si="45"/>
        <v>0</v>
      </c>
      <c r="CK33" s="756">
        <f t="shared" ca="1" si="46"/>
        <v>0</v>
      </c>
      <c r="CL33" s="756">
        <f t="shared" ca="1" si="47"/>
        <v>0</v>
      </c>
      <c r="CM33" s="756">
        <f ca="1">CG33+COUNTIFS($CH$6:$CH$53,CH33,$CL$6:CL$53,"&gt;"&amp;CL33,$BC$6:$BC$53,INDEX(T_Equipos[Grupo],MATCH(BD33,T_Equipos[NombreEquipo],0)))</f>
        <v>1</v>
      </c>
      <c r="CN33" s="755" t="str">
        <f ca="1">IF(COUNTIFS($CM$6:$CM$53,CM33,$BC$6:$BC$53,INDEX(T_Equipos[Grupo],MATCH(BD33,T_Equipos[NombreEquipo],0)))=1,"-","P."&amp;CM33&amp;" ("&amp;COUNTIFS($CM$6:$CM$53,CM33,$BC$6:$BC$53,INDEX(T_Equipos[Grupo],MATCH(BD33,T_Equipos[NombreEquipo],0)))&amp;")")</f>
        <v>P.1 (4)</v>
      </c>
      <c r="CO33" s="756">
        <f t="shared" ca="1" si="48"/>
        <v>0</v>
      </c>
      <c r="CP33" s="756">
        <f t="shared" ca="1" si="49"/>
        <v>0</v>
      </c>
      <c r="CQ33" s="756">
        <f t="shared" ca="1" si="50"/>
        <v>0</v>
      </c>
      <c r="CR33" s="756">
        <f ca="1">CM33+COUNTIFS($CN$6:$CN$53,CN33,$CQ$6:CQ$53,"&gt;"&amp;CQ33,$BC$6:$BC$53,INDEX(T_Equipos[Grupo],MATCH(BD33,T_Equipos[NombreEquipo],0)))</f>
        <v>1</v>
      </c>
      <c r="CS33" s="755" t="str">
        <f ca="1">IF(COUNTIFS($CR$6:$CR$53,CR33,$BC$6:$BC$53,INDEX(T_Equipos[Grupo],MATCH(BD33,T_Equipos[NombreEquipo],0)))=1,"-","P."&amp;CR33&amp;" ("&amp;COUNTIFS($CR$6:$CR$53,CR33,$BC$6:$BC$53,INDEX(T_Equipos[Grupo],MATCH(BD33,T_Equipos[NombreEquipo],0)))&amp;")")</f>
        <v>P.1 (4)</v>
      </c>
      <c r="CT33" s="756">
        <f t="shared" ca="1" si="51"/>
        <v>0</v>
      </c>
      <c r="CU33" s="756">
        <f ca="1">CR33+COUNTIFS($CS$6:$CS$53,CS33,$CT$6:CT$53,"&gt;"&amp;CT33,$BC$6:$BC$53,INDEX(T_Equipos[Grupo],MATCH(BD33,T_Equipos[NombreEquipo],0)))</f>
        <v>1</v>
      </c>
      <c r="CV33" s="755" t="str">
        <f ca="1">IF(COUNTIFS($CU$6:$CU$53,CU33,$BC$6:$BC$53,INDEX(T_Equipos[Grupo],MATCH(BD33,T_Equipos[NombreEquipo],0)))=1,"-","P."&amp;CU33&amp;" ("&amp;COUNTIFS($CU$6:$CU$53,CU33,$BC$6:$BC$53,INDEX(T_Equipos[Grupo],MATCH(BD33,T_Equipos[NombreEquipo],0)))&amp;")")</f>
        <v>P.1 (4)</v>
      </c>
      <c r="CW33" s="755">
        <f t="shared" ca="1" si="30"/>
        <v>0</v>
      </c>
      <c r="CX33" s="755">
        <f ca="1">CU33+COUNTIFS($CV$6:$CV$53,CV33,$CW$6:CW$53,"&gt;"&amp;CW33,$BC$6:$BC$53,INDEX(T_Equipos[Grupo],MATCH(BD33,T_Equipos[NombreEquipo],0)))</f>
        <v>1</v>
      </c>
      <c r="CY33" s="755" t="str">
        <f ca="1">IF(COUNTIFS($CX$6:$CX$53,CX33,$BC$6:$BC$53,INDEX(T_Equipos[Grupo],MATCH(BD33,T_Equipos[NombreEquipo],0)))=1,"-","P."&amp;CX33&amp;" ("&amp;COUNTIFS($CX$6:$CX$53,CX33,$BC$6:$BC$53,INDEX(T_Equipos[Grupo],MATCH(BD33,T_Equipos[NombreEquipo],0)))&amp;")")</f>
        <v>P.1 (4)</v>
      </c>
      <c r="CZ33" s="755">
        <f t="shared" ca="1" si="31"/>
        <v>0</v>
      </c>
      <c r="DA33" s="756">
        <f ca="1">CX33+COUNTIFS($CY$6:$CY$53,CY33,$CZ$6:CZ$53,"&gt;"&amp;CZ33,$BC$6:$BC$53,INDEX(T_Equipos[Grupo],MATCH(BD33,T_Equipos[NombreEquipo],0)))</f>
        <v>1</v>
      </c>
      <c r="DB33" s="755" t="str">
        <f ca="1">IF(COUNTIFS($DA$6:$DA$53,DA33,$BC$6:$BC$53,INDEX(T_Equipos[Grupo],MATCH(BD33,T_Equipos[NombreEquipo],0)))=1,"-","P."&amp;DA33&amp;" ("&amp;COUNTIFS($DA$6:$DA$53,DA33,$BC$6:$BC$53,INDEX(T_Equipos[Grupo],MATCH(BD33,T_Equipos[NombreEquipo],0)))&amp;")")</f>
        <v>P.1 (4)</v>
      </c>
      <c r="DC33" s="754">
        <f ca="1">IF(DB33="-","-",COUNTIFS(T_Equipos[Rank],"&lt;"&amp;INDEX(T_Equipos[Rank],MATCH(BD33,T_Equipos[NombreEquipo],0)),$BC$6:$BC$53,INDEX(T_Equipos[Grupo],MATCH(BD33,T_Equipos[NombreEquipo],0)))+1)</f>
        <v>4</v>
      </c>
      <c r="DD33" s="754">
        <f ca="1">DA33+COUNTIFS($DB$6:$DB$53,DB33,$DC$6:DC$53,"&lt;"&amp;DC33,$BC$6:$BC$53,INDEX(T_Equipos[Grupo],MATCH(BD33,T_Equipos[NombreEquipo],0)))</f>
        <v>4</v>
      </c>
      <c r="DE33" s="754"/>
      <c r="DF33" s="754">
        <f t="shared" ca="1" si="52"/>
        <v>4</v>
      </c>
      <c r="DG33" s="754">
        <f ca="1">IF(DB33="-","-",COUNTIFS(DF$6:DF$53,"&lt;"&amp;DF33,$BC$6:$BC$53,INDEX(T_Equipos[Grupo],MATCH(BD33,T_Equipos[NombreEquipo],0))))</f>
        <v>3</v>
      </c>
      <c r="DH33" s="754">
        <f ca="1">DA33+COUNTIFS(DB$6:DB$53,DB33,DG$6:DG$53,"&lt;"&amp;DG33,$BC$6:$BC$53,INDEX(T_Equipos[Grupo],MATCH(BD33,T_Equipos[NombreEquipo],0)))</f>
        <v>4</v>
      </c>
      <c r="DI33" s="742"/>
      <c r="DJ33" s="742">
        <f t="shared" ca="1" si="53"/>
        <v>1</v>
      </c>
      <c r="DK33" s="742">
        <f t="shared" ca="1" si="24"/>
        <v>0</v>
      </c>
      <c r="DL33" s="742">
        <f t="shared" ca="1" si="33"/>
        <v>1</v>
      </c>
      <c r="DM33" s="736" t="str">
        <f t="shared" ca="1" si="34"/>
        <v>1.1</v>
      </c>
      <c r="DN33" s="742" cm="1">
        <f t="array" aca="1" ref="DN33" ca="1">OFFSET(Horarios!$P$3,DJ33-1,0,DL33,1)</f>
        <v>1</v>
      </c>
      <c r="DO33" s="742"/>
      <c r="DP33" s="742" t="s">
        <v>669</v>
      </c>
      <c r="DQ33" s="742" t="str">
        <f t="shared" ca="1" si="35"/>
        <v>Nueva Zelanda</v>
      </c>
      <c r="DR33" s="742"/>
      <c r="DS33" s="742"/>
      <c r="DT33" s="742" t="str">
        <f t="shared" ca="1" si="15"/>
        <v>Paraguay-Australia</v>
      </c>
      <c r="DU33" s="742"/>
      <c r="DV33" s="742"/>
      <c r="DW33" s="8"/>
    </row>
    <row r="34" spans="1:127" ht="15.7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España</v>
      </c>
      <c r="BE34" s="746">
        <f t="shared" ca="1" si="25"/>
        <v>0</v>
      </c>
      <c r="BF34" s="746">
        <f t="shared" ca="1" si="26"/>
        <v>0</v>
      </c>
      <c r="BG34" s="746">
        <f t="shared" ca="1" si="17"/>
        <v>0</v>
      </c>
      <c r="BH34" s="746">
        <f t="shared" ca="1" si="18"/>
        <v>0</v>
      </c>
      <c r="BI34" s="746">
        <f t="shared" ca="1" si="19"/>
        <v>0</v>
      </c>
      <c r="BJ34" s="746">
        <f t="shared" ca="1" si="20"/>
        <v>0</v>
      </c>
      <c r="BK34" s="746">
        <f t="shared" ca="1" si="21"/>
        <v>0</v>
      </c>
      <c r="BL34" s="746">
        <f t="shared" ca="1" si="27"/>
        <v>0</v>
      </c>
      <c r="BM34" s="746" t="str">
        <f t="shared" ca="1" si="22"/>
        <v>1H</v>
      </c>
      <c r="BN34" s="746" t="str">
        <f t="shared" ca="1" si="23"/>
        <v>1H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0</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P.1 (4)</v>
      </c>
      <c r="BU34" s="756">
        <f t="shared" ca="1" si="36"/>
        <v>0</v>
      </c>
      <c r="BV34" s="756">
        <f t="shared" ca="1" si="37"/>
        <v>0</v>
      </c>
      <c r="BW34" s="756">
        <f t="shared" ca="1" si="38"/>
        <v>0</v>
      </c>
      <c r="BX34" s="756">
        <f t="shared" ca="1" si="39"/>
        <v>0</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P.1 (4)</v>
      </c>
      <c r="CA34" s="756">
        <f t="shared" ca="1" si="40"/>
        <v>0</v>
      </c>
      <c r="CB34" s="756">
        <f t="shared" ca="1" si="41"/>
        <v>0</v>
      </c>
      <c r="CC34" s="756">
        <f t="shared" ca="1" si="42"/>
        <v>0</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P.1 (4)</v>
      </c>
      <c r="CF34" s="756">
        <f t="shared" ca="1" si="43"/>
        <v>0</v>
      </c>
      <c r="CG34" s="756">
        <f ca="1">CD34+COUNTIFS($CE$6:$CE$53,CE34,$CF$6:CF$53,"&gt;"&amp;CF34,$BC$6:$BC$53,INDEX(T_Equipos[Grupo],MATCH(BD34,T_Equipos[NombreEquipo],0)))</f>
        <v>1</v>
      </c>
      <c r="CH34" s="755" t="str">
        <f ca="1">IF(COUNTIFS($CG$6:$CG$53,CG34,$BC$6:$BC$53,INDEX(T_Equipos[Grupo],MATCH(BD34,T_Equipos[NombreEquipo],0)))=1,"-","P."&amp;CG34&amp;" ("&amp;COUNTIFS($CG$6:$CG$53,CG34,$BC$6:$BC$53,INDEX(T_Equipos[Grupo],MATCH(BD34,T_Equipos[NombreEquipo],0)))&amp;")")</f>
        <v>P.1 (4)</v>
      </c>
      <c r="CI34" s="756">
        <f t="shared" ca="1" si="44"/>
        <v>0</v>
      </c>
      <c r="CJ34" s="756">
        <f t="shared" ca="1" si="45"/>
        <v>0</v>
      </c>
      <c r="CK34" s="756">
        <f t="shared" ca="1" si="46"/>
        <v>0</v>
      </c>
      <c r="CL34" s="756">
        <f t="shared" ca="1" si="47"/>
        <v>0</v>
      </c>
      <c r="CM34" s="756">
        <f ca="1">CG34+COUNTIFS($CH$6:$CH$53,CH34,$CL$6:CL$53,"&gt;"&amp;CL34,$BC$6:$BC$53,INDEX(T_Equipos[Grupo],MATCH(BD34,T_Equipos[NombreEquipo],0)))</f>
        <v>1</v>
      </c>
      <c r="CN34" s="755" t="str">
        <f ca="1">IF(COUNTIFS($CM$6:$CM$53,CM34,$BC$6:$BC$53,INDEX(T_Equipos[Grupo],MATCH(BD34,T_Equipos[NombreEquipo],0)))=1,"-","P."&amp;CM34&amp;" ("&amp;COUNTIFS($CM$6:$CM$53,CM34,$BC$6:$BC$53,INDEX(T_Equipos[Grupo],MATCH(BD34,T_Equipos[NombreEquipo],0)))&amp;")")</f>
        <v>P.1 (4)</v>
      </c>
      <c r="CO34" s="756">
        <f t="shared" ca="1" si="48"/>
        <v>0</v>
      </c>
      <c r="CP34" s="756">
        <f t="shared" ca="1" si="49"/>
        <v>0</v>
      </c>
      <c r="CQ34" s="756">
        <f t="shared" ca="1" si="50"/>
        <v>0</v>
      </c>
      <c r="CR34" s="756">
        <f ca="1">CM34+COUNTIFS($CN$6:$CN$53,CN34,$CQ$6:CQ$53,"&gt;"&amp;CQ34,$BC$6:$BC$53,INDEX(T_Equipos[Grupo],MATCH(BD34,T_Equipos[NombreEquipo],0)))</f>
        <v>1</v>
      </c>
      <c r="CS34" s="755" t="str">
        <f ca="1">IF(COUNTIFS($CR$6:$CR$53,CR34,$BC$6:$BC$53,INDEX(T_Equipos[Grupo],MATCH(BD34,T_Equipos[NombreEquipo],0)))=1,"-","P."&amp;CR34&amp;" ("&amp;COUNTIFS($CR$6:$CR$53,CR34,$BC$6:$BC$53,INDEX(T_Equipos[Grupo],MATCH(BD34,T_Equipos[NombreEquipo],0)))&amp;")")</f>
        <v>P.1 (4)</v>
      </c>
      <c r="CT34" s="756">
        <f t="shared" ca="1" si="51"/>
        <v>0</v>
      </c>
      <c r="CU34" s="756">
        <f ca="1">CR34+COUNTIFS($CS$6:$CS$53,CS34,$CT$6:CT$53,"&gt;"&amp;CT34,$BC$6:$BC$53,INDEX(T_Equipos[Grupo],MATCH(BD34,T_Equipos[NombreEquipo],0)))</f>
        <v>1</v>
      </c>
      <c r="CV34" s="755" t="str">
        <f ca="1">IF(COUNTIFS($CU$6:$CU$53,CU34,$BC$6:$BC$53,INDEX(T_Equipos[Grupo],MATCH(BD34,T_Equipos[NombreEquipo],0)))=1,"-","P."&amp;CU34&amp;" ("&amp;COUNTIFS($CU$6:$CU$53,CU34,$BC$6:$BC$53,INDEX(T_Equipos[Grupo],MATCH(BD34,T_Equipos[NombreEquipo],0)))&amp;")")</f>
        <v>P.1 (4)</v>
      </c>
      <c r="CW34" s="755">
        <f t="shared" ca="1" si="30"/>
        <v>0</v>
      </c>
      <c r="CX34" s="755">
        <f ca="1">CU34+COUNTIFS($CV$6:$CV$53,CV34,$CW$6:CW$53,"&gt;"&amp;CW34,$BC$6:$BC$53,INDEX(T_Equipos[Grupo],MATCH(BD34,T_Equipos[NombreEquipo],0)))</f>
        <v>1</v>
      </c>
      <c r="CY34" s="755" t="str">
        <f ca="1">IF(COUNTIFS($CX$6:$CX$53,CX34,$BC$6:$BC$53,INDEX(T_Equipos[Grupo],MATCH(BD34,T_Equipos[NombreEquipo],0)))=1,"-","P."&amp;CX34&amp;" ("&amp;COUNTIFS($CX$6:$CX$53,CX34,$BC$6:$BC$53,INDEX(T_Equipos[Grupo],MATCH(BD34,T_Equipos[NombreEquipo],0)))&amp;")")</f>
        <v>P.1 (4)</v>
      </c>
      <c r="CZ34" s="755">
        <f t="shared" ca="1" si="31"/>
        <v>0</v>
      </c>
      <c r="DA34" s="756">
        <f ca="1">CX34+COUNTIFS($CY$6:$CY$53,CY34,$CZ$6:CZ$53,"&gt;"&amp;CZ34,$BC$6:$BC$53,INDEX(T_Equipos[Grupo],MATCH(BD34,T_Equipos[NombreEquipo],0)))</f>
        <v>1</v>
      </c>
      <c r="DB34" s="755" t="str">
        <f ca="1">IF(COUNTIFS($DA$6:$DA$53,DA34,$BC$6:$BC$53,INDEX(T_Equipos[Grupo],MATCH(BD34,T_Equipos[NombreEquipo],0)))=1,"-","P."&amp;DA34&amp;" ("&amp;COUNTIFS($DA$6:$DA$53,DA34,$BC$6:$BC$53,INDEX(T_Equipos[Grupo],MATCH(BD34,T_Equipos[NombreEquipo],0)))&amp;")")</f>
        <v>P.1 (4)</v>
      </c>
      <c r="DC34" s="754">
        <f ca="1">IF(DB34="-","-",COUNTIFS(T_Equipos[Rank],"&lt;"&amp;INDEX(T_Equipos[Rank],MATCH(BD34,T_Equipos[NombreEquipo],0)),$BC$6:$BC$53,INDEX(T_Equipos[Grupo],MATCH(BD34,T_Equipos[NombreEquipo],0)))+1)</f>
        <v>1</v>
      </c>
      <c r="DD34" s="754">
        <f ca="1">DA34+COUNTIFS($DB$6:$DB$53,DB34,$DC$6:DC$53,"&lt;"&amp;DC34,$BC$6:$BC$53,INDEX(T_Equipos[Grupo],MATCH(BD34,T_Equipos[NombreEquipo],0)))</f>
        <v>1</v>
      </c>
      <c r="DE34" s="754"/>
      <c r="DF34" s="754">
        <f t="shared" ca="1" si="52"/>
        <v>1</v>
      </c>
      <c r="DG34" s="754">
        <f ca="1">IF(DB34="-","-",COUNTIFS(DF$6:DF$53,"&lt;"&amp;DF34,$BC$6:$BC$53,INDEX(T_Equipos[Grupo],MATCH(BD34,T_Equipos[NombreEquipo],0))))</f>
        <v>0</v>
      </c>
      <c r="DH34" s="754">
        <f ca="1">DA34+COUNTIFS(DB$6:DB$53,DB34,DG$6:DG$53,"&lt;"&amp;DG34,$BC$6:$BC$53,INDEX(T_Equipos[Grupo],MATCH(BD34,T_Equipos[NombreEquipo],0)))</f>
        <v>1</v>
      </c>
      <c r="DI34" s="742"/>
      <c r="DJ34" s="742">
        <f t="shared" ca="1" si="53"/>
        <v>1</v>
      </c>
      <c r="DK34" s="742">
        <f t="shared" ca="1" si="24"/>
        <v>0</v>
      </c>
      <c r="DL34" s="742">
        <f t="shared" ca="1" si="33"/>
        <v>1</v>
      </c>
      <c r="DM34" s="736" t="str">
        <f t="shared" ca="1" si="34"/>
        <v>1.1</v>
      </c>
      <c r="DN34" s="742" cm="1">
        <f t="array" aca="1" ref="DN34" ca="1">OFFSET(Horarios!$P$3,DJ34-1,0,DL34,1)</f>
        <v>1</v>
      </c>
      <c r="DO34" s="742"/>
      <c r="DP34" s="742" t="s">
        <v>670</v>
      </c>
      <c r="DQ34" s="742" t="str">
        <f t="shared" ca="1" si="35"/>
        <v>España</v>
      </c>
      <c r="DR34" s="742"/>
      <c r="DS34" s="742"/>
      <c r="DT34" s="742" t="str">
        <f t="shared" si="15"/>
        <v>-</v>
      </c>
      <c r="DU34" s="742"/>
      <c r="DV34" s="742"/>
      <c r="DW34" s="8"/>
    </row>
    <row r="35" spans="1:127" ht="15.7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Cabo Verde</v>
      </c>
      <c r="BE35" s="746">
        <f t="shared" ca="1" si="25"/>
        <v>0</v>
      </c>
      <c r="BF35" s="746">
        <f t="shared" ca="1" si="26"/>
        <v>0</v>
      </c>
      <c r="BG35" s="746">
        <f t="shared" ca="1" si="17"/>
        <v>0</v>
      </c>
      <c r="BH35" s="746">
        <f t="shared" ca="1" si="18"/>
        <v>0</v>
      </c>
      <c r="BI35" s="746">
        <f t="shared" ca="1" si="19"/>
        <v>0</v>
      </c>
      <c r="BJ35" s="746">
        <f t="shared" ca="1" si="20"/>
        <v>0</v>
      </c>
      <c r="BK35" s="746">
        <f t="shared" ca="1" si="21"/>
        <v>0</v>
      </c>
      <c r="BL35" s="746">
        <f t="shared" ca="1" si="27"/>
        <v>0</v>
      </c>
      <c r="BM35" s="746" t="str">
        <f t="shared" ca="1" si="22"/>
        <v>2H</v>
      </c>
      <c r="BN35" s="746" t="str">
        <f t="shared" ca="1" si="23"/>
        <v>2H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0</v>
      </c>
      <c r="BS35" s="755">
        <f ca="1">BP35+COUNTIFS($BQ$6:$BQ$53,BQ35,$BR$6:BR$53,"&gt;"&amp;BR35,$BC$6:$BC$53,INDEX(T_Equipos[Grupo],MATCH(BD35,T_Equipos[NombreEquipo],0)))</f>
        <v>1</v>
      </c>
      <c r="BT35" s="755" t="str">
        <f ca="1">IF(COUNTIFS($BS$6:$BS$53,BS35,$BC$6:$BC$53,INDEX(T_Equipos[Grupo],MATCH(BD35,T_Equipos[NombreEquipo],0)))=1,"-","P."&amp;BS35&amp;" ("&amp;COUNTIFS($BS$6:$BS$53,BS35,$BC$6:$BC$53,INDEX(T_Equipos[Grupo],MATCH(BD35,T_Equipos[NombreEquipo],0)))&amp;")")</f>
        <v>P.1 (4)</v>
      </c>
      <c r="BU35" s="756">
        <f t="shared" ca="1" si="36"/>
        <v>0</v>
      </c>
      <c r="BV35" s="756">
        <f t="shared" ca="1" si="37"/>
        <v>0</v>
      </c>
      <c r="BW35" s="756">
        <f t="shared" ca="1" si="38"/>
        <v>0</v>
      </c>
      <c r="BX35" s="756">
        <f t="shared" ca="1" si="39"/>
        <v>0</v>
      </c>
      <c r="BY35" s="756">
        <f ca="1">BS35+COUNTIFS($BT$6:$BT$53,BT35,$BX$6:BX$53,"&gt;"&amp;BX35,$BC$6:$BC$53,INDEX(T_Equipos[Grupo],MATCH(BD35,T_Equipos[NombreEquipo],0)))</f>
        <v>1</v>
      </c>
      <c r="BZ35" s="755" t="str">
        <f ca="1">IF(COUNTIFS($BY$6:$BY$53,BY35,$BC$6:$BC$53,INDEX(T_Equipos[Grupo],MATCH(BD35,T_Equipos[NombreEquipo],0)))=1,"-","P."&amp;BY35&amp;" ("&amp;COUNTIFS($BY$6:$BY$53,BY35,$BC$6:$BC$53,INDEX(T_Equipos[Grupo],MATCH(BD35,T_Equipos[NombreEquipo],0)))&amp;")")</f>
        <v>P.1 (4)</v>
      </c>
      <c r="CA35" s="756">
        <f t="shared" ca="1" si="40"/>
        <v>0</v>
      </c>
      <c r="CB35" s="756">
        <f t="shared" ca="1" si="41"/>
        <v>0</v>
      </c>
      <c r="CC35" s="756">
        <f t="shared" ca="1" si="42"/>
        <v>0</v>
      </c>
      <c r="CD35" s="756">
        <f ca="1">BY35+COUNTIFS($BZ$6:$BZ$53,BZ35,$CC$6:CC$53,"&gt;"&amp;CC35,$BC$6:$BC$53,INDEX(T_Equipos[Grupo],MATCH(BD35,T_Equipos[NombreEquipo],0)))</f>
        <v>1</v>
      </c>
      <c r="CE35" s="755" t="str">
        <f ca="1">IF(COUNTIFS($CD$6:$CD$53,CD35,$BC$6:$BC$53,INDEX(T_Equipos[Grupo],MATCH(BD35,T_Equipos[NombreEquipo],0)))=1,"-","P."&amp;CD35&amp;" ("&amp;COUNTIFS($CD$6:$CD$53,CD35,$BC$6:$BC$53,INDEX(T_Equipos[Grupo],MATCH(BD35,T_Equipos[NombreEquipo],0)))&amp;")")</f>
        <v>P.1 (4)</v>
      </c>
      <c r="CF35" s="756">
        <f t="shared" ca="1" si="43"/>
        <v>0</v>
      </c>
      <c r="CG35" s="756">
        <f ca="1">CD35+COUNTIFS($CE$6:$CE$53,CE35,$CF$6:CF$53,"&gt;"&amp;CF35,$BC$6:$BC$53,INDEX(T_Equipos[Grupo],MATCH(BD35,T_Equipos[NombreEquipo],0)))</f>
        <v>1</v>
      </c>
      <c r="CH35" s="755" t="str">
        <f ca="1">IF(COUNTIFS($CG$6:$CG$53,CG35,$BC$6:$BC$53,INDEX(T_Equipos[Grupo],MATCH(BD35,T_Equipos[NombreEquipo],0)))=1,"-","P."&amp;CG35&amp;" ("&amp;COUNTIFS($CG$6:$CG$53,CG35,$BC$6:$BC$53,INDEX(T_Equipos[Grupo],MATCH(BD35,T_Equipos[NombreEquipo],0)))&amp;")")</f>
        <v>P.1 (4)</v>
      </c>
      <c r="CI35" s="756">
        <f t="shared" ca="1" si="44"/>
        <v>0</v>
      </c>
      <c r="CJ35" s="756">
        <f t="shared" ca="1" si="45"/>
        <v>0</v>
      </c>
      <c r="CK35" s="756">
        <f t="shared" ca="1" si="46"/>
        <v>0</v>
      </c>
      <c r="CL35" s="756">
        <f t="shared" ca="1" si="47"/>
        <v>0</v>
      </c>
      <c r="CM35" s="756">
        <f ca="1">CG35+COUNTIFS($CH$6:$CH$53,CH35,$CL$6:CL$53,"&gt;"&amp;CL35,$BC$6:$BC$53,INDEX(T_Equipos[Grupo],MATCH(BD35,T_Equipos[NombreEquipo],0)))</f>
        <v>1</v>
      </c>
      <c r="CN35" s="755" t="str">
        <f ca="1">IF(COUNTIFS($CM$6:$CM$53,CM35,$BC$6:$BC$53,INDEX(T_Equipos[Grupo],MATCH(BD35,T_Equipos[NombreEquipo],0)))=1,"-","P."&amp;CM35&amp;" ("&amp;COUNTIFS($CM$6:$CM$53,CM35,$BC$6:$BC$53,INDEX(T_Equipos[Grupo],MATCH(BD35,T_Equipos[NombreEquipo],0)))&amp;")")</f>
        <v>P.1 (4)</v>
      </c>
      <c r="CO35" s="756">
        <f t="shared" ca="1" si="48"/>
        <v>0</v>
      </c>
      <c r="CP35" s="756">
        <f t="shared" ca="1" si="49"/>
        <v>0</v>
      </c>
      <c r="CQ35" s="756">
        <f t="shared" ca="1" si="50"/>
        <v>0</v>
      </c>
      <c r="CR35" s="756">
        <f ca="1">CM35+COUNTIFS($CN$6:$CN$53,CN35,$CQ$6:CQ$53,"&gt;"&amp;CQ35,$BC$6:$BC$53,INDEX(T_Equipos[Grupo],MATCH(BD35,T_Equipos[NombreEquipo],0)))</f>
        <v>1</v>
      </c>
      <c r="CS35" s="755" t="str">
        <f ca="1">IF(COUNTIFS($CR$6:$CR$53,CR35,$BC$6:$BC$53,INDEX(T_Equipos[Grupo],MATCH(BD35,T_Equipos[NombreEquipo],0)))=1,"-","P."&amp;CR35&amp;" ("&amp;COUNTIFS($CR$6:$CR$53,CR35,$BC$6:$BC$53,INDEX(T_Equipos[Grupo],MATCH(BD35,T_Equipos[NombreEquipo],0)))&amp;")")</f>
        <v>P.1 (4)</v>
      </c>
      <c r="CT35" s="756">
        <f t="shared" ca="1" si="51"/>
        <v>0</v>
      </c>
      <c r="CU35" s="756">
        <f ca="1">CR35+COUNTIFS($CS$6:$CS$53,CS35,$CT$6:CT$53,"&gt;"&amp;CT35,$BC$6:$BC$53,INDEX(T_Equipos[Grupo],MATCH(BD35,T_Equipos[NombreEquipo],0)))</f>
        <v>1</v>
      </c>
      <c r="CV35" s="755" t="str">
        <f ca="1">IF(COUNTIFS($CU$6:$CU$53,CU35,$BC$6:$BC$53,INDEX(T_Equipos[Grupo],MATCH(BD35,T_Equipos[NombreEquipo],0)))=1,"-","P."&amp;CU35&amp;" ("&amp;COUNTIFS($CU$6:$CU$53,CU35,$BC$6:$BC$53,INDEX(T_Equipos[Grupo],MATCH(BD35,T_Equipos[NombreEquipo],0)))&amp;")")</f>
        <v>P.1 (4)</v>
      </c>
      <c r="CW35" s="755">
        <f t="shared" ca="1" si="30"/>
        <v>0</v>
      </c>
      <c r="CX35" s="755">
        <f ca="1">CU35+COUNTIFS($CV$6:$CV$53,CV35,$CW$6:CW$53,"&gt;"&amp;CW35,$BC$6:$BC$53,INDEX(T_Equipos[Grupo],MATCH(BD35,T_Equipos[NombreEquipo],0)))</f>
        <v>1</v>
      </c>
      <c r="CY35" s="755" t="str">
        <f ca="1">IF(COUNTIFS($CX$6:$CX$53,CX35,$BC$6:$BC$53,INDEX(T_Equipos[Grupo],MATCH(BD35,T_Equipos[NombreEquipo],0)))=1,"-","P."&amp;CX35&amp;" ("&amp;COUNTIFS($CX$6:$CX$53,CX35,$BC$6:$BC$53,INDEX(T_Equipos[Grupo],MATCH(BD35,T_Equipos[NombreEquipo],0)))&amp;")")</f>
        <v>P.1 (4)</v>
      </c>
      <c r="CZ35" s="755">
        <f t="shared" ca="1" si="31"/>
        <v>0</v>
      </c>
      <c r="DA35" s="756">
        <f ca="1">CX35+COUNTIFS($CY$6:$CY$53,CY35,$CZ$6:CZ$53,"&gt;"&amp;CZ35,$BC$6:$BC$53,INDEX(T_Equipos[Grupo],MATCH(BD35,T_Equipos[NombreEquipo],0)))</f>
        <v>1</v>
      </c>
      <c r="DB35" s="755" t="str">
        <f ca="1">IF(COUNTIFS($DA$6:$DA$53,DA35,$BC$6:$BC$53,INDEX(T_Equipos[Grupo],MATCH(BD35,T_Equipos[NombreEquipo],0)))=1,"-","P."&amp;DA35&amp;" ("&amp;COUNTIFS($DA$6:$DA$53,DA35,$BC$6:$BC$53,INDEX(T_Equipos[Grupo],MATCH(BD35,T_Equipos[NombreEquipo],0)))&amp;")")</f>
        <v>P.1 (4)</v>
      </c>
      <c r="DC35" s="754">
        <f ca="1">IF(DB35="-","-",COUNTIFS(T_Equipos[Rank],"&lt;"&amp;INDEX(T_Equipos[Rank],MATCH(BD35,T_Equipos[NombreEquipo],0)),$BC$6:$BC$53,INDEX(T_Equipos[Grupo],MATCH(BD35,T_Equipos[NombreEquipo],0)))+1)</f>
        <v>2</v>
      </c>
      <c r="DD35" s="754">
        <f ca="1">DA35+COUNTIFS($DB$6:$DB$53,DB35,$DC$6:DC$53,"&lt;"&amp;DC35,$BC$6:$BC$53,INDEX(T_Equipos[Grupo],MATCH(BD35,T_Equipos[NombreEquipo],0)))</f>
        <v>2</v>
      </c>
      <c r="DE35" s="754"/>
      <c r="DF35" s="754">
        <f t="shared" ca="1" si="52"/>
        <v>2</v>
      </c>
      <c r="DG35" s="754">
        <f ca="1">IF(DB35="-","-",COUNTIFS(DF$6:DF$53,"&lt;"&amp;DF35,$BC$6:$BC$53,INDEX(T_Equipos[Grupo],MATCH(BD35,T_Equipos[NombreEquipo],0))))</f>
        <v>1</v>
      </c>
      <c r="DH35" s="754">
        <f ca="1">DA35+COUNTIFS(DB$6:DB$53,DB35,DG$6:DG$53,"&lt;"&amp;DG35,$BC$6:$BC$53,INDEX(T_Equipos[Grupo],MATCH(BD35,T_Equipos[NombreEquipo],0)))</f>
        <v>2</v>
      </c>
      <c r="DI35" s="742"/>
      <c r="DJ35" s="742">
        <f t="shared" ca="1" si="53"/>
        <v>1</v>
      </c>
      <c r="DK35" s="742">
        <f t="shared" ca="1" si="24"/>
        <v>0</v>
      </c>
      <c r="DL35" s="742">
        <f t="shared" ca="1" si="33"/>
        <v>1</v>
      </c>
      <c r="DM35" s="736" t="str">
        <f t="shared" ca="1" si="34"/>
        <v>1.1</v>
      </c>
      <c r="DN35" s="742" cm="1">
        <f t="array" aca="1" ref="DN35" ca="1">OFFSET(Horarios!$P$3,DJ35-1,0,DL35,1)</f>
        <v>1</v>
      </c>
      <c r="DO35" s="742"/>
      <c r="DP35" s="742" t="s">
        <v>671</v>
      </c>
      <c r="DQ35" s="742" t="str">
        <f t="shared" ca="1" si="35"/>
        <v>Cabo Verde</v>
      </c>
      <c r="DR35" s="742"/>
      <c r="DS35" s="742"/>
      <c r="DT35" s="742" t="str">
        <f t="shared" si="15"/>
        <v>Casa-Fuera</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Pendiente</v>
      </c>
      <c r="E36" s="742" t="str">
        <f t="shared" ref="E36:E41" si="116">IF(D36="Pendiente","-",INDEX($BT$6:$BT$53,MATCH($AA36,$BD$6:$BD$53,0)))</f>
        <v>-</v>
      </c>
      <c r="F36" s="742" t="str">
        <f t="shared" ref="F36:F41" si="117">IF(D36="Pendiente","-",INDEX($BT$6:$BT$53,MATCH($AF36,$BD$6:$BD$53,0)))</f>
        <v>-</v>
      </c>
      <c r="G36" s="742"/>
      <c r="H36" s="742" t="str">
        <f t="shared" ref="H36:H41" si="118">IF(D36="Pendiente","-",INDEX($BZ$6:$BZ$53,MATCH($AA36,$BD$6:$BD$53,0)))</f>
        <v>-</v>
      </c>
      <c r="I36" s="742" t="str">
        <f t="shared" ref="I36:I41" si="119">IF(D36="Pendiente","-",INDEX($BZ$6:$BZ$53,MATCH($AF36,$BD$6:$BD$53,0)))</f>
        <v>-</v>
      </c>
      <c r="J36" s="742"/>
      <c r="K36" s="742" t="str">
        <f t="shared" ref="K36:K41" si="120">IF(D36="Pendiente","-",INDEX($CE$6:$CE$53,MATCH($AA36,$BD$6:$BD$53,0)))</f>
        <v>-</v>
      </c>
      <c r="L36" s="742" t="str">
        <f t="shared" ref="L36:L41" si="121">IF(D36="Pendiente","-",INDEX($CE$6:$CE$53,MATCH($AF36,$BD$6:$BD$53,0)))</f>
        <v>-</v>
      </c>
      <c r="M36" s="742"/>
      <c r="N36" s="742" t="str">
        <f t="shared" ref="N36:N41" si="122">IF(D36="Pendiente","-",INDEX($CH$6:$CH$53,MATCH($AA36,$BD$6:$BD$53,0)))</f>
        <v>-</v>
      </c>
      <c r="O36" s="742" t="str">
        <f t="shared" ref="O36:O41" si="123">IF(D36="Pendiente","-",INDEX($CH$6:$CH$53,MATCH($AF36,$BD$6:$BD$53,0)))</f>
        <v>-</v>
      </c>
      <c r="P36" s="742"/>
      <c r="Q36" s="742" t="str">
        <f t="shared" ref="Q36:Q41" si="124">IF(D36="Pendiente","-",INDEX($CN$6:$CN$53,MATCH($AA36,$BD$6:$BD$53,0)))</f>
        <v>-</v>
      </c>
      <c r="R36" s="742" t="str">
        <f t="shared" ref="R36:R41" si="125">IF(D36="Pendiente","-",INDEX($CN$6:$CN$53,MATCH($AF36,$BD$6:$BD$53,0)))</f>
        <v>-</v>
      </c>
      <c r="S36" s="742"/>
      <c r="T36" s="742" t="str">
        <f t="shared" ref="T36:T41" si="126">IF(D36="Pendiente","-",INDEX($CS$6:$CS$53,MATCH($AA36,$BD$6:$BD$53,0)))</f>
        <v>-</v>
      </c>
      <c r="U36" s="742" t="str">
        <f t="shared" ref="U36:U41" si="127">IF(D36="Pendiente","-",INDEX($CS$6:$CS$53,MATCH($AF36,$BD$6:$BD$53,0)))</f>
        <v>-</v>
      </c>
      <c r="V36" s="172"/>
      <c r="W36" s="841" t="s">
        <v>3</v>
      </c>
      <c r="X36" s="189">
        <f ca="1">Horarios!C36</f>
        <v>46187.541666666664</v>
      </c>
      <c r="Y36" s="190">
        <f ca="1">Horarios!C36</f>
        <v>46187.541666666664</v>
      </c>
      <c r="Z36" s="191" t="str">
        <f>$Z$4</f>
        <v>J1</v>
      </c>
      <c r="AA36" s="192" t="str">
        <f ca="1">A37</f>
        <v>Alemania</v>
      </c>
      <c r="AB36" s="478" t="str" cm="1">
        <f t="array" aca="1" ref="AB36" ca="1">Ver_flag_local</f>
        <v/>
      </c>
      <c r="AC36" s="193"/>
      <c r="AD36" s="194"/>
      <c r="AE36" s="483" t="str" cm="1">
        <f t="array" aca="1" ref="AE36" ca="1">Ver_flag_visit</f>
        <v/>
      </c>
      <c r="AF36" s="195" t="str">
        <f ca="1">A38</f>
        <v>Curazao</v>
      </c>
      <c r="AG36" s="413">
        <f t="shared" ref="AG36:AG41" si="128">IF(NOT(OR(ISBLANK(AC36),ISBLANK(AD36))),1,0)</f>
        <v>0</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Arabia Saudita</v>
      </c>
      <c r="BE36" s="746">
        <f t="shared" ca="1" si="25"/>
        <v>0</v>
      </c>
      <c r="BF36" s="746">
        <f t="shared" ca="1" si="26"/>
        <v>0</v>
      </c>
      <c r="BG36" s="746">
        <f t="shared" ca="1" si="17"/>
        <v>0</v>
      </c>
      <c r="BH36" s="746">
        <f t="shared" ca="1" si="18"/>
        <v>0</v>
      </c>
      <c r="BI36" s="746">
        <f t="shared" ca="1" si="19"/>
        <v>0</v>
      </c>
      <c r="BJ36" s="746">
        <f t="shared" ca="1" si="20"/>
        <v>0</v>
      </c>
      <c r="BK36" s="746">
        <f t="shared" ca="1" si="21"/>
        <v>0</v>
      </c>
      <c r="BL36" s="746">
        <f t="shared" ca="1" si="27"/>
        <v>0</v>
      </c>
      <c r="BM36" s="746" t="str">
        <f t="shared" ca="1" si="22"/>
        <v>3H</v>
      </c>
      <c r="BN36" s="746" t="str">
        <f t="shared" ca="1" si="23"/>
        <v>3H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0</v>
      </c>
      <c r="BS36" s="755">
        <f ca="1">BP36+COUNTIFS($BQ$6:$BQ$53,BQ36,$BR$6:BR$53,"&gt;"&amp;BR36,$BC$6:$BC$53,INDEX(T_Equipos[Grupo],MATCH(BD36,T_Equipos[NombreEquipo],0)))</f>
        <v>1</v>
      </c>
      <c r="BT36" s="755" t="str">
        <f ca="1">IF(COUNTIFS($BS$6:$BS$53,BS36,$BC$6:$BC$53,INDEX(T_Equipos[Grupo],MATCH(BD36,T_Equipos[NombreEquipo],0)))=1,"-","P."&amp;BS36&amp;" ("&amp;COUNTIFS($BS$6:$BS$53,BS36,$BC$6:$BC$53,INDEX(T_Equipos[Grupo],MATCH(BD36,T_Equipos[NombreEquipo],0)))&amp;")")</f>
        <v>P.1 (4)</v>
      </c>
      <c r="BU36" s="756">
        <f t="shared" ca="1" si="36"/>
        <v>0</v>
      </c>
      <c r="BV36" s="756">
        <f t="shared" ca="1" si="37"/>
        <v>0</v>
      </c>
      <c r="BW36" s="756">
        <f t="shared" ca="1" si="38"/>
        <v>0</v>
      </c>
      <c r="BX36" s="756">
        <f t="shared" ca="1" si="39"/>
        <v>0</v>
      </c>
      <c r="BY36" s="756">
        <f ca="1">BS36+COUNTIFS($BT$6:$BT$53,BT36,$BX$6:BX$53,"&gt;"&amp;BX36,$BC$6:$BC$53,INDEX(T_Equipos[Grupo],MATCH(BD36,T_Equipos[NombreEquipo],0)))</f>
        <v>1</v>
      </c>
      <c r="BZ36" s="755" t="str">
        <f ca="1">IF(COUNTIFS($BY$6:$BY$53,BY36,$BC$6:$BC$53,INDEX(T_Equipos[Grupo],MATCH(BD36,T_Equipos[NombreEquipo],0)))=1,"-","P."&amp;BY36&amp;" ("&amp;COUNTIFS($BY$6:$BY$53,BY36,$BC$6:$BC$53,INDEX(T_Equipos[Grupo],MATCH(BD36,T_Equipos[NombreEquipo],0)))&amp;")")</f>
        <v>P.1 (4)</v>
      </c>
      <c r="CA36" s="756">
        <f t="shared" ca="1" si="40"/>
        <v>0</v>
      </c>
      <c r="CB36" s="756">
        <f t="shared" ca="1" si="41"/>
        <v>0</v>
      </c>
      <c r="CC36" s="756">
        <f t="shared" ca="1" si="42"/>
        <v>0</v>
      </c>
      <c r="CD36" s="756">
        <f ca="1">BY36+COUNTIFS($BZ$6:$BZ$53,BZ36,$CC$6:CC$53,"&gt;"&amp;CC36,$BC$6:$BC$53,INDEX(T_Equipos[Grupo],MATCH(BD36,T_Equipos[NombreEquipo],0)))</f>
        <v>1</v>
      </c>
      <c r="CE36" s="755" t="str">
        <f ca="1">IF(COUNTIFS($CD$6:$CD$53,CD36,$BC$6:$BC$53,INDEX(T_Equipos[Grupo],MATCH(BD36,T_Equipos[NombreEquipo],0)))=1,"-","P."&amp;CD36&amp;" ("&amp;COUNTIFS($CD$6:$CD$53,CD36,$BC$6:$BC$53,INDEX(T_Equipos[Grupo],MATCH(BD36,T_Equipos[NombreEquipo],0)))&amp;")")</f>
        <v>P.1 (4)</v>
      </c>
      <c r="CF36" s="756">
        <f t="shared" ca="1" si="43"/>
        <v>0</v>
      </c>
      <c r="CG36" s="756">
        <f ca="1">CD36+COUNTIFS($CE$6:$CE$53,CE36,$CF$6:CF$53,"&gt;"&amp;CF36,$BC$6:$BC$53,INDEX(T_Equipos[Grupo],MATCH(BD36,T_Equipos[NombreEquipo],0)))</f>
        <v>1</v>
      </c>
      <c r="CH36" s="755" t="str">
        <f ca="1">IF(COUNTIFS($CG$6:$CG$53,CG36,$BC$6:$BC$53,INDEX(T_Equipos[Grupo],MATCH(BD36,T_Equipos[NombreEquipo],0)))=1,"-","P."&amp;CG36&amp;" ("&amp;COUNTIFS($CG$6:$CG$53,CG36,$BC$6:$BC$53,INDEX(T_Equipos[Grupo],MATCH(BD36,T_Equipos[NombreEquipo],0)))&amp;")")</f>
        <v>P.1 (4)</v>
      </c>
      <c r="CI36" s="756">
        <f t="shared" ca="1" si="44"/>
        <v>0</v>
      </c>
      <c r="CJ36" s="756">
        <f t="shared" ca="1" si="45"/>
        <v>0</v>
      </c>
      <c r="CK36" s="756">
        <f t="shared" ca="1" si="46"/>
        <v>0</v>
      </c>
      <c r="CL36" s="756">
        <f t="shared" ca="1" si="47"/>
        <v>0</v>
      </c>
      <c r="CM36" s="756">
        <f ca="1">CG36+COUNTIFS($CH$6:$CH$53,CH36,$CL$6:CL$53,"&gt;"&amp;CL36,$BC$6:$BC$53,INDEX(T_Equipos[Grupo],MATCH(BD36,T_Equipos[NombreEquipo],0)))</f>
        <v>1</v>
      </c>
      <c r="CN36" s="755" t="str">
        <f ca="1">IF(COUNTIFS($CM$6:$CM$53,CM36,$BC$6:$BC$53,INDEX(T_Equipos[Grupo],MATCH(BD36,T_Equipos[NombreEquipo],0)))=1,"-","P."&amp;CM36&amp;" ("&amp;COUNTIFS($CM$6:$CM$53,CM36,$BC$6:$BC$53,INDEX(T_Equipos[Grupo],MATCH(BD36,T_Equipos[NombreEquipo],0)))&amp;")")</f>
        <v>P.1 (4)</v>
      </c>
      <c r="CO36" s="756">
        <f t="shared" ca="1" si="48"/>
        <v>0</v>
      </c>
      <c r="CP36" s="756">
        <f t="shared" ca="1" si="49"/>
        <v>0</v>
      </c>
      <c r="CQ36" s="756">
        <f t="shared" ca="1" si="50"/>
        <v>0</v>
      </c>
      <c r="CR36" s="756">
        <f ca="1">CM36+COUNTIFS($CN$6:$CN$53,CN36,$CQ$6:CQ$53,"&gt;"&amp;CQ36,$BC$6:$BC$53,INDEX(T_Equipos[Grupo],MATCH(BD36,T_Equipos[NombreEquipo],0)))</f>
        <v>1</v>
      </c>
      <c r="CS36" s="755" t="str">
        <f ca="1">IF(COUNTIFS($CR$6:$CR$53,CR36,$BC$6:$BC$53,INDEX(T_Equipos[Grupo],MATCH(BD36,T_Equipos[NombreEquipo],0)))=1,"-","P."&amp;CR36&amp;" ("&amp;COUNTIFS($CR$6:$CR$53,CR36,$BC$6:$BC$53,INDEX(T_Equipos[Grupo],MATCH(BD36,T_Equipos[NombreEquipo],0)))&amp;")")</f>
        <v>P.1 (4)</v>
      </c>
      <c r="CT36" s="756">
        <f t="shared" ca="1" si="51"/>
        <v>0</v>
      </c>
      <c r="CU36" s="756">
        <f ca="1">CR36+COUNTIFS($CS$6:$CS$53,CS36,$CT$6:CT$53,"&gt;"&amp;CT36,$BC$6:$BC$53,INDEX(T_Equipos[Grupo],MATCH(BD36,T_Equipos[NombreEquipo],0)))</f>
        <v>1</v>
      </c>
      <c r="CV36" s="755" t="str">
        <f ca="1">IF(COUNTIFS($CU$6:$CU$53,CU36,$BC$6:$BC$53,INDEX(T_Equipos[Grupo],MATCH(BD36,T_Equipos[NombreEquipo],0)))=1,"-","P."&amp;CU36&amp;" ("&amp;COUNTIFS($CU$6:$CU$53,CU36,$BC$6:$BC$53,INDEX(T_Equipos[Grupo],MATCH(BD36,T_Equipos[NombreEquipo],0)))&amp;")")</f>
        <v>P.1 (4)</v>
      </c>
      <c r="CW36" s="755">
        <f t="shared" ca="1" si="30"/>
        <v>0</v>
      </c>
      <c r="CX36" s="755">
        <f ca="1">CU36+COUNTIFS($CV$6:$CV$53,CV36,$CW$6:CW$53,"&gt;"&amp;CW36,$BC$6:$BC$53,INDEX(T_Equipos[Grupo],MATCH(BD36,T_Equipos[NombreEquipo],0)))</f>
        <v>1</v>
      </c>
      <c r="CY36" s="755" t="str">
        <f ca="1">IF(COUNTIFS($CX$6:$CX$53,CX36,$BC$6:$BC$53,INDEX(T_Equipos[Grupo],MATCH(BD36,T_Equipos[NombreEquipo],0)))=1,"-","P."&amp;CX36&amp;" ("&amp;COUNTIFS($CX$6:$CX$53,CX36,$BC$6:$BC$53,INDEX(T_Equipos[Grupo],MATCH(BD36,T_Equipos[NombreEquipo],0)))&amp;")")</f>
        <v>P.1 (4)</v>
      </c>
      <c r="CZ36" s="755">
        <f t="shared" ca="1" si="31"/>
        <v>0</v>
      </c>
      <c r="DA36" s="756">
        <f ca="1">CX36+COUNTIFS($CY$6:$CY$53,CY36,$CZ$6:CZ$53,"&gt;"&amp;CZ36,$BC$6:$BC$53,INDEX(T_Equipos[Grupo],MATCH(BD36,T_Equipos[NombreEquipo],0)))</f>
        <v>1</v>
      </c>
      <c r="DB36" s="755" t="str">
        <f ca="1">IF(COUNTIFS($DA$6:$DA$53,DA36,$BC$6:$BC$53,INDEX(T_Equipos[Grupo],MATCH(BD36,T_Equipos[NombreEquipo],0)))=1,"-","P."&amp;DA36&amp;" ("&amp;COUNTIFS($DA$6:$DA$53,DA36,$BC$6:$BC$53,INDEX(T_Equipos[Grupo],MATCH(BD36,T_Equipos[NombreEquipo],0)))&amp;")")</f>
        <v>P.1 (4)</v>
      </c>
      <c r="DC36" s="754">
        <f ca="1">IF(DB36="-","-",COUNTIFS(T_Equipos[Rank],"&lt;"&amp;INDEX(T_Equipos[Rank],MATCH(BD36,T_Equipos[NombreEquipo],0)),$BC$6:$BC$53,INDEX(T_Equipos[Grupo],MATCH(BD36,T_Equipos[NombreEquipo],0)))+1)</f>
        <v>3</v>
      </c>
      <c r="DD36" s="754">
        <f ca="1">DA36+COUNTIFS($DB$6:$DB$53,DB36,$DC$6:DC$53,"&lt;"&amp;DC36,$BC$6:$BC$53,INDEX(T_Equipos[Grupo],MATCH(BD36,T_Equipos[NombreEquipo],0)))</f>
        <v>3</v>
      </c>
      <c r="DE36" s="754"/>
      <c r="DF36" s="754">
        <f t="shared" ca="1" si="52"/>
        <v>3</v>
      </c>
      <c r="DG36" s="754">
        <f ca="1">IF(DB36="-","-",COUNTIFS(DF$6:DF$53,"&lt;"&amp;DF36,$BC$6:$BC$53,INDEX(T_Equipos[Grupo],MATCH(BD36,T_Equipos[NombreEquipo],0))))</f>
        <v>2</v>
      </c>
      <c r="DH36" s="754">
        <f ca="1">DA36+COUNTIFS(DB$6:DB$53,DB36,DG$6:DG$53,"&lt;"&amp;DG36,$BC$6:$BC$53,INDEX(T_Equipos[Grupo],MATCH(BD36,T_Equipos[NombreEquipo],0)))</f>
        <v>3</v>
      </c>
      <c r="DI36" s="742"/>
      <c r="DJ36" s="742">
        <f t="shared" ca="1" si="53"/>
        <v>1</v>
      </c>
      <c r="DK36" s="742">
        <f t="shared" ca="1" si="24"/>
        <v>0</v>
      </c>
      <c r="DL36" s="742">
        <f t="shared" ca="1" si="33"/>
        <v>1</v>
      </c>
      <c r="DM36" s="736" t="str">
        <f t="shared" ca="1" si="34"/>
        <v>1.1</v>
      </c>
      <c r="DN36" s="742" cm="1">
        <f t="array" aca="1" ref="DN36" ca="1">OFFSET(Horarios!$P$3,DJ36-1,0,DL36,1)</f>
        <v>1</v>
      </c>
      <c r="DO36" s="742"/>
      <c r="DP36" s="742" t="s">
        <v>436</v>
      </c>
      <c r="DQ36" s="742" t="str">
        <f t="shared" ca="1" si="35"/>
        <v>Arabia Saudita</v>
      </c>
      <c r="DR36" s="742"/>
      <c r="DS36" s="742"/>
      <c r="DT36" s="742" t="str">
        <f t="shared" ca="1" si="15"/>
        <v>Alemania-Curazao</v>
      </c>
      <c r="DU36" s="742"/>
      <c r="DV36" s="742"/>
      <c r="DW36" s="8"/>
    </row>
    <row r="37" spans="1:127" ht="15.95" customHeight="1">
      <c r="A37" s="743" t="str">
        <f ca="1">+Equipos!B18</f>
        <v>Alemania</v>
      </c>
      <c r="B37" s="740"/>
      <c r="C37" s="740"/>
      <c r="D37" s="742" t="str">
        <f t="shared" si="115"/>
        <v>Pendiente</v>
      </c>
      <c r="E37" s="742" t="str">
        <f t="shared" si="116"/>
        <v>-</v>
      </c>
      <c r="F37" s="742" t="str">
        <f t="shared" si="117"/>
        <v>-</v>
      </c>
      <c r="G37" s="742"/>
      <c r="H37" s="742" t="str">
        <f t="shared" si="118"/>
        <v>-</v>
      </c>
      <c r="I37" s="742" t="str">
        <f t="shared" si="119"/>
        <v>-</v>
      </c>
      <c r="J37" s="742"/>
      <c r="K37" s="742" t="str">
        <f t="shared" si="120"/>
        <v>-</v>
      </c>
      <c r="L37" s="742" t="str">
        <f t="shared" si="121"/>
        <v>-</v>
      </c>
      <c r="M37" s="742"/>
      <c r="N37" s="742" t="str">
        <f t="shared" si="122"/>
        <v>-</v>
      </c>
      <c r="O37" s="742" t="str">
        <f t="shared" si="123"/>
        <v>-</v>
      </c>
      <c r="P37" s="742"/>
      <c r="Q37" s="742" t="str">
        <f t="shared" si="124"/>
        <v>-</v>
      </c>
      <c r="R37" s="742" t="str">
        <f t="shared" si="125"/>
        <v>-</v>
      </c>
      <c r="S37" s="742"/>
      <c r="T37" s="742" t="str">
        <f t="shared" si="126"/>
        <v>-</v>
      </c>
      <c r="U37" s="742" t="str">
        <f t="shared" si="127"/>
        <v>-</v>
      </c>
      <c r="V37" s="172"/>
      <c r="W37" s="841"/>
      <c r="X37" s="189">
        <f ca="1">Horarios!C37</f>
        <v>46187.791666666664</v>
      </c>
      <c r="Y37" s="190">
        <f ca="1">Horarios!C37</f>
        <v>46187.791666666664</v>
      </c>
      <c r="Z37" s="191" t="str">
        <f>$Z$4</f>
        <v>J1</v>
      </c>
      <c r="AA37" s="192" t="str">
        <f ca="1">A39</f>
        <v>Costa de Marfil</v>
      </c>
      <c r="AB37" s="478" t="str" cm="1">
        <f t="array" aca="1" ref="AB37" ca="1">Ver_flag_local</f>
        <v/>
      </c>
      <c r="AC37" s="193"/>
      <c r="AD37" s="194"/>
      <c r="AE37" s="483" t="str" cm="1">
        <f t="array" aca="1" ref="AE37" ca="1">Ver_flag_visit</f>
        <v/>
      </c>
      <c r="AF37" s="195" t="str">
        <f ca="1">A40</f>
        <v>Ecuador</v>
      </c>
      <c r="AG37" s="413">
        <f t="shared" si="128"/>
        <v>0</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2"/>
      <c r="BC37" s="754" t="str">
        <f ca="1">+INDEX(T_Equipos[Grupo],MATCH(WORLDCUP!BD37,T_Equipos[NombreEquipo],0))</f>
        <v>H</v>
      </c>
      <c r="BD37" s="742" t="str">
        <f ca="1">+Equipos!B33</f>
        <v>Uruguay</v>
      </c>
      <c r="BE37" s="746">
        <f t="shared" ca="1" si="25"/>
        <v>0</v>
      </c>
      <c r="BF37" s="746">
        <f t="shared" ca="1" si="26"/>
        <v>0</v>
      </c>
      <c r="BG37" s="746">
        <f t="shared" ca="1" si="17"/>
        <v>0</v>
      </c>
      <c r="BH37" s="746">
        <f t="shared" ca="1" si="18"/>
        <v>0</v>
      </c>
      <c r="BI37" s="746">
        <f t="shared" ca="1" si="19"/>
        <v>0</v>
      </c>
      <c r="BJ37" s="746">
        <f t="shared" ca="1" si="20"/>
        <v>0</v>
      </c>
      <c r="BK37" s="746">
        <f t="shared" ca="1" si="21"/>
        <v>0</v>
      </c>
      <c r="BL37" s="746">
        <f t="shared" ca="1" si="27"/>
        <v>0</v>
      </c>
      <c r="BM37" s="746" t="str">
        <f t="shared" ca="1" si="22"/>
        <v>4H</v>
      </c>
      <c r="BN37" s="746" t="str">
        <f t="shared" ca="1" si="23"/>
        <v>4H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0</v>
      </c>
      <c r="BS37" s="755">
        <f ca="1">BP37+COUNTIFS($BQ$6:$BQ$53,BQ37,$BR$6:BR$53,"&gt;"&amp;BR37,$BC$6:$BC$53,INDEX(T_Equipos[Grupo],MATCH(BD37,T_Equipos[NombreEquipo],0)))</f>
        <v>1</v>
      </c>
      <c r="BT37" s="755" t="str">
        <f ca="1">IF(COUNTIFS($BS$6:$BS$53,BS37,$BC$6:$BC$53,INDEX(T_Equipos[Grupo],MATCH(BD37,T_Equipos[NombreEquipo],0)))=1,"-","P."&amp;BS37&amp;" ("&amp;COUNTIFS($BS$6:$BS$53,BS37,$BC$6:$BC$53,INDEX(T_Equipos[Grupo],MATCH(BD37,T_Equipos[NombreEquipo],0)))&amp;")")</f>
        <v>P.1 (4)</v>
      </c>
      <c r="BU37" s="756">
        <f t="shared" ca="1" si="36"/>
        <v>0</v>
      </c>
      <c r="BV37" s="756">
        <f t="shared" ca="1" si="37"/>
        <v>0</v>
      </c>
      <c r="BW37" s="756">
        <f t="shared" ca="1" si="38"/>
        <v>0</v>
      </c>
      <c r="BX37" s="756">
        <f t="shared" ca="1" si="39"/>
        <v>0</v>
      </c>
      <c r="BY37" s="756">
        <f ca="1">BS37+COUNTIFS($BT$6:$BT$53,BT37,$BX$6:BX$53,"&gt;"&amp;BX37,$BC$6:$BC$53,INDEX(T_Equipos[Grupo],MATCH(BD37,T_Equipos[NombreEquipo],0)))</f>
        <v>1</v>
      </c>
      <c r="BZ37" s="755" t="str">
        <f ca="1">IF(COUNTIFS($BY$6:$BY$53,BY37,$BC$6:$BC$53,INDEX(T_Equipos[Grupo],MATCH(BD37,T_Equipos[NombreEquipo],0)))=1,"-","P."&amp;BY37&amp;" ("&amp;COUNTIFS($BY$6:$BY$53,BY37,$BC$6:$BC$53,INDEX(T_Equipos[Grupo],MATCH(BD37,T_Equipos[NombreEquipo],0)))&amp;")")</f>
        <v>P.1 (4)</v>
      </c>
      <c r="CA37" s="756">
        <f t="shared" ca="1" si="40"/>
        <v>0</v>
      </c>
      <c r="CB37" s="756">
        <f t="shared" ca="1" si="41"/>
        <v>0</v>
      </c>
      <c r="CC37" s="756">
        <f t="shared" ca="1" si="42"/>
        <v>0</v>
      </c>
      <c r="CD37" s="756">
        <f ca="1">BY37+COUNTIFS($BZ$6:$BZ$53,BZ37,$CC$6:CC$53,"&gt;"&amp;CC37,$BC$6:$BC$53,INDEX(T_Equipos[Grupo],MATCH(BD37,T_Equipos[NombreEquipo],0)))</f>
        <v>1</v>
      </c>
      <c r="CE37" s="755" t="str">
        <f ca="1">IF(COUNTIFS($CD$6:$CD$53,CD37,$BC$6:$BC$53,INDEX(T_Equipos[Grupo],MATCH(BD37,T_Equipos[NombreEquipo],0)))=1,"-","P."&amp;CD37&amp;" ("&amp;COUNTIFS($CD$6:$CD$53,CD37,$BC$6:$BC$53,INDEX(T_Equipos[Grupo],MATCH(BD37,T_Equipos[NombreEquipo],0)))&amp;")")</f>
        <v>P.1 (4)</v>
      </c>
      <c r="CF37" s="756">
        <f t="shared" ca="1" si="43"/>
        <v>0</v>
      </c>
      <c r="CG37" s="756">
        <f ca="1">CD37+COUNTIFS($CE$6:$CE$53,CE37,$CF$6:CF$53,"&gt;"&amp;CF37,$BC$6:$BC$53,INDEX(T_Equipos[Grupo],MATCH(BD37,T_Equipos[NombreEquipo],0)))</f>
        <v>1</v>
      </c>
      <c r="CH37" s="755" t="str">
        <f ca="1">IF(COUNTIFS($CG$6:$CG$53,CG37,$BC$6:$BC$53,INDEX(T_Equipos[Grupo],MATCH(BD37,T_Equipos[NombreEquipo],0)))=1,"-","P."&amp;CG37&amp;" ("&amp;COUNTIFS($CG$6:$CG$53,CG37,$BC$6:$BC$53,INDEX(T_Equipos[Grupo],MATCH(BD37,T_Equipos[NombreEquipo],0)))&amp;")")</f>
        <v>P.1 (4)</v>
      </c>
      <c r="CI37" s="756">
        <f t="shared" ca="1" si="44"/>
        <v>0</v>
      </c>
      <c r="CJ37" s="756">
        <f t="shared" ca="1" si="45"/>
        <v>0</v>
      </c>
      <c r="CK37" s="756">
        <f t="shared" ca="1" si="46"/>
        <v>0</v>
      </c>
      <c r="CL37" s="756">
        <f t="shared" ca="1" si="47"/>
        <v>0</v>
      </c>
      <c r="CM37" s="756">
        <f ca="1">CG37+COUNTIFS($CH$6:$CH$53,CH37,$CL$6:CL$53,"&gt;"&amp;CL37,$BC$6:$BC$53,INDEX(T_Equipos[Grupo],MATCH(BD37,T_Equipos[NombreEquipo],0)))</f>
        <v>1</v>
      </c>
      <c r="CN37" s="755" t="str">
        <f ca="1">IF(COUNTIFS($CM$6:$CM$53,CM37,$BC$6:$BC$53,INDEX(T_Equipos[Grupo],MATCH(BD37,T_Equipos[NombreEquipo],0)))=1,"-","P."&amp;CM37&amp;" ("&amp;COUNTIFS($CM$6:$CM$53,CM37,$BC$6:$BC$53,INDEX(T_Equipos[Grupo],MATCH(BD37,T_Equipos[NombreEquipo],0)))&amp;")")</f>
        <v>P.1 (4)</v>
      </c>
      <c r="CO37" s="756">
        <f t="shared" ca="1" si="48"/>
        <v>0</v>
      </c>
      <c r="CP37" s="756">
        <f t="shared" ca="1" si="49"/>
        <v>0</v>
      </c>
      <c r="CQ37" s="756">
        <f t="shared" ca="1" si="50"/>
        <v>0</v>
      </c>
      <c r="CR37" s="756">
        <f ca="1">CM37+COUNTIFS($CN$6:$CN$53,CN37,$CQ$6:CQ$53,"&gt;"&amp;CQ37,$BC$6:$BC$53,INDEX(T_Equipos[Grupo],MATCH(BD37,T_Equipos[NombreEquipo],0)))</f>
        <v>1</v>
      </c>
      <c r="CS37" s="755" t="str">
        <f ca="1">IF(COUNTIFS($CR$6:$CR$53,CR37,$BC$6:$BC$53,INDEX(T_Equipos[Grupo],MATCH(BD37,T_Equipos[NombreEquipo],0)))=1,"-","P."&amp;CR37&amp;" ("&amp;COUNTIFS($CR$6:$CR$53,CR37,$BC$6:$BC$53,INDEX(T_Equipos[Grupo],MATCH(BD37,T_Equipos[NombreEquipo],0)))&amp;")")</f>
        <v>P.1 (4)</v>
      </c>
      <c r="CT37" s="756">
        <f t="shared" ca="1" si="51"/>
        <v>0</v>
      </c>
      <c r="CU37" s="756">
        <f ca="1">CR37+COUNTIFS($CS$6:$CS$53,CS37,$CT$6:CT$53,"&gt;"&amp;CT37,$BC$6:$BC$53,INDEX(T_Equipos[Grupo],MATCH(BD37,T_Equipos[NombreEquipo],0)))</f>
        <v>1</v>
      </c>
      <c r="CV37" s="755" t="str">
        <f ca="1">IF(COUNTIFS($CU$6:$CU$53,CU37,$BC$6:$BC$53,INDEX(T_Equipos[Grupo],MATCH(BD37,T_Equipos[NombreEquipo],0)))=1,"-","P."&amp;CU37&amp;" ("&amp;COUNTIFS($CU$6:$CU$53,CU37,$BC$6:$BC$53,INDEX(T_Equipos[Grupo],MATCH(BD37,T_Equipos[NombreEquipo],0)))&amp;")")</f>
        <v>P.1 (4)</v>
      </c>
      <c r="CW37" s="755">
        <f t="shared" ca="1" si="30"/>
        <v>0</v>
      </c>
      <c r="CX37" s="755">
        <f ca="1">CU37+COUNTIFS($CV$6:$CV$53,CV37,$CW$6:CW$53,"&gt;"&amp;CW37,$BC$6:$BC$53,INDEX(T_Equipos[Grupo],MATCH(BD37,T_Equipos[NombreEquipo],0)))</f>
        <v>1</v>
      </c>
      <c r="CY37" s="755" t="str">
        <f ca="1">IF(COUNTIFS($CX$6:$CX$53,CX37,$BC$6:$BC$53,INDEX(T_Equipos[Grupo],MATCH(BD37,T_Equipos[NombreEquipo],0)))=1,"-","P."&amp;CX37&amp;" ("&amp;COUNTIFS($CX$6:$CX$53,CX37,$BC$6:$BC$53,INDEX(T_Equipos[Grupo],MATCH(BD37,T_Equipos[NombreEquipo],0)))&amp;")")</f>
        <v>P.1 (4)</v>
      </c>
      <c r="CZ37" s="755">
        <f t="shared" ca="1" si="31"/>
        <v>0</v>
      </c>
      <c r="DA37" s="756">
        <f ca="1">CX37+COUNTIFS($CY$6:$CY$53,CY37,$CZ$6:CZ$53,"&gt;"&amp;CZ37,$BC$6:$BC$53,INDEX(T_Equipos[Grupo],MATCH(BD37,T_Equipos[NombreEquipo],0)))</f>
        <v>1</v>
      </c>
      <c r="DB37" s="755" t="str">
        <f ca="1">IF(COUNTIFS($DA$6:$DA$53,DA37,$BC$6:$BC$53,INDEX(T_Equipos[Grupo],MATCH(BD37,T_Equipos[NombreEquipo],0)))=1,"-","P."&amp;DA37&amp;" ("&amp;COUNTIFS($DA$6:$DA$53,DA37,$BC$6:$BC$53,INDEX(T_Equipos[Grupo],MATCH(BD37,T_Equipos[NombreEquipo],0)))&amp;")")</f>
        <v>P.1 (4)</v>
      </c>
      <c r="DC37" s="754">
        <f ca="1">IF(DB37="-","-",COUNTIFS(T_Equipos[Rank],"&lt;"&amp;INDEX(T_Equipos[Rank],MATCH(BD37,T_Equipos[NombreEquipo],0)),$BC$6:$BC$53,INDEX(T_Equipos[Grupo],MATCH(BD37,T_Equipos[NombreEquipo],0)))+1)</f>
        <v>4</v>
      </c>
      <c r="DD37" s="754">
        <f ca="1">DA37+COUNTIFS($DB$6:$DB$53,DB37,$DC$6:DC$53,"&lt;"&amp;DC37,$BC$6:$BC$53,INDEX(T_Equipos[Grupo],MATCH(BD37,T_Equipos[NombreEquipo],0)))</f>
        <v>4</v>
      </c>
      <c r="DE37" s="754"/>
      <c r="DF37" s="754">
        <f t="shared" ca="1" si="52"/>
        <v>4</v>
      </c>
      <c r="DG37" s="754">
        <f ca="1">IF(DB37="-","-",COUNTIFS(DF$6:DF$53,"&lt;"&amp;DF37,$BC$6:$BC$53,INDEX(T_Equipos[Grupo],MATCH(BD37,T_Equipos[NombreEquipo],0))))</f>
        <v>3</v>
      </c>
      <c r="DH37" s="754">
        <f ca="1">DA37+COUNTIFS(DB$6:DB$53,DB37,DG$6:DG$53,"&lt;"&amp;DG37,$BC$6:$BC$53,INDEX(T_Equipos[Grupo],MATCH(BD37,T_Equipos[NombreEquipo],0)))</f>
        <v>4</v>
      </c>
      <c r="DI37" s="742"/>
      <c r="DJ37" s="742">
        <f t="shared" ca="1" si="53"/>
        <v>1</v>
      </c>
      <c r="DK37" s="742">
        <f t="shared" ca="1" si="24"/>
        <v>0</v>
      </c>
      <c r="DL37" s="742">
        <f t="shared" ca="1" si="33"/>
        <v>1</v>
      </c>
      <c r="DM37" s="736" t="str">
        <f t="shared" ca="1" si="34"/>
        <v>1.1</v>
      </c>
      <c r="DN37" s="742" cm="1">
        <f t="array" aca="1" ref="DN37" ca="1">OFFSET(Horarios!$P$3,DJ37-1,0,DL37,1)</f>
        <v>1</v>
      </c>
      <c r="DO37" s="742"/>
      <c r="DP37" s="742" t="s">
        <v>672</v>
      </c>
      <c r="DQ37" s="742" t="str">
        <f t="shared" ca="1" si="35"/>
        <v>Uruguay</v>
      </c>
      <c r="DR37" s="742"/>
      <c r="DS37" s="742"/>
      <c r="DT37" s="742" t="str">
        <f t="shared" ca="1" si="15"/>
        <v>Costa de Marfil-Ecuador</v>
      </c>
      <c r="DU37" s="742"/>
      <c r="DV37" s="742"/>
      <c r="DW37" s="8"/>
    </row>
    <row r="38" spans="1:127" ht="15.95" customHeight="1">
      <c r="A38" s="743" t="str">
        <f ca="1">+Equipos!B19</f>
        <v>Curazao</v>
      </c>
      <c r="B38" s="740"/>
      <c r="C38" s="744"/>
      <c r="D38" s="742" t="str">
        <f t="shared" si="115"/>
        <v>Pendiente</v>
      </c>
      <c r="E38" s="742" t="str">
        <f t="shared" si="116"/>
        <v>-</v>
      </c>
      <c r="F38" s="742" t="str">
        <f t="shared" si="117"/>
        <v>-</v>
      </c>
      <c r="G38" s="742"/>
      <c r="H38" s="742" t="str">
        <f t="shared" si="118"/>
        <v>-</v>
      </c>
      <c r="I38" s="742" t="str">
        <f t="shared" si="119"/>
        <v>-</v>
      </c>
      <c r="J38" s="742"/>
      <c r="K38" s="742" t="str">
        <f t="shared" si="120"/>
        <v>-</v>
      </c>
      <c r="L38" s="742" t="str">
        <f t="shared" si="121"/>
        <v>-</v>
      </c>
      <c r="M38" s="742"/>
      <c r="N38" s="742" t="str">
        <f t="shared" si="122"/>
        <v>-</v>
      </c>
      <c r="O38" s="742" t="str">
        <f t="shared" si="123"/>
        <v>-</v>
      </c>
      <c r="P38" s="742"/>
      <c r="Q38" s="742" t="str">
        <f t="shared" si="124"/>
        <v>-</v>
      </c>
      <c r="R38" s="742" t="str">
        <f t="shared" si="125"/>
        <v>-</v>
      </c>
      <c r="S38" s="742"/>
      <c r="T38" s="742" t="str">
        <f t="shared" si="126"/>
        <v>-</v>
      </c>
      <c r="U38" s="742" t="str">
        <f t="shared" si="127"/>
        <v>-</v>
      </c>
      <c r="V38" s="172"/>
      <c r="W38" s="841"/>
      <c r="X38" s="189">
        <f ca="1">Horarios!C38</f>
        <v>46193.666666666664</v>
      </c>
      <c r="Y38" s="190">
        <f ca="1">Horarios!C38</f>
        <v>46193.666666666664</v>
      </c>
      <c r="Z38" s="191" t="str">
        <f>$Z$6</f>
        <v>J2</v>
      </c>
      <c r="AA38" s="192" t="str">
        <f ca="1">A37</f>
        <v>Alemania</v>
      </c>
      <c r="AB38" s="478" t="str" cm="1">
        <f t="array" aca="1" ref="AB38" ca="1">Ver_flag_local</f>
        <v/>
      </c>
      <c r="AC38" s="193"/>
      <c r="AD38" s="194"/>
      <c r="AE38" s="483" t="str" cm="1">
        <f t="array" aca="1" ref="AE38" ca="1">Ver_flag_visit</f>
        <v/>
      </c>
      <c r="AF38" s="195" t="str">
        <f ca="1">A39</f>
        <v>Costa de Marfil</v>
      </c>
      <c r="AG38" s="413">
        <f t="shared" si="128"/>
        <v>0</v>
      </c>
      <c r="AH38" s="196">
        <v>33</v>
      </c>
      <c r="AI38" s="19" t="str">
        <f>AJ38&amp;$B$36</f>
        <v>1E</v>
      </c>
      <c r="AJ38" s="211">
        <v>1</v>
      </c>
      <c r="AK38" s="488" t="str" cm="1">
        <f t="array" aca="1" ref="AK38" ca="1">Ver_flag_visit</f>
        <v/>
      </c>
      <c r="AL38" s="212" t="str">
        <f ca="1">IFERROR(INDEX($BD$6:$BD$53,MATCH(AI38,$BN$6:$BN$53,0)),"")</f>
        <v>Alemania</v>
      </c>
      <c r="AM38" s="213">
        <f t="shared" ref="AM38:AT41" ca="1" si="132">INDEX($BE$6:$BN$53,MATCH($AL38,$BD$6:$BD$53,0),MATCH(AM$5,$BE$5:$BN$5,0))</f>
        <v>0</v>
      </c>
      <c r="AN38" s="214">
        <f t="shared" ca="1" si="132"/>
        <v>0</v>
      </c>
      <c r="AO38" s="214">
        <f t="shared" ca="1" si="132"/>
        <v>0</v>
      </c>
      <c r="AP38" s="214">
        <f t="shared" ca="1" si="132"/>
        <v>0</v>
      </c>
      <c r="AQ38" s="214">
        <f t="shared" ca="1" si="132"/>
        <v>0</v>
      </c>
      <c r="AR38" s="214">
        <f t="shared" ca="1" si="132"/>
        <v>0</v>
      </c>
      <c r="AS38" s="214">
        <f t="shared" ca="1" si="132"/>
        <v>0</v>
      </c>
      <c r="AT38" s="215">
        <f t="shared" ca="1" si="132"/>
        <v>0</v>
      </c>
      <c r="AU38" s="420">
        <f ca="1">INDEX($DL$6:$DL$53,MATCH(AI38,$DP$6:$DP$53,0))</f>
        <v>1</v>
      </c>
      <c r="AV38" s="217" t="str">
        <f ca="1">INDEX($BD$6:$BD$53,MATCH(AI38,$BM$6:$BM$53,0))</f>
        <v>Alemania</v>
      </c>
      <c r="AW38" s="427"/>
      <c r="AX38" s="218"/>
      <c r="AY38" s="219" t="str">
        <f ca="1">+A37</f>
        <v>Alemania</v>
      </c>
      <c r="AZ38" s="220"/>
      <c r="BA38" s="175"/>
      <c r="BB38" s="742"/>
      <c r="BC38" s="754" t="str">
        <f ca="1">+INDEX(T_Equipos[Grupo],MATCH(WORLDCUP!BD38,T_Equipos[NombreEquipo],0))</f>
        <v>I</v>
      </c>
      <c r="BD38" s="742" t="str">
        <f ca="1">+Equipos!B34</f>
        <v>Francia</v>
      </c>
      <c r="BE38" s="746">
        <f t="shared" ca="1" si="25"/>
        <v>0</v>
      </c>
      <c r="BF38" s="746">
        <f t="shared" ca="1" si="26"/>
        <v>0</v>
      </c>
      <c r="BG38" s="746">
        <f t="shared" ca="1" si="17"/>
        <v>0</v>
      </c>
      <c r="BH38" s="746">
        <f t="shared" ca="1" si="18"/>
        <v>0</v>
      </c>
      <c r="BI38" s="746">
        <f t="shared" ca="1" si="19"/>
        <v>0</v>
      </c>
      <c r="BJ38" s="746">
        <f t="shared" ca="1" si="20"/>
        <v>0</v>
      </c>
      <c r="BK38" s="746">
        <f t="shared" ca="1" si="21"/>
        <v>0</v>
      </c>
      <c r="BL38" s="746">
        <f t="shared" ca="1" si="27"/>
        <v>0</v>
      </c>
      <c r="BM38" s="746" t="str">
        <f t="shared" ca="1" si="22"/>
        <v>1I</v>
      </c>
      <c r="BN38" s="746" t="str">
        <f t="shared" ca="1" si="23"/>
        <v>1I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0</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P.1 (4)</v>
      </c>
      <c r="BU38" s="756">
        <f t="shared" ca="1" si="36"/>
        <v>0</v>
      </c>
      <c r="BV38" s="756">
        <f t="shared" ca="1" si="37"/>
        <v>0</v>
      </c>
      <c r="BW38" s="756">
        <f t="shared" ca="1" si="38"/>
        <v>0</v>
      </c>
      <c r="BX38" s="756">
        <f t="shared" ca="1" si="39"/>
        <v>0</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P.1 (4)</v>
      </c>
      <c r="CA38" s="756">
        <f t="shared" ca="1" si="40"/>
        <v>0</v>
      </c>
      <c r="CB38" s="756">
        <f t="shared" ca="1" si="41"/>
        <v>0</v>
      </c>
      <c r="CC38" s="756">
        <f t="shared" ca="1" si="42"/>
        <v>0</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P.1 (4)</v>
      </c>
      <c r="CF38" s="756">
        <f t="shared" ca="1" si="43"/>
        <v>0</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P.1 (4)</v>
      </c>
      <c r="CI38" s="756">
        <f t="shared" ca="1" si="44"/>
        <v>0</v>
      </c>
      <c r="CJ38" s="756">
        <f t="shared" ca="1" si="45"/>
        <v>0</v>
      </c>
      <c r="CK38" s="756">
        <f t="shared" ca="1" si="46"/>
        <v>0</v>
      </c>
      <c r="CL38" s="756">
        <f t="shared" ca="1" si="47"/>
        <v>0</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P.1 (4)</v>
      </c>
      <c r="CO38" s="756">
        <f t="shared" ca="1" si="48"/>
        <v>0</v>
      </c>
      <c r="CP38" s="756">
        <f t="shared" ca="1" si="49"/>
        <v>0</v>
      </c>
      <c r="CQ38" s="756">
        <f t="shared" ca="1" si="50"/>
        <v>0</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P.1 (4)</v>
      </c>
      <c r="CT38" s="756">
        <f t="shared" ca="1" si="51"/>
        <v>0</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P.1 (4)</v>
      </c>
      <c r="CW38" s="755">
        <f t="shared" ca="1" si="30"/>
        <v>0</v>
      </c>
      <c r="CX38" s="755">
        <f ca="1">CU38+COUNTIFS($CV$6:$CV$53,CV38,$CW$6:CW$53,"&gt;"&amp;CW38,$BC$6:$BC$53,INDEX(T_Equipos[Grupo],MATCH(BD38,T_Equipos[NombreEquipo],0)))</f>
        <v>1</v>
      </c>
      <c r="CY38" s="755" t="str">
        <f ca="1">IF(COUNTIFS($CX$6:$CX$53,CX38,$BC$6:$BC$53,INDEX(T_Equipos[Grupo],MATCH(BD38,T_Equipos[NombreEquipo],0)))=1,"-","P."&amp;CX38&amp;" ("&amp;COUNTIFS($CX$6:$CX$53,CX38,$BC$6:$BC$53,INDEX(T_Equipos[Grupo],MATCH(BD38,T_Equipos[NombreEquipo],0)))&amp;")")</f>
        <v>P.1 (4)</v>
      </c>
      <c r="CZ38" s="755">
        <f t="shared" ca="1" si="31"/>
        <v>0</v>
      </c>
      <c r="DA38" s="756">
        <f ca="1">CX38+COUNTIFS($CY$6:$CY$53,CY38,$CZ$6:CZ$53,"&gt;"&amp;CZ38,$BC$6:$BC$53,INDEX(T_Equipos[Grupo],MATCH(BD38,T_Equipos[NombreEquipo],0)))</f>
        <v>1</v>
      </c>
      <c r="DB38" s="755" t="str">
        <f ca="1">IF(COUNTIFS($DA$6:$DA$53,DA38,$BC$6:$BC$53,INDEX(T_Equipos[Grupo],MATCH(BD38,T_Equipos[NombreEquipo],0)))=1,"-","P."&amp;DA38&amp;" ("&amp;COUNTIFS($DA$6:$DA$53,DA38,$BC$6:$BC$53,INDEX(T_Equipos[Grupo],MATCH(BD38,T_Equipos[NombreEquipo],0)))&amp;")")</f>
        <v>P.1 (4)</v>
      </c>
      <c r="DC38" s="754">
        <f ca="1">IF(DB38="-","-",COUNTIFS(T_Equipos[Rank],"&lt;"&amp;INDEX(T_Equipos[Rank],MATCH(BD38,T_Equipos[NombreEquipo],0)),$BC$6:$BC$53,INDEX(T_Equipos[Grupo],MATCH(BD38,T_Equipos[NombreEquipo],0)))+1)</f>
        <v>1</v>
      </c>
      <c r="DD38" s="754">
        <f ca="1">DA38+COUNTIFS($DB$6:$DB$53,DB38,$DC$6:DC$53,"&lt;"&amp;DC38,$BC$6:$BC$53,INDEX(T_Equipos[Grupo],MATCH(BD38,T_Equipos[NombreEquipo],0)))</f>
        <v>1</v>
      </c>
      <c r="DE38" s="754"/>
      <c r="DF38" s="754">
        <f t="shared" ca="1" si="52"/>
        <v>1</v>
      </c>
      <c r="DG38" s="754">
        <f ca="1">IF(DB38="-","-",COUNTIFS(DF$6:DF$53,"&lt;"&amp;DF38,$BC$6:$BC$53,INDEX(T_Equipos[Grupo],MATCH(BD38,T_Equipos[NombreEquipo],0))))</f>
        <v>0</v>
      </c>
      <c r="DH38" s="754">
        <f ca="1">DA38+COUNTIFS(DB$6:DB$53,DB38,DG$6:DG$53,"&lt;"&amp;DG38,$BC$6:$BC$53,INDEX(T_Equipos[Grupo],MATCH(BD38,T_Equipos[NombreEquipo],0)))</f>
        <v>1</v>
      </c>
      <c r="DI38" s="742"/>
      <c r="DJ38" s="742">
        <f t="shared" ca="1" si="53"/>
        <v>1</v>
      </c>
      <c r="DK38" s="742">
        <f t="shared" ca="1" si="24"/>
        <v>0</v>
      </c>
      <c r="DL38" s="742">
        <f t="shared" ca="1" si="33"/>
        <v>1</v>
      </c>
      <c r="DM38" s="736" t="str">
        <f t="shared" ca="1" si="34"/>
        <v>1.1</v>
      </c>
      <c r="DN38" s="742" cm="1">
        <f t="array" aca="1" ref="DN38" ca="1">OFFSET(Horarios!$P$3,DJ38-1,0,DL38,1)</f>
        <v>1</v>
      </c>
      <c r="DO38" s="742"/>
      <c r="DP38" s="742" t="s">
        <v>673</v>
      </c>
      <c r="DQ38" s="742" t="str">
        <f t="shared" ca="1" si="35"/>
        <v>Francia</v>
      </c>
      <c r="DR38" s="742"/>
      <c r="DS38" s="742"/>
      <c r="DT38" s="742" t="str">
        <f t="shared" ca="1" si="15"/>
        <v>Alemania-Costa de Marfil</v>
      </c>
      <c r="DU38" s="742"/>
      <c r="DV38" s="742"/>
      <c r="DW38" s="8"/>
    </row>
    <row r="39" spans="1:127" ht="15.95" customHeight="1">
      <c r="A39" s="743" t="str">
        <f ca="1">+Equipos!B20</f>
        <v>Costa de Marfil</v>
      </c>
      <c r="B39" s="740"/>
      <c r="C39" s="742"/>
      <c r="D39" s="742" t="str">
        <f t="shared" si="115"/>
        <v>Pendiente</v>
      </c>
      <c r="E39" s="742" t="str">
        <f t="shared" si="116"/>
        <v>-</v>
      </c>
      <c r="F39" s="742" t="str">
        <f t="shared" si="117"/>
        <v>-</v>
      </c>
      <c r="G39" s="742"/>
      <c r="H39" s="742" t="str">
        <f t="shared" si="118"/>
        <v>-</v>
      </c>
      <c r="I39" s="742" t="str">
        <f t="shared" si="119"/>
        <v>-</v>
      </c>
      <c r="J39" s="742"/>
      <c r="K39" s="742" t="str">
        <f t="shared" si="120"/>
        <v>-</v>
      </c>
      <c r="L39" s="742" t="str">
        <f t="shared" si="121"/>
        <v>-</v>
      </c>
      <c r="M39" s="742"/>
      <c r="N39" s="742" t="str">
        <f t="shared" si="122"/>
        <v>-</v>
      </c>
      <c r="O39" s="742" t="str">
        <f t="shared" si="123"/>
        <v>-</v>
      </c>
      <c r="P39" s="742"/>
      <c r="Q39" s="742" t="str">
        <f t="shared" si="124"/>
        <v>-</v>
      </c>
      <c r="R39" s="742" t="str">
        <f t="shared" si="125"/>
        <v>-</v>
      </c>
      <c r="S39" s="742"/>
      <c r="T39" s="742" t="str">
        <f t="shared" si="126"/>
        <v>-</v>
      </c>
      <c r="U39" s="742" t="str">
        <f t="shared" si="127"/>
        <v>-</v>
      </c>
      <c r="V39" s="172"/>
      <c r="W39" s="841"/>
      <c r="X39" s="189">
        <f ca="1">Horarios!C39</f>
        <v>46193.833333333336</v>
      </c>
      <c r="Y39" s="190">
        <f ca="1">Horarios!C39</f>
        <v>46193.833333333336</v>
      </c>
      <c r="Z39" s="191" t="str">
        <f>$Z$6</f>
        <v>J2</v>
      </c>
      <c r="AA39" s="192" t="str">
        <f ca="1">A40</f>
        <v>Ecuador</v>
      </c>
      <c r="AB39" s="478" t="str" cm="1">
        <f t="array" aca="1" ref="AB39" ca="1">Ver_flag_local</f>
        <v/>
      </c>
      <c r="AC39" s="193"/>
      <c r="AD39" s="194"/>
      <c r="AE39" s="483" t="str" cm="1">
        <f t="array" aca="1" ref="AE39" ca="1">Ver_flag_visit</f>
        <v/>
      </c>
      <c r="AF39" s="195" t="str">
        <f ca="1">A38</f>
        <v>Curazao</v>
      </c>
      <c r="AG39" s="413">
        <f t="shared" si="128"/>
        <v>0</v>
      </c>
      <c r="AH39" s="196">
        <v>34</v>
      </c>
      <c r="AI39" s="19" t="str">
        <f t="shared" ref="AI39:AI41" si="133">AJ39&amp;$B$36</f>
        <v>2E</v>
      </c>
      <c r="AJ39" s="221">
        <v>2</v>
      </c>
      <c r="AK39" s="486" t="str" cm="1">
        <f t="array" aca="1" ref="AK39" ca="1">Ver_flag_visit</f>
        <v/>
      </c>
      <c r="AL39" s="222" t="str">
        <f ca="1">IFERROR(INDEX($BD$6:$BD$53,MATCH(AI39,$BN$6:$BN$53,0)),"")</f>
        <v>Curazao</v>
      </c>
      <c r="AM39" s="223">
        <f t="shared" ca="1" si="132"/>
        <v>0</v>
      </c>
      <c r="AN39" s="224">
        <f t="shared" ca="1" si="132"/>
        <v>0</v>
      </c>
      <c r="AO39" s="224">
        <f t="shared" ca="1" si="132"/>
        <v>0</v>
      </c>
      <c r="AP39" s="224">
        <f t="shared" ca="1" si="132"/>
        <v>0</v>
      </c>
      <c r="AQ39" s="224">
        <f t="shared" ca="1" si="132"/>
        <v>0</v>
      </c>
      <c r="AR39" s="224">
        <f t="shared" ca="1" si="132"/>
        <v>0</v>
      </c>
      <c r="AS39" s="224">
        <f t="shared" ca="1" si="132"/>
        <v>0</v>
      </c>
      <c r="AT39" s="225">
        <f t="shared" ca="1" si="132"/>
        <v>0</v>
      </c>
      <c r="AU39" s="420">
        <f ca="1">INDEX($DL$6:$DL$53,MATCH(AI39,$DP$6:$DP$53,0))</f>
        <v>1</v>
      </c>
      <c r="AV39" s="217" t="str">
        <f ca="1">INDEX($BD$6:$BD$53,MATCH(AI39,$BM$6:$BM$53,0))</f>
        <v>Curazao</v>
      </c>
      <c r="AW39" s="427"/>
      <c r="AX39" s="218"/>
      <c r="AY39" s="226" t="str">
        <f ca="1">+A38</f>
        <v>Curazao</v>
      </c>
      <c r="AZ39" s="227"/>
      <c r="BA39" s="175"/>
      <c r="BB39" s="742"/>
      <c r="BC39" s="754" t="str">
        <f ca="1">+INDEX(T_Equipos[Grupo],MATCH(WORLDCUP!BD39,T_Equipos[NombreEquipo],0))</f>
        <v>I</v>
      </c>
      <c r="BD39" s="742" t="str">
        <f ca="1">+Equipos!B35</f>
        <v>Senegal</v>
      </c>
      <c r="BE39" s="746">
        <f t="shared" ca="1" si="25"/>
        <v>0</v>
      </c>
      <c r="BF39" s="746">
        <f t="shared" ca="1" si="26"/>
        <v>0</v>
      </c>
      <c r="BG39" s="746">
        <f t="shared" ca="1" si="17"/>
        <v>0</v>
      </c>
      <c r="BH39" s="746">
        <f t="shared" ca="1" si="18"/>
        <v>0</v>
      </c>
      <c r="BI39" s="746">
        <f t="shared" ca="1" si="19"/>
        <v>0</v>
      </c>
      <c r="BJ39" s="746">
        <f t="shared" ca="1" si="20"/>
        <v>0</v>
      </c>
      <c r="BK39" s="746">
        <f t="shared" ca="1" si="21"/>
        <v>0</v>
      </c>
      <c r="BL39" s="746">
        <f t="shared" ca="1" si="27"/>
        <v>0</v>
      </c>
      <c r="BM39" s="746" t="str">
        <f t="shared" ca="1" si="22"/>
        <v>2I</v>
      </c>
      <c r="BN39" s="746" t="str">
        <f t="shared" ca="1" si="23"/>
        <v>2I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0</v>
      </c>
      <c r="BS39" s="755">
        <f ca="1">BP39+COUNTIFS($BQ$6:$BQ$53,BQ39,$BR$6:BR$53,"&gt;"&amp;BR39,$BC$6:$BC$53,INDEX(T_Equipos[Grupo],MATCH(BD39,T_Equipos[NombreEquipo],0)))</f>
        <v>1</v>
      </c>
      <c r="BT39" s="755" t="str">
        <f ca="1">IF(COUNTIFS($BS$6:$BS$53,BS39,$BC$6:$BC$53,INDEX(T_Equipos[Grupo],MATCH(BD39,T_Equipos[NombreEquipo],0)))=1,"-","P."&amp;BS39&amp;" ("&amp;COUNTIFS($BS$6:$BS$53,BS39,$BC$6:$BC$53,INDEX(T_Equipos[Grupo],MATCH(BD39,T_Equipos[NombreEquipo],0)))&amp;")")</f>
        <v>P.1 (4)</v>
      </c>
      <c r="BU39" s="756">
        <f t="shared" ca="1" si="36"/>
        <v>0</v>
      </c>
      <c r="BV39" s="756">
        <f t="shared" ca="1" si="37"/>
        <v>0</v>
      </c>
      <c r="BW39" s="756">
        <f t="shared" ca="1" si="38"/>
        <v>0</v>
      </c>
      <c r="BX39" s="756">
        <f t="shared" ca="1" si="39"/>
        <v>0</v>
      </c>
      <c r="BY39" s="756">
        <f ca="1">BS39+COUNTIFS($BT$6:$BT$53,BT39,$BX$6:BX$53,"&gt;"&amp;BX39,$BC$6:$BC$53,INDEX(T_Equipos[Grupo],MATCH(BD39,T_Equipos[NombreEquipo],0)))</f>
        <v>1</v>
      </c>
      <c r="BZ39" s="755" t="str">
        <f ca="1">IF(COUNTIFS($BY$6:$BY$53,BY39,$BC$6:$BC$53,INDEX(T_Equipos[Grupo],MATCH(BD39,T_Equipos[NombreEquipo],0)))=1,"-","P."&amp;BY39&amp;" ("&amp;COUNTIFS($BY$6:$BY$53,BY39,$BC$6:$BC$53,INDEX(T_Equipos[Grupo],MATCH(BD39,T_Equipos[NombreEquipo],0)))&amp;")")</f>
        <v>P.1 (4)</v>
      </c>
      <c r="CA39" s="756">
        <f t="shared" ca="1" si="40"/>
        <v>0</v>
      </c>
      <c r="CB39" s="756">
        <f t="shared" ca="1" si="41"/>
        <v>0</v>
      </c>
      <c r="CC39" s="756">
        <f t="shared" ca="1" si="42"/>
        <v>0</v>
      </c>
      <c r="CD39" s="756">
        <f ca="1">BY39+COUNTIFS($BZ$6:$BZ$53,BZ39,$CC$6:CC$53,"&gt;"&amp;CC39,$BC$6:$BC$53,INDEX(T_Equipos[Grupo],MATCH(BD39,T_Equipos[NombreEquipo],0)))</f>
        <v>1</v>
      </c>
      <c r="CE39" s="755" t="str">
        <f ca="1">IF(COUNTIFS($CD$6:$CD$53,CD39,$BC$6:$BC$53,INDEX(T_Equipos[Grupo],MATCH(BD39,T_Equipos[NombreEquipo],0)))=1,"-","P."&amp;CD39&amp;" ("&amp;COUNTIFS($CD$6:$CD$53,CD39,$BC$6:$BC$53,INDEX(T_Equipos[Grupo],MATCH(BD39,T_Equipos[NombreEquipo],0)))&amp;")")</f>
        <v>P.1 (4)</v>
      </c>
      <c r="CF39" s="756">
        <f t="shared" ca="1" si="43"/>
        <v>0</v>
      </c>
      <c r="CG39" s="756">
        <f ca="1">CD39+COUNTIFS($CE$6:$CE$53,CE39,$CF$6:CF$53,"&gt;"&amp;CF39,$BC$6:$BC$53,INDEX(T_Equipos[Grupo],MATCH(BD39,T_Equipos[NombreEquipo],0)))</f>
        <v>1</v>
      </c>
      <c r="CH39" s="755" t="str">
        <f ca="1">IF(COUNTIFS($CG$6:$CG$53,CG39,$BC$6:$BC$53,INDEX(T_Equipos[Grupo],MATCH(BD39,T_Equipos[NombreEquipo],0)))=1,"-","P."&amp;CG39&amp;" ("&amp;COUNTIFS($CG$6:$CG$53,CG39,$BC$6:$BC$53,INDEX(T_Equipos[Grupo],MATCH(BD39,T_Equipos[NombreEquipo],0)))&amp;")")</f>
        <v>P.1 (4)</v>
      </c>
      <c r="CI39" s="756">
        <f t="shared" ca="1" si="44"/>
        <v>0</v>
      </c>
      <c r="CJ39" s="756">
        <f t="shared" ca="1" si="45"/>
        <v>0</v>
      </c>
      <c r="CK39" s="756">
        <f t="shared" ca="1" si="46"/>
        <v>0</v>
      </c>
      <c r="CL39" s="756">
        <f t="shared" ca="1" si="47"/>
        <v>0</v>
      </c>
      <c r="CM39" s="756">
        <f ca="1">CG39+COUNTIFS($CH$6:$CH$53,CH39,$CL$6:CL$53,"&gt;"&amp;CL39,$BC$6:$BC$53,INDEX(T_Equipos[Grupo],MATCH(BD39,T_Equipos[NombreEquipo],0)))</f>
        <v>1</v>
      </c>
      <c r="CN39" s="755" t="str">
        <f ca="1">IF(COUNTIFS($CM$6:$CM$53,CM39,$BC$6:$BC$53,INDEX(T_Equipos[Grupo],MATCH(BD39,T_Equipos[NombreEquipo],0)))=1,"-","P."&amp;CM39&amp;" ("&amp;COUNTIFS($CM$6:$CM$53,CM39,$BC$6:$BC$53,INDEX(T_Equipos[Grupo],MATCH(BD39,T_Equipos[NombreEquipo],0)))&amp;")")</f>
        <v>P.1 (4)</v>
      </c>
      <c r="CO39" s="756">
        <f t="shared" ca="1" si="48"/>
        <v>0</v>
      </c>
      <c r="CP39" s="756">
        <f t="shared" ca="1" si="49"/>
        <v>0</v>
      </c>
      <c r="CQ39" s="756">
        <f t="shared" ca="1" si="50"/>
        <v>0</v>
      </c>
      <c r="CR39" s="756">
        <f ca="1">CM39+COUNTIFS($CN$6:$CN$53,CN39,$CQ$6:CQ$53,"&gt;"&amp;CQ39,$BC$6:$BC$53,INDEX(T_Equipos[Grupo],MATCH(BD39,T_Equipos[NombreEquipo],0)))</f>
        <v>1</v>
      </c>
      <c r="CS39" s="755" t="str">
        <f ca="1">IF(COUNTIFS($CR$6:$CR$53,CR39,$BC$6:$BC$53,INDEX(T_Equipos[Grupo],MATCH(BD39,T_Equipos[NombreEquipo],0)))=1,"-","P."&amp;CR39&amp;" ("&amp;COUNTIFS($CR$6:$CR$53,CR39,$BC$6:$BC$53,INDEX(T_Equipos[Grupo],MATCH(BD39,T_Equipos[NombreEquipo],0)))&amp;")")</f>
        <v>P.1 (4)</v>
      </c>
      <c r="CT39" s="756">
        <f t="shared" ca="1" si="51"/>
        <v>0</v>
      </c>
      <c r="CU39" s="756">
        <f ca="1">CR39+COUNTIFS($CS$6:$CS$53,CS39,$CT$6:CT$53,"&gt;"&amp;CT39,$BC$6:$BC$53,INDEX(T_Equipos[Grupo],MATCH(BD39,T_Equipos[NombreEquipo],0)))</f>
        <v>1</v>
      </c>
      <c r="CV39" s="755" t="str">
        <f ca="1">IF(COUNTIFS($CU$6:$CU$53,CU39,$BC$6:$BC$53,INDEX(T_Equipos[Grupo],MATCH(BD39,T_Equipos[NombreEquipo],0)))=1,"-","P."&amp;CU39&amp;" ("&amp;COUNTIFS($CU$6:$CU$53,CU39,$BC$6:$BC$53,INDEX(T_Equipos[Grupo],MATCH(BD39,T_Equipos[NombreEquipo],0)))&amp;")")</f>
        <v>P.1 (4)</v>
      </c>
      <c r="CW39" s="755">
        <f t="shared" ca="1" si="30"/>
        <v>0</v>
      </c>
      <c r="CX39" s="755">
        <f ca="1">CU39+COUNTIFS($CV$6:$CV$53,CV39,$CW$6:CW$53,"&gt;"&amp;CW39,$BC$6:$BC$53,INDEX(T_Equipos[Grupo],MATCH(BD39,T_Equipos[NombreEquipo],0)))</f>
        <v>1</v>
      </c>
      <c r="CY39" s="755" t="str">
        <f ca="1">IF(COUNTIFS($CX$6:$CX$53,CX39,$BC$6:$BC$53,INDEX(T_Equipos[Grupo],MATCH(BD39,T_Equipos[NombreEquipo],0)))=1,"-","P."&amp;CX39&amp;" ("&amp;COUNTIFS($CX$6:$CX$53,CX39,$BC$6:$BC$53,INDEX(T_Equipos[Grupo],MATCH(BD39,T_Equipos[NombreEquipo],0)))&amp;")")</f>
        <v>P.1 (4)</v>
      </c>
      <c r="CZ39" s="755">
        <f t="shared" ca="1" si="31"/>
        <v>0</v>
      </c>
      <c r="DA39" s="756">
        <f ca="1">CX39+COUNTIFS($CY$6:$CY$53,CY39,$CZ$6:CZ$53,"&gt;"&amp;CZ39,$BC$6:$BC$53,INDEX(T_Equipos[Grupo],MATCH(BD39,T_Equipos[NombreEquipo],0)))</f>
        <v>1</v>
      </c>
      <c r="DB39" s="755" t="str">
        <f ca="1">IF(COUNTIFS($DA$6:$DA$53,DA39,$BC$6:$BC$53,INDEX(T_Equipos[Grupo],MATCH(BD39,T_Equipos[NombreEquipo],0)))=1,"-","P."&amp;DA39&amp;" ("&amp;COUNTIFS($DA$6:$DA$53,DA39,$BC$6:$BC$53,INDEX(T_Equipos[Grupo],MATCH(BD39,T_Equipos[NombreEquipo],0)))&amp;")")</f>
        <v>P.1 (4)</v>
      </c>
      <c r="DC39" s="754">
        <f ca="1">IF(DB39="-","-",COUNTIFS(T_Equipos[Rank],"&lt;"&amp;INDEX(T_Equipos[Rank],MATCH(BD39,T_Equipos[NombreEquipo],0)),$BC$6:$BC$53,INDEX(T_Equipos[Grupo],MATCH(BD39,T_Equipos[NombreEquipo],0)))+1)</f>
        <v>2</v>
      </c>
      <c r="DD39" s="754">
        <f ca="1">DA39+COUNTIFS($DB$6:$DB$53,DB39,$DC$6:DC$53,"&lt;"&amp;DC39,$BC$6:$BC$53,INDEX(T_Equipos[Grupo],MATCH(BD39,T_Equipos[NombreEquipo],0)))</f>
        <v>2</v>
      </c>
      <c r="DE39" s="754"/>
      <c r="DF39" s="754">
        <f t="shared" ca="1" si="52"/>
        <v>2</v>
      </c>
      <c r="DG39" s="754">
        <f ca="1">IF(DB39="-","-",COUNTIFS(DF$6:DF$53,"&lt;"&amp;DF39,$BC$6:$BC$53,INDEX(T_Equipos[Grupo],MATCH(BD39,T_Equipos[NombreEquipo],0))))</f>
        <v>1</v>
      </c>
      <c r="DH39" s="754">
        <f ca="1">DA39+COUNTIFS(DB$6:DB$53,DB39,DG$6:DG$53,"&lt;"&amp;DG39,$BC$6:$BC$53,INDEX(T_Equipos[Grupo],MATCH(BD39,T_Equipos[NombreEquipo],0)))</f>
        <v>2</v>
      </c>
      <c r="DI39" s="742"/>
      <c r="DJ39" s="742">
        <f t="shared" ca="1" si="53"/>
        <v>1</v>
      </c>
      <c r="DK39" s="742">
        <f t="shared" ca="1" si="24"/>
        <v>0</v>
      </c>
      <c r="DL39" s="742">
        <f t="shared" ca="1" si="33"/>
        <v>1</v>
      </c>
      <c r="DM39" s="736" t="str">
        <f t="shared" ca="1" si="34"/>
        <v>1.1</v>
      </c>
      <c r="DN39" s="742" cm="1">
        <f t="array" aca="1" ref="DN39" ca="1">OFFSET(Horarios!$P$3,DJ39-1,0,DL39,1)</f>
        <v>1</v>
      </c>
      <c r="DO39" s="742"/>
      <c r="DP39" s="742" t="s">
        <v>674</v>
      </c>
      <c r="DQ39" s="742" t="str">
        <f t="shared" ca="1" si="35"/>
        <v>Senegal</v>
      </c>
      <c r="DR39" s="742"/>
      <c r="DS39" s="742"/>
      <c r="DT39" s="742" t="str">
        <f t="shared" ca="1" si="15"/>
        <v>Ecuador-Curazao</v>
      </c>
      <c r="DU39" s="742"/>
      <c r="DV39" s="742"/>
      <c r="DW39" s="8"/>
    </row>
    <row r="40" spans="1:127" ht="15.95" customHeight="1">
      <c r="A40" s="743" t="str">
        <f ca="1">+Equipos!B21</f>
        <v>Ecuador</v>
      </c>
      <c r="B40" s="740"/>
      <c r="C40" s="742"/>
      <c r="D40" s="742" t="str">
        <f t="shared" si="115"/>
        <v>Pendiente</v>
      </c>
      <c r="E40" s="742" t="str">
        <f t="shared" si="116"/>
        <v>-</v>
      </c>
      <c r="F40" s="742" t="str">
        <f t="shared" si="117"/>
        <v>-</v>
      </c>
      <c r="G40" s="742"/>
      <c r="H40" s="742" t="str">
        <f t="shared" si="118"/>
        <v>-</v>
      </c>
      <c r="I40" s="742" t="str">
        <f t="shared" si="119"/>
        <v>-</v>
      </c>
      <c r="J40" s="742"/>
      <c r="K40" s="742" t="str">
        <f t="shared" si="120"/>
        <v>-</v>
      </c>
      <c r="L40" s="742" t="str">
        <f t="shared" si="121"/>
        <v>-</v>
      </c>
      <c r="M40" s="742"/>
      <c r="N40" s="742" t="str">
        <f t="shared" si="122"/>
        <v>-</v>
      </c>
      <c r="O40" s="742" t="str">
        <f t="shared" si="123"/>
        <v>-</v>
      </c>
      <c r="P40" s="742"/>
      <c r="Q40" s="742" t="str">
        <f t="shared" si="124"/>
        <v>-</v>
      </c>
      <c r="R40" s="742" t="str">
        <f t="shared" si="125"/>
        <v>-</v>
      </c>
      <c r="S40" s="742"/>
      <c r="T40" s="742" t="str">
        <f t="shared" si="126"/>
        <v>-</v>
      </c>
      <c r="U40" s="742" t="str">
        <f t="shared" si="127"/>
        <v>-</v>
      </c>
      <c r="V40" s="172"/>
      <c r="W40" s="841"/>
      <c r="X40" s="189">
        <f ca="1">Horarios!C40</f>
        <v>46198.666666666664</v>
      </c>
      <c r="Y40" s="190">
        <f ca="1">Horarios!C40</f>
        <v>46198.666666666664</v>
      </c>
      <c r="Z40" s="191" t="str">
        <f>$Z$8</f>
        <v>J3</v>
      </c>
      <c r="AA40" s="192" t="str">
        <f ca="1">A38</f>
        <v>Curazao</v>
      </c>
      <c r="AB40" s="478" t="str" cm="1">
        <f t="array" aca="1" ref="AB40" ca="1">Ver_flag_local</f>
        <v/>
      </c>
      <c r="AC40" s="193"/>
      <c r="AD40" s="194"/>
      <c r="AE40" s="483" t="str" cm="1">
        <f t="array" aca="1" ref="AE40" ca="1">Ver_flag_visit</f>
        <v/>
      </c>
      <c r="AF40" s="195" t="str">
        <f ca="1">A39</f>
        <v>Costa de Marfil</v>
      </c>
      <c r="AG40" s="413">
        <f t="shared" si="128"/>
        <v>0</v>
      </c>
      <c r="AH40" s="196">
        <v>55</v>
      </c>
      <c r="AI40" s="19" t="str">
        <f t="shared" si="133"/>
        <v>3E</v>
      </c>
      <c r="AJ40" s="221">
        <v>3</v>
      </c>
      <c r="AK40" s="486" t="str" cm="1">
        <f t="array" aca="1" ref="AK40" ca="1">Ver_flag_visit</f>
        <v/>
      </c>
      <c r="AL40" s="222" t="str">
        <f ca="1">IFERROR(INDEX($BD$6:$BD$53,MATCH(AI40,$BN$6:$BN$53,0)),"")</f>
        <v>Costa de Marfil</v>
      </c>
      <c r="AM40" s="223">
        <f t="shared" ca="1" si="132"/>
        <v>0</v>
      </c>
      <c r="AN40" s="224">
        <f t="shared" ca="1" si="132"/>
        <v>0</v>
      </c>
      <c r="AO40" s="224">
        <f t="shared" ca="1" si="132"/>
        <v>0</v>
      </c>
      <c r="AP40" s="224">
        <f t="shared" ca="1" si="132"/>
        <v>0</v>
      </c>
      <c r="AQ40" s="224">
        <f t="shared" ca="1" si="132"/>
        <v>0</v>
      </c>
      <c r="AR40" s="224">
        <f t="shared" ca="1" si="132"/>
        <v>0</v>
      </c>
      <c r="AS40" s="224">
        <f t="shared" ca="1" si="132"/>
        <v>0</v>
      </c>
      <c r="AT40" s="225">
        <f t="shared" ca="1" si="132"/>
        <v>0</v>
      </c>
      <c r="AU40" s="420">
        <f ca="1">INDEX($DL$6:$DL$53,MATCH(AI40,$DP$6:$DP$53,0))</f>
        <v>1</v>
      </c>
      <c r="AV40" s="217" t="str">
        <f ca="1">INDEX($BD$6:$BD$53,MATCH(AI40,$BM$6:$BM$53,0))</f>
        <v>Costa de Marfil</v>
      </c>
      <c r="AW40" s="427"/>
      <c r="AX40" s="218"/>
      <c r="AY40" s="219" t="str">
        <f ca="1">+A39</f>
        <v>Costa de Marfil</v>
      </c>
      <c r="AZ40" s="220"/>
      <c r="BA40" s="175"/>
      <c r="BB40" s="742"/>
      <c r="BC40" s="754" t="str">
        <f ca="1">+INDEX(T_Equipos[Grupo],MATCH(WORLDCUP!BD40,T_Equipos[NombreEquipo],0))</f>
        <v>I</v>
      </c>
      <c r="BD40" s="742" t="str">
        <f ca="1">+Equipos!B36</f>
        <v>Irak</v>
      </c>
      <c r="BE40" s="746">
        <f t="shared" ca="1" si="25"/>
        <v>0</v>
      </c>
      <c r="BF40" s="746">
        <f t="shared" ca="1" si="26"/>
        <v>0</v>
      </c>
      <c r="BG40" s="746">
        <f t="shared" ca="1" si="17"/>
        <v>0</v>
      </c>
      <c r="BH40" s="746">
        <f t="shared" ca="1" si="18"/>
        <v>0</v>
      </c>
      <c r="BI40" s="746">
        <f t="shared" ca="1" si="19"/>
        <v>0</v>
      </c>
      <c r="BJ40" s="746">
        <f t="shared" ca="1" si="20"/>
        <v>0</v>
      </c>
      <c r="BK40" s="746">
        <f t="shared" ca="1" si="21"/>
        <v>0</v>
      </c>
      <c r="BL40" s="746">
        <f t="shared" ca="1" si="27"/>
        <v>0</v>
      </c>
      <c r="BM40" s="746" t="str">
        <f t="shared" ca="1" si="22"/>
        <v>3I</v>
      </c>
      <c r="BN40" s="746" t="str">
        <f t="shared" ca="1" si="23"/>
        <v>3I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1</v>
      </c>
      <c r="BT40" s="755" t="str">
        <f ca="1">IF(COUNTIFS($BS$6:$BS$53,BS40,$BC$6:$BC$53,INDEX(T_Equipos[Grupo],MATCH(BD40,T_Equipos[NombreEquipo],0)))=1,"-","P."&amp;BS40&amp;" ("&amp;COUNTIFS($BS$6:$BS$53,BS40,$BC$6:$BC$53,INDEX(T_Equipos[Grupo],MATCH(BD40,T_Equipos[NombreEquipo],0)))&amp;")")</f>
        <v>P.1 (4)</v>
      </c>
      <c r="BU40" s="756">
        <f t="shared" ca="1" si="36"/>
        <v>0</v>
      </c>
      <c r="BV40" s="756">
        <f t="shared" ca="1" si="37"/>
        <v>0</v>
      </c>
      <c r="BW40" s="756">
        <f t="shared" ca="1" si="38"/>
        <v>0</v>
      </c>
      <c r="BX40" s="756">
        <f t="shared" ca="1" si="39"/>
        <v>0</v>
      </c>
      <c r="BY40" s="756">
        <f ca="1">BS40+COUNTIFS($BT$6:$BT$53,BT40,$BX$6:BX$53,"&gt;"&amp;BX40,$BC$6:$BC$53,INDEX(T_Equipos[Grupo],MATCH(BD40,T_Equipos[NombreEquipo],0)))</f>
        <v>1</v>
      </c>
      <c r="BZ40" s="755" t="str">
        <f ca="1">IF(COUNTIFS($BY$6:$BY$53,BY40,$BC$6:$BC$53,INDEX(T_Equipos[Grupo],MATCH(BD40,T_Equipos[NombreEquipo],0)))=1,"-","P."&amp;BY40&amp;" ("&amp;COUNTIFS($BY$6:$BY$53,BY40,$BC$6:$BC$53,INDEX(T_Equipos[Grupo],MATCH(BD40,T_Equipos[NombreEquipo],0)))&amp;")")</f>
        <v>P.1 (4)</v>
      </c>
      <c r="CA40" s="756">
        <f t="shared" ca="1" si="40"/>
        <v>0</v>
      </c>
      <c r="CB40" s="756">
        <f t="shared" ca="1" si="41"/>
        <v>0</v>
      </c>
      <c r="CC40" s="756">
        <f t="shared" ca="1" si="42"/>
        <v>0</v>
      </c>
      <c r="CD40" s="756">
        <f ca="1">BY40+COUNTIFS($BZ$6:$BZ$53,BZ40,$CC$6:CC$53,"&gt;"&amp;CC40,$BC$6:$BC$53,INDEX(T_Equipos[Grupo],MATCH(BD40,T_Equipos[NombreEquipo],0)))</f>
        <v>1</v>
      </c>
      <c r="CE40" s="755" t="str">
        <f ca="1">IF(COUNTIFS($CD$6:$CD$53,CD40,$BC$6:$BC$53,INDEX(T_Equipos[Grupo],MATCH(BD40,T_Equipos[NombreEquipo],0)))=1,"-","P."&amp;CD40&amp;" ("&amp;COUNTIFS($CD$6:$CD$53,CD40,$BC$6:$BC$53,INDEX(T_Equipos[Grupo],MATCH(BD40,T_Equipos[NombreEquipo],0)))&amp;")")</f>
        <v>P.1 (4)</v>
      </c>
      <c r="CF40" s="756">
        <f t="shared" ca="1" si="43"/>
        <v>0</v>
      </c>
      <c r="CG40" s="756">
        <f ca="1">CD40+COUNTIFS($CE$6:$CE$53,CE40,$CF$6:CF$53,"&gt;"&amp;CF40,$BC$6:$BC$53,INDEX(T_Equipos[Grupo],MATCH(BD40,T_Equipos[NombreEquipo],0)))</f>
        <v>1</v>
      </c>
      <c r="CH40" s="755" t="str">
        <f ca="1">IF(COUNTIFS($CG$6:$CG$53,CG40,$BC$6:$BC$53,INDEX(T_Equipos[Grupo],MATCH(BD40,T_Equipos[NombreEquipo],0)))=1,"-","P."&amp;CG40&amp;" ("&amp;COUNTIFS($CG$6:$CG$53,CG40,$BC$6:$BC$53,INDEX(T_Equipos[Grupo],MATCH(BD40,T_Equipos[NombreEquipo],0)))&amp;")")</f>
        <v>P.1 (4)</v>
      </c>
      <c r="CI40" s="756">
        <f t="shared" ca="1" si="44"/>
        <v>0</v>
      </c>
      <c r="CJ40" s="756">
        <f t="shared" ca="1" si="45"/>
        <v>0</v>
      </c>
      <c r="CK40" s="756">
        <f t="shared" ca="1" si="46"/>
        <v>0</v>
      </c>
      <c r="CL40" s="756">
        <f t="shared" ca="1" si="47"/>
        <v>0</v>
      </c>
      <c r="CM40" s="756">
        <f ca="1">CG40+COUNTIFS($CH$6:$CH$53,CH40,$CL$6:CL$53,"&gt;"&amp;CL40,$BC$6:$BC$53,INDEX(T_Equipos[Grupo],MATCH(BD40,T_Equipos[NombreEquipo],0)))</f>
        <v>1</v>
      </c>
      <c r="CN40" s="755" t="str">
        <f ca="1">IF(COUNTIFS($CM$6:$CM$53,CM40,$BC$6:$BC$53,INDEX(T_Equipos[Grupo],MATCH(BD40,T_Equipos[NombreEquipo],0)))=1,"-","P."&amp;CM40&amp;" ("&amp;COUNTIFS($CM$6:$CM$53,CM40,$BC$6:$BC$53,INDEX(T_Equipos[Grupo],MATCH(BD40,T_Equipos[NombreEquipo],0)))&amp;")")</f>
        <v>P.1 (4)</v>
      </c>
      <c r="CO40" s="756">
        <f t="shared" ca="1" si="48"/>
        <v>0</v>
      </c>
      <c r="CP40" s="756">
        <f t="shared" ca="1" si="49"/>
        <v>0</v>
      </c>
      <c r="CQ40" s="756">
        <f t="shared" ca="1" si="50"/>
        <v>0</v>
      </c>
      <c r="CR40" s="756">
        <f ca="1">CM40+COUNTIFS($CN$6:$CN$53,CN40,$CQ$6:CQ$53,"&gt;"&amp;CQ40,$BC$6:$BC$53,INDEX(T_Equipos[Grupo],MATCH(BD40,T_Equipos[NombreEquipo],0)))</f>
        <v>1</v>
      </c>
      <c r="CS40" s="755" t="str">
        <f ca="1">IF(COUNTIFS($CR$6:$CR$53,CR40,$BC$6:$BC$53,INDEX(T_Equipos[Grupo],MATCH(BD40,T_Equipos[NombreEquipo],0)))=1,"-","P."&amp;CR40&amp;" ("&amp;COUNTIFS($CR$6:$CR$53,CR40,$BC$6:$BC$53,INDEX(T_Equipos[Grupo],MATCH(BD40,T_Equipos[NombreEquipo],0)))&amp;")")</f>
        <v>P.1 (4)</v>
      </c>
      <c r="CT40" s="756">
        <f t="shared" ca="1" si="51"/>
        <v>0</v>
      </c>
      <c r="CU40" s="756">
        <f ca="1">CR40+COUNTIFS($CS$6:$CS$53,CS40,$CT$6:CT$53,"&gt;"&amp;CT40,$BC$6:$BC$53,INDEX(T_Equipos[Grupo],MATCH(BD40,T_Equipos[NombreEquipo],0)))</f>
        <v>1</v>
      </c>
      <c r="CV40" s="755" t="str">
        <f ca="1">IF(COUNTIFS($CU$6:$CU$53,CU40,$BC$6:$BC$53,INDEX(T_Equipos[Grupo],MATCH(BD40,T_Equipos[NombreEquipo],0)))=1,"-","P."&amp;CU40&amp;" ("&amp;COUNTIFS($CU$6:$CU$53,CU40,$BC$6:$BC$53,INDEX(T_Equipos[Grupo],MATCH(BD40,T_Equipos[NombreEquipo],0)))&amp;")")</f>
        <v>P.1 (4)</v>
      </c>
      <c r="CW40" s="755">
        <f t="shared" ca="1" si="30"/>
        <v>0</v>
      </c>
      <c r="CX40" s="755">
        <f ca="1">CU40+COUNTIFS($CV$6:$CV$53,CV40,$CW$6:CW$53,"&gt;"&amp;CW40,$BC$6:$BC$53,INDEX(T_Equipos[Grupo],MATCH(BD40,T_Equipos[NombreEquipo],0)))</f>
        <v>1</v>
      </c>
      <c r="CY40" s="755" t="str">
        <f ca="1">IF(COUNTIFS($CX$6:$CX$53,CX40,$BC$6:$BC$53,INDEX(T_Equipos[Grupo],MATCH(BD40,T_Equipos[NombreEquipo],0)))=1,"-","P."&amp;CX40&amp;" ("&amp;COUNTIFS($CX$6:$CX$53,CX40,$BC$6:$BC$53,INDEX(T_Equipos[Grupo],MATCH(BD40,T_Equipos[NombreEquipo],0)))&amp;")")</f>
        <v>P.1 (4)</v>
      </c>
      <c r="CZ40" s="755">
        <f t="shared" ca="1" si="31"/>
        <v>0</v>
      </c>
      <c r="DA40" s="756">
        <f ca="1">CX40+COUNTIFS($CY$6:$CY$53,CY40,$CZ$6:CZ$53,"&gt;"&amp;CZ40,$BC$6:$BC$53,INDEX(T_Equipos[Grupo],MATCH(BD40,T_Equipos[NombreEquipo],0)))</f>
        <v>1</v>
      </c>
      <c r="DB40" s="755" t="str">
        <f ca="1">IF(COUNTIFS($DA$6:$DA$53,DA40,$BC$6:$BC$53,INDEX(T_Equipos[Grupo],MATCH(BD40,T_Equipos[NombreEquipo],0)))=1,"-","P."&amp;DA40&amp;" ("&amp;COUNTIFS($DA$6:$DA$53,DA40,$BC$6:$BC$53,INDEX(T_Equipos[Grupo],MATCH(BD40,T_Equipos[NombreEquipo],0)))&amp;")")</f>
        <v>P.1 (4)</v>
      </c>
      <c r="DC40" s="754">
        <f ca="1">IF(DB40="-","-",COUNTIFS(T_Equipos[Rank],"&lt;"&amp;INDEX(T_Equipos[Rank],MATCH(BD40,T_Equipos[NombreEquipo],0)),$BC$6:$BC$53,INDEX(T_Equipos[Grupo],MATCH(BD40,T_Equipos[NombreEquipo],0)))+1)</f>
        <v>3</v>
      </c>
      <c r="DD40" s="754">
        <f ca="1">DA40+COUNTIFS($DB$6:$DB$53,DB40,$DC$6:DC$53,"&lt;"&amp;DC40,$BC$6:$BC$53,INDEX(T_Equipos[Grupo],MATCH(BD40,T_Equipos[NombreEquipo],0)))</f>
        <v>3</v>
      </c>
      <c r="DE40" s="754"/>
      <c r="DF40" s="754">
        <f t="shared" ca="1" si="52"/>
        <v>3</v>
      </c>
      <c r="DG40" s="754">
        <f ca="1">IF(DB40="-","-",COUNTIFS(DF$6:DF$53,"&lt;"&amp;DF40,$BC$6:$BC$53,INDEX(T_Equipos[Grupo],MATCH(BD40,T_Equipos[NombreEquipo],0))))</f>
        <v>2</v>
      </c>
      <c r="DH40" s="754">
        <f ca="1">DA40+COUNTIFS(DB$6:DB$53,DB40,DG$6:DG$53,"&lt;"&amp;DG40,$BC$6:$BC$53,INDEX(T_Equipos[Grupo],MATCH(BD40,T_Equipos[NombreEquipo],0)))</f>
        <v>3</v>
      </c>
      <c r="DI40" s="742"/>
      <c r="DJ40" s="742">
        <f t="shared" ca="1" si="53"/>
        <v>1</v>
      </c>
      <c r="DK40" s="742">
        <f t="shared" ca="1" si="24"/>
        <v>0</v>
      </c>
      <c r="DL40" s="742">
        <f t="shared" ca="1" si="33"/>
        <v>1</v>
      </c>
      <c r="DM40" s="736" t="str">
        <f t="shared" ca="1" si="34"/>
        <v>1.1</v>
      </c>
      <c r="DN40" s="742" cm="1">
        <f t="array" aca="1" ref="DN40" ca="1">OFFSET(Horarios!$P$3,DJ40-1,0,DL40,1)</f>
        <v>1</v>
      </c>
      <c r="DO40" s="742"/>
      <c r="DP40" s="742" t="s">
        <v>440</v>
      </c>
      <c r="DQ40" s="742" t="str">
        <f t="shared" ca="1" si="35"/>
        <v>Irak</v>
      </c>
      <c r="DR40" s="742"/>
      <c r="DS40" s="742"/>
      <c r="DT40" s="742" t="str">
        <f t="shared" ca="1" si="15"/>
        <v>Curazao-Costa de Marfil</v>
      </c>
      <c r="DU40" s="742"/>
      <c r="DV40" s="742"/>
      <c r="DW40" s="8"/>
    </row>
    <row r="41" spans="1:127" ht="17.100000000000001" customHeight="1" thickBot="1">
      <c r="A41" s="737"/>
      <c r="B41" s="737"/>
      <c r="C41" s="737"/>
      <c r="D41" s="742" t="str">
        <f t="shared" si="115"/>
        <v>Pendiente</v>
      </c>
      <c r="E41" s="742" t="str">
        <f t="shared" si="116"/>
        <v>-</v>
      </c>
      <c r="F41" s="742" t="str">
        <f t="shared" si="117"/>
        <v>-</v>
      </c>
      <c r="G41" s="742"/>
      <c r="H41" s="742" t="str">
        <f t="shared" si="118"/>
        <v>-</v>
      </c>
      <c r="I41" s="742" t="str">
        <f t="shared" si="119"/>
        <v>-</v>
      </c>
      <c r="J41" s="742"/>
      <c r="K41" s="742" t="str">
        <f t="shared" si="120"/>
        <v>-</v>
      </c>
      <c r="L41" s="742" t="str">
        <f t="shared" si="121"/>
        <v>-</v>
      </c>
      <c r="M41" s="742"/>
      <c r="N41" s="742" t="str">
        <f t="shared" si="122"/>
        <v>-</v>
      </c>
      <c r="O41" s="742" t="str">
        <f t="shared" si="123"/>
        <v>-</v>
      </c>
      <c r="P41" s="742"/>
      <c r="Q41" s="742" t="str">
        <f t="shared" si="124"/>
        <v>-</v>
      </c>
      <c r="R41" s="742" t="str">
        <f t="shared" si="125"/>
        <v>-</v>
      </c>
      <c r="S41" s="742"/>
      <c r="T41" s="742" t="str">
        <f t="shared" si="126"/>
        <v>-</v>
      </c>
      <c r="U41" s="742" t="str">
        <f t="shared" si="127"/>
        <v>-</v>
      </c>
      <c r="V41" s="172"/>
      <c r="W41" s="842"/>
      <c r="X41" s="228">
        <f ca="1">Horarios!C41</f>
        <v>46198.666666666664</v>
      </c>
      <c r="Y41" s="229">
        <f ca="1">Horarios!C41</f>
        <v>46198.666666666664</v>
      </c>
      <c r="Z41" s="230" t="str">
        <f>$Z$8</f>
        <v>J3</v>
      </c>
      <c r="AA41" s="231" t="str">
        <f ca="1">A40</f>
        <v>Ecuador</v>
      </c>
      <c r="AB41" s="479" t="str" cm="1">
        <f t="array" aca="1" ref="AB41" ca="1">Ver_flag_local</f>
        <v/>
      </c>
      <c r="AC41" s="232"/>
      <c r="AD41" s="233"/>
      <c r="AE41" s="484" t="str" cm="1">
        <f t="array" aca="1" ref="AE41" ca="1">Ver_flag_visit</f>
        <v/>
      </c>
      <c r="AF41" s="234" t="str">
        <f ca="1">A37</f>
        <v>Alemania</v>
      </c>
      <c r="AG41" s="413">
        <f t="shared" si="128"/>
        <v>0</v>
      </c>
      <c r="AH41" s="196">
        <v>56</v>
      </c>
      <c r="AI41" s="19" t="str">
        <f t="shared" si="133"/>
        <v>4E</v>
      </c>
      <c r="AJ41" s="235">
        <v>4</v>
      </c>
      <c r="AK41" s="487" t="str" cm="1">
        <f t="array" aca="1" ref="AK41" ca="1">Ver_flag_visit</f>
        <v/>
      </c>
      <c r="AL41" s="236" t="str">
        <f ca="1">IFERROR(INDEX($BD$6:$BD$53,MATCH(AI41,$BN$6:$BN$53,0)),"")</f>
        <v>Ecuador</v>
      </c>
      <c r="AM41" s="237">
        <f t="shared" ca="1" si="132"/>
        <v>0</v>
      </c>
      <c r="AN41" s="238">
        <f t="shared" ca="1" si="132"/>
        <v>0</v>
      </c>
      <c r="AO41" s="238">
        <f t="shared" ca="1" si="132"/>
        <v>0</v>
      </c>
      <c r="AP41" s="238">
        <f t="shared" ca="1" si="132"/>
        <v>0</v>
      </c>
      <c r="AQ41" s="238">
        <f t="shared" ca="1" si="132"/>
        <v>0</v>
      </c>
      <c r="AR41" s="238">
        <f t="shared" ca="1" si="132"/>
        <v>0</v>
      </c>
      <c r="AS41" s="238">
        <f t="shared" ca="1" si="132"/>
        <v>0</v>
      </c>
      <c r="AT41" s="239">
        <f t="shared" ca="1" si="132"/>
        <v>0</v>
      </c>
      <c r="AU41" s="420">
        <f ca="1">INDEX($DL$6:$DL$53,MATCH(AI41,$DP$6:$DP$53,0))</f>
        <v>1</v>
      </c>
      <c r="AV41" s="217" t="str">
        <f ca="1">INDEX($BD$6:$BD$53,MATCH(AI41,$BM$6:$BM$53,0))</f>
        <v>Ecuador</v>
      </c>
      <c r="AW41" s="427"/>
      <c r="AX41" s="218"/>
      <c r="AY41" s="240" t="str">
        <f ca="1">+A40</f>
        <v>Ecuador</v>
      </c>
      <c r="AZ41" s="241"/>
      <c r="BA41" s="175"/>
      <c r="BB41" s="742"/>
      <c r="BC41" s="754" t="str">
        <f ca="1">+INDEX(T_Equipos[Grupo],MATCH(WORLDCUP!BD41,T_Equipos[NombreEquipo],0))</f>
        <v>I</v>
      </c>
      <c r="BD41" s="742" t="str">
        <f ca="1">+Equipos!B37</f>
        <v>Noruega</v>
      </c>
      <c r="BE41" s="746">
        <f t="shared" ca="1" si="25"/>
        <v>0</v>
      </c>
      <c r="BF41" s="746">
        <f t="shared" ca="1" si="26"/>
        <v>0</v>
      </c>
      <c r="BG41" s="746">
        <f t="shared" ca="1" si="17"/>
        <v>0</v>
      </c>
      <c r="BH41" s="746">
        <f t="shared" ca="1" si="18"/>
        <v>0</v>
      </c>
      <c r="BI41" s="746">
        <f t="shared" ca="1" si="19"/>
        <v>0</v>
      </c>
      <c r="BJ41" s="746">
        <f t="shared" ca="1" si="20"/>
        <v>0</v>
      </c>
      <c r="BK41" s="746">
        <f t="shared" ca="1" si="21"/>
        <v>0</v>
      </c>
      <c r="BL41" s="746">
        <f t="shared" ca="1" si="27"/>
        <v>0</v>
      </c>
      <c r="BM41" s="746" t="str">
        <f t="shared" ca="1" si="22"/>
        <v>4I</v>
      </c>
      <c r="BN41" s="746" t="str">
        <f t="shared" ca="1" si="23"/>
        <v>4I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0</v>
      </c>
      <c r="BS41" s="755">
        <f ca="1">BP41+COUNTIFS($BQ$6:$BQ$53,BQ41,$BR$6:BR$53,"&gt;"&amp;BR41,$BC$6:$BC$53,INDEX(T_Equipos[Grupo],MATCH(BD41,T_Equipos[NombreEquipo],0)))</f>
        <v>1</v>
      </c>
      <c r="BT41" s="755" t="str">
        <f ca="1">IF(COUNTIFS($BS$6:$BS$53,BS41,$BC$6:$BC$53,INDEX(T_Equipos[Grupo],MATCH(BD41,T_Equipos[NombreEquipo],0)))=1,"-","P."&amp;BS41&amp;" ("&amp;COUNTIFS($BS$6:$BS$53,BS41,$BC$6:$BC$53,INDEX(T_Equipos[Grupo],MATCH(BD41,T_Equipos[NombreEquipo],0)))&amp;")")</f>
        <v>P.1 (4)</v>
      </c>
      <c r="BU41" s="756">
        <f t="shared" ca="1" si="36"/>
        <v>0</v>
      </c>
      <c r="BV41" s="756">
        <f t="shared" ca="1" si="37"/>
        <v>0</v>
      </c>
      <c r="BW41" s="756">
        <f t="shared" ca="1" si="38"/>
        <v>0</v>
      </c>
      <c r="BX41" s="756">
        <f t="shared" ca="1" si="39"/>
        <v>0</v>
      </c>
      <c r="BY41" s="756">
        <f ca="1">BS41+COUNTIFS($BT$6:$BT$53,BT41,$BX$6:BX$53,"&gt;"&amp;BX41,$BC$6:$BC$53,INDEX(T_Equipos[Grupo],MATCH(BD41,T_Equipos[NombreEquipo],0)))</f>
        <v>1</v>
      </c>
      <c r="BZ41" s="755" t="str">
        <f ca="1">IF(COUNTIFS($BY$6:$BY$53,BY41,$BC$6:$BC$53,INDEX(T_Equipos[Grupo],MATCH(BD41,T_Equipos[NombreEquipo],0)))=1,"-","P."&amp;BY41&amp;" ("&amp;COUNTIFS($BY$6:$BY$53,BY41,$BC$6:$BC$53,INDEX(T_Equipos[Grupo],MATCH(BD41,T_Equipos[NombreEquipo],0)))&amp;")")</f>
        <v>P.1 (4)</v>
      </c>
      <c r="CA41" s="756">
        <f t="shared" ca="1" si="40"/>
        <v>0</v>
      </c>
      <c r="CB41" s="756">
        <f t="shared" ca="1" si="41"/>
        <v>0</v>
      </c>
      <c r="CC41" s="756">
        <f t="shared" ca="1" si="42"/>
        <v>0</v>
      </c>
      <c r="CD41" s="756">
        <f ca="1">BY41+COUNTIFS($BZ$6:$BZ$53,BZ41,$CC$6:CC$53,"&gt;"&amp;CC41,$BC$6:$BC$53,INDEX(T_Equipos[Grupo],MATCH(BD41,T_Equipos[NombreEquipo],0)))</f>
        <v>1</v>
      </c>
      <c r="CE41" s="755" t="str">
        <f ca="1">IF(COUNTIFS($CD$6:$CD$53,CD41,$BC$6:$BC$53,INDEX(T_Equipos[Grupo],MATCH(BD41,T_Equipos[NombreEquipo],0)))=1,"-","P."&amp;CD41&amp;" ("&amp;COUNTIFS($CD$6:$CD$53,CD41,$BC$6:$BC$53,INDEX(T_Equipos[Grupo],MATCH(BD41,T_Equipos[NombreEquipo],0)))&amp;")")</f>
        <v>P.1 (4)</v>
      </c>
      <c r="CF41" s="756">
        <f t="shared" ca="1" si="43"/>
        <v>0</v>
      </c>
      <c r="CG41" s="756">
        <f ca="1">CD41+COUNTIFS($CE$6:$CE$53,CE41,$CF$6:CF$53,"&gt;"&amp;CF41,$BC$6:$BC$53,INDEX(T_Equipos[Grupo],MATCH(BD41,T_Equipos[NombreEquipo],0)))</f>
        <v>1</v>
      </c>
      <c r="CH41" s="755" t="str">
        <f ca="1">IF(COUNTIFS($CG$6:$CG$53,CG41,$BC$6:$BC$53,INDEX(T_Equipos[Grupo],MATCH(BD41,T_Equipos[NombreEquipo],0)))=1,"-","P."&amp;CG41&amp;" ("&amp;COUNTIFS($CG$6:$CG$53,CG41,$BC$6:$BC$53,INDEX(T_Equipos[Grupo],MATCH(BD41,T_Equipos[NombreEquipo],0)))&amp;")")</f>
        <v>P.1 (4)</v>
      </c>
      <c r="CI41" s="756">
        <f t="shared" ca="1" si="44"/>
        <v>0</v>
      </c>
      <c r="CJ41" s="756">
        <f t="shared" ca="1" si="45"/>
        <v>0</v>
      </c>
      <c r="CK41" s="756">
        <f t="shared" ca="1" si="46"/>
        <v>0</v>
      </c>
      <c r="CL41" s="756">
        <f t="shared" ca="1" si="47"/>
        <v>0</v>
      </c>
      <c r="CM41" s="756">
        <f ca="1">CG41+COUNTIFS($CH$6:$CH$53,CH41,$CL$6:CL$53,"&gt;"&amp;CL41,$BC$6:$BC$53,INDEX(T_Equipos[Grupo],MATCH(BD41,T_Equipos[NombreEquipo],0)))</f>
        <v>1</v>
      </c>
      <c r="CN41" s="755" t="str">
        <f ca="1">IF(COUNTIFS($CM$6:$CM$53,CM41,$BC$6:$BC$53,INDEX(T_Equipos[Grupo],MATCH(BD41,T_Equipos[NombreEquipo],0)))=1,"-","P."&amp;CM41&amp;" ("&amp;COUNTIFS($CM$6:$CM$53,CM41,$BC$6:$BC$53,INDEX(T_Equipos[Grupo],MATCH(BD41,T_Equipos[NombreEquipo],0)))&amp;")")</f>
        <v>P.1 (4)</v>
      </c>
      <c r="CO41" s="756">
        <f t="shared" ca="1" si="48"/>
        <v>0</v>
      </c>
      <c r="CP41" s="756">
        <f t="shared" ca="1" si="49"/>
        <v>0</v>
      </c>
      <c r="CQ41" s="756">
        <f t="shared" ca="1" si="50"/>
        <v>0</v>
      </c>
      <c r="CR41" s="756">
        <f ca="1">CM41+COUNTIFS($CN$6:$CN$53,CN41,$CQ$6:CQ$53,"&gt;"&amp;CQ41,$BC$6:$BC$53,INDEX(T_Equipos[Grupo],MATCH(BD41,T_Equipos[NombreEquipo],0)))</f>
        <v>1</v>
      </c>
      <c r="CS41" s="755" t="str">
        <f ca="1">IF(COUNTIFS($CR$6:$CR$53,CR41,$BC$6:$BC$53,INDEX(T_Equipos[Grupo],MATCH(BD41,T_Equipos[NombreEquipo],0)))=1,"-","P."&amp;CR41&amp;" ("&amp;COUNTIFS($CR$6:$CR$53,CR41,$BC$6:$BC$53,INDEX(T_Equipos[Grupo],MATCH(BD41,T_Equipos[NombreEquipo],0)))&amp;")")</f>
        <v>P.1 (4)</v>
      </c>
      <c r="CT41" s="756">
        <f t="shared" ca="1" si="51"/>
        <v>0</v>
      </c>
      <c r="CU41" s="756">
        <f ca="1">CR41+COUNTIFS($CS$6:$CS$53,CS41,$CT$6:CT$53,"&gt;"&amp;CT41,$BC$6:$BC$53,INDEX(T_Equipos[Grupo],MATCH(BD41,T_Equipos[NombreEquipo],0)))</f>
        <v>1</v>
      </c>
      <c r="CV41" s="755" t="str">
        <f ca="1">IF(COUNTIFS($CU$6:$CU$53,CU41,$BC$6:$BC$53,INDEX(T_Equipos[Grupo],MATCH(BD41,T_Equipos[NombreEquipo],0)))=1,"-","P."&amp;CU41&amp;" ("&amp;COUNTIFS($CU$6:$CU$53,CU41,$BC$6:$BC$53,INDEX(T_Equipos[Grupo],MATCH(BD41,T_Equipos[NombreEquipo],0)))&amp;")")</f>
        <v>P.1 (4)</v>
      </c>
      <c r="CW41" s="755">
        <f t="shared" ca="1" si="30"/>
        <v>0</v>
      </c>
      <c r="CX41" s="755">
        <f ca="1">CU41+COUNTIFS($CV$6:$CV$53,CV41,$CW$6:CW$53,"&gt;"&amp;CW41,$BC$6:$BC$53,INDEX(T_Equipos[Grupo],MATCH(BD41,T_Equipos[NombreEquipo],0)))</f>
        <v>1</v>
      </c>
      <c r="CY41" s="755" t="str">
        <f ca="1">IF(COUNTIFS($CX$6:$CX$53,CX41,$BC$6:$BC$53,INDEX(T_Equipos[Grupo],MATCH(BD41,T_Equipos[NombreEquipo],0)))=1,"-","P."&amp;CX41&amp;" ("&amp;COUNTIFS($CX$6:$CX$53,CX41,$BC$6:$BC$53,INDEX(T_Equipos[Grupo],MATCH(BD41,T_Equipos[NombreEquipo],0)))&amp;")")</f>
        <v>P.1 (4)</v>
      </c>
      <c r="CZ41" s="755">
        <f t="shared" ca="1" si="31"/>
        <v>0</v>
      </c>
      <c r="DA41" s="756">
        <f ca="1">CX41+COUNTIFS($CY$6:$CY$53,CY41,$CZ$6:CZ$53,"&gt;"&amp;CZ41,$BC$6:$BC$53,INDEX(T_Equipos[Grupo],MATCH(BD41,T_Equipos[NombreEquipo],0)))</f>
        <v>1</v>
      </c>
      <c r="DB41" s="755" t="str">
        <f ca="1">IF(COUNTIFS($DA$6:$DA$53,DA41,$BC$6:$BC$53,INDEX(T_Equipos[Grupo],MATCH(BD41,T_Equipos[NombreEquipo],0)))=1,"-","P."&amp;DA41&amp;" ("&amp;COUNTIFS($DA$6:$DA$53,DA41,$BC$6:$BC$53,INDEX(T_Equipos[Grupo],MATCH(BD41,T_Equipos[NombreEquipo],0)))&amp;")")</f>
        <v>P.1 (4)</v>
      </c>
      <c r="DC41" s="754">
        <f ca="1">IF(DB41="-","-",COUNTIFS(T_Equipos[Rank],"&lt;"&amp;INDEX(T_Equipos[Rank],MATCH(BD41,T_Equipos[NombreEquipo],0)),$BC$6:$BC$53,INDEX(T_Equipos[Grupo],MATCH(BD41,T_Equipos[NombreEquipo],0)))+1)</f>
        <v>4</v>
      </c>
      <c r="DD41" s="754">
        <f ca="1">DA41+COUNTIFS($DB$6:$DB$53,DB41,$DC$6:DC$53,"&lt;"&amp;DC41,$BC$6:$BC$53,INDEX(T_Equipos[Grupo],MATCH(BD41,T_Equipos[NombreEquipo],0)))</f>
        <v>4</v>
      </c>
      <c r="DE41" s="754"/>
      <c r="DF41" s="754">
        <f t="shared" ca="1" si="52"/>
        <v>4</v>
      </c>
      <c r="DG41" s="754">
        <f ca="1">IF(DB41="-","-",COUNTIFS(DF$6:DF$53,"&lt;"&amp;DF41,$BC$6:$BC$53,INDEX(T_Equipos[Grupo],MATCH(BD41,T_Equipos[NombreEquipo],0))))</f>
        <v>3</v>
      </c>
      <c r="DH41" s="754">
        <f ca="1">DA41+COUNTIFS(DB$6:DB$53,DB41,DG$6:DG$53,"&lt;"&amp;DG41,$BC$6:$BC$53,INDEX(T_Equipos[Grupo],MATCH(BD41,T_Equipos[NombreEquipo],0)))</f>
        <v>4</v>
      </c>
      <c r="DI41" s="742"/>
      <c r="DJ41" s="742">
        <f t="shared" ca="1" si="53"/>
        <v>1</v>
      </c>
      <c r="DK41" s="742">
        <f t="shared" ca="1" si="24"/>
        <v>0</v>
      </c>
      <c r="DL41" s="742">
        <f t="shared" ca="1" si="33"/>
        <v>1</v>
      </c>
      <c r="DM41" s="736" t="str">
        <f t="shared" ca="1" si="34"/>
        <v>1.1</v>
      </c>
      <c r="DN41" s="742" cm="1">
        <f t="array" aca="1" ref="DN41" ca="1">OFFSET(Horarios!$P$3,DJ41-1,0,DL41,1)</f>
        <v>1</v>
      </c>
      <c r="DO41" s="742"/>
      <c r="DP41" s="742" t="s">
        <v>675</v>
      </c>
      <c r="DQ41" s="742" t="str">
        <f t="shared" ca="1" si="35"/>
        <v>Noruega</v>
      </c>
      <c r="DR41" s="742"/>
      <c r="DS41" s="742"/>
      <c r="DT41" s="742" t="str">
        <f t="shared" ca="1" si="15"/>
        <v>Ecuador-Alemania</v>
      </c>
      <c r="DU41" s="742"/>
      <c r="DV41" s="742"/>
      <c r="DW41" s="8"/>
    </row>
    <row r="42" spans="1:127" ht="15.7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0</v>
      </c>
      <c r="BF42" s="746">
        <f t="shared" ca="1" si="26"/>
        <v>0</v>
      </c>
      <c r="BG42" s="746">
        <f t="shared" ca="1" si="17"/>
        <v>0</v>
      </c>
      <c r="BH42" s="746">
        <f t="shared" ca="1" si="18"/>
        <v>0</v>
      </c>
      <c r="BI42" s="746">
        <f t="shared" ca="1" si="19"/>
        <v>0</v>
      </c>
      <c r="BJ42" s="746">
        <f t="shared" ca="1" si="20"/>
        <v>0</v>
      </c>
      <c r="BK42" s="746">
        <f t="shared" ca="1" si="21"/>
        <v>0</v>
      </c>
      <c r="BL42" s="746">
        <f t="shared" ca="1" si="27"/>
        <v>0</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0</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P.1 (4)</v>
      </c>
      <c r="BU42" s="756">
        <f t="shared" ca="1" si="36"/>
        <v>0</v>
      </c>
      <c r="BV42" s="756">
        <f t="shared" ca="1" si="37"/>
        <v>0</v>
      </c>
      <c r="BW42" s="756">
        <f t="shared" ca="1" si="38"/>
        <v>0</v>
      </c>
      <c r="BX42" s="756">
        <f t="shared" ca="1" si="39"/>
        <v>0</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P.1 (4)</v>
      </c>
      <c r="CA42" s="756">
        <f t="shared" ca="1" si="40"/>
        <v>0</v>
      </c>
      <c r="CB42" s="756">
        <f t="shared" ca="1" si="41"/>
        <v>0</v>
      </c>
      <c r="CC42" s="756">
        <f t="shared" ca="1" si="42"/>
        <v>0</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P.1 (4)</v>
      </c>
      <c r="CF42" s="756">
        <f t="shared" ca="1" si="43"/>
        <v>0</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P.1 (4)</v>
      </c>
      <c r="CI42" s="756">
        <f t="shared" ca="1" si="44"/>
        <v>0</v>
      </c>
      <c r="CJ42" s="756">
        <f t="shared" ca="1" si="45"/>
        <v>0</v>
      </c>
      <c r="CK42" s="756">
        <f t="shared" ca="1" si="46"/>
        <v>0</v>
      </c>
      <c r="CL42" s="756">
        <f t="shared" ca="1" si="47"/>
        <v>0</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P.1 (4)</v>
      </c>
      <c r="CO42" s="756">
        <f t="shared" ca="1" si="48"/>
        <v>0</v>
      </c>
      <c r="CP42" s="756">
        <f t="shared" ca="1" si="49"/>
        <v>0</v>
      </c>
      <c r="CQ42" s="756">
        <f t="shared" ca="1" si="50"/>
        <v>0</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P.1 (4)</v>
      </c>
      <c r="CT42" s="756">
        <f t="shared" ca="1" si="51"/>
        <v>0</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P.1 (4)</v>
      </c>
      <c r="CW42" s="755">
        <f t="shared" ca="1" si="30"/>
        <v>0</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P.1 (4)</v>
      </c>
      <c r="CZ42" s="755">
        <f t="shared" ca="1" si="31"/>
        <v>0</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P.1 (4)</v>
      </c>
      <c r="DC42" s="754">
        <f ca="1">IF(DB42="-","-",COUNTIFS(T_Equipos[Rank],"&lt;"&amp;INDEX(T_Equipos[Rank],MATCH(BD42,T_Equipos[NombreEquipo],0)),$BC$6:$BC$53,INDEX(T_Equipos[Grupo],MATCH(BD42,T_Equipos[NombreEquipo],0)))+1)</f>
        <v>1</v>
      </c>
      <c r="DD42" s="754">
        <f ca="1">DA42+COUNTIFS($DB$6:$DB$53,DB42,$DC$6:DC$53,"&lt;"&amp;DC42,$BC$6:$BC$53,INDEX(T_Equipos[Grupo],MATCH(BD42,T_Equipos[NombreEquipo],0)))</f>
        <v>1</v>
      </c>
      <c r="DE42" s="754"/>
      <c r="DF42" s="754">
        <f t="shared" ca="1" si="52"/>
        <v>1</v>
      </c>
      <c r="DG42" s="754">
        <f ca="1">IF(DB42="-","-",COUNTIFS(DF$6:DF$53,"&lt;"&amp;DF42,$BC$6:$BC$53,INDEX(T_Equipos[Grupo],MATCH(BD42,T_Equipos[NombreEquipo],0))))</f>
        <v>0</v>
      </c>
      <c r="DH42" s="754">
        <f ca="1">DA42+COUNTIFS(DB$6:DB$53,DB42,DG$6:DG$53,"&lt;"&amp;DG42,$BC$6:$BC$53,INDEX(T_Equipos[Grupo],MATCH(BD42,T_Equipos[NombreEquipo],0)))</f>
        <v>1</v>
      </c>
      <c r="DI42" s="742"/>
      <c r="DJ42" s="742">
        <f t="shared" ca="1" si="53"/>
        <v>1</v>
      </c>
      <c r="DK42" s="742">
        <f t="shared" ca="1" si="24"/>
        <v>0</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7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Argelia</v>
      </c>
      <c r="BE43" s="746">
        <f t="shared" ca="1" si="25"/>
        <v>0</v>
      </c>
      <c r="BF43" s="746">
        <f t="shared" ca="1" si="26"/>
        <v>0</v>
      </c>
      <c r="BG43" s="746">
        <f t="shared" ca="1" si="17"/>
        <v>0</v>
      </c>
      <c r="BH43" s="746">
        <f t="shared" ca="1" si="18"/>
        <v>0</v>
      </c>
      <c r="BI43" s="746">
        <f t="shared" ca="1" si="19"/>
        <v>0</v>
      </c>
      <c r="BJ43" s="746">
        <f t="shared" ca="1" si="20"/>
        <v>0</v>
      </c>
      <c r="BK43" s="746">
        <f t="shared" ca="1" si="21"/>
        <v>0</v>
      </c>
      <c r="BL43" s="746">
        <f t="shared" ca="1" si="27"/>
        <v>0</v>
      </c>
      <c r="BM43" s="746" t="str">
        <f t="shared" ca="1" si="22"/>
        <v>2J</v>
      </c>
      <c r="BN43" s="746" t="str">
        <f t="shared" ca="1" si="23"/>
        <v>2J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0</v>
      </c>
      <c r="BS43" s="755">
        <f ca="1">BP43+COUNTIFS($BQ$6:$BQ$53,BQ43,$BR$6:BR$53,"&gt;"&amp;BR43,$BC$6:$BC$53,INDEX(T_Equipos[Grupo],MATCH(BD43,T_Equipos[NombreEquipo],0)))</f>
        <v>1</v>
      </c>
      <c r="BT43" s="755" t="str">
        <f ca="1">IF(COUNTIFS($BS$6:$BS$53,BS43,$BC$6:$BC$53,INDEX(T_Equipos[Grupo],MATCH(BD43,T_Equipos[NombreEquipo],0)))=1,"-","P."&amp;BS43&amp;" ("&amp;COUNTIFS($BS$6:$BS$53,BS43,$BC$6:$BC$53,INDEX(T_Equipos[Grupo],MATCH(BD43,T_Equipos[NombreEquipo],0)))&amp;")")</f>
        <v>P.1 (4)</v>
      </c>
      <c r="BU43" s="756">
        <f t="shared" ca="1" si="36"/>
        <v>0</v>
      </c>
      <c r="BV43" s="756">
        <f t="shared" ca="1" si="37"/>
        <v>0</v>
      </c>
      <c r="BW43" s="756">
        <f t="shared" ca="1" si="38"/>
        <v>0</v>
      </c>
      <c r="BX43" s="756">
        <f t="shared" ca="1" si="39"/>
        <v>0</v>
      </c>
      <c r="BY43" s="756">
        <f ca="1">BS43+COUNTIFS($BT$6:$BT$53,BT43,$BX$6:BX$53,"&gt;"&amp;BX43,$BC$6:$BC$53,INDEX(T_Equipos[Grupo],MATCH(BD43,T_Equipos[NombreEquipo],0)))</f>
        <v>1</v>
      </c>
      <c r="BZ43" s="755" t="str">
        <f ca="1">IF(COUNTIFS($BY$6:$BY$53,BY43,$BC$6:$BC$53,INDEX(T_Equipos[Grupo],MATCH(BD43,T_Equipos[NombreEquipo],0)))=1,"-","P."&amp;BY43&amp;" ("&amp;COUNTIFS($BY$6:$BY$53,BY43,$BC$6:$BC$53,INDEX(T_Equipos[Grupo],MATCH(BD43,T_Equipos[NombreEquipo],0)))&amp;")")</f>
        <v>P.1 (4)</v>
      </c>
      <c r="CA43" s="756">
        <f t="shared" ca="1" si="40"/>
        <v>0</v>
      </c>
      <c r="CB43" s="756">
        <f t="shared" ca="1" si="41"/>
        <v>0</v>
      </c>
      <c r="CC43" s="756">
        <f t="shared" ca="1" si="42"/>
        <v>0</v>
      </c>
      <c r="CD43" s="756">
        <f ca="1">BY43+COUNTIFS($BZ$6:$BZ$53,BZ43,$CC$6:CC$53,"&gt;"&amp;CC43,$BC$6:$BC$53,INDEX(T_Equipos[Grupo],MATCH(BD43,T_Equipos[NombreEquipo],0)))</f>
        <v>1</v>
      </c>
      <c r="CE43" s="755" t="str">
        <f ca="1">IF(COUNTIFS($CD$6:$CD$53,CD43,$BC$6:$BC$53,INDEX(T_Equipos[Grupo],MATCH(BD43,T_Equipos[NombreEquipo],0)))=1,"-","P."&amp;CD43&amp;" ("&amp;COUNTIFS($CD$6:$CD$53,CD43,$BC$6:$BC$53,INDEX(T_Equipos[Grupo],MATCH(BD43,T_Equipos[NombreEquipo],0)))&amp;")")</f>
        <v>P.1 (4)</v>
      </c>
      <c r="CF43" s="756">
        <f t="shared" ca="1" si="43"/>
        <v>0</v>
      </c>
      <c r="CG43" s="756">
        <f ca="1">CD43+COUNTIFS($CE$6:$CE$53,CE43,$CF$6:CF$53,"&gt;"&amp;CF43,$BC$6:$BC$53,INDEX(T_Equipos[Grupo],MATCH(BD43,T_Equipos[NombreEquipo],0)))</f>
        <v>1</v>
      </c>
      <c r="CH43" s="755" t="str">
        <f ca="1">IF(COUNTIFS($CG$6:$CG$53,CG43,$BC$6:$BC$53,INDEX(T_Equipos[Grupo],MATCH(BD43,T_Equipos[NombreEquipo],0)))=1,"-","P."&amp;CG43&amp;" ("&amp;COUNTIFS($CG$6:$CG$53,CG43,$BC$6:$BC$53,INDEX(T_Equipos[Grupo],MATCH(BD43,T_Equipos[NombreEquipo],0)))&amp;")")</f>
        <v>P.1 (4)</v>
      </c>
      <c r="CI43" s="756">
        <f t="shared" ca="1" si="44"/>
        <v>0</v>
      </c>
      <c r="CJ43" s="756">
        <f t="shared" ca="1" si="45"/>
        <v>0</v>
      </c>
      <c r="CK43" s="756">
        <f t="shared" ca="1" si="46"/>
        <v>0</v>
      </c>
      <c r="CL43" s="756">
        <f t="shared" ca="1" si="47"/>
        <v>0</v>
      </c>
      <c r="CM43" s="756">
        <f ca="1">CG43+COUNTIFS($CH$6:$CH$53,CH43,$CL$6:CL$53,"&gt;"&amp;CL43,$BC$6:$BC$53,INDEX(T_Equipos[Grupo],MATCH(BD43,T_Equipos[NombreEquipo],0)))</f>
        <v>1</v>
      </c>
      <c r="CN43" s="755" t="str">
        <f ca="1">IF(COUNTIFS($CM$6:$CM$53,CM43,$BC$6:$BC$53,INDEX(T_Equipos[Grupo],MATCH(BD43,T_Equipos[NombreEquipo],0)))=1,"-","P."&amp;CM43&amp;" ("&amp;COUNTIFS($CM$6:$CM$53,CM43,$BC$6:$BC$53,INDEX(T_Equipos[Grupo],MATCH(BD43,T_Equipos[NombreEquipo],0)))&amp;")")</f>
        <v>P.1 (4)</v>
      </c>
      <c r="CO43" s="756">
        <f t="shared" ca="1" si="48"/>
        <v>0</v>
      </c>
      <c r="CP43" s="756">
        <f t="shared" ca="1" si="49"/>
        <v>0</v>
      </c>
      <c r="CQ43" s="756">
        <f t="shared" ca="1" si="50"/>
        <v>0</v>
      </c>
      <c r="CR43" s="756">
        <f ca="1">CM43+COUNTIFS($CN$6:$CN$53,CN43,$CQ$6:CQ$53,"&gt;"&amp;CQ43,$BC$6:$BC$53,INDEX(T_Equipos[Grupo],MATCH(BD43,T_Equipos[NombreEquipo],0)))</f>
        <v>1</v>
      </c>
      <c r="CS43" s="755" t="str">
        <f ca="1">IF(COUNTIFS($CR$6:$CR$53,CR43,$BC$6:$BC$53,INDEX(T_Equipos[Grupo],MATCH(BD43,T_Equipos[NombreEquipo],0)))=1,"-","P."&amp;CR43&amp;" ("&amp;COUNTIFS($CR$6:$CR$53,CR43,$BC$6:$BC$53,INDEX(T_Equipos[Grupo],MATCH(BD43,T_Equipos[NombreEquipo],0)))&amp;")")</f>
        <v>P.1 (4)</v>
      </c>
      <c r="CT43" s="756">
        <f t="shared" ca="1" si="51"/>
        <v>0</v>
      </c>
      <c r="CU43" s="756">
        <f ca="1">CR43+COUNTIFS($CS$6:$CS$53,CS43,$CT$6:CT$53,"&gt;"&amp;CT43,$BC$6:$BC$53,INDEX(T_Equipos[Grupo],MATCH(BD43,T_Equipos[NombreEquipo],0)))</f>
        <v>1</v>
      </c>
      <c r="CV43" s="755" t="str">
        <f ca="1">IF(COUNTIFS($CU$6:$CU$53,CU43,$BC$6:$BC$53,INDEX(T_Equipos[Grupo],MATCH(BD43,T_Equipos[NombreEquipo],0)))=1,"-","P."&amp;CU43&amp;" ("&amp;COUNTIFS($CU$6:$CU$53,CU43,$BC$6:$BC$53,INDEX(T_Equipos[Grupo],MATCH(BD43,T_Equipos[NombreEquipo],0)))&amp;")")</f>
        <v>P.1 (4)</v>
      </c>
      <c r="CW43" s="755">
        <f t="shared" ca="1" si="30"/>
        <v>0</v>
      </c>
      <c r="CX43" s="755">
        <f ca="1">CU43+COUNTIFS($CV$6:$CV$53,CV43,$CW$6:CW$53,"&gt;"&amp;CW43,$BC$6:$BC$53,INDEX(T_Equipos[Grupo],MATCH(BD43,T_Equipos[NombreEquipo],0)))</f>
        <v>1</v>
      </c>
      <c r="CY43" s="755" t="str">
        <f ca="1">IF(COUNTIFS($CX$6:$CX$53,CX43,$BC$6:$BC$53,INDEX(T_Equipos[Grupo],MATCH(BD43,T_Equipos[NombreEquipo],0)))=1,"-","P."&amp;CX43&amp;" ("&amp;COUNTIFS($CX$6:$CX$53,CX43,$BC$6:$BC$53,INDEX(T_Equipos[Grupo],MATCH(BD43,T_Equipos[NombreEquipo],0)))&amp;")")</f>
        <v>P.1 (4)</v>
      </c>
      <c r="CZ43" s="755">
        <f t="shared" ca="1" si="31"/>
        <v>0</v>
      </c>
      <c r="DA43" s="756">
        <f ca="1">CX43+COUNTIFS($CY$6:$CY$53,CY43,$CZ$6:CZ$53,"&gt;"&amp;CZ43,$BC$6:$BC$53,INDEX(T_Equipos[Grupo],MATCH(BD43,T_Equipos[NombreEquipo],0)))</f>
        <v>1</v>
      </c>
      <c r="DB43" s="755" t="str">
        <f ca="1">IF(COUNTIFS($DA$6:$DA$53,DA43,$BC$6:$BC$53,INDEX(T_Equipos[Grupo],MATCH(BD43,T_Equipos[NombreEquipo],0)))=1,"-","P."&amp;DA43&amp;" ("&amp;COUNTIFS($DA$6:$DA$53,DA43,$BC$6:$BC$53,INDEX(T_Equipos[Grupo],MATCH(BD43,T_Equipos[NombreEquipo],0)))&amp;")")</f>
        <v>P.1 (4)</v>
      </c>
      <c r="DC43" s="754">
        <f ca="1">IF(DB43="-","-",COUNTIFS(T_Equipos[Rank],"&lt;"&amp;INDEX(T_Equipos[Rank],MATCH(BD43,T_Equipos[NombreEquipo],0)),$BC$6:$BC$53,INDEX(T_Equipos[Grupo],MATCH(BD43,T_Equipos[NombreEquipo],0)))+1)</f>
        <v>2</v>
      </c>
      <c r="DD43" s="754">
        <f ca="1">DA43+COUNTIFS($DB$6:$DB$53,DB43,$DC$6:DC$53,"&lt;"&amp;DC43,$BC$6:$BC$53,INDEX(T_Equipos[Grupo],MATCH(BD43,T_Equipos[NombreEquipo],0)))</f>
        <v>2</v>
      </c>
      <c r="DE43" s="754"/>
      <c r="DF43" s="754">
        <f t="shared" ca="1" si="52"/>
        <v>2</v>
      </c>
      <c r="DG43" s="754">
        <f ca="1">IF(DB43="-","-",COUNTIFS(DF$6:DF$53,"&lt;"&amp;DF43,$BC$6:$BC$53,INDEX(T_Equipos[Grupo],MATCH(BD43,T_Equipos[NombreEquipo],0))))</f>
        <v>1</v>
      </c>
      <c r="DH43" s="754">
        <f ca="1">DA43+COUNTIFS(DB$6:DB$53,DB43,DG$6:DG$53,"&lt;"&amp;DG43,$BC$6:$BC$53,INDEX(T_Equipos[Grupo],MATCH(BD43,T_Equipos[NombreEquipo],0)))</f>
        <v>2</v>
      </c>
      <c r="DI43" s="742"/>
      <c r="DJ43" s="742">
        <f t="shared" ca="1" si="53"/>
        <v>1</v>
      </c>
      <c r="DK43" s="742">
        <f t="shared" ca="1" si="24"/>
        <v>0</v>
      </c>
      <c r="DL43" s="742">
        <f t="shared" ca="1" si="33"/>
        <v>1</v>
      </c>
      <c r="DM43" s="736" t="str">
        <f t="shared" ca="1" si="34"/>
        <v>1.1</v>
      </c>
      <c r="DN43" s="742" cm="1">
        <f t="array" aca="1" ref="DN43" ca="1">OFFSET(Horarios!$P$3,DJ43-1,0,DL43,1)</f>
        <v>1</v>
      </c>
      <c r="DO43" s="742"/>
      <c r="DP43" s="742" t="s">
        <v>677</v>
      </c>
      <c r="DQ43" s="742" t="str">
        <f t="shared" ca="1" si="35"/>
        <v>Argelia</v>
      </c>
      <c r="DR43" s="742"/>
      <c r="DS43" s="742"/>
      <c r="DT43" s="742" t="str">
        <f t="shared" si="15"/>
        <v>Casa-Fuera</v>
      </c>
      <c r="DU43" s="742"/>
      <c r="DV43" s="742"/>
      <c r="DW43" s="8"/>
    </row>
    <row r="44" spans="1:127" ht="15.95" customHeight="1" thickBot="1">
      <c r="A44" s="739" t="s">
        <v>30</v>
      </c>
      <c r="B44" s="740" t="s">
        <v>4</v>
      </c>
      <c r="C44" s="741">
        <f>COUNTIF(Equipos!$C$2:$C$49,WORLDCUP!B44)</f>
        <v>4</v>
      </c>
      <c r="D44" s="742" t="str">
        <f t="shared" ref="D44:D50" si="136">IF(OR(AC44="",AD44=""),"Pendiente",IF(AC44&gt;AD44,"Local",IF(AC44&lt;AD44,"Visitante","Empate")))</f>
        <v>Pendiente</v>
      </c>
      <c r="E44" s="742" t="str">
        <f t="shared" ref="E44:E49" si="137">IF(D44="Pendiente","-",INDEX($BT$6:$BT$53,MATCH($AA44,$BD$6:$BD$53,0)))</f>
        <v>-</v>
      </c>
      <c r="F44" s="742" t="str">
        <f t="shared" ref="F44:F49" si="138">IF(D44="Pendiente","-",INDEX($BT$6:$BT$53,MATCH($AF44,$BD$6:$BD$53,0)))</f>
        <v>-</v>
      </c>
      <c r="G44" s="742"/>
      <c r="H44" s="742" t="str">
        <f t="shared" ref="H44:H49" si="139">IF(D44="Pendiente","-",INDEX($BZ$6:$BZ$53,MATCH($AA44,$BD$6:$BD$53,0)))</f>
        <v>-</v>
      </c>
      <c r="I44" s="742" t="str">
        <f t="shared" ref="I44:I49" si="140">IF(D44="Pendiente","-",INDEX($BZ$6:$BZ$53,MATCH($AF44,$BD$6:$BD$53,0)))</f>
        <v>-</v>
      </c>
      <c r="J44" s="742"/>
      <c r="K44" s="742" t="str">
        <f t="shared" ref="K44:K49" si="141">IF(D44="Pendiente","-",INDEX($CE$6:$CE$53,MATCH($AA44,$BD$6:$BD$53,0)))</f>
        <v>-</v>
      </c>
      <c r="L44" s="742" t="str">
        <f t="shared" ref="L44:L49" si="142">IF(D44="Pendiente","-",INDEX($CE$6:$CE$53,MATCH($AF44,$BD$6:$BD$53,0)))</f>
        <v>-</v>
      </c>
      <c r="M44" s="742"/>
      <c r="N44" s="742" t="str">
        <f t="shared" ref="N44:N49" si="143">IF(D44="Pendiente","-",INDEX($CH$6:$CH$53,MATCH($AA44,$BD$6:$BD$53,0)))</f>
        <v>-</v>
      </c>
      <c r="O44" s="742" t="str">
        <f t="shared" ref="O44:O49" si="144">IF(D44="Pendiente","-",INDEX($CH$6:$CH$53,MATCH($AF44,$BD$6:$BD$53,0)))</f>
        <v>-</v>
      </c>
      <c r="P44" s="742"/>
      <c r="Q44" s="742" t="str">
        <f t="shared" ref="Q44:Q49" si="145">IF(D44="Pendiente","-",INDEX($CN$6:$CN$53,MATCH($AA44,$BD$6:$BD$53,0)))</f>
        <v>-</v>
      </c>
      <c r="R44" s="742" t="str">
        <f t="shared" ref="R44:R49" si="146">IF(D44="Pendiente","-",INDEX($CN$6:$CN$53,MATCH($AF44,$BD$6:$BD$53,0)))</f>
        <v>-</v>
      </c>
      <c r="S44" s="742"/>
      <c r="T44" s="742" t="str">
        <f t="shared" ref="T44:T49" si="147">IF(D44="Pendiente","-",INDEX($CS$6:$CS$53,MATCH($AA44,$BD$6:$BD$53,0)))</f>
        <v>-</v>
      </c>
      <c r="U44" s="742" t="str">
        <f t="shared" ref="U44:U49" si="148">IF(D44="Pendiente","-",INDEX($CS$6:$CS$53,MATCH($AF44,$BD$6:$BD$53,0)))</f>
        <v>-</v>
      </c>
      <c r="V44" s="172"/>
      <c r="W44" s="804" t="s">
        <v>4</v>
      </c>
      <c r="X44" s="189">
        <f ca="1">Horarios!C44</f>
        <v>46187.666666666664</v>
      </c>
      <c r="Y44" s="190">
        <f ca="1">Horarios!C44</f>
        <v>46187.666666666664</v>
      </c>
      <c r="Z44" s="191" t="str">
        <f>$Z$4</f>
        <v>J1</v>
      </c>
      <c r="AA44" s="192" t="str">
        <f ca="1">A45</f>
        <v>Países Bajos</v>
      </c>
      <c r="AB44" s="478" t="str" cm="1">
        <f t="array" aca="1" ref="AB44" ca="1">Ver_flag_local</f>
        <v/>
      </c>
      <c r="AC44" s="193"/>
      <c r="AD44" s="194"/>
      <c r="AE44" s="483" t="str" cm="1">
        <f t="array" aca="1" ref="AE44" ca="1">Ver_flag_visit</f>
        <v/>
      </c>
      <c r="AF44" s="195" t="str">
        <f ca="1">A46</f>
        <v>Japón</v>
      </c>
      <c r="AG44" s="413">
        <f t="shared" ref="AG44:AG49" si="149">IF(NOT(OR(ISBLANK(AC44),ISBLANK(AD44))),1,0)</f>
        <v>0</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0</v>
      </c>
      <c r="BF44" s="746">
        <f t="shared" ca="1" si="26"/>
        <v>0</v>
      </c>
      <c r="BG44" s="746">
        <f t="shared" ca="1" si="17"/>
        <v>0</v>
      </c>
      <c r="BH44" s="746">
        <f t="shared" ca="1" si="18"/>
        <v>0</v>
      </c>
      <c r="BI44" s="746">
        <f t="shared" ca="1" si="19"/>
        <v>0</v>
      </c>
      <c r="BJ44" s="746">
        <f t="shared" ca="1" si="20"/>
        <v>0</v>
      </c>
      <c r="BK44" s="746">
        <f t="shared" ca="1" si="21"/>
        <v>0</v>
      </c>
      <c r="BL44" s="746">
        <f t="shared" ca="1" si="27"/>
        <v>0</v>
      </c>
      <c r="BM44" s="746" t="str">
        <f t="shared" ca="1" si="22"/>
        <v>3J</v>
      </c>
      <c r="BN44" s="746" t="str">
        <f t="shared" ca="1" si="23"/>
        <v>3J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0</v>
      </c>
      <c r="BS44" s="755">
        <f ca="1">BP44+COUNTIFS($BQ$6:$BQ$53,BQ44,$BR$6:BR$53,"&gt;"&amp;BR44,$BC$6:$BC$53,INDEX(T_Equipos[Grupo],MATCH(BD44,T_Equipos[NombreEquipo],0)))</f>
        <v>1</v>
      </c>
      <c r="BT44" s="755" t="str">
        <f ca="1">IF(COUNTIFS($BS$6:$BS$53,BS44,$BC$6:$BC$53,INDEX(T_Equipos[Grupo],MATCH(BD44,T_Equipos[NombreEquipo],0)))=1,"-","P."&amp;BS44&amp;" ("&amp;COUNTIFS($BS$6:$BS$53,BS44,$BC$6:$BC$53,INDEX(T_Equipos[Grupo],MATCH(BD44,T_Equipos[NombreEquipo],0)))&amp;")")</f>
        <v>P.1 (4)</v>
      </c>
      <c r="BU44" s="756">
        <f t="shared" ca="1" si="36"/>
        <v>0</v>
      </c>
      <c r="BV44" s="756">
        <f t="shared" ca="1" si="37"/>
        <v>0</v>
      </c>
      <c r="BW44" s="756">
        <f t="shared" ca="1" si="38"/>
        <v>0</v>
      </c>
      <c r="BX44" s="756">
        <f t="shared" ca="1" si="39"/>
        <v>0</v>
      </c>
      <c r="BY44" s="756">
        <f ca="1">BS44+COUNTIFS($BT$6:$BT$53,BT44,$BX$6:BX$53,"&gt;"&amp;BX44,$BC$6:$BC$53,INDEX(T_Equipos[Grupo],MATCH(BD44,T_Equipos[NombreEquipo],0)))</f>
        <v>1</v>
      </c>
      <c r="BZ44" s="755" t="str">
        <f ca="1">IF(COUNTIFS($BY$6:$BY$53,BY44,$BC$6:$BC$53,INDEX(T_Equipos[Grupo],MATCH(BD44,T_Equipos[NombreEquipo],0)))=1,"-","P."&amp;BY44&amp;" ("&amp;COUNTIFS($BY$6:$BY$53,BY44,$BC$6:$BC$53,INDEX(T_Equipos[Grupo],MATCH(BD44,T_Equipos[NombreEquipo],0)))&amp;")")</f>
        <v>P.1 (4)</v>
      </c>
      <c r="CA44" s="756">
        <f t="shared" ca="1" si="40"/>
        <v>0</v>
      </c>
      <c r="CB44" s="756">
        <f t="shared" ca="1" si="41"/>
        <v>0</v>
      </c>
      <c r="CC44" s="756">
        <f t="shared" ca="1" si="42"/>
        <v>0</v>
      </c>
      <c r="CD44" s="756">
        <f ca="1">BY44+COUNTIFS($BZ$6:$BZ$53,BZ44,$CC$6:CC$53,"&gt;"&amp;CC44,$BC$6:$BC$53,INDEX(T_Equipos[Grupo],MATCH(BD44,T_Equipos[NombreEquipo],0)))</f>
        <v>1</v>
      </c>
      <c r="CE44" s="755" t="str">
        <f ca="1">IF(COUNTIFS($CD$6:$CD$53,CD44,$BC$6:$BC$53,INDEX(T_Equipos[Grupo],MATCH(BD44,T_Equipos[NombreEquipo],0)))=1,"-","P."&amp;CD44&amp;" ("&amp;COUNTIFS($CD$6:$CD$53,CD44,$BC$6:$BC$53,INDEX(T_Equipos[Grupo],MATCH(BD44,T_Equipos[NombreEquipo],0)))&amp;")")</f>
        <v>P.1 (4)</v>
      </c>
      <c r="CF44" s="756">
        <f t="shared" ca="1" si="43"/>
        <v>0</v>
      </c>
      <c r="CG44" s="756">
        <f ca="1">CD44+COUNTIFS($CE$6:$CE$53,CE44,$CF$6:CF$53,"&gt;"&amp;CF44,$BC$6:$BC$53,INDEX(T_Equipos[Grupo],MATCH(BD44,T_Equipos[NombreEquipo],0)))</f>
        <v>1</v>
      </c>
      <c r="CH44" s="755" t="str">
        <f ca="1">IF(COUNTIFS($CG$6:$CG$53,CG44,$BC$6:$BC$53,INDEX(T_Equipos[Grupo],MATCH(BD44,T_Equipos[NombreEquipo],0)))=1,"-","P."&amp;CG44&amp;" ("&amp;COUNTIFS($CG$6:$CG$53,CG44,$BC$6:$BC$53,INDEX(T_Equipos[Grupo],MATCH(BD44,T_Equipos[NombreEquipo],0)))&amp;")")</f>
        <v>P.1 (4)</v>
      </c>
      <c r="CI44" s="756">
        <f t="shared" ca="1" si="44"/>
        <v>0</v>
      </c>
      <c r="CJ44" s="756">
        <f t="shared" ca="1" si="45"/>
        <v>0</v>
      </c>
      <c r="CK44" s="756">
        <f t="shared" ca="1" si="46"/>
        <v>0</v>
      </c>
      <c r="CL44" s="756">
        <f t="shared" ca="1" si="47"/>
        <v>0</v>
      </c>
      <c r="CM44" s="756">
        <f ca="1">CG44+COUNTIFS($CH$6:$CH$53,CH44,$CL$6:CL$53,"&gt;"&amp;CL44,$BC$6:$BC$53,INDEX(T_Equipos[Grupo],MATCH(BD44,T_Equipos[NombreEquipo],0)))</f>
        <v>1</v>
      </c>
      <c r="CN44" s="755" t="str">
        <f ca="1">IF(COUNTIFS($CM$6:$CM$53,CM44,$BC$6:$BC$53,INDEX(T_Equipos[Grupo],MATCH(BD44,T_Equipos[NombreEquipo],0)))=1,"-","P."&amp;CM44&amp;" ("&amp;COUNTIFS($CM$6:$CM$53,CM44,$BC$6:$BC$53,INDEX(T_Equipos[Grupo],MATCH(BD44,T_Equipos[NombreEquipo],0)))&amp;")")</f>
        <v>P.1 (4)</v>
      </c>
      <c r="CO44" s="756">
        <f t="shared" ca="1" si="48"/>
        <v>0</v>
      </c>
      <c r="CP44" s="756">
        <f t="shared" ca="1" si="49"/>
        <v>0</v>
      </c>
      <c r="CQ44" s="756">
        <f t="shared" ca="1" si="50"/>
        <v>0</v>
      </c>
      <c r="CR44" s="756">
        <f ca="1">CM44+COUNTIFS($CN$6:$CN$53,CN44,$CQ$6:CQ$53,"&gt;"&amp;CQ44,$BC$6:$BC$53,INDEX(T_Equipos[Grupo],MATCH(BD44,T_Equipos[NombreEquipo],0)))</f>
        <v>1</v>
      </c>
      <c r="CS44" s="755" t="str">
        <f ca="1">IF(COUNTIFS($CR$6:$CR$53,CR44,$BC$6:$BC$53,INDEX(T_Equipos[Grupo],MATCH(BD44,T_Equipos[NombreEquipo],0)))=1,"-","P."&amp;CR44&amp;" ("&amp;COUNTIFS($CR$6:$CR$53,CR44,$BC$6:$BC$53,INDEX(T_Equipos[Grupo],MATCH(BD44,T_Equipos[NombreEquipo],0)))&amp;")")</f>
        <v>P.1 (4)</v>
      </c>
      <c r="CT44" s="756">
        <f t="shared" ca="1" si="51"/>
        <v>0</v>
      </c>
      <c r="CU44" s="756">
        <f ca="1">CR44+COUNTIFS($CS$6:$CS$53,CS44,$CT$6:CT$53,"&gt;"&amp;CT44,$BC$6:$BC$53,INDEX(T_Equipos[Grupo],MATCH(BD44,T_Equipos[NombreEquipo],0)))</f>
        <v>1</v>
      </c>
      <c r="CV44" s="755" t="str">
        <f ca="1">IF(COUNTIFS($CU$6:$CU$53,CU44,$BC$6:$BC$53,INDEX(T_Equipos[Grupo],MATCH(BD44,T_Equipos[NombreEquipo],0)))=1,"-","P."&amp;CU44&amp;" ("&amp;COUNTIFS($CU$6:$CU$53,CU44,$BC$6:$BC$53,INDEX(T_Equipos[Grupo],MATCH(BD44,T_Equipos[NombreEquipo],0)))&amp;")")</f>
        <v>P.1 (4)</v>
      </c>
      <c r="CW44" s="755">
        <f t="shared" ca="1" si="30"/>
        <v>0</v>
      </c>
      <c r="CX44" s="755">
        <f ca="1">CU44+COUNTIFS($CV$6:$CV$53,CV44,$CW$6:CW$53,"&gt;"&amp;CW44,$BC$6:$BC$53,INDEX(T_Equipos[Grupo],MATCH(BD44,T_Equipos[NombreEquipo],0)))</f>
        <v>1</v>
      </c>
      <c r="CY44" s="755" t="str">
        <f ca="1">IF(COUNTIFS($CX$6:$CX$53,CX44,$BC$6:$BC$53,INDEX(T_Equipos[Grupo],MATCH(BD44,T_Equipos[NombreEquipo],0)))=1,"-","P."&amp;CX44&amp;" ("&amp;COUNTIFS($CX$6:$CX$53,CX44,$BC$6:$BC$53,INDEX(T_Equipos[Grupo],MATCH(BD44,T_Equipos[NombreEquipo],0)))&amp;")")</f>
        <v>P.1 (4)</v>
      </c>
      <c r="CZ44" s="755">
        <f t="shared" ca="1" si="31"/>
        <v>0</v>
      </c>
      <c r="DA44" s="756">
        <f ca="1">CX44+COUNTIFS($CY$6:$CY$53,CY44,$CZ$6:CZ$53,"&gt;"&amp;CZ44,$BC$6:$BC$53,INDEX(T_Equipos[Grupo],MATCH(BD44,T_Equipos[NombreEquipo],0)))</f>
        <v>1</v>
      </c>
      <c r="DB44" s="755" t="str">
        <f ca="1">IF(COUNTIFS($DA$6:$DA$53,DA44,$BC$6:$BC$53,INDEX(T_Equipos[Grupo],MATCH(BD44,T_Equipos[NombreEquipo],0)))=1,"-","P."&amp;DA44&amp;" ("&amp;COUNTIFS($DA$6:$DA$53,DA44,$BC$6:$BC$53,INDEX(T_Equipos[Grupo],MATCH(BD44,T_Equipos[NombreEquipo],0)))&amp;")")</f>
        <v>P.1 (4)</v>
      </c>
      <c r="DC44" s="754">
        <f ca="1">IF(DB44="-","-",COUNTIFS(T_Equipos[Rank],"&lt;"&amp;INDEX(T_Equipos[Rank],MATCH(BD44,T_Equipos[NombreEquipo],0)),$BC$6:$BC$53,INDEX(T_Equipos[Grupo],MATCH(BD44,T_Equipos[NombreEquipo],0)))+1)</f>
        <v>3</v>
      </c>
      <c r="DD44" s="754">
        <f ca="1">DA44+COUNTIFS($DB$6:$DB$53,DB44,$DC$6:DC$53,"&lt;"&amp;DC44,$BC$6:$BC$53,INDEX(T_Equipos[Grupo],MATCH(BD44,T_Equipos[NombreEquipo],0)))</f>
        <v>3</v>
      </c>
      <c r="DE44" s="754"/>
      <c r="DF44" s="754">
        <f t="shared" ca="1" si="52"/>
        <v>3</v>
      </c>
      <c r="DG44" s="754">
        <f ca="1">IF(DB44="-","-",COUNTIFS(DF$6:DF$53,"&lt;"&amp;DF44,$BC$6:$BC$53,INDEX(T_Equipos[Grupo],MATCH(BD44,T_Equipos[NombreEquipo],0))))</f>
        <v>2</v>
      </c>
      <c r="DH44" s="754">
        <f ca="1">DA44+COUNTIFS(DB$6:DB$53,DB44,DG$6:DG$53,"&lt;"&amp;DG44,$BC$6:$BC$53,INDEX(T_Equipos[Grupo],MATCH(BD44,T_Equipos[NombreEquipo],0)))</f>
        <v>3</v>
      </c>
      <c r="DI44" s="742"/>
      <c r="DJ44" s="742">
        <f t="shared" ca="1" si="53"/>
        <v>1</v>
      </c>
      <c r="DK44" s="742">
        <f t="shared" ca="1" si="24"/>
        <v>0</v>
      </c>
      <c r="DL44" s="742">
        <f t="shared" ca="1" si="33"/>
        <v>1</v>
      </c>
      <c r="DM44" s="736" t="str">
        <f t="shared" ca="1" si="34"/>
        <v>1.1</v>
      </c>
      <c r="DN44" s="742" cm="1">
        <f t="array" aca="1" ref="DN44" ca="1">OFFSET(Horarios!$P$3,DJ44-1,0,DL44,1)</f>
        <v>1</v>
      </c>
      <c r="DO44" s="742"/>
      <c r="DP44" s="742" t="s">
        <v>441</v>
      </c>
      <c r="DQ44" s="742" t="str">
        <f t="shared" ca="1" si="35"/>
        <v>Austria</v>
      </c>
      <c r="DR44" s="742"/>
      <c r="DS44" s="742"/>
      <c r="DT44" s="742" t="str">
        <f t="shared" ca="1" si="15"/>
        <v>Países Bajos-Japón</v>
      </c>
      <c r="DU44" s="742"/>
      <c r="DV44" s="742"/>
      <c r="DW44" s="8"/>
    </row>
    <row r="45" spans="1:127" ht="15.95" customHeight="1">
      <c r="A45" s="743" t="str">
        <f ca="1">+Equipos!B22</f>
        <v>Países Bajos</v>
      </c>
      <c r="B45" s="740"/>
      <c r="C45" s="740"/>
      <c r="D45" s="742" t="str">
        <f t="shared" si="136"/>
        <v>Pendiente</v>
      </c>
      <c r="E45" s="742" t="str">
        <f t="shared" si="137"/>
        <v>-</v>
      </c>
      <c r="F45" s="742" t="str">
        <f t="shared" si="138"/>
        <v>-</v>
      </c>
      <c r="G45" s="742"/>
      <c r="H45" s="742" t="str">
        <f t="shared" si="139"/>
        <v>-</v>
      </c>
      <c r="I45" s="742" t="str">
        <f t="shared" si="140"/>
        <v>-</v>
      </c>
      <c r="J45" s="742"/>
      <c r="K45" s="742" t="str">
        <f t="shared" si="141"/>
        <v>-</v>
      </c>
      <c r="L45" s="742" t="str">
        <f t="shared" si="142"/>
        <v>-</v>
      </c>
      <c r="M45" s="742"/>
      <c r="N45" s="742" t="str">
        <f t="shared" si="143"/>
        <v>-</v>
      </c>
      <c r="O45" s="742" t="str">
        <f t="shared" si="144"/>
        <v>-</v>
      </c>
      <c r="P45" s="742"/>
      <c r="Q45" s="742" t="str">
        <f t="shared" si="145"/>
        <v>-</v>
      </c>
      <c r="R45" s="742" t="str">
        <f t="shared" si="146"/>
        <v>-</v>
      </c>
      <c r="S45" s="742"/>
      <c r="T45" s="742" t="str">
        <f t="shared" si="147"/>
        <v>-</v>
      </c>
      <c r="U45" s="742" t="str">
        <f t="shared" si="148"/>
        <v>-</v>
      </c>
      <c r="V45" s="172"/>
      <c r="W45" s="804"/>
      <c r="X45" s="189">
        <f ca="1">Horarios!C45</f>
        <v>46187.916666666664</v>
      </c>
      <c r="Y45" s="190">
        <f ca="1">Horarios!C45</f>
        <v>46187.916666666664</v>
      </c>
      <c r="Z45" s="191" t="str">
        <f>$Z$4</f>
        <v>J1</v>
      </c>
      <c r="AA45" s="192" t="str">
        <f ca="1">A47</f>
        <v>Suecia</v>
      </c>
      <c r="AB45" s="478" t="str" cm="1">
        <f t="array" aca="1" ref="AB45" ca="1">Ver_flag_local</f>
        <v/>
      </c>
      <c r="AC45" s="193"/>
      <c r="AD45" s="194"/>
      <c r="AE45" s="483" t="str" cm="1">
        <f t="array" aca="1" ref="AE45" ca="1">Ver_flag_visit</f>
        <v/>
      </c>
      <c r="AF45" s="195" t="str">
        <f ca="1">A48</f>
        <v>Túnez</v>
      </c>
      <c r="AG45" s="413">
        <f t="shared" si="149"/>
        <v>0</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2"/>
      <c r="BC45" s="754" t="str">
        <f ca="1">+INDEX(T_Equipos[Grupo],MATCH(WORLDCUP!BD45,T_Equipos[NombreEquipo],0))</f>
        <v>J</v>
      </c>
      <c r="BD45" s="742" t="str">
        <f ca="1">+Equipos!B41</f>
        <v>Jordania</v>
      </c>
      <c r="BE45" s="746">
        <f t="shared" ca="1" si="25"/>
        <v>0</v>
      </c>
      <c r="BF45" s="746">
        <f t="shared" ca="1" si="26"/>
        <v>0</v>
      </c>
      <c r="BG45" s="746">
        <f t="shared" ca="1" si="17"/>
        <v>0</v>
      </c>
      <c r="BH45" s="746">
        <f t="shared" ca="1" si="18"/>
        <v>0</v>
      </c>
      <c r="BI45" s="746">
        <f t="shared" ca="1" si="19"/>
        <v>0</v>
      </c>
      <c r="BJ45" s="746">
        <f t="shared" ca="1" si="20"/>
        <v>0</v>
      </c>
      <c r="BK45" s="746">
        <f t="shared" ca="1" si="21"/>
        <v>0</v>
      </c>
      <c r="BL45" s="746">
        <f t="shared" ca="1" si="27"/>
        <v>0</v>
      </c>
      <c r="BM45" s="746" t="str">
        <f t="shared" ca="1" si="22"/>
        <v>4J</v>
      </c>
      <c r="BN45" s="746" t="str">
        <f t="shared" ca="1" si="23"/>
        <v>4J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1</v>
      </c>
      <c r="BT45" s="755" t="str">
        <f ca="1">IF(COUNTIFS($BS$6:$BS$53,BS45,$BC$6:$BC$53,INDEX(T_Equipos[Grupo],MATCH(BD45,T_Equipos[NombreEquipo],0)))=1,"-","P."&amp;BS45&amp;" ("&amp;COUNTIFS($BS$6:$BS$53,BS45,$BC$6:$BC$53,INDEX(T_Equipos[Grupo],MATCH(BD45,T_Equipos[NombreEquipo],0)))&amp;")")</f>
        <v>P.1 (4)</v>
      </c>
      <c r="BU45" s="756">
        <f t="shared" ca="1" si="36"/>
        <v>0</v>
      </c>
      <c r="BV45" s="756">
        <f t="shared" ca="1" si="37"/>
        <v>0</v>
      </c>
      <c r="BW45" s="756">
        <f t="shared" ca="1" si="38"/>
        <v>0</v>
      </c>
      <c r="BX45" s="756">
        <f t="shared" ca="1" si="39"/>
        <v>0</v>
      </c>
      <c r="BY45" s="756">
        <f ca="1">BS45+COUNTIFS($BT$6:$BT$53,BT45,$BX$6:BX$53,"&gt;"&amp;BX45,$BC$6:$BC$53,INDEX(T_Equipos[Grupo],MATCH(BD45,T_Equipos[NombreEquipo],0)))</f>
        <v>1</v>
      </c>
      <c r="BZ45" s="755" t="str">
        <f ca="1">IF(COUNTIFS($BY$6:$BY$53,BY45,$BC$6:$BC$53,INDEX(T_Equipos[Grupo],MATCH(BD45,T_Equipos[NombreEquipo],0)))=1,"-","P."&amp;BY45&amp;" ("&amp;COUNTIFS($BY$6:$BY$53,BY45,$BC$6:$BC$53,INDEX(T_Equipos[Grupo],MATCH(BD45,T_Equipos[NombreEquipo],0)))&amp;")")</f>
        <v>P.1 (4)</v>
      </c>
      <c r="CA45" s="756">
        <f t="shared" ca="1" si="40"/>
        <v>0</v>
      </c>
      <c r="CB45" s="756">
        <f t="shared" ca="1" si="41"/>
        <v>0</v>
      </c>
      <c r="CC45" s="756">
        <f t="shared" ca="1" si="42"/>
        <v>0</v>
      </c>
      <c r="CD45" s="756">
        <f ca="1">BY45+COUNTIFS($BZ$6:$BZ$53,BZ45,$CC$6:CC$53,"&gt;"&amp;CC45,$BC$6:$BC$53,INDEX(T_Equipos[Grupo],MATCH(BD45,T_Equipos[NombreEquipo],0)))</f>
        <v>1</v>
      </c>
      <c r="CE45" s="755" t="str">
        <f ca="1">IF(COUNTIFS($CD$6:$CD$53,CD45,$BC$6:$BC$53,INDEX(T_Equipos[Grupo],MATCH(BD45,T_Equipos[NombreEquipo],0)))=1,"-","P."&amp;CD45&amp;" ("&amp;COUNTIFS($CD$6:$CD$53,CD45,$BC$6:$BC$53,INDEX(T_Equipos[Grupo],MATCH(BD45,T_Equipos[NombreEquipo],0)))&amp;")")</f>
        <v>P.1 (4)</v>
      </c>
      <c r="CF45" s="756">
        <f t="shared" ca="1" si="43"/>
        <v>0</v>
      </c>
      <c r="CG45" s="756">
        <f ca="1">CD45+COUNTIFS($CE$6:$CE$53,CE45,$CF$6:CF$53,"&gt;"&amp;CF45,$BC$6:$BC$53,INDEX(T_Equipos[Grupo],MATCH(BD45,T_Equipos[NombreEquipo],0)))</f>
        <v>1</v>
      </c>
      <c r="CH45" s="755" t="str">
        <f ca="1">IF(COUNTIFS($CG$6:$CG$53,CG45,$BC$6:$BC$53,INDEX(T_Equipos[Grupo],MATCH(BD45,T_Equipos[NombreEquipo],0)))=1,"-","P."&amp;CG45&amp;" ("&amp;COUNTIFS($CG$6:$CG$53,CG45,$BC$6:$BC$53,INDEX(T_Equipos[Grupo],MATCH(BD45,T_Equipos[NombreEquipo],0)))&amp;")")</f>
        <v>P.1 (4)</v>
      </c>
      <c r="CI45" s="756">
        <f t="shared" ca="1" si="44"/>
        <v>0</v>
      </c>
      <c r="CJ45" s="756">
        <f t="shared" ca="1" si="45"/>
        <v>0</v>
      </c>
      <c r="CK45" s="756">
        <f t="shared" ca="1" si="46"/>
        <v>0</v>
      </c>
      <c r="CL45" s="756">
        <f t="shared" ca="1" si="47"/>
        <v>0</v>
      </c>
      <c r="CM45" s="756">
        <f ca="1">CG45+COUNTIFS($CH$6:$CH$53,CH45,$CL$6:CL$53,"&gt;"&amp;CL45,$BC$6:$BC$53,INDEX(T_Equipos[Grupo],MATCH(BD45,T_Equipos[NombreEquipo],0)))</f>
        <v>1</v>
      </c>
      <c r="CN45" s="755" t="str">
        <f ca="1">IF(COUNTIFS($CM$6:$CM$53,CM45,$BC$6:$BC$53,INDEX(T_Equipos[Grupo],MATCH(BD45,T_Equipos[NombreEquipo],0)))=1,"-","P."&amp;CM45&amp;" ("&amp;COUNTIFS($CM$6:$CM$53,CM45,$BC$6:$BC$53,INDEX(T_Equipos[Grupo],MATCH(BD45,T_Equipos[NombreEquipo],0)))&amp;")")</f>
        <v>P.1 (4)</v>
      </c>
      <c r="CO45" s="756">
        <f t="shared" ca="1" si="48"/>
        <v>0</v>
      </c>
      <c r="CP45" s="756">
        <f t="shared" ca="1" si="49"/>
        <v>0</v>
      </c>
      <c r="CQ45" s="756">
        <f t="shared" ca="1" si="50"/>
        <v>0</v>
      </c>
      <c r="CR45" s="756">
        <f ca="1">CM45+COUNTIFS($CN$6:$CN$53,CN45,$CQ$6:CQ$53,"&gt;"&amp;CQ45,$BC$6:$BC$53,INDEX(T_Equipos[Grupo],MATCH(BD45,T_Equipos[NombreEquipo],0)))</f>
        <v>1</v>
      </c>
      <c r="CS45" s="755" t="str">
        <f ca="1">IF(COUNTIFS($CR$6:$CR$53,CR45,$BC$6:$BC$53,INDEX(T_Equipos[Grupo],MATCH(BD45,T_Equipos[NombreEquipo],0)))=1,"-","P."&amp;CR45&amp;" ("&amp;COUNTIFS($CR$6:$CR$53,CR45,$BC$6:$BC$53,INDEX(T_Equipos[Grupo],MATCH(BD45,T_Equipos[NombreEquipo],0)))&amp;")")</f>
        <v>P.1 (4)</v>
      </c>
      <c r="CT45" s="756">
        <f t="shared" ca="1" si="51"/>
        <v>0</v>
      </c>
      <c r="CU45" s="756">
        <f ca="1">CR45+COUNTIFS($CS$6:$CS$53,CS45,$CT$6:CT$53,"&gt;"&amp;CT45,$BC$6:$BC$53,INDEX(T_Equipos[Grupo],MATCH(BD45,T_Equipos[NombreEquipo],0)))</f>
        <v>1</v>
      </c>
      <c r="CV45" s="755" t="str">
        <f ca="1">IF(COUNTIFS($CU$6:$CU$53,CU45,$BC$6:$BC$53,INDEX(T_Equipos[Grupo],MATCH(BD45,T_Equipos[NombreEquipo],0)))=1,"-","P."&amp;CU45&amp;" ("&amp;COUNTIFS($CU$6:$CU$53,CU45,$BC$6:$BC$53,INDEX(T_Equipos[Grupo],MATCH(BD45,T_Equipos[NombreEquipo],0)))&amp;")")</f>
        <v>P.1 (4)</v>
      </c>
      <c r="CW45" s="755">
        <f t="shared" ca="1" si="30"/>
        <v>0</v>
      </c>
      <c r="CX45" s="755">
        <f ca="1">CU45+COUNTIFS($CV$6:$CV$53,CV45,$CW$6:CW$53,"&gt;"&amp;CW45,$BC$6:$BC$53,INDEX(T_Equipos[Grupo],MATCH(BD45,T_Equipos[NombreEquipo],0)))</f>
        <v>1</v>
      </c>
      <c r="CY45" s="755" t="str">
        <f ca="1">IF(COUNTIFS($CX$6:$CX$53,CX45,$BC$6:$BC$53,INDEX(T_Equipos[Grupo],MATCH(BD45,T_Equipos[NombreEquipo],0)))=1,"-","P."&amp;CX45&amp;" ("&amp;COUNTIFS($CX$6:$CX$53,CX45,$BC$6:$BC$53,INDEX(T_Equipos[Grupo],MATCH(BD45,T_Equipos[NombreEquipo],0)))&amp;")")</f>
        <v>P.1 (4)</v>
      </c>
      <c r="CZ45" s="755">
        <f t="shared" ca="1" si="31"/>
        <v>0</v>
      </c>
      <c r="DA45" s="756">
        <f ca="1">CX45+COUNTIFS($CY$6:$CY$53,CY45,$CZ$6:CZ$53,"&gt;"&amp;CZ45,$BC$6:$BC$53,INDEX(T_Equipos[Grupo],MATCH(BD45,T_Equipos[NombreEquipo],0)))</f>
        <v>1</v>
      </c>
      <c r="DB45" s="755" t="str">
        <f ca="1">IF(COUNTIFS($DA$6:$DA$53,DA45,$BC$6:$BC$53,INDEX(T_Equipos[Grupo],MATCH(BD45,T_Equipos[NombreEquipo],0)))=1,"-","P."&amp;DA45&amp;" ("&amp;COUNTIFS($DA$6:$DA$53,DA45,$BC$6:$BC$53,INDEX(T_Equipos[Grupo],MATCH(BD45,T_Equipos[NombreEquipo],0)))&amp;")")</f>
        <v>P.1 (4)</v>
      </c>
      <c r="DC45" s="754">
        <f ca="1">IF(DB45="-","-",COUNTIFS(T_Equipos[Rank],"&lt;"&amp;INDEX(T_Equipos[Rank],MATCH(BD45,T_Equipos[NombreEquipo],0)),$BC$6:$BC$53,INDEX(T_Equipos[Grupo],MATCH(BD45,T_Equipos[NombreEquipo],0)))+1)</f>
        <v>4</v>
      </c>
      <c r="DD45" s="754">
        <f ca="1">DA45+COUNTIFS($DB$6:$DB$53,DB45,$DC$6:DC$53,"&lt;"&amp;DC45,$BC$6:$BC$53,INDEX(T_Equipos[Grupo],MATCH(BD45,T_Equipos[NombreEquipo],0)))</f>
        <v>4</v>
      </c>
      <c r="DE45" s="754"/>
      <c r="DF45" s="754">
        <f t="shared" ca="1" si="52"/>
        <v>4</v>
      </c>
      <c r="DG45" s="754">
        <f ca="1">IF(DB45="-","-",COUNTIFS(DF$6:DF$53,"&lt;"&amp;DF45,$BC$6:$BC$53,INDEX(T_Equipos[Grupo],MATCH(BD45,T_Equipos[NombreEquipo],0))))</f>
        <v>3</v>
      </c>
      <c r="DH45" s="754">
        <f ca="1">DA45+COUNTIFS(DB$6:DB$53,DB45,DG$6:DG$53,"&lt;"&amp;DG45,$BC$6:$BC$53,INDEX(T_Equipos[Grupo],MATCH(BD45,T_Equipos[NombreEquipo],0)))</f>
        <v>4</v>
      </c>
      <c r="DI45" s="742"/>
      <c r="DJ45" s="742">
        <f t="shared" ca="1" si="53"/>
        <v>1</v>
      </c>
      <c r="DK45" s="742">
        <f t="shared" ca="1" si="24"/>
        <v>0</v>
      </c>
      <c r="DL45" s="742">
        <f t="shared" ca="1" si="33"/>
        <v>1</v>
      </c>
      <c r="DM45" s="736" t="str">
        <f t="shared" ca="1" si="34"/>
        <v>1.1</v>
      </c>
      <c r="DN45" s="742" cm="1">
        <f t="array" aca="1" ref="DN45" ca="1">OFFSET(Horarios!$P$3,DJ45-1,0,DL45,1)</f>
        <v>1</v>
      </c>
      <c r="DO45" s="742"/>
      <c r="DP45" s="742" t="s">
        <v>678</v>
      </c>
      <c r="DQ45" s="742" t="str">
        <f t="shared" ca="1" si="35"/>
        <v>Jordania</v>
      </c>
      <c r="DR45" s="742"/>
      <c r="DS45" s="742"/>
      <c r="DT45" s="742" t="str">
        <f t="shared" ca="1" si="15"/>
        <v>Suecia-Túnez</v>
      </c>
      <c r="DU45" s="742"/>
      <c r="DV45" s="742"/>
      <c r="DW45" s="8"/>
    </row>
    <row r="46" spans="1:127" ht="15.95" customHeight="1">
      <c r="A46" s="743" t="str">
        <f ca="1">+Equipos!B23</f>
        <v>Japón</v>
      </c>
      <c r="B46" s="740"/>
      <c r="C46" s="744"/>
      <c r="D46" s="742" t="str">
        <f t="shared" si="136"/>
        <v>Pendiente</v>
      </c>
      <c r="E46" s="742" t="str">
        <f t="shared" si="137"/>
        <v>-</v>
      </c>
      <c r="F46" s="742" t="str">
        <f t="shared" si="138"/>
        <v>-</v>
      </c>
      <c r="G46" s="742"/>
      <c r="H46" s="742" t="str">
        <f t="shared" si="139"/>
        <v>-</v>
      </c>
      <c r="I46" s="742" t="str">
        <f t="shared" si="140"/>
        <v>-</v>
      </c>
      <c r="J46" s="742"/>
      <c r="K46" s="742" t="str">
        <f t="shared" si="141"/>
        <v>-</v>
      </c>
      <c r="L46" s="742" t="str">
        <f t="shared" si="142"/>
        <v>-</v>
      </c>
      <c r="M46" s="742"/>
      <c r="N46" s="742" t="str">
        <f t="shared" si="143"/>
        <v>-</v>
      </c>
      <c r="O46" s="742" t="str">
        <f t="shared" si="144"/>
        <v>-</v>
      </c>
      <c r="P46" s="742"/>
      <c r="Q46" s="742" t="str">
        <f t="shared" si="145"/>
        <v>-</v>
      </c>
      <c r="R46" s="742" t="str">
        <f t="shared" si="146"/>
        <v>-</v>
      </c>
      <c r="S46" s="742"/>
      <c r="T46" s="742" t="str">
        <f t="shared" si="147"/>
        <v>-</v>
      </c>
      <c r="U46" s="742" t="str">
        <f t="shared" si="148"/>
        <v>-</v>
      </c>
      <c r="V46" s="172"/>
      <c r="W46" s="804"/>
      <c r="X46" s="189">
        <f ca="1">Horarios!C46</f>
        <v>46193.541666666664</v>
      </c>
      <c r="Y46" s="190">
        <f ca="1">Horarios!C46</f>
        <v>46193.541666666664</v>
      </c>
      <c r="Z46" s="191" t="str">
        <f>$Z$6</f>
        <v>J2</v>
      </c>
      <c r="AA46" s="192" t="str">
        <f ca="1">A45</f>
        <v>Países Bajos</v>
      </c>
      <c r="AB46" s="478" t="str" cm="1">
        <f t="array" aca="1" ref="AB46" ca="1">Ver_flag_local</f>
        <v/>
      </c>
      <c r="AC46" s="193"/>
      <c r="AD46" s="194"/>
      <c r="AE46" s="483" t="str" cm="1">
        <f t="array" aca="1" ref="AE46" ca="1">Ver_flag_visit</f>
        <v/>
      </c>
      <c r="AF46" s="195" t="str">
        <f ca="1">A47</f>
        <v>Suecia</v>
      </c>
      <c r="AG46" s="413">
        <f t="shared" si="149"/>
        <v>0</v>
      </c>
      <c r="AH46" s="196">
        <v>35</v>
      </c>
      <c r="AI46" s="19" t="str">
        <f>AJ46&amp;$B$44</f>
        <v>1F</v>
      </c>
      <c r="AJ46" s="211">
        <v>1</v>
      </c>
      <c r="AK46" s="488" t="str" cm="1">
        <f t="array" aca="1" ref="AK46" ca="1">Ver_flag_visit</f>
        <v/>
      </c>
      <c r="AL46" s="212" t="str">
        <f ca="1">IFERROR(INDEX($BD$6:$BD$53,MATCH(AI46,$BN$6:$BN$53,0)),"")</f>
        <v>Países Bajos</v>
      </c>
      <c r="AM46" s="213">
        <f t="shared" ref="AM46:AT49" ca="1" si="153">INDEX($BE$6:$BN$53,MATCH($AL46,$BD$6:$BD$53,0),MATCH(AM$5,$BE$5:$BN$5,0))</f>
        <v>0</v>
      </c>
      <c r="AN46" s="214">
        <f t="shared" ca="1" si="153"/>
        <v>0</v>
      </c>
      <c r="AO46" s="214">
        <f t="shared" ca="1" si="153"/>
        <v>0</v>
      </c>
      <c r="AP46" s="214">
        <f t="shared" ca="1" si="153"/>
        <v>0</v>
      </c>
      <c r="AQ46" s="214">
        <f t="shared" ca="1" si="153"/>
        <v>0</v>
      </c>
      <c r="AR46" s="214">
        <f t="shared" ca="1" si="153"/>
        <v>0</v>
      </c>
      <c r="AS46" s="214">
        <f t="shared" ca="1" si="153"/>
        <v>0</v>
      </c>
      <c r="AT46" s="215">
        <f t="shared" ca="1" si="153"/>
        <v>0</v>
      </c>
      <c r="AU46" s="420">
        <f ca="1">INDEX($DL$6:$DL$53,MATCH(AI46,$DP$6:$DP$53,0))</f>
        <v>1</v>
      </c>
      <c r="AV46" s="217" t="str">
        <f ca="1">INDEX($BD$6:$BD$53,MATCH(AI46,$BM$6:$BM$53,0))</f>
        <v>Países Bajos</v>
      </c>
      <c r="AW46" s="427"/>
      <c r="AX46" s="218"/>
      <c r="AY46" s="219" t="str">
        <f ca="1">+A45</f>
        <v>Países Bajos</v>
      </c>
      <c r="AZ46" s="220"/>
      <c r="BA46" s="175"/>
      <c r="BB46" s="742"/>
      <c r="BC46" s="754" t="str">
        <f ca="1">+INDEX(T_Equipos[Grupo],MATCH(WORLDCUP!BD46,T_Equipos[NombreEquipo],0))</f>
        <v>K</v>
      </c>
      <c r="BD46" s="742" t="str">
        <f ca="1">+Equipos!B42</f>
        <v>Portugal</v>
      </c>
      <c r="BE46" s="746">
        <f t="shared" ca="1" si="25"/>
        <v>0</v>
      </c>
      <c r="BF46" s="746">
        <f t="shared" ca="1" si="26"/>
        <v>0</v>
      </c>
      <c r="BG46" s="746">
        <f t="shared" ca="1" si="17"/>
        <v>0</v>
      </c>
      <c r="BH46" s="746">
        <f t="shared" ca="1" si="18"/>
        <v>0</v>
      </c>
      <c r="BI46" s="746">
        <f t="shared" ca="1" si="19"/>
        <v>0</v>
      </c>
      <c r="BJ46" s="746">
        <f t="shared" ca="1" si="20"/>
        <v>0</v>
      </c>
      <c r="BK46" s="746">
        <f t="shared" ca="1" si="21"/>
        <v>0</v>
      </c>
      <c r="BL46" s="746">
        <f t="shared" ca="1" si="27"/>
        <v>0</v>
      </c>
      <c r="BM46" s="746" t="str">
        <f t="shared" ca="1" si="22"/>
        <v>1K</v>
      </c>
      <c r="BN46" s="746" t="str">
        <f t="shared" ca="1" si="23"/>
        <v>1K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0</v>
      </c>
      <c r="BS46" s="755">
        <f ca="1">BP46+COUNTIFS($BQ$6:$BQ$53,BQ46,$BR$6:BR$53,"&gt;"&amp;BR46,$BC$6:$BC$53,INDEX(T_Equipos[Grupo],MATCH(BD46,T_Equipos[NombreEquipo],0)))</f>
        <v>1</v>
      </c>
      <c r="BT46" s="755" t="str">
        <f ca="1">IF(COUNTIFS($BS$6:$BS$53,BS46,$BC$6:$BC$53,INDEX(T_Equipos[Grupo],MATCH(BD46,T_Equipos[NombreEquipo],0)))=1,"-","P."&amp;BS46&amp;" ("&amp;COUNTIFS($BS$6:$BS$53,BS46,$BC$6:$BC$53,INDEX(T_Equipos[Grupo],MATCH(BD46,T_Equipos[NombreEquipo],0)))&amp;")")</f>
        <v>P.1 (4)</v>
      </c>
      <c r="BU46" s="756">
        <f t="shared" ca="1" si="36"/>
        <v>0</v>
      </c>
      <c r="BV46" s="756">
        <f t="shared" ca="1" si="37"/>
        <v>0</v>
      </c>
      <c r="BW46" s="756">
        <f t="shared" ca="1" si="38"/>
        <v>0</v>
      </c>
      <c r="BX46" s="756">
        <f t="shared" ca="1" si="39"/>
        <v>0</v>
      </c>
      <c r="BY46" s="756">
        <f ca="1">BS46+COUNTIFS($BT$6:$BT$53,BT46,$BX$6:BX$53,"&gt;"&amp;BX46,$BC$6:$BC$53,INDEX(T_Equipos[Grupo],MATCH(BD46,T_Equipos[NombreEquipo],0)))</f>
        <v>1</v>
      </c>
      <c r="BZ46" s="755" t="str">
        <f ca="1">IF(COUNTIFS($BY$6:$BY$53,BY46,$BC$6:$BC$53,INDEX(T_Equipos[Grupo],MATCH(BD46,T_Equipos[NombreEquipo],0)))=1,"-","P."&amp;BY46&amp;" ("&amp;COUNTIFS($BY$6:$BY$53,BY46,$BC$6:$BC$53,INDEX(T_Equipos[Grupo],MATCH(BD46,T_Equipos[NombreEquipo],0)))&amp;")")</f>
        <v>P.1 (4)</v>
      </c>
      <c r="CA46" s="756">
        <f t="shared" ca="1" si="40"/>
        <v>0</v>
      </c>
      <c r="CB46" s="756">
        <f t="shared" ca="1" si="41"/>
        <v>0</v>
      </c>
      <c r="CC46" s="756">
        <f t="shared" ca="1" si="42"/>
        <v>0</v>
      </c>
      <c r="CD46" s="756">
        <f ca="1">BY46+COUNTIFS($BZ$6:$BZ$53,BZ46,$CC$6:CC$53,"&gt;"&amp;CC46,$BC$6:$BC$53,INDEX(T_Equipos[Grupo],MATCH(BD46,T_Equipos[NombreEquipo],0)))</f>
        <v>1</v>
      </c>
      <c r="CE46" s="755" t="str">
        <f ca="1">IF(COUNTIFS($CD$6:$CD$53,CD46,$BC$6:$BC$53,INDEX(T_Equipos[Grupo],MATCH(BD46,T_Equipos[NombreEquipo],0)))=1,"-","P."&amp;CD46&amp;" ("&amp;COUNTIFS($CD$6:$CD$53,CD46,$BC$6:$BC$53,INDEX(T_Equipos[Grupo],MATCH(BD46,T_Equipos[NombreEquipo],0)))&amp;")")</f>
        <v>P.1 (4)</v>
      </c>
      <c r="CF46" s="756">
        <f t="shared" ca="1" si="43"/>
        <v>0</v>
      </c>
      <c r="CG46" s="756">
        <f ca="1">CD46+COUNTIFS($CE$6:$CE$53,CE46,$CF$6:CF$53,"&gt;"&amp;CF46,$BC$6:$BC$53,INDEX(T_Equipos[Grupo],MATCH(BD46,T_Equipos[NombreEquipo],0)))</f>
        <v>1</v>
      </c>
      <c r="CH46" s="755" t="str">
        <f ca="1">IF(COUNTIFS($CG$6:$CG$53,CG46,$BC$6:$BC$53,INDEX(T_Equipos[Grupo],MATCH(BD46,T_Equipos[NombreEquipo],0)))=1,"-","P."&amp;CG46&amp;" ("&amp;COUNTIFS($CG$6:$CG$53,CG46,$BC$6:$BC$53,INDEX(T_Equipos[Grupo],MATCH(BD46,T_Equipos[NombreEquipo],0)))&amp;")")</f>
        <v>P.1 (4)</v>
      </c>
      <c r="CI46" s="756">
        <f t="shared" ca="1" si="44"/>
        <v>0</v>
      </c>
      <c r="CJ46" s="756">
        <f t="shared" ca="1" si="45"/>
        <v>0</v>
      </c>
      <c r="CK46" s="756">
        <f t="shared" ca="1" si="46"/>
        <v>0</v>
      </c>
      <c r="CL46" s="756">
        <f t="shared" ca="1" si="47"/>
        <v>0</v>
      </c>
      <c r="CM46" s="756">
        <f ca="1">CG46+COUNTIFS($CH$6:$CH$53,CH46,$CL$6:CL$53,"&gt;"&amp;CL46,$BC$6:$BC$53,INDEX(T_Equipos[Grupo],MATCH(BD46,T_Equipos[NombreEquipo],0)))</f>
        <v>1</v>
      </c>
      <c r="CN46" s="755" t="str">
        <f ca="1">IF(COUNTIFS($CM$6:$CM$53,CM46,$BC$6:$BC$53,INDEX(T_Equipos[Grupo],MATCH(BD46,T_Equipos[NombreEquipo],0)))=1,"-","P."&amp;CM46&amp;" ("&amp;COUNTIFS($CM$6:$CM$53,CM46,$BC$6:$BC$53,INDEX(T_Equipos[Grupo],MATCH(BD46,T_Equipos[NombreEquipo],0)))&amp;")")</f>
        <v>P.1 (4)</v>
      </c>
      <c r="CO46" s="756">
        <f t="shared" ca="1" si="48"/>
        <v>0</v>
      </c>
      <c r="CP46" s="756">
        <f t="shared" ca="1" si="49"/>
        <v>0</v>
      </c>
      <c r="CQ46" s="756">
        <f t="shared" ca="1" si="50"/>
        <v>0</v>
      </c>
      <c r="CR46" s="756">
        <f ca="1">CM46+COUNTIFS($CN$6:$CN$53,CN46,$CQ$6:CQ$53,"&gt;"&amp;CQ46,$BC$6:$BC$53,INDEX(T_Equipos[Grupo],MATCH(BD46,T_Equipos[NombreEquipo],0)))</f>
        <v>1</v>
      </c>
      <c r="CS46" s="755" t="str">
        <f ca="1">IF(COUNTIFS($CR$6:$CR$53,CR46,$BC$6:$BC$53,INDEX(T_Equipos[Grupo],MATCH(BD46,T_Equipos[NombreEquipo],0)))=1,"-","P."&amp;CR46&amp;" ("&amp;COUNTIFS($CR$6:$CR$53,CR46,$BC$6:$BC$53,INDEX(T_Equipos[Grupo],MATCH(BD46,T_Equipos[NombreEquipo],0)))&amp;")")</f>
        <v>P.1 (4)</v>
      </c>
      <c r="CT46" s="756">
        <f t="shared" ca="1" si="51"/>
        <v>0</v>
      </c>
      <c r="CU46" s="756">
        <f ca="1">CR46+COUNTIFS($CS$6:$CS$53,CS46,$CT$6:CT$53,"&gt;"&amp;CT46,$BC$6:$BC$53,INDEX(T_Equipos[Grupo],MATCH(BD46,T_Equipos[NombreEquipo],0)))</f>
        <v>1</v>
      </c>
      <c r="CV46" s="755" t="str">
        <f ca="1">IF(COUNTIFS($CU$6:$CU$53,CU46,$BC$6:$BC$53,INDEX(T_Equipos[Grupo],MATCH(BD46,T_Equipos[NombreEquipo],0)))=1,"-","P."&amp;CU46&amp;" ("&amp;COUNTIFS($CU$6:$CU$53,CU46,$BC$6:$BC$53,INDEX(T_Equipos[Grupo],MATCH(BD46,T_Equipos[NombreEquipo],0)))&amp;")")</f>
        <v>P.1 (4)</v>
      </c>
      <c r="CW46" s="755">
        <f t="shared" ca="1" si="30"/>
        <v>0</v>
      </c>
      <c r="CX46" s="755">
        <f ca="1">CU46+COUNTIFS($CV$6:$CV$53,CV46,$CW$6:CW$53,"&gt;"&amp;CW46,$BC$6:$BC$53,INDEX(T_Equipos[Grupo],MATCH(BD46,T_Equipos[NombreEquipo],0)))</f>
        <v>1</v>
      </c>
      <c r="CY46" s="755" t="str">
        <f ca="1">IF(COUNTIFS($CX$6:$CX$53,CX46,$BC$6:$BC$53,INDEX(T_Equipos[Grupo],MATCH(BD46,T_Equipos[NombreEquipo],0)))=1,"-","P."&amp;CX46&amp;" ("&amp;COUNTIFS($CX$6:$CX$53,CX46,$BC$6:$BC$53,INDEX(T_Equipos[Grupo],MATCH(BD46,T_Equipos[NombreEquipo],0)))&amp;")")</f>
        <v>P.1 (4)</v>
      </c>
      <c r="CZ46" s="755">
        <f t="shared" ca="1" si="31"/>
        <v>0</v>
      </c>
      <c r="DA46" s="756">
        <f ca="1">CX46+COUNTIFS($CY$6:$CY$53,CY46,$CZ$6:CZ$53,"&gt;"&amp;CZ46,$BC$6:$BC$53,INDEX(T_Equipos[Grupo],MATCH(BD46,T_Equipos[NombreEquipo],0)))</f>
        <v>1</v>
      </c>
      <c r="DB46" s="755" t="str">
        <f ca="1">IF(COUNTIFS($DA$6:$DA$53,DA46,$BC$6:$BC$53,INDEX(T_Equipos[Grupo],MATCH(BD46,T_Equipos[NombreEquipo],0)))=1,"-","P."&amp;DA46&amp;" ("&amp;COUNTIFS($DA$6:$DA$53,DA46,$BC$6:$BC$53,INDEX(T_Equipos[Grupo],MATCH(BD46,T_Equipos[NombreEquipo],0)))&amp;")")</f>
        <v>P.1 (4)</v>
      </c>
      <c r="DC46" s="754">
        <f ca="1">IF(DB46="-","-",COUNTIFS(T_Equipos[Rank],"&lt;"&amp;INDEX(T_Equipos[Rank],MATCH(BD46,T_Equipos[NombreEquipo],0)),$BC$6:$BC$53,INDEX(T_Equipos[Grupo],MATCH(BD46,T_Equipos[NombreEquipo],0)))+1)</f>
        <v>1</v>
      </c>
      <c r="DD46" s="754">
        <f ca="1">DA46+COUNTIFS($DB$6:$DB$53,DB46,$DC$6:DC$53,"&lt;"&amp;DC46,$BC$6:$BC$53,INDEX(T_Equipos[Grupo],MATCH(BD46,T_Equipos[NombreEquipo],0)))</f>
        <v>1</v>
      </c>
      <c r="DE46" s="754"/>
      <c r="DF46" s="754">
        <f t="shared" ca="1" si="52"/>
        <v>1</v>
      </c>
      <c r="DG46" s="754">
        <f ca="1">IF(DB46="-","-",COUNTIFS(DF$6:DF$53,"&lt;"&amp;DF46,$BC$6:$BC$53,INDEX(T_Equipos[Grupo],MATCH(BD46,T_Equipos[NombreEquipo],0))))</f>
        <v>0</v>
      </c>
      <c r="DH46" s="754">
        <f ca="1">DA46+COUNTIFS(DB$6:DB$53,DB46,DG$6:DG$53,"&lt;"&amp;DG46,$BC$6:$BC$53,INDEX(T_Equipos[Grupo],MATCH(BD46,T_Equipos[NombreEquipo],0)))</f>
        <v>1</v>
      </c>
      <c r="DI46" s="742"/>
      <c r="DJ46" s="742">
        <f t="shared" ca="1" si="53"/>
        <v>1</v>
      </c>
      <c r="DK46" s="742">
        <f t="shared" ca="1" si="24"/>
        <v>0</v>
      </c>
      <c r="DL46" s="742">
        <f t="shared" ca="1" si="33"/>
        <v>1</v>
      </c>
      <c r="DM46" s="736" t="str">
        <f t="shared" ca="1" si="34"/>
        <v>1.1</v>
      </c>
      <c r="DN46" s="742" cm="1">
        <f t="array" aca="1" ref="DN46" ca="1">OFFSET(Horarios!$P$3,DJ46-1,0,DL46,1)</f>
        <v>1</v>
      </c>
      <c r="DO46" s="742"/>
      <c r="DP46" s="742" t="s">
        <v>679</v>
      </c>
      <c r="DQ46" s="742" t="str">
        <f t="shared" ca="1" si="35"/>
        <v>Portugal</v>
      </c>
      <c r="DR46" s="742"/>
      <c r="DS46" s="742"/>
      <c r="DT46" s="742" t="str">
        <f t="shared" ca="1" si="15"/>
        <v>Países Bajos-Suecia</v>
      </c>
      <c r="DU46" s="742"/>
      <c r="DV46" s="742"/>
      <c r="DW46" s="8"/>
    </row>
    <row r="47" spans="1:127" ht="15.95" customHeight="1">
      <c r="A47" s="743" t="str">
        <f ca="1">+Equipos!B24</f>
        <v>Suecia</v>
      </c>
      <c r="B47" s="740"/>
      <c r="C47" s="742"/>
      <c r="D47" s="742" t="str">
        <f t="shared" si="136"/>
        <v>Pendiente</v>
      </c>
      <c r="E47" s="742" t="str">
        <f t="shared" si="137"/>
        <v>-</v>
      </c>
      <c r="F47" s="742" t="str">
        <f t="shared" si="138"/>
        <v>-</v>
      </c>
      <c r="G47" s="742"/>
      <c r="H47" s="742" t="str">
        <f t="shared" si="139"/>
        <v>-</v>
      </c>
      <c r="I47" s="742" t="str">
        <f t="shared" si="140"/>
        <v>-</v>
      </c>
      <c r="J47" s="742"/>
      <c r="K47" s="742" t="str">
        <f t="shared" si="141"/>
        <v>-</v>
      </c>
      <c r="L47" s="742" t="str">
        <f t="shared" si="142"/>
        <v>-</v>
      </c>
      <c r="M47" s="742"/>
      <c r="N47" s="742" t="str">
        <f t="shared" si="143"/>
        <v>-</v>
      </c>
      <c r="O47" s="742" t="str">
        <f t="shared" si="144"/>
        <v>-</v>
      </c>
      <c r="P47" s="742"/>
      <c r="Q47" s="742" t="str">
        <f t="shared" si="145"/>
        <v>-</v>
      </c>
      <c r="R47" s="742" t="str">
        <f t="shared" si="146"/>
        <v>-</v>
      </c>
      <c r="S47" s="742"/>
      <c r="T47" s="742" t="str">
        <f t="shared" si="147"/>
        <v>-</v>
      </c>
      <c r="U47" s="742" t="str">
        <f t="shared" si="148"/>
        <v>-</v>
      </c>
      <c r="V47" s="172"/>
      <c r="W47" s="804"/>
      <c r="X47" s="189">
        <f ca="1">Horarios!C47</f>
        <v>46194</v>
      </c>
      <c r="Y47" s="190">
        <f ca="1">Horarios!C47</f>
        <v>46194</v>
      </c>
      <c r="Z47" s="191" t="str">
        <f>$Z$6</f>
        <v>J2</v>
      </c>
      <c r="AA47" s="192" t="str">
        <f ca="1">A48</f>
        <v>Túnez</v>
      </c>
      <c r="AB47" s="478" t="str" cm="1">
        <f t="array" aca="1" ref="AB47" ca="1">Ver_flag_local</f>
        <v/>
      </c>
      <c r="AC47" s="193"/>
      <c r="AD47" s="194"/>
      <c r="AE47" s="483" t="str" cm="1">
        <f t="array" aca="1" ref="AE47" ca="1">Ver_flag_visit</f>
        <v/>
      </c>
      <c r="AF47" s="195" t="str">
        <f ca="1">A46</f>
        <v>Japón</v>
      </c>
      <c r="AG47" s="413">
        <f t="shared" si="149"/>
        <v>0</v>
      </c>
      <c r="AH47" s="196">
        <v>36</v>
      </c>
      <c r="AI47" s="19" t="str">
        <f t="shared" ref="AI47:AI49" si="154">AJ47&amp;$B$44</f>
        <v>2F</v>
      </c>
      <c r="AJ47" s="221">
        <v>2</v>
      </c>
      <c r="AK47" s="486" t="str" cm="1">
        <f t="array" aca="1" ref="AK47" ca="1">Ver_flag_visit</f>
        <v/>
      </c>
      <c r="AL47" s="222" t="str">
        <f ca="1">IFERROR(INDEX($BD$6:$BD$53,MATCH(AI47,$BN$6:$BN$53,0)),"")</f>
        <v>Japón</v>
      </c>
      <c r="AM47" s="223">
        <f t="shared" ca="1" si="153"/>
        <v>0</v>
      </c>
      <c r="AN47" s="224">
        <f t="shared" ca="1" si="153"/>
        <v>0</v>
      </c>
      <c r="AO47" s="224">
        <f t="shared" ca="1" si="153"/>
        <v>0</v>
      </c>
      <c r="AP47" s="224">
        <f t="shared" ca="1" si="153"/>
        <v>0</v>
      </c>
      <c r="AQ47" s="224">
        <f t="shared" ca="1" si="153"/>
        <v>0</v>
      </c>
      <c r="AR47" s="224">
        <f t="shared" ca="1" si="153"/>
        <v>0</v>
      </c>
      <c r="AS47" s="224">
        <f t="shared" ca="1" si="153"/>
        <v>0</v>
      </c>
      <c r="AT47" s="225">
        <f t="shared" ca="1" si="153"/>
        <v>0</v>
      </c>
      <c r="AU47" s="420">
        <f ca="1">INDEX($DL$6:$DL$53,MATCH(AI47,$DP$6:$DP$53,0))</f>
        <v>1</v>
      </c>
      <c r="AV47" s="217" t="str">
        <f ca="1">INDEX($BD$6:$BD$53,MATCH(AI47,$BM$6:$BM$53,0))</f>
        <v>Japón</v>
      </c>
      <c r="AW47" s="427"/>
      <c r="AX47" s="218"/>
      <c r="AY47" s="226" t="str">
        <f ca="1">+A46</f>
        <v>Japón</v>
      </c>
      <c r="AZ47" s="227"/>
      <c r="BA47" s="175"/>
      <c r="BB47" s="742"/>
      <c r="BC47" s="754" t="str">
        <f ca="1">+INDEX(T_Equipos[Grupo],MATCH(WORLDCUP!BD47,T_Equipos[NombreEquipo],0))</f>
        <v>K</v>
      </c>
      <c r="BD47" s="742" t="str">
        <f ca="1">+Equipos!B43</f>
        <v>RD Congo</v>
      </c>
      <c r="BE47" s="746">
        <f t="shared" ca="1" si="25"/>
        <v>0</v>
      </c>
      <c r="BF47" s="746">
        <f t="shared" ca="1" si="26"/>
        <v>0</v>
      </c>
      <c r="BG47" s="746">
        <f t="shared" ca="1" si="17"/>
        <v>0</v>
      </c>
      <c r="BH47" s="746">
        <f t="shared" ca="1" si="18"/>
        <v>0</v>
      </c>
      <c r="BI47" s="746">
        <f t="shared" ca="1" si="19"/>
        <v>0</v>
      </c>
      <c r="BJ47" s="746">
        <f t="shared" ca="1" si="20"/>
        <v>0</v>
      </c>
      <c r="BK47" s="746">
        <f t="shared" ca="1" si="21"/>
        <v>0</v>
      </c>
      <c r="BL47" s="746">
        <f t="shared" ca="1" si="27"/>
        <v>0</v>
      </c>
      <c r="BM47" s="746" t="str">
        <f t="shared" ca="1" si="22"/>
        <v>2K</v>
      </c>
      <c r="BN47" s="746" t="str">
        <f t="shared" ca="1" si="23"/>
        <v>2K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0</v>
      </c>
      <c r="BS47" s="755">
        <f ca="1">BP47+COUNTIFS($BQ$6:$BQ$53,BQ47,$BR$6:BR$53,"&gt;"&amp;BR47,$BC$6:$BC$53,INDEX(T_Equipos[Grupo],MATCH(BD47,T_Equipos[NombreEquipo],0)))</f>
        <v>1</v>
      </c>
      <c r="BT47" s="755" t="str">
        <f ca="1">IF(COUNTIFS($BS$6:$BS$53,BS47,$BC$6:$BC$53,INDEX(T_Equipos[Grupo],MATCH(BD47,T_Equipos[NombreEquipo],0)))=1,"-","P."&amp;BS47&amp;" ("&amp;COUNTIFS($BS$6:$BS$53,BS47,$BC$6:$BC$53,INDEX(T_Equipos[Grupo],MATCH(BD47,T_Equipos[NombreEquipo],0)))&amp;")")</f>
        <v>P.1 (4)</v>
      </c>
      <c r="BU47" s="756">
        <f t="shared" ca="1" si="36"/>
        <v>0</v>
      </c>
      <c r="BV47" s="756">
        <f t="shared" ca="1" si="37"/>
        <v>0</v>
      </c>
      <c r="BW47" s="756">
        <f t="shared" ca="1" si="38"/>
        <v>0</v>
      </c>
      <c r="BX47" s="756">
        <f t="shared" ca="1" si="39"/>
        <v>0</v>
      </c>
      <c r="BY47" s="756">
        <f ca="1">BS47+COUNTIFS($BT$6:$BT$53,BT47,$BX$6:BX$53,"&gt;"&amp;BX47,$BC$6:$BC$53,INDEX(T_Equipos[Grupo],MATCH(BD47,T_Equipos[NombreEquipo],0)))</f>
        <v>1</v>
      </c>
      <c r="BZ47" s="755" t="str">
        <f ca="1">IF(COUNTIFS($BY$6:$BY$53,BY47,$BC$6:$BC$53,INDEX(T_Equipos[Grupo],MATCH(BD47,T_Equipos[NombreEquipo],0)))=1,"-","P."&amp;BY47&amp;" ("&amp;COUNTIFS($BY$6:$BY$53,BY47,$BC$6:$BC$53,INDEX(T_Equipos[Grupo],MATCH(BD47,T_Equipos[NombreEquipo],0)))&amp;")")</f>
        <v>P.1 (4)</v>
      </c>
      <c r="CA47" s="756">
        <f t="shared" ca="1" si="40"/>
        <v>0</v>
      </c>
      <c r="CB47" s="756">
        <f t="shared" ca="1" si="41"/>
        <v>0</v>
      </c>
      <c r="CC47" s="756">
        <f t="shared" ca="1" si="42"/>
        <v>0</v>
      </c>
      <c r="CD47" s="756">
        <f ca="1">BY47+COUNTIFS($BZ$6:$BZ$53,BZ47,$CC$6:CC$53,"&gt;"&amp;CC47,$BC$6:$BC$53,INDEX(T_Equipos[Grupo],MATCH(BD47,T_Equipos[NombreEquipo],0)))</f>
        <v>1</v>
      </c>
      <c r="CE47" s="755" t="str">
        <f ca="1">IF(COUNTIFS($CD$6:$CD$53,CD47,$BC$6:$BC$53,INDEX(T_Equipos[Grupo],MATCH(BD47,T_Equipos[NombreEquipo],0)))=1,"-","P."&amp;CD47&amp;" ("&amp;COUNTIFS($CD$6:$CD$53,CD47,$BC$6:$BC$53,INDEX(T_Equipos[Grupo],MATCH(BD47,T_Equipos[NombreEquipo],0)))&amp;")")</f>
        <v>P.1 (4)</v>
      </c>
      <c r="CF47" s="756">
        <f t="shared" ca="1" si="43"/>
        <v>0</v>
      </c>
      <c r="CG47" s="756">
        <f ca="1">CD47+COUNTIFS($CE$6:$CE$53,CE47,$CF$6:CF$53,"&gt;"&amp;CF47,$BC$6:$BC$53,INDEX(T_Equipos[Grupo],MATCH(BD47,T_Equipos[NombreEquipo],0)))</f>
        <v>1</v>
      </c>
      <c r="CH47" s="755" t="str">
        <f ca="1">IF(COUNTIFS($CG$6:$CG$53,CG47,$BC$6:$BC$53,INDEX(T_Equipos[Grupo],MATCH(BD47,T_Equipos[NombreEquipo],0)))=1,"-","P."&amp;CG47&amp;" ("&amp;COUNTIFS($CG$6:$CG$53,CG47,$BC$6:$BC$53,INDEX(T_Equipos[Grupo],MATCH(BD47,T_Equipos[NombreEquipo],0)))&amp;")")</f>
        <v>P.1 (4)</v>
      </c>
      <c r="CI47" s="756">
        <f t="shared" ca="1" si="44"/>
        <v>0</v>
      </c>
      <c r="CJ47" s="756">
        <f t="shared" ca="1" si="45"/>
        <v>0</v>
      </c>
      <c r="CK47" s="756">
        <f t="shared" ca="1" si="46"/>
        <v>0</v>
      </c>
      <c r="CL47" s="756">
        <f t="shared" ca="1" si="47"/>
        <v>0</v>
      </c>
      <c r="CM47" s="756">
        <f ca="1">CG47+COUNTIFS($CH$6:$CH$53,CH47,$CL$6:CL$53,"&gt;"&amp;CL47,$BC$6:$BC$53,INDEX(T_Equipos[Grupo],MATCH(BD47,T_Equipos[NombreEquipo],0)))</f>
        <v>1</v>
      </c>
      <c r="CN47" s="755" t="str">
        <f ca="1">IF(COUNTIFS($CM$6:$CM$53,CM47,$BC$6:$BC$53,INDEX(T_Equipos[Grupo],MATCH(BD47,T_Equipos[NombreEquipo],0)))=1,"-","P."&amp;CM47&amp;" ("&amp;COUNTIFS($CM$6:$CM$53,CM47,$BC$6:$BC$53,INDEX(T_Equipos[Grupo],MATCH(BD47,T_Equipos[NombreEquipo],0)))&amp;")")</f>
        <v>P.1 (4)</v>
      </c>
      <c r="CO47" s="756">
        <f t="shared" ca="1" si="48"/>
        <v>0</v>
      </c>
      <c r="CP47" s="756">
        <f t="shared" ca="1" si="49"/>
        <v>0</v>
      </c>
      <c r="CQ47" s="756">
        <f t="shared" ca="1" si="50"/>
        <v>0</v>
      </c>
      <c r="CR47" s="756">
        <f ca="1">CM47+COUNTIFS($CN$6:$CN$53,CN47,$CQ$6:CQ$53,"&gt;"&amp;CQ47,$BC$6:$BC$53,INDEX(T_Equipos[Grupo],MATCH(BD47,T_Equipos[NombreEquipo],0)))</f>
        <v>1</v>
      </c>
      <c r="CS47" s="755" t="str">
        <f ca="1">IF(COUNTIFS($CR$6:$CR$53,CR47,$BC$6:$BC$53,INDEX(T_Equipos[Grupo],MATCH(BD47,T_Equipos[NombreEquipo],0)))=1,"-","P."&amp;CR47&amp;" ("&amp;COUNTIFS($CR$6:$CR$53,CR47,$BC$6:$BC$53,INDEX(T_Equipos[Grupo],MATCH(BD47,T_Equipos[NombreEquipo],0)))&amp;")")</f>
        <v>P.1 (4)</v>
      </c>
      <c r="CT47" s="756">
        <f t="shared" ca="1" si="51"/>
        <v>0</v>
      </c>
      <c r="CU47" s="756">
        <f ca="1">CR47+COUNTIFS($CS$6:$CS$53,CS47,$CT$6:CT$53,"&gt;"&amp;CT47,$BC$6:$BC$53,INDEX(T_Equipos[Grupo],MATCH(BD47,T_Equipos[NombreEquipo],0)))</f>
        <v>1</v>
      </c>
      <c r="CV47" s="755" t="str">
        <f ca="1">IF(COUNTIFS($CU$6:$CU$53,CU47,$BC$6:$BC$53,INDEX(T_Equipos[Grupo],MATCH(BD47,T_Equipos[NombreEquipo],0)))=1,"-","P."&amp;CU47&amp;" ("&amp;COUNTIFS($CU$6:$CU$53,CU47,$BC$6:$BC$53,INDEX(T_Equipos[Grupo],MATCH(BD47,T_Equipos[NombreEquipo],0)))&amp;")")</f>
        <v>P.1 (4)</v>
      </c>
      <c r="CW47" s="755">
        <f t="shared" ca="1" si="30"/>
        <v>0</v>
      </c>
      <c r="CX47" s="755">
        <f ca="1">CU47+COUNTIFS($CV$6:$CV$53,CV47,$CW$6:CW$53,"&gt;"&amp;CW47,$BC$6:$BC$53,INDEX(T_Equipos[Grupo],MATCH(BD47,T_Equipos[NombreEquipo],0)))</f>
        <v>1</v>
      </c>
      <c r="CY47" s="755" t="str">
        <f ca="1">IF(COUNTIFS($CX$6:$CX$53,CX47,$BC$6:$BC$53,INDEX(T_Equipos[Grupo],MATCH(BD47,T_Equipos[NombreEquipo],0)))=1,"-","P."&amp;CX47&amp;" ("&amp;COUNTIFS($CX$6:$CX$53,CX47,$BC$6:$BC$53,INDEX(T_Equipos[Grupo],MATCH(BD47,T_Equipos[NombreEquipo],0)))&amp;")")</f>
        <v>P.1 (4)</v>
      </c>
      <c r="CZ47" s="755">
        <f t="shared" ca="1" si="31"/>
        <v>0</v>
      </c>
      <c r="DA47" s="756">
        <f ca="1">CX47+COUNTIFS($CY$6:$CY$53,CY47,$CZ$6:CZ$53,"&gt;"&amp;CZ47,$BC$6:$BC$53,INDEX(T_Equipos[Grupo],MATCH(BD47,T_Equipos[NombreEquipo],0)))</f>
        <v>1</v>
      </c>
      <c r="DB47" s="755" t="str">
        <f ca="1">IF(COUNTIFS($DA$6:$DA$53,DA47,$BC$6:$BC$53,INDEX(T_Equipos[Grupo],MATCH(BD47,T_Equipos[NombreEquipo],0)))=1,"-","P."&amp;DA47&amp;" ("&amp;COUNTIFS($DA$6:$DA$53,DA47,$BC$6:$BC$53,INDEX(T_Equipos[Grupo],MATCH(BD47,T_Equipos[NombreEquipo],0)))&amp;")")</f>
        <v>P.1 (4)</v>
      </c>
      <c r="DC47" s="754">
        <f ca="1">IF(DB47="-","-",COUNTIFS(T_Equipos[Rank],"&lt;"&amp;INDEX(T_Equipos[Rank],MATCH(BD47,T_Equipos[NombreEquipo],0)),$BC$6:$BC$53,INDEX(T_Equipos[Grupo],MATCH(BD47,T_Equipos[NombreEquipo],0)))+1)</f>
        <v>2</v>
      </c>
      <c r="DD47" s="754">
        <f ca="1">DA47+COUNTIFS($DB$6:$DB$53,DB47,$DC$6:DC$53,"&lt;"&amp;DC47,$BC$6:$BC$53,INDEX(T_Equipos[Grupo],MATCH(BD47,T_Equipos[NombreEquipo],0)))</f>
        <v>2</v>
      </c>
      <c r="DE47" s="754"/>
      <c r="DF47" s="754">
        <f t="shared" ca="1" si="52"/>
        <v>2</v>
      </c>
      <c r="DG47" s="754">
        <f ca="1">IF(DB47="-","-",COUNTIFS(DF$6:DF$53,"&lt;"&amp;DF47,$BC$6:$BC$53,INDEX(T_Equipos[Grupo],MATCH(BD47,T_Equipos[NombreEquipo],0))))</f>
        <v>1</v>
      </c>
      <c r="DH47" s="754">
        <f ca="1">DA47+COUNTIFS(DB$6:DB$53,DB47,DG$6:DG$53,"&lt;"&amp;DG47,$BC$6:$BC$53,INDEX(T_Equipos[Grupo],MATCH(BD47,T_Equipos[NombreEquipo],0)))</f>
        <v>2</v>
      </c>
      <c r="DI47" s="742"/>
      <c r="DJ47" s="742">
        <f t="shared" ca="1" si="53"/>
        <v>1</v>
      </c>
      <c r="DK47" s="742">
        <f t="shared" ca="1" si="24"/>
        <v>0</v>
      </c>
      <c r="DL47" s="742">
        <f t="shared" ca="1" si="33"/>
        <v>1</v>
      </c>
      <c r="DM47" s="736" t="str">
        <f t="shared" ca="1" si="34"/>
        <v>1.1</v>
      </c>
      <c r="DN47" s="742" cm="1">
        <f t="array" aca="1" ref="DN47" ca="1">OFFSET(Horarios!$P$3,DJ47-1,0,DL47,1)</f>
        <v>1</v>
      </c>
      <c r="DO47" s="742"/>
      <c r="DP47" s="742" t="s">
        <v>680</v>
      </c>
      <c r="DQ47" s="742" t="str">
        <f t="shared" ca="1" si="35"/>
        <v>RD Congo</v>
      </c>
      <c r="DR47" s="742"/>
      <c r="DS47" s="742"/>
      <c r="DT47" s="742" t="str">
        <f t="shared" ca="1" si="15"/>
        <v>Túnez-Japón</v>
      </c>
      <c r="DU47" s="742"/>
      <c r="DV47" s="742"/>
      <c r="DW47" s="8"/>
    </row>
    <row r="48" spans="1:127" ht="15.95" customHeight="1">
      <c r="A48" s="743" t="str">
        <f ca="1">+Equipos!B25</f>
        <v>Túnez</v>
      </c>
      <c r="B48" s="740"/>
      <c r="C48" s="742"/>
      <c r="D48" s="742" t="str">
        <f t="shared" si="136"/>
        <v>Pendiente</v>
      </c>
      <c r="E48" s="742" t="str">
        <f t="shared" si="137"/>
        <v>-</v>
      </c>
      <c r="F48" s="742" t="str">
        <f t="shared" si="138"/>
        <v>-</v>
      </c>
      <c r="G48" s="742"/>
      <c r="H48" s="742" t="str">
        <f t="shared" si="139"/>
        <v>-</v>
      </c>
      <c r="I48" s="742" t="str">
        <f t="shared" si="140"/>
        <v>-</v>
      </c>
      <c r="J48" s="742"/>
      <c r="K48" s="742" t="str">
        <f t="shared" si="141"/>
        <v>-</v>
      </c>
      <c r="L48" s="742" t="str">
        <f t="shared" si="142"/>
        <v>-</v>
      </c>
      <c r="M48" s="742"/>
      <c r="N48" s="742" t="str">
        <f t="shared" si="143"/>
        <v>-</v>
      </c>
      <c r="O48" s="742" t="str">
        <f t="shared" si="144"/>
        <v>-</v>
      </c>
      <c r="P48" s="742"/>
      <c r="Q48" s="742" t="str">
        <f t="shared" si="145"/>
        <v>-</v>
      </c>
      <c r="R48" s="742" t="str">
        <f t="shared" si="146"/>
        <v>-</v>
      </c>
      <c r="S48" s="742"/>
      <c r="T48" s="742" t="str">
        <f t="shared" si="147"/>
        <v>-</v>
      </c>
      <c r="U48" s="742" t="str">
        <f t="shared" si="148"/>
        <v>-</v>
      </c>
      <c r="V48" s="172"/>
      <c r="W48" s="804"/>
      <c r="X48" s="189">
        <f ca="1">Horarios!C48</f>
        <v>46198.791666666664</v>
      </c>
      <c r="Y48" s="190">
        <f ca="1">Horarios!C48</f>
        <v>46198.791666666664</v>
      </c>
      <c r="Z48" s="191" t="str">
        <f>$Z$8</f>
        <v>J3</v>
      </c>
      <c r="AA48" s="192" t="str">
        <f ca="1">A46</f>
        <v>Japón</v>
      </c>
      <c r="AB48" s="478" t="str" cm="1">
        <f t="array" aca="1" ref="AB48" ca="1">Ver_flag_local</f>
        <v/>
      </c>
      <c r="AC48" s="193"/>
      <c r="AD48" s="194"/>
      <c r="AE48" s="483" t="str" cm="1">
        <f t="array" aca="1" ref="AE48" ca="1">Ver_flag_visit</f>
        <v/>
      </c>
      <c r="AF48" s="195" t="str">
        <f ca="1">A47</f>
        <v>Suecia</v>
      </c>
      <c r="AG48" s="413">
        <f t="shared" si="149"/>
        <v>0</v>
      </c>
      <c r="AH48" s="196">
        <v>57</v>
      </c>
      <c r="AI48" s="19" t="str">
        <f t="shared" si="154"/>
        <v>3F</v>
      </c>
      <c r="AJ48" s="221">
        <v>3</v>
      </c>
      <c r="AK48" s="486" t="str" cm="1">
        <f t="array" aca="1" ref="AK48" ca="1">Ver_flag_visit</f>
        <v/>
      </c>
      <c r="AL48" s="222" t="str">
        <f ca="1">IFERROR(INDEX($BD$6:$BD$53,MATCH(AI48,$BN$6:$BN$53,0)),"")</f>
        <v>Suecia</v>
      </c>
      <c r="AM48" s="223">
        <f t="shared" ca="1" si="153"/>
        <v>0</v>
      </c>
      <c r="AN48" s="224">
        <f t="shared" ca="1" si="153"/>
        <v>0</v>
      </c>
      <c r="AO48" s="224">
        <f t="shared" ca="1" si="153"/>
        <v>0</v>
      </c>
      <c r="AP48" s="224">
        <f t="shared" ca="1" si="153"/>
        <v>0</v>
      </c>
      <c r="AQ48" s="224">
        <f t="shared" ca="1" si="153"/>
        <v>0</v>
      </c>
      <c r="AR48" s="224">
        <f t="shared" ca="1" si="153"/>
        <v>0</v>
      </c>
      <c r="AS48" s="224">
        <f t="shared" ca="1" si="153"/>
        <v>0</v>
      </c>
      <c r="AT48" s="225">
        <f t="shared" ca="1" si="153"/>
        <v>0</v>
      </c>
      <c r="AU48" s="420">
        <f ca="1">INDEX($DL$6:$DL$53,MATCH(AI48,$DP$6:$DP$53,0))</f>
        <v>1</v>
      </c>
      <c r="AV48" s="217" t="str">
        <f ca="1">INDEX($BD$6:$BD$53,MATCH(AI48,$BM$6:$BM$53,0))</f>
        <v>Suecia</v>
      </c>
      <c r="AW48" s="427"/>
      <c r="AX48" s="218"/>
      <c r="AY48" s="219" t="str">
        <f ca="1">+A47</f>
        <v>Suecia</v>
      </c>
      <c r="AZ48" s="220"/>
      <c r="BA48" s="175"/>
      <c r="BB48" s="742"/>
      <c r="BC48" s="754" t="str">
        <f ca="1">+INDEX(T_Equipos[Grupo],MATCH(WORLDCUP!BD48,T_Equipos[NombreEquipo],0))</f>
        <v>K</v>
      </c>
      <c r="BD48" s="742" t="str">
        <f ca="1">+Equipos!B44</f>
        <v>Uzbekistán</v>
      </c>
      <c r="BE48" s="746">
        <f t="shared" ca="1" si="25"/>
        <v>0</v>
      </c>
      <c r="BF48" s="746">
        <f t="shared" ca="1" si="26"/>
        <v>0</v>
      </c>
      <c r="BG48" s="746">
        <f t="shared" ca="1" si="17"/>
        <v>0</v>
      </c>
      <c r="BH48" s="746">
        <f t="shared" ca="1" si="18"/>
        <v>0</v>
      </c>
      <c r="BI48" s="746">
        <f t="shared" ca="1" si="19"/>
        <v>0</v>
      </c>
      <c r="BJ48" s="746">
        <f t="shared" ca="1" si="20"/>
        <v>0</v>
      </c>
      <c r="BK48" s="746">
        <f t="shared" ca="1" si="21"/>
        <v>0</v>
      </c>
      <c r="BL48" s="746">
        <f t="shared" ca="1" si="27"/>
        <v>0</v>
      </c>
      <c r="BM48" s="746" t="str">
        <f t="shared" ca="1" si="22"/>
        <v>3K</v>
      </c>
      <c r="BN48" s="746" t="str">
        <f t="shared" ca="1" si="23"/>
        <v>3K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1</v>
      </c>
      <c r="BT48" s="755" t="str">
        <f ca="1">IF(COUNTIFS($BS$6:$BS$53,BS48,$BC$6:$BC$53,INDEX(T_Equipos[Grupo],MATCH(BD48,T_Equipos[NombreEquipo],0)))=1,"-","P."&amp;BS48&amp;" ("&amp;COUNTIFS($BS$6:$BS$53,BS48,$BC$6:$BC$53,INDEX(T_Equipos[Grupo],MATCH(BD48,T_Equipos[NombreEquipo],0)))&amp;")")</f>
        <v>P.1 (4)</v>
      </c>
      <c r="BU48" s="756">
        <f t="shared" ca="1" si="36"/>
        <v>0</v>
      </c>
      <c r="BV48" s="756">
        <f t="shared" ca="1" si="37"/>
        <v>0</v>
      </c>
      <c r="BW48" s="756">
        <f t="shared" ca="1" si="38"/>
        <v>0</v>
      </c>
      <c r="BX48" s="756">
        <f t="shared" ca="1" si="39"/>
        <v>0</v>
      </c>
      <c r="BY48" s="756">
        <f ca="1">BS48+COUNTIFS($BT$6:$BT$53,BT48,$BX$6:BX$53,"&gt;"&amp;BX48,$BC$6:$BC$53,INDEX(T_Equipos[Grupo],MATCH(BD48,T_Equipos[NombreEquipo],0)))</f>
        <v>1</v>
      </c>
      <c r="BZ48" s="755" t="str">
        <f ca="1">IF(COUNTIFS($BY$6:$BY$53,BY48,$BC$6:$BC$53,INDEX(T_Equipos[Grupo],MATCH(BD48,T_Equipos[NombreEquipo],0)))=1,"-","P."&amp;BY48&amp;" ("&amp;COUNTIFS($BY$6:$BY$53,BY48,$BC$6:$BC$53,INDEX(T_Equipos[Grupo],MATCH(BD48,T_Equipos[NombreEquipo],0)))&amp;")")</f>
        <v>P.1 (4)</v>
      </c>
      <c r="CA48" s="756">
        <f t="shared" ca="1" si="40"/>
        <v>0</v>
      </c>
      <c r="CB48" s="756">
        <f t="shared" ca="1" si="41"/>
        <v>0</v>
      </c>
      <c r="CC48" s="756">
        <f t="shared" ca="1" si="42"/>
        <v>0</v>
      </c>
      <c r="CD48" s="756">
        <f ca="1">BY48+COUNTIFS($BZ$6:$BZ$53,BZ48,$CC$6:CC$53,"&gt;"&amp;CC48,$BC$6:$BC$53,INDEX(T_Equipos[Grupo],MATCH(BD48,T_Equipos[NombreEquipo],0)))</f>
        <v>1</v>
      </c>
      <c r="CE48" s="755" t="str">
        <f ca="1">IF(COUNTIFS($CD$6:$CD$53,CD48,$BC$6:$BC$53,INDEX(T_Equipos[Grupo],MATCH(BD48,T_Equipos[NombreEquipo],0)))=1,"-","P."&amp;CD48&amp;" ("&amp;COUNTIFS($CD$6:$CD$53,CD48,$BC$6:$BC$53,INDEX(T_Equipos[Grupo],MATCH(BD48,T_Equipos[NombreEquipo],0)))&amp;")")</f>
        <v>P.1 (4)</v>
      </c>
      <c r="CF48" s="756">
        <f t="shared" ca="1" si="43"/>
        <v>0</v>
      </c>
      <c r="CG48" s="756">
        <f ca="1">CD48+COUNTIFS($CE$6:$CE$53,CE48,$CF$6:CF$53,"&gt;"&amp;CF48,$BC$6:$BC$53,INDEX(T_Equipos[Grupo],MATCH(BD48,T_Equipos[NombreEquipo],0)))</f>
        <v>1</v>
      </c>
      <c r="CH48" s="755" t="str">
        <f ca="1">IF(COUNTIFS($CG$6:$CG$53,CG48,$BC$6:$BC$53,INDEX(T_Equipos[Grupo],MATCH(BD48,T_Equipos[NombreEquipo],0)))=1,"-","P."&amp;CG48&amp;" ("&amp;COUNTIFS($CG$6:$CG$53,CG48,$BC$6:$BC$53,INDEX(T_Equipos[Grupo],MATCH(BD48,T_Equipos[NombreEquipo],0)))&amp;")")</f>
        <v>P.1 (4)</v>
      </c>
      <c r="CI48" s="756">
        <f t="shared" ca="1" si="44"/>
        <v>0</v>
      </c>
      <c r="CJ48" s="756">
        <f t="shared" ca="1" si="45"/>
        <v>0</v>
      </c>
      <c r="CK48" s="756">
        <f t="shared" ca="1" si="46"/>
        <v>0</v>
      </c>
      <c r="CL48" s="756">
        <f t="shared" ca="1" si="47"/>
        <v>0</v>
      </c>
      <c r="CM48" s="756">
        <f ca="1">CG48+COUNTIFS($CH$6:$CH$53,CH48,$CL$6:CL$53,"&gt;"&amp;CL48,$BC$6:$BC$53,INDEX(T_Equipos[Grupo],MATCH(BD48,T_Equipos[NombreEquipo],0)))</f>
        <v>1</v>
      </c>
      <c r="CN48" s="755" t="str">
        <f ca="1">IF(COUNTIFS($CM$6:$CM$53,CM48,$BC$6:$BC$53,INDEX(T_Equipos[Grupo],MATCH(BD48,T_Equipos[NombreEquipo],0)))=1,"-","P."&amp;CM48&amp;" ("&amp;COUNTIFS($CM$6:$CM$53,CM48,$BC$6:$BC$53,INDEX(T_Equipos[Grupo],MATCH(BD48,T_Equipos[NombreEquipo],0)))&amp;")")</f>
        <v>P.1 (4)</v>
      </c>
      <c r="CO48" s="756">
        <f t="shared" ca="1" si="48"/>
        <v>0</v>
      </c>
      <c r="CP48" s="756">
        <f t="shared" ca="1" si="49"/>
        <v>0</v>
      </c>
      <c r="CQ48" s="756">
        <f t="shared" ca="1" si="50"/>
        <v>0</v>
      </c>
      <c r="CR48" s="756">
        <f ca="1">CM48+COUNTIFS($CN$6:$CN$53,CN48,$CQ$6:CQ$53,"&gt;"&amp;CQ48,$BC$6:$BC$53,INDEX(T_Equipos[Grupo],MATCH(BD48,T_Equipos[NombreEquipo],0)))</f>
        <v>1</v>
      </c>
      <c r="CS48" s="755" t="str">
        <f ca="1">IF(COUNTIFS($CR$6:$CR$53,CR48,$BC$6:$BC$53,INDEX(T_Equipos[Grupo],MATCH(BD48,T_Equipos[NombreEquipo],0)))=1,"-","P."&amp;CR48&amp;" ("&amp;COUNTIFS($CR$6:$CR$53,CR48,$BC$6:$BC$53,INDEX(T_Equipos[Grupo],MATCH(BD48,T_Equipos[NombreEquipo],0)))&amp;")")</f>
        <v>P.1 (4)</v>
      </c>
      <c r="CT48" s="756">
        <f t="shared" ca="1" si="51"/>
        <v>0</v>
      </c>
      <c r="CU48" s="756">
        <f ca="1">CR48+COUNTIFS($CS$6:$CS$53,CS48,$CT$6:CT$53,"&gt;"&amp;CT48,$BC$6:$BC$53,INDEX(T_Equipos[Grupo],MATCH(BD48,T_Equipos[NombreEquipo],0)))</f>
        <v>1</v>
      </c>
      <c r="CV48" s="755" t="str">
        <f ca="1">IF(COUNTIFS($CU$6:$CU$53,CU48,$BC$6:$BC$53,INDEX(T_Equipos[Grupo],MATCH(BD48,T_Equipos[NombreEquipo],0)))=1,"-","P."&amp;CU48&amp;" ("&amp;COUNTIFS($CU$6:$CU$53,CU48,$BC$6:$BC$53,INDEX(T_Equipos[Grupo],MATCH(BD48,T_Equipos[NombreEquipo],0)))&amp;")")</f>
        <v>P.1 (4)</v>
      </c>
      <c r="CW48" s="755">
        <f t="shared" ca="1" si="30"/>
        <v>0</v>
      </c>
      <c r="CX48" s="755">
        <f ca="1">CU48+COUNTIFS($CV$6:$CV$53,CV48,$CW$6:CW$53,"&gt;"&amp;CW48,$BC$6:$BC$53,INDEX(T_Equipos[Grupo],MATCH(BD48,T_Equipos[NombreEquipo],0)))</f>
        <v>1</v>
      </c>
      <c r="CY48" s="755" t="str">
        <f ca="1">IF(COUNTIFS($CX$6:$CX$53,CX48,$BC$6:$BC$53,INDEX(T_Equipos[Grupo],MATCH(BD48,T_Equipos[NombreEquipo],0)))=1,"-","P."&amp;CX48&amp;" ("&amp;COUNTIFS($CX$6:$CX$53,CX48,$BC$6:$BC$53,INDEX(T_Equipos[Grupo],MATCH(BD48,T_Equipos[NombreEquipo],0)))&amp;")")</f>
        <v>P.1 (4)</v>
      </c>
      <c r="CZ48" s="755">
        <f t="shared" ca="1" si="31"/>
        <v>0</v>
      </c>
      <c r="DA48" s="756">
        <f ca="1">CX48+COUNTIFS($CY$6:$CY$53,CY48,$CZ$6:CZ$53,"&gt;"&amp;CZ48,$BC$6:$BC$53,INDEX(T_Equipos[Grupo],MATCH(BD48,T_Equipos[NombreEquipo],0)))</f>
        <v>1</v>
      </c>
      <c r="DB48" s="755" t="str">
        <f ca="1">IF(COUNTIFS($DA$6:$DA$53,DA48,$BC$6:$BC$53,INDEX(T_Equipos[Grupo],MATCH(BD48,T_Equipos[NombreEquipo],0)))=1,"-","P."&amp;DA48&amp;" ("&amp;COUNTIFS($DA$6:$DA$53,DA48,$BC$6:$BC$53,INDEX(T_Equipos[Grupo],MATCH(BD48,T_Equipos[NombreEquipo],0)))&amp;")")</f>
        <v>P.1 (4)</v>
      </c>
      <c r="DC48" s="754">
        <f ca="1">IF(DB48="-","-",COUNTIFS(T_Equipos[Rank],"&lt;"&amp;INDEX(T_Equipos[Rank],MATCH(BD48,T_Equipos[NombreEquipo],0)),$BC$6:$BC$53,INDEX(T_Equipos[Grupo],MATCH(BD48,T_Equipos[NombreEquipo],0)))+1)</f>
        <v>3</v>
      </c>
      <c r="DD48" s="754">
        <f ca="1">DA48+COUNTIFS($DB$6:$DB$53,DB48,$DC$6:DC$53,"&lt;"&amp;DC48,$BC$6:$BC$53,INDEX(T_Equipos[Grupo],MATCH(BD48,T_Equipos[NombreEquipo],0)))</f>
        <v>3</v>
      </c>
      <c r="DE48" s="754"/>
      <c r="DF48" s="754">
        <f t="shared" ca="1" si="52"/>
        <v>3</v>
      </c>
      <c r="DG48" s="754">
        <f ca="1">IF(DB48="-","-",COUNTIFS(DF$6:DF$53,"&lt;"&amp;DF48,$BC$6:$BC$53,INDEX(T_Equipos[Grupo],MATCH(BD48,T_Equipos[NombreEquipo],0))))</f>
        <v>2</v>
      </c>
      <c r="DH48" s="754">
        <f ca="1">DA48+COUNTIFS(DB$6:DB$53,DB48,DG$6:DG$53,"&lt;"&amp;DG48,$BC$6:$BC$53,INDEX(T_Equipos[Grupo],MATCH(BD48,T_Equipos[NombreEquipo],0)))</f>
        <v>3</v>
      </c>
      <c r="DI48" s="742"/>
      <c r="DJ48" s="742">
        <f t="shared" ca="1" si="53"/>
        <v>1</v>
      </c>
      <c r="DK48" s="742">
        <f t="shared" ca="1" si="24"/>
        <v>0</v>
      </c>
      <c r="DL48" s="742">
        <f t="shared" ca="1" si="33"/>
        <v>1</v>
      </c>
      <c r="DM48" s="736" t="str">
        <f t="shared" ca="1" si="34"/>
        <v>1.1</v>
      </c>
      <c r="DN48" s="742" cm="1">
        <f t="array" aca="1" ref="DN48" ca="1">OFFSET(Horarios!$P$3,DJ48-1,0,DL48,1)</f>
        <v>1</v>
      </c>
      <c r="DO48" s="742"/>
      <c r="DP48" s="742" t="s">
        <v>442</v>
      </c>
      <c r="DQ48" s="742" t="str">
        <f t="shared" ca="1" si="35"/>
        <v>Uzbekistán</v>
      </c>
      <c r="DR48" s="742"/>
      <c r="DS48" s="742"/>
      <c r="DT48" s="742" t="str">
        <f t="shared" ca="1" si="15"/>
        <v>Japón-Suecia</v>
      </c>
      <c r="DU48" s="742"/>
      <c r="DV48" s="742"/>
      <c r="DW48" s="8"/>
    </row>
    <row r="49" spans="1:127" ht="17.100000000000001" customHeight="1" thickBot="1">
      <c r="A49" s="737"/>
      <c r="B49" s="737"/>
      <c r="C49" s="737"/>
      <c r="D49" s="742" t="str">
        <f t="shared" si="136"/>
        <v>Pendiente</v>
      </c>
      <c r="E49" s="742" t="str">
        <f t="shared" si="137"/>
        <v>-</v>
      </c>
      <c r="F49" s="742" t="str">
        <f t="shared" si="138"/>
        <v>-</v>
      </c>
      <c r="G49" s="742"/>
      <c r="H49" s="742" t="str">
        <f t="shared" si="139"/>
        <v>-</v>
      </c>
      <c r="I49" s="742" t="str">
        <f t="shared" si="140"/>
        <v>-</v>
      </c>
      <c r="J49" s="742"/>
      <c r="K49" s="742" t="str">
        <f t="shared" si="141"/>
        <v>-</v>
      </c>
      <c r="L49" s="742" t="str">
        <f t="shared" si="142"/>
        <v>-</v>
      </c>
      <c r="M49" s="742"/>
      <c r="N49" s="742" t="str">
        <f t="shared" si="143"/>
        <v>-</v>
      </c>
      <c r="O49" s="742" t="str">
        <f t="shared" si="144"/>
        <v>-</v>
      </c>
      <c r="P49" s="742"/>
      <c r="Q49" s="742" t="str">
        <f t="shared" si="145"/>
        <v>-</v>
      </c>
      <c r="R49" s="742" t="str">
        <f t="shared" si="146"/>
        <v>-</v>
      </c>
      <c r="S49" s="742"/>
      <c r="T49" s="742" t="str">
        <f t="shared" si="147"/>
        <v>-</v>
      </c>
      <c r="U49" s="742" t="str">
        <f t="shared" si="148"/>
        <v>-</v>
      </c>
      <c r="V49" s="172"/>
      <c r="W49" s="805"/>
      <c r="X49" s="228">
        <f ca="1">Horarios!C49</f>
        <v>46198.791666666664</v>
      </c>
      <c r="Y49" s="229">
        <f ca="1">Horarios!C49</f>
        <v>46198.791666666664</v>
      </c>
      <c r="Z49" s="230" t="str">
        <f>$Z$8</f>
        <v>J3</v>
      </c>
      <c r="AA49" s="231" t="str">
        <f ca="1">A48</f>
        <v>Túnez</v>
      </c>
      <c r="AB49" s="479" t="str" cm="1">
        <f t="array" aca="1" ref="AB49" ca="1">Ver_flag_local</f>
        <v/>
      </c>
      <c r="AC49" s="232"/>
      <c r="AD49" s="233"/>
      <c r="AE49" s="484" t="str" cm="1">
        <f t="array" aca="1" ref="AE49" ca="1">Ver_flag_visit</f>
        <v/>
      </c>
      <c r="AF49" s="234" t="str">
        <f ca="1">A45</f>
        <v>Países Bajos</v>
      </c>
      <c r="AG49" s="413">
        <f t="shared" si="149"/>
        <v>0</v>
      </c>
      <c r="AH49" s="196">
        <v>58</v>
      </c>
      <c r="AI49" s="19" t="str">
        <f t="shared" si="154"/>
        <v>4F</v>
      </c>
      <c r="AJ49" s="235">
        <v>4</v>
      </c>
      <c r="AK49" s="487" t="str" cm="1">
        <f t="array" aca="1" ref="AK49" ca="1">Ver_flag_visit</f>
        <v/>
      </c>
      <c r="AL49" s="236" t="str">
        <f ca="1">IFERROR(INDEX($BD$6:$BD$53,MATCH(AI49,$BN$6:$BN$53,0)),"")</f>
        <v>Túnez</v>
      </c>
      <c r="AM49" s="237">
        <f t="shared" ca="1" si="153"/>
        <v>0</v>
      </c>
      <c r="AN49" s="238">
        <f t="shared" ca="1" si="153"/>
        <v>0</v>
      </c>
      <c r="AO49" s="238">
        <f t="shared" ca="1" si="153"/>
        <v>0</v>
      </c>
      <c r="AP49" s="238">
        <f t="shared" ca="1" si="153"/>
        <v>0</v>
      </c>
      <c r="AQ49" s="238">
        <f t="shared" ca="1" si="153"/>
        <v>0</v>
      </c>
      <c r="AR49" s="238">
        <f t="shared" ca="1" si="153"/>
        <v>0</v>
      </c>
      <c r="AS49" s="238">
        <f t="shared" ca="1" si="153"/>
        <v>0</v>
      </c>
      <c r="AT49" s="239">
        <f t="shared" ca="1" si="153"/>
        <v>0</v>
      </c>
      <c r="AU49" s="420">
        <f ca="1">INDEX($DL$6:$DL$53,MATCH(AI49,$DP$6:$DP$53,0))</f>
        <v>1</v>
      </c>
      <c r="AV49" s="217" t="str">
        <f ca="1">INDEX($BD$6:$BD$53,MATCH(AI49,$BM$6:$BM$53,0))</f>
        <v>Túnez</v>
      </c>
      <c r="AW49" s="427"/>
      <c r="AX49" s="218"/>
      <c r="AY49" s="240" t="str">
        <f ca="1">+A48</f>
        <v>Túnez</v>
      </c>
      <c r="AZ49" s="241"/>
      <c r="BA49" s="175"/>
      <c r="BB49" s="742"/>
      <c r="BC49" s="754" t="str">
        <f ca="1">+INDEX(T_Equipos[Grupo],MATCH(WORLDCUP!BD49,T_Equipos[NombreEquipo],0))</f>
        <v>K</v>
      </c>
      <c r="BD49" s="742" t="str">
        <f ca="1">+Equipos!B45</f>
        <v>Colombia</v>
      </c>
      <c r="BE49" s="746">
        <f t="shared" ca="1" si="25"/>
        <v>0</v>
      </c>
      <c r="BF49" s="746">
        <f t="shared" ca="1" si="26"/>
        <v>0</v>
      </c>
      <c r="BG49" s="746">
        <f t="shared" ca="1" si="17"/>
        <v>0</v>
      </c>
      <c r="BH49" s="746">
        <f t="shared" ca="1" si="18"/>
        <v>0</v>
      </c>
      <c r="BI49" s="746">
        <f t="shared" ca="1" si="19"/>
        <v>0</v>
      </c>
      <c r="BJ49" s="746">
        <f t="shared" ca="1" si="20"/>
        <v>0</v>
      </c>
      <c r="BK49" s="746">
        <f t="shared" ca="1" si="21"/>
        <v>0</v>
      </c>
      <c r="BL49" s="746">
        <f t="shared" ca="1" si="27"/>
        <v>0</v>
      </c>
      <c r="BM49" s="746" t="str">
        <f t="shared" ca="1" si="22"/>
        <v>4K</v>
      </c>
      <c r="BN49" s="746" t="str">
        <f t="shared" ca="1" si="23"/>
        <v>4K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0</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P.1 (4)</v>
      </c>
      <c r="BU49" s="756">
        <f t="shared" ca="1" si="36"/>
        <v>0</v>
      </c>
      <c r="BV49" s="756">
        <f t="shared" ca="1" si="37"/>
        <v>0</v>
      </c>
      <c r="BW49" s="756">
        <f t="shared" ca="1" si="38"/>
        <v>0</v>
      </c>
      <c r="BX49" s="756">
        <f t="shared" ca="1" si="39"/>
        <v>0</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P.1 (4)</v>
      </c>
      <c r="CA49" s="756">
        <f t="shared" ca="1" si="40"/>
        <v>0</v>
      </c>
      <c r="CB49" s="756">
        <f t="shared" ca="1" si="41"/>
        <v>0</v>
      </c>
      <c r="CC49" s="756">
        <f t="shared" ca="1" si="42"/>
        <v>0</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P.1 (4)</v>
      </c>
      <c r="CF49" s="756">
        <f t="shared" ca="1" si="43"/>
        <v>0</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P.1 (4)</v>
      </c>
      <c r="CI49" s="756">
        <f t="shared" ca="1" si="44"/>
        <v>0</v>
      </c>
      <c r="CJ49" s="756">
        <f t="shared" ca="1" si="45"/>
        <v>0</v>
      </c>
      <c r="CK49" s="756">
        <f t="shared" ca="1" si="46"/>
        <v>0</v>
      </c>
      <c r="CL49" s="756">
        <f t="shared" ca="1" si="47"/>
        <v>0</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P.1 (4)</v>
      </c>
      <c r="CO49" s="756">
        <f t="shared" ca="1" si="48"/>
        <v>0</v>
      </c>
      <c r="CP49" s="756">
        <f t="shared" ca="1" si="49"/>
        <v>0</v>
      </c>
      <c r="CQ49" s="756">
        <f t="shared" ca="1" si="50"/>
        <v>0</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P.1 (4)</v>
      </c>
      <c r="CT49" s="756">
        <f t="shared" ca="1" si="51"/>
        <v>0</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P.1 (4)</v>
      </c>
      <c r="CW49" s="755">
        <f t="shared" ca="1" si="30"/>
        <v>0</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P.1 (4)</v>
      </c>
      <c r="CZ49" s="755">
        <f t="shared" ca="1" si="31"/>
        <v>0</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P.1 (4)</v>
      </c>
      <c r="DC49" s="754">
        <f ca="1">IF(DB49="-","-",COUNTIFS(T_Equipos[Rank],"&lt;"&amp;INDEX(T_Equipos[Rank],MATCH(BD49,T_Equipos[NombreEquipo],0)),$BC$6:$BC$53,INDEX(T_Equipos[Grupo],MATCH(BD49,T_Equipos[NombreEquipo],0)))+1)</f>
        <v>4</v>
      </c>
      <c r="DD49" s="754">
        <f ca="1">DA49+COUNTIFS($DB$6:$DB$53,DB49,$DC$6:DC$53,"&lt;"&amp;DC49,$BC$6:$BC$53,INDEX(T_Equipos[Grupo],MATCH(BD49,T_Equipos[NombreEquipo],0)))</f>
        <v>4</v>
      </c>
      <c r="DE49" s="754"/>
      <c r="DF49" s="754">
        <f t="shared" ca="1" si="52"/>
        <v>4</v>
      </c>
      <c r="DG49" s="754">
        <f ca="1">IF(DB49="-","-",COUNTIFS(DF$6:DF$53,"&lt;"&amp;DF49,$BC$6:$BC$53,INDEX(T_Equipos[Grupo],MATCH(BD49,T_Equipos[NombreEquipo],0))))</f>
        <v>3</v>
      </c>
      <c r="DH49" s="754">
        <f ca="1">DA49+COUNTIFS(DB$6:DB$53,DB49,DG$6:DG$53,"&lt;"&amp;DG49,$BC$6:$BC$53,INDEX(T_Equipos[Grupo],MATCH(BD49,T_Equipos[NombreEquipo],0)))</f>
        <v>4</v>
      </c>
      <c r="DI49" s="742"/>
      <c r="DJ49" s="742">
        <f t="shared" ca="1" si="53"/>
        <v>1</v>
      </c>
      <c r="DK49" s="742">
        <f t="shared" ca="1" si="24"/>
        <v>0</v>
      </c>
      <c r="DL49" s="742">
        <f t="shared" ca="1" si="33"/>
        <v>1</v>
      </c>
      <c r="DM49" s="736" t="str">
        <f t="shared" ca="1" si="34"/>
        <v>1.1</v>
      </c>
      <c r="DN49" s="742" cm="1">
        <f t="array" aca="1" ref="DN49" ca="1">OFFSET(Horarios!$P$3,DJ49-1,0,DL49,1)</f>
        <v>1</v>
      </c>
      <c r="DO49" s="742"/>
      <c r="DP49" s="742" t="s">
        <v>681</v>
      </c>
      <c r="DQ49" s="742" t="str">
        <f t="shared" ca="1" si="35"/>
        <v>Colombia</v>
      </c>
      <c r="DR49" s="742"/>
      <c r="DS49" s="742"/>
      <c r="DT49" s="742" t="str">
        <f t="shared" ca="1" si="15"/>
        <v>Túnez-Países Bajos</v>
      </c>
      <c r="DU49" s="742"/>
      <c r="DV49" s="742"/>
      <c r="DW49" s="8"/>
    </row>
    <row r="50" spans="1:127" ht="15.7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Inglaterra</v>
      </c>
      <c r="BE50" s="746">
        <f t="shared" ca="1" si="25"/>
        <v>0</v>
      </c>
      <c r="BF50" s="746">
        <f t="shared" ca="1" si="26"/>
        <v>0</v>
      </c>
      <c r="BG50" s="746">
        <f t="shared" ca="1" si="17"/>
        <v>0</v>
      </c>
      <c r="BH50" s="746">
        <f t="shared" ca="1" si="18"/>
        <v>0</v>
      </c>
      <c r="BI50" s="746">
        <f t="shared" ca="1" si="19"/>
        <v>0</v>
      </c>
      <c r="BJ50" s="746">
        <f t="shared" ca="1" si="20"/>
        <v>0</v>
      </c>
      <c r="BK50" s="746">
        <f t="shared" ca="1" si="21"/>
        <v>0</v>
      </c>
      <c r="BL50" s="746">
        <f t="shared" ca="1" si="27"/>
        <v>0</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0</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P.1 (4)</v>
      </c>
      <c r="BU50" s="756">
        <f t="shared" ca="1" si="36"/>
        <v>0</v>
      </c>
      <c r="BV50" s="756">
        <f t="shared" ca="1" si="37"/>
        <v>0</v>
      </c>
      <c r="BW50" s="756">
        <f t="shared" ca="1" si="38"/>
        <v>0</v>
      </c>
      <c r="BX50" s="756">
        <f t="shared" ca="1" si="39"/>
        <v>0</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P.1 (4)</v>
      </c>
      <c r="CA50" s="756">
        <f t="shared" ca="1" si="40"/>
        <v>0</v>
      </c>
      <c r="CB50" s="756">
        <f t="shared" ca="1" si="41"/>
        <v>0</v>
      </c>
      <c r="CC50" s="756">
        <f t="shared" ca="1" si="42"/>
        <v>0</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P.1 (4)</v>
      </c>
      <c r="CF50" s="756">
        <f t="shared" ca="1" si="43"/>
        <v>0</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P.1 (4)</v>
      </c>
      <c r="CI50" s="756">
        <f t="shared" ca="1" si="44"/>
        <v>0</v>
      </c>
      <c r="CJ50" s="756">
        <f t="shared" ca="1" si="45"/>
        <v>0</v>
      </c>
      <c r="CK50" s="756">
        <f t="shared" ca="1" si="46"/>
        <v>0</v>
      </c>
      <c r="CL50" s="756">
        <f t="shared" ca="1" si="47"/>
        <v>0</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P.1 (4)</v>
      </c>
      <c r="CO50" s="756">
        <f t="shared" ca="1" si="48"/>
        <v>0</v>
      </c>
      <c r="CP50" s="756">
        <f t="shared" ca="1" si="49"/>
        <v>0</v>
      </c>
      <c r="CQ50" s="756">
        <f t="shared" ca="1" si="50"/>
        <v>0</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P.1 (4)</v>
      </c>
      <c r="CT50" s="756">
        <f t="shared" ca="1" si="51"/>
        <v>0</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P.1 (4)</v>
      </c>
      <c r="CW50" s="755">
        <f t="shared" ca="1" si="30"/>
        <v>0</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P.1 (4)</v>
      </c>
      <c r="CZ50" s="755">
        <f t="shared" ca="1" si="31"/>
        <v>0</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P.1 (4)</v>
      </c>
      <c r="DC50" s="754">
        <f ca="1">IF(DB50="-","-",COUNTIFS(T_Equipos[Rank],"&lt;"&amp;INDEX(T_Equipos[Rank],MATCH(BD50,T_Equipos[NombreEquipo],0)),$BC$6:$BC$53,INDEX(T_Equipos[Grupo],MATCH(BD50,T_Equipos[NombreEquipo],0)))+1)</f>
        <v>1</v>
      </c>
      <c r="DD50" s="754">
        <f ca="1">DA50+COUNTIFS($DB$6:$DB$53,DB50,$DC$6:DC$53,"&lt;"&amp;DC50,$BC$6:$BC$53,INDEX(T_Equipos[Grupo],MATCH(BD50,T_Equipos[NombreEquipo],0)))</f>
        <v>1</v>
      </c>
      <c r="DE50" s="754"/>
      <c r="DF50" s="754">
        <f t="shared" ca="1" si="52"/>
        <v>1</v>
      </c>
      <c r="DG50" s="754">
        <f ca="1">IF(DB50="-","-",COUNTIFS(DF$6:DF$53,"&lt;"&amp;DF50,$BC$6:$BC$53,INDEX(T_Equipos[Grupo],MATCH(BD50,T_Equipos[NombreEquipo],0))))</f>
        <v>0</v>
      </c>
      <c r="DH50" s="754">
        <f ca="1">DA50+COUNTIFS(DB$6:DB$53,DB50,DG$6:DG$53,"&lt;"&amp;DG50,$BC$6:$BC$53,INDEX(T_Equipos[Grupo],MATCH(BD50,T_Equipos[NombreEquipo],0)))</f>
        <v>1</v>
      </c>
      <c r="DI50" s="742"/>
      <c r="DJ50" s="742">
        <f t="shared" ca="1" si="53"/>
        <v>1</v>
      </c>
      <c r="DK50" s="742">
        <f t="shared" ca="1" si="24"/>
        <v>0</v>
      </c>
      <c r="DL50" s="742">
        <f t="shared" ca="1" si="33"/>
        <v>1</v>
      </c>
      <c r="DM50" s="736" t="str">
        <f t="shared" ca="1" si="34"/>
        <v>1.1</v>
      </c>
      <c r="DN50" s="742" cm="1">
        <f t="array" aca="1" ref="DN50" ca="1">OFFSET(Horarios!$P$3,DJ50-1,0,DL50,1)</f>
        <v>1</v>
      </c>
      <c r="DO50" s="742"/>
      <c r="DP50" s="742" t="s">
        <v>682</v>
      </c>
      <c r="DQ50" s="742" t="str">
        <f t="shared" ca="1" si="35"/>
        <v>Inglaterra</v>
      </c>
      <c r="DR50" s="742"/>
      <c r="DS50" s="742"/>
      <c r="DT50" s="742" t="str">
        <f t="shared" si="15"/>
        <v>-</v>
      </c>
      <c r="DU50" s="742"/>
      <c r="DV50" s="742"/>
      <c r="DW50" s="8"/>
    </row>
    <row r="51" spans="1:127" ht="15.7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Croacia</v>
      </c>
      <c r="BE51" s="746">
        <f t="shared" ca="1" si="25"/>
        <v>0</v>
      </c>
      <c r="BF51" s="746">
        <f t="shared" ca="1" si="26"/>
        <v>0</v>
      </c>
      <c r="BG51" s="746">
        <f t="shared" ca="1" si="17"/>
        <v>0</v>
      </c>
      <c r="BH51" s="746">
        <f t="shared" ca="1" si="18"/>
        <v>0</v>
      </c>
      <c r="BI51" s="746">
        <f t="shared" ca="1" si="19"/>
        <v>0</v>
      </c>
      <c r="BJ51" s="746">
        <f t="shared" ca="1" si="20"/>
        <v>0</v>
      </c>
      <c r="BK51" s="746">
        <f t="shared" ca="1" si="21"/>
        <v>0</v>
      </c>
      <c r="BL51" s="746">
        <f t="shared" ca="1" si="27"/>
        <v>0</v>
      </c>
      <c r="BM51" s="746" t="str">
        <f t="shared" ca="1" si="22"/>
        <v>2L</v>
      </c>
      <c r="BN51" s="746" t="str">
        <f t="shared" ca="1" si="23"/>
        <v>2L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0</v>
      </c>
      <c r="BS51" s="755">
        <f ca="1">BP51+COUNTIFS($BQ$6:$BQ$53,BQ51,$BR$6:BR$53,"&gt;"&amp;BR51,$BC$6:$BC$53,INDEX(T_Equipos[Grupo],MATCH(BD51,T_Equipos[NombreEquipo],0)))</f>
        <v>1</v>
      </c>
      <c r="BT51" s="755" t="str">
        <f ca="1">IF(COUNTIFS($BS$6:$BS$53,BS51,$BC$6:$BC$53,INDEX(T_Equipos[Grupo],MATCH(BD51,T_Equipos[NombreEquipo],0)))=1,"-","P."&amp;BS51&amp;" ("&amp;COUNTIFS($BS$6:$BS$53,BS51,$BC$6:$BC$53,INDEX(T_Equipos[Grupo],MATCH(BD51,T_Equipos[NombreEquipo],0)))&amp;")")</f>
        <v>P.1 (4)</v>
      </c>
      <c r="BU51" s="756">
        <f t="shared" ca="1" si="36"/>
        <v>0</v>
      </c>
      <c r="BV51" s="756">
        <f t="shared" ca="1" si="37"/>
        <v>0</v>
      </c>
      <c r="BW51" s="756">
        <f t="shared" ca="1" si="38"/>
        <v>0</v>
      </c>
      <c r="BX51" s="756">
        <f t="shared" ca="1" si="39"/>
        <v>0</v>
      </c>
      <c r="BY51" s="756">
        <f ca="1">BS51+COUNTIFS($BT$6:$BT$53,BT51,$BX$6:BX$53,"&gt;"&amp;BX51,$BC$6:$BC$53,INDEX(T_Equipos[Grupo],MATCH(BD51,T_Equipos[NombreEquipo],0)))</f>
        <v>1</v>
      </c>
      <c r="BZ51" s="755" t="str">
        <f ca="1">IF(COUNTIFS($BY$6:$BY$53,BY51,$BC$6:$BC$53,INDEX(T_Equipos[Grupo],MATCH(BD51,T_Equipos[NombreEquipo],0)))=1,"-","P."&amp;BY51&amp;" ("&amp;COUNTIFS($BY$6:$BY$53,BY51,$BC$6:$BC$53,INDEX(T_Equipos[Grupo],MATCH(BD51,T_Equipos[NombreEquipo],0)))&amp;")")</f>
        <v>P.1 (4)</v>
      </c>
      <c r="CA51" s="756">
        <f t="shared" ca="1" si="40"/>
        <v>0</v>
      </c>
      <c r="CB51" s="756">
        <f t="shared" ca="1" si="41"/>
        <v>0</v>
      </c>
      <c r="CC51" s="756">
        <f t="shared" ca="1" si="42"/>
        <v>0</v>
      </c>
      <c r="CD51" s="756">
        <f ca="1">BY51+COUNTIFS($BZ$6:$BZ$53,BZ51,$CC$6:CC$53,"&gt;"&amp;CC51,$BC$6:$BC$53,INDEX(T_Equipos[Grupo],MATCH(BD51,T_Equipos[NombreEquipo],0)))</f>
        <v>1</v>
      </c>
      <c r="CE51" s="755" t="str">
        <f ca="1">IF(COUNTIFS($CD$6:$CD$53,CD51,$BC$6:$BC$53,INDEX(T_Equipos[Grupo],MATCH(BD51,T_Equipos[NombreEquipo],0)))=1,"-","P."&amp;CD51&amp;" ("&amp;COUNTIFS($CD$6:$CD$53,CD51,$BC$6:$BC$53,INDEX(T_Equipos[Grupo],MATCH(BD51,T_Equipos[NombreEquipo],0)))&amp;")")</f>
        <v>P.1 (4)</v>
      </c>
      <c r="CF51" s="756">
        <f t="shared" ca="1" si="43"/>
        <v>0</v>
      </c>
      <c r="CG51" s="756">
        <f ca="1">CD51+COUNTIFS($CE$6:$CE$53,CE51,$CF$6:CF$53,"&gt;"&amp;CF51,$BC$6:$BC$53,INDEX(T_Equipos[Grupo],MATCH(BD51,T_Equipos[NombreEquipo],0)))</f>
        <v>1</v>
      </c>
      <c r="CH51" s="755" t="str">
        <f ca="1">IF(COUNTIFS($CG$6:$CG$53,CG51,$BC$6:$BC$53,INDEX(T_Equipos[Grupo],MATCH(BD51,T_Equipos[NombreEquipo],0)))=1,"-","P."&amp;CG51&amp;" ("&amp;COUNTIFS($CG$6:$CG$53,CG51,$BC$6:$BC$53,INDEX(T_Equipos[Grupo],MATCH(BD51,T_Equipos[NombreEquipo],0)))&amp;")")</f>
        <v>P.1 (4)</v>
      </c>
      <c r="CI51" s="756">
        <f t="shared" ca="1" si="44"/>
        <v>0</v>
      </c>
      <c r="CJ51" s="756">
        <f t="shared" ca="1" si="45"/>
        <v>0</v>
      </c>
      <c r="CK51" s="756">
        <f t="shared" ca="1" si="46"/>
        <v>0</v>
      </c>
      <c r="CL51" s="756">
        <f t="shared" ca="1" si="47"/>
        <v>0</v>
      </c>
      <c r="CM51" s="756">
        <f ca="1">CG51+COUNTIFS($CH$6:$CH$53,CH51,$CL$6:CL$53,"&gt;"&amp;CL51,$BC$6:$BC$53,INDEX(T_Equipos[Grupo],MATCH(BD51,T_Equipos[NombreEquipo],0)))</f>
        <v>1</v>
      </c>
      <c r="CN51" s="755" t="str">
        <f ca="1">IF(COUNTIFS($CM$6:$CM$53,CM51,$BC$6:$BC$53,INDEX(T_Equipos[Grupo],MATCH(BD51,T_Equipos[NombreEquipo],0)))=1,"-","P."&amp;CM51&amp;" ("&amp;COUNTIFS($CM$6:$CM$53,CM51,$BC$6:$BC$53,INDEX(T_Equipos[Grupo],MATCH(BD51,T_Equipos[NombreEquipo],0)))&amp;")")</f>
        <v>P.1 (4)</v>
      </c>
      <c r="CO51" s="756">
        <f t="shared" ca="1" si="48"/>
        <v>0</v>
      </c>
      <c r="CP51" s="756">
        <f t="shared" ca="1" si="49"/>
        <v>0</v>
      </c>
      <c r="CQ51" s="756">
        <f t="shared" ca="1" si="50"/>
        <v>0</v>
      </c>
      <c r="CR51" s="756">
        <f ca="1">CM51+COUNTIFS($CN$6:$CN$53,CN51,$CQ$6:CQ$53,"&gt;"&amp;CQ51,$BC$6:$BC$53,INDEX(T_Equipos[Grupo],MATCH(BD51,T_Equipos[NombreEquipo],0)))</f>
        <v>1</v>
      </c>
      <c r="CS51" s="755" t="str">
        <f ca="1">IF(COUNTIFS($CR$6:$CR$53,CR51,$BC$6:$BC$53,INDEX(T_Equipos[Grupo],MATCH(BD51,T_Equipos[NombreEquipo],0)))=1,"-","P."&amp;CR51&amp;" ("&amp;COUNTIFS($CR$6:$CR$53,CR51,$BC$6:$BC$53,INDEX(T_Equipos[Grupo],MATCH(BD51,T_Equipos[NombreEquipo],0)))&amp;")")</f>
        <v>P.1 (4)</v>
      </c>
      <c r="CT51" s="756">
        <f t="shared" ca="1" si="51"/>
        <v>0</v>
      </c>
      <c r="CU51" s="756">
        <f ca="1">CR51+COUNTIFS($CS$6:$CS$53,CS51,$CT$6:CT$53,"&gt;"&amp;CT51,$BC$6:$BC$53,INDEX(T_Equipos[Grupo],MATCH(BD51,T_Equipos[NombreEquipo],0)))</f>
        <v>1</v>
      </c>
      <c r="CV51" s="755" t="str">
        <f ca="1">IF(COUNTIFS($CU$6:$CU$53,CU51,$BC$6:$BC$53,INDEX(T_Equipos[Grupo],MATCH(BD51,T_Equipos[NombreEquipo],0)))=1,"-","P."&amp;CU51&amp;" ("&amp;COUNTIFS($CU$6:$CU$53,CU51,$BC$6:$BC$53,INDEX(T_Equipos[Grupo],MATCH(BD51,T_Equipos[NombreEquipo],0)))&amp;")")</f>
        <v>P.1 (4)</v>
      </c>
      <c r="CW51" s="755">
        <f t="shared" ca="1" si="30"/>
        <v>0</v>
      </c>
      <c r="CX51" s="755">
        <f ca="1">CU51+COUNTIFS($CV$6:$CV$53,CV51,$CW$6:CW$53,"&gt;"&amp;CW51,$BC$6:$BC$53,INDEX(T_Equipos[Grupo],MATCH(BD51,T_Equipos[NombreEquipo],0)))</f>
        <v>1</v>
      </c>
      <c r="CY51" s="755" t="str">
        <f ca="1">IF(COUNTIFS($CX$6:$CX$53,CX51,$BC$6:$BC$53,INDEX(T_Equipos[Grupo],MATCH(BD51,T_Equipos[NombreEquipo],0)))=1,"-","P."&amp;CX51&amp;" ("&amp;COUNTIFS($CX$6:$CX$53,CX51,$BC$6:$BC$53,INDEX(T_Equipos[Grupo],MATCH(BD51,T_Equipos[NombreEquipo],0)))&amp;")")</f>
        <v>P.1 (4)</v>
      </c>
      <c r="CZ51" s="755">
        <f t="shared" ca="1" si="31"/>
        <v>0</v>
      </c>
      <c r="DA51" s="756">
        <f ca="1">CX51+COUNTIFS($CY$6:$CY$53,CY51,$CZ$6:CZ$53,"&gt;"&amp;CZ51,$BC$6:$BC$53,INDEX(T_Equipos[Grupo],MATCH(BD51,T_Equipos[NombreEquipo],0)))</f>
        <v>1</v>
      </c>
      <c r="DB51" s="755" t="str">
        <f ca="1">IF(COUNTIFS($DA$6:$DA$53,DA51,$BC$6:$BC$53,INDEX(T_Equipos[Grupo],MATCH(BD51,T_Equipos[NombreEquipo],0)))=1,"-","P."&amp;DA51&amp;" ("&amp;COUNTIFS($DA$6:$DA$53,DA51,$BC$6:$BC$53,INDEX(T_Equipos[Grupo],MATCH(BD51,T_Equipos[NombreEquipo],0)))&amp;")")</f>
        <v>P.1 (4)</v>
      </c>
      <c r="DC51" s="754">
        <f ca="1">IF(DB51="-","-",COUNTIFS(T_Equipos[Rank],"&lt;"&amp;INDEX(T_Equipos[Rank],MATCH(BD51,T_Equipos[NombreEquipo],0)),$BC$6:$BC$53,INDEX(T_Equipos[Grupo],MATCH(BD51,T_Equipos[NombreEquipo],0)))+1)</f>
        <v>2</v>
      </c>
      <c r="DD51" s="754">
        <f ca="1">DA51+COUNTIFS($DB$6:$DB$53,DB51,$DC$6:DC$53,"&lt;"&amp;DC51,$BC$6:$BC$53,INDEX(T_Equipos[Grupo],MATCH(BD51,T_Equipos[NombreEquipo],0)))</f>
        <v>2</v>
      </c>
      <c r="DE51" s="754"/>
      <c r="DF51" s="754">
        <f t="shared" ca="1" si="52"/>
        <v>2</v>
      </c>
      <c r="DG51" s="754">
        <f ca="1">IF(DB51="-","-",COUNTIFS(DF$6:DF$53,"&lt;"&amp;DF51,$BC$6:$BC$53,INDEX(T_Equipos[Grupo],MATCH(BD51,T_Equipos[NombreEquipo],0))))</f>
        <v>1</v>
      </c>
      <c r="DH51" s="754">
        <f ca="1">DA51+COUNTIFS(DB$6:DB$53,DB51,DG$6:DG$53,"&lt;"&amp;DG51,$BC$6:$BC$53,INDEX(T_Equipos[Grupo],MATCH(BD51,T_Equipos[NombreEquipo],0)))</f>
        <v>2</v>
      </c>
      <c r="DI51" s="742"/>
      <c r="DJ51" s="742">
        <f t="shared" ca="1" si="53"/>
        <v>1</v>
      </c>
      <c r="DK51" s="742">
        <f t="shared" ca="1" si="24"/>
        <v>0</v>
      </c>
      <c r="DL51" s="742">
        <f t="shared" ca="1" si="33"/>
        <v>1</v>
      </c>
      <c r="DM51" s="736" t="str">
        <f t="shared" ca="1" si="34"/>
        <v>1.1</v>
      </c>
      <c r="DN51" s="742" cm="1">
        <f t="array" aca="1" ref="DN51" ca="1">OFFSET(Horarios!$P$3,DJ51-1,0,DL51,1)</f>
        <v>1</v>
      </c>
      <c r="DO51" s="742"/>
      <c r="DP51" s="742" t="s">
        <v>683</v>
      </c>
      <c r="DQ51" s="742" t="str">
        <f t="shared" ca="1" si="35"/>
        <v>Croacia</v>
      </c>
      <c r="DR51" s="742"/>
      <c r="DS51" s="742"/>
      <c r="DT51" s="742" t="str">
        <f t="shared" si="15"/>
        <v>Casa-Fuera</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Pendiente</v>
      </c>
      <c r="E52" s="742" t="str">
        <f t="shared" ref="E52:E57" si="156">IF(D52="Pendiente","-",INDEX($BT$6:$BT$53,MATCH($AA52,$BD$6:$BD$53,0)))</f>
        <v>-</v>
      </c>
      <c r="F52" s="742" t="str">
        <f t="shared" ref="F52:F57" si="157">IF(D52="Pendiente","-",INDEX($BT$6:$BT$53,MATCH($AF52,$BD$6:$BD$53,0)))</f>
        <v>-</v>
      </c>
      <c r="G52" s="742"/>
      <c r="H52" s="742" t="str">
        <f t="shared" ref="H52:H57" si="158">IF(D52="Pendiente","-",INDEX($BZ$6:$BZ$53,MATCH($AA52,$BD$6:$BD$53,0)))</f>
        <v>-</v>
      </c>
      <c r="I52" s="742" t="str">
        <f t="shared" ref="I52:I57" si="159">IF(D52="Pendiente","-",INDEX($BZ$6:$BZ$53,MATCH($AF52,$BD$6:$BD$53,0)))</f>
        <v>-</v>
      </c>
      <c r="J52" s="742"/>
      <c r="K52" s="742" t="str">
        <f t="shared" ref="K52:K57" si="160">IF(D52="Pendiente","-",INDEX($CE$6:$CE$53,MATCH($AA52,$BD$6:$BD$53,0)))</f>
        <v>-</v>
      </c>
      <c r="L52" s="742" t="str">
        <f t="shared" ref="L52:L57" si="161">IF(D52="Pendiente","-",INDEX($CE$6:$CE$53,MATCH($AF52,$BD$6:$BD$53,0)))</f>
        <v>-</v>
      </c>
      <c r="M52" s="742"/>
      <c r="N52" s="742" t="str">
        <f t="shared" ref="N52:N57" si="162">IF(D52="Pendiente","-",INDEX($CH$6:$CH$53,MATCH($AA52,$BD$6:$BD$53,0)))</f>
        <v>-</v>
      </c>
      <c r="O52" s="742" t="str">
        <f t="shared" ref="O52:O57" si="163">IF(D52="Pendiente","-",INDEX($CH$6:$CH$53,MATCH($AF52,$BD$6:$BD$53,0)))</f>
        <v>-</v>
      </c>
      <c r="P52" s="742"/>
      <c r="Q52" s="742" t="str">
        <f t="shared" ref="Q52:Q57" si="164">IF(D52="Pendiente","-",INDEX($CN$6:$CN$53,MATCH($AA52,$BD$6:$BD$53,0)))</f>
        <v>-</v>
      </c>
      <c r="R52" s="742" t="str">
        <f t="shared" ref="R52:R57" si="165">IF(D52="Pendiente","-",INDEX($CN$6:$CN$53,MATCH($AF52,$BD$6:$BD$53,0)))</f>
        <v>-</v>
      </c>
      <c r="S52" s="742"/>
      <c r="T52" s="742" t="str">
        <f t="shared" ref="T52:T57" si="166">IF(D52="Pendiente","-",INDEX($CS$6:$CS$53,MATCH($AA52,$BD$6:$BD$53,0)))</f>
        <v>-</v>
      </c>
      <c r="U52" s="742" t="str">
        <f t="shared" ref="U52:U57" si="167">IF(D52="Pendiente","-",INDEX($CS$6:$CS$53,MATCH($AF52,$BD$6:$BD$53,0)))</f>
        <v>-</v>
      </c>
      <c r="V52" s="172"/>
      <c r="W52" s="824" t="s">
        <v>6</v>
      </c>
      <c r="X52" s="189">
        <f ca="1">Horarios!C52</f>
        <v>46188.625</v>
      </c>
      <c r="Y52" s="190">
        <f ca="1">Horarios!C52</f>
        <v>46188.625</v>
      </c>
      <c r="Z52" s="191" t="str">
        <f>$Z$4</f>
        <v>J1</v>
      </c>
      <c r="AA52" s="192" t="str">
        <f ca="1">A53</f>
        <v>Bélgica</v>
      </c>
      <c r="AB52" s="478" t="str" cm="1">
        <f t="array" aca="1" ref="AB52" ca="1">Ver_flag_local</f>
        <v/>
      </c>
      <c r="AC52" s="193"/>
      <c r="AD52" s="194"/>
      <c r="AE52" s="483" t="str" cm="1">
        <f t="array" aca="1" ref="AE52" ca="1">Ver_flag_visit</f>
        <v/>
      </c>
      <c r="AF52" s="195" t="str">
        <f ca="1">A54</f>
        <v>Egipto</v>
      </c>
      <c r="AG52" s="413">
        <f t="shared" ref="AG52:AG57" si="168">IF(NOT(OR(ISBLANK(AC52),ISBLANK(AD52))),1,0)</f>
        <v>0</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0</v>
      </c>
      <c r="BF52" s="746">
        <f t="shared" ca="1" si="26"/>
        <v>0</v>
      </c>
      <c r="BG52" s="746">
        <f t="shared" ca="1" si="17"/>
        <v>0</v>
      </c>
      <c r="BH52" s="746">
        <f t="shared" ca="1" si="18"/>
        <v>0</v>
      </c>
      <c r="BI52" s="746">
        <f t="shared" ca="1" si="19"/>
        <v>0</v>
      </c>
      <c r="BJ52" s="746">
        <f t="shared" ca="1" si="20"/>
        <v>0</v>
      </c>
      <c r="BK52" s="746">
        <f t="shared" ca="1" si="21"/>
        <v>0</v>
      </c>
      <c r="BL52" s="746">
        <f t="shared" ca="1" si="27"/>
        <v>0</v>
      </c>
      <c r="BM52" s="746" t="str">
        <f t="shared" ca="1" si="22"/>
        <v>3L</v>
      </c>
      <c r="BN52" s="746" t="str">
        <f t="shared" ca="1" si="23"/>
        <v>3L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0</v>
      </c>
      <c r="BS52" s="755">
        <f ca="1">BP52+COUNTIFS($BQ$6:$BQ$53,BQ52,$BR$6:BR$53,"&gt;"&amp;BR52,$BC$6:$BC$53,INDEX(T_Equipos[Grupo],MATCH(BD52,T_Equipos[NombreEquipo],0)))</f>
        <v>1</v>
      </c>
      <c r="BT52" s="755" t="str">
        <f ca="1">IF(COUNTIFS($BS$6:$BS$53,BS52,$BC$6:$BC$53,INDEX(T_Equipos[Grupo],MATCH(BD52,T_Equipos[NombreEquipo],0)))=1,"-","P."&amp;BS52&amp;" ("&amp;COUNTIFS($BS$6:$BS$53,BS52,$BC$6:$BC$53,INDEX(T_Equipos[Grupo],MATCH(BD52,T_Equipos[NombreEquipo],0)))&amp;")")</f>
        <v>P.1 (4)</v>
      </c>
      <c r="BU52" s="756">
        <f t="shared" ca="1" si="36"/>
        <v>0</v>
      </c>
      <c r="BV52" s="756">
        <f t="shared" ca="1" si="37"/>
        <v>0</v>
      </c>
      <c r="BW52" s="756">
        <f t="shared" ca="1" si="38"/>
        <v>0</v>
      </c>
      <c r="BX52" s="756">
        <f t="shared" ca="1" si="39"/>
        <v>0</v>
      </c>
      <c r="BY52" s="756">
        <f ca="1">BS52+COUNTIFS($BT$6:$BT$53,BT52,$BX$6:BX$53,"&gt;"&amp;BX52,$BC$6:$BC$53,INDEX(T_Equipos[Grupo],MATCH(BD52,T_Equipos[NombreEquipo],0)))</f>
        <v>1</v>
      </c>
      <c r="BZ52" s="755" t="str">
        <f ca="1">IF(COUNTIFS($BY$6:$BY$53,BY52,$BC$6:$BC$53,INDEX(T_Equipos[Grupo],MATCH(BD52,T_Equipos[NombreEquipo],0)))=1,"-","P."&amp;BY52&amp;" ("&amp;COUNTIFS($BY$6:$BY$53,BY52,$BC$6:$BC$53,INDEX(T_Equipos[Grupo],MATCH(BD52,T_Equipos[NombreEquipo],0)))&amp;")")</f>
        <v>P.1 (4)</v>
      </c>
      <c r="CA52" s="756">
        <f t="shared" ca="1" si="40"/>
        <v>0</v>
      </c>
      <c r="CB52" s="756">
        <f t="shared" ca="1" si="41"/>
        <v>0</v>
      </c>
      <c r="CC52" s="756">
        <f t="shared" ca="1" si="42"/>
        <v>0</v>
      </c>
      <c r="CD52" s="756">
        <f ca="1">BY52+COUNTIFS($BZ$6:$BZ$53,BZ52,$CC$6:CC$53,"&gt;"&amp;CC52,$BC$6:$BC$53,INDEX(T_Equipos[Grupo],MATCH(BD52,T_Equipos[NombreEquipo],0)))</f>
        <v>1</v>
      </c>
      <c r="CE52" s="755" t="str">
        <f ca="1">IF(COUNTIFS($CD$6:$CD$53,CD52,$BC$6:$BC$53,INDEX(T_Equipos[Grupo],MATCH(BD52,T_Equipos[NombreEquipo],0)))=1,"-","P."&amp;CD52&amp;" ("&amp;COUNTIFS($CD$6:$CD$53,CD52,$BC$6:$BC$53,INDEX(T_Equipos[Grupo],MATCH(BD52,T_Equipos[NombreEquipo],0)))&amp;")")</f>
        <v>P.1 (4)</v>
      </c>
      <c r="CF52" s="756">
        <f t="shared" ca="1" si="43"/>
        <v>0</v>
      </c>
      <c r="CG52" s="756">
        <f ca="1">CD52+COUNTIFS($CE$6:$CE$53,CE52,$CF$6:CF$53,"&gt;"&amp;CF52,$BC$6:$BC$53,INDEX(T_Equipos[Grupo],MATCH(BD52,T_Equipos[NombreEquipo],0)))</f>
        <v>1</v>
      </c>
      <c r="CH52" s="755" t="str">
        <f ca="1">IF(COUNTIFS($CG$6:$CG$53,CG52,$BC$6:$BC$53,INDEX(T_Equipos[Grupo],MATCH(BD52,T_Equipos[NombreEquipo],0)))=1,"-","P."&amp;CG52&amp;" ("&amp;COUNTIFS($CG$6:$CG$53,CG52,$BC$6:$BC$53,INDEX(T_Equipos[Grupo],MATCH(BD52,T_Equipos[NombreEquipo],0)))&amp;")")</f>
        <v>P.1 (4)</v>
      </c>
      <c r="CI52" s="756">
        <f t="shared" ca="1" si="44"/>
        <v>0</v>
      </c>
      <c r="CJ52" s="756">
        <f t="shared" ca="1" si="45"/>
        <v>0</v>
      </c>
      <c r="CK52" s="756">
        <f t="shared" ca="1" si="46"/>
        <v>0</v>
      </c>
      <c r="CL52" s="756">
        <f t="shared" ca="1" si="47"/>
        <v>0</v>
      </c>
      <c r="CM52" s="756">
        <f ca="1">CG52+COUNTIFS($CH$6:$CH$53,CH52,$CL$6:CL$53,"&gt;"&amp;CL52,$BC$6:$BC$53,INDEX(T_Equipos[Grupo],MATCH(BD52,T_Equipos[NombreEquipo],0)))</f>
        <v>1</v>
      </c>
      <c r="CN52" s="755" t="str">
        <f ca="1">IF(COUNTIFS($CM$6:$CM$53,CM52,$BC$6:$BC$53,INDEX(T_Equipos[Grupo],MATCH(BD52,T_Equipos[NombreEquipo],0)))=1,"-","P."&amp;CM52&amp;" ("&amp;COUNTIFS($CM$6:$CM$53,CM52,$BC$6:$BC$53,INDEX(T_Equipos[Grupo],MATCH(BD52,T_Equipos[NombreEquipo],0)))&amp;")")</f>
        <v>P.1 (4)</v>
      </c>
      <c r="CO52" s="756">
        <f t="shared" ca="1" si="48"/>
        <v>0</v>
      </c>
      <c r="CP52" s="756">
        <f t="shared" ca="1" si="49"/>
        <v>0</v>
      </c>
      <c r="CQ52" s="756">
        <f t="shared" ca="1" si="50"/>
        <v>0</v>
      </c>
      <c r="CR52" s="756">
        <f ca="1">CM52+COUNTIFS($CN$6:$CN$53,CN52,$CQ$6:CQ$53,"&gt;"&amp;CQ52,$BC$6:$BC$53,INDEX(T_Equipos[Grupo],MATCH(BD52,T_Equipos[NombreEquipo],0)))</f>
        <v>1</v>
      </c>
      <c r="CS52" s="755" t="str">
        <f ca="1">IF(COUNTIFS($CR$6:$CR$53,CR52,$BC$6:$BC$53,INDEX(T_Equipos[Grupo],MATCH(BD52,T_Equipos[NombreEquipo],0)))=1,"-","P."&amp;CR52&amp;" ("&amp;COUNTIFS($CR$6:$CR$53,CR52,$BC$6:$BC$53,INDEX(T_Equipos[Grupo],MATCH(BD52,T_Equipos[NombreEquipo],0)))&amp;")")</f>
        <v>P.1 (4)</v>
      </c>
      <c r="CT52" s="756">
        <f t="shared" ca="1" si="51"/>
        <v>0</v>
      </c>
      <c r="CU52" s="756">
        <f ca="1">CR52+COUNTIFS($CS$6:$CS$53,CS52,$CT$6:CT$53,"&gt;"&amp;CT52,$BC$6:$BC$53,INDEX(T_Equipos[Grupo],MATCH(BD52,T_Equipos[NombreEquipo],0)))</f>
        <v>1</v>
      </c>
      <c r="CV52" s="755" t="str">
        <f ca="1">IF(COUNTIFS($CU$6:$CU$53,CU52,$BC$6:$BC$53,INDEX(T_Equipos[Grupo],MATCH(BD52,T_Equipos[NombreEquipo],0)))=1,"-","P."&amp;CU52&amp;" ("&amp;COUNTIFS($CU$6:$CU$53,CU52,$BC$6:$BC$53,INDEX(T_Equipos[Grupo],MATCH(BD52,T_Equipos[NombreEquipo],0)))&amp;")")</f>
        <v>P.1 (4)</v>
      </c>
      <c r="CW52" s="755">
        <f t="shared" ca="1" si="30"/>
        <v>0</v>
      </c>
      <c r="CX52" s="755">
        <f ca="1">CU52+COUNTIFS($CV$6:$CV$53,CV52,$CW$6:CW$53,"&gt;"&amp;CW52,$BC$6:$BC$53,INDEX(T_Equipos[Grupo],MATCH(BD52,T_Equipos[NombreEquipo],0)))</f>
        <v>1</v>
      </c>
      <c r="CY52" s="755" t="str">
        <f ca="1">IF(COUNTIFS($CX$6:$CX$53,CX52,$BC$6:$BC$53,INDEX(T_Equipos[Grupo],MATCH(BD52,T_Equipos[NombreEquipo],0)))=1,"-","P."&amp;CX52&amp;" ("&amp;COUNTIFS($CX$6:$CX$53,CX52,$BC$6:$BC$53,INDEX(T_Equipos[Grupo],MATCH(BD52,T_Equipos[NombreEquipo],0)))&amp;")")</f>
        <v>P.1 (4)</v>
      </c>
      <c r="CZ52" s="755">
        <f t="shared" ca="1" si="31"/>
        <v>0</v>
      </c>
      <c r="DA52" s="756">
        <f ca="1">CX52+COUNTIFS($CY$6:$CY$53,CY52,$CZ$6:CZ$53,"&gt;"&amp;CZ52,$BC$6:$BC$53,INDEX(T_Equipos[Grupo],MATCH(BD52,T_Equipos[NombreEquipo],0)))</f>
        <v>1</v>
      </c>
      <c r="DB52" s="755" t="str">
        <f ca="1">IF(COUNTIFS($DA$6:$DA$53,DA52,$BC$6:$BC$53,INDEX(T_Equipos[Grupo],MATCH(BD52,T_Equipos[NombreEquipo],0)))=1,"-","P."&amp;DA52&amp;" ("&amp;COUNTIFS($DA$6:$DA$53,DA52,$BC$6:$BC$53,INDEX(T_Equipos[Grupo],MATCH(BD52,T_Equipos[NombreEquipo],0)))&amp;")")</f>
        <v>P.1 (4)</v>
      </c>
      <c r="DC52" s="754">
        <f ca="1">IF(DB52="-","-",COUNTIFS(T_Equipos[Rank],"&lt;"&amp;INDEX(T_Equipos[Rank],MATCH(BD52,T_Equipos[NombreEquipo],0)),$BC$6:$BC$53,INDEX(T_Equipos[Grupo],MATCH(BD52,T_Equipos[NombreEquipo],0)))+1)</f>
        <v>3</v>
      </c>
      <c r="DD52" s="754">
        <f ca="1">DA52+COUNTIFS($DB$6:$DB$53,DB52,$DC$6:DC$53,"&lt;"&amp;DC52,$BC$6:$BC$53,INDEX(T_Equipos[Grupo],MATCH(BD52,T_Equipos[NombreEquipo],0)))</f>
        <v>3</v>
      </c>
      <c r="DE52" s="754"/>
      <c r="DF52" s="754">
        <f t="shared" ca="1" si="52"/>
        <v>3</v>
      </c>
      <c r="DG52" s="754">
        <f ca="1">IF(DB52="-","-",COUNTIFS(DF$6:DF$53,"&lt;"&amp;DF52,$BC$6:$BC$53,INDEX(T_Equipos[Grupo],MATCH(BD52,T_Equipos[NombreEquipo],0))))</f>
        <v>2</v>
      </c>
      <c r="DH52" s="754">
        <f ca="1">DA52+COUNTIFS(DB$6:DB$53,DB52,DG$6:DG$53,"&lt;"&amp;DG52,$BC$6:$BC$53,INDEX(T_Equipos[Grupo],MATCH(BD52,T_Equipos[NombreEquipo],0)))</f>
        <v>3</v>
      </c>
      <c r="DI52" s="742"/>
      <c r="DJ52" s="742">
        <f t="shared" ca="1" si="53"/>
        <v>1</v>
      </c>
      <c r="DK52" s="742">
        <f t="shared" ca="1" si="24"/>
        <v>0</v>
      </c>
      <c r="DL52" s="742">
        <f t="shared" ca="1" si="33"/>
        <v>1</v>
      </c>
      <c r="DM52" s="736" t="str">
        <f t="shared" ca="1" si="34"/>
        <v>1.1</v>
      </c>
      <c r="DN52" s="742" cm="1">
        <f t="array" aca="1" ref="DN52" ca="1">OFFSET(Horarios!$P$3,DJ52-1,0,DL52,1)</f>
        <v>1</v>
      </c>
      <c r="DO52" s="742"/>
      <c r="DP52" s="742" t="s">
        <v>443</v>
      </c>
      <c r="DQ52" s="742" t="str">
        <f t="shared" ca="1" si="35"/>
        <v>Ghana</v>
      </c>
      <c r="DR52" s="742"/>
      <c r="DS52" s="742"/>
      <c r="DT52" s="742" t="str">
        <f t="shared" ca="1" si="15"/>
        <v>Bélgica-Egipto</v>
      </c>
      <c r="DU52" s="742"/>
      <c r="DV52" s="742"/>
      <c r="DW52" s="8"/>
    </row>
    <row r="53" spans="1:127">
      <c r="A53" s="743" t="str">
        <f ca="1">+Equipos!B26</f>
        <v>Bélgica</v>
      </c>
      <c r="B53" s="740"/>
      <c r="C53" s="740"/>
      <c r="D53" s="742" t="str">
        <f t="shared" si="155"/>
        <v>Pendiente</v>
      </c>
      <c r="E53" s="742" t="str">
        <f t="shared" si="156"/>
        <v>-</v>
      </c>
      <c r="F53" s="742" t="str">
        <f t="shared" si="157"/>
        <v>-</v>
      </c>
      <c r="G53" s="742"/>
      <c r="H53" s="742" t="str">
        <f t="shared" si="158"/>
        <v>-</v>
      </c>
      <c r="I53" s="742" t="str">
        <f t="shared" si="159"/>
        <v>-</v>
      </c>
      <c r="J53" s="742"/>
      <c r="K53" s="742" t="str">
        <f t="shared" si="160"/>
        <v>-</v>
      </c>
      <c r="L53" s="742" t="str">
        <f t="shared" si="161"/>
        <v>-</v>
      </c>
      <c r="M53" s="742"/>
      <c r="N53" s="742" t="str">
        <f t="shared" si="162"/>
        <v>-</v>
      </c>
      <c r="O53" s="742" t="str">
        <f t="shared" si="163"/>
        <v>-</v>
      </c>
      <c r="P53" s="742"/>
      <c r="Q53" s="742" t="str">
        <f t="shared" si="164"/>
        <v>-</v>
      </c>
      <c r="R53" s="742" t="str">
        <f t="shared" si="165"/>
        <v>-</v>
      </c>
      <c r="S53" s="742"/>
      <c r="T53" s="742" t="str">
        <f t="shared" si="166"/>
        <v>-</v>
      </c>
      <c r="U53" s="742" t="str">
        <f t="shared" si="167"/>
        <v>-</v>
      </c>
      <c r="V53" s="172"/>
      <c r="W53" s="824"/>
      <c r="X53" s="189">
        <f ca="1">Horarios!C53</f>
        <v>46188.875</v>
      </c>
      <c r="Y53" s="190">
        <f ca="1">Horarios!C53</f>
        <v>46188.875</v>
      </c>
      <c r="Z53" s="191" t="str">
        <f>$Z$4</f>
        <v>J1</v>
      </c>
      <c r="AA53" s="192" t="str">
        <f ca="1">A55</f>
        <v>Irán</v>
      </c>
      <c r="AB53" s="478" t="str" cm="1">
        <f t="array" aca="1" ref="AB53" ca="1">Ver_flag_local</f>
        <v/>
      </c>
      <c r="AC53" s="193"/>
      <c r="AD53" s="194"/>
      <c r="AE53" s="483" t="str" cm="1">
        <f t="array" aca="1" ref="AE53" ca="1">Ver_flag_visit</f>
        <v/>
      </c>
      <c r="AF53" s="195" t="str">
        <f ca="1">A56</f>
        <v>Nueva Zelanda</v>
      </c>
      <c r="AG53" s="413">
        <f t="shared" si="168"/>
        <v>0</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2"/>
      <c r="BC53" s="754" t="str">
        <f ca="1">+INDEX(T_Equipos[Grupo],MATCH(WORLDCUP!BD53,T_Equipos[NombreEquipo],0))</f>
        <v>L</v>
      </c>
      <c r="BD53" s="742" t="str">
        <f ca="1">+Equipos!B49</f>
        <v>Panamá</v>
      </c>
      <c r="BE53" s="746">
        <f t="shared" ca="1" si="25"/>
        <v>0</v>
      </c>
      <c r="BF53" s="746">
        <f t="shared" ca="1" si="26"/>
        <v>0</v>
      </c>
      <c r="BG53" s="746">
        <f t="shared" ca="1" si="17"/>
        <v>0</v>
      </c>
      <c r="BH53" s="746">
        <f t="shared" ca="1" si="18"/>
        <v>0</v>
      </c>
      <c r="BI53" s="746">
        <f t="shared" ca="1" si="19"/>
        <v>0</v>
      </c>
      <c r="BJ53" s="746">
        <f t="shared" ca="1" si="20"/>
        <v>0</v>
      </c>
      <c r="BK53" s="746">
        <f t="shared" ca="1" si="21"/>
        <v>0</v>
      </c>
      <c r="BL53" s="746">
        <f t="shared" ca="1" si="27"/>
        <v>0</v>
      </c>
      <c r="BM53" s="746" t="str">
        <f t="shared" ca="1" si="22"/>
        <v>4L</v>
      </c>
      <c r="BN53" s="746" t="str">
        <f t="shared" ca="1" si="23"/>
        <v>4L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1</v>
      </c>
      <c r="BT53" s="755" t="str">
        <f ca="1">IF(COUNTIFS($BS$6:$BS$53,BS53,$BC$6:$BC$53,INDEX(T_Equipos[Grupo],MATCH(BD53,T_Equipos[NombreEquipo],0)))=1,"-","P."&amp;BS53&amp;" ("&amp;COUNTIFS($BS$6:$BS$53,BS53,$BC$6:$BC$53,INDEX(T_Equipos[Grupo],MATCH(BD53,T_Equipos[NombreEquipo],0)))&amp;")")</f>
        <v>P.1 (4)</v>
      </c>
      <c r="BU53" s="756">
        <f t="shared" ca="1" si="36"/>
        <v>0</v>
      </c>
      <c r="BV53" s="756">
        <f t="shared" ca="1" si="37"/>
        <v>0</v>
      </c>
      <c r="BW53" s="756">
        <f t="shared" ca="1" si="38"/>
        <v>0</v>
      </c>
      <c r="BX53" s="756">
        <f t="shared" ca="1" si="39"/>
        <v>0</v>
      </c>
      <c r="BY53" s="756">
        <f ca="1">BS53+COUNTIFS($BT$6:$BT$53,BT53,$BX$6:BX$53,"&gt;"&amp;BX53,$BC$6:$BC$53,INDEX(T_Equipos[Grupo],MATCH(BD53,T_Equipos[NombreEquipo],0)))</f>
        <v>1</v>
      </c>
      <c r="BZ53" s="755" t="str">
        <f ca="1">IF(COUNTIFS($BY$6:$BY$53,BY53,$BC$6:$BC$53,INDEX(T_Equipos[Grupo],MATCH(BD53,T_Equipos[NombreEquipo],0)))=1,"-","P."&amp;BY53&amp;" ("&amp;COUNTIFS($BY$6:$BY$53,BY53,$BC$6:$BC$53,INDEX(T_Equipos[Grupo],MATCH(BD53,T_Equipos[NombreEquipo],0)))&amp;")")</f>
        <v>P.1 (4)</v>
      </c>
      <c r="CA53" s="756">
        <f t="shared" ca="1" si="40"/>
        <v>0</v>
      </c>
      <c r="CB53" s="756">
        <f t="shared" ca="1" si="41"/>
        <v>0</v>
      </c>
      <c r="CC53" s="756">
        <f t="shared" ca="1" si="42"/>
        <v>0</v>
      </c>
      <c r="CD53" s="756">
        <f ca="1">BY53+COUNTIFS($BZ$6:$BZ$53,BZ53,$CC$6:CC$53,"&gt;"&amp;CC53,$BC$6:$BC$53,INDEX(T_Equipos[Grupo],MATCH(BD53,T_Equipos[NombreEquipo],0)))</f>
        <v>1</v>
      </c>
      <c r="CE53" s="755" t="str">
        <f ca="1">IF(COUNTIFS($CD$6:$CD$53,CD53,$BC$6:$BC$53,INDEX(T_Equipos[Grupo],MATCH(BD53,T_Equipos[NombreEquipo],0)))=1,"-","P."&amp;CD53&amp;" ("&amp;COUNTIFS($CD$6:$CD$53,CD53,$BC$6:$BC$53,INDEX(T_Equipos[Grupo],MATCH(BD53,T_Equipos[NombreEquipo],0)))&amp;")")</f>
        <v>P.1 (4)</v>
      </c>
      <c r="CF53" s="756">
        <f t="shared" ca="1" si="43"/>
        <v>0</v>
      </c>
      <c r="CG53" s="756">
        <f ca="1">CD53+COUNTIFS($CE$6:$CE$53,CE53,$CF$6:CF$53,"&gt;"&amp;CF53,$BC$6:$BC$53,INDEX(T_Equipos[Grupo],MATCH(BD53,T_Equipos[NombreEquipo],0)))</f>
        <v>1</v>
      </c>
      <c r="CH53" s="755" t="str">
        <f ca="1">IF(COUNTIFS($CG$6:$CG$53,CG53,$BC$6:$BC$53,INDEX(T_Equipos[Grupo],MATCH(BD53,T_Equipos[NombreEquipo],0)))=1,"-","P."&amp;CG53&amp;" ("&amp;COUNTIFS($CG$6:$CG$53,CG53,$BC$6:$BC$53,INDEX(T_Equipos[Grupo],MATCH(BD53,T_Equipos[NombreEquipo],0)))&amp;")")</f>
        <v>P.1 (4)</v>
      </c>
      <c r="CI53" s="756">
        <f t="shared" ca="1" si="44"/>
        <v>0</v>
      </c>
      <c r="CJ53" s="756">
        <f t="shared" ca="1" si="45"/>
        <v>0</v>
      </c>
      <c r="CK53" s="756">
        <f t="shared" ca="1" si="46"/>
        <v>0</v>
      </c>
      <c r="CL53" s="756">
        <f t="shared" ca="1" si="47"/>
        <v>0</v>
      </c>
      <c r="CM53" s="756">
        <f ca="1">CG53+COUNTIFS($CH$6:$CH$53,CH53,$CL$6:CL$53,"&gt;"&amp;CL53,$BC$6:$BC$53,INDEX(T_Equipos[Grupo],MATCH(BD53,T_Equipos[NombreEquipo],0)))</f>
        <v>1</v>
      </c>
      <c r="CN53" s="755" t="str">
        <f ca="1">IF(COUNTIFS($CM$6:$CM$53,CM53,$BC$6:$BC$53,INDEX(T_Equipos[Grupo],MATCH(BD53,T_Equipos[NombreEquipo],0)))=1,"-","P."&amp;CM53&amp;" ("&amp;COUNTIFS($CM$6:$CM$53,CM53,$BC$6:$BC$53,INDEX(T_Equipos[Grupo],MATCH(BD53,T_Equipos[NombreEquipo],0)))&amp;")")</f>
        <v>P.1 (4)</v>
      </c>
      <c r="CO53" s="756">
        <f t="shared" ca="1" si="48"/>
        <v>0</v>
      </c>
      <c r="CP53" s="756">
        <f t="shared" ca="1" si="49"/>
        <v>0</v>
      </c>
      <c r="CQ53" s="756">
        <f t="shared" ca="1" si="50"/>
        <v>0</v>
      </c>
      <c r="CR53" s="756">
        <f ca="1">CM53+COUNTIFS($CN$6:$CN$53,CN53,$CQ$6:CQ$53,"&gt;"&amp;CQ53,$BC$6:$BC$53,INDEX(T_Equipos[Grupo],MATCH(BD53,T_Equipos[NombreEquipo],0)))</f>
        <v>1</v>
      </c>
      <c r="CS53" s="755" t="str">
        <f ca="1">IF(COUNTIFS($CR$6:$CR$53,CR53,$BC$6:$BC$53,INDEX(T_Equipos[Grupo],MATCH(BD53,T_Equipos[NombreEquipo],0)))=1,"-","P."&amp;CR53&amp;" ("&amp;COUNTIFS($CR$6:$CR$53,CR53,$BC$6:$BC$53,INDEX(T_Equipos[Grupo],MATCH(BD53,T_Equipos[NombreEquipo],0)))&amp;")")</f>
        <v>P.1 (4)</v>
      </c>
      <c r="CT53" s="756">
        <f t="shared" ca="1" si="51"/>
        <v>0</v>
      </c>
      <c r="CU53" s="756">
        <f ca="1">CR53+COUNTIFS($CS$6:$CS$53,CS53,$CT$6:CT$53,"&gt;"&amp;CT53,$BC$6:$BC$53,INDEX(T_Equipos[Grupo],MATCH(BD53,T_Equipos[NombreEquipo],0)))</f>
        <v>1</v>
      </c>
      <c r="CV53" s="755" t="str">
        <f ca="1">IF(COUNTIFS($CU$6:$CU$53,CU53,$BC$6:$BC$53,INDEX(T_Equipos[Grupo],MATCH(BD53,T_Equipos[NombreEquipo],0)))=1,"-","P."&amp;CU53&amp;" ("&amp;COUNTIFS($CU$6:$CU$53,CU53,$BC$6:$BC$53,INDEX(T_Equipos[Grupo],MATCH(BD53,T_Equipos[NombreEquipo],0)))&amp;")")</f>
        <v>P.1 (4)</v>
      </c>
      <c r="CW53" s="755">
        <f t="shared" ca="1" si="30"/>
        <v>0</v>
      </c>
      <c r="CX53" s="755">
        <f ca="1">CU53+COUNTIFS($CV$6:$CV$53,CV53,$CW$6:CW$53,"&gt;"&amp;CW53,$BC$6:$BC$53,INDEX(T_Equipos[Grupo],MATCH(BD53,T_Equipos[NombreEquipo],0)))</f>
        <v>1</v>
      </c>
      <c r="CY53" s="755" t="str">
        <f ca="1">IF(COUNTIFS($CX$6:$CX$53,CX53,$BC$6:$BC$53,INDEX(T_Equipos[Grupo],MATCH(BD53,T_Equipos[NombreEquipo],0)))=1,"-","P."&amp;CX53&amp;" ("&amp;COUNTIFS($CX$6:$CX$53,CX53,$BC$6:$BC$53,INDEX(T_Equipos[Grupo],MATCH(BD53,T_Equipos[NombreEquipo],0)))&amp;")")</f>
        <v>P.1 (4)</v>
      </c>
      <c r="CZ53" s="755">
        <f t="shared" ca="1" si="31"/>
        <v>0</v>
      </c>
      <c r="DA53" s="756">
        <f ca="1">CX53+COUNTIFS($CY$6:$CY$53,CY53,$CZ$6:CZ$53,"&gt;"&amp;CZ53,$BC$6:$BC$53,INDEX(T_Equipos[Grupo],MATCH(BD53,T_Equipos[NombreEquipo],0)))</f>
        <v>1</v>
      </c>
      <c r="DB53" s="755" t="str">
        <f ca="1">IF(COUNTIFS($DA$6:$DA$53,DA53,$BC$6:$BC$53,INDEX(T_Equipos[Grupo],MATCH(BD53,T_Equipos[NombreEquipo],0)))=1,"-","P."&amp;DA53&amp;" ("&amp;COUNTIFS($DA$6:$DA$53,DA53,$BC$6:$BC$53,INDEX(T_Equipos[Grupo],MATCH(BD53,T_Equipos[NombreEquipo],0)))&amp;")")</f>
        <v>P.1 (4)</v>
      </c>
      <c r="DC53" s="754">
        <f ca="1">IF(DB53="-","-",COUNTIFS(T_Equipos[Rank],"&lt;"&amp;INDEX(T_Equipos[Rank],MATCH(BD53,T_Equipos[NombreEquipo],0)),$BC$6:$BC$53,INDEX(T_Equipos[Grupo],MATCH(BD53,T_Equipos[NombreEquipo],0)))+1)</f>
        <v>4</v>
      </c>
      <c r="DD53" s="754">
        <f ca="1">DA53+COUNTIFS($DB$6:$DB$53,DB53,$DC$6:DC$53,"&lt;"&amp;DC53,$BC$6:$BC$53,INDEX(T_Equipos[Grupo],MATCH(BD53,T_Equipos[NombreEquipo],0)))</f>
        <v>4</v>
      </c>
      <c r="DE53" s="754"/>
      <c r="DF53" s="754">
        <f t="shared" ca="1" si="52"/>
        <v>4</v>
      </c>
      <c r="DG53" s="754">
        <f ca="1">IF(DB53="-","-",COUNTIFS(DF$6:DF$53,"&lt;"&amp;DF53,$BC$6:$BC$53,INDEX(T_Equipos[Grupo],MATCH(BD53,T_Equipos[NombreEquipo],0))))</f>
        <v>3</v>
      </c>
      <c r="DH53" s="754">
        <f ca="1">DA53+COUNTIFS(DB$6:DB$53,DB53,DG$6:DG$53,"&lt;"&amp;DG53,$BC$6:$BC$53,INDEX(T_Equipos[Grupo],MATCH(BD53,T_Equipos[NombreEquipo],0)))</f>
        <v>4</v>
      </c>
      <c r="DI53" s="742"/>
      <c r="DJ53" s="742">
        <f t="shared" ca="1" si="53"/>
        <v>1</v>
      </c>
      <c r="DK53" s="742">
        <f t="shared" ca="1" si="24"/>
        <v>0</v>
      </c>
      <c r="DL53" s="742">
        <f t="shared" ca="1" si="33"/>
        <v>1</v>
      </c>
      <c r="DM53" s="736" t="str">
        <f t="shared" ca="1" si="34"/>
        <v>1.1</v>
      </c>
      <c r="DN53" s="742" cm="1">
        <f t="array" aca="1" ref="DN53" ca="1">OFFSET(Horarios!$P$3,DJ53-1,0,DL53,1)</f>
        <v>1</v>
      </c>
      <c r="DO53" s="742"/>
      <c r="DP53" s="742" t="s">
        <v>684</v>
      </c>
      <c r="DQ53" s="742" t="str">
        <f t="shared" ca="1" si="35"/>
        <v>Panamá</v>
      </c>
      <c r="DR53" s="742"/>
      <c r="DS53" s="742"/>
      <c r="DT53" s="742" t="str">
        <f t="shared" ca="1" si="15"/>
        <v>Irán-Nueva Zelanda</v>
      </c>
      <c r="DU53" s="742"/>
      <c r="DV53" s="742"/>
      <c r="DW53" s="8"/>
    </row>
    <row r="54" spans="1:127">
      <c r="A54" s="743" t="str">
        <f ca="1">+Equipos!B27</f>
        <v>Egipto</v>
      </c>
      <c r="B54" s="740"/>
      <c r="C54" s="744"/>
      <c r="D54" s="742" t="str">
        <f t="shared" si="155"/>
        <v>Pendiente</v>
      </c>
      <c r="E54" s="742" t="str">
        <f t="shared" si="156"/>
        <v>-</v>
      </c>
      <c r="F54" s="742" t="str">
        <f t="shared" si="157"/>
        <v>-</v>
      </c>
      <c r="G54" s="742"/>
      <c r="H54" s="742" t="str">
        <f t="shared" si="158"/>
        <v>-</v>
      </c>
      <c r="I54" s="742" t="str">
        <f t="shared" si="159"/>
        <v>-</v>
      </c>
      <c r="J54" s="742"/>
      <c r="K54" s="742" t="str">
        <f t="shared" si="160"/>
        <v>-</v>
      </c>
      <c r="L54" s="742" t="str">
        <f t="shared" si="161"/>
        <v>-</v>
      </c>
      <c r="M54" s="742"/>
      <c r="N54" s="742" t="str">
        <f t="shared" si="162"/>
        <v>-</v>
      </c>
      <c r="O54" s="742" t="str">
        <f t="shared" si="163"/>
        <v>-</v>
      </c>
      <c r="P54" s="742"/>
      <c r="Q54" s="742" t="str">
        <f t="shared" si="164"/>
        <v>-</v>
      </c>
      <c r="R54" s="742" t="str">
        <f t="shared" si="165"/>
        <v>-</v>
      </c>
      <c r="S54" s="742"/>
      <c r="T54" s="742" t="str">
        <f t="shared" si="166"/>
        <v>-</v>
      </c>
      <c r="U54" s="742" t="str">
        <f t="shared" si="167"/>
        <v>-</v>
      </c>
      <c r="V54" s="172"/>
      <c r="W54" s="824"/>
      <c r="X54" s="189">
        <f ca="1">Horarios!C54</f>
        <v>46194.625</v>
      </c>
      <c r="Y54" s="190">
        <f ca="1">Horarios!C54</f>
        <v>46194.625</v>
      </c>
      <c r="Z54" s="191" t="str">
        <f>$Z$6</f>
        <v>J2</v>
      </c>
      <c r="AA54" s="192" t="str">
        <f ca="1">A53</f>
        <v>Bélgica</v>
      </c>
      <c r="AB54" s="478" t="str" cm="1">
        <f t="array" aca="1" ref="AB54" ca="1">Ver_flag_local</f>
        <v/>
      </c>
      <c r="AC54" s="193"/>
      <c r="AD54" s="194"/>
      <c r="AE54" s="483" t="str" cm="1">
        <f t="array" aca="1" ref="AE54" ca="1">Ver_flag_visit</f>
        <v/>
      </c>
      <c r="AF54" s="195" t="str">
        <f ca="1">A55</f>
        <v>Irán</v>
      </c>
      <c r="AG54" s="413">
        <f t="shared" si="168"/>
        <v>0</v>
      </c>
      <c r="AH54" s="196">
        <v>39</v>
      </c>
      <c r="AI54" s="19" t="str">
        <f>AJ54&amp;$B$52</f>
        <v>1G</v>
      </c>
      <c r="AJ54" s="211">
        <v>1</v>
      </c>
      <c r="AK54" s="488" t="str" cm="1">
        <f t="array" aca="1" ref="AK54" ca="1">Ver_flag_visit</f>
        <v/>
      </c>
      <c r="AL54" s="212" t="str">
        <f ca="1">IFERROR(INDEX($BD$6:$BD$53,MATCH(AI54,$BN$6:$BN$53,0)),"")</f>
        <v>Bélgica</v>
      </c>
      <c r="AM54" s="213">
        <f t="shared" ref="AM54:AT57" ca="1" si="172">INDEX($BE$6:$BN$53,MATCH($AL54,$BD$6:$BD$53,0),MATCH(AM$5,$BE$5:$BN$5,0))</f>
        <v>0</v>
      </c>
      <c r="AN54" s="214">
        <f t="shared" ca="1" si="172"/>
        <v>0</v>
      </c>
      <c r="AO54" s="214">
        <f t="shared" ca="1" si="172"/>
        <v>0</v>
      </c>
      <c r="AP54" s="214">
        <f t="shared" ca="1" si="172"/>
        <v>0</v>
      </c>
      <c r="AQ54" s="214">
        <f t="shared" ca="1" si="172"/>
        <v>0</v>
      </c>
      <c r="AR54" s="214">
        <f t="shared" ca="1" si="172"/>
        <v>0</v>
      </c>
      <c r="AS54" s="214">
        <f t="shared" ca="1" si="172"/>
        <v>0</v>
      </c>
      <c r="AT54" s="215">
        <f t="shared" ca="1" si="172"/>
        <v>0</v>
      </c>
      <c r="AU54" s="420">
        <f ca="1">INDEX($DL$6:$DL$53,MATCH(AI54,$DP$6:$DP$53,0))</f>
        <v>1</v>
      </c>
      <c r="AV54" s="217" t="str">
        <f ca="1">INDEX($BD$6:$BD$53,MATCH(AI54,$BM$6:$BM$53,0))</f>
        <v>Bélgica</v>
      </c>
      <c r="AW54" s="427"/>
      <c r="AX54" s="218"/>
      <c r="AY54" s="219" t="str">
        <f ca="1">+A53</f>
        <v>Bélgica</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Bélgica-Irán</v>
      </c>
      <c r="DU54" s="742"/>
      <c r="DV54" s="742"/>
      <c r="DW54" s="8"/>
    </row>
    <row r="55" spans="1:127">
      <c r="A55" s="743" t="str">
        <f ca="1">+Equipos!B28</f>
        <v>Irán</v>
      </c>
      <c r="B55" s="740"/>
      <c r="C55" s="742"/>
      <c r="D55" s="742" t="str">
        <f t="shared" si="155"/>
        <v>Pendiente</v>
      </c>
      <c r="E55" s="742" t="str">
        <f t="shared" si="156"/>
        <v>-</v>
      </c>
      <c r="F55" s="742" t="str">
        <f t="shared" si="157"/>
        <v>-</v>
      </c>
      <c r="G55" s="742"/>
      <c r="H55" s="742" t="str">
        <f t="shared" si="158"/>
        <v>-</v>
      </c>
      <c r="I55" s="742" t="str">
        <f t="shared" si="159"/>
        <v>-</v>
      </c>
      <c r="J55" s="742"/>
      <c r="K55" s="742" t="str">
        <f t="shared" si="160"/>
        <v>-</v>
      </c>
      <c r="L55" s="742" t="str">
        <f t="shared" si="161"/>
        <v>-</v>
      </c>
      <c r="M55" s="742"/>
      <c r="N55" s="742" t="str">
        <f t="shared" si="162"/>
        <v>-</v>
      </c>
      <c r="O55" s="742" t="str">
        <f t="shared" si="163"/>
        <v>-</v>
      </c>
      <c r="P55" s="742"/>
      <c r="Q55" s="742" t="str">
        <f t="shared" si="164"/>
        <v>-</v>
      </c>
      <c r="R55" s="742" t="str">
        <f t="shared" si="165"/>
        <v>-</v>
      </c>
      <c r="S55" s="742"/>
      <c r="T55" s="742" t="str">
        <f t="shared" si="166"/>
        <v>-</v>
      </c>
      <c r="U55" s="742" t="str">
        <f t="shared" si="167"/>
        <v>-</v>
      </c>
      <c r="V55" s="172"/>
      <c r="W55" s="824"/>
      <c r="X55" s="189">
        <f ca="1">Horarios!C55</f>
        <v>46194.875</v>
      </c>
      <c r="Y55" s="190">
        <f ca="1">Horarios!C55</f>
        <v>46194.875</v>
      </c>
      <c r="Z55" s="191" t="str">
        <f>$Z$6</f>
        <v>J2</v>
      </c>
      <c r="AA55" s="192" t="str">
        <f ca="1">A56</f>
        <v>Nueva Zelanda</v>
      </c>
      <c r="AB55" s="478" t="str" cm="1">
        <f t="array" aca="1" ref="AB55" ca="1">Ver_flag_local</f>
        <v/>
      </c>
      <c r="AC55" s="193"/>
      <c r="AD55" s="194"/>
      <c r="AE55" s="483" t="str" cm="1">
        <f t="array" aca="1" ref="AE55" ca="1">Ver_flag_visit</f>
        <v/>
      </c>
      <c r="AF55" s="195" t="str">
        <f ca="1">A54</f>
        <v>Egipto</v>
      </c>
      <c r="AG55" s="413">
        <f t="shared" si="168"/>
        <v>0</v>
      </c>
      <c r="AH55" s="196">
        <v>40</v>
      </c>
      <c r="AI55" s="19" t="str">
        <f t="shared" ref="AI55:AI57" si="173">AJ55&amp;$B$52</f>
        <v>2G</v>
      </c>
      <c r="AJ55" s="221">
        <v>2</v>
      </c>
      <c r="AK55" s="486" t="str" cm="1">
        <f t="array" aca="1" ref="AK55" ca="1">Ver_flag_visit</f>
        <v/>
      </c>
      <c r="AL55" s="222" t="str">
        <f ca="1">IFERROR(INDEX($BD$6:$BD$53,MATCH(AI55,$BN$6:$BN$53,0)),"")</f>
        <v>Egipto</v>
      </c>
      <c r="AM55" s="223">
        <f t="shared" ca="1" si="172"/>
        <v>0</v>
      </c>
      <c r="AN55" s="224">
        <f t="shared" ca="1" si="172"/>
        <v>0</v>
      </c>
      <c r="AO55" s="224">
        <f t="shared" ca="1" si="172"/>
        <v>0</v>
      </c>
      <c r="AP55" s="224">
        <f t="shared" ca="1" si="172"/>
        <v>0</v>
      </c>
      <c r="AQ55" s="224">
        <f t="shared" ca="1" si="172"/>
        <v>0</v>
      </c>
      <c r="AR55" s="224">
        <f t="shared" ca="1" si="172"/>
        <v>0</v>
      </c>
      <c r="AS55" s="224">
        <f t="shared" ca="1" si="172"/>
        <v>0</v>
      </c>
      <c r="AT55" s="225">
        <f t="shared" ca="1" si="172"/>
        <v>0</v>
      </c>
      <c r="AU55" s="420">
        <f ca="1">INDEX($DL$6:$DL$53,MATCH(AI55,$DP$6:$DP$53,0))</f>
        <v>1</v>
      </c>
      <c r="AV55" s="217" t="str">
        <f ca="1">INDEX($BD$6:$BD$53,MATCH(AI55,$BM$6:$BM$53,0))</f>
        <v>Egipto</v>
      </c>
      <c r="AW55" s="427"/>
      <c r="AX55" s="218"/>
      <c r="AY55" s="226" t="str">
        <f ca="1">+A54</f>
        <v>Egipto</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Nueva Zelanda-Egipto</v>
      </c>
      <c r="DU55" s="742"/>
      <c r="DV55" s="742"/>
      <c r="DW55" s="8"/>
    </row>
    <row r="56" spans="1:127">
      <c r="A56" s="743" t="str">
        <f ca="1">+Equipos!B29</f>
        <v>Nueva Zelanda</v>
      </c>
      <c r="B56" s="740"/>
      <c r="C56" s="742"/>
      <c r="D56" s="742" t="str">
        <f t="shared" si="155"/>
        <v>Pendiente</v>
      </c>
      <c r="E56" s="742" t="str">
        <f t="shared" si="156"/>
        <v>-</v>
      </c>
      <c r="F56" s="742" t="str">
        <f t="shared" si="157"/>
        <v>-</v>
      </c>
      <c r="G56" s="742"/>
      <c r="H56" s="742" t="str">
        <f t="shared" si="158"/>
        <v>-</v>
      </c>
      <c r="I56" s="742" t="str">
        <f t="shared" si="159"/>
        <v>-</v>
      </c>
      <c r="J56" s="742"/>
      <c r="K56" s="742" t="str">
        <f t="shared" si="160"/>
        <v>-</v>
      </c>
      <c r="L56" s="742" t="str">
        <f t="shared" si="161"/>
        <v>-</v>
      </c>
      <c r="M56" s="742"/>
      <c r="N56" s="742" t="str">
        <f t="shared" si="162"/>
        <v>-</v>
      </c>
      <c r="O56" s="742" t="str">
        <f t="shared" si="163"/>
        <v>-</v>
      </c>
      <c r="P56" s="742"/>
      <c r="Q56" s="742" t="str">
        <f t="shared" si="164"/>
        <v>-</v>
      </c>
      <c r="R56" s="742" t="str">
        <f t="shared" si="165"/>
        <v>-</v>
      </c>
      <c r="S56" s="742"/>
      <c r="T56" s="742" t="str">
        <f t="shared" si="166"/>
        <v>-</v>
      </c>
      <c r="U56" s="742" t="str">
        <f t="shared" si="167"/>
        <v>-</v>
      </c>
      <c r="V56" s="172"/>
      <c r="W56" s="824"/>
      <c r="X56" s="189">
        <f ca="1">Horarios!C56</f>
        <v>46199.958333333336</v>
      </c>
      <c r="Y56" s="190">
        <f ca="1">Horarios!C56</f>
        <v>46199.958333333336</v>
      </c>
      <c r="Z56" s="191" t="str">
        <f>$Z$8</f>
        <v>J3</v>
      </c>
      <c r="AA56" s="192" t="str">
        <f ca="1">A54</f>
        <v>Egipto</v>
      </c>
      <c r="AB56" s="478" t="str" cm="1">
        <f t="array" aca="1" ref="AB56" ca="1">Ver_flag_local</f>
        <v/>
      </c>
      <c r="AC56" s="193"/>
      <c r="AD56" s="194"/>
      <c r="AE56" s="483" t="str" cm="1">
        <f t="array" aca="1" ref="AE56" ca="1">Ver_flag_visit</f>
        <v/>
      </c>
      <c r="AF56" s="195" t="str">
        <f ca="1">A55</f>
        <v>Irán</v>
      </c>
      <c r="AG56" s="413">
        <f t="shared" si="168"/>
        <v>0</v>
      </c>
      <c r="AH56" s="196">
        <v>63</v>
      </c>
      <c r="AI56" s="19" t="str">
        <f t="shared" si="173"/>
        <v>3G</v>
      </c>
      <c r="AJ56" s="221">
        <v>3</v>
      </c>
      <c r="AK56" s="486" t="str" cm="1">
        <f t="array" aca="1" ref="AK56" ca="1">Ver_flag_visit</f>
        <v/>
      </c>
      <c r="AL56" s="222" t="str">
        <f ca="1">IFERROR(INDEX($BD$6:$BD$53,MATCH(AI56,$BN$6:$BN$53,0)),"")</f>
        <v>Irán</v>
      </c>
      <c r="AM56" s="223">
        <f t="shared" ca="1" si="172"/>
        <v>0</v>
      </c>
      <c r="AN56" s="224">
        <f t="shared" ca="1" si="172"/>
        <v>0</v>
      </c>
      <c r="AO56" s="224">
        <f t="shared" ca="1" si="172"/>
        <v>0</v>
      </c>
      <c r="AP56" s="224">
        <f t="shared" ca="1" si="172"/>
        <v>0</v>
      </c>
      <c r="AQ56" s="224">
        <f t="shared" ca="1" si="172"/>
        <v>0</v>
      </c>
      <c r="AR56" s="224">
        <f t="shared" ca="1" si="172"/>
        <v>0</v>
      </c>
      <c r="AS56" s="224">
        <f t="shared" ca="1" si="172"/>
        <v>0</v>
      </c>
      <c r="AT56" s="225">
        <f t="shared" ca="1" si="172"/>
        <v>0</v>
      </c>
      <c r="AU56" s="420">
        <f ca="1">INDEX($DL$6:$DL$53,MATCH(AI56,$DP$6:$DP$53,0))</f>
        <v>1</v>
      </c>
      <c r="AV56" s="217" t="str">
        <f ca="1">INDEX($BD$6:$BD$53,MATCH(AI56,$BM$6:$BM$53,0))</f>
        <v>Irán</v>
      </c>
      <c r="AW56" s="427"/>
      <c r="AX56" s="218"/>
      <c r="AY56" s="219" t="str">
        <f ca="1">+A55</f>
        <v>Irán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Egipto-Irán</v>
      </c>
      <c r="DU56" s="742"/>
      <c r="DV56" s="742"/>
      <c r="DW56" s="8"/>
    </row>
    <row r="57" spans="1:127" ht="15.75" thickBot="1">
      <c r="A57" s="737"/>
      <c r="B57" s="740"/>
      <c r="C57" s="737"/>
      <c r="D57" s="742" t="str">
        <f t="shared" si="155"/>
        <v>Pendiente</v>
      </c>
      <c r="E57" s="742" t="str">
        <f t="shared" si="156"/>
        <v>-</v>
      </c>
      <c r="F57" s="742" t="str">
        <f t="shared" si="157"/>
        <v>-</v>
      </c>
      <c r="G57" s="742"/>
      <c r="H57" s="742" t="str">
        <f t="shared" si="158"/>
        <v>-</v>
      </c>
      <c r="I57" s="742" t="str">
        <f t="shared" si="159"/>
        <v>-</v>
      </c>
      <c r="J57" s="742"/>
      <c r="K57" s="742" t="str">
        <f t="shared" si="160"/>
        <v>-</v>
      </c>
      <c r="L57" s="742" t="str">
        <f t="shared" si="161"/>
        <v>-</v>
      </c>
      <c r="M57" s="742"/>
      <c r="N57" s="742" t="str">
        <f t="shared" si="162"/>
        <v>-</v>
      </c>
      <c r="O57" s="742" t="str">
        <f t="shared" si="163"/>
        <v>-</v>
      </c>
      <c r="P57" s="742"/>
      <c r="Q57" s="742" t="str">
        <f t="shared" si="164"/>
        <v>-</v>
      </c>
      <c r="R57" s="742" t="str">
        <f t="shared" si="165"/>
        <v>-</v>
      </c>
      <c r="S57" s="742"/>
      <c r="T57" s="742" t="str">
        <f t="shared" si="166"/>
        <v>-</v>
      </c>
      <c r="U57" s="742" t="str">
        <f t="shared" si="167"/>
        <v>-</v>
      </c>
      <c r="V57" s="172"/>
      <c r="W57" s="825"/>
      <c r="X57" s="228">
        <f ca="1">Horarios!C57</f>
        <v>46199.958333333336</v>
      </c>
      <c r="Y57" s="229">
        <f ca="1">Horarios!C57</f>
        <v>46199.958333333336</v>
      </c>
      <c r="Z57" s="230" t="str">
        <f>$Z$8</f>
        <v>J3</v>
      </c>
      <c r="AA57" s="231" t="str">
        <f ca="1">A56</f>
        <v>Nueva Zelanda</v>
      </c>
      <c r="AB57" s="479" t="str" cm="1">
        <f t="array" aca="1" ref="AB57" ca="1">Ver_flag_local</f>
        <v/>
      </c>
      <c r="AC57" s="232"/>
      <c r="AD57" s="233"/>
      <c r="AE57" s="484" t="str" cm="1">
        <f t="array" aca="1" ref="AE57" ca="1">Ver_flag_visit</f>
        <v/>
      </c>
      <c r="AF57" s="234" t="str">
        <f ca="1">A53</f>
        <v>Bélgica</v>
      </c>
      <c r="AG57" s="413">
        <f t="shared" si="168"/>
        <v>0</v>
      </c>
      <c r="AH57" s="196">
        <v>64</v>
      </c>
      <c r="AI57" s="19" t="str">
        <f t="shared" si="173"/>
        <v>4G</v>
      </c>
      <c r="AJ57" s="235">
        <v>4</v>
      </c>
      <c r="AK57" s="487" t="str" cm="1">
        <f t="array" aca="1" ref="AK57" ca="1">Ver_flag_visit</f>
        <v/>
      </c>
      <c r="AL57" s="236" t="str">
        <f ca="1">IFERROR(INDEX($BD$6:$BD$53,MATCH(AI57,$BN$6:$BN$53,0)),"")</f>
        <v>Nueva Zelanda</v>
      </c>
      <c r="AM57" s="237">
        <f t="shared" ca="1" si="172"/>
        <v>0</v>
      </c>
      <c r="AN57" s="238">
        <f t="shared" ca="1" si="172"/>
        <v>0</v>
      </c>
      <c r="AO57" s="238">
        <f t="shared" ca="1" si="172"/>
        <v>0</v>
      </c>
      <c r="AP57" s="238">
        <f t="shared" ca="1" si="172"/>
        <v>0</v>
      </c>
      <c r="AQ57" s="238">
        <f t="shared" ca="1" si="172"/>
        <v>0</v>
      </c>
      <c r="AR57" s="238">
        <f t="shared" ca="1" si="172"/>
        <v>0</v>
      </c>
      <c r="AS57" s="238">
        <f t="shared" ca="1" si="172"/>
        <v>0</v>
      </c>
      <c r="AT57" s="239">
        <f t="shared" ca="1" si="172"/>
        <v>0</v>
      </c>
      <c r="AU57" s="420">
        <f ca="1">INDEX($DL$6:$DL$53,MATCH(AI57,$DP$6:$DP$53,0))</f>
        <v>1</v>
      </c>
      <c r="AV57" s="217" t="str">
        <f ca="1">INDEX($BD$6:$BD$53,MATCH(AI57,$BM$6:$BM$53,0))</f>
        <v>Nueva Zelanda</v>
      </c>
      <c r="AW57" s="427"/>
      <c r="AX57" s="218"/>
      <c r="AY57" s="240" t="str">
        <f ca="1">+A56</f>
        <v>Nueva Zelanda</v>
      </c>
      <c r="AZ57" s="241"/>
      <c r="BA57" s="175"/>
      <c r="BB57" s="742">
        <f>IFERROR(IF($AJ$99=144,INDEX(Idiomas!$C$75:$C$77,MATCH(WORLDCUP!$AL$116,Idiomas!$D$75:$D$77,0)),1),1)</f>
        <v>1</v>
      </c>
      <c r="BC57" s="750" t="str">
        <f t="shared" ref="BC57:BN57" si="174">+BC5</f>
        <v>Grupo</v>
      </c>
      <c r="BD57" s="750" t="str">
        <f t="shared" si="174"/>
        <v>Selección</v>
      </c>
      <c r="BE57" s="750" t="str">
        <f t="shared" si="174"/>
        <v>Pts</v>
      </c>
      <c r="BF57" s="750" t="str">
        <f t="shared" si="174"/>
        <v>J</v>
      </c>
      <c r="BG57" s="750" t="str">
        <f t="shared" si="174"/>
        <v>G</v>
      </c>
      <c r="BH57" s="750" t="str">
        <f t="shared" si="174"/>
        <v>E</v>
      </c>
      <c r="BI57" s="750" t="str">
        <f t="shared" si="174"/>
        <v>P</v>
      </c>
      <c r="BJ57" s="750" t="str">
        <f t="shared" si="174"/>
        <v>GF</v>
      </c>
      <c r="BK57" s="750" t="str">
        <f t="shared" si="174"/>
        <v>GC</v>
      </c>
      <c r="BL57" s="750" t="str">
        <f t="shared" si="174"/>
        <v>DG</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Nueva Zelanda-Bélgica</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Corea del Sur</v>
      </c>
      <c r="BE58" s="746">
        <f ca="1">CHOOSE($BB$57,
  (BG58*3 + BH58)+IF($AZ$3="No",0,INDEX($AZ$6:$AZ$97,MATCH(BD58,$AY$6:$AY$97,0))),
  (BG58*3 + BH58)+IF($AZ$3="No",0,INDEX($AZ$6:$AZ$97,MATCH(BD58,$AY$6:$AY$97,0))),
  IFERROR((BG58*3 + BH58+IF($AZ$3="No",0,INDEX($AZ$6:$AZ$97,MATCH(BD58,$AY$6:$AY$97,0)))) / BF58, 0)
)</f>
        <v>0</v>
      </c>
      <c r="BF58" s="746">
        <f ca="1">+BG58+BH58+BI58</f>
        <v>0</v>
      </c>
      <c r="BG58" s="746">
        <f ca="1">CHOOSE(IF($BB$57=2, 2, 1),INDEX($BG$6:$BG$53,MATCH($BB58,$BN$6:$BN$53,0)),
  INDEX($BG$6:$BG$53,MATCH($BB58,$BN$6:$BN$53,0))-(COUNTIFS(FGLocal,$BD58,FGVisitante,INDEX($BD$6:$BD$53,MATCH(BO58,$BN$6:$BN$53,0)),Ganador,"Local")+COUNTIFS(FGVisitante,$BD58,FGLocal,INDEX($BD$6:$BD$53,MATCH(BO58,$BN$6:$BN$53,0)),Ganador,"Visitante"))
)</f>
        <v>0</v>
      </c>
      <c r="BH58" s="746">
        <f ca="1">CHOOSE(IF($BB$57=2, 2, 1),  INDEX($BH$6:$BH$53,MATCH($BB58,$BN$6:$BN$53,0)),
  INDEX($BH$6:$BH$53,MATCH($BB58,$BN$6:$BN$53,0))-(COUNTIFS(FGLocal,$BD58,FGVisitante,INDEX($BD$6:$BD$53,MATCH(BO58,$BN$6:$BN$53,0)),Ganador,"Empate")+COUNTIFS(FGVisitante,$BD58,FGLocal,INDEX($BD$6:$BD$53,MATCH(BO58,$BN$6:$BN$53,0)),Ganador,"Empate"))
)</f>
        <v>0</v>
      </c>
      <c r="BI58" s="746">
        <f t="shared" ref="BI58:BI69" ca="1" si="176">CHOOSE(IF($BB$57=2, 2, 1),
  INDEX($BI$6:$BI$53,MATCH($BB58,$BN$6:$BN$53,0)),
  INDEX($BI$6:$BI$53,MATCH($BB58,$BN$6:$BN$53,0))-(COUNTIFS(FGLocal,$BD58,FGVisitante,INDEX($BD$6:$BD$53,MATCH(BO58,$BN$6:$BN$53,0)),Ganador,"Visitante")+COUNTIFS(FGVisitante,$BD58,FGLocal,INDEX($BD$6:$BD$53,MATCH(BO58,$BN$6:$BN$53,0)),Ganador,"Local"))
)</f>
        <v>0</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0</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0</v>
      </c>
      <c r="BL58" s="746">
        <f ca="1">BJ58-BK58</f>
        <v>0</v>
      </c>
      <c r="BM58" s="746">
        <f ca="1">CB58</f>
        <v>5</v>
      </c>
      <c r="BN58" s="746">
        <f ca="1">CF58</f>
        <v>5</v>
      </c>
      <c r="BO58" s="736" t="str">
        <f>"4"&amp;BC58</f>
        <v>4A</v>
      </c>
      <c r="BP58" s="736"/>
      <c r="BQ58" s="736"/>
      <c r="BR58" s="746">
        <f t="shared" ref="BR58:BR69" ca="1" si="179">+BE58</f>
        <v>0</v>
      </c>
      <c r="BS58" s="746">
        <f ca="1">COUNTIFS(BR$58:BR$69,"&gt;"&amp;BR58)+1</f>
        <v>1</v>
      </c>
      <c r="BT58" s="746" t="str">
        <f ca="1">IF(COUNTIF(BS$58:BS$69,BS58)=1,"-","Pos. "&amp;BS58&amp;" ("&amp;COUNTIF(BS$58:BS$69,BS58)&amp;")")</f>
        <v>Pos. 1 (12)</v>
      </c>
      <c r="BU58" s="746">
        <f t="shared" ref="BU58:BU69" ca="1" si="180">IF(BT58="-","-",BL58)</f>
        <v>0</v>
      </c>
      <c r="BV58" s="746">
        <f t="shared" ref="BV58:BV69" ca="1" si="181">BS58+COUNTIFS(BT$58:BT$69,BT58,BU$58:BU$69,"&gt;"&amp;BU58)</f>
        <v>1</v>
      </c>
      <c r="BW58" s="746" t="str">
        <f t="shared" ref="BW58:BW69" ca="1" si="182">IF(COUNTIF(BV$58:BV$69,BV58)=1,"-","Pos. "&amp;BV58&amp;" ("&amp;COUNTIF(BV$58:BV$69,BV58)&amp;")")</f>
        <v>Pos. 1 (12)</v>
      </c>
      <c r="BX58" s="746">
        <f t="shared" ref="BX58:BX69" ca="1" si="183">IF(BW58="-","-",BJ58)</f>
        <v>0</v>
      </c>
      <c r="BY58" s="746">
        <f t="shared" ref="BY58:BY69" ca="1" si="184">BV58+COUNTIFS(BW$58:BW$69,BW58,BX$58:BX$69,"&gt;"&amp;BX58)</f>
        <v>1</v>
      </c>
      <c r="BZ58" s="746" t="str">
        <f t="shared" ref="BZ58:BZ69" ca="1" si="185">IF(COUNTIF(BY$58:BY$69,BY58)=1,"-","Pos. "&amp;BY58&amp;" ("&amp;COUNTIF(BY$58:BY$69,BY58)&amp;")")</f>
        <v>Pos. 1 (12)</v>
      </c>
      <c r="CA58" s="746">
        <f ca="1">IF(BZ58="-","-",COUNTIF($BD$58:$BD$69,"&gt;"&amp;BD58))</f>
        <v>7</v>
      </c>
      <c r="CB58" s="746">
        <f ca="1">BY58+COUNTIFS(BZ$58:BZ$69,BZ58,CA$58:CA$69,"&gt;"&amp;CA58)</f>
        <v>5</v>
      </c>
      <c r="CC58" s="746"/>
      <c r="CD58" s="746">
        <f ca="1">IF(OR(INDEX($AW$102:$AW$113,MATCH($BD58,$AV$102:$AV$113,0))="",BZ58="-"),CB58,INDEX($AW$102:$AW$113,MATCH($BD58,$AV$102:$AV$113,0))+CB58/1000)</f>
        <v>5</v>
      </c>
      <c r="CE58" s="746">
        <f ca="1">IF(BZ58="-","-",COUNTIF(CD$58:CD$69,"&lt;"&amp;CD58))</f>
        <v>4</v>
      </c>
      <c r="CF58" s="746">
        <f ca="1">BY58+COUNTIFS(BZ$58:BZ$69,BZ58,CE$58:CE$69,"&lt;"&amp;CE58)</f>
        <v>5</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Arabia Saudita</v>
      </c>
      <c r="DR58" s="742"/>
      <c r="DS58" s="742"/>
      <c r="DT58" s="742" t="str">
        <f t="shared" si="15"/>
        <v>-</v>
      </c>
      <c r="DU58" s="742"/>
      <c r="DV58" s="742"/>
      <c r="DW58" s="8"/>
    </row>
    <row r="59" spans="1:127" ht="15.7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Catar</v>
      </c>
      <c r="BE59" s="746">
        <f t="shared" ref="BE59:BE69" ca="1" si="189">CHOOSE($BB$57,
  (BG59*3 + BH59)+IF($AZ$3="No",0,INDEX($AZ$6:$AZ$97,MATCH(BD59,$AY$6:$AY$97,0))),
  (BG59*3 + BH59)+IF($AZ$3="No",0,INDEX($AZ$6:$AZ$97,MATCH(BD59,$AY$6:$AY$97,0))),
  IFERROR((BG59*3 + BH59+IF($AZ$3="No",0,INDEX($AZ$6:$AZ$97,MATCH(BD59,$AY$6:$AY$97,0)))) / BF59, 0)
)</f>
        <v>0</v>
      </c>
      <c r="BF59" s="746">
        <f t="shared" ref="BF59:BF69" ca="1" si="190">+BG59+BH59+BI59</f>
        <v>0</v>
      </c>
      <c r="BG59" s="746">
        <f t="shared" ref="BG59:BG69" ca="1" si="191">CHOOSE(IF($BB$57=2, 2, 1),
  INDEX($BG$6:$BG$53,MATCH($BB59,$BN$6:$BN$53,0)),
  INDEX($BG$6:$BG$53,MATCH($BB59,$BN$6:$BN$53,0))-(COUNTIFS(FGLocal,$BD59,FGVisitante,INDEX($BD$6:$BD$53,MATCH(BO59,$BN$6:$BN$53,0)),Ganador,"Local")+COUNTIFS(FGVisitante,$BD59,FGLocal,INDEX($BD$6:$BD$53,MATCH(BO59,$BN$6:$BN$53,0)),Ganador,"Visitante"))
)</f>
        <v>0</v>
      </c>
      <c r="BH59" s="746">
        <f t="shared" ref="BH59:BH69" ca="1" si="192">CHOOSE(IF($BB$57=2, 2, 1),
  INDEX($BH$6:$BH$53,MATCH($BB59,$BN$6:$BN$53,0)),
  INDEX($BH$6:$BH$53,MATCH($BB59,$BN$6:$BN$53,0))-(COUNTIFS(FGLocal,$BD59,FGVisitante,INDEX($BD$6:$BD$53,MATCH(BO59,$BN$6:$BN$53,0)),Ganador,"Empate")+COUNTIFS(FGVisitante,$BD59,FGLocal,INDEX($BD$6:$BD$53,MATCH(BO59,$BN$6:$BN$53,0)),Ganador,"Empate"))
)</f>
        <v>0</v>
      </c>
      <c r="BI59" s="746">
        <f t="shared" ca="1" si="176"/>
        <v>0</v>
      </c>
      <c r="BJ59" s="746">
        <f t="shared" ca="1" si="177"/>
        <v>0</v>
      </c>
      <c r="BK59" s="746">
        <f t="shared" ca="1" si="178"/>
        <v>0</v>
      </c>
      <c r="BL59" s="746">
        <f t="shared" ref="BL59:BL69" ca="1" si="193">BJ59-BK59</f>
        <v>0</v>
      </c>
      <c r="BM59" s="746">
        <f t="shared" ref="BM59:BM69" ca="1" si="194">CB59</f>
        <v>4</v>
      </c>
      <c r="BN59" s="746">
        <f t="shared" ref="BN59:BN69" ca="1" si="195">CF59</f>
        <v>4</v>
      </c>
      <c r="BO59" s="736" t="str">
        <f t="shared" ref="BO59:BO69" si="196">"4"&amp;BC59</f>
        <v>4B</v>
      </c>
      <c r="BP59" s="736"/>
      <c r="BQ59" s="736"/>
      <c r="BR59" s="746">
        <f t="shared" ca="1" si="179"/>
        <v>0</v>
      </c>
      <c r="BS59" s="746">
        <f t="shared" ref="BS59:BS69" ca="1" si="197">COUNTIFS(BR$58:BR$69,"&gt;"&amp;BR59)+1</f>
        <v>1</v>
      </c>
      <c r="BT59" s="746" t="str">
        <f t="shared" ref="BT59:BT69" ca="1" si="198">IF(COUNTIF(BS$58:BS$69,BS59)=1,"-","Pos. "&amp;BS59&amp;" ("&amp;COUNTIF(BS$58:BS$69,BS59)&amp;")")</f>
        <v>Pos. 1 (12)</v>
      </c>
      <c r="BU59" s="746">
        <f t="shared" ca="1" si="180"/>
        <v>0</v>
      </c>
      <c r="BV59" s="746">
        <f t="shared" ca="1" si="181"/>
        <v>1</v>
      </c>
      <c r="BW59" s="746" t="str">
        <f t="shared" ca="1" si="182"/>
        <v>Pos. 1 (12)</v>
      </c>
      <c r="BX59" s="746">
        <f t="shared" ca="1" si="183"/>
        <v>0</v>
      </c>
      <c r="BY59" s="746">
        <f t="shared" ca="1" si="184"/>
        <v>1</v>
      </c>
      <c r="BZ59" s="746" t="str">
        <f t="shared" ca="1" si="185"/>
        <v>Pos. 1 (12)</v>
      </c>
      <c r="CA59" s="746">
        <f t="shared" ref="CA59:CA69" ca="1" si="199">IF(BZ59="-","-",COUNTIF($BD$58:$BD$69,"&gt;"&amp;BD59))</f>
        <v>8</v>
      </c>
      <c r="CB59" s="746">
        <f t="shared" ref="CB59:CB68" ca="1" si="200">BY59+COUNTIFS(BZ$58:BZ$69,BZ59,CA$58:CA$69,"&gt;"&amp;CA59)</f>
        <v>4</v>
      </c>
      <c r="CC59" s="746"/>
      <c r="CD59" s="746">
        <f t="shared" ref="CD59:CD69" ca="1" si="201">IF(OR(INDEX($AW$102:$AW$113,MATCH($BD59,$AV$102:$AV$113,0))="",BZ59="-"),CB59,INDEX($AW$102:$AW$113,MATCH($BD59,$AV$102:$AV$113,0))+CB59/1000)</f>
        <v>4</v>
      </c>
      <c r="CE59" s="746">
        <f t="shared" ref="CE59:CE69" ca="1" si="202">IF(BZ59="-","-",COUNTIF(CD$58:CD$69,"&lt;"&amp;CD59))</f>
        <v>3</v>
      </c>
      <c r="CF59" s="746">
        <f t="shared" ref="CF59:CF69" ca="1" si="203">BY59+COUNTIFS(BZ$58:BZ$69,BZ59,CE$58:CE$69,"&lt;"&amp;CE59)</f>
        <v>4</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1</v>
      </c>
      <c r="DK59" s="742"/>
      <c r="DL59" s="742">
        <f t="shared" ref="DL59:DL69" ca="1" si="204">IF(OR($H$113=144,$AJ$99=144),COUNTIF($DJ$58:$DJ$69,DJ59),1)</f>
        <v>1</v>
      </c>
      <c r="DM59" s="736" t="str">
        <f t="shared" ca="1" si="187"/>
        <v>1.1</v>
      </c>
      <c r="DN59" s="742" cm="1">
        <f t="array" aca="1" ref="DN59" ca="1">OFFSET(Horarios!$P$3,DJ59-1,0,DL59,1)</f>
        <v>1</v>
      </c>
      <c r="DO59" s="742"/>
      <c r="DP59" s="742">
        <v>2</v>
      </c>
      <c r="DQ59" s="742" t="str">
        <f t="shared" ref="DQ59:DQ69" ca="1" si="205">INDEX($BD$58:$BD$69,MATCH(DP59,$BM$58:$BM$69,0))</f>
        <v>Australia</v>
      </c>
      <c r="DR59" s="742"/>
      <c r="DS59" s="742"/>
      <c r="DT59" s="742" t="str">
        <f t="shared" si="15"/>
        <v>Casa-Fuera</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Pendiente</v>
      </c>
      <c r="E60" s="742" t="str">
        <f t="shared" ref="E60:E65" si="207">IF(D60="Pendiente","-",INDEX($BT$6:$BT$53,MATCH($AA60,$BD$6:$BD$53,0)))</f>
        <v>-</v>
      </c>
      <c r="F60" s="742" t="str">
        <f t="shared" ref="F60:F65" si="208">IF(D60="Pendiente","-",INDEX($BT$6:$BT$53,MATCH($AF60,$BD$6:$BD$53,0)))</f>
        <v>-</v>
      </c>
      <c r="G60" s="742"/>
      <c r="H60" s="742" t="str">
        <f t="shared" ref="H60:H65" si="209">IF(D60="Pendiente","-",INDEX($BZ$6:$BZ$53,MATCH($AA60,$BD$6:$BD$53,0)))</f>
        <v>-</v>
      </c>
      <c r="I60" s="742" t="str">
        <f t="shared" ref="I60:I65" si="210">IF(D60="Pendiente","-",INDEX($BZ$6:$BZ$53,MATCH($AF60,$BD$6:$BD$53,0)))</f>
        <v>-</v>
      </c>
      <c r="J60" s="742"/>
      <c r="K60" s="742" t="str">
        <f t="shared" ref="K60:K65" si="211">IF(D60="Pendiente","-",INDEX($CE$6:$CE$53,MATCH($AA60,$BD$6:$BD$53,0)))</f>
        <v>-</v>
      </c>
      <c r="L60" s="742" t="str">
        <f t="shared" ref="L60:L65" si="212">IF(D60="Pendiente","-",INDEX($CE$6:$CE$53,MATCH($AF60,$BD$6:$BD$53,0)))</f>
        <v>-</v>
      </c>
      <c r="M60" s="742"/>
      <c r="N60" s="742" t="str">
        <f t="shared" ref="N60:N65" si="213">IF(D60="Pendiente","-",INDEX($CH$6:$CH$53,MATCH($AA60,$BD$6:$BD$53,0)))</f>
        <v>-</v>
      </c>
      <c r="O60" s="742" t="str">
        <f t="shared" ref="O60:O65" si="214">IF(D60="Pendiente","-",INDEX($CH$6:$CH$53,MATCH($AF60,$BD$6:$BD$53,0)))</f>
        <v>-</v>
      </c>
      <c r="P60" s="742"/>
      <c r="Q60" s="742" t="str">
        <f t="shared" ref="Q60:Q65" si="215">IF(D60="Pendiente","-",INDEX($CN$6:$CN$53,MATCH($AA60,$BD$6:$BD$53,0)))</f>
        <v>-</v>
      </c>
      <c r="R60" s="742" t="str">
        <f t="shared" ref="R60:R65" si="216">IF(D60="Pendiente","-",INDEX($CN$6:$CN$53,MATCH($AF60,$BD$6:$BD$53,0)))</f>
        <v>-</v>
      </c>
      <c r="S60" s="742"/>
      <c r="T60" s="742" t="str">
        <f t="shared" ref="T60:T65" si="217">IF(D60="Pendiente","-",INDEX($CS$6:$CS$53,MATCH($AA60,$BD$6:$BD$53,0)))</f>
        <v>-</v>
      </c>
      <c r="U60" s="742" t="str">
        <f t="shared" ref="U60:U65" si="218">IF(D60="Pendiente","-",INDEX($CS$6:$CS$53,MATCH($AF60,$BD$6:$BD$53,0)))</f>
        <v>-</v>
      </c>
      <c r="V60" s="172"/>
      <c r="W60" s="806" t="s">
        <v>437</v>
      </c>
      <c r="X60" s="189">
        <f ca="1">Horarios!C60</f>
        <v>46188.5</v>
      </c>
      <c r="Y60" s="190">
        <f ca="1">Horarios!C60</f>
        <v>46188.5</v>
      </c>
      <c r="Z60" s="191" t="str">
        <f>$Z$4</f>
        <v>J1</v>
      </c>
      <c r="AA60" s="192" t="str">
        <f ca="1">A61</f>
        <v>España</v>
      </c>
      <c r="AB60" s="478" t="str" cm="1">
        <f t="array" aca="1" ref="AB60" ca="1">Ver_flag_local</f>
        <v/>
      </c>
      <c r="AC60" s="193"/>
      <c r="AD60" s="194"/>
      <c r="AE60" s="483" t="str" cm="1">
        <f t="array" aca="1" ref="AE60" ca="1">Ver_flag_visit</f>
        <v/>
      </c>
      <c r="AF60" s="195" t="str">
        <f ca="1">A62</f>
        <v>Cabo Verde</v>
      </c>
      <c r="AG60" s="413">
        <f t="shared" ref="AG60:AG65" si="219">IF(NOT(OR(ISBLANK(AC60),ISBLANK(AD60))),1,0)</f>
        <v>0</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Haití</v>
      </c>
      <c r="BE60" s="746">
        <f t="shared" ca="1" si="189"/>
        <v>0</v>
      </c>
      <c r="BF60" s="746">
        <f t="shared" ca="1" si="190"/>
        <v>0</v>
      </c>
      <c r="BG60" s="746">
        <f t="shared" ca="1" si="191"/>
        <v>0</v>
      </c>
      <c r="BH60" s="746">
        <f t="shared" ca="1" si="192"/>
        <v>0</v>
      </c>
      <c r="BI60" s="746">
        <f t="shared" ca="1" si="176"/>
        <v>0</v>
      </c>
      <c r="BJ60" s="746">
        <f t="shared" ca="1" si="177"/>
        <v>0</v>
      </c>
      <c r="BK60" s="746">
        <f t="shared" ca="1" si="178"/>
        <v>0</v>
      </c>
      <c r="BL60" s="746">
        <f t="shared" ca="1" si="193"/>
        <v>0</v>
      </c>
      <c r="BM60" s="746">
        <f t="shared" ca="1" si="194"/>
        <v>8</v>
      </c>
      <c r="BN60" s="746">
        <f t="shared" ca="1" si="195"/>
        <v>8</v>
      </c>
      <c r="BO60" s="736" t="str">
        <f t="shared" si="196"/>
        <v>4C</v>
      </c>
      <c r="BP60" s="736"/>
      <c r="BQ60" s="736"/>
      <c r="BR60" s="746">
        <f t="shared" ca="1" si="179"/>
        <v>0</v>
      </c>
      <c r="BS60" s="746">
        <f t="shared" ca="1" si="197"/>
        <v>1</v>
      </c>
      <c r="BT60" s="746" t="str">
        <f t="shared" ca="1" si="198"/>
        <v>Pos. 1 (12)</v>
      </c>
      <c r="BU60" s="746">
        <f t="shared" ca="1" si="180"/>
        <v>0</v>
      </c>
      <c r="BV60" s="746">
        <f t="shared" ca="1" si="181"/>
        <v>1</v>
      </c>
      <c r="BW60" s="746" t="str">
        <f t="shared" ca="1" si="182"/>
        <v>Pos. 1 (12)</v>
      </c>
      <c r="BX60" s="746">
        <f t="shared" ca="1" si="183"/>
        <v>0</v>
      </c>
      <c r="BY60" s="746">
        <f t="shared" ca="1" si="184"/>
        <v>1</v>
      </c>
      <c r="BZ60" s="746" t="str">
        <f t="shared" ca="1" si="185"/>
        <v>Pos. 1 (12)</v>
      </c>
      <c r="CA60" s="746">
        <f t="shared" ca="1" si="199"/>
        <v>4</v>
      </c>
      <c r="CB60" s="746">
        <f t="shared" ca="1" si="200"/>
        <v>8</v>
      </c>
      <c r="CC60" s="746"/>
      <c r="CD60" s="746">
        <f t="shared" ca="1" si="201"/>
        <v>8</v>
      </c>
      <c r="CE60" s="746">
        <f t="shared" ca="1" si="202"/>
        <v>7</v>
      </c>
      <c r="CF60" s="746">
        <f t="shared" ca="1" si="203"/>
        <v>8</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1</v>
      </c>
      <c r="DK60" s="742"/>
      <c r="DL60" s="742">
        <f t="shared" ca="1" si="204"/>
        <v>1</v>
      </c>
      <c r="DM60" s="736" t="str">
        <f t="shared" ca="1" si="187"/>
        <v>1.1</v>
      </c>
      <c r="DN60" s="742" cm="1">
        <f t="array" aca="1" ref="DN60" ca="1">OFFSET(Horarios!$P$3,DJ60-1,0,DL60,1)</f>
        <v>1</v>
      </c>
      <c r="DO60" s="742"/>
      <c r="DP60" s="742">
        <v>3</v>
      </c>
      <c r="DQ60" s="742" t="str">
        <f t="shared" ca="1" si="205"/>
        <v>Austria</v>
      </c>
      <c r="DR60" s="742"/>
      <c r="DS60" s="742"/>
      <c r="DT60" s="742" t="str">
        <f t="shared" ca="1" si="15"/>
        <v>España-Cabo Verde</v>
      </c>
      <c r="DU60" s="742"/>
      <c r="DV60" s="742"/>
      <c r="DW60" s="8"/>
    </row>
    <row r="61" spans="1:127">
      <c r="A61" s="743" t="str">
        <f ca="1">+Equipos!B30</f>
        <v>España</v>
      </c>
      <c r="B61" s="740"/>
      <c r="C61" s="740"/>
      <c r="D61" s="742" t="str">
        <f t="shared" si="206"/>
        <v>Pendiente</v>
      </c>
      <c r="E61" s="742" t="str">
        <f t="shared" si="207"/>
        <v>-</v>
      </c>
      <c r="F61" s="742" t="str">
        <f t="shared" si="208"/>
        <v>-</v>
      </c>
      <c r="G61" s="742"/>
      <c r="H61" s="742" t="str">
        <f t="shared" si="209"/>
        <v>-</v>
      </c>
      <c r="I61" s="742" t="str">
        <f t="shared" si="210"/>
        <v>-</v>
      </c>
      <c r="J61" s="742"/>
      <c r="K61" s="742" t="str">
        <f t="shared" si="211"/>
        <v>-</v>
      </c>
      <c r="L61" s="742" t="str">
        <f t="shared" si="212"/>
        <v>-</v>
      </c>
      <c r="M61" s="742"/>
      <c r="N61" s="742" t="str">
        <f t="shared" si="213"/>
        <v>-</v>
      </c>
      <c r="O61" s="742" t="str">
        <f t="shared" si="214"/>
        <v>-</v>
      </c>
      <c r="P61" s="742"/>
      <c r="Q61" s="742" t="str">
        <f t="shared" si="215"/>
        <v>-</v>
      </c>
      <c r="R61" s="742" t="str">
        <f t="shared" si="216"/>
        <v>-</v>
      </c>
      <c r="S61" s="742"/>
      <c r="T61" s="742" t="str">
        <f t="shared" si="217"/>
        <v>-</v>
      </c>
      <c r="U61" s="742" t="str">
        <f t="shared" si="218"/>
        <v>-</v>
      </c>
      <c r="V61" s="172"/>
      <c r="W61" s="806"/>
      <c r="X61" s="189">
        <f ca="1">Horarios!C61</f>
        <v>46188.75</v>
      </c>
      <c r="Y61" s="190">
        <f ca="1">Horarios!C61</f>
        <v>46188.75</v>
      </c>
      <c r="Z61" s="191" t="str">
        <f>$Z$4</f>
        <v>J1</v>
      </c>
      <c r="AA61" s="192" t="str">
        <f ca="1">A63</f>
        <v>Arabia Saudita</v>
      </c>
      <c r="AB61" s="478" t="str" cm="1">
        <f t="array" aca="1" ref="AB61" ca="1">Ver_flag_local</f>
        <v/>
      </c>
      <c r="AC61" s="193"/>
      <c r="AD61" s="194"/>
      <c r="AE61" s="483" t="str" cm="1">
        <f t="array" aca="1" ref="AE61" ca="1">Ver_flag_visit</f>
        <v/>
      </c>
      <c r="AF61" s="195" t="str">
        <f ca="1">A64</f>
        <v>Uruguay</v>
      </c>
      <c r="AG61" s="413">
        <f t="shared" si="219"/>
        <v>0</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7" t="str">
        <f t="shared" si="188"/>
        <v>3D</v>
      </c>
      <c r="BC61" s="754" t="s">
        <v>73</v>
      </c>
      <c r="BD61" s="742" t="str">
        <f t="shared" ca="1" si="175"/>
        <v>Australia</v>
      </c>
      <c r="BE61" s="746">
        <f t="shared" ca="1" si="189"/>
        <v>0</v>
      </c>
      <c r="BF61" s="746">
        <f t="shared" ca="1" si="190"/>
        <v>0</v>
      </c>
      <c r="BG61" s="746">
        <f t="shared" ca="1" si="191"/>
        <v>0</v>
      </c>
      <c r="BH61" s="746">
        <f t="shared" ca="1" si="192"/>
        <v>0</v>
      </c>
      <c r="BI61" s="746">
        <f t="shared" ca="1" si="176"/>
        <v>0</v>
      </c>
      <c r="BJ61" s="746">
        <f t="shared" ca="1" si="177"/>
        <v>0</v>
      </c>
      <c r="BK61" s="746">
        <f t="shared" ca="1" si="178"/>
        <v>0</v>
      </c>
      <c r="BL61" s="746">
        <f t="shared" ca="1" si="193"/>
        <v>0</v>
      </c>
      <c r="BM61" s="746">
        <f t="shared" ca="1" si="194"/>
        <v>2</v>
      </c>
      <c r="BN61" s="746">
        <f t="shared" ca="1" si="195"/>
        <v>2</v>
      </c>
      <c r="BO61" s="736" t="str">
        <f t="shared" si="196"/>
        <v>4D</v>
      </c>
      <c r="BP61" s="736"/>
      <c r="BQ61" s="736"/>
      <c r="BR61" s="746">
        <f t="shared" ca="1" si="179"/>
        <v>0</v>
      </c>
      <c r="BS61" s="746">
        <f t="shared" ca="1" si="197"/>
        <v>1</v>
      </c>
      <c r="BT61" s="746" t="str">
        <f t="shared" ca="1" si="198"/>
        <v>Pos. 1 (12)</v>
      </c>
      <c r="BU61" s="746">
        <f t="shared" ca="1" si="180"/>
        <v>0</v>
      </c>
      <c r="BV61" s="746">
        <f t="shared" ca="1" si="181"/>
        <v>1</v>
      </c>
      <c r="BW61" s="746" t="str">
        <f t="shared" ca="1" si="182"/>
        <v>Pos. 1 (12)</v>
      </c>
      <c r="BX61" s="746">
        <f t="shared" ca="1" si="183"/>
        <v>0</v>
      </c>
      <c r="BY61" s="746">
        <f t="shared" ca="1" si="184"/>
        <v>1</v>
      </c>
      <c r="BZ61" s="746" t="str">
        <f t="shared" ca="1" si="185"/>
        <v>Pos. 1 (12)</v>
      </c>
      <c r="CA61" s="746">
        <f t="shared" ca="1" si="199"/>
        <v>10</v>
      </c>
      <c r="CB61" s="746">
        <f t="shared" ca="1" si="200"/>
        <v>2</v>
      </c>
      <c r="CC61" s="746"/>
      <c r="CD61" s="746">
        <f t="shared" ca="1" si="201"/>
        <v>2</v>
      </c>
      <c r="CE61" s="746">
        <f t="shared" ca="1" si="202"/>
        <v>1</v>
      </c>
      <c r="CF61" s="746">
        <f t="shared" ca="1" si="203"/>
        <v>2</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1</v>
      </c>
      <c r="DK61" s="742"/>
      <c r="DL61" s="742">
        <f t="shared" ca="1" si="204"/>
        <v>1</v>
      </c>
      <c r="DM61" s="736" t="str">
        <f t="shared" ca="1" si="187"/>
        <v>1.1</v>
      </c>
      <c r="DN61" s="742" cm="1">
        <f t="array" aca="1" ref="DN61" ca="1">OFFSET(Horarios!$P$3,DJ61-1,0,DL61,1)</f>
        <v>1</v>
      </c>
      <c r="DO61" s="742"/>
      <c r="DP61" s="742">
        <v>4</v>
      </c>
      <c r="DQ61" s="742" t="str">
        <f t="shared" ca="1" si="205"/>
        <v>Catar</v>
      </c>
      <c r="DR61" s="742"/>
      <c r="DS61" s="742"/>
      <c r="DT61" s="742" t="str">
        <f t="shared" ca="1" si="15"/>
        <v>Arabia Saudita-Uruguay</v>
      </c>
      <c r="DU61" s="742"/>
      <c r="DV61" s="742"/>
      <c r="DW61" s="8"/>
    </row>
    <row r="62" spans="1:127">
      <c r="A62" s="743" t="str">
        <f ca="1">+Equipos!B31</f>
        <v>Cabo Verde</v>
      </c>
      <c r="B62" s="740"/>
      <c r="C62" s="744"/>
      <c r="D62" s="742" t="str">
        <f t="shared" si="206"/>
        <v>Pendiente</v>
      </c>
      <c r="E62" s="742" t="str">
        <f t="shared" si="207"/>
        <v>-</v>
      </c>
      <c r="F62" s="742" t="str">
        <f t="shared" si="208"/>
        <v>-</v>
      </c>
      <c r="G62" s="742"/>
      <c r="H62" s="742" t="str">
        <f t="shared" si="209"/>
        <v>-</v>
      </c>
      <c r="I62" s="742" t="str">
        <f t="shared" si="210"/>
        <v>-</v>
      </c>
      <c r="J62" s="742"/>
      <c r="K62" s="742" t="str">
        <f t="shared" si="211"/>
        <v>-</v>
      </c>
      <c r="L62" s="742" t="str">
        <f t="shared" si="212"/>
        <v>-</v>
      </c>
      <c r="M62" s="742"/>
      <c r="N62" s="742" t="str">
        <f t="shared" si="213"/>
        <v>-</v>
      </c>
      <c r="O62" s="742" t="str">
        <f t="shared" si="214"/>
        <v>-</v>
      </c>
      <c r="P62" s="742"/>
      <c r="Q62" s="742" t="str">
        <f t="shared" si="215"/>
        <v>-</v>
      </c>
      <c r="R62" s="742" t="str">
        <f t="shared" si="216"/>
        <v>-</v>
      </c>
      <c r="S62" s="742"/>
      <c r="T62" s="742" t="str">
        <f t="shared" si="217"/>
        <v>-</v>
      </c>
      <c r="U62" s="742" t="str">
        <f t="shared" si="218"/>
        <v>-</v>
      </c>
      <c r="V62" s="172"/>
      <c r="W62" s="806"/>
      <c r="X62" s="189">
        <f ca="1">Horarios!C62</f>
        <v>46194.5</v>
      </c>
      <c r="Y62" s="190">
        <f ca="1">Horarios!C62</f>
        <v>46194.5</v>
      </c>
      <c r="Z62" s="191" t="str">
        <f>$Z$6</f>
        <v>J2</v>
      </c>
      <c r="AA62" s="192" t="str">
        <f ca="1">A61</f>
        <v>España</v>
      </c>
      <c r="AB62" s="478" t="str" cm="1">
        <f t="array" aca="1" ref="AB62" ca="1">Ver_flag_local</f>
        <v/>
      </c>
      <c r="AC62" s="193"/>
      <c r="AD62" s="194"/>
      <c r="AE62" s="483" t="str" cm="1">
        <f t="array" aca="1" ref="AE62" ca="1">Ver_flag_visit</f>
        <v/>
      </c>
      <c r="AF62" s="195" t="str">
        <f ca="1">A63</f>
        <v>Arabia Saudita</v>
      </c>
      <c r="AG62" s="413">
        <f t="shared" si="219"/>
        <v>0</v>
      </c>
      <c r="AH62" s="196">
        <v>38</v>
      </c>
      <c r="AI62" s="19" t="str">
        <f>AJ62&amp;$B$60</f>
        <v>1H</v>
      </c>
      <c r="AJ62" s="211">
        <v>1</v>
      </c>
      <c r="AK62" s="488" t="str" cm="1">
        <f t="array" aca="1" ref="AK62" ca="1">Ver_flag_visit</f>
        <v/>
      </c>
      <c r="AL62" s="212" t="str">
        <f ca="1">IFERROR(INDEX($BD$6:$BD$53,MATCH(AI62,$BN$6:$BN$53,0)),"")</f>
        <v>España</v>
      </c>
      <c r="AM62" s="213">
        <f t="shared" ref="AM62:AT65" ca="1" si="223">INDEX($BE$6:$BN$53,MATCH($AL62,$BD$6:$BD$53,0),MATCH(AM$5,$BE$5:$BN$5,0))</f>
        <v>0</v>
      </c>
      <c r="AN62" s="214">
        <f t="shared" ca="1" si="223"/>
        <v>0</v>
      </c>
      <c r="AO62" s="214">
        <f t="shared" ca="1" si="223"/>
        <v>0</v>
      </c>
      <c r="AP62" s="214">
        <f t="shared" ca="1" si="223"/>
        <v>0</v>
      </c>
      <c r="AQ62" s="214">
        <f t="shared" ca="1" si="223"/>
        <v>0</v>
      </c>
      <c r="AR62" s="214">
        <f t="shared" ca="1" si="223"/>
        <v>0</v>
      </c>
      <c r="AS62" s="214">
        <f t="shared" ca="1" si="223"/>
        <v>0</v>
      </c>
      <c r="AT62" s="215">
        <f t="shared" ca="1" si="223"/>
        <v>0</v>
      </c>
      <c r="AU62" s="420">
        <f ca="1">INDEX($DL$6:$DL$53,MATCH(AI62,$DP$6:$DP$53,0))</f>
        <v>1</v>
      </c>
      <c r="AV62" s="217" t="str">
        <f ca="1">INDEX($BD$6:$BD$53,MATCH(AI62,$BM$6:$BM$53,0))</f>
        <v>España</v>
      </c>
      <c r="AW62" s="427"/>
      <c r="AX62" s="218"/>
      <c r="AY62" s="219" t="str">
        <f ca="1">+A61</f>
        <v>España</v>
      </c>
      <c r="AZ62" s="220"/>
      <c r="BA62" s="175"/>
      <c r="BB62" s="757" t="str">
        <f t="shared" si="188"/>
        <v>3E</v>
      </c>
      <c r="BC62" s="754" t="s">
        <v>3</v>
      </c>
      <c r="BD62" s="742" t="str">
        <f t="shared" ca="1" si="175"/>
        <v>Costa de Marfil</v>
      </c>
      <c r="BE62" s="746">
        <f t="shared" ca="1" si="189"/>
        <v>0</v>
      </c>
      <c r="BF62" s="746">
        <f t="shared" ca="1" si="190"/>
        <v>0</v>
      </c>
      <c r="BG62" s="746">
        <f t="shared" ca="1" si="191"/>
        <v>0</v>
      </c>
      <c r="BH62" s="746">
        <f t="shared" ca="1" si="192"/>
        <v>0</v>
      </c>
      <c r="BI62" s="746">
        <f t="shared" ca="1" si="176"/>
        <v>0</v>
      </c>
      <c r="BJ62" s="746">
        <f t="shared" ca="1" si="177"/>
        <v>0</v>
      </c>
      <c r="BK62" s="746">
        <f t="shared" ca="1" si="178"/>
        <v>0</v>
      </c>
      <c r="BL62" s="746">
        <f t="shared" ca="1" si="193"/>
        <v>0</v>
      </c>
      <c r="BM62" s="746">
        <f t="shared" ca="1" si="194"/>
        <v>6</v>
      </c>
      <c r="BN62" s="746">
        <f t="shared" ca="1" si="195"/>
        <v>6</v>
      </c>
      <c r="BO62" s="736" t="str">
        <f t="shared" si="196"/>
        <v>4E</v>
      </c>
      <c r="BP62" s="736"/>
      <c r="BQ62" s="736"/>
      <c r="BR62" s="746">
        <f t="shared" ca="1" si="179"/>
        <v>0</v>
      </c>
      <c r="BS62" s="746">
        <f t="shared" ca="1" si="197"/>
        <v>1</v>
      </c>
      <c r="BT62" s="746" t="str">
        <f t="shared" ca="1" si="198"/>
        <v>Pos. 1 (12)</v>
      </c>
      <c r="BU62" s="746">
        <f t="shared" ca="1" si="180"/>
        <v>0</v>
      </c>
      <c r="BV62" s="746">
        <f t="shared" ca="1" si="181"/>
        <v>1</v>
      </c>
      <c r="BW62" s="746" t="str">
        <f t="shared" ca="1" si="182"/>
        <v>Pos. 1 (12)</v>
      </c>
      <c r="BX62" s="746">
        <f t="shared" ca="1" si="183"/>
        <v>0</v>
      </c>
      <c r="BY62" s="746">
        <f t="shared" ca="1" si="184"/>
        <v>1</v>
      </c>
      <c r="BZ62" s="746" t="str">
        <f t="shared" ca="1" si="185"/>
        <v>Pos. 1 (12)</v>
      </c>
      <c r="CA62" s="746">
        <f t="shared" ca="1" si="199"/>
        <v>6</v>
      </c>
      <c r="CB62" s="746">
        <f t="shared" ca="1" si="200"/>
        <v>6</v>
      </c>
      <c r="CC62" s="746"/>
      <c r="CD62" s="746">
        <f t="shared" ca="1" si="201"/>
        <v>6</v>
      </c>
      <c r="CE62" s="746">
        <f t="shared" ca="1" si="202"/>
        <v>5</v>
      </c>
      <c r="CF62" s="746">
        <f t="shared" ca="1" si="203"/>
        <v>6</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1</v>
      </c>
      <c r="DK62" s="742"/>
      <c r="DL62" s="742">
        <f t="shared" ca="1" si="204"/>
        <v>1</v>
      </c>
      <c r="DM62" s="736" t="str">
        <f t="shared" ca="1" si="187"/>
        <v>1.1</v>
      </c>
      <c r="DN62" s="742" cm="1">
        <f t="array" aca="1" ref="DN62" ca="1">OFFSET(Horarios!$P$3,DJ62-1,0,DL62,1)</f>
        <v>1</v>
      </c>
      <c r="DO62" s="742"/>
      <c r="DP62" s="742">
        <v>5</v>
      </c>
      <c r="DQ62" s="742" t="str">
        <f t="shared" ca="1" si="205"/>
        <v>Corea del Sur</v>
      </c>
      <c r="DR62" s="742"/>
      <c r="DS62" s="742"/>
      <c r="DT62" s="742" t="str">
        <f t="shared" ca="1" si="15"/>
        <v>España-Arabia Saudita</v>
      </c>
      <c r="DU62" s="742"/>
      <c r="DV62" s="742"/>
      <c r="DW62" s="8"/>
    </row>
    <row r="63" spans="1:127">
      <c r="A63" s="743" t="str">
        <f ca="1">+Equipos!B32</f>
        <v>Arabia Saudita</v>
      </c>
      <c r="B63" s="740"/>
      <c r="C63" s="742"/>
      <c r="D63" s="742" t="str">
        <f t="shared" si="206"/>
        <v>Pendiente</v>
      </c>
      <c r="E63" s="742" t="str">
        <f t="shared" si="207"/>
        <v>-</v>
      </c>
      <c r="F63" s="742" t="str">
        <f t="shared" si="208"/>
        <v>-</v>
      </c>
      <c r="G63" s="742"/>
      <c r="H63" s="742" t="str">
        <f t="shared" si="209"/>
        <v>-</v>
      </c>
      <c r="I63" s="742" t="str">
        <f t="shared" si="210"/>
        <v>-</v>
      </c>
      <c r="J63" s="742"/>
      <c r="K63" s="742" t="str">
        <f t="shared" si="211"/>
        <v>-</v>
      </c>
      <c r="L63" s="742" t="str">
        <f t="shared" si="212"/>
        <v>-</v>
      </c>
      <c r="M63" s="742"/>
      <c r="N63" s="742" t="str">
        <f t="shared" si="213"/>
        <v>-</v>
      </c>
      <c r="O63" s="742" t="str">
        <f t="shared" si="214"/>
        <v>-</v>
      </c>
      <c r="P63" s="742"/>
      <c r="Q63" s="742" t="str">
        <f t="shared" si="215"/>
        <v>-</v>
      </c>
      <c r="R63" s="742" t="str">
        <f t="shared" si="216"/>
        <v>-</v>
      </c>
      <c r="S63" s="742"/>
      <c r="T63" s="742" t="str">
        <f t="shared" si="217"/>
        <v>-</v>
      </c>
      <c r="U63" s="742" t="str">
        <f t="shared" si="218"/>
        <v>-</v>
      </c>
      <c r="V63" s="172"/>
      <c r="W63" s="806"/>
      <c r="X63" s="189">
        <f ca="1">Horarios!C63</f>
        <v>46194.75</v>
      </c>
      <c r="Y63" s="190">
        <f ca="1">Horarios!C63</f>
        <v>46194.75</v>
      </c>
      <c r="Z63" s="191" t="str">
        <f>$Z$6</f>
        <v>J2</v>
      </c>
      <c r="AA63" s="192" t="str">
        <f ca="1">A64</f>
        <v>Uruguay</v>
      </c>
      <c r="AB63" s="478" t="str" cm="1">
        <f t="array" aca="1" ref="AB63" ca="1">Ver_flag_local</f>
        <v/>
      </c>
      <c r="AC63" s="193"/>
      <c r="AD63" s="194"/>
      <c r="AE63" s="483" t="str" cm="1">
        <f t="array" aca="1" ref="AE63" ca="1">Ver_flag_visit</f>
        <v/>
      </c>
      <c r="AF63" s="195" t="str">
        <f ca="1">A62</f>
        <v>Cabo Verde</v>
      </c>
      <c r="AG63" s="413">
        <f t="shared" si="219"/>
        <v>0</v>
      </c>
      <c r="AH63" s="196">
        <v>37</v>
      </c>
      <c r="AI63" s="19" t="str">
        <f t="shared" ref="AI63:AI65" si="224">AJ63&amp;$B$60</f>
        <v>2H</v>
      </c>
      <c r="AJ63" s="221">
        <v>2</v>
      </c>
      <c r="AK63" s="486" t="str" cm="1">
        <f t="array" aca="1" ref="AK63" ca="1">Ver_flag_visit</f>
        <v/>
      </c>
      <c r="AL63" s="222" t="str">
        <f ca="1">IFERROR(INDEX($BD$6:$BD$53,MATCH(AI63,$BN$6:$BN$53,0)),"")</f>
        <v>Cabo Verde</v>
      </c>
      <c r="AM63" s="223">
        <f t="shared" ca="1" si="223"/>
        <v>0</v>
      </c>
      <c r="AN63" s="224">
        <f t="shared" ca="1" si="223"/>
        <v>0</v>
      </c>
      <c r="AO63" s="224">
        <f t="shared" ca="1" si="223"/>
        <v>0</v>
      </c>
      <c r="AP63" s="224">
        <f t="shared" ca="1" si="223"/>
        <v>0</v>
      </c>
      <c r="AQ63" s="224">
        <f t="shared" ca="1" si="223"/>
        <v>0</v>
      </c>
      <c r="AR63" s="224">
        <f t="shared" ca="1" si="223"/>
        <v>0</v>
      </c>
      <c r="AS63" s="224">
        <f t="shared" ca="1" si="223"/>
        <v>0</v>
      </c>
      <c r="AT63" s="225">
        <f t="shared" ca="1" si="223"/>
        <v>0</v>
      </c>
      <c r="AU63" s="420">
        <f ca="1">INDEX($DL$6:$DL$53,MATCH(AI63,$DP$6:$DP$53,0))</f>
        <v>1</v>
      </c>
      <c r="AV63" s="217" t="str">
        <f ca="1">INDEX($BD$6:$BD$53,MATCH(AI63,$BM$6:$BM$53,0))</f>
        <v>Cabo Verde</v>
      </c>
      <c r="AW63" s="427"/>
      <c r="AX63" s="218"/>
      <c r="AY63" s="226" t="str">
        <f ca="1">+A62</f>
        <v>Cabo Verde</v>
      </c>
      <c r="AZ63" s="227"/>
      <c r="BA63" s="175"/>
      <c r="BB63" s="757" t="str">
        <f t="shared" si="188"/>
        <v>3F</v>
      </c>
      <c r="BC63" s="754" t="s">
        <v>4</v>
      </c>
      <c r="BD63" s="742" t="str">
        <f t="shared" ca="1" si="175"/>
        <v>Suecia</v>
      </c>
      <c r="BE63" s="746">
        <f t="shared" ca="1" si="189"/>
        <v>0</v>
      </c>
      <c r="BF63" s="746">
        <f t="shared" ca="1" si="190"/>
        <v>0</v>
      </c>
      <c r="BG63" s="746">
        <f t="shared" ca="1" si="191"/>
        <v>0</v>
      </c>
      <c r="BH63" s="746">
        <f t="shared" ca="1" si="192"/>
        <v>0</v>
      </c>
      <c r="BI63" s="746">
        <f t="shared" ca="1" si="176"/>
        <v>0</v>
      </c>
      <c r="BJ63" s="746">
        <f t="shared" ca="1" si="177"/>
        <v>0</v>
      </c>
      <c r="BK63" s="746">
        <f t="shared" ca="1" si="178"/>
        <v>0</v>
      </c>
      <c r="BL63" s="746">
        <f t="shared" ca="1" si="193"/>
        <v>0</v>
      </c>
      <c r="BM63" s="746">
        <f t="shared" ca="1" si="194"/>
        <v>11</v>
      </c>
      <c r="BN63" s="746">
        <f t="shared" ca="1" si="195"/>
        <v>11</v>
      </c>
      <c r="BO63" s="736" t="str">
        <f t="shared" si="196"/>
        <v>4F</v>
      </c>
      <c r="BP63" s="736"/>
      <c r="BQ63" s="736"/>
      <c r="BR63" s="746">
        <f t="shared" ca="1" si="179"/>
        <v>0</v>
      </c>
      <c r="BS63" s="746">
        <f t="shared" ca="1" si="197"/>
        <v>1</v>
      </c>
      <c r="BT63" s="746" t="str">
        <f t="shared" ca="1" si="198"/>
        <v>Pos. 1 (12)</v>
      </c>
      <c r="BU63" s="746">
        <f t="shared" ca="1" si="180"/>
        <v>0</v>
      </c>
      <c r="BV63" s="746">
        <f t="shared" ca="1" si="181"/>
        <v>1</v>
      </c>
      <c r="BW63" s="746" t="str">
        <f t="shared" ca="1" si="182"/>
        <v>Pos. 1 (12)</v>
      </c>
      <c r="BX63" s="746">
        <f t="shared" ca="1" si="183"/>
        <v>0</v>
      </c>
      <c r="BY63" s="746">
        <f t="shared" ca="1" si="184"/>
        <v>1</v>
      </c>
      <c r="BZ63" s="746" t="str">
        <f t="shared" ca="1" si="185"/>
        <v>Pos. 1 (12)</v>
      </c>
      <c r="CA63" s="746">
        <f t="shared" ca="1" si="199"/>
        <v>1</v>
      </c>
      <c r="CB63" s="746">
        <f t="shared" ca="1" si="200"/>
        <v>11</v>
      </c>
      <c r="CC63" s="746"/>
      <c r="CD63" s="746">
        <f t="shared" ca="1" si="201"/>
        <v>11</v>
      </c>
      <c r="CE63" s="746">
        <f t="shared" ca="1" si="202"/>
        <v>10</v>
      </c>
      <c r="CF63" s="746">
        <f t="shared" ca="1" si="203"/>
        <v>11</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1</v>
      </c>
      <c r="DK63" s="742"/>
      <c r="DL63" s="742">
        <f t="shared" ca="1" si="204"/>
        <v>1</v>
      </c>
      <c r="DM63" s="736" t="str">
        <f t="shared" ca="1" si="187"/>
        <v>1.1</v>
      </c>
      <c r="DN63" s="742" cm="1">
        <f t="array" aca="1" ref="DN63" ca="1">OFFSET(Horarios!$P$3,DJ63-1,0,DL63,1)</f>
        <v>1</v>
      </c>
      <c r="DO63" s="742"/>
      <c r="DP63" s="742">
        <v>6</v>
      </c>
      <c r="DQ63" s="742" t="str">
        <f t="shared" ca="1" si="205"/>
        <v>Costa de Marfil</v>
      </c>
      <c r="DR63" s="742"/>
      <c r="DS63" s="742"/>
      <c r="DT63" s="742" t="str">
        <f t="shared" ca="1" si="15"/>
        <v>Uruguay-Cabo Verde</v>
      </c>
      <c r="DU63" s="742"/>
      <c r="DV63" s="742"/>
      <c r="DW63" s="8"/>
    </row>
    <row r="64" spans="1:127">
      <c r="A64" s="743" t="str">
        <f ca="1">+Equipos!B33</f>
        <v>Uruguay</v>
      </c>
      <c r="B64" s="740"/>
      <c r="C64" s="742"/>
      <c r="D64" s="742" t="str">
        <f t="shared" si="206"/>
        <v>Pendiente</v>
      </c>
      <c r="E64" s="742" t="str">
        <f t="shared" si="207"/>
        <v>-</v>
      </c>
      <c r="F64" s="742" t="str">
        <f t="shared" si="208"/>
        <v>-</v>
      </c>
      <c r="G64" s="742"/>
      <c r="H64" s="742" t="str">
        <f t="shared" si="209"/>
        <v>-</v>
      </c>
      <c r="I64" s="742" t="str">
        <f t="shared" si="210"/>
        <v>-</v>
      </c>
      <c r="J64" s="742"/>
      <c r="K64" s="742" t="str">
        <f t="shared" si="211"/>
        <v>-</v>
      </c>
      <c r="L64" s="742" t="str">
        <f t="shared" si="212"/>
        <v>-</v>
      </c>
      <c r="M64" s="742"/>
      <c r="N64" s="742" t="str">
        <f t="shared" si="213"/>
        <v>-</v>
      </c>
      <c r="O64" s="742" t="str">
        <f t="shared" si="214"/>
        <v>-</v>
      </c>
      <c r="P64" s="742"/>
      <c r="Q64" s="742" t="str">
        <f t="shared" si="215"/>
        <v>-</v>
      </c>
      <c r="R64" s="742" t="str">
        <f t="shared" si="216"/>
        <v>-</v>
      </c>
      <c r="S64" s="742"/>
      <c r="T64" s="742" t="str">
        <f t="shared" si="217"/>
        <v>-</v>
      </c>
      <c r="U64" s="742" t="str">
        <f t="shared" si="218"/>
        <v>-</v>
      </c>
      <c r="V64" s="172"/>
      <c r="W64" s="806"/>
      <c r="X64" s="189">
        <f ca="1">Horarios!C64</f>
        <v>46199.833333333336</v>
      </c>
      <c r="Y64" s="190">
        <f ca="1">Horarios!C64</f>
        <v>46199.833333333336</v>
      </c>
      <c r="Z64" s="191" t="str">
        <f>$Z$8</f>
        <v>J3</v>
      </c>
      <c r="AA64" s="192" t="str">
        <f ca="1">A62</f>
        <v>Cabo Verde</v>
      </c>
      <c r="AB64" s="478" t="str" cm="1">
        <f t="array" aca="1" ref="AB64" ca="1">Ver_flag_local</f>
        <v/>
      </c>
      <c r="AC64" s="193"/>
      <c r="AD64" s="194"/>
      <c r="AE64" s="483" t="str" cm="1">
        <f t="array" aca="1" ref="AE64" ca="1">Ver_flag_visit</f>
        <v/>
      </c>
      <c r="AF64" s="195" t="str">
        <f ca="1">A63</f>
        <v>Arabia Saudita</v>
      </c>
      <c r="AG64" s="413">
        <f t="shared" si="219"/>
        <v>0</v>
      </c>
      <c r="AH64" s="196">
        <v>65</v>
      </c>
      <c r="AI64" s="19" t="str">
        <f t="shared" si="224"/>
        <v>3H</v>
      </c>
      <c r="AJ64" s="221">
        <v>3</v>
      </c>
      <c r="AK64" s="486" t="str" cm="1">
        <f t="array" aca="1" ref="AK64" ca="1">Ver_flag_visit</f>
        <v/>
      </c>
      <c r="AL64" s="222" t="str">
        <f ca="1">IFERROR(INDEX($BD$6:$BD$53,MATCH(AI64,$BN$6:$BN$53,0)),"")</f>
        <v>Arabia Saudita</v>
      </c>
      <c r="AM64" s="223">
        <f t="shared" ca="1" si="223"/>
        <v>0</v>
      </c>
      <c r="AN64" s="224">
        <f t="shared" ca="1" si="223"/>
        <v>0</v>
      </c>
      <c r="AO64" s="224">
        <f t="shared" ca="1" si="223"/>
        <v>0</v>
      </c>
      <c r="AP64" s="224">
        <f t="shared" ca="1" si="223"/>
        <v>0</v>
      </c>
      <c r="AQ64" s="224">
        <f t="shared" ca="1" si="223"/>
        <v>0</v>
      </c>
      <c r="AR64" s="224">
        <f t="shared" ca="1" si="223"/>
        <v>0</v>
      </c>
      <c r="AS64" s="224">
        <f t="shared" ca="1" si="223"/>
        <v>0</v>
      </c>
      <c r="AT64" s="225">
        <f t="shared" ca="1" si="223"/>
        <v>0</v>
      </c>
      <c r="AU64" s="420">
        <f ca="1">INDEX($DL$6:$DL$53,MATCH(AI64,$DP$6:$DP$53,0))</f>
        <v>1</v>
      </c>
      <c r="AV64" s="217" t="str">
        <f ca="1">INDEX($BD$6:$BD$53,MATCH(AI64,$BM$6:$BM$53,0))</f>
        <v>Arabia Saudita</v>
      </c>
      <c r="AW64" s="427"/>
      <c r="AX64" s="218"/>
      <c r="AY64" s="219" t="str">
        <f ca="1">+A63</f>
        <v>Arabia Saudita</v>
      </c>
      <c r="AZ64" s="220"/>
      <c r="BA64" s="175"/>
      <c r="BB64" s="757" t="str">
        <f t="shared" si="188"/>
        <v>3G</v>
      </c>
      <c r="BC64" s="754" t="s">
        <v>6</v>
      </c>
      <c r="BD64" s="742" t="str">
        <f t="shared" ca="1" si="175"/>
        <v>Irán</v>
      </c>
      <c r="BE64" s="746">
        <f t="shared" ca="1" si="189"/>
        <v>0</v>
      </c>
      <c r="BF64" s="746">
        <f t="shared" ca="1" si="190"/>
        <v>0</v>
      </c>
      <c r="BG64" s="746">
        <f t="shared" ca="1" si="191"/>
        <v>0</v>
      </c>
      <c r="BH64" s="746">
        <f t="shared" ca="1" si="192"/>
        <v>0</v>
      </c>
      <c r="BI64" s="746">
        <f t="shared" ca="1" si="176"/>
        <v>0</v>
      </c>
      <c r="BJ64" s="746">
        <f t="shared" ca="1" si="177"/>
        <v>0</v>
      </c>
      <c r="BK64" s="746">
        <f t="shared" ca="1" si="178"/>
        <v>0</v>
      </c>
      <c r="BL64" s="746">
        <f t="shared" ca="1" si="193"/>
        <v>0</v>
      </c>
      <c r="BM64" s="746">
        <f t="shared" ca="1" si="194"/>
        <v>10</v>
      </c>
      <c r="BN64" s="746">
        <f t="shared" ca="1" si="195"/>
        <v>10</v>
      </c>
      <c r="BO64" s="736" t="str">
        <f t="shared" si="196"/>
        <v>4G</v>
      </c>
      <c r="BP64" s="736"/>
      <c r="BQ64" s="736"/>
      <c r="BR64" s="746">
        <f t="shared" ca="1" si="179"/>
        <v>0</v>
      </c>
      <c r="BS64" s="746">
        <f t="shared" ca="1" si="197"/>
        <v>1</v>
      </c>
      <c r="BT64" s="746" t="str">
        <f t="shared" ca="1" si="198"/>
        <v>Pos. 1 (12)</v>
      </c>
      <c r="BU64" s="746">
        <f t="shared" ca="1" si="180"/>
        <v>0</v>
      </c>
      <c r="BV64" s="746">
        <f t="shared" ca="1" si="181"/>
        <v>1</v>
      </c>
      <c r="BW64" s="746" t="str">
        <f t="shared" ca="1" si="182"/>
        <v>Pos. 1 (12)</v>
      </c>
      <c r="BX64" s="746">
        <f t="shared" ca="1" si="183"/>
        <v>0</v>
      </c>
      <c r="BY64" s="746">
        <f t="shared" ca="1" si="184"/>
        <v>1</v>
      </c>
      <c r="BZ64" s="746" t="str">
        <f t="shared" ca="1" si="185"/>
        <v>Pos. 1 (12)</v>
      </c>
      <c r="CA64" s="746">
        <f t="shared" ca="1" si="199"/>
        <v>2</v>
      </c>
      <c r="CB64" s="746">
        <f t="shared" ca="1" si="200"/>
        <v>10</v>
      </c>
      <c r="CC64" s="746"/>
      <c r="CD64" s="746">
        <f t="shared" ca="1" si="201"/>
        <v>10</v>
      </c>
      <c r="CE64" s="746">
        <f t="shared" ca="1" si="202"/>
        <v>9</v>
      </c>
      <c r="CF64" s="746">
        <f t="shared" ca="1" si="203"/>
        <v>10</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1</v>
      </c>
      <c r="DK64" s="742"/>
      <c r="DL64" s="742">
        <f t="shared" ca="1" si="204"/>
        <v>1</v>
      </c>
      <c r="DM64" s="736" t="str">
        <f t="shared" ca="1" si="187"/>
        <v>1.1</v>
      </c>
      <c r="DN64" s="742" cm="1">
        <f t="array" aca="1" ref="DN64" ca="1">OFFSET(Horarios!$P$3,DJ64-1,0,DL64,1)</f>
        <v>1</v>
      </c>
      <c r="DO64" s="742"/>
      <c r="DP64" s="742">
        <v>7</v>
      </c>
      <c r="DQ64" s="742" t="str">
        <f t="shared" ca="1" si="205"/>
        <v>Ghana</v>
      </c>
      <c r="DR64" s="742"/>
      <c r="DS64" s="742"/>
      <c r="DT64" s="742" t="str">
        <f t="shared" ca="1" si="15"/>
        <v>Cabo Verde-Arabia Saudita</v>
      </c>
      <c r="DU64" s="742"/>
      <c r="DV64" s="742"/>
      <c r="DW64" s="8"/>
    </row>
    <row r="65" spans="1:127" ht="15.75" thickBot="1">
      <c r="A65" s="737"/>
      <c r="B65" s="740"/>
      <c r="C65" s="737"/>
      <c r="D65" s="742" t="str">
        <f t="shared" si="206"/>
        <v>Pendiente</v>
      </c>
      <c r="E65" s="742" t="str">
        <f t="shared" si="207"/>
        <v>-</v>
      </c>
      <c r="F65" s="742" t="str">
        <f t="shared" si="208"/>
        <v>-</v>
      </c>
      <c r="G65" s="742"/>
      <c r="H65" s="742" t="str">
        <f t="shared" si="209"/>
        <v>-</v>
      </c>
      <c r="I65" s="742" t="str">
        <f t="shared" si="210"/>
        <v>-</v>
      </c>
      <c r="J65" s="742"/>
      <c r="K65" s="742" t="str">
        <f t="shared" si="211"/>
        <v>-</v>
      </c>
      <c r="L65" s="742" t="str">
        <f t="shared" si="212"/>
        <v>-</v>
      </c>
      <c r="M65" s="742"/>
      <c r="N65" s="742" t="str">
        <f t="shared" si="213"/>
        <v>-</v>
      </c>
      <c r="O65" s="742" t="str">
        <f t="shared" si="214"/>
        <v>-</v>
      </c>
      <c r="P65" s="742"/>
      <c r="Q65" s="742" t="str">
        <f t="shared" si="215"/>
        <v>-</v>
      </c>
      <c r="R65" s="742" t="str">
        <f t="shared" si="216"/>
        <v>-</v>
      </c>
      <c r="S65" s="742"/>
      <c r="T65" s="742" t="str">
        <f t="shared" si="217"/>
        <v>-</v>
      </c>
      <c r="U65" s="742" t="str">
        <f t="shared" si="218"/>
        <v>-</v>
      </c>
      <c r="V65" s="172"/>
      <c r="W65" s="807"/>
      <c r="X65" s="228">
        <f ca="1">Horarios!C65</f>
        <v>46199.833333333336</v>
      </c>
      <c r="Y65" s="229">
        <f ca="1">Horarios!C65</f>
        <v>46199.833333333336</v>
      </c>
      <c r="Z65" s="230" t="str">
        <f>$Z$8</f>
        <v>J3</v>
      </c>
      <c r="AA65" s="231" t="str">
        <f ca="1">A64</f>
        <v>Uruguay</v>
      </c>
      <c r="AB65" s="479" t="str" cm="1">
        <f t="array" aca="1" ref="AB65" ca="1">Ver_flag_local</f>
        <v/>
      </c>
      <c r="AC65" s="232"/>
      <c r="AD65" s="233"/>
      <c r="AE65" s="484" t="str" cm="1">
        <f t="array" aca="1" ref="AE65" ca="1">Ver_flag_visit</f>
        <v/>
      </c>
      <c r="AF65" s="234" t="str">
        <f ca="1">A61</f>
        <v>España</v>
      </c>
      <c r="AG65" s="413">
        <f t="shared" si="219"/>
        <v>0</v>
      </c>
      <c r="AH65" s="196">
        <v>66</v>
      </c>
      <c r="AI65" s="19" t="str">
        <f t="shared" si="224"/>
        <v>4H</v>
      </c>
      <c r="AJ65" s="235">
        <v>4</v>
      </c>
      <c r="AK65" s="487" t="str" cm="1">
        <f t="array" aca="1" ref="AK65" ca="1">Ver_flag_visit</f>
        <v/>
      </c>
      <c r="AL65" s="236" t="str">
        <f ca="1">IFERROR(INDEX($BD$6:$BD$53,MATCH(AI65,$BN$6:$BN$53,0)),"")</f>
        <v>Uruguay</v>
      </c>
      <c r="AM65" s="237">
        <f t="shared" ca="1" si="223"/>
        <v>0</v>
      </c>
      <c r="AN65" s="238">
        <f t="shared" ca="1" si="223"/>
        <v>0</v>
      </c>
      <c r="AO65" s="238">
        <f t="shared" ca="1" si="223"/>
        <v>0</v>
      </c>
      <c r="AP65" s="238">
        <f t="shared" ca="1" si="223"/>
        <v>0</v>
      </c>
      <c r="AQ65" s="238">
        <f t="shared" ca="1" si="223"/>
        <v>0</v>
      </c>
      <c r="AR65" s="238">
        <f t="shared" ca="1" si="223"/>
        <v>0</v>
      </c>
      <c r="AS65" s="238">
        <f t="shared" ca="1" si="223"/>
        <v>0</v>
      </c>
      <c r="AT65" s="239">
        <f t="shared" ca="1" si="223"/>
        <v>0</v>
      </c>
      <c r="AU65" s="420">
        <f ca="1">INDEX($DL$6:$DL$53,MATCH(AI65,$DP$6:$DP$53,0))</f>
        <v>1</v>
      </c>
      <c r="AV65" s="217" t="str">
        <f ca="1">INDEX($BD$6:$BD$53,MATCH(AI65,$BM$6:$BM$53,0))</f>
        <v>Uruguay</v>
      </c>
      <c r="AW65" s="427"/>
      <c r="AX65" s="218"/>
      <c r="AY65" s="240" t="str">
        <f ca="1">+A64</f>
        <v>Uruguay</v>
      </c>
      <c r="AZ65" s="241"/>
      <c r="BA65" s="175"/>
      <c r="BB65" s="757" t="str">
        <f t="shared" si="188"/>
        <v>3H</v>
      </c>
      <c r="BC65" s="754" t="s">
        <v>437</v>
      </c>
      <c r="BD65" s="742" t="str">
        <f t="shared" ca="1" si="175"/>
        <v>Arabia Saudita</v>
      </c>
      <c r="BE65" s="746">
        <f t="shared" ca="1" si="189"/>
        <v>0</v>
      </c>
      <c r="BF65" s="746">
        <f t="shared" ca="1" si="190"/>
        <v>0</v>
      </c>
      <c r="BG65" s="746">
        <f t="shared" ca="1" si="191"/>
        <v>0</v>
      </c>
      <c r="BH65" s="746">
        <f t="shared" ca="1" si="192"/>
        <v>0</v>
      </c>
      <c r="BI65" s="746">
        <f t="shared" ca="1" si="176"/>
        <v>0</v>
      </c>
      <c r="BJ65" s="746">
        <f t="shared" ca="1" si="177"/>
        <v>0</v>
      </c>
      <c r="BK65" s="746">
        <f t="shared" ca="1" si="178"/>
        <v>0</v>
      </c>
      <c r="BL65" s="746">
        <f t="shared" ca="1" si="193"/>
        <v>0</v>
      </c>
      <c r="BM65" s="746">
        <f t="shared" ca="1" si="194"/>
        <v>1</v>
      </c>
      <c r="BN65" s="746">
        <f t="shared" ca="1" si="195"/>
        <v>1</v>
      </c>
      <c r="BO65" s="736" t="str">
        <f t="shared" si="196"/>
        <v>4H</v>
      </c>
      <c r="BP65" s="736"/>
      <c r="BQ65" s="736"/>
      <c r="BR65" s="746">
        <f t="shared" ca="1" si="179"/>
        <v>0</v>
      </c>
      <c r="BS65" s="746">
        <f t="shared" ca="1" si="197"/>
        <v>1</v>
      </c>
      <c r="BT65" s="746" t="str">
        <f t="shared" ca="1" si="198"/>
        <v>Pos. 1 (12)</v>
      </c>
      <c r="BU65" s="746">
        <f t="shared" ca="1" si="180"/>
        <v>0</v>
      </c>
      <c r="BV65" s="746">
        <f t="shared" ca="1" si="181"/>
        <v>1</v>
      </c>
      <c r="BW65" s="746" t="str">
        <f t="shared" ca="1" si="182"/>
        <v>Pos. 1 (12)</v>
      </c>
      <c r="BX65" s="746">
        <f t="shared" ca="1" si="183"/>
        <v>0</v>
      </c>
      <c r="BY65" s="746">
        <f t="shared" ca="1" si="184"/>
        <v>1</v>
      </c>
      <c r="BZ65" s="746" t="str">
        <f t="shared" ca="1" si="185"/>
        <v>Pos. 1 (12)</v>
      </c>
      <c r="CA65" s="746">
        <f t="shared" ca="1" si="199"/>
        <v>11</v>
      </c>
      <c r="CB65" s="746">
        <f t="shared" ca="1" si="200"/>
        <v>1</v>
      </c>
      <c r="CC65" s="746"/>
      <c r="CD65" s="746">
        <f t="shared" ca="1" si="201"/>
        <v>1</v>
      </c>
      <c r="CE65" s="746">
        <f t="shared" ca="1" si="202"/>
        <v>0</v>
      </c>
      <c r="CF65" s="746">
        <f t="shared" ca="1" si="203"/>
        <v>1</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1</v>
      </c>
      <c r="DK65" s="742"/>
      <c r="DL65" s="742">
        <f t="shared" ca="1" si="204"/>
        <v>1</v>
      </c>
      <c r="DM65" s="736" t="str">
        <f t="shared" ca="1" si="187"/>
        <v>1.1</v>
      </c>
      <c r="DN65" s="742" cm="1">
        <f t="array" aca="1" ref="DN65" ca="1">OFFSET(Horarios!$P$3,DJ65-1,0,DL65,1)</f>
        <v>1</v>
      </c>
      <c r="DO65" s="742"/>
      <c r="DP65" s="742">
        <v>8</v>
      </c>
      <c r="DQ65" s="742" t="str">
        <f t="shared" ca="1" si="205"/>
        <v>Haití</v>
      </c>
      <c r="DR65" s="742"/>
      <c r="DS65" s="742"/>
      <c r="DT65" s="742" t="str">
        <f t="shared" ca="1" si="15"/>
        <v>Uruguay-España</v>
      </c>
      <c r="DU65" s="742"/>
      <c r="DV65" s="742"/>
      <c r="DW65" s="8"/>
    </row>
    <row r="66" spans="1:127" ht="15.7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Irak</v>
      </c>
      <c r="BE66" s="746">
        <f t="shared" ca="1" si="189"/>
        <v>0</v>
      </c>
      <c r="BF66" s="746">
        <f t="shared" ca="1" si="190"/>
        <v>0</v>
      </c>
      <c r="BG66" s="746">
        <f t="shared" ca="1" si="191"/>
        <v>0</v>
      </c>
      <c r="BH66" s="746">
        <f t="shared" ca="1" si="192"/>
        <v>0</v>
      </c>
      <c r="BI66" s="746">
        <f t="shared" ca="1" si="176"/>
        <v>0</v>
      </c>
      <c r="BJ66" s="746">
        <f t="shared" ca="1" si="177"/>
        <v>0</v>
      </c>
      <c r="BK66" s="746">
        <f t="shared" ca="1" si="178"/>
        <v>0</v>
      </c>
      <c r="BL66" s="746">
        <f t="shared" ca="1" si="193"/>
        <v>0</v>
      </c>
      <c r="BM66" s="746">
        <f t="shared" ca="1" si="194"/>
        <v>9</v>
      </c>
      <c r="BN66" s="746">
        <f t="shared" ca="1" si="195"/>
        <v>9</v>
      </c>
      <c r="BO66" s="736" t="str">
        <f t="shared" si="196"/>
        <v>4I</v>
      </c>
      <c r="BP66" s="736"/>
      <c r="BQ66" s="736"/>
      <c r="BR66" s="746">
        <f t="shared" ca="1" si="179"/>
        <v>0</v>
      </c>
      <c r="BS66" s="746">
        <f t="shared" ca="1" si="197"/>
        <v>1</v>
      </c>
      <c r="BT66" s="746" t="str">
        <f t="shared" ca="1" si="198"/>
        <v>Pos. 1 (12)</v>
      </c>
      <c r="BU66" s="746">
        <f t="shared" ca="1" si="180"/>
        <v>0</v>
      </c>
      <c r="BV66" s="746">
        <f t="shared" ca="1" si="181"/>
        <v>1</v>
      </c>
      <c r="BW66" s="746" t="str">
        <f t="shared" ca="1" si="182"/>
        <v>Pos. 1 (12)</v>
      </c>
      <c r="BX66" s="746">
        <f t="shared" ca="1" si="183"/>
        <v>0</v>
      </c>
      <c r="BY66" s="746">
        <f t="shared" ca="1" si="184"/>
        <v>1</v>
      </c>
      <c r="BZ66" s="746" t="str">
        <f t="shared" ca="1" si="185"/>
        <v>Pos. 1 (12)</v>
      </c>
      <c r="CA66" s="746">
        <f t="shared" ca="1" si="199"/>
        <v>3</v>
      </c>
      <c r="CB66" s="746">
        <f t="shared" ca="1" si="200"/>
        <v>9</v>
      </c>
      <c r="CC66" s="746"/>
      <c r="CD66" s="746">
        <f t="shared" ca="1" si="201"/>
        <v>9</v>
      </c>
      <c r="CE66" s="746">
        <f t="shared" ca="1" si="202"/>
        <v>8</v>
      </c>
      <c r="CF66" s="746">
        <f t="shared" ca="1" si="203"/>
        <v>9</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1</v>
      </c>
      <c r="DK66" s="742"/>
      <c r="DL66" s="742">
        <f t="shared" ca="1" si="204"/>
        <v>1</v>
      </c>
      <c r="DM66" s="736" t="str">
        <f t="shared" ca="1" si="187"/>
        <v>1.1</v>
      </c>
      <c r="DN66" s="742" cm="1">
        <f t="array" aca="1" ref="DN66" ca="1">OFFSET(Horarios!$P$3,DJ66-1,0,DL66,1)</f>
        <v>1</v>
      </c>
      <c r="DO66" s="742"/>
      <c r="DP66" s="742">
        <v>9</v>
      </c>
      <c r="DQ66" s="742" t="str">
        <f t="shared" ca="1" si="205"/>
        <v>Irak</v>
      </c>
      <c r="DR66" s="742"/>
      <c r="DS66" s="742"/>
      <c r="DT66" s="742" t="str">
        <f t="shared" si="15"/>
        <v>-</v>
      </c>
      <c r="DU66" s="742"/>
      <c r="DV66" s="742"/>
      <c r="DW66" s="8"/>
    </row>
    <row r="67" spans="1:127" ht="15.7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Austria</v>
      </c>
      <c r="BE67" s="746">
        <f t="shared" ca="1" si="189"/>
        <v>0</v>
      </c>
      <c r="BF67" s="746">
        <f t="shared" ca="1" si="190"/>
        <v>0</v>
      </c>
      <c r="BG67" s="746">
        <f t="shared" ca="1" si="191"/>
        <v>0</v>
      </c>
      <c r="BH67" s="746">
        <f t="shared" ca="1" si="192"/>
        <v>0</v>
      </c>
      <c r="BI67" s="746">
        <f t="shared" ca="1" si="176"/>
        <v>0</v>
      </c>
      <c r="BJ67" s="746">
        <f t="shared" ca="1" si="177"/>
        <v>0</v>
      </c>
      <c r="BK67" s="746">
        <f t="shared" ca="1" si="178"/>
        <v>0</v>
      </c>
      <c r="BL67" s="746">
        <f t="shared" ca="1" si="193"/>
        <v>0</v>
      </c>
      <c r="BM67" s="746">
        <f t="shared" ca="1" si="194"/>
        <v>3</v>
      </c>
      <c r="BN67" s="746">
        <f t="shared" ca="1" si="195"/>
        <v>3</v>
      </c>
      <c r="BO67" s="736" t="str">
        <f t="shared" si="196"/>
        <v>4J</v>
      </c>
      <c r="BP67" s="736"/>
      <c r="BQ67" s="736"/>
      <c r="BR67" s="746">
        <f t="shared" ca="1" si="179"/>
        <v>0</v>
      </c>
      <c r="BS67" s="746">
        <f t="shared" ca="1" si="197"/>
        <v>1</v>
      </c>
      <c r="BT67" s="746" t="str">
        <f t="shared" ca="1" si="198"/>
        <v>Pos. 1 (12)</v>
      </c>
      <c r="BU67" s="746">
        <f t="shared" ca="1" si="180"/>
        <v>0</v>
      </c>
      <c r="BV67" s="746">
        <f t="shared" ca="1" si="181"/>
        <v>1</v>
      </c>
      <c r="BW67" s="746" t="str">
        <f t="shared" ca="1" si="182"/>
        <v>Pos. 1 (12)</v>
      </c>
      <c r="BX67" s="746">
        <f t="shared" ca="1" si="183"/>
        <v>0</v>
      </c>
      <c r="BY67" s="746">
        <f t="shared" ca="1" si="184"/>
        <v>1</v>
      </c>
      <c r="BZ67" s="746" t="str">
        <f t="shared" ca="1" si="185"/>
        <v>Pos. 1 (12)</v>
      </c>
      <c r="CA67" s="746">
        <f t="shared" ca="1" si="199"/>
        <v>9</v>
      </c>
      <c r="CB67" s="746">
        <f t="shared" ca="1" si="200"/>
        <v>3</v>
      </c>
      <c r="CC67" s="746"/>
      <c r="CD67" s="746">
        <f t="shared" ca="1" si="201"/>
        <v>3</v>
      </c>
      <c r="CE67" s="746">
        <f t="shared" ca="1" si="202"/>
        <v>2</v>
      </c>
      <c r="CF67" s="746">
        <f t="shared" ca="1" si="203"/>
        <v>3</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v>
      </c>
      <c r="DK67" s="742"/>
      <c r="DL67" s="742">
        <f t="shared" ca="1" si="204"/>
        <v>1</v>
      </c>
      <c r="DM67" s="736" t="str">
        <f t="shared" ca="1" si="187"/>
        <v>1.1</v>
      </c>
      <c r="DN67" s="742" cm="1">
        <f t="array" aca="1" ref="DN67" ca="1">OFFSET(Horarios!$P$3,DJ67-1,0,DL67,1)</f>
        <v>1</v>
      </c>
      <c r="DO67" s="742"/>
      <c r="DP67" s="742">
        <v>10</v>
      </c>
      <c r="DQ67" s="742" t="str">
        <f t="shared" ca="1" si="205"/>
        <v>Irán</v>
      </c>
      <c r="DR67" s="742"/>
      <c r="DS67" s="742"/>
      <c r="DT67" s="742" t="str">
        <f t="shared" si="15"/>
        <v>Casa-Fuera</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Pendiente</v>
      </c>
      <c r="E68" s="742" t="str">
        <f t="shared" ref="E68:E73" si="226">IF(D68="Pendiente","-",INDEX($BT$6:$BT$53,MATCH($AA68,$BD$6:$BD$53,0)))</f>
        <v>-</v>
      </c>
      <c r="F68" s="742" t="str">
        <f t="shared" ref="F68:F73" si="227">IF(D68="Pendiente","-",INDEX($BT$6:$BT$53,MATCH($AF68,$BD$6:$BD$53,0)))</f>
        <v>-</v>
      </c>
      <c r="G68" s="742"/>
      <c r="H68" s="742" t="str">
        <f t="shared" ref="H68:H73" si="228">IF(D68="Pendiente","-",INDEX($BZ$6:$BZ$53,MATCH($AA68,$BD$6:$BD$53,0)))</f>
        <v>-</v>
      </c>
      <c r="I68" s="742" t="str">
        <f t="shared" ref="I68:I73" si="229">IF(D68="Pendiente","-",INDEX($BZ$6:$BZ$53,MATCH($AF68,$BD$6:$BD$53,0)))</f>
        <v>-</v>
      </c>
      <c r="J68" s="742"/>
      <c r="K68" s="742" t="str">
        <f t="shared" ref="K68:K73" si="230">IF(D68="Pendiente","-",INDEX($CE$6:$CE$53,MATCH($AA68,$BD$6:$BD$53,0)))</f>
        <v>-</v>
      </c>
      <c r="L68" s="742" t="str">
        <f t="shared" ref="L68:L73" si="231">IF(D68="Pendiente","-",INDEX($CE$6:$CE$53,MATCH($AF68,$BD$6:$BD$53,0)))</f>
        <v>-</v>
      </c>
      <c r="M68" s="742"/>
      <c r="N68" s="742" t="str">
        <f t="shared" ref="N68:N73" si="232">IF(D68="Pendiente","-",INDEX($CH$6:$CH$53,MATCH($AA68,$BD$6:$BD$53,0)))</f>
        <v>-</v>
      </c>
      <c r="O68" s="742" t="str">
        <f t="shared" ref="O68:O73" si="233">IF(D68="Pendiente","-",INDEX($CH$6:$CH$53,MATCH($AF68,$BD$6:$BD$53,0)))</f>
        <v>-</v>
      </c>
      <c r="P68" s="742"/>
      <c r="Q68" s="742" t="str">
        <f t="shared" ref="Q68:Q73" si="234">IF(D68="Pendiente","-",INDEX($CN$6:$CN$53,MATCH($AA68,$BD$6:$BD$53,0)))</f>
        <v>-</v>
      </c>
      <c r="R68" s="742" t="str">
        <f t="shared" ref="R68:R73" si="235">IF(D68="Pendiente","-",INDEX($CN$6:$CN$53,MATCH($AF68,$BD$6:$BD$53,0)))</f>
        <v>-</v>
      </c>
      <c r="S68" s="742"/>
      <c r="T68" s="742" t="str">
        <f t="shared" ref="T68:T73" si="236">IF(D68="Pendiente","-",INDEX($CS$6:$CS$53,MATCH($AA68,$BD$6:$BD$53,0)))</f>
        <v>-</v>
      </c>
      <c r="U68" s="742" t="str">
        <f t="shared" ref="U68:U73" si="237">IF(D68="Pendiente","-",INDEX($CS$6:$CS$53,MATCH($AF68,$BD$6:$BD$53,0)))</f>
        <v>-</v>
      </c>
      <c r="V68" s="172"/>
      <c r="W68" s="812" t="s">
        <v>438</v>
      </c>
      <c r="X68" s="189">
        <f ca="1">Horarios!C68</f>
        <v>46189.625</v>
      </c>
      <c r="Y68" s="190">
        <f ca="1">Horarios!C68</f>
        <v>46189.625</v>
      </c>
      <c r="Z68" s="191" t="str">
        <f>$Z$4</f>
        <v>J1</v>
      </c>
      <c r="AA68" s="192" t="str">
        <f ca="1">A69</f>
        <v>Francia</v>
      </c>
      <c r="AB68" s="478" t="str" cm="1">
        <f t="array" aca="1" ref="AB68" ca="1">Ver_flag_local</f>
        <v/>
      </c>
      <c r="AC68" s="193"/>
      <c r="AD68" s="194"/>
      <c r="AE68" s="483" t="str" cm="1">
        <f t="array" aca="1" ref="AE68" ca="1">Ver_flag_visit</f>
        <v/>
      </c>
      <c r="AF68" s="195" t="str">
        <f ca="1">A70</f>
        <v>Senegal</v>
      </c>
      <c r="AG68" s="413">
        <f t="shared" ref="AG68:AG73" si="238">IF(NOT(OR(ISBLANK(AC68),ISBLANK(AD68))),1,0)</f>
        <v>0</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Uzbekistán</v>
      </c>
      <c r="BE68" s="746">
        <f t="shared" ca="1" si="189"/>
        <v>0</v>
      </c>
      <c r="BF68" s="746">
        <f t="shared" ca="1" si="190"/>
        <v>0</v>
      </c>
      <c r="BG68" s="746">
        <f t="shared" ca="1" si="191"/>
        <v>0</v>
      </c>
      <c r="BH68" s="746">
        <f t="shared" ca="1" si="192"/>
        <v>0</v>
      </c>
      <c r="BI68" s="746">
        <f t="shared" ca="1" si="176"/>
        <v>0</v>
      </c>
      <c r="BJ68" s="746">
        <f t="shared" ca="1" si="177"/>
        <v>0</v>
      </c>
      <c r="BK68" s="746">
        <f t="shared" ca="1" si="178"/>
        <v>0</v>
      </c>
      <c r="BL68" s="746">
        <f t="shared" ca="1" si="193"/>
        <v>0</v>
      </c>
      <c r="BM68" s="746">
        <f t="shared" ca="1" si="194"/>
        <v>12</v>
      </c>
      <c r="BN68" s="746">
        <f t="shared" ca="1" si="195"/>
        <v>12</v>
      </c>
      <c r="BO68" s="736" t="str">
        <f t="shared" si="196"/>
        <v>4K</v>
      </c>
      <c r="BP68" s="736"/>
      <c r="BQ68" s="736"/>
      <c r="BR68" s="746">
        <f t="shared" ca="1" si="179"/>
        <v>0</v>
      </c>
      <c r="BS68" s="746">
        <f t="shared" ca="1" si="197"/>
        <v>1</v>
      </c>
      <c r="BT68" s="746" t="str">
        <f t="shared" ca="1" si="198"/>
        <v>Pos. 1 (12)</v>
      </c>
      <c r="BU68" s="746">
        <f t="shared" ca="1" si="180"/>
        <v>0</v>
      </c>
      <c r="BV68" s="746">
        <f t="shared" ca="1" si="181"/>
        <v>1</v>
      </c>
      <c r="BW68" s="746" t="str">
        <f t="shared" ca="1" si="182"/>
        <v>Pos. 1 (12)</v>
      </c>
      <c r="BX68" s="746">
        <f t="shared" ca="1" si="183"/>
        <v>0</v>
      </c>
      <c r="BY68" s="746">
        <f t="shared" ca="1" si="184"/>
        <v>1</v>
      </c>
      <c r="BZ68" s="746" t="str">
        <f t="shared" ca="1" si="185"/>
        <v>Pos. 1 (12)</v>
      </c>
      <c r="CA68" s="746">
        <f t="shared" ca="1" si="199"/>
        <v>0</v>
      </c>
      <c r="CB68" s="746">
        <f t="shared" ca="1" si="200"/>
        <v>12</v>
      </c>
      <c r="CC68" s="746"/>
      <c r="CD68" s="746">
        <f t="shared" ca="1" si="201"/>
        <v>12</v>
      </c>
      <c r="CE68" s="746">
        <f t="shared" ca="1" si="202"/>
        <v>11</v>
      </c>
      <c r="CF68" s="746">
        <f t="shared" ca="1" si="203"/>
        <v>12</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v>
      </c>
      <c r="DK68" s="742"/>
      <c r="DL68" s="742">
        <f t="shared" ca="1" si="204"/>
        <v>1</v>
      </c>
      <c r="DM68" s="736" t="str">
        <f t="shared" ca="1" si="187"/>
        <v>1.1</v>
      </c>
      <c r="DN68" s="742" cm="1">
        <f t="array" aca="1" ref="DN68" ca="1">OFFSET(Horarios!$P$3,DJ68-1,0,DL68,1)</f>
        <v>1</v>
      </c>
      <c r="DO68" s="742"/>
      <c r="DP68" s="742">
        <v>11</v>
      </c>
      <c r="DQ68" s="742" t="str">
        <f t="shared" ca="1" si="205"/>
        <v>Suecia</v>
      </c>
      <c r="DR68" s="742"/>
      <c r="DS68" s="742"/>
      <c r="DT68" s="742" t="str">
        <f t="shared" ca="1" si="15"/>
        <v>Francia-Senegal</v>
      </c>
      <c r="DU68" s="742"/>
      <c r="DV68" s="742"/>
      <c r="DW68" s="8"/>
    </row>
    <row r="69" spans="1:127" ht="15.95" customHeight="1">
      <c r="A69" s="743" t="str">
        <f ca="1">+Equipos!B34</f>
        <v>Francia</v>
      </c>
      <c r="B69" s="740"/>
      <c r="C69" s="740"/>
      <c r="D69" s="742" t="str">
        <f t="shared" si="225"/>
        <v>Pendiente</v>
      </c>
      <c r="E69" s="742" t="str">
        <f t="shared" si="226"/>
        <v>-</v>
      </c>
      <c r="F69" s="742" t="str">
        <f t="shared" si="227"/>
        <v>-</v>
      </c>
      <c r="G69" s="742"/>
      <c r="H69" s="742" t="str">
        <f t="shared" si="228"/>
        <v>-</v>
      </c>
      <c r="I69" s="742" t="str">
        <f t="shared" si="229"/>
        <v>-</v>
      </c>
      <c r="J69" s="742"/>
      <c r="K69" s="742" t="str">
        <f t="shared" si="230"/>
        <v>-</v>
      </c>
      <c r="L69" s="742" t="str">
        <f t="shared" si="231"/>
        <v>-</v>
      </c>
      <c r="M69" s="742"/>
      <c r="N69" s="742" t="str">
        <f t="shared" si="232"/>
        <v>-</v>
      </c>
      <c r="O69" s="742" t="str">
        <f t="shared" si="233"/>
        <v>-</v>
      </c>
      <c r="P69" s="742"/>
      <c r="Q69" s="742" t="str">
        <f t="shared" si="234"/>
        <v>-</v>
      </c>
      <c r="R69" s="742" t="str">
        <f t="shared" si="235"/>
        <v>-</v>
      </c>
      <c r="S69" s="742"/>
      <c r="T69" s="742" t="str">
        <f t="shared" si="236"/>
        <v>-</v>
      </c>
      <c r="U69" s="742" t="str">
        <f t="shared" si="237"/>
        <v>-</v>
      </c>
      <c r="V69" s="172"/>
      <c r="W69" s="812"/>
      <c r="X69" s="189">
        <f ca="1">Horarios!C69</f>
        <v>46189.75</v>
      </c>
      <c r="Y69" s="190">
        <f ca="1">Horarios!C69</f>
        <v>46189.75</v>
      </c>
      <c r="Z69" s="191" t="str">
        <f>$Z$4</f>
        <v>J1</v>
      </c>
      <c r="AA69" s="192" t="str">
        <f ca="1">A71</f>
        <v>Irak</v>
      </c>
      <c r="AB69" s="478" t="str" cm="1">
        <f t="array" aca="1" ref="AB69" ca="1">Ver_flag_local</f>
        <v/>
      </c>
      <c r="AC69" s="193"/>
      <c r="AD69" s="194"/>
      <c r="AE69" s="483" t="str" cm="1">
        <f t="array" aca="1" ref="AE69" ca="1">Ver_flag_visit</f>
        <v/>
      </c>
      <c r="AF69" s="195" t="str">
        <f ca="1">A72</f>
        <v>Noruega</v>
      </c>
      <c r="AG69" s="413">
        <f t="shared" si="238"/>
        <v>0</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7" t="str">
        <f t="shared" si="188"/>
        <v>3L</v>
      </c>
      <c r="BC69" s="754" t="s">
        <v>238</v>
      </c>
      <c r="BD69" s="742" t="str">
        <f t="shared" ca="1" si="175"/>
        <v>Ghana</v>
      </c>
      <c r="BE69" s="746">
        <f t="shared" ca="1" si="189"/>
        <v>0</v>
      </c>
      <c r="BF69" s="746">
        <f t="shared" ca="1" si="190"/>
        <v>0</v>
      </c>
      <c r="BG69" s="746">
        <f t="shared" ca="1" si="191"/>
        <v>0</v>
      </c>
      <c r="BH69" s="746">
        <f t="shared" ca="1" si="192"/>
        <v>0</v>
      </c>
      <c r="BI69" s="746">
        <f t="shared" ca="1" si="176"/>
        <v>0</v>
      </c>
      <c r="BJ69" s="746">
        <f t="shared" ca="1" si="177"/>
        <v>0</v>
      </c>
      <c r="BK69" s="746">
        <f t="shared" ca="1" si="178"/>
        <v>0</v>
      </c>
      <c r="BL69" s="746">
        <f t="shared" ca="1" si="193"/>
        <v>0</v>
      </c>
      <c r="BM69" s="746">
        <f t="shared" ca="1" si="194"/>
        <v>7</v>
      </c>
      <c r="BN69" s="746">
        <f t="shared" ca="1" si="195"/>
        <v>7</v>
      </c>
      <c r="BO69" s="736" t="str">
        <f t="shared" si="196"/>
        <v>4L</v>
      </c>
      <c r="BP69" s="736"/>
      <c r="BQ69" s="736"/>
      <c r="BR69" s="746">
        <f t="shared" ca="1" si="179"/>
        <v>0</v>
      </c>
      <c r="BS69" s="746">
        <f t="shared" ca="1" si="197"/>
        <v>1</v>
      </c>
      <c r="BT69" s="746" t="str">
        <f t="shared" ca="1" si="198"/>
        <v>Pos. 1 (12)</v>
      </c>
      <c r="BU69" s="746">
        <f t="shared" ca="1" si="180"/>
        <v>0</v>
      </c>
      <c r="BV69" s="746">
        <f t="shared" ca="1" si="181"/>
        <v>1</v>
      </c>
      <c r="BW69" s="746" t="str">
        <f t="shared" ca="1" si="182"/>
        <v>Pos. 1 (12)</v>
      </c>
      <c r="BX69" s="746">
        <f t="shared" ca="1" si="183"/>
        <v>0</v>
      </c>
      <c r="BY69" s="746">
        <f t="shared" ca="1" si="184"/>
        <v>1</v>
      </c>
      <c r="BZ69" s="746" t="str">
        <f t="shared" ca="1" si="185"/>
        <v>Pos. 1 (12)</v>
      </c>
      <c r="CA69" s="746">
        <f t="shared" ca="1" si="199"/>
        <v>5</v>
      </c>
      <c r="CB69" s="746">
        <f ca="1">BY69+COUNTIFS(BZ$58:BZ$69,BZ69,CA$58:CA$69,"&gt;"&amp;CA69)</f>
        <v>7</v>
      </c>
      <c r="CC69" s="746"/>
      <c r="CD69" s="746">
        <f t="shared" ca="1" si="201"/>
        <v>7</v>
      </c>
      <c r="CE69" s="746">
        <f t="shared" ca="1" si="202"/>
        <v>6</v>
      </c>
      <c r="CF69" s="746">
        <f t="shared" ca="1" si="203"/>
        <v>7</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v>
      </c>
      <c r="DK69" s="742"/>
      <c r="DL69" s="742">
        <f t="shared" ca="1" si="204"/>
        <v>1</v>
      </c>
      <c r="DM69" s="736" t="str">
        <f t="shared" ca="1" si="187"/>
        <v>1.1</v>
      </c>
      <c r="DN69" s="742" cm="1">
        <f t="array" aca="1" ref="DN69" ca="1">OFFSET(Horarios!$P$3,DJ69-1,0,DL69,1)</f>
        <v>1</v>
      </c>
      <c r="DO69" s="742"/>
      <c r="DP69" s="742">
        <v>12</v>
      </c>
      <c r="DQ69" s="742" t="str">
        <f t="shared" ca="1" si="205"/>
        <v>Uzbekistán</v>
      </c>
      <c r="DR69" s="742"/>
      <c r="DS69" s="742"/>
      <c r="DT69" s="742" t="str">
        <f t="shared" ref="DT69:DT132" ca="1" si="242">AA69&amp;"-"&amp;AF69</f>
        <v>Irak-Noruega</v>
      </c>
      <c r="DU69" s="742"/>
      <c r="DV69" s="742"/>
      <c r="DW69" s="8"/>
    </row>
    <row r="70" spans="1:127" ht="15.95" customHeight="1">
      <c r="A70" s="743" t="str">
        <f ca="1">+Equipos!B35</f>
        <v>Senegal</v>
      </c>
      <c r="B70" s="740"/>
      <c r="C70" s="744"/>
      <c r="D70" s="742" t="str">
        <f t="shared" si="225"/>
        <v>Pendiente</v>
      </c>
      <c r="E70" s="742" t="str">
        <f t="shared" si="226"/>
        <v>-</v>
      </c>
      <c r="F70" s="742" t="str">
        <f t="shared" si="227"/>
        <v>-</v>
      </c>
      <c r="G70" s="742"/>
      <c r="H70" s="742" t="str">
        <f t="shared" si="228"/>
        <v>-</v>
      </c>
      <c r="I70" s="742" t="str">
        <f t="shared" si="229"/>
        <v>-</v>
      </c>
      <c r="J70" s="742"/>
      <c r="K70" s="742" t="str">
        <f t="shared" si="230"/>
        <v>-</v>
      </c>
      <c r="L70" s="742" t="str">
        <f t="shared" si="231"/>
        <v>-</v>
      </c>
      <c r="M70" s="742"/>
      <c r="N70" s="742" t="str">
        <f t="shared" si="232"/>
        <v>-</v>
      </c>
      <c r="O70" s="742" t="str">
        <f t="shared" si="233"/>
        <v>-</v>
      </c>
      <c r="P70" s="742"/>
      <c r="Q70" s="742" t="str">
        <f t="shared" si="234"/>
        <v>-</v>
      </c>
      <c r="R70" s="742" t="str">
        <f t="shared" si="235"/>
        <v>-</v>
      </c>
      <c r="S70" s="742"/>
      <c r="T70" s="742" t="str">
        <f t="shared" si="236"/>
        <v>-</v>
      </c>
      <c r="U70" s="742" t="str">
        <f t="shared" si="237"/>
        <v>-</v>
      </c>
      <c r="V70" s="172"/>
      <c r="W70" s="812"/>
      <c r="X70" s="189">
        <f ca="1">Horarios!C70</f>
        <v>46195.708333333336</v>
      </c>
      <c r="Y70" s="190">
        <f ca="1">Horarios!C70</f>
        <v>46195.708333333336</v>
      </c>
      <c r="Z70" s="191" t="str">
        <f>$Z$6</f>
        <v>J2</v>
      </c>
      <c r="AA70" s="192" t="str">
        <f ca="1">A69</f>
        <v>Francia</v>
      </c>
      <c r="AB70" s="478" t="str" cm="1">
        <f t="array" aca="1" ref="AB70" ca="1">Ver_flag_local</f>
        <v/>
      </c>
      <c r="AC70" s="193"/>
      <c r="AD70" s="194"/>
      <c r="AE70" s="483" t="str" cm="1">
        <f t="array" aca="1" ref="AE70" ca="1">Ver_flag_visit</f>
        <v/>
      </c>
      <c r="AF70" s="195" t="str">
        <f ca="1">A71</f>
        <v>Irak</v>
      </c>
      <c r="AG70" s="413">
        <f t="shared" si="238"/>
        <v>0</v>
      </c>
      <c r="AH70" s="196">
        <v>42</v>
      </c>
      <c r="AI70" s="19" t="str">
        <f>AJ70&amp;$B$68</f>
        <v>1I</v>
      </c>
      <c r="AJ70" s="211">
        <v>1</v>
      </c>
      <c r="AK70" s="488" t="str" cm="1">
        <f t="array" aca="1" ref="AK70" ca="1">Ver_flag_visit</f>
        <v/>
      </c>
      <c r="AL70" s="212" t="str">
        <f ca="1">IFERROR(INDEX($BD$6:$BD$53,MATCH(AI70,$BN$6:$BN$53,0)),"")</f>
        <v>Francia</v>
      </c>
      <c r="AM70" s="213">
        <f t="shared" ref="AM70:AT73" ca="1" si="243">INDEX($BE$6:$BN$53,MATCH($AL70,$BD$6:$BD$53,0),MATCH(AM$5,$BE$5:$BN$5,0))</f>
        <v>0</v>
      </c>
      <c r="AN70" s="214">
        <f t="shared" ca="1" si="243"/>
        <v>0</v>
      </c>
      <c r="AO70" s="214">
        <f t="shared" ca="1" si="243"/>
        <v>0</v>
      </c>
      <c r="AP70" s="214">
        <f t="shared" ca="1" si="243"/>
        <v>0</v>
      </c>
      <c r="AQ70" s="214">
        <f t="shared" ca="1" si="243"/>
        <v>0</v>
      </c>
      <c r="AR70" s="214">
        <f t="shared" ca="1" si="243"/>
        <v>0</v>
      </c>
      <c r="AS70" s="214">
        <f t="shared" ca="1" si="243"/>
        <v>0</v>
      </c>
      <c r="AT70" s="215">
        <f t="shared" ca="1" si="243"/>
        <v>0</v>
      </c>
      <c r="AU70" s="420">
        <f ca="1">INDEX($DL$6:$DL$53,MATCH(AI70,$DP$6:$DP$53,0))</f>
        <v>1</v>
      </c>
      <c r="AV70" s="217" t="str">
        <f ca="1">INDEX($BD$6:$BD$53,MATCH(AI70,$BM$6:$BM$53,0))</f>
        <v>Francia</v>
      </c>
      <c r="AW70" s="427"/>
      <c r="AX70" s="218"/>
      <c r="AY70" s="219" t="str">
        <f ca="1">+A69</f>
        <v>Francia</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Francia-Irak</v>
      </c>
      <c r="DU70" s="742"/>
      <c r="DV70" s="742"/>
      <c r="DW70" s="8"/>
    </row>
    <row r="71" spans="1:127" ht="15.95" customHeight="1">
      <c r="A71" s="743" t="str">
        <f ca="1">+Equipos!B36</f>
        <v>Irak</v>
      </c>
      <c r="B71" s="740"/>
      <c r="C71" s="742"/>
      <c r="D71" s="742" t="str">
        <f t="shared" si="225"/>
        <v>Pendiente</v>
      </c>
      <c r="E71" s="742" t="str">
        <f t="shared" si="226"/>
        <v>-</v>
      </c>
      <c r="F71" s="742" t="str">
        <f t="shared" si="227"/>
        <v>-</v>
      </c>
      <c r="G71" s="742"/>
      <c r="H71" s="742" t="str">
        <f t="shared" si="228"/>
        <v>-</v>
      </c>
      <c r="I71" s="742" t="str">
        <f t="shared" si="229"/>
        <v>-</v>
      </c>
      <c r="J71" s="742"/>
      <c r="K71" s="742" t="str">
        <f t="shared" si="230"/>
        <v>-</v>
      </c>
      <c r="L71" s="742" t="str">
        <f t="shared" si="231"/>
        <v>-</v>
      </c>
      <c r="M71" s="742"/>
      <c r="N71" s="742" t="str">
        <f t="shared" si="232"/>
        <v>-</v>
      </c>
      <c r="O71" s="742" t="str">
        <f t="shared" si="233"/>
        <v>-</v>
      </c>
      <c r="P71" s="742"/>
      <c r="Q71" s="742" t="str">
        <f t="shared" si="234"/>
        <v>-</v>
      </c>
      <c r="R71" s="742" t="str">
        <f t="shared" si="235"/>
        <v>-</v>
      </c>
      <c r="S71" s="742"/>
      <c r="T71" s="742" t="str">
        <f t="shared" si="236"/>
        <v>-</v>
      </c>
      <c r="U71" s="742" t="str">
        <f t="shared" si="237"/>
        <v>-</v>
      </c>
      <c r="V71" s="172"/>
      <c r="W71" s="812"/>
      <c r="X71" s="189">
        <f ca="1">Horarios!C71</f>
        <v>46195.833333333336</v>
      </c>
      <c r="Y71" s="190">
        <f ca="1">Horarios!C71</f>
        <v>46195.833333333336</v>
      </c>
      <c r="Z71" s="191" t="str">
        <f>$Z$6</f>
        <v>J2</v>
      </c>
      <c r="AA71" s="192" t="str">
        <f ca="1">A72</f>
        <v>Noruega</v>
      </c>
      <c r="AB71" s="478" t="str" cm="1">
        <f t="array" aca="1" ref="AB71" ca="1">Ver_flag_local</f>
        <v/>
      </c>
      <c r="AC71" s="193"/>
      <c r="AD71" s="194"/>
      <c r="AE71" s="483" t="str" cm="1">
        <f t="array" aca="1" ref="AE71" ca="1">Ver_flag_visit</f>
        <v/>
      </c>
      <c r="AF71" s="195" t="str">
        <f ca="1">A70</f>
        <v>Senegal</v>
      </c>
      <c r="AG71" s="413">
        <f t="shared" si="238"/>
        <v>0</v>
      </c>
      <c r="AH71" s="196">
        <v>41</v>
      </c>
      <c r="AI71" s="19" t="str">
        <f t="shared" ref="AI71:AI73" si="244">AJ71&amp;$B$68</f>
        <v>2I</v>
      </c>
      <c r="AJ71" s="221">
        <v>2</v>
      </c>
      <c r="AK71" s="486" t="str" cm="1">
        <f t="array" aca="1" ref="AK71" ca="1">Ver_flag_visit</f>
        <v/>
      </c>
      <c r="AL71" s="222" t="str">
        <f ca="1">IFERROR(INDEX($BD$6:$BD$53,MATCH(AI71,$BN$6:$BN$53,0)),"")</f>
        <v>Senegal</v>
      </c>
      <c r="AM71" s="223">
        <f t="shared" ca="1" si="243"/>
        <v>0</v>
      </c>
      <c r="AN71" s="224">
        <f t="shared" ca="1" si="243"/>
        <v>0</v>
      </c>
      <c r="AO71" s="224">
        <f t="shared" ca="1" si="243"/>
        <v>0</v>
      </c>
      <c r="AP71" s="224">
        <f t="shared" ca="1" si="243"/>
        <v>0</v>
      </c>
      <c r="AQ71" s="224">
        <f t="shared" ca="1" si="243"/>
        <v>0</v>
      </c>
      <c r="AR71" s="224">
        <f t="shared" ca="1" si="243"/>
        <v>0</v>
      </c>
      <c r="AS71" s="224">
        <f t="shared" ca="1" si="243"/>
        <v>0</v>
      </c>
      <c r="AT71" s="225">
        <f t="shared" ca="1" si="243"/>
        <v>0</v>
      </c>
      <c r="AU71" s="420">
        <f ca="1">INDEX($DL$6:$DL$53,MATCH(AI71,$DP$6:$DP$53,0))</f>
        <v>1</v>
      </c>
      <c r="AV71" s="217" t="str">
        <f ca="1">INDEX($BD$6:$BD$53,MATCH(AI71,$BM$6:$BM$53,0))</f>
        <v>Senegal</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Noruega-Senegal</v>
      </c>
      <c r="DU71" s="742"/>
      <c r="DV71" s="742"/>
      <c r="DW71" s="8"/>
    </row>
    <row r="72" spans="1:127" ht="15.95" customHeight="1">
      <c r="A72" s="743" t="str">
        <f ca="1">+Equipos!B37</f>
        <v>Noruega</v>
      </c>
      <c r="B72" s="740"/>
      <c r="C72" s="742"/>
      <c r="D72" s="742" t="str">
        <f t="shared" si="225"/>
        <v>Pendiente</v>
      </c>
      <c r="E72" s="742" t="str">
        <f t="shared" si="226"/>
        <v>-</v>
      </c>
      <c r="F72" s="742" t="str">
        <f t="shared" si="227"/>
        <v>-</v>
      </c>
      <c r="G72" s="742"/>
      <c r="H72" s="742" t="str">
        <f t="shared" si="228"/>
        <v>-</v>
      </c>
      <c r="I72" s="742" t="str">
        <f t="shared" si="229"/>
        <v>-</v>
      </c>
      <c r="J72" s="742"/>
      <c r="K72" s="742" t="str">
        <f t="shared" si="230"/>
        <v>-</v>
      </c>
      <c r="L72" s="742" t="str">
        <f t="shared" si="231"/>
        <v>-</v>
      </c>
      <c r="M72" s="742"/>
      <c r="N72" s="742" t="str">
        <f t="shared" si="232"/>
        <v>-</v>
      </c>
      <c r="O72" s="742" t="str">
        <f t="shared" si="233"/>
        <v>-</v>
      </c>
      <c r="P72" s="742"/>
      <c r="Q72" s="742" t="str">
        <f t="shared" si="234"/>
        <v>-</v>
      </c>
      <c r="R72" s="742" t="str">
        <f t="shared" si="235"/>
        <v>-</v>
      </c>
      <c r="S72" s="742"/>
      <c r="T72" s="742" t="str">
        <f t="shared" si="236"/>
        <v>-</v>
      </c>
      <c r="U72" s="742" t="str">
        <f t="shared" si="237"/>
        <v>-</v>
      </c>
      <c r="V72" s="172"/>
      <c r="W72" s="812"/>
      <c r="X72" s="189">
        <f ca="1">Horarios!C72</f>
        <v>46199.625</v>
      </c>
      <c r="Y72" s="190">
        <f ca="1">Horarios!C72</f>
        <v>46199.625</v>
      </c>
      <c r="Z72" s="191" t="str">
        <f>$Z$8</f>
        <v>J3</v>
      </c>
      <c r="AA72" s="192" t="str">
        <f ca="1">A72</f>
        <v>Noruega</v>
      </c>
      <c r="AB72" s="478" t="str" cm="1">
        <f t="array" aca="1" ref="AB72" ca="1">Ver_flag_local</f>
        <v/>
      </c>
      <c r="AC72" s="193"/>
      <c r="AD72" s="194"/>
      <c r="AE72" s="483" t="str" cm="1">
        <f t="array" aca="1" ref="AE72" ca="1">Ver_flag_visit</f>
        <v/>
      </c>
      <c r="AF72" s="195" t="str">
        <f ca="1">A69</f>
        <v>Francia</v>
      </c>
      <c r="AG72" s="413">
        <f t="shared" si="238"/>
        <v>0</v>
      </c>
      <c r="AH72" s="196">
        <v>61</v>
      </c>
      <c r="AI72" s="19" t="str">
        <f t="shared" si="244"/>
        <v>3I</v>
      </c>
      <c r="AJ72" s="221">
        <v>3</v>
      </c>
      <c r="AK72" s="486" t="str" cm="1">
        <f t="array" aca="1" ref="AK72" ca="1">Ver_flag_visit</f>
        <v/>
      </c>
      <c r="AL72" s="222" t="str">
        <f ca="1">IFERROR(INDEX($BD$6:$BD$53,MATCH(AI72,$BN$6:$BN$53,0)),"")</f>
        <v>Irak</v>
      </c>
      <c r="AM72" s="223">
        <f t="shared" ca="1" si="243"/>
        <v>0</v>
      </c>
      <c r="AN72" s="224">
        <f t="shared" ca="1" si="243"/>
        <v>0</v>
      </c>
      <c r="AO72" s="224">
        <f t="shared" ca="1" si="243"/>
        <v>0</v>
      </c>
      <c r="AP72" s="224">
        <f t="shared" ca="1" si="243"/>
        <v>0</v>
      </c>
      <c r="AQ72" s="224">
        <f t="shared" ca="1" si="243"/>
        <v>0</v>
      </c>
      <c r="AR72" s="224">
        <f t="shared" ca="1" si="243"/>
        <v>0</v>
      </c>
      <c r="AS72" s="224">
        <f t="shared" ca="1" si="243"/>
        <v>0</v>
      </c>
      <c r="AT72" s="225">
        <f t="shared" ca="1" si="243"/>
        <v>0</v>
      </c>
      <c r="AU72" s="420">
        <f ca="1">INDEX($DL$6:$DL$53,MATCH(AI72,$DP$6:$DP$53,0))</f>
        <v>1</v>
      </c>
      <c r="AV72" s="217" t="str">
        <f ca="1">INDEX($BD$6:$BD$53,MATCH(AI72,$BM$6:$BM$53,0))</f>
        <v>Irak</v>
      </c>
      <c r="AW72" s="427"/>
      <c r="AX72" s="218"/>
      <c r="AY72" s="219" t="str">
        <f ca="1">+A71</f>
        <v>Irak</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Noruega-Francia</v>
      </c>
      <c r="DU72" s="742"/>
      <c r="DV72" s="742"/>
      <c r="DW72" s="8"/>
    </row>
    <row r="73" spans="1:127" ht="17.100000000000001" customHeight="1" thickBot="1">
      <c r="A73" s="737"/>
      <c r="B73" s="737"/>
      <c r="C73" s="737"/>
      <c r="D73" s="742" t="str">
        <f t="shared" si="225"/>
        <v>Pendiente</v>
      </c>
      <c r="E73" s="742" t="str">
        <f t="shared" si="226"/>
        <v>-</v>
      </c>
      <c r="F73" s="742" t="str">
        <f t="shared" si="227"/>
        <v>-</v>
      </c>
      <c r="G73" s="742"/>
      <c r="H73" s="742" t="str">
        <f t="shared" si="228"/>
        <v>-</v>
      </c>
      <c r="I73" s="742" t="str">
        <f t="shared" si="229"/>
        <v>-</v>
      </c>
      <c r="J73" s="742"/>
      <c r="K73" s="742" t="str">
        <f t="shared" si="230"/>
        <v>-</v>
      </c>
      <c r="L73" s="742" t="str">
        <f t="shared" si="231"/>
        <v>-</v>
      </c>
      <c r="M73" s="742"/>
      <c r="N73" s="742" t="str">
        <f t="shared" si="232"/>
        <v>-</v>
      </c>
      <c r="O73" s="742" t="str">
        <f t="shared" si="233"/>
        <v>-</v>
      </c>
      <c r="P73" s="742"/>
      <c r="Q73" s="742" t="str">
        <f t="shared" si="234"/>
        <v>-</v>
      </c>
      <c r="R73" s="742" t="str">
        <f t="shared" si="235"/>
        <v>-</v>
      </c>
      <c r="S73" s="742"/>
      <c r="T73" s="742" t="str">
        <f t="shared" si="236"/>
        <v>-</v>
      </c>
      <c r="U73" s="742" t="str">
        <f t="shared" si="237"/>
        <v>-</v>
      </c>
      <c r="V73" s="172"/>
      <c r="W73" s="813"/>
      <c r="X73" s="228">
        <f ca="1">Horarios!C73</f>
        <v>46199.625</v>
      </c>
      <c r="Y73" s="229">
        <f ca="1">Horarios!C73</f>
        <v>46199.625</v>
      </c>
      <c r="Z73" s="230" t="str">
        <f>$Z$8</f>
        <v>J3</v>
      </c>
      <c r="AA73" s="231" t="str">
        <f ca="1">A70</f>
        <v>Senegal</v>
      </c>
      <c r="AB73" s="479" t="str" cm="1">
        <f t="array" aca="1" ref="AB73" ca="1">Ver_flag_local</f>
        <v/>
      </c>
      <c r="AC73" s="232"/>
      <c r="AD73" s="233"/>
      <c r="AE73" s="484" t="str" cm="1">
        <f t="array" aca="1" ref="AE73" ca="1">Ver_flag_visit</f>
        <v/>
      </c>
      <c r="AF73" s="234" t="str">
        <f ca="1">A71</f>
        <v>Irak</v>
      </c>
      <c r="AG73" s="413">
        <f t="shared" si="238"/>
        <v>0</v>
      </c>
      <c r="AH73" s="196">
        <v>62</v>
      </c>
      <c r="AI73" s="19" t="str">
        <f t="shared" si="244"/>
        <v>4I</v>
      </c>
      <c r="AJ73" s="235">
        <v>4</v>
      </c>
      <c r="AK73" s="487" t="str" cm="1">
        <f t="array" aca="1" ref="AK73" ca="1">Ver_flag_visit</f>
        <v/>
      </c>
      <c r="AL73" s="236" t="str">
        <f ca="1">IFERROR(INDEX($BD$6:$BD$53,MATCH(AI73,$BN$6:$BN$53,0)),"")</f>
        <v>Noruega</v>
      </c>
      <c r="AM73" s="237">
        <f t="shared" ca="1" si="243"/>
        <v>0</v>
      </c>
      <c r="AN73" s="238">
        <f t="shared" ca="1" si="243"/>
        <v>0</v>
      </c>
      <c r="AO73" s="238">
        <f t="shared" ca="1" si="243"/>
        <v>0</v>
      </c>
      <c r="AP73" s="238">
        <f t="shared" ca="1" si="243"/>
        <v>0</v>
      </c>
      <c r="AQ73" s="238">
        <f t="shared" ca="1" si="243"/>
        <v>0</v>
      </c>
      <c r="AR73" s="238">
        <f t="shared" ca="1" si="243"/>
        <v>0</v>
      </c>
      <c r="AS73" s="238">
        <f t="shared" ca="1" si="243"/>
        <v>0</v>
      </c>
      <c r="AT73" s="239">
        <f t="shared" ca="1" si="243"/>
        <v>0</v>
      </c>
      <c r="AU73" s="420">
        <f ca="1">INDEX($DL$6:$DL$53,MATCH(AI73,$DP$6:$DP$53,0))</f>
        <v>1</v>
      </c>
      <c r="AV73" s="217" t="str">
        <f ca="1">INDEX($BD$6:$BD$53,MATCH(AI73,$BM$6:$BM$53,0))</f>
        <v>Noruega</v>
      </c>
      <c r="AW73" s="427"/>
      <c r="AX73" s="218"/>
      <c r="AY73" s="240" t="str">
        <f ca="1">+A72</f>
        <v>Noruega</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Senegal-Irak</v>
      </c>
      <c r="DU73" s="742"/>
      <c r="DV73" s="742"/>
      <c r="DW73" s="8"/>
    </row>
    <row r="74" spans="1:127" ht="15.7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7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Casa-Fuera</v>
      </c>
      <c r="DU75" s="742"/>
      <c r="DV75" s="742"/>
      <c r="DW75" s="8"/>
    </row>
    <row r="76" spans="1:127" ht="15.95" customHeight="1" thickBot="1">
      <c r="A76" s="739" t="s">
        <v>30</v>
      </c>
      <c r="B76" s="740" t="s">
        <v>5</v>
      </c>
      <c r="C76" s="741">
        <f>COUNTIF(Equipos!$C$2:$C$49,WORLDCUP!B76)</f>
        <v>4</v>
      </c>
      <c r="D76" s="742" t="str">
        <f t="shared" ref="D76:D81" si="245">IF(OR(AC76="",AD76=""),"Pendiente",IF(AC76&gt;AD76,"Local",IF(AC76&lt;AD76,"Visitante","Empate")))</f>
        <v>Pendiente</v>
      </c>
      <c r="E76" s="742" t="str">
        <f t="shared" ref="E76:E81" si="246">IF(D76="Pendiente","-",INDEX($BT$6:$BT$53,MATCH($AA76,$BD$6:$BD$53,0)))</f>
        <v>-</v>
      </c>
      <c r="F76" s="742" t="str">
        <f t="shared" ref="F76:F81" si="247">IF(D76="Pendiente","-",INDEX($BT$6:$BT$53,MATCH($AF76,$BD$6:$BD$53,0)))</f>
        <v>-</v>
      </c>
      <c r="G76" s="742"/>
      <c r="H76" s="742" t="str">
        <f t="shared" ref="H76:H81" si="248">IF(D76="Pendiente","-",INDEX($BZ$6:$BZ$53,MATCH($AA76,$BD$6:$BD$53,0)))</f>
        <v>-</v>
      </c>
      <c r="I76" s="742" t="str">
        <f t="shared" ref="I76:I81" si="249">IF(D76="Pendiente","-",INDEX($BZ$6:$BZ$53,MATCH($AF76,$BD$6:$BD$53,0)))</f>
        <v>-</v>
      </c>
      <c r="J76" s="742"/>
      <c r="K76" s="742" t="str">
        <f t="shared" ref="K76:K81" si="250">IF(D76="Pendiente","-",INDEX($CE$6:$CE$53,MATCH($AA76,$BD$6:$BD$53,0)))</f>
        <v>-</v>
      </c>
      <c r="L76" s="742" t="str">
        <f t="shared" ref="L76:L81" si="251">IF(D76="Pendiente","-",INDEX($CE$6:$CE$53,MATCH($AF76,$BD$6:$BD$53,0)))</f>
        <v>-</v>
      </c>
      <c r="M76" s="742"/>
      <c r="N76" s="742" t="str">
        <f t="shared" ref="N76:N81" si="252">IF(D76="Pendiente","-",INDEX($CH$6:$CH$53,MATCH($AA76,$BD$6:$BD$53,0)))</f>
        <v>-</v>
      </c>
      <c r="O76" s="742" t="str">
        <f t="shared" ref="O76:O81" si="253">IF(D76="Pendiente","-",INDEX($CH$6:$CH$53,MATCH($AF76,$BD$6:$BD$53,0)))</f>
        <v>-</v>
      </c>
      <c r="P76" s="742"/>
      <c r="Q76" s="742" t="str">
        <f t="shared" ref="Q76:Q81" si="254">IF(D76="Pendiente","-",INDEX($CN$6:$CN$53,MATCH($AA76,$BD$6:$BD$53,0)))</f>
        <v>-</v>
      </c>
      <c r="R76" s="742" t="str">
        <f t="shared" ref="R76:R81" si="255">IF(D76="Pendiente","-",INDEX($CN$6:$CN$53,MATCH($AF76,$BD$6:$BD$53,0)))</f>
        <v>-</v>
      </c>
      <c r="S76" s="742"/>
      <c r="T76" s="742" t="str">
        <f t="shared" ref="T76:T81" si="256">IF(D76="Pendiente","-",INDEX($CS$6:$CS$53,MATCH($AA76,$BD$6:$BD$53,0)))</f>
        <v>-</v>
      </c>
      <c r="U76" s="742" t="str">
        <f t="shared" ref="U76:U81" si="257">IF(D76="Pendiente","-",INDEX($CS$6:$CS$53,MATCH($AF76,$BD$6:$BD$53,0)))</f>
        <v>-</v>
      </c>
      <c r="V76" s="172"/>
      <c r="W76" s="808" t="s">
        <v>5</v>
      </c>
      <c r="X76" s="189">
        <f ca="1">Horarios!C76</f>
        <v>46189.875</v>
      </c>
      <c r="Y76" s="190">
        <f ca="1">Horarios!C76</f>
        <v>46189.875</v>
      </c>
      <c r="Z76" s="191" t="str">
        <f>$Z$4</f>
        <v>J1</v>
      </c>
      <c r="AA76" s="192" t="str">
        <f ca="1">A77</f>
        <v>Argentina</v>
      </c>
      <c r="AB76" s="478" t="str" cm="1">
        <f t="array" aca="1" ref="AB76" ca="1">Ver_flag_local</f>
        <v/>
      </c>
      <c r="AC76" s="193"/>
      <c r="AD76" s="194"/>
      <c r="AE76" s="483" t="str" cm="1">
        <f t="array" aca="1" ref="AE76" ca="1">Ver_flag_visit</f>
        <v/>
      </c>
      <c r="AF76" s="195" t="str">
        <f ca="1">A78</f>
        <v>Argelia</v>
      </c>
      <c r="AG76" s="413">
        <f t="shared" ref="AG76:AG81" si="258">IF(NOT(OR(ISBLANK(AC76),ISBLANK(AD76))),1,0)</f>
        <v>0</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Argentina-Argelia</v>
      </c>
      <c r="DU76" s="742"/>
      <c r="DV76" s="742"/>
      <c r="DW76" s="8"/>
    </row>
    <row r="77" spans="1:127" ht="15.95" customHeight="1">
      <c r="A77" s="743" t="str">
        <f ca="1">+Equipos!B38</f>
        <v>Argentina</v>
      </c>
      <c r="B77" s="740"/>
      <c r="C77" s="740"/>
      <c r="D77" s="742" t="str">
        <f t="shared" si="245"/>
        <v>Pendiente</v>
      </c>
      <c r="E77" s="742" t="str">
        <f t="shared" si="246"/>
        <v>-</v>
      </c>
      <c r="F77" s="742" t="str">
        <f t="shared" si="247"/>
        <v>-</v>
      </c>
      <c r="G77" s="742"/>
      <c r="H77" s="742" t="str">
        <f t="shared" si="248"/>
        <v>-</v>
      </c>
      <c r="I77" s="742" t="str">
        <f t="shared" si="249"/>
        <v>-</v>
      </c>
      <c r="J77" s="742"/>
      <c r="K77" s="742" t="str">
        <f t="shared" si="250"/>
        <v>-</v>
      </c>
      <c r="L77" s="742" t="str">
        <f t="shared" si="251"/>
        <v>-</v>
      </c>
      <c r="M77" s="742"/>
      <c r="N77" s="742" t="str">
        <f t="shared" si="252"/>
        <v>-</v>
      </c>
      <c r="O77" s="742" t="str">
        <f t="shared" si="253"/>
        <v>-</v>
      </c>
      <c r="P77" s="742"/>
      <c r="Q77" s="742" t="str">
        <f t="shared" si="254"/>
        <v>-</v>
      </c>
      <c r="R77" s="742" t="str">
        <f t="shared" si="255"/>
        <v>-</v>
      </c>
      <c r="S77" s="742"/>
      <c r="T77" s="742" t="str">
        <f t="shared" si="256"/>
        <v>-</v>
      </c>
      <c r="U77" s="742" t="str">
        <f t="shared" si="257"/>
        <v>-</v>
      </c>
      <c r="V77" s="172"/>
      <c r="W77" s="808"/>
      <c r="X77" s="189">
        <f ca="1">Horarios!C77</f>
        <v>46190</v>
      </c>
      <c r="Y77" s="190">
        <f ca="1">Horarios!C77</f>
        <v>46190</v>
      </c>
      <c r="Z77" s="191" t="str">
        <f>$Z$4</f>
        <v>J1</v>
      </c>
      <c r="AA77" s="192" t="str">
        <f ca="1">A79</f>
        <v>Austria</v>
      </c>
      <c r="AB77" s="478" t="str" cm="1">
        <f t="array" aca="1" ref="AB77" ca="1">Ver_flag_local</f>
        <v/>
      </c>
      <c r="AC77" s="193"/>
      <c r="AD77" s="194"/>
      <c r="AE77" s="483" t="str" cm="1">
        <f t="array" aca="1" ref="AE77" ca="1">Ver_flag_visit</f>
        <v/>
      </c>
      <c r="AF77" s="195" t="str">
        <f ca="1">A80</f>
        <v>Jordania</v>
      </c>
      <c r="AG77" s="413">
        <f t="shared" si="258"/>
        <v>0</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Austria-Jordania</v>
      </c>
      <c r="DU77" s="742"/>
      <c r="DV77" s="742"/>
      <c r="DW77" s="8"/>
    </row>
    <row r="78" spans="1:127" ht="15.95" customHeight="1">
      <c r="A78" s="743" t="str">
        <f ca="1">+Equipos!B39</f>
        <v>Argelia</v>
      </c>
      <c r="B78" s="740"/>
      <c r="C78" s="744"/>
      <c r="D78" s="742" t="str">
        <f t="shared" si="245"/>
        <v>Pendiente</v>
      </c>
      <c r="E78" s="742" t="str">
        <f t="shared" si="246"/>
        <v>-</v>
      </c>
      <c r="F78" s="742" t="str">
        <f t="shared" si="247"/>
        <v>-</v>
      </c>
      <c r="G78" s="742"/>
      <c r="H78" s="742" t="str">
        <f t="shared" si="248"/>
        <v>-</v>
      </c>
      <c r="I78" s="742" t="str">
        <f t="shared" si="249"/>
        <v>-</v>
      </c>
      <c r="J78" s="742"/>
      <c r="K78" s="742" t="str">
        <f t="shared" si="250"/>
        <v>-</v>
      </c>
      <c r="L78" s="742" t="str">
        <f t="shared" si="251"/>
        <v>-</v>
      </c>
      <c r="M78" s="742"/>
      <c r="N78" s="742" t="str">
        <f t="shared" si="252"/>
        <v>-</v>
      </c>
      <c r="O78" s="742" t="str">
        <f t="shared" si="253"/>
        <v>-</v>
      </c>
      <c r="P78" s="742"/>
      <c r="Q78" s="742" t="str">
        <f t="shared" si="254"/>
        <v>-</v>
      </c>
      <c r="R78" s="742" t="str">
        <f t="shared" si="255"/>
        <v>-</v>
      </c>
      <c r="S78" s="742"/>
      <c r="T78" s="742" t="str">
        <f t="shared" si="256"/>
        <v>-</v>
      </c>
      <c r="U78" s="742" t="str">
        <f t="shared" si="257"/>
        <v>-</v>
      </c>
      <c r="V78" s="172"/>
      <c r="W78" s="808"/>
      <c r="X78" s="189">
        <f ca="1">Horarios!C78</f>
        <v>46195.541666666664</v>
      </c>
      <c r="Y78" s="190">
        <f ca="1">Horarios!C78</f>
        <v>46195.541666666664</v>
      </c>
      <c r="Z78" s="191" t="str">
        <f>$Z$6</f>
        <v>J2</v>
      </c>
      <c r="AA78" s="192" t="str">
        <f ca="1">A77</f>
        <v>Argentina</v>
      </c>
      <c r="AB78" s="478" t="str" cm="1">
        <f t="array" aca="1" ref="AB78" ca="1">Ver_flag_local</f>
        <v/>
      </c>
      <c r="AC78" s="193"/>
      <c r="AD78" s="194"/>
      <c r="AE78" s="483" t="str" cm="1">
        <f t="array" aca="1" ref="AE78" ca="1">Ver_flag_visit</f>
        <v/>
      </c>
      <c r="AF78" s="195" t="str">
        <f ca="1">A79</f>
        <v>Austria</v>
      </c>
      <c r="AG78" s="413">
        <f t="shared" si="258"/>
        <v>0</v>
      </c>
      <c r="AH78" s="196">
        <v>43</v>
      </c>
      <c r="AI78" s="19" t="str">
        <f>AJ78&amp;$B$76</f>
        <v>1J</v>
      </c>
      <c r="AJ78" s="211">
        <v>1</v>
      </c>
      <c r="AK78" s="488" t="str" cm="1">
        <f t="array" aca="1" ref="AK78" ca="1">Ver_flag_visit</f>
        <v/>
      </c>
      <c r="AL78" s="212" t="str">
        <f ca="1">IFERROR(INDEX($BD$6:$BD$53,MATCH(AI78,$BN$6:$BN$53,0)),"")</f>
        <v>Argentina</v>
      </c>
      <c r="AM78" s="213">
        <f t="shared" ref="AM78:AT81" ca="1" si="262">INDEX($BE$6:$BN$53,MATCH($AL78,$BD$6:$BD$53,0),MATCH(AM$5,$BE$5:$BN$5,0))</f>
        <v>0</v>
      </c>
      <c r="AN78" s="214">
        <f t="shared" ca="1" si="262"/>
        <v>0</v>
      </c>
      <c r="AO78" s="214">
        <f t="shared" ca="1" si="262"/>
        <v>0</v>
      </c>
      <c r="AP78" s="214">
        <f t="shared" ca="1" si="262"/>
        <v>0</v>
      </c>
      <c r="AQ78" s="214">
        <f t="shared" ca="1" si="262"/>
        <v>0</v>
      </c>
      <c r="AR78" s="214">
        <f t="shared" ca="1" si="262"/>
        <v>0</v>
      </c>
      <c r="AS78" s="214">
        <f t="shared" ca="1" si="262"/>
        <v>0</v>
      </c>
      <c r="AT78" s="215">
        <f t="shared" ca="1" si="262"/>
        <v>0</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5.95" customHeight="1">
      <c r="A79" s="743" t="str">
        <f ca="1">+Equipos!B40</f>
        <v>Austria</v>
      </c>
      <c r="B79" s="740"/>
      <c r="C79" s="742"/>
      <c r="D79" s="742" t="str">
        <f t="shared" si="245"/>
        <v>Pendiente</v>
      </c>
      <c r="E79" s="742" t="str">
        <f t="shared" si="246"/>
        <v>-</v>
      </c>
      <c r="F79" s="742" t="str">
        <f t="shared" si="247"/>
        <v>-</v>
      </c>
      <c r="G79" s="742"/>
      <c r="H79" s="742" t="str">
        <f t="shared" si="248"/>
        <v>-</v>
      </c>
      <c r="I79" s="742" t="str">
        <f t="shared" si="249"/>
        <v>-</v>
      </c>
      <c r="J79" s="742"/>
      <c r="K79" s="742" t="str">
        <f t="shared" si="250"/>
        <v>-</v>
      </c>
      <c r="L79" s="742" t="str">
        <f t="shared" si="251"/>
        <v>-</v>
      </c>
      <c r="M79" s="742"/>
      <c r="N79" s="742" t="str">
        <f t="shared" si="252"/>
        <v>-</v>
      </c>
      <c r="O79" s="742" t="str">
        <f t="shared" si="253"/>
        <v>-</v>
      </c>
      <c r="P79" s="742"/>
      <c r="Q79" s="742" t="str">
        <f t="shared" si="254"/>
        <v>-</v>
      </c>
      <c r="R79" s="742" t="str">
        <f t="shared" si="255"/>
        <v>-</v>
      </c>
      <c r="S79" s="742"/>
      <c r="T79" s="742" t="str">
        <f t="shared" si="256"/>
        <v>-</v>
      </c>
      <c r="U79" s="742" t="str">
        <f t="shared" si="257"/>
        <v>-</v>
      </c>
      <c r="V79" s="172"/>
      <c r="W79" s="808"/>
      <c r="X79" s="189">
        <f ca="1">Horarios!C79</f>
        <v>46195.958333333336</v>
      </c>
      <c r="Y79" s="190">
        <f ca="1">Horarios!C79</f>
        <v>46195.958333333336</v>
      </c>
      <c r="Z79" s="191" t="str">
        <f>$Z$6</f>
        <v>J2</v>
      </c>
      <c r="AA79" s="192" t="str">
        <f ca="1">A80</f>
        <v>Jordania</v>
      </c>
      <c r="AB79" s="478" t="str" cm="1">
        <f t="array" aca="1" ref="AB79" ca="1">Ver_flag_local</f>
        <v/>
      </c>
      <c r="AC79" s="193"/>
      <c r="AD79" s="194"/>
      <c r="AE79" s="483" t="str" cm="1">
        <f t="array" aca="1" ref="AE79" ca="1">Ver_flag_visit</f>
        <v/>
      </c>
      <c r="AF79" s="195" t="str">
        <f ca="1">A78</f>
        <v>Argelia</v>
      </c>
      <c r="AG79" s="413">
        <f t="shared" si="258"/>
        <v>0</v>
      </c>
      <c r="AH79" s="196">
        <v>44</v>
      </c>
      <c r="AI79" s="19" t="str">
        <f t="shared" ref="AI79:AI81" si="263">AJ79&amp;$B$76</f>
        <v>2J</v>
      </c>
      <c r="AJ79" s="221">
        <v>2</v>
      </c>
      <c r="AK79" s="486" t="str" cm="1">
        <f t="array" aca="1" ref="AK79" ca="1">Ver_flag_visit</f>
        <v/>
      </c>
      <c r="AL79" s="222" t="str">
        <f ca="1">IFERROR(INDEX($BD$6:$BD$53,MATCH(AI79,$BN$6:$BN$53,0)),"")</f>
        <v>Argelia</v>
      </c>
      <c r="AM79" s="223">
        <f t="shared" ca="1" si="262"/>
        <v>0</v>
      </c>
      <c r="AN79" s="224">
        <f t="shared" ca="1" si="262"/>
        <v>0</v>
      </c>
      <c r="AO79" s="224">
        <f t="shared" ca="1" si="262"/>
        <v>0</v>
      </c>
      <c r="AP79" s="224">
        <f t="shared" ca="1" si="262"/>
        <v>0</v>
      </c>
      <c r="AQ79" s="224">
        <f t="shared" ca="1" si="262"/>
        <v>0</v>
      </c>
      <c r="AR79" s="224">
        <f t="shared" ca="1" si="262"/>
        <v>0</v>
      </c>
      <c r="AS79" s="224">
        <f t="shared" ca="1" si="262"/>
        <v>0</v>
      </c>
      <c r="AT79" s="225">
        <f t="shared" ca="1" si="262"/>
        <v>0</v>
      </c>
      <c r="AU79" s="420">
        <f ca="1">INDEX($DL$6:$DL$53,MATCH(AI79,$DP$6:$DP$53,0))</f>
        <v>1</v>
      </c>
      <c r="AV79" s="217" t="str">
        <f ca="1">INDEX($BD$6:$BD$53,MATCH(AI79,$BM$6:$BM$53,0))</f>
        <v>Argelia</v>
      </c>
      <c r="AW79" s="427"/>
      <c r="AX79" s="218"/>
      <c r="AY79" s="226" t="str">
        <f ca="1">+A78</f>
        <v>Argelia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Jordania-Argelia</v>
      </c>
      <c r="DU79" s="742"/>
      <c r="DV79" s="742"/>
      <c r="DW79" s="8"/>
    </row>
    <row r="80" spans="1:127" ht="15.95" customHeight="1">
      <c r="A80" s="743" t="str">
        <f ca="1">+Equipos!B41</f>
        <v>Jordania</v>
      </c>
      <c r="B80" s="740"/>
      <c r="C80" s="742"/>
      <c r="D80" s="742" t="str">
        <f t="shared" si="245"/>
        <v>Pendiente</v>
      </c>
      <c r="E80" s="742" t="str">
        <f t="shared" si="246"/>
        <v>-</v>
      </c>
      <c r="F80" s="742" t="str">
        <f t="shared" si="247"/>
        <v>-</v>
      </c>
      <c r="G80" s="742"/>
      <c r="H80" s="742" t="str">
        <f t="shared" si="248"/>
        <v>-</v>
      </c>
      <c r="I80" s="742" t="str">
        <f t="shared" si="249"/>
        <v>-</v>
      </c>
      <c r="J80" s="742"/>
      <c r="K80" s="742" t="str">
        <f t="shared" si="250"/>
        <v>-</v>
      </c>
      <c r="L80" s="742" t="str">
        <f t="shared" si="251"/>
        <v>-</v>
      </c>
      <c r="M80" s="742"/>
      <c r="N80" s="742" t="str">
        <f t="shared" si="252"/>
        <v>-</v>
      </c>
      <c r="O80" s="742" t="str">
        <f t="shared" si="253"/>
        <v>-</v>
      </c>
      <c r="P80" s="742"/>
      <c r="Q80" s="742" t="str">
        <f t="shared" si="254"/>
        <v>-</v>
      </c>
      <c r="R80" s="742" t="str">
        <f t="shared" si="255"/>
        <v>-</v>
      </c>
      <c r="S80" s="742"/>
      <c r="T80" s="742" t="str">
        <f t="shared" si="256"/>
        <v>-</v>
      </c>
      <c r="U80" s="742" t="str">
        <f t="shared" si="257"/>
        <v>-</v>
      </c>
      <c r="V80" s="172"/>
      <c r="W80" s="808"/>
      <c r="X80" s="189">
        <f ca="1">Horarios!C80</f>
        <v>46200.916666666664</v>
      </c>
      <c r="Y80" s="190">
        <f ca="1">Horarios!C80</f>
        <v>46200.916666666664</v>
      </c>
      <c r="Z80" s="191" t="str">
        <f>$Z$8</f>
        <v>J3</v>
      </c>
      <c r="AA80" s="192" t="str">
        <f ca="1">A78</f>
        <v>Argelia</v>
      </c>
      <c r="AB80" s="478" t="str" cm="1">
        <f t="array" aca="1" ref="AB80" ca="1">Ver_flag_local</f>
        <v/>
      </c>
      <c r="AC80" s="193"/>
      <c r="AD80" s="194"/>
      <c r="AE80" s="483" t="str" cm="1">
        <f t="array" aca="1" ref="AE80" ca="1">Ver_flag_visit</f>
        <v/>
      </c>
      <c r="AF80" s="195" t="str">
        <f ca="1">A79</f>
        <v>Austria</v>
      </c>
      <c r="AG80" s="413">
        <f t="shared" si="258"/>
        <v>0</v>
      </c>
      <c r="AH80" s="196">
        <v>69</v>
      </c>
      <c r="AI80" s="19" t="str">
        <f t="shared" si="263"/>
        <v>3J</v>
      </c>
      <c r="AJ80" s="221">
        <v>3</v>
      </c>
      <c r="AK80" s="486" t="str" cm="1">
        <f t="array" aca="1" ref="AK80" ca="1">Ver_flag_visit</f>
        <v/>
      </c>
      <c r="AL80" s="222" t="str">
        <f ca="1">IFERROR(INDEX($BD$6:$BD$53,MATCH(AI80,$BN$6:$BN$53,0)),"")</f>
        <v>Austria</v>
      </c>
      <c r="AM80" s="223">
        <f t="shared" ca="1" si="262"/>
        <v>0</v>
      </c>
      <c r="AN80" s="224">
        <f t="shared" ca="1" si="262"/>
        <v>0</v>
      </c>
      <c r="AO80" s="224">
        <f t="shared" ca="1" si="262"/>
        <v>0</v>
      </c>
      <c r="AP80" s="224">
        <f t="shared" ca="1" si="262"/>
        <v>0</v>
      </c>
      <c r="AQ80" s="224">
        <f t="shared" ca="1" si="262"/>
        <v>0</v>
      </c>
      <c r="AR80" s="224">
        <f t="shared" ca="1" si="262"/>
        <v>0</v>
      </c>
      <c r="AS80" s="224">
        <f t="shared" ca="1" si="262"/>
        <v>0</v>
      </c>
      <c r="AT80" s="225">
        <f t="shared" ca="1" si="262"/>
        <v>0</v>
      </c>
      <c r="AU80" s="420">
        <f ca="1">INDEX($DL$6:$DL$53,MATCH(AI80,$DP$6:$DP$53,0))</f>
        <v>1</v>
      </c>
      <c r="AV80" s="217" t="str">
        <f ca="1">INDEX($BD$6:$BD$53,MATCH(AI80,$BM$6:$BM$53,0))</f>
        <v>Austria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Argelia-Austria</v>
      </c>
      <c r="DU80" s="742"/>
      <c r="DV80" s="742"/>
      <c r="DW80" s="8"/>
    </row>
    <row r="81" spans="1:127" ht="17.100000000000001" customHeight="1" thickBot="1">
      <c r="A81" s="737"/>
      <c r="B81" s="737"/>
      <c r="C81" s="737"/>
      <c r="D81" s="742" t="str">
        <f t="shared" si="245"/>
        <v>Pendiente</v>
      </c>
      <c r="E81" s="742" t="str">
        <f t="shared" si="246"/>
        <v>-</v>
      </c>
      <c r="F81" s="742" t="str">
        <f t="shared" si="247"/>
        <v>-</v>
      </c>
      <c r="G81" s="742"/>
      <c r="H81" s="742" t="str">
        <f t="shared" si="248"/>
        <v>-</v>
      </c>
      <c r="I81" s="742" t="str">
        <f t="shared" si="249"/>
        <v>-</v>
      </c>
      <c r="J81" s="742"/>
      <c r="K81" s="742" t="str">
        <f t="shared" si="250"/>
        <v>-</v>
      </c>
      <c r="L81" s="742" t="str">
        <f t="shared" si="251"/>
        <v>-</v>
      </c>
      <c r="M81" s="742"/>
      <c r="N81" s="742" t="str">
        <f t="shared" si="252"/>
        <v>-</v>
      </c>
      <c r="O81" s="742" t="str">
        <f t="shared" si="253"/>
        <v>-</v>
      </c>
      <c r="P81" s="742"/>
      <c r="Q81" s="742" t="str">
        <f t="shared" si="254"/>
        <v>-</v>
      </c>
      <c r="R81" s="742" t="str">
        <f t="shared" si="255"/>
        <v>-</v>
      </c>
      <c r="S81" s="742"/>
      <c r="T81" s="742" t="str">
        <f t="shared" si="256"/>
        <v>-</v>
      </c>
      <c r="U81" s="742" t="str">
        <f t="shared" si="257"/>
        <v>-</v>
      </c>
      <c r="V81" s="172"/>
      <c r="W81" s="809"/>
      <c r="X81" s="228">
        <f ca="1">Horarios!C81</f>
        <v>46200.916666666664</v>
      </c>
      <c r="Y81" s="229">
        <f ca="1">Horarios!C81</f>
        <v>46200.916666666664</v>
      </c>
      <c r="Z81" s="230" t="str">
        <f>$Z$8</f>
        <v>J3</v>
      </c>
      <c r="AA81" s="231" t="str">
        <f ca="1">A80</f>
        <v>Jordania</v>
      </c>
      <c r="AB81" s="479" t="str" cm="1">
        <f t="array" aca="1" ref="AB81" ca="1">Ver_flag_local</f>
        <v/>
      </c>
      <c r="AC81" s="232"/>
      <c r="AD81" s="233"/>
      <c r="AE81" s="484" t="str" cm="1">
        <f t="array" aca="1" ref="AE81" ca="1">Ver_flag_visit</f>
        <v/>
      </c>
      <c r="AF81" s="234" t="str">
        <f ca="1">A77</f>
        <v>Argentina</v>
      </c>
      <c r="AG81" s="413">
        <f t="shared" si="258"/>
        <v>0</v>
      </c>
      <c r="AH81" s="196">
        <v>70</v>
      </c>
      <c r="AI81" s="19" t="str">
        <f t="shared" si="263"/>
        <v>4J</v>
      </c>
      <c r="AJ81" s="235">
        <v>4</v>
      </c>
      <c r="AK81" s="487" t="str" cm="1">
        <f t="array" aca="1" ref="AK81" ca="1">Ver_flag_visit</f>
        <v/>
      </c>
      <c r="AL81" s="236" t="str">
        <f ca="1">IFERROR(INDEX($BD$6:$BD$53,MATCH(AI81,$BN$6:$BN$53,0)),"")</f>
        <v>Jordania</v>
      </c>
      <c r="AM81" s="237">
        <f t="shared" ca="1" si="262"/>
        <v>0</v>
      </c>
      <c r="AN81" s="238">
        <f t="shared" ca="1" si="262"/>
        <v>0</v>
      </c>
      <c r="AO81" s="238">
        <f t="shared" ca="1" si="262"/>
        <v>0</v>
      </c>
      <c r="AP81" s="238">
        <f t="shared" ca="1" si="262"/>
        <v>0</v>
      </c>
      <c r="AQ81" s="238">
        <f t="shared" ca="1" si="262"/>
        <v>0</v>
      </c>
      <c r="AR81" s="238">
        <f t="shared" ca="1" si="262"/>
        <v>0</v>
      </c>
      <c r="AS81" s="238">
        <f t="shared" ca="1" si="262"/>
        <v>0</v>
      </c>
      <c r="AT81" s="239">
        <f t="shared" ca="1" si="262"/>
        <v>0</v>
      </c>
      <c r="AU81" s="420">
        <f ca="1">INDEX($DL$6:$DL$53,MATCH(AI81,$DP$6:$DP$53,0))</f>
        <v>1</v>
      </c>
      <c r="AV81" s="217" t="str">
        <f ca="1">INDEX($BD$6:$BD$53,MATCH(AI81,$BM$6:$BM$53,0))</f>
        <v>Jordania</v>
      </c>
      <c r="AW81" s="427"/>
      <c r="AX81" s="218"/>
      <c r="AY81" s="240" t="str">
        <f ca="1">+A80</f>
        <v>Jordania</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Jordania-Argentina</v>
      </c>
      <c r="DU81" s="742"/>
      <c r="DV81" s="742"/>
      <c r="DW81" s="8"/>
    </row>
    <row r="82" spans="1:127" ht="15.7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7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Casa-Fuera</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Pendiente</v>
      </c>
      <c r="E84" s="742" t="str">
        <f t="shared" ref="E84:E89" si="265">IF(D84="Pendiente","-",INDEX($BT$6:$BT$53,MATCH($AA84,$BD$6:$BD$53,0)))</f>
        <v>-</v>
      </c>
      <c r="F84" s="742" t="str">
        <f t="shared" ref="F84:F89" si="266">IF(D84="Pendiente","-",INDEX($BT$6:$BT$53,MATCH($AF84,$BD$6:$BD$53,0)))</f>
        <v>-</v>
      </c>
      <c r="G84" s="742"/>
      <c r="H84" s="742" t="str">
        <f t="shared" ref="H84:H89" si="267">IF(D84="Pendiente","-",INDEX($BZ$6:$BZ$53,MATCH($AA84,$BD$6:$BD$53,0)))</f>
        <v>-</v>
      </c>
      <c r="I84" s="742" t="str">
        <f t="shared" ref="I84:I89" si="268">IF(D84="Pendiente","-",INDEX($BZ$6:$BZ$53,MATCH($AF84,$BD$6:$BD$53,0)))</f>
        <v>-</v>
      </c>
      <c r="J84" s="742"/>
      <c r="K84" s="742" t="str">
        <f t="shared" ref="K84:K89" si="269">IF(D84="Pendiente","-",INDEX($CE$6:$CE$53,MATCH($AA84,$BD$6:$BD$53,0)))</f>
        <v>-</v>
      </c>
      <c r="L84" s="742" t="str">
        <f t="shared" ref="L84:L89" si="270">IF(D84="Pendiente","-",INDEX($CE$6:$CE$53,MATCH($AF84,$BD$6:$BD$53,0)))</f>
        <v>-</v>
      </c>
      <c r="M84" s="742"/>
      <c r="N84" s="742" t="str">
        <f t="shared" ref="N84:N89" si="271">IF(D84="Pendiente","-",INDEX($CH$6:$CH$53,MATCH($AA84,$BD$6:$BD$53,0)))</f>
        <v>-</v>
      </c>
      <c r="O84" s="742" t="str">
        <f t="shared" ref="O84:O89" si="272">IF(D84="Pendiente","-",INDEX($CH$6:$CH$53,MATCH($AF84,$BD$6:$BD$53,0)))</f>
        <v>-</v>
      </c>
      <c r="P84" s="742"/>
      <c r="Q84" s="742" t="str">
        <f t="shared" ref="Q84:Q89" si="273">IF(D84="Pendiente","-",INDEX($CN$6:$CN$53,MATCH($AA84,$BD$6:$BD$53,0)))</f>
        <v>-</v>
      </c>
      <c r="R84" s="742" t="str">
        <f t="shared" ref="R84:R89" si="274">IF(D84="Pendiente","-",INDEX($CN$6:$CN$53,MATCH($AF84,$BD$6:$BD$53,0)))</f>
        <v>-</v>
      </c>
      <c r="S84" s="742"/>
      <c r="T84" s="742" t="str">
        <f t="shared" ref="T84:T89" si="275">IF(D84="Pendiente","-",INDEX($CS$6:$CS$53,MATCH($AA84,$BD$6:$BD$53,0)))</f>
        <v>-</v>
      </c>
      <c r="U84" s="742" t="str">
        <f t="shared" ref="U84:U89" si="276">IF(D84="Pendiente","-",INDEX($CS$6:$CS$53,MATCH($AF84,$BD$6:$BD$53,0)))</f>
        <v>-</v>
      </c>
      <c r="V84" s="172"/>
      <c r="W84" s="814" t="s">
        <v>439</v>
      </c>
      <c r="X84" s="189">
        <f ca="1">Horarios!C84</f>
        <v>46190.541666666664</v>
      </c>
      <c r="Y84" s="190">
        <f ca="1">Horarios!C84</f>
        <v>46190.541666666664</v>
      </c>
      <c r="Z84" s="191" t="str">
        <f>$Z$4</f>
        <v>J1</v>
      </c>
      <c r="AA84" s="192" t="str">
        <f ca="1">A85</f>
        <v>Portugal</v>
      </c>
      <c r="AB84" s="478" t="str" cm="1">
        <f t="array" aca="1" ref="AB84" ca="1">Ver_flag_local</f>
        <v/>
      </c>
      <c r="AC84" s="193"/>
      <c r="AD84" s="194"/>
      <c r="AE84" s="483" t="str" cm="1">
        <f t="array" aca="1" ref="AE84" ca="1">Ver_flag_visit</f>
        <v/>
      </c>
      <c r="AF84" s="195" t="str">
        <f ca="1">A86</f>
        <v>RD Congo</v>
      </c>
      <c r="AG84" s="413">
        <f t="shared" ref="AG84:AG89" si="277">IF(NOT(OR(ISBLANK(AC84),ISBLANK(AD84))),1,0)</f>
        <v>0</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Portugal-RD Congo</v>
      </c>
      <c r="DU84" s="742"/>
      <c r="DV84" s="742"/>
      <c r="DW84" s="8"/>
    </row>
    <row r="85" spans="1:127" ht="15.95" customHeight="1">
      <c r="A85" s="743" t="str">
        <f ca="1">+Equipos!B42</f>
        <v>Portugal</v>
      </c>
      <c r="B85" s="740"/>
      <c r="C85" s="740"/>
      <c r="D85" s="742" t="str">
        <f t="shared" si="264"/>
        <v>Pendiente</v>
      </c>
      <c r="E85" s="742" t="str">
        <f t="shared" si="265"/>
        <v>-</v>
      </c>
      <c r="F85" s="742" t="str">
        <f t="shared" si="266"/>
        <v>-</v>
      </c>
      <c r="G85" s="742"/>
      <c r="H85" s="742" t="str">
        <f t="shared" si="267"/>
        <v>-</v>
      </c>
      <c r="I85" s="742" t="str">
        <f t="shared" si="268"/>
        <v>-</v>
      </c>
      <c r="J85" s="742"/>
      <c r="K85" s="742" t="str">
        <f t="shared" si="269"/>
        <v>-</v>
      </c>
      <c r="L85" s="742" t="str">
        <f t="shared" si="270"/>
        <v>-</v>
      </c>
      <c r="M85" s="742"/>
      <c r="N85" s="742" t="str">
        <f t="shared" si="271"/>
        <v>-</v>
      </c>
      <c r="O85" s="742" t="str">
        <f t="shared" si="272"/>
        <v>-</v>
      </c>
      <c r="P85" s="742"/>
      <c r="Q85" s="742" t="str">
        <f t="shared" si="273"/>
        <v>-</v>
      </c>
      <c r="R85" s="742" t="str">
        <f t="shared" si="274"/>
        <v>-</v>
      </c>
      <c r="S85" s="742"/>
      <c r="T85" s="742" t="str">
        <f t="shared" si="275"/>
        <v>-</v>
      </c>
      <c r="U85" s="742" t="str">
        <f t="shared" si="276"/>
        <v>-</v>
      </c>
      <c r="V85" s="172"/>
      <c r="W85" s="814"/>
      <c r="X85" s="189">
        <f ca="1">Horarios!C85</f>
        <v>46190.916666666664</v>
      </c>
      <c r="Y85" s="190">
        <f ca="1">Horarios!C85</f>
        <v>46190.916666666664</v>
      </c>
      <c r="Z85" s="191" t="str">
        <f>$Z$4</f>
        <v>J1</v>
      </c>
      <c r="AA85" s="192" t="str">
        <f ca="1">A87</f>
        <v>Uzbekistán</v>
      </c>
      <c r="AB85" s="478" t="str" cm="1">
        <f t="array" aca="1" ref="AB85" ca="1">Ver_flag_local</f>
        <v/>
      </c>
      <c r="AC85" s="193"/>
      <c r="AD85" s="194"/>
      <c r="AE85" s="483" t="str" cm="1">
        <f t="array" aca="1" ref="AE85" ca="1">Ver_flag_visit</f>
        <v/>
      </c>
      <c r="AF85" s="195" t="str">
        <f ca="1">A88</f>
        <v>Colombia</v>
      </c>
      <c r="AG85" s="413">
        <f t="shared" si="277"/>
        <v>0</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Uzbekistán-Colombia</v>
      </c>
      <c r="DU85" s="742"/>
      <c r="DV85" s="742"/>
      <c r="DW85" s="8"/>
    </row>
    <row r="86" spans="1:127" ht="15.95" customHeight="1">
      <c r="A86" s="743" t="str">
        <f ca="1">+Equipos!B43</f>
        <v>RD Congo</v>
      </c>
      <c r="B86" s="740"/>
      <c r="C86" s="744"/>
      <c r="D86" s="742" t="str">
        <f t="shared" si="264"/>
        <v>Pendiente</v>
      </c>
      <c r="E86" s="742" t="str">
        <f t="shared" si="265"/>
        <v>-</v>
      </c>
      <c r="F86" s="742" t="str">
        <f t="shared" si="266"/>
        <v>-</v>
      </c>
      <c r="G86" s="742"/>
      <c r="H86" s="742" t="str">
        <f t="shared" si="267"/>
        <v>-</v>
      </c>
      <c r="I86" s="742" t="str">
        <f t="shared" si="268"/>
        <v>-</v>
      </c>
      <c r="J86" s="742"/>
      <c r="K86" s="742" t="str">
        <f t="shared" si="269"/>
        <v>-</v>
      </c>
      <c r="L86" s="742" t="str">
        <f t="shared" si="270"/>
        <v>-</v>
      </c>
      <c r="M86" s="742"/>
      <c r="N86" s="742" t="str">
        <f t="shared" si="271"/>
        <v>-</v>
      </c>
      <c r="O86" s="742" t="str">
        <f t="shared" si="272"/>
        <v>-</v>
      </c>
      <c r="P86" s="742"/>
      <c r="Q86" s="742" t="str">
        <f t="shared" si="273"/>
        <v>-</v>
      </c>
      <c r="R86" s="742" t="str">
        <f t="shared" si="274"/>
        <v>-</v>
      </c>
      <c r="S86" s="742"/>
      <c r="T86" s="742" t="str">
        <f t="shared" si="275"/>
        <v>-</v>
      </c>
      <c r="U86" s="742" t="str">
        <f t="shared" si="276"/>
        <v>-</v>
      </c>
      <c r="V86" s="172"/>
      <c r="W86" s="814"/>
      <c r="X86" s="189">
        <f ca="1">Horarios!C86</f>
        <v>46196.541666666664</v>
      </c>
      <c r="Y86" s="190">
        <f ca="1">Horarios!C86</f>
        <v>46196.541666666664</v>
      </c>
      <c r="Z86" s="191" t="str">
        <f>$Z$6</f>
        <v>J2</v>
      </c>
      <c r="AA86" s="192" t="str">
        <f ca="1">A85</f>
        <v>Portugal</v>
      </c>
      <c r="AB86" s="478" t="str" cm="1">
        <f t="array" aca="1" ref="AB86" ca="1">Ver_flag_local</f>
        <v/>
      </c>
      <c r="AC86" s="193"/>
      <c r="AD86" s="194"/>
      <c r="AE86" s="483" t="str" cm="1">
        <f t="array" aca="1" ref="AE86" ca="1">Ver_flag_visit</f>
        <v/>
      </c>
      <c r="AF86" s="195" t="str">
        <f ca="1">A87</f>
        <v>Uzbekistán</v>
      </c>
      <c r="AG86" s="413">
        <f t="shared" si="277"/>
        <v>0</v>
      </c>
      <c r="AH86" s="196">
        <v>47</v>
      </c>
      <c r="AI86" s="19" t="str">
        <f>AJ86&amp;$B$84</f>
        <v>1K</v>
      </c>
      <c r="AJ86" s="211">
        <v>1</v>
      </c>
      <c r="AK86" s="488" t="str" cm="1">
        <f t="array" aca="1" ref="AK86" ca="1">Ver_flag_visit</f>
        <v/>
      </c>
      <c r="AL86" s="212" t="str">
        <f ca="1">IFERROR(INDEX($BD$6:$BD$53,MATCH(AI86,$BN$6:$BN$53,0)),"")</f>
        <v>Portugal</v>
      </c>
      <c r="AM86" s="213">
        <f t="shared" ref="AM86:AT89" ca="1" si="281">INDEX($BE$6:$BN$53,MATCH($AL86,$BD$6:$BD$53,0),MATCH(AM$5,$BE$5:$BN$5,0))</f>
        <v>0</v>
      </c>
      <c r="AN86" s="214">
        <f t="shared" ca="1" si="281"/>
        <v>0</v>
      </c>
      <c r="AO86" s="214">
        <f t="shared" ca="1" si="281"/>
        <v>0</v>
      </c>
      <c r="AP86" s="214">
        <f t="shared" ca="1" si="281"/>
        <v>0</v>
      </c>
      <c r="AQ86" s="214">
        <f t="shared" ca="1" si="281"/>
        <v>0</v>
      </c>
      <c r="AR86" s="214">
        <f t="shared" ca="1" si="281"/>
        <v>0</v>
      </c>
      <c r="AS86" s="214">
        <f t="shared" ca="1" si="281"/>
        <v>0</v>
      </c>
      <c r="AT86" s="215">
        <f t="shared" ca="1" si="281"/>
        <v>0</v>
      </c>
      <c r="AU86" s="420">
        <f ca="1">INDEX($DL$6:$DL$53,MATCH(AI86,$DP$6:$DP$53,0))</f>
        <v>1</v>
      </c>
      <c r="AV86" s="217" t="str">
        <f ca="1">INDEX($BD$6:$BD$53,MATCH(AI86,$BM$6:$BM$53,0))</f>
        <v>Portugal</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Portugal-Uzbekistán</v>
      </c>
      <c r="DU86" s="742"/>
      <c r="DV86" s="742"/>
      <c r="DW86" s="8"/>
    </row>
    <row r="87" spans="1:127" ht="15.95" customHeight="1">
      <c r="A87" s="743" t="str">
        <f ca="1">+Equipos!B44</f>
        <v>Uzbekistán</v>
      </c>
      <c r="B87" s="740"/>
      <c r="C87" s="742"/>
      <c r="D87" s="742" t="str">
        <f t="shared" si="264"/>
        <v>Pendiente</v>
      </c>
      <c r="E87" s="742" t="str">
        <f t="shared" si="265"/>
        <v>-</v>
      </c>
      <c r="F87" s="742" t="str">
        <f t="shared" si="266"/>
        <v>-</v>
      </c>
      <c r="G87" s="742"/>
      <c r="H87" s="742" t="str">
        <f t="shared" si="267"/>
        <v>-</v>
      </c>
      <c r="I87" s="742" t="str">
        <f t="shared" si="268"/>
        <v>-</v>
      </c>
      <c r="J87" s="742"/>
      <c r="K87" s="742" t="str">
        <f t="shared" si="269"/>
        <v>-</v>
      </c>
      <c r="L87" s="742" t="str">
        <f t="shared" si="270"/>
        <v>-</v>
      </c>
      <c r="M87" s="742"/>
      <c r="N87" s="742" t="str">
        <f t="shared" si="271"/>
        <v>-</v>
      </c>
      <c r="O87" s="742" t="str">
        <f t="shared" si="272"/>
        <v>-</v>
      </c>
      <c r="P87" s="742"/>
      <c r="Q87" s="742" t="str">
        <f t="shared" si="273"/>
        <v>-</v>
      </c>
      <c r="R87" s="742" t="str">
        <f t="shared" si="274"/>
        <v>-</v>
      </c>
      <c r="S87" s="742"/>
      <c r="T87" s="742" t="str">
        <f t="shared" si="275"/>
        <v>-</v>
      </c>
      <c r="U87" s="742" t="str">
        <f t="shared" si="276"/>
        <v>-</v>
      </c>
      <c r="V87" s="172"/>
      <c r="W87" s="814"/>
      <c r="X87" s="189">
        <f ca="1">Horarios!C87</f>
        <v>46196.916666666664</v>
      </c>
      <c r="Y87" s="190">
        <f ca="1">Horarios!C87</f>
        <v>46196.916666666664</v>
      </c>
      <c r="Z87" s="191" t="str">
        <f>$Z$6</f>
        <v>J2</v>
      </c>
      <c r="AA87" s="192" t="str">
        <f ca="1">A88</f>
        <v>Colombia</v>
      </c>
      <c r="AB87" s="478" t="str" cm="1">
        <f t="array" aca="1" ref="AB87" ca="1">Ver_flag_local</f>
        <v/>
      </c>
      <c r="AC87" s="193"/>
      <c r="AD87" s="194"/>
      <c r="AE87" s="483" t="str" cm="1">
        <f t="array" aca="1" ref="AE87" ca="1">Ver_flag_visit</f>
        <v/>
      </c>
      <c r="AF87" s="195" t="str">
        <f ca="1">A86</f>
        <v>RD Congo</v>
      </c>
      <c r="AG87" s="413">
        <f t="shared" si="277"/>
        <v>0</v>
      </c>
      <c r="AH87" s="196">
        <v>48</v>
      </c>
      <c r="AI87" s="19" t="str">
        <f t="shared" ref="AI87:AI89" si="282">AJ87&amp;$B$84</f>
        <v>2K</v>
      </c>
      <c r="AJ87" s="221">
        <v>2</v>
      </c>
      <c r="AK87" s="486" t="str" cm="1">
        <f t="array" aca="1" ref="AK87" ca="1">Ver_flag_visit</f>
        <v/>
      </c>
      <c r="AL87" s="222" t="str">
        <f ca="1">IFERROR(INDEX($BD$6:$BD$53,MATCH(AI87,$BN$6:$BN$53,0)),"")</f>
        <v>RD Congo</v>
      </c>
      <c r="AM87" s="223">
        <f t="shared" ca="1" si="281"/>
        <v>0</v>
      </c>
      <c r="AN87" s="224">
        <f t="shared" ca="1" si="281"/>
        <v>0</v>
      </c>
      <c r="AO87" s="224">
        <f t="shared" ca="1" si="281"/>
        <v>0</v>
      </c>
      <c r="AP87" s="224">
        <f t="shared" ca="1" si="281"/>
        <v>0</v>
      </c>
      <c r="AQ87" s="224">
        <f t="shared" ca="1" si="281"/>
        <v>0</v>
      </c>
      <c r="AR87" s="224">
        <f t="shared" ca="1" si="281"/>
        <v>0</v>
      </c>
      <c r="AS87" s="224">
        <f t="shared" ca="1" si="281"/>
        <v>0</v>
      </c>
      <c r="AT87" s="225">
        <f t="shared" ca="1" si="281"/>
        <v>0</v>
      </c>
      <c r="AU87" s="420">
        <f ca="1">INDEX($DL$6:$DL$53,MATCH(AI87,$DP$6:$DP$53,0))</f>
        <v>1</v>
      </c>
      <c r="AV87" s="217" t="str">
        <f ca="1">INDEX($BD$6:$BD$53,MATCH(AI87,$BM$6:$BM$53,0))</f>
        <v>RD Congo</v>
      </c>
      <c r="AW87" s="427"/>
      <c r="AX87" s="218"/>
      <c r="AY87" s="226" t="str">
        <f ca="1">+A86</f>
        <v>RD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Colombia-RD Congo</v>
      </c>
      <c r="DU87" s="742"/>
      <c r="DV87" s="742"/>
      <c r="DW87" s="8"/>
    </row>
    <row r="88" spans="1:127" ht="15.95" customHeight="1">
      <c r="A88" s="743" t="str">
        <f ca="1">+Equipos!B45</f>
        <v>Colombia</v>
      </c>
      <c r="B88" s="740"/>
      <c r="C88" s="742"/>
      <c r="D88" s="742" t="str">
        <f t="shared" si="264"/>
        <v>Pendiente</v>
      </c>
      <c r="E88" s="742" t="str">
        <f t="shared" si="265"/>
        <v>-</v>
      </c>
      <c r="F88" s="742" t="str">
        <f t="shared" si="266"/>
        <v>-</v>
      </c>
      <c r="G88" s="742"/>
      <c r="H88" s="742" t="str">
        <f t="shared" si="267"/>
        <v>-</v>
      </c>
      <c r="I88" s="742" t="str">
        <f t="shared" si="268"/>
        <v>-</v>
      </c>
      <c r="J88" s="742"/>
      <c r="K88" s="742" t="str">
        <f t="shared" si="269"/>
        <v>-</v>
      </c>
      <c r="L88" s="742" t="str">
        <f t="shared" si="270"/>
        <v>-</v>
      </c>
      <c r="M88" s="742"/>
      <c r="N88" s="742" t="str">
        <f t="shared" si="271"/>
        <v>-</v>
      </c>
      <c r="O88" s="742" t="str">
        <f t="shared" si="272"/>
        <v>-</v>
      </c>
      <c r="P88" s="742"/>
      <c r="Q88" s="742" t="str">
        <f t="shared" si="273"/>
        <v>-</v>
      </c>
      <c r="R88" s="742" t="str">
        <f t="shared" si="274"/>
        <v>-</v>
      </c>
      <c r="S88" s="742"/>
      <c r="T88" s="742" t="str">
        <f t="shared" si="275"/>
        <v>-</v>
      </c>
      <c r="U88" s="742" t="str">
        <f t="shared" si="276"/>
        <v>-</v>
      </c>
      <c r="V88" s="172"/>
      <c r="W88" s="814"/>
      <c r="X88" s="189">
        <f ca="1">Horarios!C88</f>
        <v>46200.8125</v>
      </c>
      <c r="Y88" s="190">
        <f ca="1">Horarios!C88</f>
        <v>46200.8125</v>
      </c>
      <c r="Z88" s="191" t="str">
        <f>$Z$8</f>
        <v>J3</v>
      </c>
      <c r="AA88" s="192" t="str">
        <f ca="1">A88</f>
        <v>Colombia</v>
      </c>
      <c r="AB88" s="478" t="str" cm="1">
        <f t="array" aca="1" ref="AB88" ca="1">Ver_flag_local</f>
        <v/>
      </c>
      <c r="AC88" s="193"/>
      <c r="AD88" s="194"/>
      <c r="AE88" s="483" t="str" cm="1">
        <f t="array" aca="1" ref="AE88" ca="1">Ver_flag_visit</f>
        <v/>
      </c>
      <c r="AF88" s="195" t="str">
        <f ca="1">A85</f>
        <v>Portugal</v>
      </c>
      <c r="AG88" s="413">
        <f t="shared" si="277"/>
        <v>0</v>
      </c>
      <c r="AH88" s="196">
        <v>71</v>
      </c>
      <c r="AI88" s="19" t="str">
        <f t="shared" si="282"/>
        <v>3K</v>
      </c>
      <c r="AJ88" s="221">
        <v>3</v>
      </c>
      <c r="AK88" s="486" t="str" cm="1">
        <f t="array" aca="1" ref="AK88" ca="1">Ver_flag_visit</f>
        <v/>
      </c>
      <c r="AL88" s="222" t="str">
        <f ca="1">IFERROR(INDEX($BD$6:$BD$53,MATCH(AI88,$BN$6:$BN$53,0)),"")</f>
        <v>Uzbekistán</v>
      </c>
      <c r="AM88" s="223">
        <f t="shared" ca="1" si="281"/>
        <v>0</v>
      </c>
      <c r="AN88" s="224">
        <f t="shared" ca="1" si="281"/>
        <v>0</v>
      </c>
      <c r="AO88" s="224">
        <f t="shared" ca="1" si="281"/>
        <v>0</v>
      </c>
      <c r="AP88" s="224">
        <f t="shared" ca="1" si="281"/>
        <v>0</v>
      </c>
      <c r="AQ88" s="224">
        <f t="shared" ca="1" si="281"/>
        <v>0</v>
      </c>
      <c r="AR88" s="224">
        <f t="shared" ca="1" si="281"/>
        <v>0</v>
      </c>
      <c r="AS88" s="224">
        <f t="shared" ca="1" si="281"/>
        <v>0</v>
      </c>
      <c r="AT88" s="225">
        <f t="shared" ca="1" si="281"/>
        <v>0</v>
      </c>
      <c r="AU88" s="420">
        <f ca="1">INDEX($DL$6:$DL$53,MATCH(AI88,$DP$6:$DP$53,0))</f>
        <v>1</v>
      </c>
      <c r="AV88" s="217" t="str">
        <f ca="1">INDEX($BD$6:$BD$53,MATCH(AI88,$BM$6:$BM$53,0))</f>
        <v>Uzbekistán</v>
      </c>
      <c r="AW88" s="427"/>
      <c r="AX88" s="218"/>
      <c r="AY88" s="219" t="str">
        <f ca="1">+A87</f>
        <v>Uzbekistán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100000000000001" customHeight="1" thickBot="1">
      <c r="A89" s="737"/>
      <c r="B89" s="737"/>
      <c r="C89" s="737"/>
      <c r="D89" s="742" t="str">
        <f t="shared" si="264"/>
        <v>Pendiente</v>
      </c>
      <c r="E89" s="742" t="str">
        <f t="shared" si="265"/>
        <v>-</v>
      </c>
      <c r="F89" s="742" t="str">
        <f t="shared" si="266"/>
        <v>-</v>
      </c>
      <c r="G89" s="742"/>
      <c r="H89" s="742" t="str">
        <f t="shared" si="267"/>
        <v>-</v>
      </c>
      <c r="I89" s="742" t="str">
        <f t="shared" si="268"/>
        <v>-</v>
      </c>
      <c r="J89" s="742"/>
      <c r="K89" s="742" t="str">
        <f t="shared" si="269"/>
        <v>-</v>
      </c>
      <c r="L89" s="742" t="str">
        <f t="shared" si="270"/>
        <v>-</v>
      </c>
      <c r="M89" s="742"/>
      <c r="N89" s="742" t="str">
        <f t="shared" si="271"/>
        <v>-</v>
      </c>
      <c r="O89" s="742" t="str">
        <f t="shared" si="272"/>
        <v>-</v>
      </c>
      <c r="P89" s="742"/>
      <c r="Q89" s="742" t="str">
        <f t="shared" si="273"/>
        <v>-</v>
      </c>
      <c r="R89" s="742" t="str">
        <f t="shared" si="274"/>
        <v>-</v>
      </c>
      <c r="S89" s="742"/>
      <c r="T89" s="742" t="str">
        <f t="shared" si="275"/>
        <v>-</v>
      </c>
      <c r="U89" s="742" t="str">
        <f t="shared" si="276"/>
        <v>-</v>
      </c>
      <c r="V89" s="172"/>
      <c r="W89" s="815"/>
      <c r="X89" s="228">
        <f ca="1">Horarios!C89</f>
        <v>46200.8125</v>
      </c>
      <c r="Y89" s="229">
        <f ca="1">Horarios!C89</f>
        <v>46200.8125</v>
      </c>
      <c r="Z89" s="230" t="str">
        <f>$Z$8</f>
        <v>J3</v>
      </c>
      <c r="AA89" s="231" t="str">
        <f ca="1">A86</f>
        <v>RD Congo</v>
      </c>
      <c r="AB89" s="479" t="str" cm="1">
        <f t="array" aca="1" ref="AB89" ca="1">Ver_flag_local</f>
        <v/>
      </c>
      <c r="AC89" s="232"/>
      <c r="AD89" s="233"/>
      <c r="AE89" s="484" t="str" cm="1">
        <f t="array" aca="1" ref="AE89" ca="1">Ver_flag_visit</f>
        <v/>
      </c>
      <c r="AF89" s="234" t="str">
        <f ca="1">A87</f>
        <v>Uzbekistán</v>
      </c>
      <c r="AG89" s="413">
        <f t="shared" si="277"/>
        <v>0</v>
      </c>
      <c r="AH89" s="196">
        <v>72</v>
      </c>
      <c r="AI89" s="19" t="str">
        <f t="shared" si="282"/>
        <v>4K</v>
      </c>
      <c r="AJ89" s="235">
        <v>4</v>
      </c>
      <c r="AK89" s="487" t="str" cm="1">
        <f t="array" aca="1" ref="AK89" ca="1">Ver_flag_visit</f>
        <v/>
      </c>
      <c r="AL89" s="236" t="str">
        <f ca="1">IFERROR(INDEX($BD$6:$BD$53,MATCH(AI89,$BN$6:$BN$53,0)),"")</f>
        <v>Colombia</v>
      </c>
      <c r="AM89" s="237">
        <f t="shared" ca="1" si="281"/>
        <v>0</v>
      </c>
      <c r="AN89" s="238">
        <f t="shared" ca="1" si="281"/>
        <v>0</v>
      </c>
      <c r="AO89" s="238">
        <f t="shared" ca="1" si="281"/>
        <v>0</v>
      </c>
      <c r="AP89" s="238">
        <f t="shared" ca="1" si="281"/>
        <v>0</v>
      </c>
      <c r="AQ89" s="238">
        <f t="shared" ca="1" si="281"/>
        <v>0</v>
      </c>
      <c r="AR89" s="238">
        <f t="shared" ca="1" si="281"/>
        <v>0</v>
      </c>
      <c r="AS89" s="238">
        <f t="shared" ca="1" si="281"/>
        <v>0</v>
      </c>
      <c r="AT89" s="239">
        <f t="shared" ca="1" si="281"/>
        <v>0</v>
      </c>
      <c r="AU89" s="420">
        <f ca="1">INDEX($DL$6:$DL$53,MATCH(AI89,$DP$6:$DP$53,0))</f>
        <v>1</v>
      </c>
      <c r="AV89" s="217" t="str">
        <f ca="1">INDEX($BD$6:$BD$53,MATCH(AI89,$BM$6:$BM$53,0))</f>
        <v>Colombia</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RD Congo-Uzbekistán</v>
      </c>
      <c r="DU89" s="742"/>
      <c r="DV89" s="742"/>
      <c r="DW89" s="8"/>
    </row>
    <row r="90" spans="1:127" ht="15.7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7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Casa-Fuera</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Pendiente</v>
      </c>
      <c r="E92" s="742" t="str">
        <f t="shared" ref="E92:E97" si="284">IF(D92="Pendiente","-",INDEX($BT$6:$BT$53,MATCH($AA92,$BD$6:$BD$53,0)))</f>
        <v>-</v>
      </c>
      <c r="F92" s="742" t="str">
        <f t="shared" ref="F92:F97" si="285">IF(D92="Pendiente","-",INDEX($BT$6:$BT$53,MATCH($AF92,$BD$6:$BD$53,0)))</f>
        <v>-</v>
      </c>
      <c r="G92" s="742"/>
      <c r="H92" s="742" t="str">
        <f t="shared" ref="H92:H97" si="286">IF(D92="Pendiente","-",INDEX($BZ$6:$BZ$53,MATCH($AA92,$BD$6:$BD$53,0)))</f>
        <v>-</v>
      </c>
      <c r="I92" s="742" t="str">
        <f t="shared" ref="I92:I97" si="287">IF(D92="Pendiente","-",INDEX($BZ$6:$BZ$53,MATCH($AF92,$BD$6:$BD$53,0)))</f>
        <v>-</v>
      </c>
      <c r="J92" s="742"/>
      <c r="K92" s="742" t="str">
        <f t="shared" ref="K92:K97" si="288">IF(D92="Pendiente","-",INDEX($CE$6:$CE$53,MATCH($AA92,$BD$6:$BD$53,0)))</f>
        <v>-</v>
      </c>
      <c r="L92" s="742" t="str">
        <f t="shared" ref="L92:L97" si="289">IF(D92="Pendiente","-",INDEX($CE$6:$CE$53,MATCH($AF92,$BD$6:$BD$53,0)))</f>
        <v>-</v>
      </c>
      <c r="M92" s="742"/>
      <c r="N92" s="742" t="str">
        <f t="shared" ref="N92:N97" si="290">IF(D92="Pendiente","-",INDEX($CH$6:$CH$53,MATCH($AA92,$BD$6:$BD$53,0)))</f>
        <v>-</v>
      </c>
      <c r="O92" s="742" t="str">
        <f t="shared" ref="O92:O97" si="291">IF(D92="Pendiente","-",INDEX($CH$6:$CH$53,MATCH($AF92,$BD$6:$BD$53,0)))</f>
        <v>-</v>
      </c>
      <c r="P92" s="742"/>
      <c r="Q92" s="742" t="str">
        <f t="shared" ref="Q92:Q97" si="292">IF(D92="Pendiente","-",INDEX($CN$6:$CN$53,MATCH($AA92,$BD$6:$BD$53,0)))</f>
        <v>-</v>
      </c>
      <c r="R92" s="742" t="str">
        <f t="shared" ref="R92:R97" si="293">IF(D92="Pendiente","-",INDEX($CN$6:$CN$53,MATCH($AF92,$BD$6:$BD$53,0)))</f>
        <v>-</v>
      </c>
      <c r="S92" s="742"/>
      <c r="T92" s="742" t="str">
        <f t="shared" ref="T92:T97" si="294">IF(D92="Pendiente","-",INDEX($CS$6:$CS$53,MATCH($AA92,$BD$6:$BD$53,0)))</f>
        <v>-</v>
      </c>
      <c r="U92" s="742" t="str">
        <f t="shared" ref="U92:U97" si="295">IF(D92="Pendiente","-",INDEX($CS$6:$CS$53,MATCH($AF92,$BD$6:$BD$53,0)))</f>
        <v>-</v>
      </c>
      <c r="V92" s="172"/>
      <c r="W92" s="810" t="s">
        <v>238</v>
      </c>
      <c r="X92" s="189">
        <f ca="1">Horarios!C92</f>
        <v>46190.666666666664</v>
      </c>
      <c r="Y92" s="190">
        <f ca="1">Horarios!C92</f>
        <v>46190.666666666664</v>
      </c>
      <c r="Z92" s="191" t="str">
        <f>$Z$4</f>
        <v>J1</v>
      </c>
      <c r="AA92" s="192" t="str">
        <f ca="1">A93</f>
        <v>Inglaterra</v>
      </c>
      <c r="AB92" s="478" t="str" cm="1">
        <f t="array" aca="1" ref="AB92" ca="1">Ver_flag_local</f>
        <v/>
      </c>
      <c r="AC92" s="193"/>
      <c r="AD92" s="194"/>
      <c r="AE92" s="483" t="str" cm="1">
        <f t="array" aca="1" ref="AE92" ca="1">Ver_flag_visit</f>
        <v/>
      </c>
      <c r="AF92" s="195" t="str">
        <f ca="1">A94</f>
        <v>Croacia</v>
      </c>
      <c r="AG92" s="413">
        <f t="shared" ref="AG92:AG97" si="296">IF(NOT(OR(ISBLANK(AC92),ISBLANK(AD92))),1,0)</f>
        <v>0</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Inglaterra-Croacia</v>
      </c>
      <c r="DU92" s="742"/>
      <c r="DV92" s="742"/>
      <c r="DW92" s="8"/>
    </row>
    <row r="93" spans="1:127" ht="15.95" customHeight="1">
      <c r="A93" s="743" t="str">
        <f ca="1">+Equipos!B46</f>
        <v>Inglaterra</v>
      </c>
      <c r="B93" s="740"/>
      <c r="C93" s="740"/>
      <c r="D93" s="742" t="str">
        <f t="shared" si="283"/>
        <v>Pendiente</v>
      </c>
      <c r="E93" s="742" t="str">
        <f t="shared" si="284"/>
        <v>-</v>
      </c>
      <c r="F93" s="742" t="str">
        <f t="shared" si="285"/>
        <v>-</v>
      </c>
      <c r="G93" s="742"/>
      <c r="H93" s="742" t="str">
        <f t="shared" si="286"/>
        <v>-</v>
      </c>
      <c r="I93" s="742" t="str">
        <f t="shared" si="287"/>
        <v>-</v>
      </c>
      <c r="J93" s="742"/>
      <c r="K93" s="742" t="str">
        <f t="shared" si="288"/>
        <v>-</v>
      </c>
      <c r="L93" s="742" t="str">
        <f t="shared" si="289"/>
        <v>-</v>
      </c>
      <c r="M93" s="742"/>
      <c r="N93" s="742" t="str">
        <f t="shared" si="290"/>
        <v>-</v>
      </c>
      <c r="O93" s="742" t="str">
        <f t="shared" si="291"/>
        <v>-</v>
      </c>
      <c r="P93" s="742"/>
      <c r="Q93" s="742" t="str">
        <f t="shared" si="292"/>
        <v>-</v>
      </c>
      <c r="R93" s="742" t="str">
        <f t="shared" si="293"/>
        <v>-</v>
      </c>
      <c r="S93" s="742"/>
      <c r="T93" s="742" t="str">
        <f t="shared" si="294"/>
        <v>-</v>
      </c>
      <c r="U93" s="742" t="str">
        <f t="shared" si="295"/>
        <v>-</v>
      </c>
      <c r="V93" s="172"/>
      <c r="W93" s="810"/>
      <c r="X93" s="189">
        <f ca="1">Horarios!C93</f>
        <v>46190.791666666664</v>
      </c>
      <c r="Y93" s="190">
        <f ca="1">Horarios!C93</f>
        <v>46190.791666666664</v>
      </c>
      <c r="Z93" s="191" t="str">
        <f>$Z$4</f>
        <v>J1</v>
      </c>
      <c r="AA93" s="192" t="str">
        <f ca="1">A95</f>
        <v>Ghana</v>
      </c>
      <c r="AB93" s="478" t="str" cm="1">
        <f t="array" aca="1" ref="AB93" ca="1">Ver_flag_local</f>
        <v/>
      </c>
      <c r="AC93" s="193"/>
      <c r="AD93" s="194"/>
      <c r="AE93" s="483" t="str" cm="1">
        <f t="array" aca="1" ref="AE93" ca="1">Ver_flag_visit</f>
        <v/>
      </c>
      <c r="AF93" s="195" t="str">
        <f ca="1">A96</f>
        <v>Panamá</v>
      </c>
      <c r="AG93" s="413">
        <f t="shared" si="296"/>
        <v>0</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Ghana-Panamá</v>
      </c>
      <c r="DU93" s="742"/>
      <c r="DV93" s="742"/>
      <c r="DW93" s="8"/>
    </row>
    <row r="94" spans="1:127" ht="15.95" customHeight="1">
      <c r="A94" s="743" t="str">
        <f ca="1">+Equipos!B47</f>
        <v>Croacia</v>
      </c>
      <c r="B94" s="740"/>
      <c r="C94" s="744"/>
      <c r="D94" s="742" t="str">
        <f t="shared" si="283"/>
        <v>Pendiente</v>
      </c>
      <c r="E94" s="742" t="str">
        <f t="shared" si="284"/>
        <v>-</v>
      </c>
      <c r="F94" s="742" t="str">
        <f t="shared" si="285"/>
        <v>-</v>
      </c>
      <c r="G94" s="742"/>
      <c r="H94" s="742" t="str">
        <f t="shared" si="286"/>
        <v>-</v>
      </c>
      <c r="I94" s="742" t="str">
        <f t="shared" si="287"/>
        <v>-</v>
      </c>
      <c r="J94" s="742"/>
      <c r="K94" s="742" t="str">
        <f t="shared" si="288"/>
        <v>-</v>
      </c>
      <c r="L94" s="742" t="str">
        <f t="shared" si="289"/>
        <v>-</v>
      </c>
      <c r="M94" s="742"/>
      <c r="N94" s="742" t="str">
        <f t="shared" si="290"/>
        <v>-</v>
      </c>
      <c r="O94" s="742" t="str">
        <f t="shared" si="291"/>
        <v>-</v>
      </c>
      <c r="P94" s="742"/>
      <c r="Q94" s="742" t="str">
        <f t="shared" si="292"/>
        <v>-</v>
      </c>
      <c r="R94" s="742" t="str">
        <f t="shared" si="293"/>
        <v>-</v>
      </c>
      <c r="S94" s="742"/>
      <c r="T94" s="742" t="str">
        <f t="shared" si="294"/>
        <v>-</v>
      </c>
      <c r="U94" s="742" t="str">
        <f t="shared" si="295"/>
        <v>-</v>
      </c>
      <c r="V94" s="172"/>
      <c r="W94" s="810"/>
      <c r="X94" s="189">
        <f ca="1">Horarios!C94</f>
        <v>46196.666666666664</v>
      </c>
      <c r="Y94" s="190">
        <f ca="1">Horarios!C94</f>
        <v>46196.666666666664</v>
      </c>
      <c r="Z94" s="191" t="str">
        <f>$Z$6</f>
        <v>J2</v>
      </c>
      <c r="AA94" s="192" t="str">
        <f ca="1">A93</f>
        <v>Inglaterra</v>
      </c>
      <c r="AB94" s="478" t="str" cm="1">
        <f t="array" aca="1" ref="AB94" ca="1">Ver_flag_local</f>
        <v/>
      </c>
      <c r="AC94" s="193"/>
      <c r="AD94" s="194"/>
      <c r="AE94" s="483" t="str" cm="1">
        <f t="array" aca="1" ref="AE94" ca="1">Ver_flag_visit</f>
        <v/>
      </c>
      <c r="AF94" s="195" t="str">
        <f ca="1">A95</f>
        <v>Ghana</v>
      </c>
      <c r="AG94" s="413">
        <f t="shared" si="296"/>
        <v>0</v>
      </c>
      <c r="AH94" s="196">
        <v>45</v>
      </c>
      <c r="AI94" s="19" t="str">
        <f>AJ94&amp;$B$92</f>
        <v>1L</v>
      </c>
      <c r="AJ94" s="211">
        <v>1</v>
      </c>
      <c r="AK94" s="488" t="str" cm="1">
        <f t="array" aca="1" ref="AK94" ca="1">Ver_flag_visit</f>
        <v/>
      </c>
      <c r="AL94" s="212" t="str">
        <f ca="1">IFERROR(INDEX($BD$6:$BD$53,MATCH(AI94,$BN$6:$BN$53,0)),"")</f>
        <v>Inglaterra</v>
      </c>
      <c r="AM94" s="213">
        <f t="shared" ref="AM94:AT97" ca="1" si="300">INDEX($BE$6:$BN$53,MATCH($AL94,$BD$6:$BD$53,0),MATCH(AM$5,$BE$5:$BN$5,0))</f>
        <v>0</v>
      </c>
      <c r="AN94" s="214">
        <f t="shared" ca="1" si="300"/>
        <v>0</v>
      </c>
      <c r="AO94" s="214">
        <f t="shared" ca="1" si="300"/>
        <v>0</v>
      </c>
      <c r="AP94" s="214">
        <f t="shared" ca="1" si="300"/>
        <v>0</v>
      </c>
      <c r="AQ94" s="214">
        <f t="shared" ca="1" si="300"/>
        <v>0</v>
      </c>
      <c r="AR94" s="214">
        <f t="shared" ca="1" si="300"/>
        <v>0</v>
      </c>
      <c r="AS94" s="214">
        <f t="shared" ca="1" si="300"/>
        <v>0</v>
      </c>
      <c r="AT94" s="215">
        <f t="shared" ca="1" si="300"/>
        <v>0</v>
      </c>
      <c r="AU94" s="420">
        <f ca="1">INDEX($DL$6:$DL$53,MATCH(AI94,$DP$6:$DP$53,0))</f>
        <v>1</v>
      </c>
      <c r="AV94" s="217" t="str">
        <f ca="1">INDEX($BD$6:$BD$53,MATCH(AI94,$BM$6:$BM$53,0))</f>
        <v>Inglaterra</v>
      </c>
      <c r="AW94" s="427"/>
      <c r="AX94" s="218"/>
      <c r="AY94" s="219" t="str">
        <f ca="1">+A93</f>
        <v>Inglaterra</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Inglaterra-Ghana</v>
      </c>
      <c r="DU94" s="742"/>
      <c r="DV94" s="742"/>
      <c r="DW94" s="8"/>
    </row>
    <row r="95" spans="1:127" ht="15.95" customHeight="1">
      <c r="A95" s="743" t="str">
        <f ca="1">+Equipos!B48</f>
        <v>Ghana</v>
      </c>
      <c r="B95" s="740"/>
      <c r="C95" s="742"/>
      <c r="D95" s="742" t="str">
        <f t="shared" si="283"/>
        <v>Pendiente</v>
      </c>
      <c r="E95" s="742" t="str">
        <f t="shared" si="284"/>
        <v>-</v>
      </c>
      <c r="F95" s="742" t="str">
        <f t="shared" si="285"/>
        <v>-</v>
      </c>
      <c r="G95" s="742"/>
      <c r="H95" s="742" t="str">
        <f t="shared" si="286"/>
        <v>-</v>
      </c>
      <c r="I95" s="742" t="str">
        <f t="shared" si="287"/>
        <v>-</v>
      </c>
      <c r="J95" s="742"/>
      <c r="K95" s="742" t="str">
        <f t="shared" si="288"/>
        <v>-</v>
      </c>
      <c r="L95" s="742" t="str">
        <f t="shared" si="289"/>
        <v>-</v>
      </c>
      <c r="M95" s="742"/>
      <c r="N95" s="742" t="str">
        <f t="shared" si="290"/>
        <v>-</v>
      </c>
      <c r="O95" s="742" t="str">
        <f t="shared" si="291"/>
        <v>-</v>
      </c>
      <c r="P95" s="742"/>
      <c r="Q95" s="742" t="str">
        <f t="shared" si="292"/>
        <v>-</v>
      </c>
      <c r="R95" s="742" t="str">
        <f t="shared" si="293"/>
        <v>-</v>
      </c>
      <c r="S95" s="742"/>
      <c r="T95" s="742" t="str">
        <f t="shared" si="294"/>
        <v>-</v>
      </c>
      <c r="U95" s="742" t="str">
        <f t="shared" si="295"/>
        <v>-</v>
      </c>
      <c r="V95" s="172"/>
      <c r="W95" s="810"/>
      <c r="X95" s="189">
        <f ca="1">Horarios!C95</f>
        <v>46196.791666666664</v>
      </c>
      <c r="Y95" s="190">
        <f ca="1">Horarios!C95</f>
        <v>46196.791666666664</v>
      </c>
      <c r="Z95" s="191" t="str">
        <f>$Z$6</f>
        <v>J2</v>
      </c>
      <c r="AA95" s="192" t="str">
        <f ca="1">A96</f>
        <v>Panamá</v>
      </c>
      <c r="AB95" s="478" t="str" cm="1">
        <f t="array" aca="1" ref="AB95" ca="1">Ver_flag_local</f>
        <v/>
      </c>
      <c r="AC95" s="193"/>
      <c r="AD95" s="194"/>
      <c r="AE95" s="483" t="str" cm="1">
        <f t="array" aca="1" ref="AE95" ca="1">Ver_flag_visit</f>
        <v/>
      </c>
      <c r="AF95" s="195" t="str">
        <f ca="1">A94</f>
        <v>Croacia</v>
      </c>
      <c r="AG95" s="413">
        <f t="shared" si="296"/>
        <v>0</v>
      </c>
      <c r="AH95" s="196">
        <v>46</v>
      </c>
      <c r="AI95" s="19" t="str">
        <f t="shared" ref="AI95:AI97" si="301">AJ95&amp;$B$92</f>
        <v>2L</v>
      </c>
      <c r="AJ95" s="221">
        <v>2</v>
      </c>
      <c r="AK95" s="486" t="str" cm="1">
        <f t="array" aca="1" ref="AK95" ca="1">Ver_flag_visit</f>
        <v/>
      </c>
      <c r="AL95" s="222" t="str">
        <f ca="1">IFERROR(INDEX($BD$6:$BD$53,MATCH(AI95,$BN$6:$BN$53,0)),"")</f>
        <v>Croacia</v>
      </c>
      <c r="AM95" s="223">
        <f t="shared" ca="1" si="300"/>
        <v>0</v>
      </c>
      <c r="AN95" s="224">
        <f t="shared" ca="1" si="300"/>
        <v>0</v>
      </c>
      <c r="AO95" s="224">
        <f t="shared" ca="1" si="300"/>
        <v>0</v>
      </c>
      <c r="AP95" s="224">
        <f t="shared" ca="1" si="300"/>
        <v>0</v>
      </c>
      <c r="AQ95" s="224">
        <f t="shared" ca="1" si="300"/>
        <v>0</v>
      </c>
      <c r="AR95" s="224">
        <f t="shared" ca="1" si="300"/>
        <v>0</v>
      </c>
      <c r="AS95" s="224">
        <f t="shared" ca="1" si="300"/>
        <v>0</v>
      </c>
      <c r="AT95" s="225">
        <f t="shared" ca="1" si="300"/>
        <v>0</v>
      </c>
      <c r="AU95" s="420">
        <f ca="1">INDEX($DL$6:$DL$53,MATCH(AI95,$DP$6:$DP$53,0))</f>
        <v>1</v>
      </c>
      <c r="AV95" s="217" t="str">
        <f ca="1">INDEX($BD$6:$BD$53,MATCH(AI95,$BM$6:$BM$53,0))</f>
        <v>Croacia</v>
      </c>
      <c r="AW95" s="427"/>
      <c r="AX95" s="218"/>
      <c r="AY95" s="226" t="str">
        <f ca="1">+A94</f>
        <v>Croacia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Panamá-Croacia</v>
      </c>
      <c r="DU95" s="742"/>
      <c r="DV95" s="742"/>
      <c r="DW95" s="8"/>
    </row>
    <row r="96" spans="1:127" ht="15.95" customHeight="1">
      <c r="A96" s="743" t="str">
        <f ca="1">+Equipos!B49</f>
        <v>Panamá</v>
      </c>
      <c r="B96" s="740"/>
      <c r="C96" s="742"/>
      <c r="D96" s="742" t="str">
        <f t="shared" si="283"/>
        <v>Pendiente</v>
      </c>
      <c r="E96" s="742" t="str">
        <f t="shared" si="284"/>
        <v>-</v>
      </c>
      <c r="F96" s="742" t="str">
        <f t="shared" si="285"/>
        <v>-</v>
      </c>
      <c r="G96" s="742"/>
      <c r="H96" s="742" t="str">
        <f t="shared" si="286"/>
        <v>-</v>
      </c>
      <c r="I96" s="742" t="str">
        <f t="shared" si="287"/>
        <v>-</v>
      </c>
      <c r="J96" s="742"/>
      <c r="K96" s="742" t="str">
        <f t="shared" si="288"/>
        <v>-</v>
      </c>
      <c r="L96" s="742" t="str">
        <f t="shared" si="289"/>
        <v>-</v>
      </c>
      <c r="M96" s="742"/>
      <c r="N96" s="742" t="str">
        <f t="shared" si="290"/>
        <v>-</v>
      </c>
      <c r="O96" s="742" t="str">
        <f t="shared" si="291"/>
        <v>-</v>
      </c>
      <c r="P96" s="742"/>
      <c r="Q96" s="742" t="str">
        <f t="shared" si="292"/>
        <v>-</v>
      </c>
      <c r="R96" s="742" t="str">
        <f t="shared" si="293"/>
        <v>-</v>
      </c>
      <c r="S96" s="742"/>
      <c r="T96" s="742" t="str">
        <f t="shared" si="294"/>
        <v>-</v>
      </c>
      <c r="U96" s="742" t="str">
        <f t="shared" si="295"/>
        <v>-</v>
      </c>
      <c r="V96" s="172"/>
      <c r="W96" s="810"/>
      <c r="X96" s="189">
        <f ca="1">Horarios!C96</f>
        <v>46200.708333333336</v>
      </c>
      <c r="Y96" s="190">
        <f ca="1">Horarios!C96</f>
        <v>46200.708333333336</v>
      </c>
      <c r="Z96" s="191" t="str">
        <f>$Z$8</f>
        <v>J3</v>
      </c>
      <c r="AA96" s="192" t="str">
        <f ca="1">A96</f>
        <v>Panamá</v>
      </c>
      <c r="AB96" s="478" t="str" cm="1">
        <f t="array" aca="1" ref="AB96" ca="1">Ver_flag_local</f>
        <v/>
      </c>
      <c r="AC96" s="193"/>
      <c r="AD96" s="194"/>
      <c r="AE96" s="483" t="str" cm="1">
        <f t="array" aca="1" ref="AE96" ca="1">Ver_flag_visit</f>
        <v/>
      </c>
      <c r="AF96" s="195" t="str">
        <f ca="1">A93</f>
        <v>Inglaterra</v>
      </c>
      <c r="AG96" s="413">
        <f t="shared" si="296"/>
        <v>0</v>
      </c>
      <c r="AH96" s="196">
        <v>67</v>
      </c>
      <c r="AI96" s="19" t="str">
        <f t="shared" si="301"/>
        <v>3L</v>
      </c>
      <c r="AJ96" s="221">
        <v>3</v>
      </c>
      <c r="AK96" s="486" t="str" cm="1">
        <f t="array" aca="1" ref="AK96" ca="1">Ver_flag_visit</f>
        <v/>
      </c>
      <c r="AL96" s="222" t="str">
        <f ca="1">IFERROR(INDEX($BD$6:$BD$53,MATCH(AI96,$BN$6:$BN$53,0)),"")</f>
        <v>Ghana</v>
      </c>
      <c r="AM96" s="223">
        <f t="shared" ca="1" si="300"/>
        <v>0</v>
      </c>
      <c r="AN96" s="224">
        <f t="shared" ca="1" si="300"/>
        <v>0</v>
      </c>
      <c r="AO96" s="224">
        <f t="shared" ca="1" si="300"/>
        <v>0</v>
      </c>
      <c r="AP96" s="224">
        <f t="shared" ca="1" si="300"/>
        <v>0</v>
      </c>
      <c r="AQ96" s="224">
        <f t="shared" ca="1" si="300"/>
        <v>0</v>
      </c>
      <c r="AR96" s="224">
        <f t="shared" ca="1" si="300"/>
        <v>0</v>
      </c>
      <c r="AS96" s="224">
        <f t="shared" ca="1" si="300"/>
        <v>0</v>
      </c>
      <c r="AT96" s="225">
        <f t="shared" ca="1" si="300"/>
        <v>0</v>
      </c>
      <c r="AU96" s="420">
        <f ca="1">INDEX($DL$6:$DL$53,MATCH(AI96,$DP$6:$DP$53,0))</f>
        <v>1</v>
      </c>
      <c r="AV96" s="217" t="str">
        <f ca="1">INDEX($BD$6:$BD$53,MATCH(AI96,$BM$6:$BM$53,0))</f>
        <v>Ghana</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Panamá-Inglaterra</v>
      </c>
      <c r="DU96" s="742"/>
      <c r="DV96" s="742"/>
      <c r="DW96" s="8"/>
    </row>
    <row r="97" spans="1:127" ht="17.100000000000001" customHeight="1" thickBot="1">
      <c r="A97" s="737"/>
      <c r="B97" s="737"/>
      <c r="C97" s="737"/>
      <c r="D97" s="742" t="str">
        <f t="shared" si="283"/>
        <v>Pendiente</v>
      </c>
      <c r="E97" s="742" t="str">
        <f t="shared" si="284"/>
        <v>-</v>
      </c>
      <c r="F97" s="742" t="str">
        <f t="shared" si="285"/>
        <v>-</v>
      </c>
      <c r="G97" s="742"/>
      <c r="H97" s="742" t="str">
        <f t="shared" si="286"/>
        <v>-</v>
      </c>
      <c r="I97" s="742" t="str">
        <f t="shared" si="287"/>
        <v>-</v>
      </c>
      <c r="J97" s="742"/>
      <c r="K97" s="742" t="str">
        <f t="shared" si="288"/>
        <v>-</v>
      </c>
      <c r="L97" s="742" t="str">
        <f t="shared" si="289"/>
        <v>-</v>
      </c>
      <c r="M97" s="742"/>
      <c r="N97" s="742" t="str">
        <f t="shared" si="290"/>
        <v>-</v>
      </c>
      <c r="O97" s="742" t="str">
        <f t="shared" si="291"/>
        <v>-</v>
      </c>
      <c r="P97" s="742"/>
      <c r="Q97" s="742" t="str">
        <f t="shared" si="292"/>
        <v>-</v>
      </c>
      <c r="R97" s="742" t="str">
        <f t="shared" si="293"/>
        <v>-</v>
      </c>
      <c r="S97" s="742"/>
      <c r="T97" s="742" t="str">
        <f t="shared" si="294"/>
        <v>-</v>
      </c>
      <c r="U97" s="742" t="str">
        <f t="shared" si="295"/>
        <v>-</v>
      </c>
      <c r="V97" s="172"/>
      <c r="W97" s="811"/>
      <c r="X97" s="228">
        <f ca="1">Horarios!C97</f>
        <v>46200.708333333336</v>
      </c>
      <c r="Y97" s="229">
        <f ca="1">Horarios!C97</f>
        <v>46200.708333333336</v>
      </c>
      <c r="Z97" s="230" t="str">
        <f>$Z$8</f>
        <v>J3</v>
      </c>
      <c r="AA97" s="231" t="str">
        <f ca="1">A94</f>
        <v>Croacia</v>
      </c>
      <c r="AB97" s="479" t="str" cm="1">
        <f t="array" aca="1" ref="AB97" ca="1">Ver_flag_local</f>
        <v/>
      </c>
      <c r="AC97" s="232"/>
      <c r="AD97" s="233"/>
      <c r="AE97" s="484" t="str" cm="1">
        <f t="array" aca="1" ref="AE97" ca="1">Ver_flag_visit</f>
        <v/>
      </c>
      <c r="AF97" s="234" t="str">
        <f ca="1">A95</f>
        <v>Ghana</v>
      </c>
      <c r="AG97" s="413">
        <f t="shared" si="296"/>
        <v>0</v>
      </c>
      <c r="AH97" s="196">
        <v>68</v>
      </c>
      <c r="AI97" s="19" t="str">
        <f t="shared" si="301"/>
        <v>4L</v>
      </c>
      <c r="AJ97" s="235">
        <v>4</v>
      </c>
      <c r="AK97" s="487" t="str" cm="1">
        <f t="array" aca="1" ref="AK97" ca="1">Ver_flag_visit</f>
        <v/>
      </c>
      <c r="AL97" s="236" t="str">
        <f ca="1">IFERROR(INDEX($BD$6:$BD$53,MATCH(AI97,$BN$6:$BN$53,0)),"")</f>
        <v>Panamá</v>
      </c>
      <c r="AM97" s="237">
        <f t="shared" ca="1" si="300"/>
        <v>0</v>
      </c>
      <c r="AN97" s="238">
        <f t="shared" ca="1" si="300"/>
        <v>0</v>
      </c>
      <c r="AO97" s="238">
        <f t="shared" ca="1" si="300"/>
        <v>0</v>
      </c>
      <c r="AP97" s="238">
        <f t="shared" ca="1" si="300"/>
        <v>0</v>
      </c>
      <c r="AQ97" s="238">
        <f t="shared" ca="1" si="300"/>
        <v>0</v>
      </c>
      <c r="AR97" s="238">
        <f t="shared" ca="1" si="300"/>
        <v>0</v>
      </c>
      <c r="AS97" s="238">
        <f t="shared" ca="1" si="300"/>
        <v>0</v>
      </c>
      <c r="AT97" s="239">
        <f t="shared" ca="1" si="300"/>
        <v>0</v>
      </c>
      <c r="AU97" s="420">
        <f ca="1">INDEX($DL$6:$DL$53,MATCH(AI97,$DP$6:$DP$53,0))</f>
        <v>1</v>
      </c>
      <c r="AV97" s="217" t="str">
        <f ca="1">INDEX($BD$6:$BD$53,MATCH(AI97,$BM$6:$BM$53,0))</f>
        <v>Panamá</v>
      </c>
      <c r="AW97" s="427"/>
      <c r="AX97" s="218"/>
      <c r="AY97" s="240" t="str">
        <f ca="1">+A96</f>
        <v>Panamá</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Croacia-Ghana</v>
      </c>
      <c r="DU97" s="742"/>
      <c r="DV97" s="742"/>
      <c r="DW97" s="8"/>
    </row>
    <row r="98" spans="1:127" ht="15.7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7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La clasificación de los mejores terceros aparece al final de la J1</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5.95"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Casa-Fuera</v>
      </c>
      <c r="DU100" s="736"/>
      <c r="DV100" s="736"/>
      <c r="DW100" s="11"/>
    </row>
    <row r="101" spans="1:127" ht="15.95" customHeight="1" thickBot="1">
      <c r="A101" s="736" t="s">
        <v>646</v>
      </c>
      <c r="B101" s="736" t="s">
        <v>649</v>
      </c>
      <c r="C101" s="737"/>
      <c r="D101" s="745" t="str">
        <f t="shared" ref="D101:D116" si="302">IF(AND(OR(AC101="",AD101="")),"W"&amp;AH101,IF(AC101&gt;AD101,AA101,IF(AC101&lt;AD101,AF101,IF(AND(AC101=AD101,AB101=AE101),"W"&amp;AH101,IF(AND(AC101=AD101,OR(AB101="",AE101="")),"W"&amp;AH101,IF(AND(AC101=AD101,AB101&gt;AE101),AA101,AF101))))))</f>
        <v>W73</v>
      </c>
      <c r="E101" s="737" t="s">
        <v>0</v>
      </c>
      <c r="F101" s="737" t="s">
        <v>1</v>
      </c>
      <c r="G101" s="746" t="s">
        <v>0</v>
      </c>
      <c r="H101" s="747">
        <f t="shared" ref="H101:H112" ca="1" si="303">+SUMIF($BC$6:$BC$53,G101,$BF$6:$BF$53)</f>
        <v>0</v>
      </c>
      <c r="I101" s="742"/>
      <c r="J101" s="736">
        <v>73</v>
      </c>
      <c r="K101" s="736">
        <v>46201.75</v>
      </c>
      <c r="L101" s="736" t="s">
        <v>685</v>
      </c>
      <c r="M101" s="736" t="str">
        <f t="shared" ref="M101:M116" ca="1" si="304">+IF(OR(INDEX($H$101:$H$113,MATCH(E101,$G$101:$G$113,0))=12,$AJ$99=144),INDEX($AL$6:$AL$97,MATCH(A101,$AI$6:$AI$97,0)),A101)</f>
        <v>2A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6"/>
      <c r="P101" s="736"/>
      <c r="Q101" s="736"/>
      <c r="R101" s="736"/>
      <c r="S101" s="736"/>
      <c r="T101" s="736"/>
      <c r="U101" s="736"/>
      <c r="V101" s="172"/>
      <c r="W101" s="816" t="s">
        <v>483</v>
      </c>
      <c r="X101" s="189">
        <f ca="1">Horarios!C101</f>
        <v>46201.625</v>
      </c>
      <c r="Y101" s="190">
        <f ca="1">Horarios!C101</f>
        <v>46201.625</v>
      </c>
      <c r="Z101" s="276">
        <f>AH101</f>
        <v>73</v>
      </c>
      <c r="AA101" s="277" t="str">
        <f t="shared" ref="AA101:AA116" ca="1" si="305">+INDEX($M$101:$M$147,MATCH(AH101,$J$101:$J$147,0))</f>
        <v>2A</v>
      </c>
      <c r="AB101" s="278"/>
      <c r="AC101" s="194"/>
      <c r="AD101" s="194"/>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c>
      <c r="AZ101" s="424" t="str">
        <f ca="1">+IF(OR($H$113&gt;=48,$AJ$99=144),BI112,"")</f>
        <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2A-2B</v>
      </c>
      <c r="DU101" s="742"/>
      <c r="DV101" s="742"/>
      <c r="DW101" s="8"/>
    </row>
    <row r="102" spans="1:127" ht="15.95" customHeight="1">
      <c r="A102" s="736" t="s">
        <v>661</v>
      </c>
      <c r="B102" s="736" t="s">
        <v>722</v>
      </c>
      <c r="C102" s="737"/>
      <c r="D102" s="745" t="str">
        <f t="shared" si="302"/>
        <v>W76</v>
      </c>
      <c r="E102" s="737" t="s">
        <v>3</v>
      </c>
      <c r="F102" s="737" t="s">
        <v>721</v>
      </c>
      <c r="G102" s="746" t="s">
        <v>1</v>
      </c>
      <c r="H102" s="747">
        <f t="shared" ca="1" si="303"/>
        <v>0</v>
      </c>
      <c r="I102" s="742"/>
      <c r="J102" s="736">
        <v>74</v>
      </c>
      <c r="K102" s="736">
        <v>46202.75</v>
      </c>
      <c r="L102" s="736" t="s">
        <v>686</v>
      </c>
      <c r="M102" s="736" t="str">
        <f t="shared" ca="1" si="304"/>
        <v>1E</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6"/>
      <c r="P102" s="736"/>
      <c r="Q102" s="736"/>
      <c r="R102" s="736"/>
      <c r="S102" s="736"/>
      <c r="T102" s="736"/>
      <c r="U102" s="736"/>
      <c r="V102" s="172"/>
      <c r="W102" s="816"/>
      <c r="X102" s="189">
        <f ca="1">Horarios!C102</f>
        <v>46202.541666666664</v>
      </c>
      <c r="Y102" s="190">
        <f ca="1">Horarios!C102</f>
        <v>46202.541666666664</v>
      </c>
      <c r="Z102" s="276">
        <f t="shared" ref="Z102:Z116" si="309">AH102</f>
        <v>76</v>
      </c>
      <c r="AA102" s="277" t="str">
        <f t="shared" ca="1" si="305"/>
        <v>1C</v>
      </c>
      <c r="AB102" s="278"/>
      <c r="AC102" s="281"/>
      <c r="AD102" s="281"/>
      <c r="AE102" s="278"/>
      <c r="AF102" s="280" t="str">
        <f t="shared" ca="1" si="306"/>
        <v>2F</v>
      </c>
      <c r="AG102" s="417">
        <f t="shared" si="307"/>
        <v>0</v>
      </c>
      <c r="AH102" s="196">
        <v>76</v>
      </c>
      <c r="AI102" s="217">
        <v>1</v>
      </c>
      <c r="AJ102" s="282">
        <v>1</v>
      </c>
      <c r="AK102" s="485" t="str" cm="1">
        <f t="array" aca="1" ref="AK102" ca="1">Ver_flag_visit</f>
        <v/>
      </c>
      <c r="AL102" s="283" t="str">
        <f t="shared" ref="AL102:AL113" ca="1" si="310">+IF($H$113&gt;=48,INDEX($BD$58:$BD$69,MATCH(AI102,$BN$58:$BN$69,0)),BB58)</f>
        <v>3A</v>
      </c>
      <c r="AM102" s="284" t="str">
        <f t="shared" ref="AM102:AT102" ca="1" si="311">+IF($H$113&gt;=48,INDEX($BE$58:$BN$69,MATCH($AL102,$BD$58:$BD$69,0),MATCH(AM$5,$BE$57:$BN$57,0)),$BB58)</f>
        <v>3A</v>
      </c>
      <c r="AN102" s="285" t="str">
        <f t="shared" ca="1" si="311"/>
        <v>3A</v>
      </c>
      <c r="AO102" s="285" t="str">
        <f t="shared" ca="1" si="311"/>
        <v>3A</v>
      </c>
      <c r="AP102" s="285" t="str">
        <f t="shared" ca="1" si="311"/>
        <v>3A</v>
      </c>
      <c r="AQ102" s="286" t="str">
        <f t="shared" ca="1" si="311"/>
        <v>3A</v>
      </c>
      <c r="AR102" s="286" t="str">
        <f t="shared" ca="1" si="311"/>
        <v>3A</v>
      </c>
      <c r="AS102" s="286" t="str">
        <f t="shared" ca="1" si="311"/>
        <v>3A</v>
      </c>
      <c r="AT102" s="287" t="str">
        <f t="shared" ca="1" si="311"/>
        <v>3A</v>
      </c>
      <c r="AU102" s="420" t="str">
        <f t="shared" ref="AU102:AU113" ca="1" si="312">IF($H$113=144,INDEX($DL$58:$DL$69,MATCH(AI102,$DP$58:$DP$69,0)),"")</f>
        <v/>
      </c>
      <c r="AV102" s="217" t="str">
        <f t="shared" ref="AV102:AV113" ca="1" si="313">INDEX($BD$58:$BD$69,MATCH(AI102,$BM$58:$BM$69,0))</f>
        <v>Arabia Saudita</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1C-2F</v>
      </c>
      <c r="DU102" s="736"/>
      <c r="DV102" s="736"/>
      <c r="DW102" s="11"/>
    </row>
    <row r="103" spans="1:127" ht="15.95" customHeight="1">
      <c r="A103" s="736" t="s">
        <v>664</v>
      </c>
      <c r="B103" s="736" t="s">
        <v>656</v>
      </c>
      <c r="C103" s="737"/>
      <c r="D103" s="745" t="str">
        <f t="shared" si="302"/>
        <v>W74</v>
      </c>
      <c r="E103" s="737" t="s">
        <v>4</v>
      </c>
      <c r="F103" s="737" t="s">
        <v>2</v>
      </c>
      <c r="G103" s="746" t="s">
        <v>2</v>
      </c>
      <c r="H103" s="747">
        <f t="shared" ca="1" si="303"/>
        <v>0</v>
      </c>
      <c r="I103" s="742"/>
      <c r="J103" s="736">
        <v>75</v>
      </c>
      <c r="K103" s="736">
        <v>46202.75</v>
      </c>
      <c r="L103" s="736" t="s">
        <v>687</v>
      </c>
      <c r="M103" s="736" t="str">
        <f t="shared" ca="1" si="304"/>
        <v>1F</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6"/>
      <c r="P103" s="736"/>
      <c r="Q103" s="736"/>
      <c r="R103" s="736"/>
      <c r="S103" s="736"/>
      <c r="T103" s="736"/>
      <c r="U103" s="736"/>
      <c r="V103" s="172"/>
      <c r="W103" s="816"/>
      <c r="X103" s="189">
        <f ca="1">Horarios!C103</f>
        <v>46202.6875</v>
      </c>
      <c r="Y103" s="190">
        <f ca="1">Horarios!C103</f>
        <v>46202.6875</v>
      </c>
      <c r="Z103" s="276">
        <f t="shared" si="309"/>
        <v>74</v>
      </c>
      <c r="AA103" s="277" t="str">
        <f t="shared" ca="1" si="305"/>
        <v>1E</v>
      </c>
      <c r="AB103" s="278"/>
      <c r="AC103" s="281"/>
      <c r="AD103" s="281"/>
      <c r="AE103" s="278"/>
      <c r="AF103" s="280" t="str">
        <f t="shared" ca="1" si="306"/>
        <v>3ABCDF</v>
      </c>
      <c r="AG103" s="417">
        <f t="shared" si="307"/>
        <v>0</v>
      </c>
      <c r="AH103" s="196">
        <v>74</v>
      </c>
      <c r="AI103" s="217">
        <v>2</v>
      </c>
      <c r="AJ103" s="221">
        <v>2</v>
      </c>
      <c r="AK103" s="486" t="str" cm="1">
        <f t="array" aca="1" ref="AK103" ca="1">Ver_flag_visit</f>
        <v/>
      </c>
      <c r="AL103" s="289" t="str">
        <f t="shared" ca="1" si="310"/>
        <v>3B</v>
      </c>
      <c r="AM103" s="290" t="str">
        <f t="shared" ref="AM103:AT103" ca="1" si="314">+IF($H$113&gt;=48,INDEX($BE$58:$BN$69,MATCH($AL103,$BD$58:$BD$69,0),MATCH(AM$5,$BE$57:$BN$57,0)),$BB59)</f>
        <v>3B</v>
      </c>
      <c r="AN103" s="291" t="str">
        <f t="shared" ca="1" si="314"/>
        <v>3B</v>
      </c>
      <c r="AO103" s="291" t="str">
        <f t="shared" ca="1" si="314"/>
        <v>3B</v>
      </c>
      <c r="AP103" s="291" t="str">
        <f t="shared" ca="1" si="314"/>
        <v>3B</v>
      </c>
      <c r="AQ103" s="291" t="str">
        <f t="shared" ca="1" si="314"/>
        <v>3B</v>
      </c>
      <c r="AR103" s="291" t="str">
        <f t="shared" ca="1" si="314"/>
        <v>3B</v>
      </c>
      <c r="AS103" s="291" t="str">
        <f t="shared" ca="1" si="314"/>
        <v>3B</v>
      </c>
      <c r="AT103" s="292" t="str">
        <f t="shared" ca="1" si="314"/>
        <v>3B</v>
      </c>
      <c r="AU103" s="420" t="str">
        <f t="shared" ca="1" si="312"/>
        <v/>
      </c>
      <c r="AV103" s="217" t="str">
        <f t="shared" ca="1" si="313"/>
        <v>Australia</v>
      </c>
      <c r="AW103" s="427"/>
      <c r="AX103" s="288"/>
      <c r="AY103" s="293"/>
      <c r="AZ103" s="294" t="str">
        <f t="shared" ref="AZ103:AZ110" ca="1" si="315">+IF(OR($H$113&gt;=48,$AJ$99=144),BF117&amp;" - "&amp;BG117,"")</f>
        <v/>
      </c>
      <c r="BA103" s="175"/>
      <c r="BB103" s="736"/>
      <c r="BC103" s="742"/>
      <c r="BD103" s="736"/>
      <c r="BE103" s="736"/>
      <c r="BF103" s="736" t="str">
        <f t="shared" ref="BF103:BF110" ca="1" si="316">IFERROR(INDEX($BC$6:$BC$53,MATCH(AL102,$BD$6:$BD$53,0)),"")</f>
        <v/>
      </c>
      <c r="BG103" s="736">
        <f t="shared" ref="BG103:BG110" ca="1" si="317">COUNTIF($BF$103:$BF$110,"&lt;="&amp;BF103)</f>
        <v>0</v>
      </c>
      <c r="BH103" s="736"/>
      <c r="BI103" s="742">
        <v>1</v>
      </c>
      <c r="BJ103" s="736" t="str">
        <f t="shared" ref="BJ103:BJ110" ca="1" si="318">IFERROR(INDEX($BF$103:$BF$110,MATCH(BI103,$BG$103:$BG$110,0)),"Grupo")</f>
        <v>Grupo</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1E-3ABCDF</v>
      </c>
      <c r="DU103" s="736"/>
      <c r="DV103" s="736"/>
      <c r="DW103" s="11"/>
    </row>
    <row r="104" spans="1:127" ht="15.95" customHeight="1">
      <c r="A104" s="736" t="s">
        <v>651</v>
      </c>
      <c r="B104" s="736" t="s">
        <v>665</v>
      </c>
      <c r="C104" s="737"/>
      <c r="D104" s="745" t="str">
        <f t="shared" si="302"/>
        <v>W75</v>
      </c>
      <c r="E104" s="737" t="s">
        <v>2</v>
      </c>
      <c r="F104" s="737" t="s">
        <v>4</v>
      </c>
      <c r="G104" s="746" t="s">
        <v>73</v>
      </c>
      <c r="H104" s="747">
        <f t="shared" ca="1" si="303"/>
        <v>0</v>
      </c>
      <c r="I104" s="742"/>
      <c r="J104" s="736">
        <v>76</v>
      </c>
      <c r="K104" s="736">
        <v>46202.75</v>
      </c>
      <c r="L104" s="736" t="s">
        <v>688</v>
      </c>
      <c r="M104" s="736" t="str">
        <f t="shared" ca="1" si="304"/>
        <v>1C</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6"/>
      <c r="P104" s="736"/>
      <c r="Q104" s="736"/>
      <c r="R104" s="736"/>
      <c r="S104" s="736"/>
      <c r="T104" s="736"/>
      <c r="U104" s="736"/>
      <c r="V104" s="172"/>
      <c r="W104" s="816"/>
      <c r="X104" s="189">
        <f ca="1">Horarios!C104</f>
        <v>46202.875</v>
      </c>
      <c r="Y104" s="190">
        <f ca="1">Horarios!C104</f>
        <v>46202.875</v>
      </c>
      <c r="Z104" s="276">
        <f t="shared" si="309"/>
        <v>75</v>
      </c>
      <c r="AA104" s="277" t="str">
        <f t="shared" ca="1" si="305"/>
        <v>1F</v>
      </c>
      <c r="AB104" s="278"/>
      <c r="AC104" s="281"/>
      <c r="AD104" s="281"/>
      <c r="AE104" s="278"/>
      <c r="AF104" s="280" t="str">
        <f t="shared" ca="1" si="306"/>
        <v>2C</v>
      </c>
      <c r="AG104" s="417">
        <f t="shared" si="307"/>
        <v>0</v>
      </c>
      <c r="AH104" s="196">
        <v>75</v>
      </c>
      <c r="AI104" s="217">
        <v>3</v>
      </c>
      <c r="AJ104" s="221">
        <v>3</v>
      </c>
      <c r="AK104" s="486" t="str" cm="1">
        <f t="array" aca="1" ref="AK104" ca="1">Ver_flag_visit</f>
        <v/>
      </c>
      <c r="AL104" s="289" t="str">
        <f t="shared" ca="1" si="310"/>
        <v>3C</v>
      </c>
      <c r="AM104" s="290" t="str">
        <f t="shared" ref="AM104:AT104" ca="1" si="319">+IF($H$113&gt;=48,INDEX($BE$58:$BN$69,MATCH($AL104,$BD$58:$BD$69,0),MATCH(AM$5,$BE$57:$BN$57,0)),$BB60)</f>
        <v>3C</v>
      </c>
      <c r="AN104" s="291" t="str">
        <f t="shared" ca="1" si="319"/>
        <v>3C</v>
      </c>
      <c r="AO104" s="291" t="str">
        <f t="shared" ca="1" si="319"/>
        <v>3C</v>
      </c>
      <c r="AP104" s="291" t="str">
        <f t="shared" ca="1" si="319"/>
        <v>3C</v>
      </c>
      <c r="AQ104" s="291" t="str">
        <f t="shared" ca="1" si="319"/>
        <v>3C</v>
      </c>
      <c r="AR104" s="291" t="str">
        <f t="shared" ca="1" si="319"/>
        <v>3C</v>
      </c>
      <c r="AS104" s="291" t="str">
        <f t="shared" ca="1" si="319"/>
        <v>3C</v>
      </c>
      <c r="AT104" s="292" t="str">
        <f t="shared" ca="1" si="319"/>
        <v>3C</v>
      </c>
      <c r="AU104" s="420" t="str">
        <f t="shared" ca="1" si="312"/>
        <v/>
      </c>
      <c r="AV104" s="217" t="str">
        <f t="shared" ca="1" si="313"/>
        <v>Austria</v>
      </c>
      <c r="AW104" s="427"/>
      <c r="AX104" s="288"/>
      <c r="AY104" s="293"/>
      <c r="AZ104" s="294" t="str">
        <f t="shared" ca="1" si="315"/>
        <v/>
      </c>
      <c r="BA104" s="175"/>
      <c r="BB104" s="736"/>
      <c r="BC104" s="742"/>
      <c r="BD104" s="736"/>
      <c r="BE104" s="736"/>
      <c r="BF104" s="736" t="str">
        <f t="shared" ca="1" si="316"/>
        <v/>
      </c>
      <c r="BG104" s="736">
        <f t="shared" ca="1" si="317"/>
        <v>0</v>
      </c>
      <c r="BH104" s="736"/>
      <c r="BI104" s="742">
        <v>2</v>
      </c>
      <c r="BJ104" s="736" t="str">
        <f t="shared" ca="1" si="318"/>
        <v>Grupo</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1F-2C</v>
      </c>
      <c r="DU104" s="736"/>
      <c r="DV104" s="736"/>
      <c r="DW104" s="11"/>
    </row>
    <row r="105" spans="1:127" ht="15.95" customHeight="1">
      <c r="A105" s="736" t="s">
        <v>673</v>
      </c>
      <c r="B105" s="736" t="s">
        <v>723</v>
      </c>
      <c r="C105" s="737"/>
      <c r="D105" s="745" t="str">
        <f t="shared" si="302"/>
        <v>W78</v>
      </c>
      <c r="E105" s="737" t="s">
        <v>438</v>
      </c>
      <c r="F105" s="737" t="s">
        <v>721</v>
      </c>
      <c r="G105" s="746" t="s">
        <v>3</v>
      </c>
      <c r="H105" s="747">
        <f t="shared" ca="1" si="303"/>
        <v>0</v>
      </c>
      <c r="I105" s="742"/>
      <c r="J105" s="736">
        <v>77</v>
      </c>
      <c r="K105" s="736">
        <v>46203.75</v>
      </c>
      <c r="L105" s="736" t="s">
        <v>689</v>
      </c>
      <c r="M105" s="736" t="str">
        <f t="shared" ca="1" si="304"/>
        <v>1I</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6"/>
      <c r="P105" s="736"/>
      <c r="Q105" s="736"/>
      <c r="R105" s="736"/>
      <c r="S105" s="736"/>
      <c r="T105" s="736"/>
      <c r="U105" s="736"/>
      <c r="V105" s="172"/>
      <c r="W105" s="816"/>
      <c r="X105" s="189">
        <f ca="1">Horarios!C105</f>
        <v>46203.541666666664</v>
      </c>
      <c r="Y105" s="190">
        <f ca="1">Horarios!C105</f>
        <v>46203.541666666664</v>
      </c>
      <c r="Z105" s="276">
        <f t="shared" si="309"/>
        <v>78</v>
      </c>
      <c r="AA105" s="277" t="str">
        <f t="shared" ca="1" si="305"/>
        <v>2E</v>
      </c>
      <c r="AB105" s="278"/>
      <c r="AC105" s="281"/>
      <c r="AD105" s="281"/>
      <c r="AE105" s="278"/>
      <c r="AF105" s="280" t="str">
        <f t="shared" ca="1" si="306"/>
        <v>2I</v>
      </c>
      <c r="AG105" s="417">
        <f t="shared" si="307"/>
        <v>0</v>
      </c>
      <c r="AH105" s="196">
        <v>78</v>
      </c>
      <c r="AI105" s="217">
        <v>4</v>
      </c>
      <c r="AJ105" s="221">
        <v>4</v>
      </c>
      <c r="AK105" s="486" t="str" cm="1">
        <f t="array" aca="1" ref="AK105" ca="1">Ver_flag_visit</f>
        <v/>
      </c>
      <c r="AL105" s="289" t="str">
        <f t="shared" ca="1" si="310"/>
        <v>3D</v>
      </c>
      <c r="AM105" s="290" t="str">
        <f t="shared" ref="AM105:AT105" ca="1" si="320">+IF($H$113&gt;=48,INDEX($BE$58:$BN$69,MATCH($AL105,$BD$58:$BD$69,0),MATCH(AM$5,$BE$57:$BN$57,0)),$BB61)</f>
        <v>3D</v>
      </c>
      <c r="AN105" s="291" t="str">
        <f t="shared" ca="1" si="320"/>
        <v>3D</v>
      </c>
      <c r="AO105" s="291" t="str">
        <f t="shared" ca="1" si="320"/>
        <v>3D</v>
      </c>
      <c r="AP105" s="291" t="str">
        <f t="shared" ca="1" si="320"/>
        <v>3D</v>
      </c>
      <c r="AQ105" s="291" t="str">
        <f t="shared" ca="1" si="320"/>
        <v>3D</v>
      </c>
      <c r="AR105" s="291" t="str">
        <f t="shared" ca="1" si="320"/>
        <v>3D</v>
      </c>
      <c r="AS105" s="291" t="str">
        <f t="shared" ca="1" si="320"/>
        <v>3D</v>
      </c>
      <c r="AT105" s="292" t="str">
        <f t="shared" ca="1" si="320"/>
        <v>3D</v>
      </c>
      <c r="AU105" s="420" t="str">
        <f t="shared" ca="1" si="312"/>
        <v/>
      </c>
      <c r="AV105" s="217" t="str">
        <f t="shared" ca="1" si="313"/>
        <v>Catar</v>
      </c>
      <c r="AW105" s="427"/>
      <c r="AX105" s="288"/>
      <c r="AY105" s="293"/>
      <c r="AZ105" s="294" t="str">
        <f t="shared" ca="1" si="315"/>
        <v/>
      </c>
      <c r="BA105" s="175"/>
      <c r="BB105" s="736"/>
      <c r="BC105" s="742"/>
      <c r="BD105" s="736"/>
      <c r="BE105" s="736"/>
      <c r="BF105" s="736" t="str">
        <f t="shared" ca="1" si="316"/>
        <v/>
      </c>
      <c r="BG105" s="736">
        <f t="shared" ca="1" si="317"/>
        <v>0</v>
      </c>
      <c r="BH105" s="736"/>
      <c r="BI105" s="742">
        <v>3</v>
      </c>
      <c r="BJ105" s="736" t="str">
        <f t="shared" ca="1" si="318"/>
        <v>Grupo</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2E-2I</v>
      </c>
      <c r="DU105" s="736"/>
      <c r="DV105" s="736"/>
      <c r="DW105" s="11"/>
    </row>
    <row r="106" spans="1:127" ht="15.95" customHeight="1">
      <c r="A106" s="736" t="s">
        <v>662</v>
      </c>
      <c r="B106" s="736" t="s">
        <v>674</v>
      </c>
      <c r="C106" s="737"/>
      <c r="D106" s="745" t="str">
        <f t="shared" si="302"/>
        <v>W77</v>
      </c>
      <c r="E106" s="737" t="s">
        <v>3</v>
      </c>
      <c r="F106" s="737" t="s">
        <v>438</v>
      </c>
      <c r="G106" s="746" t="s">
        <v>4</v>
      </c>
      <c r="H106" s="747">
        <f t="shared" ca="1" si="303"/>
        <v>0</v>
      </c>
      <c r="I106" s="742"/>
      <c r="J106" s="736">
        <v>78</v>
      </c>
      <c r="K106" s="736">
        <v>46203.75</v>
      </c>
      <c r="L106" s="736" t="s">
        <v>690</v>
      </c>
      <c r="M106" s="736" t="str">
        <f t="shared" ca="1" si="304"/>
        <v>2E</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6"/>
      <c r="P106" s="736"/>
      <c r="Q106" s="736"/>
      <c r="R106" s="736"/>
      <c r="S106" s="736"/>
      <c r="T106" s="736"/>
      <c r="U106" s="736"/>
      <c r="V106" s="172"/>
      <c r="W106" s="816"/>
      <c r="X106" s="189">
        <f ca="1">Horarios!C106</f>
        <v>46203.708333333336</v>
      </c>
      <c r="Y106" s="190">
        <f ca="1">Horarios!C106</f>
        <v>46203.708333333336</v>
      </c>
      <c r="Z106" s="276">
        <f t="shared" si="309"/>
        <v>77</v>
      </c>
      <c r="AA106" s="277" t="str">
        <f t="shared" ca="1" si="305"/>
        <v>1I</v>
      </c>
      <c r="AB106" s="278"/>
      <c r="AC106" s="281"/>
      <c r="AD106" s="281"/>
      <c r="AE106" s="278"/>
      <c r="AF106" s="280" t="str">
        <f t="shared" ca="1" si="306"/>
        <v>3CDFGH</v>
      </c>
      <c r="AG106" s="417">
        <f t="shared" si="307"/>
        <v>0</v>
      </c>
      <c r="AH106" s="196">
        <v>77</v>
      </c>
      <c r="AI106" s="217">
        <v>5</v>
      </c>
      <c r="AJ106" s="221">
        <v>5</v>
      </c>
      <c r="AK106" s="486" t="str" cm="1">
        <f t="array" aca="1" ref="AK106" ca="1">Ver_flag_visit</f>
        <v/>
      </c>
      <c r="AL106" s="289" t="str">
        <f t="shared" ca="1" si="310"/>
        <v>3E</v>
      </c>
      <c r="AM106" s="290" t="str">
        <f t="shared" ref="AM106:AT106" ca="1" si="321">+IF($H$113&gt;=48,INDEX($BE$58:$BN$69,MATCH($AL106,$BD$58:$BD$69,0),MATCH(AM$5,$BE$57:$BN$57,0)),$BB62)</f>
        <v>3E</v>
      </c>
      <c r="AN106" s="291" t="str">
        <f t="shared" ca="1" si="321"/>
        <v>3E</v>
      </c>
      <c r="AO106" s="291" t="str">
        <f t="shared" ca="1" si="321"/>
        <v>3E</v>
      </c>
      <c r="AP106" s="291" t="str">
        <f t="shared" ca="1" si="321"/>
        <v>3E</v>
      </c>
      <c r="AQ106" s="291" t="str">
        <f t="shared" ca="1" si="321"/>
        <v>3E</v>
      </c>
      <c r="AR106" s="291" t="str">
        <f t="shared" ca="1" si="321"/>
        <v>3E</v>
      </c>
      <c r="AS106" s="291" t="str">
        <f t="shared" ca="1" si="321"/>
        <v>3E</v>
      </c>
      <c r="AT106" s="292" t="str">
        <f t="shared" ca="1" si="321"/>
        <v>3E</v>
      </c>
      <c r="AU106" s="420" t="str">
        <f t="shared" ca="1" si="312"/>
        <v/>
      </c>
      <c r="AV106" s="217" t="str">
        <f t="shared" ca="1" si="313"/>
        <v>Corea del Sur</v>
      </c>
      <c r="AW106" s="427"/>
      <c r="AX106" s="288"/>
      <c r="AY106" s="293"/>
      <c r="AZ106" s="294" t="str">
        <f t="shared" ca="1" si="315"/>
        <v/>
      </c>
      <c r="BA106" s="175"/>
      <c r="BB106" s="736"/>
      <c r="BC106" s="742"/>
      <c r="BD106" s="736"/>
      <c r="BE106" s="736"/>
      <c r="BF106" s="736" t="str">
        <f t="shared" ca="1" si="316"/>
        <v/>
      </c>
      <c r="BG106" s="736">
        <f t="shared" ca="1" si="317"/>
        <v>0</v>
      </c>
      <c r="BH106" s="736"/>
      <c r="BI106" s="742">
        <v>4</v>
      </c>
      <c r="BJ106" s="736" t="str">
        <f t="shared" ca="1" si="318"/>
        <v>Grupo</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1I-3CDFGH</v>
      </c>
      <c r="DU106" s="736"/>
      <c r="DV106" s="736"/>
      <c r="DW106" s="11"/>
    </row>
    <row r="107" spans="1:127" ht="15.95" customHeight="1">
      <c r="A107" s="736" t="s">
        <v>645</v>
      </c>
      <c r="B107" s="736" t="s">
        <v>724</v>
      </c>
      <c r="C107" s="737"/>
      <c r="D107" s="745" t="str">
        <f t="shared" si="302"/>
        <v>W79</v>
      </c>
      <c r="E107" s="737" t="s">
        <v>0</v>
      </c>
      <c r="F107" s="737" t="s">
        <v>721</v>
      </c>
      <c r="G107" s="746" t="s">
        <v>6</v>
      </c>
      <c r="H107" s="747">
        <f t="shared" ca="1" si="303"/>
        <v>0</v>
      </c>
      <c r="I107" s="742"/>
      <c r="J107" s="736">
        <v>79</v>
      </c>
      <c r="K107" s="736">
        <v>46203.75</v>
      </c>
      <c r="L107" s="736" t="s">
        <v>691</v>
      </c>
      <c r="M107" s="736" t="str">
        <f t="shared" ca="1" si="304"/>
        <v>1A</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6"/>
      <c r="P107" s="736"/>
      <c r="Q107" s="736"/>
      <c r="R107" s="736"/>
      <c r="S107" s="736"/>
      <c r="T107" s="736"/>
      <c r="U107" s="736"/>
      <c r="V107" s="172"/>
      <c r="W107" s="816"/>
      <c r="X107" s="189">
        <f ca="1">Horarios!C107</f>
        <v>46203.875</v>
      </c>
      <c r="Y107" s="190">
        <f ca="1">Horarios!C107</f>
        <v>46203.875</v>
      </c>
      <c r="Z107" s="276">
        <f t="shared" si="309"/>
        <v>79</v>
      </c>
      <c r="AA107" s="277" t="str">
        <f t="shared" ca="1" si="305"/>
        <v>1A</v>
      </c>
      <c r="AB107" s="278"/>
      <c r="AC107" s="281"/>
      <c r="AD107" s="281"/>
      <c r="AE107" s="278"/>
      <c r="AF107" s="280" t="str">
        <f t="shared" ca="1" si="306"/>
        <v>3CEFHI</v>
      </c>
      <c r="AG107" s="417">
        <f t="shared" si="307"/>
        <v>0</v>
      </c>
      <c r="AH107" s="196">
        <v>79</v>
      </c>
      <c r="AI107" s="217">
        <v>6</v>
      </c>
      <c r="AJ107" s="221">
        <v>6</v>
      </c>
      <c r="AK107" s="486" t="str" cm="1">
        <f t="array" aca="1" ref="AK107" ca="1">Ver_flag_visit</f>
        <v/>
      </c>
      <c r="AL107" s="289" t="str">
        <f t="shared" ca="1" si="310"/>
        <v>3F</v>
      </c>
      <c r="AM107" s="290" t="str">
        <f t="shared" ref="AM107:AT107" ca="1" si="322">+IF($H$113&gt;=48,INDEX($BE$58:$BN$69,MATCH($AL107,$BD$58:$BD$69,0),MATCH(AM$5,$BE$57:$BN$57,0)),$BB63)</f>
        <v>3F</v>
      </c>
      <c r="AN107" s="291" t="str">
        <f t="shared" ca="1" si="322"/>
        <v>3F</v>
      </c>
      <c r="AO107" s="291" t="str">
        <f t="shared" ca="1" si="322"/>
        <v>3F</v>
      </c>
      <c r="AP107" s="291" t="str">
        <f t="shared" ca="1" si="322"/>
        <v>3F</v>
      </c>
      <c r="AQ107" s="291" t="str">
        <f t="shared" ca="1" si="322"/>
        <v>3F</v>
      </c>
      <c r="AR107" s="291" t="str">
        <f t="shared" ca="1" si="322"/>
        <v>3F</v>
      </c>
      <c r="AS107" s="291" t="str">
        <f t="shared" ca="1" si="322"/>
        <v>3F</v>
      </c>
      <c r="AT107" s="292" t="str">
        <f t="shared" ca="1" si="322"/>
        <v>3F</v>
      </c>
      <c r="AU107" s="420" t="str">
        <f t="shared" ca="1" si="312"/>
        <v/>
      </c>
      <c r="AV107" s="217" t="str">
        <f ca="1">INDEX($BD$58:$BD$69,MATCH(AI107,$BM$58:$BM$69,0))</f>
        <v>Costa de Marfil</v>
      </c>
      <c r="AW107" s="427"/>
      <c r="AX107" s="288"/>
      <c r="AY107" s="293"/>
      <c r="AZ107" s="294" t="str">
        <f t="shared" ca="1" si="315"/>
        <v/>
      </c>
      <c r="BA107" s="175"/>
      <c r="BB107" s="736"/>
      <c r="BC107" s="742"/>
      <c r="BD107" s="736"/>
      <c r="BE107" s="742"/>
      <c r="BF107" s="736" t="str">
        <f t="shared" ca="1" si="316"/>
        <v/>
      </c>
      <c r="BG107" s="736">
        <f t="shared" ca="1" si="317"/>
        <v>0</v>
      </c>
      <c r="BH107" s="736"/>
      <c r="BI107" s="736">
        <v>5</v>
      </c>
      <c r="BJ107" s="736" t="str">
        <f t="shared" ca="1" si="318"/>
        <v>Grupo</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1A-3CEFHI</v>
      </c>
      <c r="DU107" s="736"/>
      <c r="DV107" s="736"/>
      <c r="DW107" s="11"/>
    </row>
    <row r="108" spans="1:127" ht="15.95" customHeight="1">
      <c r="A108" s="736" t="s">
        <v>682</v>
      </c>
      <c r="B108" s="736" t="s">
        <v>725</v>
      </c>
      <c r="C108" s="737"/>
      <c r="D108" s="745" t="str">
        <f t="shared" si="302"/>
        <v>W80</v>
      </c>
      <c r="E108" s="737" t="s">
        <v>238</v>
      </c>
      <c r="F108" s="737" t="s">
        <v>721</v>
      </c>
      <c r="G108" s="746" t="s">
        <v>437</v>
      </c>
      <c r="H108" s="747">
        <f t="shared" ca="1" si="303"/>
        <v>0</v>
      </c>
      <c r="I108" s="742"/>
      <c r="J108" s="736">
        <v>80</v>
      </c>
      <c r="K108" s="736">
        <v>46204.75</v>
      </c>
      <c r="L108" s="736" t="s">
        <v>692</v>
      </c>
      <c r="M108" s="736" t="str">
        <f t="shared" ca="1" si="304"/>
        <v>1L</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6"/>
      <c r="P108" s="736"/>
      <c r="Q108" s="736"/>
      <c r="R108" s="736"/>
      <c r="S108" s="736"/>
      <c r="T108" s="736"/>
      <c r="U108" s="736"/>
      <c r="V108" s="172"/>
      <c r="W108" s="816"/>
      <c r="X108" s="189">
        <f ca="1">Horarios!C108</f>
        <v>46204.5</v>
      </c>
      <c r="Y108" s="190">
        <f ca="1">Horarios!C108</f>
        <v>46204.5</v>
      </c>
      <c r="Z108" s="276">
        <f t="shared" si="309"/>
        <v>80</v>
      </c>
      <c r="AA108" s="277" t="str">
        <f t="shared" ca="1" si="305"/>
        <v>1L</v>
      </c>
      <c r="AB108" s="278"/>
      <c r="AC108" s="281"/>
      <c r="AD108" s="281"/>
      <c r="AE108" s="278"/>
      <c r="AF108" s="280" t="str">
        <f t="shared" ca="1" si="306"/>
        <v>3EHIJK</v>
      </c>
      <c r="AG108" s="417">
        <f t="shared" si="307"/>
        <v>0</v>
      </c>
      <c r="AH108" s="196">
        <v>80</v>
      </c>
      <c r="AI108" s="217">
        <v>7</v>
      </c>
      <c r="AJ108" s="221">
        <v>7</v>
      </c>
      <c r="AK108" s="486" t="str" cm="1">
        <f t="array" aca="1" ref="AK108" ca="1">Ver_flag_visit</f>
        <v/>
      </c>
      <c r="AL108" s="289" t="str">
        <f t="shared" ca="1" si="310"/>
        <v>3G</v>
      </c>
      <c r="AM108" s="290" t="str">
        <f t="shared" ref="AM108:AT108" ca="1" si="323">+IF($H$113&gt;=48,INDEX($BE$58:$BN$69,MATCH($AL108,$BD$58:$BD$69,0),MATCH(AM$5,$BE$57:$BN$57,0)),$BB64)</f>
        <v>3G</v>
      </c>
      <c r="AN108" s="291" t="str">
        <f t="shared" ca="1" si="323"/>
        <v>3G</v>
      </c>
      <c r="AO108" s="291" t="str">
        <f t="shared" ca="1" si="323"/>
        <v>3G</v>
      </c>
      <c r="AP108" s="291" t="str">
        <f t="shared" ca="1" si="323"/>
        <v>3G</v>
      </c>
      <c r="AQ108" s="291" t="str">
        <f t="shared" ca="1" si="323"/>
        <v>3G</v>
      </c>
      <c r="AR108" s="291" t="str">
        <f t="shared" ca="1" si="323"/>
        <v>3G</v>
      </c>
      <c r="AS108" s="291" t="str">
        <f t="shared" ca="1" si="323"/>
        <v>3G</v>
      </c>
      <c r="AT108" s="292" t="str">
        <f t="shared" ca="1" si="323"/>
        <v>3G</v>
      </c>
      <c r="AU108" s="420" t="str">
        <f t="shared" ca="1" si="312"/>
        <v/>
      </c>
      <c r="AV108" s="217" t="str">
        <f t="shared" ca="1" si="313"/>
        <v>Ghana</v>
      </c>
      <c r="AW108" s="427"/>
      <c r="AX108" s="288"/>
      <c r="AY108" s="293"/>
      <c r="AZ108" s="294" t="str">
        <f t="shared" ca="1" si="315"/>
        <v/>
      </c>
      <c r="BA108" s="175"/>
      <c r="BB108" s="736"/>
      <c r="BC108" s="736"/>
      <c r="BD108" s="736"/>
      <c r="BE108" s="742"/>
      <c r="BF108" s="736" t="str">
        <f t="shared" ca="1" si="316"/>
        <v/>
      </c>
      <c r="BG108" s="736">
        <f t="shared" ca="1" si="317"/>
        <v>0</v>
      </c>
      <c r="BH108" s="736"/>
      <c r="BI108" s="736">
        <v>6</v>
      </c>
      <c r="BJ108" s="736" t="str">
        <f t="shared" ca="1" si="318"/>
        <v>Grupo</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1L-3EHIJK</v>
      </c>
      <c r="DU108" s="736"/>
      <c r="DV108" s="736"/>
      <c r="DW108" s="11"/>
    </row>
    <row r="109" spans="1:127" ht="15.95" customHeight="1">
      <c r="A109" s="736" t="s">
        <v>658</v>
      </c>
      <c r="B109" s="736" t="s">
        <v>726</v>
      </c>
      <c r="C109" s="737"/>
      <c r="D109" s="745" t="str">
        <f t="shared" si="302"/>
        <v>W82</v>
      </c>
      <c r="E109" s="737" t="s">
        <v>73</v>
      </c>
      <c r="F109" s="737" t="s">
        <v>721</v>
      </c>
      <c r="G109" s="746" t="s">
        <v>438</v>
      </c>
      <c r="H109" s="747">
        <f t="shared" ca="1" si="303"/>
        <v>0</v>
      </c>
      <c r="I109" s="742"/>
      <c r="J109" s="736">
        <v>81</v>
      </c>
      <c r="K109" s="736">
        <v>46204.75</v>
      </c>
      <c r="L109" s="736" t="s">
        <v>693</v>
      </c>
      <c r="M109" s="736" t="str">
        <f t="shared" ca="1" si="304"/>
        <v>1D</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6"/>
      <c r="P109" s="736"/>
      <c r="Q109" s="736"/>
      <c r="R109" s="736"/>
      <c r="S109" s="736"/>
      <c r="T109" s="736"/>
      <c r="U109" s="736"/>
      <c r="V109" s="172"/>
      <c r="W109" s="816"/>
      <c r="X109" s="189">
        <f ca="1">Horarios!C109</f>
        <v>46204.666666666664</v>
      </c>
      <c r="Y109" s="190">
        <f ca="1">Horarios!C109</f>
        <v>46204.666666666664</v>
      </c>
      <c r="Z109" s="276">
        <f t="shared" si="309"/>
        <v>82</v>
      </c>
      <c r="AA109" s="277" t="str">
        <f t="shared" ca="1" si="305"/>
        <v>1G</v>
      </c>
      <c r="AB109" s="278"/>
      <c r="AC109" s="281"/>
      <c r="AD109" s="281"/>
      <c r="AE109" s="278"/>
      <c r="AF109" s="280" t="str">
        <f t="shared" ca="1" si="306"/>
        <v>3AEHIJ</v>
      </c>
      <c r="AG109" s="417">
        <f t="shared" si="307"/>
        <v>0</v>
      </c>
      <c r="AH109" s="196">
        <v>82</v>
      </c>
      <c r="AI109" s="217">
        <v>8</v>
      </c>
      <c r="AJ109" s="221">
        <v>8</v>
      </c>
      <c r="AK109" s="486" t="str" cm="1">
        <f t="array" aca="1" ref="AK109" ca="1">Ver_flag_visit</f>
        <v/>
      </c>
      <c r="AL109" s="289" t="str">
        <f t="shared" ca="1" si="310"/>
        <v>3H</v>
      </c>
      <c r="AM109" s="290" t="str">
        <f t="shared" ref="AM109:AT109" ca="1" si="324">+IF($H$113&gt;=48,INDEX($BE$58:$BN$69,MATCH($AL109,$BD$58:$BD$69,0),MATCH(AM$5,$BE$57:$BN$57,0)),$BB65)</f>
        <v>3H</v>
      </c>
      <c r="AN109" s="291" t="str">
        <f t="shared" ca="1" si="324"/>
        <v>3H</v>
      </c>
      <c r="AO109" s="291" t="str">
        <f t="shared" ca="1" si="324"/>
        <v>3H</v>
      </c>
      <c r="AP109" s="291" t="str">
        <f t="shared" ca="1" si="324"/>
        <v>3H</v>
      </c>
      <c r="AQ109" s="291" t="str">
        <f t="shared" ca="1" si="324"/>
        <v>3H</v>
      </c>
      <c r="AR109" s="291" t="str">
        <f t="shared" ca="1" si="324"/>
        <v>3H</v>
      </c>
      <c r="AS109" s="291" t="str">
        <f t="shared" ca="1" si="324"/>
        <v>3H</v>
      </c>
      <c r="AT109" s="292" t="str">
        <f t="shared" ca="1" si="324"/>
        <v>3H</v>
      </c>
      <c r="AU109" s="420" t="str">
        <f t="shared" ca="1" si="312"/>
        <v/>
      </c>
      <c r="AV109" s="217" t="str">
        <f t="shared" ca="1" si="313"/>
        <v>Haití</v>
      </c>
      <c r="AW109" s="427"/>
      <c r="AX109" s="288"/>
      <c r="AY109" s="293"/>
      <c r="AZ109" s="294" t="str">
        <f t="shared" ca="1" si="315"/>
        <v/>
      </c>
      <c r="BA109" s="175"/>
      <c r="BB109" s="736"/>
      <c r="BC109" s="736"/>
      <c r="BD109" s="736"/>
      <c r="BE109" s="742"/>
      <c r="BF109" s="736" t="str">
        <f t="shared" ca="1" si="316"/>
        <v/>
      </c>
      <c r="BG109" s="736">
        <f t="shared" ca="1" si="317"/>
        <v>0</v>
      </c>
      <c r="BH109" s="736"/>
      <c r="BI109" s="736">
        <v>7</v>
      </c>
      <c r="BJ109" s="736" t="str">
        <f t="shared" ca="1" si="318"/>
        <v>Grupo</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1G-3AEHIJ</v>
      </c>
      <c r="DU109" s="736"/>
      <c r="DV109" s="736"/>
      <c r="DW109" s="11"/>
    </row>
    <row r="110" spans="1:127" ht="15.95" customHeight="1">
      <c r="A110" s="736" t="s">
        <v>667</v>
      </c>
      <c r="B110" s="736" t="s">
        <v>727</v>
      </c>
      <c r="C110" s="737"/>
      <c r="D110" s="745" t="str">
        <f t="shared" si="302"/>
        <v>W81</v>
      </c>
      <c r="E110" s="737" t="s">
        <v>6</v>
      </c>
      <c r="F110" s="737" t="s">
        <v>721</v>
      </c>
      <c r="G110" s="746" t="s">
        <v>5</v>
      </c>
      <c r="H110" s="747">
        <f t="shared" ca="1" si="303"/>
        <v>0</v>
      </c>
      <c r="I110" s="742"/>
      <c r="J110" s="736">
        <v>82</v>
      </c>
      <c r="K110" s="736">
        <v>46204.75</v>
      </c>
      <c r="L110" s="736" t="s">
        <v>694</v>
      </c>
      <c r="M110" s="736" t="str">
        <f t="shared" ca="1" si="304"/>
        <v>1G</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6"/>
      <c r="P110" s="736"/>
      <c r="Q110" s="736"/>
      <c r="R110" s="736"/>
      <c r="S110" s="736"/>
      <c r="T110" s="736"/>
      <c r="U110" s="736"/>
      <c r="V110" s="172"/>
      <c r="W110" s="816"/>
      <c r="X110" s="189">
        <f ca="1">Horarios!C110</f>
        <v>46204.833333333336</v>
      </c>
      <c r="Y110" s="190">
        <f ca="1">Horarios!C110</f>
        <v>46204.833333333336</v>
      </c>
      <c r="Z110" s="276">
        <f t="shared" si="309"/>
        <v>81</v>
      </c>
      <c r="AA110" s="277" t="str">
        <f t="shared" ca="1" si="305"/>
        <v>1D</v>
      </c>
      <c r="AB110" s="278"/>
      <c r="AC110" s="281"/>
      <c r="AD110" s="281"/>
      <c r="AE110" s="278"/>
      <c r="AF110" s="280" t="str">
        <f t="shared" ca="1" si="306"/>
        <v>3BEFIJ</v>
      </c>
      <c r="AG110" s="417">
        <f t="shared" si="307"/>
        <v>0</v>
      </c>
      <c r="AH110" s="196">
        <v>81</v>
      </c>
      <c r="AI110" s="217">
        <v>9</v>
      </c>
      <c r="AJ110" s="221">
        <v>9</v>
      </c>
      <c r="AK110" s="486" t="str" cm="1">
        <f t="array" aca="1" ref="AK110" ca="1">Ver_flag_visit</f>
        <v/>
      </c>
      <c r="AL110" s="289" t="str">
        <f t="shared" ca="1" si="310"/>
        <v>3I</v>
      </c>
      <c r="AM110" s="290" t="str">
        <f t="shared" ref="AM110:AT110" ca="1" si="325">+IF($H$113&gt;=48,INDEX($BE$58:$BN$69,MATCH($AL110,$BD$58:$BD$69,0),MATCH(AM$5,$BE$57:$BN$57,0)),$BB66)</f>
        <v>3I</v>
      </c>
      <c r="AN110" s="291" t="str">
        <f t="shared" ca="1" si="325"/>
        <v>3I</v>
      </c>
      <c r="AO110" s="291" t="str">
        <f t="shared" ca="1" si="325"/>
        <v>3I</v>
      </c>
      <c r="AP110" s="291" t="str">
        <f t="shared" ca="1" si="325"/>
        <v>3I</v>
      </c>
      <c r="AQ110" s="291" t="str">
        <f t="shared" ca="1" si="325"/>
        <v>3I</v>
      </c>
      <c r="AR110" s="291" t="str">
        <f t="shared" ca="1" si="325"/>
        <v>3I</v>
      </c>
      <c r="AS110" s="291" t="str">
        <f t="shared" ca="1" si="325"/>
        <v>3I</v>
      </c>
      <c r="AT110" s="292" t="str">
        <f t="shared" ca="1" si="325"/>
        <v>3I</v>
      </c>
      <c r="AU110" s="420" t="str">
        <f t="shared" ca="1" si="312"/>
        <v/>
      </c>
      <c r="AV110" s="217" t="str">
        <f t="shared" ca="1" si="313"/>
        <v>Irak</v>
      </c>
      <c r="AW110" s="427"/>
      <c r="AX110" s="288"/>
      <c r="AY110" s="293"/>
      <c r="AZ110" s="294" t="str">
        <f t="shared" ca="1" si="315"/>
        <v/>
      </c>
      <c r="BA110" s="175"/>
      <c r="BB110" s="736"/>
      <c r="BC110" s="736"/>
      <c r="BD110" s="736"/>
      <c r="BE110" s="742"/>
      <c r="BF110" s="736" t="str">
        <f t="shared" ca="1" si="316"/>
        <v/>
      </c>
      <c r="BG110" s="736">
        <f t="shared" ca="1" si="317"/>
        <v>0</v>
      </c>
      <c r="BH110" s="736"/>
      <c r="BI110" s="742">
        <v>8</v>
      </c>
      <c r="BJ110" s="736" t="str">
        <f t="shared" ca="1" si="318"/>
        <v>Grupo</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1D-3BEFIJ</v>
      </c>
      <c r="DU110" s="736"/>
      <c r="DV110" s="736"/>
      <c r="DW110" s="11"/>
    </row>
    <row r="111" spans="1:127" ht="15.95" customHeight="1">
      <c r="A111" s="736" t="s">
        <v>680</v>
      </c>
      <c r="B111" s="736" t="s">
        <v>683</v>
      </c>
      <c r="C111" s="737"/>
      <c r="D111" s="745" t="str">
        <f t="shared" si="302"/>
        <v>W84</v>
      </c>
      <c r="E111" s="737" t="s">
        <v>439</v>
      </c>
      <c r="F111" s="737" t="s">
        <v>238</v>
      </c>
      <c r="G111" s="746" t="s">
        <v>439</v>
      </c>
      <c r="H111" s="747">
        <f t="shared" ca="1" si="303"/>
        <v>0</v>
      </c>
      <c r="I111" s="742"/>
      <c r="J111" s="736">
        <v>83</v>
      </c>
      <c r="K111" s="736">
        <v>46205.75</v>
      </c>
      <c r="L111" s="736" t="s">
        <v>695</v>
      </c>
      <c r="M111" s="736" t="str">
        <f t="shared" ca="1" si="304"/>
        <v>2K</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6"/>
      <c r="P111" s="736"/>
      <c r="Q111" s="736"/>
      <c r="R111" s="736"/>
      <c r="S111" s="736"/>
      <c r="T111" s="736"/>
      <c r="U111" s="736"/>
      <c r="V111" s="172"/>
      <c r="W111" s="816"/>
      <c r="X111" s="189">
        <f ca="1">Horarios!C111</f>
        <v>46205.625</v>
      </c>
      <c r="Y111" s="190">
        <f ca="1">Horarios!C111</f>
        <v>46205.625</v>
      </c>
      <c r="Z111" s="276">
        <f t="shared" si="309"/>
        <v>84</v>
      </c>
      <c r="AA111" s="277" t="str">
        <f t="shared" ca="1" si="305"/>
        <v>1H</v>
      </c>
      <c r="AB111" s="278"/>
      <c r="AC111" s="281"/>
      <c r="AD111" s="281"/>
      <c r="AE111" s="278"/>
      <c r="AF111" s="280" t="str">
        <f t="shared" ca="1" si="306"/>
        <v>2J</v>
      </c>
      <c r="AG111" s="417">
        <f t="shared" si="307"/>
        <v>0</v>
      </c>
      <c r="AH111" s="196">
        <v>84</v>
      </c>
      <c r="AI111" s="217">
        <v>10</v>
      </c>
      <c r="AJ111" s="221">
        <v>10</v>
      </c>
      <c r="AK111" s="486" t="str" cm="1">
        <f t="array" aca="1" ref="AK111" ca="1">Ver_flag_visit</f>
        <v/>
      </c>
      <c r="AL111" s="289" t="str">
        <f t="shared" ca="1" si="310"/>
        <v>3J</v>
      </c>
      <c r="AM111" s="290" t="str">
        <f t="shared" ref="AM111:AT111" ca="1" si="326">+IF($H$113&gt;=48,INDEX($BE$58:$BN$69,MATCH($AL111,$BD$58:$BD$69,0),MATCH(AM$5,$BE$57:$BN$57,0)),$BB67)</f>
        <v>3J</v>
      </c>
      <c r="AN111" s="291" t="str">
        <f t="shared" ca="1" si="326"/>
        <v>3J</v>
      </c>
      <c r="AO111" s="291" t="str">
        <f t="shared" ca="1" si="326"/>
        <v>3J</v>
      </c>
      <c r="AP111" s="291" t="str">
        <f t="shared" ca="1" si="326"/>
        <v>3J</v>
      </c>
      <c r="AQ111" s="291" t="str">
        <f t="shared" ca="1" si="326"/>
        <v>3J</v>
      </c>
      <c r="AR111" s="291" t="str">
        <f t="shared" ca="1" si="326"/>
        <v>3J</v>
      </c>
      <c r="AS111" s="291" t="str">
        <f t="shared" ca="1" si="326"/>
        <v>3J</v>
      </c>
      <c r="AT111" s="292" t="str">
        <f t="shared" ca="1" si="326"/>
        <v>3J</v>
      </c>
      <c r="AU111" s="420" t="str">
        <f t="shared" ca="1" si="312"/>
        <v/>
      </c>
      <c r="AV111" s="217" t="str">
        <f t="shared" ca="1" si="313"/>
        <v>Irán</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1H-2J</v>
      </c>
      <c r="DU111" s="736"/>
      <c r="DV111" s="736"/>
      <c r="DW111" s="11"/>
    </row>
    <row r="112" spans="1:127" ht="15.95" customHeight="1">
      <c r="A112" s="736" t="s">
        <v>670</v>
      </c>
      <c r="B112" s="736" t="s">
        <v>677</v>
      </c>
      <c r="C112" s="737"/>
      <c r="D112" s="745" t="str">
        <f t="shared" si="302"/>
        <v>W83</v>
      </c>
      <c r="E112" s="737" t="s">
        <v>437</v>
      </c>
      <c r="F112" s="737" t="s">
        <v>5</v>
      </c>
      <c r="G112" s="746" t="s">
        <v>238</v>
      </c>
      <c r="H112" s="747">
        <f t="shared" ca="1" si="303"/>
        <v>0</v>
      </c>
      <c r="I112" s="742"/>
      <c r="J112" s="736">
        <v>84</v>
      </c>
      <c r="K112" s="736">
        <v>46205.75</v>
      </c>
      <c r="L112" s="736" t="s">
        <v>696</v>
      </c>
      <c r="M112" s="736" t="str">
        <f t="shared" ca="1" si="304"/>
        <v>1H</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6"/>
      <c r="P112" s="736"/>
      <c r="Q112" s="736"/>
      <c r="R112" s="736"/>
      <c r="S112" s="736"/>
      <c r="T112" s="736"/>
      <c r="U112" s="736"/>
      <c r="V112" s="172"/>
      <c r="W112" s="816"/>
      <c r="X112" s="189">
        <f ca="1">Horarios!C112</f>
        <v>46205.791666666664</v>
      </c>
      <c r="Y112" s="190">
        <f ca="1">Horarios!C112</f>
        <v>46205.791666666664</v>
      </c>
      <c r="Z112" s="276">
        <f t="shared" si="309"/>
        <v>83</v>
      </c>
      <c r="AA112" s="277" t="str">
        <f t="shared" ca="1" si="305"/>
        <v>2K</v>
      </c>
      <c r="AB112" s="278"/>
      <c r="AC112" s="281"/>
      <c r="AD112" s="281"/>
      <c r="AE112" s="278"/>
      <c r="AF112" s="280" t="str">
        <f t="shared" ca="1" si="306"/>
        <v>2L</v>
      </c>
      <c r="AG112" s="417">
        <f t="shared" si="307"/>
        <v>0</v>
      </c>
      <c r="AH112" s="196">
        <v>83</v>
      </c>
      <c r="AI112" s="217">
        <v>11</v>
      </c>
      <c r="AJ112" s="221">
        <v>11</v>
      </c>
      <c r="AK112" s="486" t="str" cm="1">
        <f t="array" aca="1" ref="AK112" ca="1">Ver_flag_visit</f>
        <v/>
      </c>
      <c r="AL112" s="289" t="str">
        <f t="shared" ca="1" si="310"/>
        <v>3K</v>
      </c>
      <c r="AM112" s="290" t="str">
        <f t="shared" ref="AM112:AT112" ca="1" si="327">+IF($H$113&gt;=48,INDEX($BE$58:$BN$69,MATCH($AL112,$BD$58:$BD$69,0),MATCH(AM$5,$BE$57:$BN$57,0)),$BB68)</f>
        <v>3K</v>
      </c>
      <c r="AN112" s="291" t="str">
        <f t="shared" ca="1" si="327"/>
        <v>3K</v>
      </c>
      <c r="AO112" s="291" t="str">
        <f t="shared" ca="1" si="327"/>
        <v>3K</v>
      </c>
      <c r="AP112" s="291" t="str">
        <f t="shared" ca="1" si="327"/>
        <v>3K</v>
      </c>
      <c r="AQ112" s="291" t="str">
        <f t="shared" ca="1" si="327"/>
        <v>3K</v>
      </c>
      <c r="AR112" s="291" t="str">
        <f t="shared" ca="1" si="327"/>
        <v>3K</v>
      </c>
      <c r="AS112" s="291" t="str">
        <f t="shared" ca="1" si="327"/>
        <v>3K</v>
      </c>
      <c r="AT112" s="292" t="str">
        <f t="shared" ca="1" si="327"/>
        <v>3K</v>
      </c>
      <c r="AU112" s="420" t="str">
        <f t="shared" ca="1" si="312"/>
        <v/>
      </c>
      <c r="AV112" s="217" t="str">
        <f t="shared" ca="1" si="313"/>
        <v>Suecia</v>
      </c>
      <c r="AW112" s="427"/>
      <c r="AX112" s="288"/>
      <c r="AY112" s="295"/>
      <c r="AZ112" s="295"/>
      <c r="BA112" s="175"/>
      <c r="BB112" s="736"/>
      <c r="BC112" s="736"/>
      <c r="BD112" s="744"/>
      <c r="BE112" s="736"/>
      <c r="BF112" s="736"/>
      <c r="BG112" s="736"/>
      <c r="BH112" s="736"/>
      <c r="BI112" s="736" t="str">
        <f ca="1">IFERROR(CONCATENATE(BJ103,BJ104,BJ105,BJ106,BJ107,BJ108,BJ109,BJ110),"¿A/B/C/D/E/F/G/H/I/J/K/L?")</f>
        <v>GrupoGrupoGrupoGrupoGrupoGrupoGrupoGrupo</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2K-2L</v>
      </c>
      <c r="DU112" s="736"/>
      <c r="DV112" s="736"/>
      <c r="DW112" s="11"/>
    </row>
    <row r="113" spans="1:127" ht="15.95" customHeight="1" thickBot="1">
      <c r="A113" s="736" t="s">
        <v>648</v>
      </c>
      <c r="B113" s="736" t="s">
        <v>728</v>
      </c>
      <c r="C113" s="737"/>
      <c r="D113" s="745" t="str">
        <f t="shared" si="302"/>
        <v>W85</v>
      </c>
      <c r="E113" s="737" t="s">
        <v>1</v>
      </c>
      <c r="F113" s="737" t="s">
        <v>721</v>
      </c>
      <c r="G113" s="746" t="s">
        <v>721</v>
      </c>
      <c r="H113" s="747">
        <f ca="1">+IF(AJ99&lt;&gt;144,SUM(H101:H112),AJ99)</f>
        <v>0</v>
      </c>
      <c r="I113" s="742"/>
      <c r="J113" s="736">
        <v>85</v>
      </c>
      <c r="K113" s="736">
        <v>46205.75</v>
      </c>
      <c r="L113" s="736" t="s">
        <v>697</v>
      </c>
      <c r="M113" s="736" t="str">
        <f t="shared" ca="1" si="304"/>
        <v>1B</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6"/>
      <c r="P113" s="736"/>
      <c r="Q113" s="736"/>
      <c r="R113" s="736"/>
      <c r="S113" s="736"/>
      <c r="T113" s="736"/>
      <c r="U113" s="736"/>
      <c r="V113" s="172"/>
      <c r="W113" s="816"/>
      <c r="X113" s="189">
        <f ca="1">Horarios!C113</f>
        <v>46205.958333333336</v>
      </c>
      <c r="Y113" s="190">
        <f ca="1">Horarios!C113</f>
        <v>46205.958333333336</v>
      </c>
      <c r="Z113" s="276">
        <f t="shared" si="309"/>
        <v>85</v>
      </c>
      <c r="AA113" s="277" t="str">
        <f t="shared" ca="1" si="305"/>
        <v>1B</v>
      </c>
      <c r="AB113" s="278"/>
      <c r="AC113" s="281"/>
      <c r="AD113" s="281"/>
      <c r="AE113" s="279"/>
      <c r="AF113" s="280" t="str">
        <f t="shared" ca="1" si="306"/>
        <v>3EFGIJ</v>
      </c>
      <c r="AG113" s="417">
        <f t="shared" si="307"/>
        <v>0</v>
      </c>
      <c r="AH113" s="196">
        <v>85</v>
      </c>
      <c r="AI113" s="217">
        <v>12</v>
      </c>
      <c r="AJ113" s="235">
        <v>12</v>
      </c>
      <c r="AK113" s="487" t="str" cm="1">
        <f t="array" aca="1" ref="AK113" ca="1">Ver_flag_visit</f>
        <v/>
      </c>
      <c r="AL113" s="236" t="str">
        <f t="shared" ca="1" si="310"/>
        <v>3L</v>
      </c>
      <c r="AM113" s="237" t="str">
        <f t="shared" ref="AM113:AT113" ca="1" si="328">+IF($H$113&gt;=48,INDEX($BE$58:$BN$69,MATCH($AL113,$BD$58:$BD$69,0),MATCH(AM$5,$BE$57:$BN$57,0)),$BB69)</f>
        <v>3L</v>
      </c>
      <c r="AN113" s="238" t="str">
        <f t="shared" ca="1" si="328"/>
        <v>3L</v>
      </c>
      <c r="AO113" s="238" t="str">
        <f t="shared" ca="1" si="328"/>
        <v>3L</v>
      </c>
      <c r="AP113" s="238" t="str">
        <f t="shared" ca="1" si="328"/>
        <v>3L</v>
      </c>
      <c r="AQ113" s="238" t="str">
        <f t="shared" ca="1" si="328"/>
        <v>3L</v>
      </c>
      <c r="AR113" s="238" t="str">
        <f t="shared" ca="1" si="328"/>
        <v>3L</v>
      </c>
      <c r="AS113" s="238" t="str">
        <f t="shared" ca="1" si="328"/>
        <v>3L</v>
      </c>
      <c r="AT113" s="239" t="str">
        <f t="shared" ca="1" si="328"/>
        <v>3L</v>
      </c>
      <c r="AU113" s="420" t="str">
        <f t="shared" ca="1" si="312"/>
        <v/>
      </c>
      <c r="AV113" s="217" t="str">
        <f t="shared" ca="1" si="313"/>
        <v>Uzbekistán</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1B-3EFGIJ</v>
      </c>
      <c r="DU113" s="736"/>
      <c r="DV113" s="736"/>
      <c r="DW113" s="11"/>
    </row>
    <row r="114" spans="1:127" ht="15.95"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1J</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6"/>
      <c r="P114" s="736"/>
      <c r="Q114" s="736"/>
      <c r="R114" s="736"/>
      <c r="S114" s="736"/>
      <c r="T114" s="736"/>
      <c r="U114" s="736"/>
      <c r="V114" s="172"/>
      <c r="W114" s="816"/>
      <c r="X114" s="189">
        <f ca="1">Horarios!C114</f>
        <v>46206.583333333336</v>
      </c>
      <c r="Y114" s="190">
        <f ca="1">Horarios!C114</f>
        <v>46206.583333333336</v>
      </c>
      <c r="Z114" s="276">
        <f t="shared" si="309"/>
        <v>88</v>
      </c>
      <c r="AA114" s="277" t="str">
        <f t="shared" ca="1" si="305"/>
        <v>2D</v>
      </c>
      <c r="AB114" s="278"/>
      <c r="AC114" s="281"/>
      <c r="AD114" s="281"/>
      <c r="AE114" s="278"/>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2D-2G</v>
      </c>
      <c r="DU114" s="742"/>
      <c r="DV114" s="742"/>
      <c r="DW114" s="8"/>
    </row>
    <row r="115" spans="1:127" ht="15.95"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1K</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6"/>
      <c r="P115" s="736"/>
      <c r="Q115" s="736"/>
      <c r="R115" s="736"/>
      <c r="S115" s="736"/>
      <c r="T115" s="736"/>
      <c r="U115" s="736"/>
      <c r="V115" s="172"/>
      <c r="W115" s="816"/>
      <c r="X115" s="189">
        <f ca="1">Horarios!C115</f>
        <v>46206.75</v>
      </c>
      <c r="Y115" s="190">
        <f ca="1">Horarios!C115</f>
        <v>46206.75</v>
      </c>
      <c r="Z115" s="276">
        <f t="shared" si="309"/>
        <v>86</v>
      </c>
      <c r="AA115" s="277" t="str">
        <f t="shared" ca="1" si="305"/>
        <v>1J</v>
      </c>
      <c r="AB115" s="278"/>
      <c r="AC115" s="281"/>
      <c r="AD115" s="281"/>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1J-2H</v>
      </c>
      <c r="DU115" s="742"/>
      <c r="DV115" s="742"/>
      <c r="DW115" s="8"/>
    </row>
    <row r="116" spans="1:127" ht="15.95"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2D</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6"/>
      <c r="P116" s="736"/>
      <c r="Q116" s="736"/>
      <c r="R116" s="736"/>
      <c r="S116" s="736"/>
      <c r="T116" s="736"/>
      <c r="U116" s="736"/>
      <c r="V116" s="172"/>
      <c r="W116" s="817"/>
      <c r="X116" s="228">
        <f ca="1">Horarios!C116</f>
        <v>46206.895833333336</v>
      </c>
      <c r="Y116" s="229">
        <f ca="1">Horarios!C116</f>
        <v>46206.895833333336</v>
      </c>
      <c r="Z116" s="299">
        <f t="shared" si="309"/>
        <v>87</v>
      </c>
      <c r="AA116" s="300" t="str">
        <f t="shared" ca="1" si="305"/>
        <v>1K</v>
      </c>
      <c r="AB116" s="301"/>
      <c r="AC116" s="302"/>
      <c r="AD116" s="302"/>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1K-3DEIJL</v>
      </c>
      <c r="DU116" s="742"/>
      <c r="DV116" s="742"/>
      <c r="DW116" s="8"/>
    </row>
    <row r="117" spans="1:127" ht="15.95"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e">
        <f ca="1">+INDEX(Combinaciones3!$P$2:$W$496,MATCH(1,Combinaciones3!$B$2:$B$497,0),MATCH(WORLDCUP!BF117,Combinaciones3!$P$1:$W$1,0))</f>
        <v>#N/A</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5.95"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e">
        <f ca="1">+INDEX(Combinaciones3!$P$2:$W$496,MATCH(1,Combinaciones3!$B$2:$B$497,0),MATCH(WORLDCUP!BF118,Combinaciones3!$P$1:$W$1,0))</f>
        <v>#N/A</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5.95"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e">
        <f ca="1">+INDEX(Combinaciones3!$P$2:$W$496,MATCH(1,Combinaciones3!$B$2:$B$497,0),MATCH(WORLDCUP!BF119,Combinaciones3!$P$1:$W$1,0))</f>
        <v>#N/A</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Casa-Fuera</v>
      </c>
      <c r="DU119" s="742"/>
      <c r="DV119" s="742"/>
      <c r="DW119" s="8"/>
    </row>
    <row r="120" spans="1:127" ht="15.95"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si="330">+INDEX($D$101:$D$147,MATCH(E120,$AH$101:$AH$147,0))</f>
        <v>W74</v>
      </c>
      <c r="N120" s="742" t="str">
        <f t="shared" si="330"/>
        <v>W77</v>
      </c>
      <c r="O120" s="742"/>
      <c r="P120" s="742"/>
      <c r="Q120" s="742"/>
      <c r="R120" s="742"/>
      <c r="S120" s="742"/>
      <c r="T120" s="742"/>
      <c r="U120" s="742"/>
      <c r="V120" s="172"/>
      <c r="W120" s="818" t="s">
        <v>88</v>
      </c>
      <c r="X120" s="189">
        <f ca="1">Horarios!C120</f>
        <v>46207.541666666664</v>
      </c>
      <c r="Y120" s="190">
        <f ca="1">Horarios!C120</f>
        <v>46207.541666666664</v>
      </c>
      <c r="Z120" s="276">
        <f t="shared" ref="Z120:Z127" si="331">AH120</f>
        <v>90</v>
      </c>
      <c r="AA120" s="277" t="str">
        <f t="shared" ref="AA120:AA127" si="332">+INDEX($M$101:$M$147,MATCH(AH120,$J$101:$J$147,0))</f>
        <v>W73</v>
      </c>
      <c r="AB120" s="278"/>
      <c r="AC120" s="305"/>
      <c r="AD120" s="305"/>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e">
        <f ca="1">+INDEX(Combinaciones3!$P$2:$W$496,MATCH(1,Combinaciones3!$B$2:$B$497,0),MATCH(WORLDCUP!BF120,Combinaciones3!$P$1:$W$1,0))</f>
        <v>#N/A</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si="242"/>
        <v>W73-W75</v>
      </c>
      <c r="DU120" s="742"/>
      <c r="DV120" s="742"/>
      <c r="DW120" s="8"/>
    </row>
    <row r="121" spans="1:127" ht="15.95"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si="330"/>
        <v>W73</v>
      </c>
      <c r="N121" s="742" t="str">
        <f t="shared" si="330"/>
        <v>W75</v>
      </c>
      <c r="O121" s="742"/>
      <c r="P121" s="742"/>
      <c r="Q121" s="742"/>
      <c r="R121" s="742"/>
      <c r="S121" s="742"/>
      <c r="T121" s="742"/>
      <c r="U121" s="742"/>
      <c r="V121" s="172"/>
      <c r="W121" s="818"/>
      <c r="X121" s="189">
        <f ca="1">Horarios!C121</f>
        <v>46207.708333333336</v>
      </c>
      <c r="Y121" s="190">
        <f ca="1">Horarios!C121</f>
        <v>46207.708333333336</v>
      </c>
      <c r="Z121" s="276">
        <f t="shared" si="331"/>
        <v>89</v>
      </c>
      <c r="AA121" s="277" t="str">
        <f t="shared" si="332"/>
        <v>W74</v>
      </c>
      <c r="AB121" s="278"/>
      <c r="AC121" s="307"/>
      <c r="AD121" s="307"/>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e">
        <f ca="1">+INDEX(Combinaciones3!$P$2:$W$496,MATCH(1,Combinaciones3!$B$2:$B$497,0),MATCH(WORLDCUP!BF121,Combinaciones3!$P$1:$W$1,0))</f>
        <v>#N/A</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si="242"/>
        <v>W74-W77</v>
      </c>
      <c r="DU121" s="742"/>
      <c r="DV121" s="742"/>
      <c r="DW121" s="8"/>
    </row>
    <row r="122" spans="1:127" ht="15.95"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si="330"/>
        <v>W76</v>
      </c>
      <c r="N122" s="742" t="str">
        <f t="shared" si="330"/>
        <v>W78</v>
      </c>
      <c r="O122" s="742"/>
      <c r="P122" s="742"/>
      <c r="Q122" s="742"/>
      <c r="R122" s="742"/>
      <c r="S122" s="742"/>
      <c r="T122" s="742"/>
      <c r="U122" s="742"/>
      <c r="V122" s="172"/>
      <c r="W122" s="818"/>
      <c r="X122" s="189">
        <f ca="1">Horarios!C122</f>
        <v>46208.666666666664</v>
      </c>
      <c r="Y122" s="190">
        <f ca="1">Horarios!C122</f>
        <v>46208.666666666664</v>
      </c>
      <c r="Z122" s="276">
        <f t="shared" si="331"/>
        <v>91</v>
      </c>
      <c r="AA122" s="277" t="str">
        <f t="shared" si="332"/>
        <v>W76</v>
      </c>
      <c r="AB122" s="278"/>
      <c r="AC122" s="307"/>
      <c r="AD122" s="307"/>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e">
        <f ca="1">+INDEX(Combinaciones3!$P$2:$W$496,MATCH(1,Combinaciones3!$B$2:$B$497,0),MATCH(WORLDCUP!BF122,Combinaciones3!$P$1:$W$1,0))</f>
        <v>#N/A</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si="242"/>
        <v>W76-W78</v>
      </c>
      <c r="DU122" s="742"/>
      <c r="DV122" s="742"/>
      <c r="DW122" s="8"/>
    </row>
    <row r="123" spans="1:127" ht="15.95"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si="330"/>
        <v>W79</v>
      </c>
      <c r="N123" s="742" t="str">
        <f t="shared" si="330"/>
        <v>W80</v>
      </c>
      <c r="O123" s="742"/>
      <c r="P123" s="742"/>
      <c r="Q123" s="742"/>
      <c r="R123" s="742"/>
      <c r="S123" s="742"/>
      <c r="T123" s="742"/>
      <c r="U123" s="742"/>
      <c r="V123" s="172"/>
      <c r="W123" s="818"/>
      <c r="X123" s="189">
        <f ca="1">Horarios!C123</f>
        <v>46208.833333333336</v>
      </c>
      <c r="Y123" s="190">
        <f ca="1">Horarios!C123</f>
        <v>46208.833333333336</v>
      </c>
      <c r="Z123" s="276">
        <f t="shared" si="331"/>
        <v>92</v>
      </c>
      <c r="AA123" s="277" t="str">
        <f t="shared" si="332"/>
        <v>W79</v>
      </c>
      <c r="AB123" s="278"/>
      <c r="AC123" s="307"/>
      <c r="AD123" s="307"/>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e">
        <f ca="1">+INDEX(Combinaciones3!$P$2:$W$496,MATCH(1,Combinaciones3!$B$2:$B$497,0),MATCH(WORLDCUP!BF123,Combinaciones3!$P$1:$W$1,0))</f>
        <v>#N/A</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si="242"/>
        <v>W79-W80</v>
      </c>
      <c r="DU123" s="742"/>
      <c r="DV123" s="742"/>
      <c r="DW123" s="8"/>
    </row>
    <row r="124" spans="1:127" ht="15.95"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18"/>
      <c r="X124" s="189">
        <f ca="1">Horarios!C124</f>
        <v>46209.625</v>
      </c>
      <c r="Y124" s="190">
        <f ca="1">Horarios!C124</f>
        <v>46209.625</v>
      </c>
      <c r="Z124" s="276">
        <f t="shared" si="331"/>
        <v>93</v>
      </c>
      <c r="AA124" s="277" t="str">
        <f t="shared" si="332"/>
        <v>W83</v>
      </c>
      <c r="AB124" s="308"/>
      <c r="AC124" s="307"/>
      <c r="AD124" s="307"/>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e">
        <f ca="1">+INDEX(Combinaciones3!$P$2:$W$496,MATCH(1,Combinaciones3!$B$2:$B$497,0),MATCH(WORLDCUP!BF124,Combinaciones3!$P$1:$W$1,0))</f>
        <v>#N/A</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5.95"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si="330"/>
        <v>W81</v>
      </c>
      <c r="N125" s="742" t="str">
        <f t="shared" si="330"/>
        <v>W82</v>
      </c>
      <c r="O125" s="742"/>
      <c r="P125" s="742"/>
      <c r="Q125" s="742"/>
      <c r="R125" s="742"/>
      <c r="S125" s="742"/>
      <c r="T125" s="742"/>
      <c r="U125" s="742"/>
      <c r="V125" s="172"/>
      <c r="W125" s="818"/>
      <c r="X125" s="189">
        <f ca="1">Horarios!C125</f>
        <v>46209.833333333336</v>
      </c>
      <c r="Y125" s="190">
        <f ca="1">Horarios!C125</f>
        <v>46209.833333333336</v>
      </c>
      <c r="Z125" s="276">
        <f t="shared" si="331"/>
        <v>94</v>
      </c>
      <c r="AA125" s="277" t="str">
        <f t="shared" si="332"/>
        <v>W81</v>
      </c>
      <c r="AB125" s="278"/>
      <c r="AC125" s="309"/>
      <c r="AD125" s="309"/>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si="242"/>
        <v>W81-W82</v>
      </c>
      <c r="DU125" s="742"/>
      <c r="DV125" s="742"/>
      <c r="DW125" s="8"/>
    </row>
    <row r="126" spans="1:127" ht="15.95"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18"/>
      <c r="X126" s="189">
        <f ca="1">Horarios!C126</f>
        <v>46210.5</v>
      </c>
      <c r="Y126" s="190">
        <f ca="1">Horarios!C126</f>
        <v>46210.5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5.95"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19"/>
      <c r="X127" s="228">
        <f ca="1">Horarios!C127</f>
        <v>46210.666666666664</v>
      </c>
      <c r="Y127" s="229">
        <f ca="1">Horarios!C127</f>
        <v>46210.666666666664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5.95"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5.95"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5.95"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Casa-Fuera</v>
      </c>
      <c r="DU130" s="742"/>
      <c r="DV130" s="742"/>
      <c r="DW130" s="8"/>
    </row>
    <row r="131" spans="1:127" ht="15.95"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20" t="s">
        <v>34</v>
      </c>
      <c r="X131" s="189">
        <f ca="1">Horarios!C131</f>
        <v>46212.666666666664</v>
      </c>
      <c r="Y131" s="190">
        <f ca="1">Horarios!C131</f>
        <v>46212.666666666664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5.95"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20"/>
      <c r="X132" s="189">
        <f ca="1">Horarios!C132</f>
        <v>46213.625</v>
      </c>
      <c r="Y132" s="190">
        <f ca="1">Horarios!C132</f>
        <v>46213.625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5.95"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20"/>
      <c r="X133" s="189">
        <f ca="1">Horarios!C133</f>
        <v>46214.708333333336</v>
      </c>
      <c r="Y133" s="190">
        <f ca="1">Horarios!C133</f>
        <v>46214.708333333336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5.95"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21"/>
      <c r="X134" s="228">
        <f ca="1">Horarios!C134</f>
        <v>46214.875</v>
      </c>
      <c r="Y134" s="229">
        <f ca="1">Horarios!C134</f>
        <v>46214.875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5.95"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5.95"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5.95"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Casa-Fuera</v>
      </c>
      <c r="DU137" s="742"/>
      <c r="DV137" s="742"/>
      <c r="DW137" s="8"/>
    </row>
    <row r="138" spans="1:127" ht="15.95"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22" t="s">
        <v>35</v>
      </c>
      <c r="X138" s="189">
        <f ca="1">Horarios!C138</f>
        <v>46217.625</v>
      </c>
      <c r="Y138" s="190">
        <f ca="1">Horarios!C138</f>
        <v>46217.625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5.95"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23"/>
      <c r="X139" s="324">
        <f ca="1">Horarios!C139</f>
        <v>46218.625</v>
      </c>
      <c r="Y139" s="325">
        <f ca="1">Horarios!C139</f>
        <v>46218.625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5.95"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5.95"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5.95"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Casa-Fuera</v>
      </c>
      <c r="DU142" s="742"/>
      <c r="DV142" s="742"/>
      <c r="DW142" s="8"/>
    </row>
    <row r="143" spans="1:127" ht="15.95"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46221.708333333336</v>
      </c>
      <c r="Y143" s="325">
        <f ca="1">Horarios!C143</f>
        <v>46221.708333333336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5.95"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5.95"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5.95"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Casa-Fuera</v>
      </c>
      <c r="DU146" s="742"/>
      <c r="DV146" s="742"/>
      <c r="DW146" s="8"/>
    </row>
    <row r="147" spans="1:127" ht="15.95"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46222.625</v>
      </c>
      <c r="Y147" s="325">
        <f ca="1">Horarios!C147</f>
        <v>46222.625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5.95"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5.95"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5.95"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31" t="str">
        <f>IF(SUM(COUNTIF(AG4:AG97,0),COUNTIF(AG101:AG160,0)&gt;0),AL148,AL149)</f>
        <v>MUNDIAL EN CURSO</v>
      </c>
      <c r="AK151" s="832"/>
      <c r="AL151" s="832"/>
      <c r="AM151" s="832"/>
      <c r="AN151" s="832"/>
      <c r="AO151" s="832"/>
      <c r="AP151" s="832"/>
      <c r="AQ151" s="832"/>
      <c r="AR151" s="832"/>
      <c r="AS151" s="832"/>
      <c r="AT151" s="832"/>
      <c r="AU151" s="833"/>
      <c r="AV151" s="355"/>
      <c r="AW151" s="243"/>
      <c r="AX151" s="242"/>
      <c r="AY151" s="244"/>
      <c r="AZ151" s="245"/>
      <c r="BA151" s="175"/>
      <c r="DW151" s="8"/>
    </row>
    <row r="152" spans="1:127" ht="15.95"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34"/>
      <c r="AK152" s="835"/>
      <c r="AL152" s="835"/>
      <c r="AM152" s="835"/>
      <c r="AN152" s="835"/>
      <c r="AO152" s="835"/>
      <c r="AP152" s="835"/>
      <c r="AQ152" s="835"/>
      <c r="AR152" s="835"/>
      <c r="AS152" s="835"/>
      <c r="AT152" s="835"/>
      <c r="AU152" s="836"/>
      <c r="AV152" s="355"/>
      <c r="AW152" s="243"/>
      <c r="AX152" s="242"/>
      <c r="AY152" s="244"/>
      <c r="AZ152" s="245"/>
      <c r="BA152" s="175"/>
      <c r="DW152" s="8"/>
    </row>
    <row r="153" spans="1:127" ht="15.95"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34"/>
      <c r="AK153" s="835"/>
      <c r="AL153" s="835"/>
      <c r="AM153" s="835"/>
      <c r="AN153" s="835"/>
      <c r="AO153" s="835"/>
      <c r="AP153" s="835"/>
      <c r="AQ153" s="835"/>
      <c r="AR153" s="835"/>
      <c r="AS153" s="835"/>
      <c r="AT153" s="835"/>
      <c r="AU153" s="836"/>
      <c r="AV153" s="355"/>
      <c r="AW153" s="243"/>
      <c r="AX153" s="242"/>
      <c r="AY153" s="244"/>
      <c r="AZ153" s="245"/>
      <c r="BA153" s="175"/>
      <c r="DW153" s="8"/>
    </row>
    <row r="154" spans="1:127" ht="15.95"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34"/>
      <c r="AK154" s="835"/>
      <c r="AL154" s="835"/>
      <c r="AM154" s="835"/>
      <c r="AN154" s="835"/>
      <c r="AO154" s="835"/>
      <c r="AP154" s="835"/>
      <c r="AQ154" s="835"/>
      <c r="AR154" s="835"/>
      <c r="AS154" s="835"/>
      <c r="AT154" s="835"/>
      <c r="AU154" s="836"/>
      <c r="AV154" s="355"/>
      <c r="AW154" s="243"/>
      <c r="AX154" s="242"/>
      <c r="AY154" s="244"/>
      <c r="AZ154" s="245"/>
      <c r="BA154" s="175"/>
      <c r="DW154" s="8"/>
    </row>
    <row r="155" spans="1:127" ht="15.95"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798" t="str">
        <f>IF(SUM(COUNTIF(AG4:AG97,0),COUNTIF(AG101:AG160,0)&gt;0),AM148,AM149)</f>
        <v>Todavía hay emoción</v>
      </c>
      <c r="AK155" s="799"/>
      <c r="AL155" s="799"/>
      <c r="AM155" s="799"/>
      <c r="AN155" s="799"/>
      <c r="AO155" s="799"/>
      <c r="AP155" s="799"/>
      <c r="AQ155" s="799"/>
      <c r="AR155" s="799"/>
      <c r="AS155" s="799"/>
      <c r="AT155" s="799"/>
      <c r="AU155" s="800"/>
      <c r="AV155" s="355"/>
      <c r="AW155" s="243"/>
      <c r="AX155" s="242"/>
      <c r="AY155" s="244"/>
      <c r="AZ155" s="245"/>
      <c r="BA155" s="373"/>
      <c r="DW155" s="8"/>
    </row>
    <row r="156" spans="1:127" ht="15.95"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798"/>
      <c r="AK156" s="799"/>
      <c r="AL156" s="799"/>
      <c r="AM156" s="799"/>
      <c r="AN156" s="799"/>
      <c r="AO156" s="799"/>
      <c r="AP156" s="799"/>
      <c r="AQ156" s="799"/>
      <c r="AR156" s="799"/>
      <c r="AS156" s="799"/>
      <c r="AT156" s="799"/>
      <c r="AU156" s="800"/>
      <c r="AV156" s="355"/>
      <c r="AW156" s="243"/>
      <c r="AX156" s="242"/>
      <c r="AY156" s="244"/>
      <c r="AZ156" s="245"/>
      <c r="BA156" s="373"/>
      <c r="DW156" s="8"/>
    </row>
    <row r="157" spans="1:127" ht="15.95"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01"/>
      <c r="AK157" s="802"/>
      <c r="AL157" s="802"/>
      <c r="AM157" s="802"/>
      <c r="AN157" s="802"/>
      <c r="AO157" s="802"/>
      <c r="AP157" s="802"/>
      <c r="AQ157" s="802"/>
      <c r="AR157" s="802"/>
      <c r="AS157" s="802"/>
      <c r="AT157" s="802"/>
      <c r="AU157" s="803"/>
      <c r="AV157" s="355"/>
      <c r="AW157" s="243"/>
      <c r="AX157" s="242"/>
      <c r="AY157" s="244"/>
      <c r="AZ157" s="245"/>
      <c r="BA157" s="373"/>
      <c r="DW157" s="8"/>
    </row>
    <row r="158" spans="1:127" ht="15.95"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5.95"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5.95"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100000000000001"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5.95"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5.95"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5.95"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5.9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CM15" sqref="CM15"/>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19" hidden="1" customWidth="1"/>
    <col min="7" max="7" width="7.85546875" style="5" hidden="1" customWidth="1"/>
    <col min="8" max="8" width="14.140625" style="5" hidden="1" customWidth="1"/>
    <col min="9" max="9" width="6.42578125" style="61" customWidth="1"/>
    <col min="10" max="10" width="8.28515625" style="104" customWidth="1"/>
    <col min="11" max="11" width="30.7109375" style="86" bestFit="1" customWidth="1"/>
    <col min="12" max="12" width="2.85546875" style="61" customWidth="1"/>
    <col min="13" max="13" width="30" style="86" customWidth="1"/>
    <col min="14" max="14" width="3.7109375" style="444" hidden="1" customWidth="1"/>
    <col min="15" max="15" width="3.140625" style="444" hidden="1" customWidth="1"/>
    <col min="16" max="16" width="2.85546875" style="444" hidden="1" customWidth="1"/>
    <col min="17" max="17" width="3.140625" style="444" hidden="1" customWidth="1"/>
    <col min="18" max="18" width="2.85546875" style="5" customWidth="1"/>
    <col min="19" max="19" width="29.7109375" style="86" bestFit="1" customWidth="1"/>
    <col min="20" max="20" width="5.140625" style="86" customWidth="1"/>
    <col min="21" max="21" width="2.85546875" style="20" customWidth="1"/>
    <col min="22" max="22" width="29.7109375" style="86" bestFit="1" customWidth="1"/>
    <col min="23" max="23" width="5.140625" style="86" customWidth="1"/>
    <col min="24" max="24" width="2.85546875" style="20" customWidth="1"/>
    <col min="25" max="25" width="29.7109375" style="86" bestFit="1" customWidth="1"/>
    <col min="26" max="26" width="5.140625" style="86" customWidth="1"/>
    <col min="27" max="27" width="2.85546875" style="20" customWidth="1"/>
    <col min="28" max="28" width="29.7109375" style="86" bestFit="1" customWidth="1"/>
    <col min="29" max="29" width="5.140625" style="86" customWidth="1"/>
    <col min="30" max="30" width="2.85546875" style="20" customWidth="1"/>
    <col min="31" max="31" width="29.7109375" style="86" bestFit="1" customWidth="1"/>
    <col min="32" max="32" width="5.140625" style="86" customWidth="1"/>
    <col min="33" max="33" width="2.85546875" style="20" customWidth="1"/>
    <col min="34" max="34" width="29.7109375" style="86" bestFit="1" customWidth="1"/>
    <col min="35" max="35" width="5.140625" style="86" customWidth="1"/>
    <col min="36" max="36" width="2.85546875" style="20" customWidth="1"/>
    <col min="37" max="37" width="29.7109375" style="86" bestFit="1" customWidth="1"/>
    <col min="38" max="38" width="5.140625" style="86" customWidth="1"/>
    <col min="39" max="39" width="2.85546875" style="20" customWidth="1"/>
    <col min="40" max="40" width="29.7109375" style="86" bestFit="1" customWidth="1"/>
    <col min="41" max="41" width="5.140625" style="86" customWidth="1"/>
    <col min="42" max="42" width="2.85546875" style="20" customWidth="1"/>
    <col min="43" max="43" width="29.7109375" style="86" bestFit="1" customWidth="1"/>
    <col min="44" max="44" width="5.140625" style="86" customWidth="1"/>
    <col min="45" max="45" width="2.85546875" style="20" customWidth="1"/>
    <col min="46" max="46" width="29.7109375" style="86" bestFit="1" customWidth="1"/>
    <col min="47" max="47" width="5.140625" style="86" customWidth="1"/>
    <col min="48" max="48" width="2.85546875" style="20" customWidth="1"/>
    <col min="49" max="49" width="29.7109375" style="86" bestFit="1" customWidth="1"/>
    <col min="50" max="50" width="5.140625" style="86" customWidth="1"/>
    <col min="51" max="51" width="2.85546875" style="20" customWidth="1"/>
    <col min="52" max="52" width="29.7109375" style="86" bestFit="1" customWidth="1"/>
    <col min="53" max="53" width="5.140625" style="86" customWidth="1"/>
    <col min="54" max="54" width="2.85546875" style="20" customWidth="1"/>
    <col min="55" max="55" width="29.7109375" style="86" bestFit="1" customWidth="1"/>
    <col min="56" max="56" width="5.140625" style="86" customWidth="1"/>
    <col min="57" max="57" width="2.85546875" style="20" customWidth="1"/>
    <col min="58" max="58" width="29.7109375" style="86" bestFit="1" customWidth="1"/>
    <col min="59" max="59" width="5.140625" style="86" customWidth="1"/>
    <col min="60" max="60" width="2.85546875" style="20" customWidth="1"/>
    <col min="61" max="61" width="29.7109375" style="86" bestFit="1" customWidth="1"/>
    <col min="62" max="62" width="5.140625" style="86" customWidth="1"/>
    <col min="63" max="63" width="2.85546875" style="20" customWidth="1"/>
    <col min="64" max="64" width="29.7109375" style="86" bestFit="1" customWidth="1"/>
    <col min="65" max="65" width="5.140625" style="86" customWidth="1"/>
    <col min="66" max="66" width="2.85546875" style="20" customWidth="1"/>
    <col min="67" max="67" width="29.7109375" style="86" bestFit="1" customWidth="1"/>
    <col min="68" max="68" width="5.140625" style="86" customWidth="1"/>
    <col min="69" max="69" width="2.85546875" style="20" customWidth="1"/>
    <col min="70" max="70" width="29.7109375" style="86" bestFit="1" customWidth="1"/>
    <col min="71" max="71" width="5.140625" style="86" customWidth="1"/>
    <col min="72" max="72" width="2.85546875" style="20" customWidth="1"/>
    <col min="73" max="73" width="29.7109375" style="86" bestFit="1" customWidth="1"/>
    <col min="74" max="74" width="5.140625" style="86" customWidth="1"/>
    <col min="75" max="75" width="2.85546875" style="20" customWidth="1"/>
    <col min="76" max="76" width="29.7109375" style="86" bestFit="1" customWidth="1"/>
    <col min="77" max="77" width="5.140625" style="86" customWidth="1"/>
    <col min="78" max="78" width="2.85546875" style="20" customWidth="1"/>
    <col min="79" max="79" width="29.7109375" style="86" bestFit="1" customWidth="1"/>
    <col min="80" max="80" width="5.140625" style="86" customWidth="1"/>
    <col min="81" max="81" width="2.85546875" style="20" customWidth="1"/>
    <col min="82" max="82" width="29.7109375" style="86" bestFit="1" customWidth="1"/>
    <col min="83" max="83" width="5.140625" style="86" customWidth="1"/>
    <col min="84" max="84" width="2.85546875" style="20" customWidth="1"/>
    <col min="85" max="85" width="29.7109375" style="86" bestFit="1" customWidth="1"/>
    <col min="86" max="86" width="5.140625" style="86" customWidth="1"/>
    <col min="87" max="87" width="2.85546875" style="20" customWidth="1"/>
    <col min="88" max="88" width="29.7109375" style="86" bestFit="1" customWidth="1"/>
    <col min="89" max="89" width="5.140625" style="86" customWidth="1"/>
    <col min="90" max="90" width="2.85546875" style="20" customWidth="1"/>
    <col min="91" max="91" width="29.7109375" style="86" bestFit="1" customWidth="1"/>
    <col min="92" max="92" width="5.140625" style="86" customWidth="1"/>
    <col min="93" max="94" width="2.85546875" style="20" customWidth="1"/>
    <col min="95" max="1518" width="0" style="1" hidden="1" customWidth="1"/>
    <col min="1519" max="16384" width="10.8554687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1</v>
      </c>
      <c r="T1" s="87"/>
      <c r="U1" s="65"/>
      <c r="V1" s="87">
        <f ca="1">+IFERROR(RANK(V2,OFFSET($S$2,0,0,1,$D$5*3),0),"-")</f>
        <v>2</v>
      </c>
      <c r="W1" s="87"/>
      <c r="X1" s="65"/>
      <c r="Y1" s="87">
        <f ca="1">+IFERROR(RANK(Y2,OFFSET($S$2,0,0,1,$D$5*3),0),"-")</f>
        <v>3</v>
      </c>
      <c r="Z1" s="87"/>
      <c r="AA1" s="65"/>
      <c r="AB1" s="87">
        <f ca="1">+IFERROR(RANK(AB2,OFFSET($S$2,0,0,1,$D$5*3),0),"-")</f>
        <v>4</v>
      </c>
      <c r="AC1" s="87"/>
      <c r="AD1" s="65"/>
      <c r="AE1" s="87">
        <f ca="1">+IFERROR(RANK(AE2,OFFSET($S$2,0,0,1,$D$5*3),0),"-")</f>
        <v>5</v>
      </c>
      <c r="AF1" s="87"/>
      <c r="AG1" s="65"/>
      <c r="AH1" s="87">
        <f ca="1">+IFERROR(RANK(AH2,OFFSET($S$2,0,0,1,$D$5*3),0),"-")</f>
        <v>6</v>
      </c>
      <c r="AI1" s="87"/>
      <c r="AJ1" s="65"/>
      <c r="AK1" s="87">
        <f ca="1">+IFERROR(RANK(AK2,OFFSET($S$2,0,0,1,$D$5*3),0),"-")</f>
        <v>7</v>
      </c>
      <c r="AL1" s="87"/>
      <c r="AM1" s="65"/>
      <c r="AN1" s="87">
        <f ca="1">+IFERROR(RANK(AN2,OFFSET($S$2,0,0,1,$D$5*3),0),"-")</f>
        <v>8</v>
      </c>
      <c r="AO1" s="87"/>
      <c r="AP1" s="65"/>
      <c r="AQ1" s="87">
        <f ca="1">+IFERROR(RANK(AQ2,OFFSET($S$2,0,0,1,$D$5*3),0),"-")</f>
        <v>9</v>
      </c>
      <c r="AR1" s="87"/>
      <c r="AS1" s="65"/>
      <c r="AT1" s="87">
        <f ca="1">+IFERROR(RANK(AT2,OFFSET($S$2,0,0,1,$D$5*3),0),"-")</f>
        <v>10</v>
      </c>
      <c r="AU1" s="87"/>
      <c r="AV1" s="65"/>
      <c r="AW1" s="87">
        <f ca="1">+IFERROR(RANK(AW2,OFFSET($S$2,0,0,1,$D$5*3),0),"-")</f>
        <v>11</v>
      </c>
      <c r="AX1" s="87"/>
      <c r="AY1" s="65"/>
      <c r="AZ1" s="87">
        <f ca="1">+IFERROR(RANK(AZ2,OFFSET($S$2,0,0,1,$D$5*3),0),"-")</f>
        <v>12</v>
      </c>
      <c r="BA1" s="87"/>
      <c r="BB1" s="65"/>
      <c r="BC1" s="87">
        <f ca="1">+IFERROR(RANK(BC2,OFFSET($S$2,0,0,1,$D$5*3),0),"-")</f>
        <v>13</v>
      </c>
      <c r="BD1" s="87"/>
      <c r="BE1" s="65"/>
      <c r="BF1" s="87">
        <f ca="1">+IFERROR(RANK(BF2,OFFSET($S$2,0,0,1,$D$5*3),0),"-")</f>
        <v>14</v>
      </c>
      <c r="BG1" s="87"/>
      <c r="BH1" s="65"/>
      <c r="BI1" s="87">
        <f ca="1">+IFERROR(RANK(BI2,OFFSET($S$2,0,0,1,$D$5*3),0),"-")</f>
        <v>15</v>
      </c>
      <c r="BJ1" s="87"/>
      <c r="BK1" s="65"/>
      <c r="BL1" s="87">
        <f ca="1">+IFERROR(RANK(BL2,OFFSET($S$2,0,0,1,$D$5*3),0),"-")</f>
        <v>16</v>
      </c>
      <c r="BM1" s="87"/>
      <c r="BN1" s="65"/>
      <c r="BO1" s="87">
        <f ca="1">+IFERROR(RANK(BO2,OFFSET($S$2,0,0,1,$D$5*3),0),"-")</f>
        <v>17</v>
      </c>
      <c r="BP1" s="87"/>
      <c r="BQ1" s="65"/>
      <c r="BR1" s="87">
        <f ca="1">+IFERROR(RANK(BR2,OFFSET($S$2,0,0,1,$D$5*3),0),"-")</f>
        <v>18</v>
      </c>
      <c r="BS1" s="87"/>
      <c r="BT1" s="65"/>
      <c r="BU1" s="87">
        <f ca="1">+IFERROR(RANK(BU2,OFFSET($S$2,0,0,1,$D$5*3),0),"-")</f>
        <v>19</v>
      </c>
      <c r="BV1" s="87"/>
      <c r="BW1" s="65"/>
      <c r="BX1" s="87">
        <f ca="1">+IFERROR(RANK(BX2,OFFSET($S$2,0,0,1,$D$5*3),0),"-")</f>
        <v>20</v>
      </c>
      <c r="BY1" s="87"/>
      <c r="BZ1" s="65"/>
      <c r="CA1" s="87">
        <f ca="1">+IFERROR(RANK(CA2,OFFSET($S$2,0,0,1,$D$5*3),0),"-")</f>
        <v>21</v>
      </c>
      <c r="CB1" s="87"/>
      <c r="CC1" s="65"/>
      <c r="CD1" s="87">
        <f ca="1">+IFERROR(RANK(CD2,OFFSET($S$2,0,0,1,$D$5*3),0),"-")</f>
        <v>22</v>
      </c>
      <c r="CE1" s="87"/>
      <c r="CF1" s="65"/>
      <c r="CG1" s="87">
        <f ca="1">+IFERROR(RANK(CG2,OFFSET($S$2,0,0,1,$D$5*3),0),"-")</f>
        <v>23</v>
      </c>
      <c r="CH1" s="87"/>
      <c r="CI1" s="65"/>
      <c r="CJ1" s="87">
        <f ca="1">+IFERROR(RANK(CJ2,OFFSET($S$2,0,0,1,$D$5*3),0),"-")</f>
        <v>24</v>
      </c>
      <c r="CK1" s="87"/>
      <c r="CL1" s="65"/>
      <c r="CM1" s="87">
        <f ca="1">+IFERROR(RANK(CM2,OFFSET($S$2,0,0,1,$D$5*3),0),"-")</f>
        <v>25</v>
      </c>
      <c r="CN1" s="87"/>
      <c r="CO1" s="65"/>
      <c r="CP1" s="111"/>
    </row>
    <row r="2" spans="1:94" s="20" customFormat="1" ht="21.95" customHeight="1">
      <c r="A2" s="65"/>
      <c r="B2" s="65"/>
      <c r="C2" s="65"/>
      <c r="D2" s="65"/>
      <c r="E2" s="111"/>
      <c r="F2" s="728"/>
      <c r="G2" s="49"/>
      <c r="H2" s="49"/>
      <c r="I2" s="65"/>
      <c r="J2" s="93"/>
      <c r="K2" s="25"/>
      <c r="L2" s="65"/>
      <c r="M2" s="87"/>
      <c r="N2" s="25"/>
      <c r="O2" s="25"/>
      <c r="P2" s="25"/>
      <c r="Q2" s="25"/>
      <c r="R2" s="49"/>
      <c r="S2" s="87">
        <f ca="1">S4-(COLUMN()/10000)</f>
        <v>-1.9E-3</v>
      </c>
      <c r="T2" s="87"/>
      <c r="U2" s="65"/>
      <c r="V2" s="87">
        <f t="shared" ref="V2" ca="1" si="0">V4-(COLUMN()/10000)</f>
        <v>-2.2000000000000001E-3</v>
      </c>
      <c r="W2" s="87"/>
      <c r="X2" s="65"/>
      <c r="Y2" s="87">
        <f t="shared" ref="Y2" ca="1" si="1">Y4-(COLUMN()/10000)</f>
        <v>-2.5000000000000001E-3</v>
      </c>
      <c r="Z2" s="87"/>
      <c r="AA2" s="65"/>
      <c r="AB2" s="87">
        <f t="shared" ref="AB2" ca="1" si="2">AB4-(COLUMN()/10000)</f>
        <v>-2.8E-3</v>
      </c>
      <c r="AC2" s="87"/>
      <c r="AD2" s="65"/>
      <c r="AE2" s="87">
        <f t="shared" ref="AE2" ca="1" si="3">AE4-(COLUMN()/10000)</f>
        <v>-3.0999999999999999E-3</v>
      </c>
      <c r="AF2" s="87"/>
      <c r="AG2" s="65"/>
      <c r="AH2" s="87">
        <f t="shared" ref="AH2" ca="1" si="4">AH4-(COLUMN()/10000)</f>
        <v>-3.3999999999999998E-3</v>
      </c>
      <c r="AI2" s="87"/>
      <c r="AJ2" s="65"/>
      <c r="AK2" s="87">
        <f t="shared" ref="AK2" ca="1" si="5">AK4-(COLUMN()/10000)</f>
        <v>-3.7000000000000002E-3</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1</v>
      </c>
      <c r="T3" s="87"/>
      <c r="U3" s="65"/>
      <c r="V3" s="87">
        <f ca="1">RANK(V4,OFFSET($S$4,0,0,1,$D$5*3),0)</f>
        <v>1</v>
      </c>
      <c r="W3" s="87"/>
      <c r="X3" s="65"/>
      <c r="Y3" s="87">
        <f ca="1">RANK(Y4,OFFSET($S$4,0,0,1,$D$5*3),0)</f>
        <v>1</v>
      </c>
      <c r="Z3" s="87"/>
      <c r="AA3" s="65"/>
      <c r="AB3" s="87">
        <f ca="1">RANK(AB4,OFFSET($S$4,0,0,1,$D$5*3),0)</f>
        <v>1</v>
      </c>
      <c r="AC3" s="87"/>
      <c r="AD3" s="65"/>
      <c r="AE3" s="87">
        <f ca="1">RANK(AE4,OFFSET($S$4,0,0,1,$D$5*3),0)</f>
        <v>1</v>
      </c>
      <c r="AF3" s="87"/>
      <c r="AG3" s="65"/>
      <c r="AH3" s="87">
        <f ca="1">RANK(AH4,OFFSET($S$4,0,0,1,$D$5*3),0)</f>
        <v>1</v>
      </c>
      <c r="AI3" s="87"/>
      <c r="AJ3" s="65"/>
      <c r="AK3" s="87">
        <f ca="1">RANK(AK4,OFFSET($S$4,0,0,1,$D$5*3),0)</f>
        <v>1</v>
      </c>
      <c r="AL3" s="87"/>
      <c r="AM3" s="65"/>
      <c r="AN3" s="87">
        <f ca="1">RANK(AN4,OFFSET($S$4,0,0,1,$D$5*3),0)</f>
        <v>1</v>
      </c>
      <c r="AO3" s="87"/>
      <c r="AP3" s="65"/>
      <c r="AQ3" s="87">
        <f ca="1">RANK(AQ4,OFFSET($S$4,0,0,1,$D$5*3),0)</f>
        <v>1</v>
      </c>
      <c r="AR3" s="87"/>
      <c r="AS3" s="65"/>
      <c r="AT3" s="87">
        <f ca="1">RANK(AT4,OFFSET($S$4,0,0,1,$D$5*3),0)</f>
        <v>1</v>
      </c>
      <c r="AU3" s="87"/>
      <c r="AV3" s="65"/>
      <c r="AW3" s="87">
        <f ca="1">RANK(AW4,OFFSET($S$4,0,0,1,$D$5*3),0)</f>
        <v>1</v>
      </c>
      <c r="AX3" s="87"/>
      <c r="AY3" s="65"/>
      <c r="AZ3" s="87">
        <f ca="1">RANK(AZ4,OFFSET($S$4,0,0,1,$D$5*3),0)</f>
        <v>1</v>
      </c>
      <c r="BA3" s="87"/>
      <c r="BB3" s="65"/>
      <c r="BC3" s="87">
        <f ca="1">RANK(BC4,OFFSET($S$4,0,0,1,$D$5*3),0)</f>
        <v>1</v>
      </c>
      <c r="BD3" s="87"/>
      <c r="BE3" s="65"/>
      <c r="BF3" s="87">
        <f ca="1">RANK(BF4,OFFSET($S$4,0,0,1,$D$5*3),0)</f>
        <v>1</v>
      </c>
      <c r="BG3" s="87"/>
      <c r="BH3" s="65"/>
      <c r="BI3" s="87">
        <f ca="1">RANK(BI4,OFFSET($S$4,0,0,1,$D$5*3),0)</f>
        <v>1</v>
      </c>
      <c r="BJ3" s="87"/>
      <c r="BK3" s="65"/>
      <c r="BL3" s="87">
        <f ca="1">RANK(BL4,OFFSET($S$4,0,0,1,$D$5*3),0)</f>
        <v>1</v>
      </c>
      <c r="BM3" s="87"/>
      <c r="BN3" s="65"/>
      <c r="BO3" s="87">
        <f ca="1">RANK(BO4,OFFSET($S$4,0,0,1,$D$5*3),0)</f>
        <v>1</v>
      </c>
      <c r="BP3" s="87"/>
      <c r="BQ3" s="65"/>
      <c r="BR3" s="87">
        <f ca="1">RANK(BR4,OFFSET($S$4,0,0,1,$D$5*3),0)</f>
        <v>1</v>
      </c>
      <c r="BS3" s="87"/>
      <c r="BT3" s="65"/>
      <c r="BU3" s="87">
        <f ca="1">RANK(BU4,OFFSET($S$4,0,0,1,$D$5*3),0)</f>
        <v>1</v>
      </c>
      <c r="BV3" s="87"/>
      <c r="BW3" s="65"/>
      <c r="BX3" s="87">
        <f ca="1">RANK(BX4,OFFSET($S$4,0,0,1,$D$5*3),0)</f>
        <v>1</v>
      </c>
      <c r="BY3" s="87"/>
      <c r="BZ3" s="65"/>
      <c r="CA3" s="87">
        <f ca="1">RANK(CA4,OFFSET($S$4,0,0,1,$D$5*3),0)</f>
        <v>1</v>
      </c>
      <c r="CB3" s="87"/>
      <c r="CC3" s="65"/>
      <c r="CD3" s="87">
        <f ca="1">RANK(CD4,OFFSET($S$4,0,0,1,$D$5*3),0)</f>
        <v>1</v>
      </c>
      <c r="CE3" s="87"/>
      <c r="CF3" s="65"/>
      <c r="CG3" s="87">
        <f ca="1">RANK(CG4,OFFSET($S$4,0,0,1,$D$5*3),0)</f>
        <v>1</v>
      </c>
      <c r="CH3" s="87"/>
      <c r="CI3" s="65"/>
      <c r="CJ3" s="87">
        <f ca="1">RANK(CJ4,OFFSET($S$4,0,0,1,$D$5*3),0)</f>
        <v>1</v>
      </c>
      <c r="CK3" s="87"/>
      <c r="CL3" s="65"/>
      <c r="CM3" s="87">
        <f ca="1">RANK(CM4,OFFSET($S$4,0,0,1,$D$5*3),0)</f>
        <v>1</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0</v>
      </c>
      <c r="T4" s="68"/>
      <c r="U4" s="65"/>
      <c r="V4" s="67">
        <f ca="1">SUM(W6:W259)/2</f>
        <v>0</v>
      </c>
      <c r="W4" s="68"/>
      <c r="X4" s="65"/>
      <c r="Y4" s="67">
        <f ca="1">SUM(Z6:Z259)/2</f>
        <v>0</v>
      </c>
      <c r="Z4" s="68"/>
      <c r="AA4" s="65"/>
      <c r="AB4" s="67">
        <f ca="1">SUM(AC6:AC259)/2</f>
        <v>0</v>
      </c>
      <c r="AC4" s="68"/>
      <c r="AD4" s="65"/>
      <c r="AE4" s="67">
        <f ca="1">SUM(AF6:AF259)/2</f>
        <v>0</v>
      </c>
      <c r="AF4" s="68"/>
      <c r="AG4" s="65"/>
      <c r="AH4" s="67">
        <f ca="1">SUM(AI6:AI259)/2</f>
        <v>0</v>
      </c>
      <c r="AI4" s="68"/>
      <c r="AJ4" s="65"/>
      <c r="AK4" s="67">
        <f ca="1">SUM(AL6:AL259)/2</f>
        <v>0</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75" thickBot="1">
      <c r="A5" s="49"/>
      <c r="B5" s="49"/>
      <c r="C5" s="51" t="str">
        <f>Idiomas!D299&amp;" -&gt;"</f>
        <v>Selecciona el Nº de Jugadores -&gt;</v>
      </c>
      <c r="D5" s="452">
        <v>25</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1940</v>
      </c>
      <c r="T5" s="70"/>
      <c r="U5" s="65">
        <v>1</v>
      </c>
      <c r="V5" s="69" t="s">
        <v>1991</v>
      </c>
      <c r="W5" s="70"/>
      <c r="X5" s="65">
        <v>2</v>
      </c>
      <c r="Y5" s="69" t="s">
        <v>2034</v>
      </c>
      <c r="Z5" s="70"/>
      <c r="AA5" s="65">
        <v>3</v>
      </c>
      <c r="AB5" s="69" t="s">
        <v>2069</v>
      </c>
      <c r="AC5" s="70"/>
      <c r="AD5" s="65">
        <v>4</v>
      </c>
      <c r="AE5" s="69" t="s">
        <v>2105</v>
      </c>
      <c r="AF5" s="70"/>
      <c r="AG5" s="65">
        <v>5</v>
      </c>
      <c r="AH5" s="69" t="s">
        <v>2142</v>
      </c>
      <c r="AI5" s="70"/>
      <c r="AJ5" s="65">
        <v>6</v>
      </c>
      <c r="AK5" s="69" t="s">
        <v>2168</v>
      </c>
      <c r="AL5" s="70"/>
      <c r="AM5" s="65">
        <v>7</v>
      </c>
      <c r="AN5" s="69" t="s">
        <v>2191</v>
      </c>
      <c r="AO5" s="70"/>
      <c r="AP5" s="65">
        <v>8</v>
      </c>
      <c r="AQ5" s="69" t="s">
        <v>2213</v>
      </c>
      <c r="AR5" s="70"/>
      <c r="AS5" s="65">
        <v>9</v>
      </c>
      <c r="AT5" s="69" t="s">
        <v>2234</v>
      </c>
      <c r="AU5" s="70"/>
      <c r="AV5" s="65">
        <v>10</v>
      </c>
      <c r="AW5" s="69" t="s">
        <v>2250</v>
      </c>
      <c r="AX5" s="70"/>
      <c r="AY5" s="65">
        <v>11</v>
      </c>
      <c r="AZ5" s="69" t="s">
        <v>2280</v>
      </c>
      <c r="BA5" s="70"/>
      <c r="BB5" s="65">
        <v>12</v>
      </c>
      <c r="BC5" s="69" t="s">
        <v>2301</v>
      </c>
      <c r="BD5" s="70"/>
      <c r="BE5" s="65">
        <v>13</v>
      </c>
      <c r="BF5" s="69" t="s">
        <v>2331</v>
      </c>
      <c r="BG5" s="70"/>
      <c r="BH5" s="65">
        <v>14</v>
      </c>
      <c r="BI5" s="69" t="s">
        <v>2382</v>
      </c>
      <c r="BJ5" s="70"/>
      <c r="BK5" s="65">
        <v>15</v>
      </c>
      <c r="BL5" s="69" t="s">
        <v>2383</v>
      </c>
      <c r="BM5" s="70"/>
      <c r="BN5" s="65">
        <v>16</v>
      </c>
      <c r="BO5" s="69" t="s">
        <v>2548</v>
      </c>
      <c r="BP5" s="70"/>
      <c r="BQ5" s="65">
        <v>17</v>
      </c>
      <c r="BR5" s="69" t="s">
        <v>2407</v>
      </c>
      <c r="BS5" s="70"/>
      <c r="BT5" s="65">
        <v>18</v>
      </c>
      <c r="BU5" s="69" t="s">
        <v>2425</v>
      </c>
      <c r="BV5" s="70"/>
      <c r="BW5" s="65">
        <v>19</v>
      </c>
      <c r="BX5" s="69" t="s">
        <v>2454</v>
      </c>
      <c r="BY5" s="70"/>
      <c r="BZ5" s="65">
        <v>20</v>
      </c>
      <c r="CA5" s="69" t="s">
        <v>2455</v>
      </c>
      <c r="CB5" s="70"/>
      <c r="CC5" s="65">
        <v>21</v>
      </c>
      <c r="CD5" s="69" t="s">
        <v>2520</v>
      </c>
      <c r="CE5" s="70"/>
      <c r="CF5" s="65">
        <v>22</v>
      </c>
      <c r="CG5" s="69" t="s">
        <v>2521</v>
      </c>
      <c r="CH5" s="70"/>
      <c r="CI5" s="65">
        <v>23</v>
      </c>
      <c r="CJ5" s="69" t="s">
        <v>2568</v>
      </c>
      <c r="CK5" s="70"/>
      <c r="CL5" s="65">
        <v>24</v>
      </c>
      <c r="CM5" s="69" t="s">
        <v>2586</v>
      </c>
      <c r="CN5" s="70"/>
      <c r="CO5" s="65">
        <v>25</v>
      </c>
      <c r="CP5" s="65"/>
    </row>
    <row r="6" spans="1:94" ht="15.75" thickBot="1">
      <c r="A6" s="49"/>
      <c r="B6" s="49"/>
      <c r="C6" s="669"/>
      <c r="D6" s="49"/>
      <c r="E6" s="111"/>
      <c r="F6" s="445">
        <f>SUM($D$8:$D$10)*I6</f>
        <v>6</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v>
      </c>
      <c r="N6" s="25" t="str">
        <f>IF(OR(WORLDCUP!AC4="",WORLDCUP!AD4=""),"",IF(WORLDCUP!AC4&gt;WORLDCUP!AD4,"1",IF(WORLDCUP!AC4&lt;WORLDCUP!AD4,"2","X")))</f>
        <v/>
      </c>
      <c r="O6" s="25">
        <f>WORLDCUP!AC4</f>
        <v>0</v>
      </c>
      <c r="P6" s="25">
        <f>WORLDCUP!AD4</f>
        <v>0</v>
      </c>
      <c r="Q6" s="25">
        <f>ABS(O6-P6)</f>
        <v>0</v>
      </c>
      <c r="R6" s="49"/>
      <c r="S6" s="72" t="s">
        <v>1941</v>
      </c>
      <c r="T6" s="73">
        <f>IFERROR(IF($M6=S6,($D$8+$D$9+$D$10)*$I6,IF($N6=LEFT(S6,1),($D$8+MAX(0,IF($D$50=1,$D$9*(1-(ABS($Q6-ABS(VALUE(MID(S6,FIND("|",S6)+1,FIND("-",S6)-FIND("|",S6)-1))-VALUE(MID(S6,FIND("-",S6)+1,10)))))*$D$50),$D$9*(1-(IF($N6="X",ABS($O6-VALUE(MID(S6,FIND("|",S6)+1,FIND("-",S6)-FIND("|",S6)-1))),ABS($Q6-ABS(VALUE(MID(S6,FIND("|",S6)+1,FIND("-",S6)-FIND("|",S6)-1))-VALUE(MID(S6,FIND("-",S6)+1,10)))))*$D$50)))))*$I6,0)),0)</f>
        <v>0</v>
      </c>
      <c r="U6" s="111"/>
      <c r="V6" s="72" t="s">
        <v>1950</v>
      </c>
      <c r="W6" s="73">
        <f>IFERROR(IF($M6=V6,($D$8+$D$9+$D$10)*$I6,IF($N6=LEFT(V6,1),($D$8+MAX(0,IF($D$50=1,$D$9*(1-(ABS($Q6-ABS(VALUE(MID(V6,FIND("|",V6)+1,FIND("-",V6)-FIND("|",V6)-1))-VALUE(MID(V6,FIND("-",V6)+1,10)))))*$D$50),$D$9*(1-(IF($N6="X",ABS($O6-VALUE(MID(V6,FIND("|",V6)+1,FIND("-",V6)-FIND("|",V6)-1))),ABS($Q6-ABS(VALUE(MID(V6,FIND("|",V6)+1,FIND("-",V6)-FIND("|",V6)-1))-VALUE(MID(V6,FIND("-",V6)+1,10)))))*$D$50)))))*$I6,0)),0)</f>
        <v>0</v>
      </c>
      <c r="X6" s="111"/>
      <c r="Y6" s="72" t="s">
        <v>1943</v>
      </c>
      <c r="Z6" s="73">
        <f t="shared" ref="Z6" si="24">IFERROR(IF($M6=Y6,($D$8+$D$9+$D$10)*$I6,IF($N6=LEFT(Y6,1),($D$8+MAX(0,IF($D$50=1,$D$9*(1-(ABS($Q6-ABS(VALUE(MID(Y6,FIND("|",Y6)+1,FIND("-",Y6)-FIND("|",Y6)-1))-VALUE(MID(Y6,FIND("-",Y6)+1,10)))))*$D$50),$D$9*(1-(IF($N6="X",ABS($O6-VALUE(MID(Y6,FIND("|",Y6)+1,FIND("-",Y6)-FIND("|",Y6)-1))),ABS($Q6-ABS(VALUE(MID(Y6,FIND("|",Y6)+1,FIND("-",Y6)-FIND("|",Y6)-1))-VALUE(MID(Y6,FIND("-",Y6)+1,10)))))*$D$50)))))*$I6,0)),0)</f>
        <v>0</v>
      </c>
      <c r="AA6" s="111"/>
      <c r="AB6" s="72" t="s">
        <v>1949</v>
      </c>
      <c r="AC6" s="73">
        <f t="shared" ref="AC6" si="25">IFERROR(IF($M6=AB6,($D$8+$D$9+$D$10)*$I6,IF($N6=LEFT(AB6,1),($D$8+MAX(0,IF($D$50=1,$D$9*(1-(ABS($Q6-ABS(VALUE(MID(AB6,FIND("|",AB6)+1,FIND("-",AB6)-FIND("|",AB6)-1))-VALUE(MID(AB6,FIND("-",AB6)+1,10)))))*$D$50),$D$9*(1-(IF($N6="X",ABS($O6-VALUE(MID(AB6,FIND("|",AB6)+1,FIND("-",AB6)-FIND("|",AB6)-1))),ABS($Q6-ABS(VALUE(MID(AB6,FIND("|",AB6)+1,FIND("-",AB6)-FIND("|",AB6)-1))-VALUE(MID(AB6,FIND("-",AB6)+1,10)))))*$D$50)))))*$I6,0)),0)</f>
        <v>0</v>
      </c>
      <c r="AD6" s="111"/>
      <c r="AE6" s="72" t="s">
        <v>1942</v>
      </c>
      <c r="AF6" s="73">
        <f t="shared" ref="AF6" si="26">IFERROR(IF($M6=AE6,($D$8+$D$9+$D$10)*$I6,IF($N6=LEFT(AE6,1),($D$8+MAX(0,IF($D$50=1,$D$9*(1-(ABS($Q6-ABS(VALUE(MID(AE6,FIND("|",AE6)+1,FIND("-",AE6)-FIND("|",AE6)-1))-VALUE(MID(AE6,FIND("-",AE6)+1,10)))))*$D$50),$D$9*(1-(IF($N6="X",ABS($O6-VALUE(MID(AE6,FIND("|",AE6)+1,FIND("-",AE6)-FIND("|",AE6)-1))),ABS($Q6-ABS(VALUE(MID(AE6,FIND("|",AE6)+1,FIND("-",AE6)-FIND("|",AE6)-1))-VALUE(MID(AE6,FIND("-",AE6)+1,10)))))*$D$50)))))*$I6,0)),0)</f>
        <v>0</v>
      </c>
      <c r="AG6" s="111"/>
      <c r="AH6" s="72" t="s">
        <v>1948</v>
      </c>
      <c r="AI6" s="73">
        <f t="shared" ref="AI6" si="27">IFERROR(IF($M6=AH6,($D$8+$D$9+$D$10)*$I6,IF($N6=LEFT(AH6,1),($D$8+MAX(0,IF($D$50=1,$D$9*(1-(ABS($Q6-ABS(VALUE(MID(AH6,FIND("|",AH6)+1,FIND("-",AH6)-FIND("|",AH6)-1))-VALUE(MID(AH6,FIND("-",AH6)+1,10)))))*$D$50),$D$9*(1-(IF($N6="X",ABS($O6-VALUE(MID(AH6,FIND("|",AH6)+1,FIND("-",AH6)-FIND("|",AH6)-1))),ABS($Q6-ABS(VALUE(MID(AH6,FIND("|",AH6)+1,FIND("-",AH6)-FIND("|",AH6)-1))-VALUE(MID(AH6,FIND("-",AH6)+1,10)))))*$D$50)))))*$I6,0)),0)</f>
        <v>0</v>
      </c>
      <c r="AJ6" s="111"/>
      <c r="AK6" s="72" t="s">
        <v>1941</v>
      </c>
      <c r="AL6" s="73">
        <f t="shared" ref="AL6" si="28">IFERROR(IF($M6=AK6,($D$8+$D$9+$D$10)*$I6,IF($N6=LEFT(AK6,1),($D$8+MAX(0,IF($D$50=1,$D$9*(1-(ABS($Q6-ABS(VALUE(MID(AK6,FIND("|",AK6)+1,FIND("-",AK6)-FIND("|",AK6)-1))-VALUE(MID(AK6,FIND("-",AK6)+1,10)))))*$D$50),$D$9*(1-(IF($N6="X",ABS($O6-VALUE(MID(AK6,FIND("|",AK6)+1,FIND("-",AK6)-FIND("|",AK6)-1))),ABS($Q6-ABS(VALUE(MID(AK6,FIND("|",AK6)+1,FIND("-",AK6)-FIND("|",AK6)-1))-VALUE(MID(AK6,FIND("-",AK6)+1,10)))))*$D$50)))))*$I6,0)),0)</f>
        <v>0</v>
      </c>
      <c r="AM6" s="111"/>
      <c r="AN6" s="72" t="s">
        <v>1948</v>
      </c>
      <c r="AO6" s="73">
        <f t="shared" ref="AO6" si="29">IFERROR(IF($M6=AN6,($D$8+$D$9+$D$10)*$I6,IF($N6=LEFT(AN6,1),($D$8+MAX(0,IF($D$50=1,$D$9*(1-(ABS($Q6-ABS(VALUE(MID(AN6,FIND("|",AN6)+1,FIND("-",AN6)-FIND("|",AN6)-1))-VALUE(MID(AN6,FIND("-",AN6)+1,10)))))*$D$50),$D$9*(1-(IF($N6="X",ABS($O6-VALUE(MID(AN6,FIND("|",AN6)+1,FIND("-",AN6)-FIND("|",AN6)-1))),ABS($Q6-ABS(VALUE(MID(AN6,FIND("|",AN6)+1,FIND("-",AN6)-FIND("|",AN6)-1))-VALUE(MID(AN6,FIND("-",AN6)+1,10)))))*$D$50)))))*$I6,0)),0)</f>
        <v>0</v>
      </c>
      <c r="AP6" s="111"/>
      <c r="AQ6" s="72" t="s">
        <v>1941</v>
      </c>
      <c r="AR6" s="73">
        <f t="shared" ref="AR6" si="30">IFERROR(IF($M6=AQ6,($D$8+$D$9+$D$10)*$I6,IF($N6=LEFT(AQ6,1),($D$8+MAX(0,IF($D$50=1,$D$9*(1-(ABS($Q6-ABS(VALUE(MID(AQ6,FIND("|",AQ6)+1,FIND("-",AQ6)-FIND("|",AQ6)-1))-VALUE(MID(AQ6,FIND("-",AQ6)+1,10)))))*$D$50),$D$9*(1-(IF($N6="X",ABS($O6-VALUE(MID(AQ6,FIND("|",AQ6)+1,FIND("-",AQ6)-FIND("|",AQ6)-1))),ABS($Q6-ABS(VALUE(MID(AQ6,FIND("|",AQ6)+1,FIND("-",AQ6)-FIND("|",AQ6)-1))-VALUE(MID(AQ6,FIND("-",AQ6)+1,10)))))*$D$50)))))*$I6,0)),0)</f>
        <v>0</v>
      </c>
      <c r="AS6" s="111"/>
      <c r="AT6" s="72" t="s">
        <v>1941</v>
      </c>
      <c r="AU6" s="73">
        <f t="shared" ref="AU6" si="31">IFERROR(IF($M6=AT6,($D$8+$D$9+$D$10)*$I6,IF($N6=LEFT(AT6,1),($D$8+MAX(0,IF($D$50=1,$D$9*(1-(ABS($Q6-ABS(VALUE(MID(AT6,FIND("|",AT6)+1,FIND("-",AT6)-FIND("|",AT6)-1))-VALUE(MID(AT6,FIND("-",AT6)+1,10)))))*$D$50),$D$9*(1-(IF($N6="X",ABS($O6-VALUE(MID(AT6,FIND("|",AT6)+1,FIND("-",AT6)-FIND("|",AT6)-1))),ABS($Q6-ABS(VALUE(MID(AT6,FIND("|",AT6)+1,FIND("-",AT6)-FIND("|",AT6)-1))-VALUE(MID(AT6,FIND("-",AT6)+1,10)))))*$D$50)))))*$I6,0)),0)</f>
        <v>0</v>
      </c>
      <c r="AV6" s="111"/>
      <c r="AW6" s="72" t="s">
        <v>1942</v>
      </c>
      <c r="AX6" s="73">
        <f t="shared" ref="AX6" si="32">IFERROR(IF($M6=AW6,($D$8+$D$9+$D$10)*$I6,IF($N6=LEFT(AW6,1),($D$8+MAX(0,IF($D$50=1,$D$9*(1-(ABS($Q6-ABS(VALUE(MID(AW6,FIND("|",AW6)+1,FIND("-",AW6)-FIND("|",AW6)-1))-VALUE(MID(AW6,FIND("-",AW6)+1,10)))))*$D$50),$D$9*(1-(IF($N6="X",ABS($O6-VALUE(MID(AW6,FIND("|",AW6)+1,FIND("-",AW6)-FIND("|",AW6)-1))),ABS($Q6-ABS(VALUE(MID(AW6,FIND("|",AW6)+1,FIND("-",AW6)-FIND("|",AW6)-1))-VALUE(MID(AW6,FIND("-",AW6)+1,10)))))*$D$50)))))*$I6,0)),0)</f>
        <v>0</v>
      </c>
      <c r="AY6" s="111"/>
      <c r="AZ6" s="72" t="s">
        <v>1948</v>
      </c>
      <c r="BA6" s="73">
        <f t="shared" ref="BA6" si="33">IFERROR(IF($M6=AZ6,($D$8+$D$9+$D$10)*$I6,IF($N6=LEFT(AZ6,1),($D$8+MAX(0,IF($D$50=1,$D$9*(1-(ABS($Q6-ABS(VALUE(MID(AZ6,FIND("|",AZ6)+1,FIND("-",AZ6)-FIND("|",AZ6)-1))-VALUE(MID(AZ6,FIND("-",AZ6)+1,10)))))*$D$50),$D$9*(1-(IF($N6="X",ABS($O6-VALUE(MID(AZ6,FIND("|",AZ6)+1,FIND("-",AZ6)-FIND("|",AZ6)-1))),ABS($Q6-ABS(VALUE(MID(AZ6,FIND("|",AZ6)+1,FIND("-",AZ6)-FIND("|",AZ6)-1))-VALUE(MID(AZ6,FIND("-",AZ6)+1,10)))))*$D$50)))))*$I6,0)),0)</f>
        <v>0</v>
      </c>
      <c r="BB6" s="111"/>
      <c r="BC6" s="72" t="s">
        <v>1941</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
        <v>1948</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
        <v>1941</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
        <v>1942</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
        <v>1943</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
        <v>1941</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
        <v>1941</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
        <v>1948</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
        <v>1941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
        <v>1950</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
        <v>1993</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
        <v>1943</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
        <v>1941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Regla* (Click para ver la explicación)</v>
      </c>
      <c r="D7" s="54" t="str">
        <f>Idiomas!D303</f>
        <v>Puntos</v>
      </c>
      <c r="E7" s="111"/>
      <c r="F7" s="445">
        <f t="shared" ref="F7:F70" si="47">SUM($D$8:$D$10)*I7</f>
        <v>6</v>
      </c>
      <c r="G7" s="445">
        <f ca="1">VLOOKUP(H7,Equipos!$Q$1:$R$25,2,0)</f>
        <v>1</v>
      </c>
      <c r="H7" s="446">
        <f ca="1">TRUNC(INDEX(WORLDCUP!$X$4:$X$147,MATCH(ADMIN!K7,WORLDCUP!$DT$4:$DT$147,0))+INDEX(Horarios!$R$3:$R$86,MATCH(Horarios!$C$3,Horarios!$P$3:$P$86,0))/24)</f>
        <v>46184</v>
      </c>
      <c r="I7" s="48">
        <v>1</v>
      </c>
      <c r="J7" s="95" t="s">
        <v>112</v>
      </c>
      <c r="K7" s="53" t="str">
        <f ca="1">CONCATENATE(WORLDCUP!AA5,"-",WORLDCUP!AF5)</f>
        <v>Corea del Sur-República Checa</v>
      </c>
      <c r="L7" s="53"/>
      <c r="M7" s="55" t="str">
        <f>IF(OR(WORLDCUP!AC5="",WORLDCUP!AD5=""),"-",N7&amp;"|"&amp;O7&amp;"-"&amp;P7)</f>
        <v>-</v>
      </c>
      <c r="N7" s="25" t="str">
        <f>IF(OR(WORLDCUP!AC5="",WORLDCUP!AD5=""),"",IF(WORLDCUP!AC5&gt;WORLDCUP!AD5,"1",IF(WORLDCUP!AC5&lt;WORLDCUP!AD5,"2","X")))</f>
        <v/>
      </c>
      <c r="O7" s="25">
        <f>WORLDCUP!AC5</f>
        <v>0</v>
      </c>
      <c r="P7" s="25">
        <f>WORLDCUP!AD5</f>
        <v>0</v>
      </c>
      <c r="Q7" s="25">
        <f>ABS(O7-P7)</f>
        <v>0</v>
      </c>
      <c r="R7" s="49"/>
      <c r="S7" s="72" t="s">
        <v>1942</v>
      </c>
      <c r="T7" s="73">
        <f t="shared" ref="T7:T70" si="48">IFERROR(IF($M7=S7,($D$8+$D$9+$D$10)*$I7,IF($N7=LEFT(S7,1),($D$8+MAX(0,IF($D$50=1,$D$9*(1-(ABS($Q7-ABS(VALUE(MID(S7,FIND("|",S7)+1,FIND("-",S7)-FIND("|",S7)-1))-VALUE(MID(S7,FIND("-",S7)+1,10)))))*$D$50),$D$9*(1-(IF($N7="X",ABS($O7-VALUE(MID(S7,FIND("|",S7)+1,FIND("-",S7)-FIND("|",S7)-1))),ABS($Q7-ABS(VALUE(MID(S7,FIND("|",S7)+1,FIND("-",S7)-FIND("|",S7)-1))-VALUE(MID(S7,FIND("-",S7)+1,10)))))*$D$50)))))*$I7,0)),0)</f>
        <v>0</v>
      </c>
      <c r="U7" s="111"/>
      <c r="V7" s="72" t="s">
        <v>1942</v>
      </c>
      <c r="W7" s="73">
        <f t="shared" ref="W7:W41" si="49">IFERROR(IF($M7=V7,($D$8+$D$9+$D$10)*$I7,IF($N7=LEFT(V7,1),($D$8+MAX(0,IF($D$50=1,$D$9*(1-(ABS($Q7-ABS(VALUE(MID(V7,FIND("|",V7)+1,FIND("-",V7)-FIND("|",V7)-1))-VALUE(MID(V7,FIND("-",V7)+1,10)))))*$D$50),$D$9*(1-(IF($N7="X",ABS($O7-VALUE(MID(V7,FIND("|",V7)+1,FIND("-",V7)-FIND("|",V7)-1))),ABS($Q7-ABS(VALUE(MID(V7,FIND("|",V7)+1,FIND("-",V7)-FIND("|",V7)-1))-VALUE(MID(V7,FIND("-",V7)+1,10)))))*$D$50)))))*$I7,0)),0)</f>
        <v>0</v>
      </c>
      <c r="X7" s="111"/>
      <c r="Y7" s="72" t="s">
        <v>1943</v>
      </c>
      <c r="Z7" s="73">
        <f t="shared" ref="Z7:CH18" si="50">IFERROR(IF($M7=Y7,($D$8+$D$9+$D$10)*$I7,IF($N7=LEFT(Y7,1),($D$8+MAX(0,IF($D$50=1,$D$9*(1-(ABS($Q7-ABS(VALUE(MID(Y7,FIND("|",Y7)+1,FIND("-",Y7)-FIND("|",Y7)-1))-VALUE(MID(Y7,FIND("-",Y7)+1,10)))))*$D$50),$D$9*(1-(IF($N7="X",ABS($O7-VALUE(MID(Y7,FIND("|",Y7)+1,FIND("-",Y7)-FIND("|",Y7)-1))),ABS($Q7-ABS(VALUE(MID(Y7,FIND("|",Y7)+1,FIND("-",Y7)-FIND("|",Y7)-1))-VALUE(MID(Y7,FIND("-",Y7)+1,10)))))*$D$50)))))*$I7,0)),0)</f>
        <v>0</v>
      </c>
      <c r="AA7" s="111"/>
      <c r="AB7" s="72" t="s">
        <v>1942</v>
      </c>
      <c r="AC7" s="73">
        <f t="shared" si="50"/>
        <v>0</v>
      </c>
      <c r="AD7" s="111"/>
      <c r="AE7" s="72" t="s">
        <v>1942</v>
      </c>
      <c r="AF7" s="73">
        <f t="shared" si="50"/>
        <v>0</v>
      </c>
      <c r="AG7" s="111"/>
      <c r="AH7" s="72" t="s">
        <v>1954</v>
      </c>
      <c r="AI7" s="73">
        <f t="shared" si="50"/>
        <v>0</v>
      </c>
      <c r="AJ7" s="111"/>
      <c r="AK7" s="72" t="s">
        <v>1942</v>
      </c>
      <c r="AL7" s="73">
        <f t="shared" si="50"/>
        <v>0</v>
      </c>
      <c r="AM7" s="111"/>
      <c r="AN7" s="72" t="s">
        <v>1948</v>
      </c>
      <c r="AO7" s="73">
        <f t="shared" si="50"/>
        <v>0</v>
      </c>
      <c r="AP7" s="111"/>
      <c r="AQ7" s="72" t="s">
        <v>1944</v>
      </c>
      <c r="AR7" s="73">
        <f t="shared" si="50"/>
        <v>0</v>
      </c>
      <c r="AS7" s="111"/>
      <c r="AT7" s="72" t="s">
        <v>1942</v>
      </c>
      <c r="AU7" s="73">
        <f t="shared" si="50"/>
        <v>0</v>
      </c>
      <c r="AV7" s="111"/>
      <c r="AW7" s="72" t="s">
        <v>1945</v>
      </c>
      <c r="AX7" s="73">
        <f t="shared" si="50"/>
        <v>0</v>
      </c>
      <c r="AY7" s="111"/>
      <c r="AZ7" s="72" t="s">
        <v>1943</v>
      </c>
      <c r="BA7" s="73">
        <f t="shared" si="50"/>
        <v>0</v>
      </c>
      <c r="BB7" s="111"/>
      <c r="BC7" s="72" t="s">
        <v>1954</v>
      </c>
      <c r="BD7" s="73">
        <f t="shared" si="50"/>
        <v>0</v>
      </c>
      <c r="BE7" s="111"/>
      <c r="BF7" s="72" t="s">
        <v>1941</v>
      </c>
      <c r="BG7" s="73">
        <f t="shared" si="50"/>
        <v>0</v>
      </c>
      <c r="BH7" s="111"/>
      <c r="BI7" s="72" t="s">
        <v>1943</v>
      </c>
      <c r="BJ7" s="73">
        <f t="shared" si="50"/>
        <v>0</v>
      </c>
      <c r="BK7" s="111"/>
      <c r="BL7" s="72" t="s">
        <v>1941</v>
      </c>
      <c r="BM7" s="73">
        <f t="shared" si="50"/>
        <v>0</v>
      </c>
      <c r="BN7" s="111"/>
      <c r="BO7" s="72" t="s">
        <v>1948</v>
      </c>
      <c r="BP7" s="73">
        <f t="shared" si="50"/>
        <v>0</v>
      </c>
      <c r="BQ7" s="111"/>
      <c r="BR7" s="72" t="s">
        <v>1942</v>
      </c>
      <c r="BS7" s="73">
        <f t="shared" si="50"/>
        <v>0</v>
      </c>
      <c r="BT7" s="111"/>
      <c r="BU7" s="72" t="s">
        <v>1954</v>
      </c>
      <c r="BV7" s="73">
        <f t="shared" si="50"/>
        <v>0</v>
      </c>
      <c r="BW7" s="111"/>
      <c r="BX7" s="72" t="s">
        <v>1995</v>
      </c>
      <c r="BY7" s="73">
        <f t="shared" si="50"/>
        <v>0</v>
      </c>
      <c r="BZ7" s="111"/>
      <c r="CA7" s="72" t="s">
        <v>1942</v>
      </c>
      <c r="CB7" s="73">
        <f t="shared" si="50"/>
        <v>0</v>
      </c>
      <c r="CC7" s="111"/>
      <c r="CD7" s="72" t="s">
        <v>1942</v>
      </c>
      <c r="CE7" s="73">
        <f t="shared" si="50"/>
        <v>0</v>
      </c>
      <c r="CF7" s="111"/>
      <c r="CG7" s="72" t="s">
        <v>1950</v>
      </c>
      <c r="CH7" s="73">
        <f t="shared" si="50"/>
        <v>0</v>
      </c>
      <c r="CI7" s="111"/>
      <c r="CJ7" s="72" t="s">
        <v>1942</v>
      </c>
      <c r="CK7" s="73">
        <f t="shared" si="45"/>
        <v>0</v>
      </c>
      <c r="CL7" s="111"/>
      <c r="CM7" s="72" t="s">
        <v>1942</v>
      </c>
      <c r="CN7" s="73">
        <f t="shared" si="45"/>
        <v>0</v>
      </c>
      <c r="CO7" s="111"/>
      <c r="CP7" s="111"/>
    </row>
    <row r="8" spans="1:94">
      <c r="A8" s="49"/>
      <c r="B8" s="49"/>
      <c r="C8" s="437" t="str">
        <f>Idiomas!D304</f>
        <v>FASE DE GRUPOS - Signo 1X2 (local, empate, visitante)</v>
      </c>
      <c r="D8" s="62">
        <v>2</v>
      </c>
      <c r="E8" s="111"/>
      <c r="F8" s="445">
        <f t="shared" si="47"/>
        <v>6</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v>
      </c>
      <c r="N8" s="25" t="str">
        <f>IF(OR(WORLDCUP!AC12="",WORLDCUP!AD12=""),"",IF(WORLDCUP!AC12&gt;WORLDCUP!AD12,"1",IF(WORLDCUP!AC12&lt;WORLDCUP!AD12,"2","X")))</f>
        <v/>
      </c>
      <c r="O8" s="25">
        <f>WORLDCUP!AC12</f>
        <v>0</v>
      </c>
      <c r="P8" s="25">
        <f>WORLDCUP!AD12</f>
        <v>0</v>
      </c>
      <c r="Q8" s="25">
        <f t="shared" ref="Q8:Q70" si="51">ABS(O8-P8)</f>
        <v>0</v>
      </c>
      <c r="R8" s="49"/>
      <c r="S8" s="74" t="s">
        <v>1943</v>
      </c>
      <c r="T8" s="73">
        <f t="shared" si="48"/>
        <v>0</v>
      </c>
      <c r="U8" s="65"/>
      <c r="V8" s="74" t="s">
        <v>1943</v>
      </c>
      <c r="W8" s="73">
        <f t="shared" si="49"/>
        <v>0</v>
      </c>
      <c r="X8" s="65"/>
      <c r="Y8" s="74" t="s">
        <v>1943</v>
      </c>
      <c r="Z8" s="73">
        <f t="shared" si="50"/>
        <v>0</v>
      </c>
      <c r="AA8" s="65"/>
      <c r="AB8" s="74" t="s">
        <v>1948</v>
      </c>
      <c r="AC8" s="73">
        <f t="shared" si="50"/>
        <v>0</v>
      </c>
      <c r="AD8" s="65"/>
      <c r="AE8" s="74" t="s">
        <v>1943</v>
      </c>
      <c r="AF8" s="73">
        <f t="shared" si="50"/>
        <v>0</v>
      </c>
      <c r="AG8" s="65"/>
      <c r="AH8" s="74" t="s">
        <v>1941</v>
      </c>
      <c r="AI8" s="73">
        <f t="shared" si="50"/>
        <v>0</v>
      </c>
      <c r="AJ8" s="65"/>
      <c r="AK8" s="74" t="s">
        <v>1943</v>
      </c>
      <c r="AL8" s="73">
        <f t="shared" si="50"/>
        <v>0</v>
      </c>
      <c r="AM8" s="65"/>
      <c r="AN8" s="74" t="s">
        <v>1954</v>
      </c>
      <c r="AO8" s="73">
        <f t="shared" si="50"/>
        <v>0</v>
      </c>
      <c r="AP8" s="65"/>
      <c r="AQ8" s="74" t="s">
        <v>1942</v>
      </c>
      <c r="AR8" s="73">
        <f t="shared" si="50"/>
        <v>0</v>
      </c>
      <c r="AS8" s="65"/>
      <c r="AT8" s="74" t="s">
        <v>1943</v>
      </c>
      <c r="AU8" s="73">
        <f t="shared" si="50"/>
        <v>0</v>
      </c>
      <c r="AV8" s="65"/>
      <c r="AW8" s="74" t="s">
        <v>1943</v>
      </c>
      <c r="AX8" s="73">
        <f t="shared" si="50"/>
        <v>0</v>
      </c>
      <c r="AY8" s="65"/>
      <c r="AZ8" s="74" t="s">
        <v>1954</v>
      </c>
      <c r="BA8" s="73">
        <f t="shared" si="50"/>
        <v>0</v>
      </c>
      <c r="BB8" s="65"/>
      <c r="BC8" s="74" t="s">
        <v>1944</v>
      </c>
      <c r="BD8" s="73">
        <f t="shared" si="50"/>
        <v>0</v>
      </c>
      <c r="BE8" s="65"/>
      <c r="BF8" s="74" t="s">
        <v>1948</v>
      </c>
      <c r="BG8" s="73">
        <f t="shared" si="50"/>
        <v>0</v>
      </c>
      <c r="BH8" s="65"/>
      <c r="BI8" s="74" t="s">
        <v>1942</v>
      </c>
      <c r="BJ8" s="73">
        <f t="shared" si="50"/>
        <v>0</v>
      </c>
      <c r="BK8" s="65"/>
      <c r="BL8" s="74" t="s">
        <v>1942</v>
      </c>
      <c r="BM8" s="73">
        <f t="shared" si="50"/>
        <v>0</v>
      </c>
      <c r="BN8" s="65"/>
      <c r="BO8" s="74" t="s">
        <v>1941</v>
      </c>
      <c r="BP8" s="73">
        <f t="shared" si="50"/>
        <v>0</v>
      </c>
      <c r="BQ8" s="65"/>
      <c r="BR8" s="74" t="s">
        <v>1948</v>
      </c>
      <c r="BS8" s="73">
        <f t="shared" si="50"/>
        <v>0</v>
      </c>
      <c r="BT8" s="65"/>
      <c r="BU8" s="74" t="s">
        <v>1942</v>
      </c>
      <c r="BV8" s="73">
        <f t="shared" si="50"/>
        <v>0</v>
      </c>
      <c r="BW8" s="65"/>
      <c r="BX8" s="74" t="s">
        <v>1941</v>
      </c>
      <c r="BY8" s="73">
        <f t="shared" si="50"/>
        <v>0</v>
      </c>
      <c r="BZ8" s="65"/>
      <c r="CA8" s="74" t="s">
        <v>1941</v>
      </c>
      <c r="CB8" s="73">
        <f t="shared" si="50"/>
        <v>0</v>
      </c>
      <c r="CC8" s="65"/>
      <c r="CD8" s="74" t="s">
        <v>1942</v>
      </c>
      <c r="CE8" s="73">
        <f t="shared" si="50"/>
        <v>0</v>
      </c>
      <c r="CF8" s="65"/>
      <c r="CG8" s="74" t="s">
        <v>1941</v>
      </c>
      <c r="CH8" s="73">
        <f t="shared" si="50"/>
        <v>0</v>
      </c>
      <c r="CI8" s="65"/>
      <c r="CJ8" s="74" t="s">
        <v>1942</v>
      </c>
      <c r="CK8" s="73">
        <f t="shared" si="45"/>
        <v>0</v>
      </c>
      <c r="CL8" s="65"/>
      <c r="CM8" s="74" t="s">
        <v>1948</v>
      </c>
      <c r="CN8" s="73">
        <f t="shared" si="45"/>
        <v>0</v>
      </c>
      <c r="CO8" s="65"/>
      <c r="CP8" s="65"/>
    </row>
    <row r="9" spans="1:94">
      <c r="A9" s="49"/>
      <c r="B9" s="49"/>
      <c r="C9" s="438" t="str">
        <f>Idiomas!D305&amp;"**"</f>
        <v>FASE DE GRUPOS - Diferencia/Distancia de goles (Con 1X2 acertado)**</v>
      </c>
      <c r="D9" s="44">
        <v>0</v>
      </c>
      <c r="E9" s="111"/>
      <c r="F9" s="445">
        <f t="shared" si="47"/>
        <v>6</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v>
      </c>
      <c r="N9" s="25" t="str">
        <f>IF(OR(WORLDCUP!AC13="",WORLDCUP!AD13=""),"",IF(WORLDCUP!AC13&gt;WORLDCUP!AD13,"1",IF(WORLDCUP!AC13&lt;WORLDCUP!AD13,"2","X")))</f>
        <v/>
      </c>
      <c r="O9" s="25">
        <f>WORLDCUP!AC13</f>
        <v>0</v>
      </c>
      <c r="P9" s="25">
        <f>WORLDCUP!AD13</f>
        <v>0</v>
      </c>
      <c r="Q9" s="25">
        <f t="shared" si="51"/>
        <v>0</v>
      </c>
      <c r="R9" s="49"/>
      <c r="S9" s="75" t="s">
        <v>1944</v>
      </c>
      <c r="T9" s="73">
        <f t="shared" si="48"/>
        <v>0</v>
      </c>
      <c r="U9" s="65"/>
      <c r="V9" s="75" t="s">
        <v>1947</v>
      </c>
      <c r="W9" s="73">
        <f t="shared" si="49"/>
        <v>0</v>
      </c>
      <c r="X9" s="65"/>
      <c r="Y9" s="75" t="s">
        <v>1945</v>
      </c>
      <c r="Z9" s="73">
        <f t="shared" si="50"/>
        <v>0</v>
      </c>
      <c r="AA9" s="65"/>
      <c r="AB9" s="75" t="s">
        <v>1944</v>
      </c>
      <c r="AC9" s="73">
        <f t="shared" si="50"/>
        <v>0</v>
      </c>
      <c r="AD9" s="65"/>
      <c r="AE9" s="75" t="s">
        <v>1945</v>
      </c>
      <c r="AF9" s="73">
        <f t="shared" si="50"/>
        <v>0</v>
      </c>
      <c r="AG9" s="65"/>
      <c r="AH9" s="75" t="s">
        <v>1954</v>
      </c>
      <c r="AI9" s="73">
        <f t="shared" si="50"/>
        <v>0</v>
      </c>
      <c r="AJ9" s="65"/>
      <c r="AK9" s="75" t="s">
        <v>1945</v>
      </c>
      <c r="AL9" s="73">
        <f t="shared" si="50"/>
        <v>0</v>
      </c>
      <c r="AM9" s="65"/>
      <c r="AN9" s="75" t="s">
        <v>1953</v>
      </c>
      <c r="AO9" s="73">
        <f t="shared" si="50"/>
        <v>0</v>
      </c>
      <c r="AP9" s="65"/>
      <c r="AQ9" s="75" t="s">
        <v>1945</v>
      </c>
      <c r="AR9" s="73">
        <f t="shared" si="50"/>
        <v>0</v>
      </c>
      <c r="AS9" s="65"/>
      <c r="AT9" s="75" t="s">
        <v>1945</v>
      </c>
      <c r="AU9" s="73">
        <f t="shared" si="50"/>
        <v>0</v>
      </c>
      <c r="AV9" s="65"/>
      <c r="AW9" s="75" t="s">
        <v>1945</v>
      </c>
      <c r="AX9" s="73">
        <f t="shared" si="50"/>
        <v>0</v>
      </c>
      <c r="AY9" s="65"/>
      <c r="AZ9" s="75" t="s">
        <v>1942</v>
      </c>
      <c r="BA9" s="73">
        <f t="shared" si="50"/>
        <v>0</v>
      </c>
      <c r="BB9" s="65"/>
      <c r="BC9" s="75" t="s">
        <v>1945</v>
      </c>
      <c r="BD9" s="73">
        <f t="shared" si="50"/>
        <v>0</v>
      </c>
      <c r="BE9" s="65"/>
      <c r="BF9" s="75" t="s">
        <v>1953</v>
      </c>
      <c r="BG9" s="73">
        <f t="shared" si="50"/>
        <v>0</v>
      </c>
      <c r="BH9" s="65"/>
      <c r="BI9" s="75" t="s">
        <v>1953</v>
      </c>
      <c r="BJ9" s="73">
        <f t="shared" si="50"/>
        <v>0</v>
      </c>
      <c r="BK9" s="65"/>
      <c r="BL9" s="75" t="s">
        <v>1945</v>
      </c>
      <c r="BM9" s="73">
        <f t="shared" si="50"/>
        <v>0</v>
      </c>
      <c r="BN9" s="65"/>
      <c r="BO9" s="75" t="s">
        <v>1942</v>
      </c>
      <c r="BP9" s="73">
        <f t="shared" si="50"/>
        <v>0</v>
      </c>
      <c r="BQ9" s="65"/>
      <c r="BR9" s="75" t="s">
        <v>1953</v>
      </c>
      <c r="BS9" s="73">
        <f t="shared" si="50"/>
        <v>0</v>
      </c>
      <c r="BT9" s="65"/>
      <c r="BU9" s="75" t="s">
        <v>1952</v>
      </c>
      <c r="BV9" s="73">
        <f t="shared" si="50"/>
        <v>0</v>
      </c>
      <c r="BW9" s="65"/>
      <c r="BX9" s="75" t="s">
        <v>1952</v>
      </c>
      <c r="BY9" s="73">
        <f t="shared" si="50"/>
        <v>0</v>
      </c>
      <c r="BZ9" s="65"/>
      <c r="CA9" s="75" t="s">
        <v>1942</v>
      </c>
      <c r="CB9" s="73">
        <f t="shared" si="50"/>
        <v>0</v>
      </c>
      <c r="CC9" s="65"/>
      <c r="CD9" s="75" t="s">
        <v>1952</v>
      </c>
      <c r="CE9" s="73">
        <f t="shared" si="50"/>
        <v>0</v>
      </c>
      <c r="CF9" s="65"/>
      <c r="CG9" s="75" t="s">
        <v>1954</v>
      </c>
      <c r="CH9" s="73">
        <f t="shared" si="50"/>
        <v>0</v>
      </c>
      <c r="CI9" s="65"/>
      <c r="CJ9" s="75" t="s">
        <v>1945</v>
      </c>
      <c r="CK9" s="73">
        <f t="shared" si="45"/>
        <v>0</v>
      </c>
      <c r="CL9" s="65"/>
      <c r="CM9" s="75" t="s">
        <v>1945</v>
      </c>
      <c r="CN9" s="73">
        <f t="shared" si="45"/>
        <v>0</v>
      </c>
      <c r="CO9" s="65"/>
      <c r="CP9" s="65"/>
    </row>
    <row r="10" spans="1:94">
      <c r="A10" s="49"/>
      <c r="B10" s="49"/>
      <c r="C10" s="437" t="str">
        <f>Idiomas!D306</f>
        <v>FASE DE GRUPOS - Resultado exacto</v>
      </c>
      <c r="D10" s="62">
        <v>4</v>
      </c>
      <c r="E10" s="111"/>
      <c r="F10" s="445">
        <f t="shared" si="47"/>
        <v>6</v>
      </c>
      <c r="G10" s="445">
        <f ca="1">VLOOKUP(H10,Equipos!$Q$1:$R$25,2,0)</f>
        <v>3</v>
      </c>
      <c r="H10" s="446">
        <f ca="1">TRUNC(INDEX(WORLDCUP!$X$4:$X$147,MATCH(ADMIN!K10,WORLDCUP!$DT$4:$DT$147,0))+INDEX(Horarios!$R$3:$R$86,MATCH(Horarios!$C$3,Horarios!$P$3:$P$86,0))/24)</f>
        <v>46186</v>
      </c>
      <c r="I10" s="48">
        <v>1</v>
      </c>
      <c r="J10" s="95" t="s">
        <v>114</v>
      </c>
      <c r="K10" s="56" t="str">
        <f ca="1">CONCATENATE(WORLDCUP!AA20,"-",WORLDCUP!AF20)</f>
        <v>Brasil-Marruecos</v>
      </c>
      <c r="L10" s="53"/>
      <c r="M10" s="55" t="str">
        <f>IF(OR(WORLDCUP!AC20="",WORLDCUP!AD20=""),"-",N10&amp;"|"&amp;O10&amp;"-"&amp;P10)</f>
        <v>-</v>
      </c>
      <c r="N10" s="25" t="str">
        <f>IF(OR(WORLDCUP!AC20="",WORLDCUP!AD20=""),"",IF(WORLDCUP!AC20&gt;WORLDCUP!AD20,"1",IF(WORLDCUP!AC20&lt;WORLDCUP!AD20,"2","X")))</f>
        <v/>
      </c>
      <c r="O10" s="25">
        <f>WORLDCUP!AC20</f>
        <v>0</v>
      </c>
      <c r="P10" s="25">
        <f>WORLDCUP!AD20</f>
        <v>0</v>
      </c>
      <c r="Q10" s="25">
        <f t="shared" si="51"/>
        <v>0</v>
      </c>
      <c r="R10" s="49"/>
      <c r="S10" s="74" t="s">
        <v>1943</v>
      </c>
      <c r="T10" s="73">
        <f t="shared" si="48"/>
        <v>0</v>
      </c>
      <c r="U10" s="65"/>
      <c r="V10" s="74" t="s">
        <v>1947</v>
      </c>
      <c r="W10" s="73">
        <f t="shared" si="49"/>
        <v>0</v>
      </c>
      <c r="X10" s="65"/>
      <c r="Y10" s="74" t="s">
        <v>1942</v>
      </c>
      <c r="Z10" s="73">
        <f t="shared" si="50"/>
        <v>0</v>
      </c>
      <c r="AA10" s="65"/>
      <c r="AB10" s="74" t="s">
        <v>1950</v>
      </c>
      <c r="AC10" s="73">
        <f t="shared" si="50"/>
        <v>0</v>
      </c>
      <c r="AD10" s="65"/>
      <c r="AE10" s="74" t="s">
        <v>1948</v>
      </c>
      <c r="AF10" s="73">
        <f t="shared" si="50"/>
        <v>0</v>
      </c>
      <c r="AG10" s="65"/>
      <c r="AH10" s="74" t="s">
        <v>1948</v>
      </c>
      <c r="AI10" s="73">
        <f t="shared" si="50"/>
        <v>0</v>
      </c>
      <c r="AJ10" s="65"/>
      <c r="AK10" s="74" t="s">
        <v>1993</v>
      </c>
      <c r="AL10" s="73">
        <f t="shared" si="50"/>
        <v>0</v>
      </c>
      <c r="AM10" s="65"/>
      <c r="AN10" s="74" t="s">
        <v>1948</v>
      </c>
      <c r="AO10" s="73">
        <f t="shared" si="50"/>
        <v>0</v>
      </c>
      <c r="AP10" s="65"/>
      <c r="AQ10" s="74" t="s">
        <v>1948</v>
      </c>
      <c r="AR10" s="73">
        <f t="shared" si="50"/>
        <v>0</v>
      </c>
      <c r="AS10" s="65"/>
      <c r="AT10" s="74" t="s">
        <v>1949</v>
      </c>
      <c r="AU10" s="73">
        <f t="shared" si="50"/>
        <v>0</v>
      </c>
      <c r="AV10" s="65"/>
      <c r="AW10" s="74" t="s">
        <v>1948</v>
      </c>
      <c r="AX10" s="73">
        <f t="shared" si="50"/>
        <v>0</v>
      </c>
      <c r="AY10" s="65"/>
      <c r="AZ10" s="74" t="s">
        <v>1995</v>
      </c>
      <c r="BA10" s="73">
        <f t="shared" si="50"/>
        <v>0</v>
      </c>
      <c r="BB10" s="65"/>
      <c r="BC10" s="74" t="s">
        <v>1941</v>
      </c>
      <c r="BD10" s="73">
        <f t="shared" si="50"/>
        <v>0</v>
      </c>
      <c r="BE10" s="65"/>
      <c r="BF10" s="74" t="s">
        <v>1954</v>
      </c>
      <c r="BG10" s="73">
        <f t="shared" si="50"/>
        <v>0</v>
      </c>
      <c r="BH10" s="65"/>
      <c r="BI10" s="74" t="s">
        <v>1942</v>
      </c>
      <c r="BJ10" s="73">
        <f t="shared" si="50"/>
        <v>0</v>
      </c>
      <c r="BK10" s="65"/>
      <c r="BL10" s="74" t="s">
        <v>1948</v>
      </c>
      <c r="BM10" s="73">
        <f t="shared" si="50"/>
        <v>0</v>
      </c>
      <c r="BN10" s="65"/>
      <c r="BO10" s="74" t="s">
        <v>1948</v>
      </c>
      <c r="BP10" s="73">
        <f t="shared" si="50"/>
        <v>0</v>
      </c>
      <c r="BQ10" s="65"/>
      <c r="BR10" s="74" t="s">
        <v>1948</v>
      </c>
      <c r="BS10" s="73">
        <f t="shared" si="50"/>
        <v>0</v>
      </c>
      <c r="BT10" s="65"/>
      <c r="BU10" s="74" t="s">
        <v>1948</v>
      </c>
      <c r="BV10" s="73">
        <f t="shared" si="50"/>
        <v>0</v>
      </c>
      <c r="BW10" s="65"/>
      <c r="BX10" s="74" t="s">
        <v>1950</v>
      </c>
      <c r="BY10" s="73">
        <f t="shared" si="50"/>
        <v>0</v>
      </c>
      <c r="BZ10" s="65"/>
      <c r="CA10" s="74" t="s">
        <v>1949</v>
      </c>
      <c r="CB10" s="73">
        <f t="shared" si="50"/>
        <v>0</v>
      </c>
      <c r="CC10" s="65"/>
      <c r="CD10" s="74" t="s">
        <v>1995</v>
      </c>
      <c r="CE10" s="73">
        <f t="shared" si="50"/>
        <v>0</v>
      </c>
      <c r="CF10" s="65"/>
      <c r="CG10" s="74" t="s">
        <v>2522</v>
      </c>
      <c r="CH10" s="73">
        <f t="shared" si="50"/>
        <v>0</v>
      </c>
      <c r="CI10" s="65"/>
      <c r="CJ10" s="74" t="s">
        <v>1948</v>
      </c>
      <c r="CK10" s="73">
        <f t="shared" si="45"/>
        <v>0</v>
      </c>
      <c r="CL10" s="65"/>
      <c r="CM10" s="74" t="s">
        <v>1948</v>
      </c>
      <c r="CN10" s="73">
        <f t="shared" si="45"/>
        <v>0</v>
      </c>
      <c r="CO10" s="65"/>
      <c r="CP10" s="65"/>
    </row>
    <row r="11" spans="1:94">
      <c r="A11" s="49"/>
      <c r="B11" s="49"/>
      <c r="C11" s="438" t="str">
        <f>Idiomas!D307</f>
        <v>FASE DE GRUPOS - Posición exacta (1º)</v>
      </c>
      <c r="D11" s="44">
        <v>6</v>
      </c>
      <c r="E11" s="111"/>
      <c r="F11" s="445">
        <f t="shared" si="47"/>
        <v>6</v>
      </c>
      <c r="G11" s="445">
        <f ca="1">VLOOKUP(H11,Equipos!$Q$1:$R$25,2,0)</f>
        <v>3</v>
      </c>
      <c r="H11" s="446">
        <f ca="1">TRUNC(INDEX(WORLDCUP!$X$4:$X$147,MATCH(ADMIN!K11,WORLDCUP!$DT$4:$DT$147,0))+INDEX(Horarios!$R$3:$R$86,MATCH(Horarios!$C$3,Horarios!$P$3:$P$86,0))/24)</f>
        <v>46186</v>
      </c>
      <c r="I11" s="48">
        <v>1</v>
      </c>
      <c r="J11" s="95" t="s">
        <v>114</v>
      </c>
      <c r="K11" s="53" t="str">
        <f ca="1">CONCATENATE(WORLDCUP!AA21,"-",WORLDCUP!AF21)</f>
        <v>Haití-Escocia</v>
      </c>
      <c r="L11" s="53"/>
      <c r="M11" s="55" t="str">
        <f>IF(OR(WORLDCUP!AC21="",WORLDCUP!AD21=""),"-",N11&amp;"|"&amp;O11&amp;"-"&amp;P11)</f>
        <v>-</v>
      </c>
      <c r="N11" s="25" t="str">
        <f>IF(OR(WORLDCUP!AC21="",WORLDCUP!AD21=""),"",IF(WORLDCUP!AC21&gt;WORLDCUP!AD21,"1",IF(WORLDCUP!AC21&lt;WORLDCUP!AD21,"2","X")))</f>
        <v/>
      </c>
      <c r="O11" s="25">
        <f>WORLDCUP!AC21</f>
        <v>0</v>
      </c>
      <c r="P11" s="25">
        <f>WORLDCUP!AD21</f>
        <v>0</v>
      </c>
      <c r="Q11" s="25">
        <f t="shared" si="51"/>
        <v>0</v>
      </c>
      <c r="R11" s="49"/>
      <c r="S11" s="74" t="s">
        <v>1945</v>
      </c>
      <c r="T11" s="73">
        <f t="shared" si="48"/>
        <v>0</v>
      </c>
      <c r="U11" s="65"/>
      <c r="V11" s="74" t="s">
        <v>1945</v>
      </c>
      <c r="W11" s="73">
        <f t="shared" si="49"/>
        <v>0</v>
      </c>
      <c r="X11" s="65"/>
      <c r="Y11" s="74" t="s">
        <v>1944</v>
      </c>
      <c r="Z11" s="73">
        <f t="shared" si="50"/>
        <v>0</v>
      </c>
      <c r="AA11" s="65"/>
      <c r="AB11" s="74" t="s">
        <v>1954</v>
      </c>
      <c r="AC11" s="73">
        <f t="shared" si="50"/>
        <v>0</v>
      </c>
      <c r="AD11" s="65"/>
      <c r="AE11" s="74" t="s">
        <v>1945</v>
      </c>
      <c r="AF11" s="73">
        <f t="shared" si="50"/>
        <v>0</v>
      </c>
      <c r="AG11" s="65"/>
      <c r="AH11" s="74" t="s">
        <v>1945</v>
      </c>
      <c r="AI11" s="73">
        <f t="shared" si="50"/>
        <v>0</v>
      </c>
      <c r="AJ11" s="65"/>
      <c r="AK11" s="74" t="s">
        <v>1945</v>
      </c>
      <c r="AL11" s="73">
        <f t="shared" si="50"/>
        <v>0</v>
      </c>
      <c r="AM11" s="65"/>
      <c r="AN11" s="74" t="s">
        <v>2071</v>
      </c>
      <c r="AO11" s="73">
        <f t="shared" si="50"/>
        <v>0</v>
      </c>
      <c r="AP11" s="65"/>
      <c r="AQ11" s="74" t="s">
        <v>1953</v>
      </c>
      <c r="AR11" s="73">
        <f t="shared" si="50"/>
        <v>0</v>
      </c>
      <c r="AS11" s="65"/>
      <c r="AT11" s="74" t="s">
        <v>1945</v>
      </c>
      <c r="AU11" s="73">
        <f t="shared" si="50"/>
        <v>0</v>
      </c>
      <c r="AV11" s="65"/>
      <c r="AW11" s="74" t="s">
        <v>1942</v>
      </c>
      <c r="AX11" s="73">
        <f t="shared" si="50"/>
        <v>0</v>
      </c>
      <c r="AY11" s="65"/>
      <c r="AZ11" s="74" t="s">
        <v>1946</v>
      </c>
      <c r="BA11" s="73">
        <f t="shared" si="50"/>
        <v>0</v>
      </c>
      <c r="BB11" s="65"/>
      <c r="BC11" s="74" t="s">
        <v>1953</v>
      </c>
      <c r="BD11" s="73">
        <f t="shared" si="50"/>
        <v>0</v>
      </c>
      <c r="BE11" s="65"/>
      <c r="BF11" s="74" t="s">
        <v>1945</v>
      </c>
      <c r="BG11" s="73">
        <f t="shared" si="50"/>
        <v>0</v>
      </c>
      <c r="BH11" s="65"/>
      <c r="BI11" s="74" t="s">
        <v>1945</v>
      </c>
      <c r="BJ11" s="73">
        <f t="shared" si="50"/>
        <v>0</v>
      </c>
      <c r="BK11" s="65"/>
      <c r="BL11" s="74" t="s">
        <v>1945</v>
      </c>
      <c r="BM11" s="73">
        <f t="shared" si="50"/>
        <v>0</v>
      </c>
      <c r="BN11" s="65"/>
      <c r="BO11" s="74" t="s">
        <v>1944</v>
      </c>
      <c r="BP11" s="73">
        <f t="shared" si="50"/>
        <v>0</v>
      </c>
      <c r="BQ11" s="65"/>
      <c r="BR11" s="74" t="s">
        <v>1953</v>
      </c>
      <c r="BS11" s="73">
        <f t="shared" si="50"/>
        <v>0</v>
      </c>
      <c r="BT11" s="65"/>
      <c r="BU11" s="74" t="s">
        <v>1945</v>
      </c>
      <c r="BV11" s="73">
        <f t="shared" si="50"/>
        <v>0</v>
      </c>
      <c r="BW11" s="65"/>
      <c r="BX11" s="74" t="s">
        <v>1953</v>
      </c>
      <c r="BY11" s="73">
        <f t="shared" si="50"/>
        <v>0</v>
      </c>
      <c r="BZ11" s="65"/>
      <c r="CA11" s="74" t="s">
        <v>1954</v>
      </c>
      <c r="CB11" s="73">
        <f t="shared" si="50"/>
        <v>0</v>
      </c>
      <c r="CC11" s="65"/>
      <c r="CD11" s="74" t="s">
        <v>1952</v>
      </c>
      <c r="CE11" s="73">
        <f t="shared" si="50"/>
        <v>0</v>
      </c>
      <c r="CF11" s="65"/>
      <c r="CG11" s="74" t="s">
        <v>1943</v>
      </c>
      <c r="CH11" s="73">
        <f t="shared" si="50"/>
        <v>0</v>
      </c>
      <c r="CI11" s="65"/>
      <c r="CJ11" s="74" t="s">
        <v>1942</v>
      </c>
      <c r="CK11" s="73">
        <f t="shared" si="45"/>
        <v>0</v>
      </c>
      <c r="CL11" s="65"/>
      <c r="CM11" s="74" t="s">
        <v>1945</v>
      </c>
      <c r="CN11" s="73">
        <f t="shared" si="45"/>
        <v>0</v>
      </c>
      <c r="CO11" s="65"/>
      <c r="CP11" s="65"/>
    </row>
    <row r="12" spans="1:94">
      <c r="A12" s="49"/>
      <c r="B12" s="49"/>
      <c r="C12" s="437" t="str">
        <f>Idiomas!D308</f>
        <v>FASE DE GRUPOS - Posición exacta (2º)</v>
      </c>
      <c r="D12" s="62">
        <v>4</v>
      </c>
      <c r="E12" s="111"/>
      <c r="F12" s="445">
        <f t="shared" si="47"/>
        <v>6</v>
      </c>
      <c r="G12" s="445">
        <f ca="1">VLOOKUP(H12,Equipos!$Q$1:$R$25,2,0)</f>
        <v>2</v>
      </c>
      <c r="H12" s="446">
        <f ca="1">TRUNC(INDEX(WORLDCUP!$X$4:$X$147,MATCH(ADMIN!K12,WORLDCUP!$DT$4:$DT$147,0))+INDEX(Horarios!$R$3:$R$86,MATCH(Horarios!$C$3,Horarios!$P$3:$P$86,0))/24)</f>
        <v>46185</v>
      </c>
      <c r="I12" s="48">
        <v>1</v>
      </c>
      <c r="J12" s="96" t="s">
        <v>115</v>
      </c>
      <c r="K12" s="56" t="str">
        <f ca="1">CONCATENATE(WORLDCUP!AA28,"-",WORLDCUP!AF28)</f>
        <v>Estados Unidos-Paraguay</v>
      </c>
      <c r="L12" s="53"/>
      <c r="M12" s="55" t="str">
        <f>IF(OR(WORLDCUP!AC28="",WORLDCUP!AD28=""),"-",N12&amp;"|"&amp;O12&amp;"-"&amp;P12)</f>
        <v>-</v>
      </c>
      <c r="N12" s="25" t="str">
        <f>IF(OR(WORLDCUP!AC28="",WORLDCUP!AD28=""),"",IF(WORLDCUP!AC28&gt;WORLDCUP!AD28,"1",IF(WORLDCUP!AC28&lt;WORLDCUP!AD28,"2","X")))</f>
        <v/>
      </c>
      <c r="O12" s="25">
        <f>WORLDCUP!AC28</f>
        <v>0</v>
      </c>
      <c r="P12" s="25">
        <f>WORLDCUP!AD28</f>
        <v>0</v>
      </c>
      <c r="Q12" s="25">
        <f t="shared" si="51"/>
        <v>0</v>
      </c>
      <c r="R12" s="49"/>
      <c r="S12" s="74" t="s">
        <v>1946</v>
      </c>
      <c r="T12" s="73">
        <f t="shared" si="48"/>
        <v>0</v>
      </c>
      <c r="U12" s="65"/>
      <c r="V12" s="74" t="s">
        <v>1992</v>
      </c>
      <c r="W12" s="73">
        <f t="shared" si="49"/>
        <v>0</v>
      </c>
      <c r="X12" s="65"/>
      <c r="Y12" s="74" t="s">
        <v>1943</v>
      </c>
      <c r="Z12" s="73">
        <f t="shared" si="50"/>
        <v>0</v>
      </c>
      <c r="AA12" s="65"/>
      <c r="AB12" s="74" t="s">
        <v>1944</v>
      </c>
      <c r="AC12" s="73">
        <f t="shared" si="50"/>
        <v>0</v>
      </c>
      <c r="AD12" s="65"/>
      <c r="AE12" s="74" t="s">
        <v>1942</v>
      </c>
      <c r="AF12" s="73">
        <f t="shared" si="50"/>
        <v>0</v>
      </c>
      <c r="AG12" s="65"/>
      <c r="AH12" s="74" t="s">
        <v>1942</v>
      </c>
      <c r="AI12" s="73">
        <f t="shared" si="50"/>
        <v>0</v>
      </c>
      <c r="AJ12" s="65"/>
      <c r="AK12" s="74" t="s">
        <v>1942</v>
      </c>
      <c r="AL12" s="73">
        <f t="shared" si="50"/>
        <v>0</v>
      </c>
      <c r="AM12" s="65"/>
      <c r="AN12" s="74" t="s">
        <v>1995</v>
      </c>
      <c r="AO12" s="73">
        <f t="shared" si="50"/>
        <v>0</v>
      </c>
      <c r="AP12" s="65"/>
      <c r="AQ12" s="74" t="s">
        <v>1942</v>
      </c>
      <c r="AR12" s="73">
        <f t="shared" si="50"/>
        <v>0</v>
      </c>
      <c r="AS12" s="65"/>
      <c r="AT12" s="74" t="s">
        <v>1948</v>
      </c>
      <c r="AU12" s="73">
        <f t="shared" si="50"/>
        <v>0</v>
      </c>
      <c r="AV12" s="65"/>
      <c r="AW12" s="74" t="s">
        <v>1948</v>
      </c>
      <c r="AX12" s="73">
        <f t="shared" si="50"/>
        <v>0</v>
      </c>
      <c r="AY12" s="65"/>
      <c r="AZ12" s="74" t="s">
        <v>1948</v>
      </c>
      <c r="BA12" s="73">
        <f t="shared" si="50"/>
        <v>0</v>
      </c>
      <c r="BB12" s="65"/>
      <c r="BC12" s="74" t="s">
        <v>1948</v>
      </c>
      <c r="BD12" s="73">
        <f t="shared" si="50"/>
        <v>0</v>
      </c>
      <c r="BE12" s="65"/>
      <c r="BF12" s="74" t="s">
        <v>1948</v>
      </c>
      <c r="BG12" s="73">
        <f t="shared" si="50"/>
        <v>0</v>
      </c>
      <c r="BH12" s="65"/>
      <c r="BI12" s="74" t="s">
        <v>1944</v>
      </c>
      <c r="BJ12" s="73">
        <f t="shared" si="50"/>
        <v>0</v>
      </c>
      <c r="BK12" s="65"/>
      <c r="BL12" s="74" t="s">
        <v>1943</v>
      </c>
      <c r="BM12" s="73">
        <f t="shared" si="50"/>
        <v>0</v>
      </c>
      <c r="BN12" s="65"/>
      <c r="BO12" s="74" t="s">
        <v>1943</v>
      </c>
      <c r="BP12" s="73">
        <f t="shared" si="50"/>
        <v>0</v>
      </c>
      <c r="BQ12" s="65"/>
      <c r="BR12" s="74" t="s">
        <v>1942</v>
      </c>
      <c r="BS12" s="73">
        <f t="shared" si="50"/>
        <v>0</v>
      </c>
      <c r="BT12" s="65"/>
      <c r="BU12" s="74" t="s">
        <v>1942</v>
      </c>
      <c r="BV12" s="73">
        <f t="shared" si="50"/>
        <v>0</v>
      </c>
      <c r="BW12" s="65"/>
      <c r="BX12" s="74" t="s">
        <v>1995</v>
      </c>
      <c r="BY12" s="73">
        <f t="shared" si="50"/>
        <v>0</v>
      </c>
      <c r="BZ12" s="65"/>
      <c r="CA12" s="74" t="s">
        <v>1995</v>
      </c>
      <c r="CB12" s="73">
        <f t="shared" si="50"/>
        <v>0</v>
      </c>
      <c r="CC12" s="65"/>
      <c r="CD12" s="74" t="s">
        <v>1954</v>
      </c>
      <c r="CE12" s="73">
        <f t="shared" si="50"/>
        <v>0</v>
      </c>
      <c r="CF12" s="65"/>
      <c r="CG12" s="74" t="s">
        <v>1943</v>
      </c>
      <c r="CH12" s="73">
        <f t="shared" si="50"/>
        <v>0</v>
      </c>
      <c r="CI12" s="65"/>
      <c r="CJ12" s="74" t="s">
        <v>1948</v>
      </c>
      <c r="CK12" s="73">
        <f t="shared" si="45"/>
        <v>0</v>
      </c>
      <c r="CL12" s="65"/>
      <c r="CM12" s="74" t="s">
        <v>1941</v>
      </c>
      <c r="CN12" s="73">
        <f t="shared" si="45"/>
        <v>0</v>
      </c>
      <c r="CO12" s="65"/>
      <c r="CP12" s="65"/>
    </row>
    <row r="13" spans="1:94">
      <c r="A13" s="49"/>
      <c r="B13" s="49"/>
      <c r="C13" s="438" t="str">
        <f>Idiomas!D309</f>
        <v>FASE DE GRUPOS - Posición exacta (3º)</v>
      </c>
      <c r="D13" s="44">
        <v>2</v>
      </c>
      <c r="E13" s="111"/>
      <c r="F13" s="445">
        <f t="shared" si="47"/>
        <v>6</v>
      </c>
      <c r="G13" s="445">
        <f ca="1">VLOOKUP(H13,Equipos!$Q$1:$R$25,2,0)</f>
        <v>3</v>
      </c>
      <c r="H13" s="446">
        <f ca="1">TRUNC(INDEX(WORLDCUP!$X$4:$X$147,MATCH(ADMIN!K13,WORLDCUP!$DT$4:$DT$147,0))+INDEX(Horarios!$R$3:$R$86,MATCH(Horarios!$C$3,Horarios!$P$3:$P$86,0))/24)</f>
        <v>46186</v>
      </c>
      <c r="I13" s="48">
        <v>1</v>
      </c>
      <c r="J13" s="96" t="s">
        <v>115</v>
      </c>
      <c r="K13" s="53" t="str">
        <f ca="1">CONCATENATE(WORLDCUP!AA29,"-",WORLDCUP!AF29)</f>
        <v>Australia-Turquía</v>
      </c>
      <c r="L13" s="53"/>
      <c r="M13" s="55" t="str">
        <f>IF(OR(WORLDCUP!AC29="",WORLDCUP!AD29=""),"-",N13&amp;"|"&amp;O13&amp;"-"&amp;P13)</f>
        <v>-</v>
      </c>
      <c r="N13" s="25" t="str">
        <f>IF(OR(WORLDCUP!AC29="",WORLDCUP!AD29=""),"",IF(WORLDCUP!AC29&gt;WORLDCUP!AD29,"1",IF(WORLDCUP!AC29&lt;WORLDCUP!AD29,"2","X")))</f>
        <v/>
      </c>
      <c r="O13" s="25">
        <f>WORLDCUP!AC29</f>
        <v>0</v>
      </c>
      <c r="P13" s="25">
        <f>WORLDCUP!AD29</f>
        <v>0</v>
      </c>
      <c r="Q13" s="25">
        <f t="shared" si="51"/>
        <v>0</v>
      </c>
      <c r="R13" s="49"/>
      <c r="S13" s="74" t="s">
        <v>1944</v>
      </c>
      <c r="T13" s="73">
        <f t="shared" si="48"/>
        <v>0</v>
      </c>
      <c r="U13" s="65"/>
      <c r="V13" s="74" t="s">
        <v>1948</v>
      </c>
      <c r="W13" s="73">
        <f t="shared" si="49"/>
        <v>0</v>
      </c>
      <c r="X13" s="65"/>
      <c r="Y13" s="74" t="s">
        <v>1995</v>
      </c>
      <c r="Z13" s="73">
        <f t="shared" si="50"/>
        <v>0</v>
      </c>
      <c r="AA13" s="65"/>
      <c r="AB13" s="74" t="s">
        <v>1954</v>
      </c>
      <c r="AC13" s="73">
        <f t="shared" si="50"/>
        <v>0</v>
      </c>
      <c r="AD13" s="65"/>
      <c r="AE13" s="74" t="s">
        <v>1954</v>
      </c>
      <c r="AF13" s="73">
        <f t="shared" si="50"/>
        <v>0</v>
      </c>
      <c r="AG13" s="65"/>
      <c r="AH13" s="74" t="s">
        <v>1954</v>
      </c>
      <c r="AI13" s="73">
        <f t="shared" si="50"/>
        <v>0</v>
      </c>
      <c r="AJ13" s="65"/>
      <c r="AK13" s="74" t="s">
        <v>1945</v>
      </c>
      <c r="AL13" s="73">
        <f t="shared" si="50"/>
        <v>0</v>
      </c>
      <c r="AM13" s="65"/>
      <c r="AN13" s="74" t="s">
        <v>1954</v>
      </c>
      <c r="AO13" s="73">
        <f t="shared" si="50"/>
        <v>0</v>
      </c>
      <c r="AP13" s="65"/>
      <c r="AQ13" s="74" t="s">
        <v>1945</v>
      </c>
      <c r="AR13" s="73">
        <f t="shared" si="50"/>
        <v>0</v>
      </c>
      <c r="AS13" s="65"/>
      <c r="AT13" s="74" t="s">
        <v>1942</v>
      </c>
      <c r="AU13" s="73">
        <f t="shared" si="50"/>
        <v>0</v>
      </c>
      <c r="AV13" s="65"/>
      <c r="AW13" s="74" t="s">
        <v>1954</v>
      </c>
      <c r="AX13" s="73">
        <f t="shared" si="50"/>
        <v>0</v>
      </c>
      <c r="AY13" s="65"/>
      <c r="AZ13" s="74" t="s">
        <v>1942</v>
      </c>
      <c r="BA13" s="73">
        <f t="shared" si="50"/>
        <v>0</v>
      </c>
      <c r="BB13" s="65"/>
      <c r="BC13" s="74" t="s">
        <v>1944</v>
      </c>
      <c r="BD13" s="73">
        <f t="shared" si="50"/>
        <v>0</v>
      </c>
      <c r="BE13" s="65"/>
      <c r="BF13" s="74" t="s">
        <v>1945</v>
      </c>
      <c r="BG13" s="73">
        <f t="shared" si="50"/>
        <v>0</v>
      </c>
      <c r="BH13" s="65"/>
      <c r="BI13" s="74" t="s">
        <v>1954</v>
      </c>
      <c r="BJ13" s="73">
        <f t="shared" si="50"/>
        <v>0</v>
      </c>
      <c r="BK13" s="65"/>
      <c r="BL13" s="74" t="s">
        <v>1952</v>
      </c>
      <c r="BM13" s="73">
        <f t="shared" si="50"/>
        <v>0</v>
      </c>
      <c r="BN13" s="65"/>
      <c r="BO13" s="74" t="s">
        <v>1948</v>
      </c>
      <c r="BP13" s="73">
        <f t="shared" si="50"/>
        <v>0</v>
      </c>
      <c r="BQ13" s="65"/>
      <c r="BR13" s="74" t="s">
        <v>1945</v>
      </c>
      <c r="BS13" s="73">
        <f t="shared" si="50"/>
        <v>0</v>
      </c>
      <c r="BT13" s="65"/>
      <c r="BU13" s="74" t="s">
        <v>1953</v>
      </c>
      <c r="BV13" s="73">
        <f t="shared" si="50"/>
        <v>0</v>
      </c>
      <c r="BW13" s="65"/>
      <c r="BX13" s="74" t="s">
        <v>1948</v>
      </c>
      <c r="BY13" s="73">
        <f t="shared" si="50"/>
        <v>0</v>
      </c>
      <c r="BZ13" s="65"/>
      <c r="CA13" s="74" t="s">
        <v>1941</v>
      </c>
      <c r="CB13" s="73">
        <f t="shared" si="50"/>
        <v>0</v>
      </c>
      <c r="CC13" s="65"/>
      <c r="CD13" s="74" t="s">
        <v>1952</v>
      </c>
      <c r="CE13" s="73">
        <f t="shared" si="50"/>
        <v>0</v>
      </c>
      <c r="CF13" s="65"/>
      <c r="CG13" s="74" t="s">
        <v>1954</v>
      </c>
      <c r="CH13" s="73">
        <f t="shared" si="50"/>
        <v>0</v>
      </c>
      <c r="CI13" s="65"/>
      <c r="CJ13" s="74" t="s">
        <v>1954</v>
      </c>
      <c r="CK13" s="73">
        <f t="shared" si="45"/>
        <v>0</v>
      </c>
      <c r="CL13" s="65"/>
      <c r="CM13" s="74" t="s">
        <v>1954</v>
      </c>
      <c r="CN13" s="73">
        <f t="shared" si="45"/>
        <v>0</v>
      </c>
      <c r="CO13" s="65"/>
      <c r="CP13" s="65"/>
    </row>
    <row r="14" spans="1:94">
      <c r="A14" s="49"/>
      <c r="B14" s="49"/>
      <c r="C14" s="437" t="str">
        <f>Idiomas!D310</f>
        <v>FASE DE GRUPOS - Posición exacta (4º)</v>
      </c>
      <c r="D14" s="62">
        <v>1</v>
      </c>
      <c r="E14" s="111"/>
      <c r="F14" s="445">
        <f t="shared" si="47"/>
        <v>6</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v>
      </c>
      <c r="N14" s="25" t="str">
        <f>IF(OR(WORLDCUP!AC36="",WORLDCUP!AD36=""),"",IF(WORLDCUP!AC36&gt;WORLDCUP!AD36,"1",IF(WORLDCUP!AC36&lt;WORLDCUP!AD36,"2","X")))</f>
        <v/>
      </c>
      <c r="O14" s="25">
        <f>WORLDCUP!AC36</f>
        <v>0</v>
      </c>
      <c r="P14" s="25">
        <f>WORLDCUP!AD36</f>
        <v>0</v>
      </c>
      <c r="Q14" s="25">
        <f t="shared" si="51"/>
        <v>0</v>
      </c>
      <c r="R14" s="49"/>
      <c r="S14" s="74" t="s">
        <v>1947</v>
      </c>
      <c r="T14" s="73">
        <f t="shared" si="48"/>
        <v>0</v>
      </c>
      <c r="U14" s="65"/>
      <c r="V14" s="74" t="s">
        <v>1993</v>
      </c>
      <c r="W14" s="73">
        <f t="shared" si="49"/>
        <v>0</v>
      </c>
      <c r="X14" s="65"/>
      <c r="Y14" s="74" t="s">
        <v>1941</v>
      </c>
      <c r="Z14" s="73">
        <f t="shared" si="50"/>
        <v>0</v>
      </c>
      <c r="AA14" s="65"/>
      <c r="AB14" s="74" t="s">
        <v>1950</v>
      </c>
      <c r="AC14" s="73">
        <f t="shared" si="50"/>
        <v>0</v>
      </c>
      <c r="AD14" s="65"/>
      <c r="AE14" s="74" t="s">
        <v>1950</v>
      </c>
      <c r="AF14" s="73">
        <f t="shared" si="50"/>
        <v>0</v>
      </c>
      <c r="AG14" s="65"/>
      <c r="AH14" s="74" t="s">
        <v>1949</v>
      </c>
      <c r="AI14" s="73">
        <f t="shared" si="50"/>
        <v>0</v>
      </c>
      <c r="AJ14" s="65"/>
      <c r="AK14" s="74" t="s">
        <v>1949</v>
      </c>
      <c r="AL14" s="73">
        <f t="shared" si="50"/>
        <v>0</v>
      </c>
      <c r="AM14" s="65"/>
      <c r="AN14" s="74" t="s">
        <v>1947</v>
      </c>
      <c r="AO14" s="73">
        <f t="shared" si="50"/>
        <v>0</v>
      </c>
      <c r="AP14" s="65"/>
      <c r="AQ14" s="74" t="s">
        <v>1947</v>
      </c>
      <c r="AR14" s="73">
        <f t="shared" si="50"/>
        <v>0</v>
      </c>
      <c r="AS14" s="65"/>
      <c r="AT14" s="74" t="s">
        <v>1947</v>
      </c>
      <c r="AU14" s="73">
        <f t="shared" si="50"/>
        <v>0</v>
      </c>
      <c r="AV14" s="65"/>
      <c r="AW14" s="74" t="s">
        <v>1947</v>
      </c>
      <c r="AX14" s="73">
        <f t="shared" si="50"/>
        <v>0</v>
      </c>
      <c r="AY14" s="65"/>
      <c r="AZ14" s="74" t="s">
        <v>1947</v>
      </c>
      <c r="BA14" s="73">
        <f t="shared" si="50"/>
        <v>0</v>
      </c>
      <c r="BB14" s="65"/>
      <c r="BC14" s="74" t="s">
        <v>1947</v>
      </c>
      <c r="BD14" s="73">
        <f t="shared" si="50"/>
        <v>0</v>
      </c>
      <c r="BE14" s="65"/>
      <c r="BF14" s="74" t="s">
        <v>2332</v>
      </c>
      <c r="BG14" s="73">
        <f t="shared" si="50"/>
        <v>0</v>
      </c>
      <c r="BH14" s="65"/>
      <c r="BI14" s="74" t="s">
        <v>2070</v>
      </c>
      <c r="BJ14" s="73">
        <f t="shared" si="50"/>
        <v>0</v>
      </c>
      <c r="BK14" s="65"/>
      <c r="BL14" s="74" t="s">
        <v>1949</v>
      </c>
      <c r="BM14" s="73">
        <f t="shared" si="50"/>
        <v>0</v>
      </c>
      <c r="BN14" s="65"/>
      <c r="BO14" s="74" t="s">
        <v>2070</v>
      </c>
      <c r="BP14" s="73">
        <f t="shared" si="50"/>
        <v>0</v>
      </c>
      <c r="BQ14" s="65"/>
      <c r="BR14" s="74" t="s">
        <v>1947</v>
      </c>
      <c r="BS14" s="73">
        <f t="shared" si="50"/>
        <v>0</v>
      </c>
      <c r="BT14" s="65"/>
      <c r="BU14" s="74" t="s">
        <v>1947</v>
      </c>
      <c r="BV14" s="73">
        <f t="shared" si="50"/>
        <v>0</v>
      </c>
      <c r="BW14" s="65"/>
      <c r="BX14" s="74" t="s">
        <v>1947</v>
      </c>
      <c r="BY14" s="73">
        <f t="shared" si="50"/>
        <v>0</v>
      </c>
      <c r="BZ14" s="65"/>
      <c r="CA14" s="74" t="s">
        <v>2070</v>
      </c>
      <c r="CB14" s="73">
        <f t="shared" si="50"/>
        <v>0</v>
      </c>
      <c r="CC14" s="65"/>
      <c r="CD14" s="74" t="s">
        <v>2489</v>
      </c>
      <c r="CE14" s="73">
        <f t="shared" si="50"/>
        <v>0</v>
      </c>
      <c r="CF14" s="65"/>
      <c r="CG14" s="74" t="s">
        <v>1950</v>
      </c>
      <c r="CH14" s="73">
        <f t="shared" si="50"/>
        <v>0</v>
      </c>
      <c r="CI14" s="65"/>
      <c r="CJ14" s="74" t="s">
        <v>1947</v>
      </c>
      <c r="CK14" s="73">
        <f t="shared" si="45"/>
        <v>0</v>
      </c>
      <c r="CL14" s="65"/>
      <c r="CM14" s="74" t="s">
        <v>1947</v>
      </c>
      <c r="CN14" s="73">
        <f t="shared" si="45"/>
        <v>0</v>
      </c>
      <c r="CO14" s="65"/>
      <c r="CP14" s="65"/>
    </row>
    <row r="15" spans="1:94">
      <c r="A15" s="49"/>
      <c r="B15" s="49"/>
      <c r="C15" s="439" t="str">
        <f>Idiomas!D311</f>
        <v>Equipo clasificado para DIECISEISAVOS</v>
      </c>
      <c r="D15" s="45">
        <v>3</v>
      </c>
      <c r="E15" s="111"/>
      <c r="F15" s="445">
        <f t="shared" si="47"/>
        <v>6</v>
      </c>
      <c r="G15" s="445">
        <f ca="1">VLOOKUP(H15,Equipos!$Q$1:$R$25,2,0)</f>
        <v>4</v>
      </c>
      <c r="H15" s="446">
        <f ca="1">TRUNC(INDEX(WORLDCUP!$X$4:$X$147,MATCH(ADMIN!K15,WORLDCUP!$DT$4:$DT$147,0))+INDEX(Horarios!$R$3:$R$86,MATCH(Horarios!$C$3,Horarios!$P$3:$P$86,0))/24)</f>
        <v>46187</v>
      </c>
      <c r="I15" s="48">
        <v>1</v>
      </c>
      <c r="J15" s="95" t="s">
        <v>116</v>
      </c>
      <c r="K15" s="53" t="str">
        <f ca="1">CONCATENATE(WORLDCUP!AA37,"-",WORLDCUP!AF37)</f>
        <v>Costa de Marfil-Ecuador</v>
      </c>
      <c r="L15" s="53"/>
      <c r="M15" s="55" t="str">
        <f>IF(OR(WORLDCUP!AC37="",WORLDCUP!AD37=""),"-",N15&amp;"|"&amp;O15&amp;"-"&amp;P15)</f>
        <v>-</v>
      </c>
      <c r="N15" s="25" t="str">
        <f>IF(OR(WORLDCUP!AC37="",WORLDCUP!AD37=""),"",IF(WORLDCUP!AC37&gt;WORLDCUP!AD37,"1",IF(WORLDCUP!AC37&lt;WORLDCUP!AD37,"2","X")))</f>
        <v/>
      </c>
      <c r="O15" s="25">
        <f>WORLDCUP!AC37</f>
        <v>0</v>
      </c>
      <c r="P15" s="25">
        <f>WORLDCUP!AD37</f>
        <v>0</v>
      </c>
      <c r="Q15" s="25">
        <f t="shared" si="51"/>
        <v>0</v>
      </c>
      <c r="R15" s="49"/>
      <c r="S15" s="74" t="s">
        <v>1948</v>
      </c>
      <c r="T15" s="73">
        <f t="shared" si="48"/>
        <v>0</v>
      </c>
      <c r="U15" s="65"/>
      <c r="V15" s="74" t="s">
        <v>1954</v>
      </c>
      <c r="W15" s="73">
        <f t="shared" si="49"/>
        <v>0</v>
      </c>
      <c r="X15" s="65"/>
      <c r="Y15" s="74" t="s">
        <v>1942</v>
      </c>
      <c r="Z15" s="73">
        <f t="shared" si="50"/>
        <v>0</v>
      </c>
      <c r="AA15" s="65"/>
      <c r="AB15" s="74" t="s">
        <v>1954</v>
      </c>
      <c r="AC15" s="73">
        <f t="shared" si="50"/>
        <v>0</v>
      </c>
      <c r="AD15" s="65"/>
      <c r="AE15" s="74" t="s">
        <v>1942</v>
      </c>
      <c r="AF15" s="73">
        <f t="shared" si="50"/>
        <v>0</v>
      </c>
      <c r="AG15" s="65"/>
      <c r="AH15" s="74" t="s">
        <v>1945</v>
      </c>
      <c r="AI15" s="73">
        <f t="shared" si="50"/>
        <v>0</v>
      </c>
      <c r="AJ15" s="65"/>
      <c r="AK15" s="74" t="s">
        <v>1954</v>
      </c>
      <c r="AL15" s="73">
        <f t="shared" si="50"/>
        <v>0</v>
      </c>
      <c r="AM15" s="65"/>
      <c r="AN15" s="74" t="s">
        <v>1954</v>
      </c>
      <c r="AO15" s="73">
        <f t="shared" si="50"/>
        <v>0</v>
      </c>
      <c r="AP15" s="65"/>
      <c r="AQ15" s="74" t="s">
        <v>1942</v>
      </c>
      <c r="AR15" s="73">
        <f t="shared" si="50"/>
        <v>0</v>
      </c>
      <c r="AS15" s="65"/>
      <c r="AT15" s="74" t="s">
        <v>1954</v>
      </c>
      <c r="AU15" s="73">
        <f t="shared" si="50"/>
        <v>0</v>
      </c>
      <c r="AV15" s="65"/>
      <c r="AW15" s="74" t="s">
        <v>1945</v>
      </c>
      <c r="AX15" s="73">
        <f t="shared" si="50"/>
        <v>0</v>
      </c>
      <c r="AY15" s="65"/>
      <c r="AZ15" s="74" t="s">
        <v>1942</v>
      </c>
      <c r="BA15" s="73">
        <f t="shared" si="50"/>
        <v>0</v>
      </c>
      <c r="BB15" s="65"/>
      <c r="BC15" s="74" t="s">
        <v>1952</v>
      </c>
      <c r="BD15" s="73">
        <f t="shared" si="50"/>
        <v>0</v>
      </c>
      <c r="BE15" s="65"/>
      <c r="BF15" s="74" t="s">
        <v>1993</v>
      </c>
      <c r="BG15" s="73">
        <f t="shared" si="50"/>
        <v>0</v>
      </c>
      <c r="BH15" s="65"/>
      <c r="BI15" s="74" t="s">
        <v>1948</v>
      </c>
      <c r="BJ15" s="73">
        <f t="shared" si="50"/>
        <v>0</v>
      </c>
      <c r="BK15" s="65"/>
      <c r="BL15" s="74" t="s">
        <v>1995</v>
      </c>
      <c r="BM15" s="73">
        <f t="shared" si="50"/>
        <v>0</v>
      </c>
      <c r="BN15" s="65"/>
      <c r="BO15" s="74" t="s">
        <v>1995</v>
      </c>
      <c r="BP15" s="73">
        <f t="shared" si="50"/>
        <v>0</v>
      </c>
      <c r="BQ15" s="65"/>
      <c r="BR15" s="74" t="s">
        <v>1942</v>
      </c>
      <c r="BS15" s="73">
        <f t="shared" si="50"/>
        <v>0</v>
      </c>
      <c r="BT15" s="65"/>
      <c r="BU15" s="74" t="s">
        <v>1954</v>
      </c>
      <c r="BV15" s="73">
        <f t="shared" si="50"/>
        <v>0</v>
      </c>
      <c r="BW15" s="65"/>
      <c r="BX15" s="74" t="s">
        <v>1995</v>
      </c>
      <c r="BY15" s="73">
        <f t="shared" si="50"/>
        <v>0</v>
      </c>
      <c r="BZ15" s="65"/>
      <c r="CA15" s="74" t="s">
        <v>1952</v>
      </c>
      <c r="CB15" s="73">
        <f t="shared" si="50"/>
        <v>0</v>
      </c>
      <c r="CC15" s="65"/>
      <c r="CD15" s="74" t="s">
        <v>1952</v>
      </c>
      <c r="CE15" s="73">
        <f t="shared" si="50"/>
        <v>0</v>
      </c>
      <c r="CF15" s="65"/>
      <c r="CG15" s="74" t="s">
        <v>1954</v>
      </c>
      <c r="CH15" s="73">
        <f t="shared" si="50"/>
        <v>0</v>
      </c>
      <c r="CI15" s="65"/>
      <c r="CJ15" s="74" t="s">
        <v>1945</v>
      </c>
      <c r="CK15" s="73">
        <f t="shared" si="45"/>
        <v>0</v>
      </c>
      <c r="CL15" s="65"/>
      <c r="CM15" s="74" t="s">
        <v>1954</v>
      </c>
      <c r="CN15" s="73">
        <f t="shared" si="45"/>
        <v>0</v>
      </c>
      <c r="CO15" s="65"/>
      <c r="CP15" s="65"/>
    </row>
    <row r="16" spans="1:94">
      <c r="A16" s="49"/>
      <c r="B16" s="49"/>
      <c r="C16" s="437" t="str">
        <f>Idiomas!D312</f>
        <v>DIECISEISAVOS - Signo 1X2 (local, empate, visitante)</v>
      </c>
      <c r="D16" s="62">
        <v>3</v>
      </c>
      <c r="E16" s="111"/>
      <c r="F16" s="445">
        <f t="shared" si="47"/>
        <v>6</v>
      </c>
      <c r="G16" s="445">
        <f ca="1">VLOOKUP(H16,Equipos!$Q$1:$R$25,2,0)</f>
        <v>4</v>
      </c>
      <c r="H16" s="446">
        <f ca="1">TRUNC(INDEX(WORLDCUP!$X$4:$X$147,MATCH(ADMIN!K16,WORLDCUP!$DT$4:$DT$147,0))+INDEX(Horarios!$R$3:$R$86,MATCH(Horarios!$C$3,Horarios!$P$3:$P$86,0))/24)</f>
        <v>46187</v>
      </c>
      <c r="I16" s="48">
        <v>1</v>
      </c>
      <c r="J16" s="96" t="s">
        <v>117</v>
      </c>
      <c r="K16" s="56" t="str">
        <f ca="1">CONCATENATE(WORLDCUP!AA44,"-",WORLDCUP!AF44)</f>
        <v>Países Bajos-Japón</v>
      </c>
      <c r="L16" s="53"/>
      <c r="M16" s="55" t="str">
        <f>IF(OR(WORLDCUP!AC44="",WORLDCUP!AD44=""),"-",N16&amp;"|"&amp;O16&amp;"-"&amp;P16)</f>
        <v>-</v>
      </c>
      <c r="N16" s="25" t="str">
        <f>IF(OR(WORLDCUP!AC44="",WORLDCUP!AD44=""),"",IF(WORLDCUP!AC44&gt;WORLDCUP!AD44,"1",IF(WORLDCUP!AC44&lt;WORLDCUP!AD44,"2","X")))</f>
        <v/>
      </c>
      <c r="O16" s="25">
        <f>WORLDCUP!AC44</f>
        <v>0</v>
      </c>
      <c r="P16" s="25">
        <f>WORLDCUP!AD44</f>
        <v>0</v>
      </c>
      <c r="Q16" s="25">
        <f t="shared" si="51"/>
        <v>0</v>
      </c>
      <c r="R16" s="49"/>
      <c r="S16" s="74" t="s">
        <v>1948</v>
      </c>
      <c r="T16" s="73">
        <f t="shared" si="48"/>
        <v>0</v>
      </c>
      <c r="U16" s="65"/>
      <c r="V16" s="74" t="s">
        <v>1954</v>
      </c>
      <c r="W16" s="73">
        <f t="shared" si="49"/>
        <v>0</v>
      </c>
      <c r="X16" s="65"/>
      <c r="Y16" s="74" t="s">
        <v>1944</v>
      </c>
      <c r="Z16" s="73">
        <f t="shared" si="50"/>
        <v>0</v>
      </c>
      <c r="AA16" s="65"/>
      <c r="AB16" s="74" t="s">
        <v>1944</v>
      </c>
      <c r="AC16" s="73">
        <f t="shared" si="50"/>
        <v>0</v>
      </c>
      <c r="AD16" s="65"/>
      <c r="AE16" s="74" t="s">
        <v>1948</v>
      </c>
      <c r="AF16" s="73">
        <f t="shared" si="50"/>
        <v>0</v>
      </c>
      <c r="AG16" s="65"/>
      <c r="AH16" s="74" t="s">
        <v>1948</v>
      </c>
      <c r="AI16" s="73">
        <f t="shared" si="50"/>
        <v>0</v>
      </c>
      <c r="AJ16" s="65"/>
      <c r="AK16" s="74" t="s">
        <v>1943</v>
      </c>
      <c r="AL16" s="73">
        <f t="shared" si="50"/>
        <v>0</v>
      </c>
      <c r="AM16" s="65"/>
      <c r="AN16" s="74" t="s">
        <v>1948</v>
      </c>
      <c r="AO16" s="73">
        <f t="shared" si="50"/>
        <v>0</v>
      </c>
      <c r="AP16" s="65"/>
      <c r="AQ16" s="74" t="s">
        <v>1948</v>
      </c>
      <c r="AR16" s="73">
        <f t="shared" si="50"/>
        <v>0</v>
      </c>
      <c r="AS16" s="65"/>
      <c r="AT16" s="74" t="s">
        <v>1950</v>
      </c>
      <c r="AU16" s="73">
        <f t="shared" si="50"/>
        <v>0</v>
      </c>
      <c r="AV16" s="65"/>
      <c r="AW16" s="74" t="s">
        <v>1948</v>
      </c>
      <c r="AX16" s="73">
        <f t="shared" si="50"/>
        <v>0</v>
      </c>
      <c r="AY16" s="65"/>
      <c r="AZ16" s="74" t="s">
        <v>1948</v>
      </c>
      <c r="BA16" s="73">
        <f t="shared" si="50"/>
        <v>0</v>
      </c>
      <c r="BB16" s="65"/>
      <c r="BC16" s="74" t="s">
        <v>1995</v>
      </c>
      <c r="BD16" s="73">
        <f t="shared" si="50"/>
        <v>0</v>
      </c>
      <c r="BE16" s="65"/>
      <c r="BF16" s="74" t="s">
        <v>1950</v>
      </c>
      <c r="BG16" s="73">
        <f t="shared" si="50"/>
        <v>0</v>
      </c>
      <c r="BH16" s="65"/>
      <c r="BI16" s="74" t="s">
        <v>1948</v>
      </c>
      <c r="BJ16" s="73">
        <f t="shared" si="50"/>
        <v>0</v>
      </c>
      <c r="BK16" s="65"/>
      <c r="BL16" s="74" t="s">
        <v>1995</v>
      </c>
      <c r="BM16" s="73">
        <f t="shared" si="50"/>
        <v>0</v>
      </c>
      <c r="BN16" s="65"/>
      <c r="BO16" s="74" t="s">
        <v>1948</v>
      </c>
      <c r="BP16" s="73">
        <f t="shared" si="50"/>
        <v>0</v>
      </c>
      <c r="BQ16" s="65"/>
      <c r="BR16" s="74" t="s">
        <v>1941</v>
      </c>
      <c r="BS16" s="73">
        <f t="shared" si="50"/>
        <v>0</v>
      </c>
      <c r="BT16" s="65"/>
      <c r="BU16" s="74" t="s">
        <v>1950</v>
      </c>
      <c r="BV16" s="73">
        <f t="shared" si="50"/>
        <v>0</v>
      </c>
      <c r="BW16" s="65"/>
      <c r="BX16" s="74" t="s">
        <v>1993</v>
      </c>
      <c r="BY16" s="73">
        <f t="shared" si="50"/>
        <v>0</v>
      </c>
      <c r="BZ16" s="65"/>
      <c r="CA16" s="74" t="s">
        <v>1950</v>
      </c>
      <c r="CB16" s="73">
        <f t="shared" si="50"/>
        <v>0</v>
      </c>
      <c r="CC16" s="65"/>
      <c r="CD16" s="74" t="s">
        <v>1948</v>
      </c>
      <c r="CE16" s="73">
        <f t="shared" si="50"/>
        <v>0</v>
      </c>
      <c r="CF16" s="65"/>
      <c r="CG16" s="74" t="s">
        <v>1954</v>
      </c>
      <c r="CH16" s="73">
        <f t="shared" si="50"/>
        <v>0</v>
      </c>
      <c r="CI16" s="65"/>
      <c r="CJ16" s="74" t="s">
        <v>1948</v>
      </c>
      <c r="CK16" s="73">
        <f t="shared" si="45"/>
        <v>0</v>
      </c>
      <c r="CL16" s="65"/>
      <c r="CM16" s="74" t="s">
        <v>1948</v>
      </c>
      <c r="CN16" s="73">
        <f t="shared" si="45"/>
        <v>0</v>
      </c>
      <c r="CO16" s="65"/>
      <c r="CP16" s="65"/>
    </row>
    <row r="17" spans="1:94">
      <c r="A17" s="49"/>
      <c r="B17" s="49"/>
      <c r="C17" s="438" t="str">
        <f>Idiomas!D313&amp;"**"</f>
        <v>DIECISEISAVOS - Diferencia/Distancia de goles (Con 1X2 acertado)**</v>
      </c>
      <c r="D17" s="44">
        <v>0</v>
      </c>
      <c r="E17" s="111"/>
      <c r="F17" s="445">
        <f t="shared" si="47"/>
        <v>6</v>
      </c>
      <c r="G17" s="445">
        <f ca="1">VLOOKUP(H17,Equipos!$Q$1:$R$25,2,0)</f>
        <v>4</v>
      </c>
      <c r="H17" s="446">
        <f ca="1">TRUNC(INDEX(WORLDCUP!$X$4:$X$147,MATCH(ADMIN!K17,WORLDCUP!$DT$4:$DT$147,0))+INDEX(Horarios!$R$3:$R$86,MATCH(Horarios!$C$3,Horarios!$P$3:$P$86,0))/24)</f>
        <v>46187</v>
      </c>
      <c r="I17" s="48">
        <v>1</v>
      </c>
      <c r="J17" s="96" t="s">
        <v>117</v>
      </c>
      <c r="K17" s="53" t="str">
        <f ca="1">CONCATENATE(WORLDCUP!AA45,"-",WORLDCUP!AF45)</f>
        <v>Suecia-Túnez</v>
      </c>
      <c r="L17" s="53"/>
      <c r="M17" s="55" t="str">
        <f>IF(OR(WORLDCUP!AC45="",WORLDCUP!AD45=""),"-",N17&amp;"|"&amp;O17&amp;"-"&amp;P17)</f>
        <v>-</v>
      </c>
      <c r="N17" s="25" t="str">
        <f>IF(OR(WORLDCUP!AC45="",WORLDCUP!AD45=""),"",IF(WORLDCUP!AC45&gt;WORLDCUP!AD45,"1",IF(WORLDCUP!AC45&lt;WORLDCUP!AD45,"2","X")))</f>
        <v/>
      </c>
      <c r="O17" s="25">
        <f>WORLDCUP!AC45</f>
        <v>0</v>
      </c>
      <c r="P17" s="25">
        <f>WORLDCUP!AD45</f>
        <v>0</v>
      </c>
      <c r="Q17" s="25">
        <f t="shared" si="51"/>
        <v>0</v>
      </c>
      <c r="R17" s="49"/>
      <c r="S17" s="74" t="s">
        <v>1942</v>
      </c>
      <c r="T17" s="73">
        <f t="shared" si="48"/>
        <v>0</v>
      </c>
      <c r="U17" s="65"/>
      <c r="V17" s="74" t="s">
        <v>1950</v>
      </c>
      <c r="W17" s="73">
        <f t="shared" si="49"/>
        <v>0</v>
      </c>
      <c r="X17" s="65"/>
      <c r="Y17" s="74" t="s">
        <v>1946</v>
      </c>
      <c r="Z17" s="73">
        <f t="shared" si="50"/>
        <v>0</v>
      </c>
      <c r="AA17" s="65"/>
      <c r="AB17" s="74" t="s">
        <v>1943</v>
      </c>
      <c r="AC17" s="73">
        <f t="shared" si="50"/>
        <v>0</v>
      </c>
      <c r="AD17" s="65"/>
      <c r="AE17" s="74" t="s">
        <v>1942</v>
      </c>
      <c r="AF17" s="73">
        <f t="shared" si="50"/>
        <v>0</v>
      </c>
      <c r="AG17" s="65"/>
      <c r="AH17" s="74" t="s">
        <v>1941</v>
      </c>
      <c r="AI17" s="73">
        <f t="shared" si="50"/>
        <v>0</v>
      </c>
      <c r="AJ17" s="65"/>
      <c r="AK17" s="74" t="s">
        <v>1948</v>
      </c>
      <c r="AL17" s="73">
        <f t="shared" si="50"/>
        <v>0</v>
      </c>
      <c r="AM17" s="65"/>
      <c r="AN17" s="74" t="s">
        <v>1943</v>
      </c>
      <c r="AO17" s="73">
        <f t="shared" si="50"/>
        <v>0</v>
      </c>
      <c r="AP17" s="65"/>
      <c r="AQ17" s="74" t="s">
        <v>1941</v>
      </c>
      <c r="AR17" s="73">
        <f t="shared" si="50"/>
        <v>0</v>
      </c>
      <c r="AS17" s="65"/>
      <c r="AT17" s="74" t="s">
        <v>1941</v>
      </c>
      <c r="AU17" s="73">
        <f t="shared" si="50"/>
        <v>0</v>
      </c>
      <c r="AV17" s="65"/>
      <c r="AW17" s="74" t="s">
        <v>1943</v>
      </c>
      <c r="AX17" s="73">
        <f t="shared" si="50"/>
        <v>0</v>
      </c>
      <c r="AY17" s="65"/>
      <c r="AZ17" s="74" t="s">
        <v>1950</v>
      </c>
      <c r="BA17" s="73">
        <f t="shared" si="50"/>
        <v>0</v>
      </c>
      <c r="BB17" s="65"/>
      <c r="BC17" s="74" t="s">
        <v>1950</v>
      </c>
      <c r="BD17" s="73">
        <f t="shared" si="50"/>
        <v>0</v>
      </c>
      <c r="BE17" s="65"/>
      <c r="BF17" s="74" t="s">
        <v>1941</v>
      </c>
      <c r="BG17" s="73">
        <f t="shared" si="50"/>
        <v>0</v>
      </c>
      <c r="BH17" s="65"/>
      <c r="BI17" s="74" t="s">
        <v>1943</v>
      </c>
      <c r="BJ17" s="73">
        <f t="shared" si="50"/>
        <v>0</v>
      </c>
      <c r="BK17" s="65"/>
      <c r="BL17" s="74" t="s">
        <v>1943</v>
      </c>
      <c r="BM17" s="73">
        <f t="shared" si="50"/>
        <v>0</v>
      </c>
      <c r="BN17" s="65"/>
      <c r="BO17" s="74" t="s">
        <v>1941</v>
      </c>
      <c r="BP17" s="73">
        <f t="shared" si="50"/>
        <v>0</v>
      </c>
      <c r="BQ17" s="65"/>
      <c r="BR17" s="74" t="s">
        <v>1948</v>
      </c>
      <c r="BS17" s="73">
        <f t="shared" si="50"/>
        <v>0</v>
      </c>
      <c r="BT17" s="65"/>
      <c r="BU17" s="74" t="s">
        <v>1948</v>
      </c>
      <c r="BV17" s="73">
        <f t="shared" si="50"/>
        <v>0</v>
      </c>
      <c r="BW17" s="65"/>
      <c r="BX17" s="74" t="s">
        <v>1950</v>
      </c>
      <c r="BY17" s="73">
        <f t="shared" si="50"/>
        <v>0</v>
      </c>
      <c r="BZ17" s="65"/>
      <c r="CA17" s="74" t="s">
        <v>1949</v>
      </c>
      <c r="CB17" s="73">
        <f t="shared" si="50"/>
        <v>0</v>
      </c>
      <c r="CC17" s="65"/>
      <c r="CD17" s="74" t="s">
        <v>1942</v>
      </c>
      <c r="CE17" s="73">
        <f t="shared" si="50"/>
        <v>0</v>
      </c>
      <c r="CF17" s="65"/>
      <c r="CG17" s="74" t="s">
        <v>1942</v>
      </c>
      <c r="CH17" s="73">
        <f t="shared" si="50"/>
        <v>0</v>
      </c>
      <c r="CI17" s="65"/>
      <c r="CJ17" s="74" t="s">
        <v>1948</v>
      </c>
      <c r="CK17" s="73">
        <f t="shared" si="45"/>
        <v>0</v>
      </c>
      <c r="CL17" s="65"/>
      <c r="CM17" s="74" t="s">
        <v>1943</v>
      </c>
      <c r="CN17" s="73">
        <f t="shared" si="45"/>
        <v>0</v>
      </c>
      <c r="CO17" s="65"/>
      <c r="CP17" s="65"/>
    </row>
    <row r="18" spans="1:94">
      <c r="A18" s="49"/>
      <c r="B18" s="49"/>
      <c r="C18" s="437" t="str">
        <f>Idiomas!D314</f>
        <v>DIECISEISAVOS - Resultado exacto</v>
      </c>
      <c r="D18" s="62">
        <v>6</v>
      </c>
      <c r="E18" s="111"/>
      <c r="F18" s="445">
        <f t="shared" si="47"/>
        <v>6</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v>
      </c>
      <c r="N18" s="25" t="str">
        <f>IF(OR(WORLDCUP!AC52="",WORLDCUP!AD52=""),"",IF(WORLDCUP!AC52&gt;WORLDCUP!AD52,"1",IF(WORLDCUP!AC52&lt;WORLDCUP!AD52,"2","X")))</f>
        <v/>
      </c>
      <c r="O18" s="25">
        <f>WORLDCUP!AC52</f>
        <v>0</v>
      </c>
      <c r="P18" s="25">
        <f>WORLDCUP!AD52</f>
        <v>0</v>
      </c>
      <c r="Q18" s="25">
        <f t="shared" si="51"/>
        <v>0</v>
      </c>
      <c r="R18" s="49"/>
      <c r="S18" s="74" t="s">
        <v>1948</v>
      </c>
      <c r="T18" s="73">
        <f t="shared" si="48"/>
        <v>0</v>
      </c>
      <c r="U18" s="65"/>
      <c r="V18" s="74" t="s">
        <v>1950</v>
      </c>
      <c r="W18" s="73">
        <f t="shared" si="49"/>
        <v>0</v>
      </c>
      <c r="X18" s="65"/>
      <c r="Y18" s="74" t="s">
        <v>1950</v>
      </c>
      <c r="Z18" s="73">
        <f t="shared" si="50"/>
        <v>0</v>
      </c>
      <c r="AA18" s="65"/>
      <c r="AB18" s="74" t="s">
        <v>1941</v>
      </c>
      <c r="AC18" s="73">
        <f t="shared" si="50"/>
        <v>0</v>
      </c>
      <c r="AD18" s="65"/>
      <c r="AE18" s="74" t="s">
        <v>1948</v>
      </c>
      <c r="AF18" s="73">
        <f t="shared" si="50"/>
        <v>0</v>
      </c>
      <c r="AG18" s="65"/>
      <c r="AH18" s="74" t="s">
        <v>1948</v>
      </c>
      <c r="AI18" s="73">
        <f t="shared" si="50"/>
        <v>0</v>
      </c>
      <c r="AJ18" s="65"/>
      <c r="AK18" s="74" t="s">
        <v>1948</v>
      </c>
      <c r="AL18" s="73">
        <f t="shared" si="50"/>
        <v>0</v>
      </c>
      <c r="AM18" s="65"/>
      <c r="AN18" s="74" t="s">
        <v>1941</v>
      </c>
      <c r="AO18" s="73">
        <f t="shared" si="50"/>
        <v>0</v>
      </c>
      <c r="AP18" s="65"/>
      <c r="AQ18" s="74" t="s">
        <v>1948</v>
      </c>
      <c r="AR18" s="73">
        <f t="shared" si="50"/>
        <v>0</v>
      </c>
      <c r="AS18" s="65"/>
      <c r="AT18" s="74" t="s">
        <v>1949</v>
      </c>
      <c r="AU18" s="73">
        <f t="shared" si="50"/>
        <v>0</v>
      </c>
      <c r="AV18" s="65"/>
      <c r="AW18" s="74" t="s">
        <v>1949</v>
      </c>
      <c r="AX18" s="73">
        <f t="shared" si="50"/>
        <v>0</v>
      </c>
      <c r="AY18" s="65"/>
      <c r="AZ18" s="74" t="s">
        <v>1995</v>
      </c>
      <c r="BA18" s="73">
        <f t="shared" si="50"/>
        <v>0</v>
      </c>
      <c r="BB18" s="65"/>
      <c r="BC18" s="74" t="s">
        <v>1948</v>
      </c>
      <c r="BD18" s="73">
        <f t="shared" si="50"/>
        <v>0</v>
      </c>
      <c r="BE18" s="65"/>
      <c r="BF18" s="74" t="s">
        <v>1948</v>
      </c>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t="s">
        <v>1941</v>
      </c>
      <c r="BJ18" s="73">
        <f t="shared" si="52"/>
        <v>0</v>
      </c>
      <c r="BK18" s="65"/>
      <c r="BL18" s="74" t="s">
        <v>1948</v>
      </c>
      <c r="BM18" s="73">
        <f t="shared" si="52"/>
        <v>0</v>
      </c>
      <c r="BN18" s="65"/>
      <c r="BO18" s="74" t="s">
        <v>1942</v>
      </c>
      <c r="BP18" s="73">
        <f t="shared" si="52"/>
        <v>0</v>
      </c>
      <c r="BQ18" s="65"/>
      <c r="BR18" s="74" t="s">
        <v>1950</v>
      </c>
      <c r="BS18" s="73">
        <f t="shared" si="52"/>
        <v>0</v>
      </c>
      <c r="BT18" s="65"/>
      <c r="BU18" s="74" t="s">
        <v>1941</v>
      </c>
      <c r="BV18" s="73">
        <f t="shared" si="52"/>
        <v>0</v>
      </c>
      <c r="BW18" s="65"/>
      <c r="BX18" s="74" t="s">
        <v>1950</v>
      </c>
      <c r="BY18" s="73">
        <f t="shared" si="52"/>
        <v>0</v>
      </c>
      <c r="BZ18" s="65"/>
      <c r="CA18" s="74" t="s">
        <v>1950</v>
      </c>
      <c r="CB18" s="73">
        <f t="shared" si="52"/>
        <v>0</v>
      </c>
      <c r="CC18" s="65"/>
      <c r="CD18" s="74" t="s">
        <v>1948</v>
      </c>
      <c r="CE18" s="73">
        <f t="shared" si="52"/>
        <v>0</v>
      </c>
      <c r="CF18" s="65"/>
      <c r="CG18" s="74" t="s">
        <v>1941</v>
      </c>
      <c r="CH18" s="73">
        <f t="shared" si="52"/>
        <v>0</v>
      </c>
      <c r="CI18" s="65"/>
      <c r="CJ18" s="74" t="s">
        <v>1941</v>
      </c>
      <c r="CK18" s="73">
        <f t="shared" si="52"/>
        <v>0</v>
      </c>
      <c r="CL18" s="65"/>
      <c r="CM18" s="74" t="s">
        <v>1948</v>
      </c>
      <c r="CN18" s="73">
        <f t="shared" si="52"/>
        <v>0</v>
      </c>
      <c r="CO18" s="65"/>
      <c r="CP18" s="65"/>
    </row>
    <row r="19" spans="1:94">
      <c r="A19" s="49"/>
      <c r="B19" s="49"/>
      <c r="C19" s="439" t="str">
        <f>Idiomas!D315</f>
        <v>Equipo clasificado para OCTAVOS</v>
      </c>
      <c r="D19" s="45">
        <v>4</v>
      </c>
      <c r="E19" s="111"/>
      <c r="F19" s="445">
        <f t="shared" si="47"/>
        <v>6</v>
      </c>
      <c r="G19" s="445">
        <f ca="1">VLOOKUP(H19,Equipos!$Q$1:$R$25,2,0)</f>
        <v>5</v>
      </c>
      <c r="H19" s="446">
        <f ca="1">TRUNC(INDEX(WORLDCUP!$X$4:$X$147,MATCH(ADMIN!K19,WORLDCUP!$DT$4:$DT$147,0))+INDEX(Horarios!$R$3:$R$86,MATCH(Horarios!$C$3,Horarios!$P$3:$P$86,0))/24)</f>
        <v>46188</v>
      </c>
      <c r="I19" s="48">
        <v>1</v>
      </c>
      <c r="J19" s="95" t="s">
        <v>510</v>
      </c>
      <c r="K19" s="53" t="str">
        <f ca="1">CONCATENATE(WORLDCUP!AA53,"-",WORLDCUP!AF53)</f>
        <v>Irán-Nueva Zelanda</v>
      </c>
      <c r="L19" s="53"/>
      <c r="M19" s="55" t="str">
        <f>IF(OR(WORLDCUP!AC53="",WORLDCUP!AD53=""),"-",N19&amp;"|"&amp;O19&amp;"-"&amp;P19)</f>
        <v>-</v>
      </c>
      <c r="N19" s="25" t="str">
        <f>IF(OR(WORLDCUP!AC53="",WORLDCUP!AD53=""),"",IF(WORLDCUP!AC53&gt;WORLDCUP!AD53,"1",IF(WORLDCUP!AC53&lt;WORLDCUP!AD53,"2","X")))</f>
        <v/>
      </c>
      <c r="O19" s="25">
        <f>WORLDCUP!AC53</f>
        <v>0</v>
      </c>
      <c r="P19" s="25">
        <f>WORLDCUP!AD53</f>
        <v>0</v>
      </c>
      <c r="Q19" s="25">
        <f t="shared" si="51"/>
        <v>0</v>
      </c>
      <c r="R19" s="49"/>
      <c r="S19" s="74" t="s">
        <v>1945</v>
      </c>
      <c r="T19" s="73">
        <f t="shared" si="48"/>
        <v>0</v>
      </c>
      <c r="U19" s="65"/>
      <c r="V19" s="74" t="s">
        <v>1945</v>
      </c>
      <c r="W19" s="73">
        <f t="shared" si="49"/>
        <v>0</v>
      </c>
      <c r="X19" s="65"/>
      <c r="Y19" s="74" t="s">
        <v>1948</v>
      </c>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t="s">
        <v>1942</v>
      </c>
      <c r="AC19" s="73">
        <f t="shared" si="53"/>
        <v>0</v>
      </c>
      <c r="AD19" s="65"/>
      <c r="AE19" s="74" t="s">
        <v>1946</v>
      </c>
      <c r="AF19" s="73">
        <f t="shared" si="53"/>
        <v>0</v>
      </c>
      <c r="AG19" s="65"/>
      <c r="AH19" s="74" t="s">
        <v>1943</v>
      </c>
      <c r="AI19" s="73">
        <f t="shared" si="53"/>
        <v>0</v>
      </c>
      <c r="AJ19" s="65"/>
      <c r="AK19" s="74" t="s">
        <v>1943</v>
      </c>
      <c r="AL19" s="73">
        <f t="shared" si="53"/>
        <v>0</v>
      </c>
      <c r="AM19" s="65"/>
      <c r="AN19" s="74" t="s">
        <v>1942</v>
      </c>
      <c r="AO19" s="73">
        <f t="shared" si="53"/>
        <v>0</v>
      </c>
      <c r="AP19" s="65"/>
      <c r="AQ19" s="74" t="s">
        <v>1948</v>
      </c>
      <c r="AR19" s="73">
        <f t="shared" si="53"/>
        <v>0</v>
      </c>
      <c r="AS19" s="65"/>
      <c r="AT19" s="74" t="s">
        <v>1943</v>
      </c>
      <c r="AU19" s="73">
        <f t="shared" si="53"/>
        <v>0</v>
      </c>
      <c r="AV19" s="65"/>
      <c r="AW19" s="74" t="s">
        <v>1942</v>
      </c>
      <c r="AX19" s="73">
        <f t="shared" si="53"/>
        <v>0</v>
      </c>
      <c r="AY19" s="65"/>
      <c r="AZ19" s="74" t="s">
        <v>1943</v>
      </c>
      <c r="BA19" s="73">
        <f t="shared" si="53"/>
        <v>0</v>
      </c>
      <c r="BB19" s="65"/>
      <c r="BC19" s="74" t="s">
        <v>1952</v>
      </c>
      <c r="BD19" s="73">
        <f t="shared" si="53"/>
        <v>0</v>
      </c>
      <c r="BE19" s="65"/>
      <c r="BF19" s="74" t="s">
        <v>1943</v>
      </c>
      <c r="BG19" s="73">
        <f t="shared" si="53"/>
        <v>0</v>
      </c>
      <c r="BH19" s="65"/>
      <c r="BI19" s="74" t="s">
        <v>1943</v>
      </c>
      <c r="BJ19" s="73">
        <f t="shared" si="53"/>
        <v>0</v>
      </c>
      <c r="BK19" s="65"/>
      <c r="BL19" s="74" t="s">
        <v>1941</v>
      </c>
      <c r="BM19" s="73">
        <f t="shared" si="53"/>
        <v>0</v>
      </c>
      <c r="BN19" s="65"/>
      <c r="BO19" s="74" t="s">
        <v>1941</v>
      </c>
      <c r="BP19" s="73">
        <f t="shared" si="53"/>
        <v>0</v>
      </c>
      <c r="BQ19" s="65"/>
      <c r="BR19" s="74" t="s">
        <v>1943</v>
      </c>
      <c r="BS19" s="73">
        <f t="shared" si="53"/>
        <v>0</v>
      </c>
      <c r="BT19" s="65"/>
      <c r="BU19" s="74" t="s">
        <v>1948</v>
      </c>
      <c r="BV19" s="73">
        <f t="shared" si="53"/>
        <v>0</v>
      </c>
      <c r="BW19" s="65"/>
      <c r="BX19" s="74" t="s">
        <v>1948</v>
      </c>
      <c r="BY19" s="73">
        <f t="shared" si="53"/>
        <v>0</v>
      </c>
      <c r="BZ19" s="65"/>
      <c r="CA19" s="74" t="s">
        <v>1992</v>
      </c>
      <c r="CB19" s="73">
        <f t="shared" si="53"/>
        <v>0</v>
      </c>
      <c r="CC19" s="65"/>
      <c r="CD19" s="74" t="s">
        <v>1944</v>
      </c>
      <c r="CE19" s="73">
        <f t="shared" si="53"/>
        <v>0</v>
      </c>
      <c r="CF19" s="65"/>
      <c r="CG19" s="74" t="s">
        <v>1942</v>
      </c>
      <c r="CH19" s="73">
        <f t="shared" si="53"/>
        <v>0</v>
      </c>
      <c r="CI19" s="65"/>
      <c r="CJ19" s="74" t="s">
        <v>1941</v>
      </c>
      <c r="CK19" s="73">
        <f t="shared" si="52"/>
        <v>0</v>
      </c>
      <c r="CL19" s="65"/>
      <c r="CM19" s="74" t="s">
        <v>1943</v>
      </c>
      <c r="CN19" s="73">
        <f t="shared" si="52"/>
        <v>0</v>
      </c>
      <c r="CO19" s="65"/>
      <c r="CP19" s="65"/>
    </row>
    <row r="20" spans="1:94">
      <c r="A20" s="49"/>
      <c r="B20" s="49"/>
      <c r="C20" s="437" t="str">
        <f>Idiomas!D316</f>
        <v>OCTAVOS - Signo 1X2  (local, empate, visitante)</v>
      </c>
      <c r="D20" s="62">
        <v>4</v>
      </c>
      <c r="E20" s="111"/>
      <c r="F20" s="445">
        <f t="shared" si="47"/>
        <v>6</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España-Cabo Verde</v>
      </c>
      <c r="L20" s="53"/>
      <c r="M20" s="55" t="str">
        <f>IF(OR(WORLDCUP!AC60="",WORLDCUP!AD60=""),"-",N20&amp;"|"&amp;O20&amp;"-"&amp;P20)</f>
        <v>-</v>
      </c>
      <c r="N20" s="25" t="str">
        <f>IF(OR(WORLDCUP!AC60="",WORLDCUP!AD60=""),"",IF(WORLDCUP!AC60&gt;WORLDCUP!AD60,"1",IF(WORLDCUP!AC60&lt;WORLDCUP!AD60,"2","X")))</f>
        <v/>
      </c>
      <c r="O20" s="25">
        <f>WORLDCUP!AC60</f>
        <v>0</v>
      </c>
      <c r="P20" s="25">
        <f>WORLDCUP!AD60</f>
        <v>0</v>
      </c>
      <c r="Q20" s="25">
        <f t="shared" si="51"/>
        <v>0</v>
      </c>
      <c r="R20" s="49"/>
      <c r="S20" s="74" t="s">
        <v>1949</v>
      </c>
      <c r="T20" s="73">
        <f t="shared" si="48"/>
        <v>0</v>
      </c>
      <c r="U20" s="65"/>
      <c r="V20" s="74" t="s">
        <v>1951</v>
      </c>
      <c r="W20" s="73">
        <f t="shared" si="49"/>
        <v>0</v>
      </c>
      <c r="X20" s="65"/>
      <c r="Y20" s="74" t="s">
        <v>1941</v>
      </c>
      <c r="Z20" s="73">
        <f t="shared" si="53"/>
        <v>0</v>
      </c>
      <c r="AA20" s="65"/>
      <c r="AB20" s="74" t="s">
        <v>2070</v>
      </c>
      <c r="AC20" s="73">
        <f t="shared" si="53"/>
        <v>0</v>
      </c>
      <c r="AD20" s="65"/>
      <c r="AE20" s="74" t="s">
        <v>1949</v>
      </c>
      <c r="AF20" s="73">
        <f t="shared" si="53"/>
        <v>0</v>
      </c>
      <c r="AG20" s="65"/>
      <c r="AH20" s="74" t="s">
        <v>1947</v>
      </c>
      <c r="AI20" s="73">
        <f t="shared" si="53"/>
        <v>0</v>
      </c>
      <c r="AJ20" s="65"/>
      <c r="AK20" s="74" t="s">
        <v>1947</v>
      </c>
      <c r="AL20" s="73">
        <f t="shared" si="53"/>
        <v>0</v>
      </c>
      <c r="AM20" s="65"/>
      <c r="AN20" s="74" t="s">
        <v>1947</v>
      </c>
      <c r="AO20" s="73">
        <f t="shared" si="53"/>
        <v>0</v>
      </c>
      <c r="AP20" s="65"/>
      <c r="AQ20" s="74" t="s">
        <v>1949</v>
      </c>
      <c r="AR20" s="73">
        <f t="shared" si="53"/>
        <v>0</v>
      </c>
      <c r="AS20" s="65"/>
      <c r="AT20" s="74" t="s">
        <v>1949</v>
      </c>
      <c r="AU20" s="73">
        <f t="shared" si="53"/>
        <v>0</v>
      </c>
      <c r="AV20" s="65"/>
      <c r="AW20" s="74" t="s">
        <v>1947</v>
      </c>
      <c r="AX20" s="73">
        <f t="shared" si="53"/>
        <v>0</v>
      </c>
      <c r="AY20" s="65"/>
      <c r="AZ20" s="74" t="s">
        <v>1949</v>
      </c>
      <c r="BA20" s="73">
        <f t="shared" si="53"/>
        <v>0</v>
      </c>
      <c r="BB20" s="65"/>
      <c r="BC20" s="74" t="s">
        <v>1949</v>
      </c>
      <c r="BD20" s="73">
        <f t="shared" si="53"/>
        <v>0</v>
      </c>
      <c r="BE20" s="65"/>
      <c r="BF20" s="74" t="s">
        <v>2070</v>
      </c>
      <c r="BG20" s="73">
        <f t="shared" si="53"/>
        <v>0</v>
      </c>
      <c r="BH20" s="65"/>
      <c r="BI20" s="74" t="s">
        <v>1947</v>
      </c>
      <c r="BJ20" s="73">
        <f t="shared" si="53"/>
        <v>0</v>
      </c>
      <c r="BK20" s="65"/>
      <c r="BL20" s="74" t="s">
        <v>1949</v>
      </c>
      <c r="BM20" s="73">
        <f t="shared" si="53"/>
        <v>0</v>
      </c>
      <c r="BN20" s="65"/>
      <c r="BO20" s="74" t="s">
        <v>1949</v>
      </c>
      <c r="BP20" s="73">
        <f t="shared" si="53"/>
        <v>0</v>
      </c>
      <c r="BQ20" s="65"/>
      <c r="BR20" s="74" t="s">
        <v>1947</v>
      </c>
      <c r="BS20" s="73">
        <f t="shared" si="53"/>
        <v>0</v>
      </c>
      <c r="BT20" s="65"/>
      <c r="BU20" s="74" t="s">
        <v>1947</v>
      </c>
      <c r="BV20" s="73">
        <f t="shared" si="53"/>
        <v>0</v>
      </c>
      <c r="BW20" s="65"/>
      <c r="BX20" s="74" t="s">
        <v>2070</v>
      </c>
      <c r="BY20" s="73">
        <f t="shared" si="53"/>
        <v>0</v>
      </c>
      <c r="BZ20" s="65"/>
      <c r="CA20" s="74" t="s">
        <v>2070</v>
      </c>
      <c r="CB20" s="73">
        <f t="shared" si="53"/>
        <v>0</v>
      </c>
      <c r="CC20" s="65"/>
      <c r="CD20" s="74" t="s">
        <v>2490</v>
      </c>
      <c r="CE20" s="73">
        <f t="shared" si="53"/>
        <v>0</v>
      </c>
      <c r="CF20" s="65"/>
      <c r="CG20" s="74" t="s">
        <v>1947</v>
      </c>
      <c r="CH20" s="73">
        <f t="shared" si="53"/>
        <v>0</v>
      </c>
      <c r="CI20" s="65"/>
      <c r="CJ20" s="74" t="s">
        <v>1949</v>
      </c>
      <c r="CK20" s="73">
        <f t="shared" si="52"/>
        <v>0</v>
      </c>
      <c r="CL20" s="65"/>
      <c r="CM20" s="74" t="s">
        <v>1949</v>
      </c>
      <c r="CN20" s="73">
        <f t="shared" si="52"/>
        <v>0</v>
      </c>
      <c r="CO20" s="65"/>
      <c r="CP20" s="65"/>
    </row>
    <row r="21" spans="1:94">
      <c r="A21" s="49"/>
      <c r="B21" s="49"/>
      <c r="C21" s="438" t="str">
        <f>Idiomas!D317&amp;"**"</f>
        <v>OCTAVOS -Diferencia/Distancia de goles (Con 1X2 acertado)**</v>
      </c>
      <c r="D21" s="44">
        <v>0</v>
      </c>
      <c r="E21" s="111"/>
      <c r="F21" s="445">
        <f t="shared" si="47"/>
        <v>6</v>
      </c>
      <c r="G21" s="445">
        <f ca="1">VLOOKUP(H21,Equipos!$Q$1:$R$25,2,0)</f>
        <v>5</v>
      </c>
      <c r="H21" s="446">
        <f ca="1">TRUNC(INDEX(WORLDCUP!$X$4:$X$147,MATCH(ADMIN!K21,WORLDCUP!$DT$4:$DT$147,0))+INDEX(Horarios!$R$3:$R$86,MATCH(Horarios!$C$3,Horarios!$P$3:$P$86,0))/24)</f>
        <v>46188</v>
      </c>
      <c r="I21" s="48">
        <v>1</v>
      </c>
      <c r="J21" s="96" t="s">
        <v>512</v>
      </c>
      <c r="K21" s="53" t="str">
        <f ca="1">CONCATENATE(WORLDCUP!AA61,"-",WORLDCUP!AF61)</f>
        <v>Arabia Saudita-Uruguay</v>
      </c>
      <c r="L21" s="53"/>
      <c r="M21" s="55" t="str">
        <f>IF(OR(WORLDCUP!AC61="",WORLDCUP!AD61=""),"-",N21&amp;"|"&amp;O21&amp;"-"&amp;P21)</f>
        <v>-</v>
      </c>
      <c r="N21" s="25" t="str">
        <f>IF(OR(WORLDCUP!AC61="",WORLDCUP!AD61=""),"",IF(WORLDCUP!AC61&gt;WORLDCUP!AD61,"1",IF(WORLDCUP!AC61&lt;WORLDCUP!AD61,"2","X")))</f>
        <v/>
      </c>
      <c r="O21" s="25">
        <f>WORLDCUP!AC61</f>
        <v>0</v>
      </c>
      <c r="P21" s="25">
        <f>WORLDCUP!AD61</f>
        <v>0</v>
      </c>
      <c r="Q21" s="25">
        <f t="shared" si="51"/>
        <v>0</v>
      </c>
      <c r="R21" s="49"/>
      <c r="S21" s="74" t="s">
        <v>1945</v>
      </c>
      <c r="T21" s="73">
        <f t="shared" si="48"/>
        <v>0</v>
      </c>
      <c r="U21" s="65"/>
      <c r="V21" s="74" t="s">
        <v>1992</v>
      </c>
      <c r="W21" s="73">
        <f t="shared" si="49"/>
        <v>0</v>
      </c>
      <c r="X21" s="65"/>
      <c r="Y21" s="74" t="s">
        <v>1952</v>
      </c>
      <c r="Z21" s="73">
        <f t="shared" si="53"/>
        <v>0</v>
      </c>
      <c r="AA21" s="65"/>
      <c r="AB21" s="74" t="s">
        <v>1944</v>
      </c>
      <c r="AC21" s="73">
        <f t="shared" si="53"/>
        <v>0</v>
      </c>
      <c r="AD21" s="65"/>
      <c r="AE21" s="74" t="s">
        <v>1942</v>
      </c>
      <c r="AF21" s="73">
        <f t="shared" si="53"/>
        <v>0</v>
      </c>
      <c r="AG21" s="65"/>
      <c r="AH21" s="74" t="s">
        <v>1954</v>
      </c>
      <c r="AI21" s="73">
        <f t="shared" si="53"/>
        <v>0</v>
      </c>
      <c r="AJ21" s="65"/>
      <c r="AK21" s="74" t="s">
        <v>1945</v>
      </c>
      <c r="AL21" s="73">
        <f t="shared" si="53"/>
        <v>0</v>
      </c>
      <c r="AM21" s="65"/>
      <c r="AN21" s="74" t="s">
        <v>1945</v>
      </c>
      <c r="AO21" s="73">
        <f t="shared" si="53"/>
        <v>0</v>
      </c>
      <c r="AP21" s="65"/>
      <c r="AQ21" s="74" t="s">
        <v>1945</v>
      </c>
      <c r="AR21" s="73">
        <f t="shared" si="53"/>
        <v>0</v>
      </c>
      <c r="AS21" s="65"/>
      <c r="AT21" s="74" t="s">
        <v>1953</v>
      </c>
      <c r="AU21" s="73">
        <f t="shared" si="53"/>
        <v>0</v>
      </c>
      <c r="AV21" s="65"/>
      <c r="AW21" s="74" t="s">
        <v>1953</v>
      </c>
      <c r="AX21" s="73">
        <f t="shared" si="53"/>
        <v>0</v>
      </c>
      <c r="AY21" s="65"/>
      <c r="AZ21" s="74" t="s">
        <v>1995</v>
      </c>
      <c r="BA21" s="73">
        <f t="shared" si="53"/>
        <v>0</v>
      </c>
      <c r="BB21" s="65"/>
      <c r="BC21" s="74" t="s">
        <v>1948</v>
      </c>
      <c r="BD21" s="73">
        <f t="shared" si="53"/>
        <v>0</v>
      </c>
      <c r="BE21" s="65"/>
      <c r="BF21" s="74" t="s">
        <v>1952</v>
      </c>
      <c r="BG21" s="73">
        <f t="shared" si="53"/>
        <v>0</v>
      </c>
      <c r="BH21" s="65"/>
      <c r="BI21" s="74" t="s">
        <v>1954</v>
      </c>
      <c r="BJ21" s="73">
        <f t="shared" si="53"/>
        <v>0</v>
      </c>
      <c r="BK21" s="65"/>
      <c r="BL21" s="74" t="s">
        <v>1954</v>
      </c>
      <c r="BM21" s="73">
        <f t="shared" si="53"/>
        <v>0</v>
      </c>
      <c r="BN21" s="65"/>
      <c r="BO21" s="74" t="s">
        <v>1942</v>
      </c>
      <c r="BP21" s="73">
        <f t="shared" si="53"/>
        <v>0</v>
      </c>
      <c r="BQ21" s="65"/>
      <c r="BR21" s="74" t="s">
        <v>1954</v>
      </c>
      <c r="BS21" s="73">
        <f t="shared" si="53"/>
        <v>0</v>
      </c>
      <c r="BT21" s="65"/>
      <c r="BU21" s="74" t="s">
        <v>1944</v>
      </c>
      <c r="BV21" s="73">
        <f t="shared" si="53"/>
        <v>0</v>
      </c>
      <c r="BW21" s="65"/>
      <c r="BX21" s="74" t="s">
        <v>1953</v>
      </c>
      <c r="BY21" s="73">
        <f t="shared" si="53"/>
        <v>0</v>
      </c>
      <c r="BZ21" s="65"/>
      <c r="CA21" s="74" t="s">
        <v>1952</v>
      </c>
      <c r="CB21" s="73">
        <f t="shared" si="53"/>
        <v>0</v>
      </c>
      <c r="CC21" s="65"/>
      <c r="CD21" s="74" t="s">
        <v>1997</v>
      </c>
      <c r="CE21" s="73">
        <f t="shared" si="53"/>
        <v>0</v>
      </c>
      <c r="CF21" s="65"/>
      <c r="CG21" s="74" t="s">
        <v>1954</v>
      </c>
      <c r="CH21" s="73">
        <f t="shared" si="53"/>
        <v>0</v>
      </c>
      <c r="CI21" s="65"/>
      <c r="CJ21" s="74" t="s">
        <v>1942</v>
      </c>
      <c r="CK21" s="73">
        <f t="shared" si="52"/>
        <v>0</v>
      </c>
      <c r="CL21" s="65"/>
      <c r="CM21" s="74" t="s">
        <v>1945</v>
      </c>
      <c r="CN21" s="73">
        <f t="shared" si="52"/>
        <v>0</v>
      </c>
      <c r="CO21" s="65"/>
      <c r="CP21" s="65"/>
    </row>
    <row r="22" spans="1:94">
      <c r="A22" s="49"/>
      <c r="B22" s="49"/>
      <c r="C22" s="437" t="str">
        <f>Idiomas!D318</f>
        <v>OCTAVOS - Resultado exacto</v>
      </c>
      <c r="D22" s="62">
        <v>8</v>
      </c>
      <c r="E22" s="111"/>
      <c r="F22" s="445">
        <f t="shared" si="47"/>
        <v>6</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v>
      </c>
      <c r="N22" s="25" t="str">
        <f>IF(OR(WORLDCUP!AC68="",WORLDCUP!AD68=""),"",IF(WORLDCUP!AC68&gt;WORLDCUP!AD68,"1",IF(WORLDCUP!AC68&lt;WORLDCUP!AD68,"2","X")))</f>
        <v/>
      </c>
      <c r="O22" s="25">
        <f>WORLDCUP!AC68</f>
        <v>0</v>
      </c>
      <c r="P22" s="25">
        <f>WORLDCUP!AD68</f>
        <v>0</v>
      </c>
      <c r="Q22" s="25">
        <f t="shared" si="51"/>
        <v>0</v>
      </c>
      <c r="R22" s="49"/>
      <c r="S22" s="74" t="s">
        <v>1950</v>
      </c>
      <c r="T22" s="73">
        <f t="shared" si="48"/>
        <v>0</v>
      </c>
      <c r="U22" s="65"/>
      <c r="V22" s="74" t="s">
        <v>1994</v>
      </c>
      <c r="W22" s="73">
        <f t="shared" si="49"/>
        <v>0</v>
      </c>
      <c r="X22" s="65"/>
      <c r="Y22" s="74" t="s">
        <v>1943</v>
      </c>
      <c r="Z22" s="73">
        <f t="shared" si="53"/>
        <v>0</v>
      </c>
      <c r="AA22" s="65"/>
      <c r="AB22" s="74" t="s">
        <v>1951</v>
      </c>
      <c r="AC22" s="73">
        <f t="shared" si="53"/>
        <v>0</v>
      </c>
      <c r="AD22" s="65"/>
      <c r="AE22" s="74" t="s">
        <v>1948</v>
      </c>
      <c r="AF22" s="73">
        <f t="shared" si="53"/>
        <v>0</v>
      </c>
      <c r="AG22" s="65"/>
      <c r="AH22" s="74" t="s">
        <v>1950</v>
      </c>
      <c r="AI22" s="73">
        <f t="shared" si="53"/>
        <v>0</v>
      </c>
      <c r="AJ22" s="65"/>
      <c r="AK22" s="74" t="s">
        <v>1948</v>
      </c>
      <c r="AL22" s="73">
        <f t="shared" si="53"/>
        <v>0</v>
      </c>
      <c r="AM22" s="65"/>
      <c r="AN22" s="74" t="s">
        <v>1950</v>
      </c>
      <c r="AO22" s="73">
        <f t="shared" si="53"/>
        <v>0</v>
      </c>
      <c r="AP22" s="65"/>
      <c r="AQ22" s="74" t="s">
        <v>1941</v>
      </c>
      <c r="AR22" s="73">
        <f t="shared" si="53"/>
        <v>0</v>
      </c>
      <c r="AS22" s="65"/>
      <c r="AT22" s="74" t="s">
        <v>1950</v>
      </c>
      <c r="AU22" s="73">
        <f t="shared" si="53"/>
        <v>0</v>
      </c>
      <c r="AV22" s="65"/>
      <c r="AW22" s="74" t="s">
        <v>1993</v>
      </c>
      <c r="AX22" s="73">
        <f t="shared" si="53"/>
        <v>0</v>
      </c>
      <c r="AY22" s="65"/>
      <c r="AZ22" s="74" t="s">
        <v>1950</v>
      </c>
      <c r="BA22" s="73">
        <f t="shared" si="53"/>
        <v>0</v>
      </c>
      <c r="BB22" s="65"/>
      <c r="BC22" s="74" t="s">
        <v>1949</v>
      </c>
      <c r="BD22" s="73">
        <f t="shared" si="53"/>
        <v>0</v>
      </c>
      <c r="BE22" s="65"/>
      <c r="BF22" s="74" t="s">
        <v>1948</v>
      </c>
      <c r="BG22" s="73">
        <f t="shared" si="53"/>
        <v>0</v>
      </c>
      <c r="BH22" s="65"/>
      <c r="BI22" s="74" t="s">
        <v>1948</v>
      </c>
      <c r="BJ22" s="73">
        <f t="shared" si="53"/>
        <v>0</v>
      </c>
      <c r="BK22" s="65"/>
      <c r="BL22" s="74" t="s">
        <v>1949</v>
      </c>
      <c r="BM22" s="73">
        <f t="shared" si="53"/>
        <v>0</v>
      </c>
      <c r="BN22" s="65"/>
      <c r="BO22" s="74" t="s">
        <v>1950</v>
      </c>
      <c r="BP22" s="73">
        <f t="shared" si="53"/>
        <v>0</v>
      </c>
      <c r="BQ22" s="65"/>
      <c r="BR22" s="74" t="s">
        <v>1950</v>
      </c>
      <c r="BS22" s="73">
        <f t="shared" si="53"/>
        <v>0</v>
      </c>
      <c r="BT22" s="65"/>
      <c r="BU22" s="74" t="s">
        <v>1941</v>
      </c>
      <c r="BV22" s="73">
        <f t="shared" si="53"/>
        <v>0</v>
      </c>
      <c r="BW22" s="65"/>
      <c r="BX22" s="74" t="s">
        <v>1950</v>
      </c>
      <c r="BY22" s="73">
        <f t="shared" si="53"/>
        <v>0</v>
      </c>
      <c r="BZ22" s="65"/>
      <c r="CA22" s="74" t="s">
        <v>2070</v>
      </c>
      <c r="CB22" s="73">
        <f t="shared" si="53"/>
        <v>0</v>
      </c>
      <c r="CC22" s="65"/>
      <c r="CD22" s="74" t="s">
        <v>1950</v>
      </c>
      <c r="CE22" s="73">
        <f t="shared" si="53"/>
        <v>0</v>
      </c>
      <c r="CF22" s="65"/>
      <c r="CG22" s="74" t="s">
        <v>1950</v>
      </c>
      <c r="CH22" s="73">
        <f t="shared" si="53"/>
        <v>0</v>
      </c>
      <c r="CI22" s="65"/>
      <c r="CJ22" s="74" t="s">
        <v>1943</v>
      </c>
      <c r="CK22" s="73">
        <f t="shared" si="52"/>
        <v>0</v>
      </c>
      <c r="CL22" s="65"/>
      <c r="CM22" s="74" t="s">
        <v>1941</v>
      </c>
      <c r="CN22" s="73">
        <f t="shared" si="52"/>
        <v>0</v>
      </c>
      <c r="CO22" s="65"/>
      <c r="CP22" s="65"/>
    </row>
    <row r="23" spans="1:94">
      <c r="A23" s="49"/>
      <c r="B23" s="49"/>
      <c r="C23" s="439" t="str">
        <f>Idiomas!D319</f>
        <v>Equipo clasificado para CUARTOS</v>
      </c>
      <c r="D23" s="45">
        <v>5</v>
      </c>
      <c r="E23" s="111"/>
      <c r="F23" s="445">
        <f t="shared" si="47"/>
        <v>6</v>
      </c>
      <c r="G23" s="445">
        <f ca="1">VLOOKUP(H23,Equipos!$Q$1:$R$25,2,0)</f>
        <v>6</v>
      </c>
      <c r="H23" s="446">
        <f ca="1">TRUNC(INDEX(WORLDCUP!$X$4:$X$147,MATCH(ADMIN!K23,WORLDCUP!$DT$4:$DT$147,0))+INDEX(Horarios!$R$3:$R$86,MATCH(Horarios!$C$3,Horarios!$P$3:$P$86,0))/24)</f>
        <v>46189</v>
      </c>
      <c r="I23" s="48">
        <v>1</v>
      </c>
      <c r="J23" s="95" t="s">
        <v>179</v>
      </c>
      <c r="K23" s="56" t="str">
        <f ca="1">CONCATENATE(WORLDCUP!AA69,"-",WORLDCUP!AF69)</f>
        <v>Irak-Noruega</v>
      </c>
      <c r="L23" s="53"/>
      <c r="M23" s="55" t="str">
        <f>IF(OR(WORLDCUP!AC69="",WORLDCUP!AD69=""),"-",N23&amp;"|"&amp;O23&amp;"-"&amp;P23)</f>
        <v>-</v>
      </c>
      <c r="N23" s="25" t="str">
        <f>IF(OR(WORLDCUP!AC69="",WORLDCUP!AD69=""),"",IF(WORLDCUP!AC69&gt;WORLDCUP!AD69,"1",IF(WORLDCUP!AC69&lt;WORLDCUP!AD69,"2","X")))</f>
        <v/>
      </c>
      <c r="O23" s="25">
        <f>WORLDCUP!AC69</f>
        <v>0</v>
      </c>
      <c r="P23" s="25">
        <f>WORLDCUP!AD69</f>
        <v>0</v>
      </c>
      <c r="Q23" s="25">
        <f t="shared" si="51"/>
        <v>0</v>
      </c>
      <c r="R23" s="49"/>
      <c r="S23" s="74" t="s">
        <v>1942</v>
      </c>
      <c r="T23" s="73">
        <f t="shared" si="48"/>
        <v>0</v>
      </c>
      <c r="U23" s="65"/>
      <c r="V23" s="74" t="s">
        <v>1954</v>
      </c>
      <c r="W23" s="73">
        <f t="shared" si="49"/>
        <v>0</v>
      </c>
      <c r="X23" s="65"/>
      <c r="Y23" s="74" t="s">
        <v>1992</v>
      </c>
      <c r="Z23" s="73">
        <f t="shared" si="53"/>
        <v>0</v>
      </c>
      <c r="AA23" s="65"/>
      <c r="AB23" s="74" t="s">
        <v>2071</v>
      </c>
      <c r="AC23" s="73">
        <f t="shared" si="53"/>
        <v>0</v>
      </c>
      <c r="AD23" s="65"/>
      <c r="AE23" s="74" t="s">
        <v>1945</v>
      </c>
      <c r="AF23" s="73">
        <f t="shared" si="53"/>
        <v>0</v>
      </c>
      <c r="AG23" s="65"/>
      <c r="AH23" s="74" t="s">
        <v>1945</v>
      </c>
      <c r="AI23" s="73">
        <f t="shared" si="53"/>
        <v>0</v>
      </c>
      <c r="AJ23" s="65"/>
      <c r="AK23" s="74" t="s">
        <v>1945</v>
      </c>
      <c r="AL23" s="73">
        <f t="shared" si="53"/>
        <v>0</v>
      </c>
      <c r="AM23" s="65"/>
      <c r="AN23" s="74" t="s">
        <v>1945</v>
      </c>
      <c r="AO23" s="73">
        <f t="shared" si="53"/>
        <v>0</v>
      </c>
      <c r="AP23" s="65"/>
      <c r="AQ23" s="74" t="s">
        <v>1953</v>
      </c>
      <c r="AR23" s="73">
        <f t="shared" si="53"/>
        <v>0</v>
      </c>
      <c r="AS23" s="65"/>
      <c r="AT23" s="74" t="s">
        <v>1945</v>
      </c>
      <c r="AU23" s="73">
        <f t="shared" si="53"/>
        <v>0</v>
      </c>
      <c r="AV23" s="65"/>
      <c r="AW23" s="74" t="s">
        <v>1948</v>
      </c>
      <c r="AX23" s="73">
        <f t="shared" si="53"/>
        <v>0</v>
      </c>
      <c r="AY23" s="65"/>
      <c r="AZ23" s="74" t="s">
        <v>1945</v>
      </c>
      <c r="BA23" s="73">
        <f t="shared" si="53"/>
        <v>0</v>
      </c>
      <c r="BB23" s="65"/>
      <c r="BC23" s="74" t="s">
        <v>1953</v>
      </c>
      <c r="BD23" s="73">
        <f t="shared" si="53"/>
        <v>0</v>
      </c>
      <c r="BE23" s="65"/>
      <c r="BF23" s="74" t="s">
        <v>1953</v>
      </c>
      <c r="BG23" s="73">
        <f t="shared" si="53"/>
        <v>0</v>
      </c>
      <c r="BH23" s="65"/>
      <c r="BI23" s="74" t="s">
        <v>1953</v>
      </c>
      <c r="BJ23" s="73">
        <f t="shared" si="53"/>
        <v>0</v>
      </c>
      <c r="BK23" s="65"/>
      <c r="BL23" s="74" t="s">
        <v>1992</v>
      </c>
      <c r="BM23" s="73">
        <f t="shared" si="53"/>
        <v>0</v>
      </c>
      <c r="BN23" s="65"/>
      <c r="BO23" s="74" t="s">
        <v>1945</v>
      </c>
      <c r="BP23" s="73">
        <f t="shared" si="53"/>
        <v>0</v>
      </c>
      <c r="BQ23" s="65"/>
      <c r="BR23" s="74" t="s">
        <v>1945</v>
      </c>
      <c r="BS23" s="73">
        <f t="shared" si="53"/>
        <v>0</v>
      </c>
      <c r="BT23" s="65"/>
      <c r="BU23" s="74" t="s">
        <v>1953</v>
      </c>
      <c r="BV23" s="73">
        <f t="shared" si="53"/>
        <v>0</v>
      </c>
      <c r="BW23" s="65"/>
      <c r="BX23" s="74" t="s">
        <v>1945</v>
      </c>
      <c r="BY23" s="73">
        <f t="shared" si="53"/>
        <v>0</v>
      </c>
      <c r="BZ23" s="65"/>
      <c r="CA23" s="74" t="s">
        <v>1992</v>
      </c>
      <c r="CB23" s="73">
        <f t="shared" si="53"/>
        <v>0</v>
      </c>
      <c r="CC23" s="65"/>
      <c r="CD23" s="74" t="s">
        <v>1996</v>
      </c>
      <c r="CE23" s="73">
        <f t="shared" si="53"/>
        <v>0</v>
      </c>
      <c r="CF23" s="65"/>
      <c r="CG23" s="74" t="s">
        <v>1996</v>
      </c>
      <c r="CH23" s="73">
        <f t="shared" si="53"/>
        <v>0</v>
      </c>
      <c r="CI23" s="65"/>
      <c r="CJ23" s="74" t="s">
        <v>1952</v>
      </c>
      <c r="CK23" s="73">
        <f t="shared" si="52"/>
        <v>0</v>
      </c>
      <c r="CL23" s="65"/>
      <c r="CM23" s="74" t="s">
        <v>1953</v>
      </c>
      <c r="CN23" s="73">
        <f t="shared" si="52"/>
        <v>0</v>
      </c>
      <c r="CO23" s="65"/>
      <c r="CP23" s="65"/>
    </row>
    <row r="24" spans="1:94">
      <c r="A24" s="49"/>
      <c r="B24" s="49"/>
      <c r="C24" s="437" t="str">
        <f>Idiomas!D320</f>
        <v>CUARTOS - Signo 1X2  (local, empate, visitante)</v>
      </c>
      <c r="D24" s="62">
        <v>5</v>
      </c>
      <c r="E24" s="111"/>
      <c r="F24" s="445">
        <f t="shared" si="47"/>
        <v>6</v>
      </c>
      <c r="G24" s="445">
        <f ca="1">VLOOKUP(H24,Equipos!$Q$1:$R$25,2,0)</f>
        <v>6</v>
      </c>
      <c r="H24" s="446">
        <f ca="1">TRUNC(INDEX(WORLDCUP!$X$4:$X$147,MATCH(ADMIN!K24,WORLDCUP!$DT$4:$DT$147,0))+INDEX(Horarios!$R$3:$R$86,MATCH(Horarios!$C$3,Horarios!$P$3:$P$86,0))/24)</f>
        <v>46189</v>
      </c>
      <c r="I24" s="48">
        <v>1</v>
      </c>
      <c r="J24" s="96" t="s">
        <v>26</v>
      </c>
      <c r="K24" s="53" t="str">
        <f ca="1">CONCATENATE(WORLDCUP!AA76,"-",WORLDCUP!AF76)</f>
        <v>Argentina-Argelia</v>
      </c>
      <c r="L24" s="53"/>
      <c r="M24" s="55" t="str">
        <f>IF(OR(WORLDCUP!AC76="",WORLDCUP!AD76=""),"-",N24&amp;"|"&amp;O24&amp;"-"&amp;P24)</f>
        <v>-</v>
      </c>
      <c r="N24" s="25" t="str">
        <f>IF(OR(WORLDCUP!AC76="",WORLDCUP!AD76=""),"",IF(WORLDCUP!AC76&gt;WORLDCUP!AD76,"1",IF(WORLDCUP!AC76&lt;WORLDCUP!AD76,"2","X")))</f>
        <v/>
      </c>
      <c r="O24" s="25">
        <f>WORLDCUP!AC76</f>
        <v>0</v>
      </c>
      <c r="P24" s="25">
        <f>WORLDCUP!AD76</f>
        <v>0</v>
      </c>
      <c r="Q24" s="25">
        <f t="shared" si="51"/>
        <v>0</v>
      </c>
      <c r="R24" s="49"/>
      <c r="S24" s="76" t="s">
        <v>1950</v>
      </c>
      <c r="T24" s="77">
        <f t="shared" si="48"/>
        <v>0</v>
      </c>
      <c r="U24" s="65"/>
      <c r="V24" s="76" t="s">
        <v>1995</v>
      </c>
      <c r="W24" s="77">
        <f t="shared" si="49"/>
        <v>0</v>
      </c>
      <c r="X24" s="65"/>
      <c r="Y24" s="76" t="s">
        <v>1941</v>
      </c>
      <c r="Z24" s="77">
        <f t="shared" si="53"/>
        <v>0</v>
      </c>
      <c r="AA24" s="65"/>
      <c r="AB24" s="76" t="s">
        <v>1943</v>
      </c>
      <c r="AC24" s="77">
        <f t="shared" si="53"/>
        <v>0</v>
      </c>
      <c r="AD24" s="65"/>
      <c r="AE24" s="76" t="s">
        <v>1942</v>
      </c>
      <c r="AF24" s="77">
        <f t="shared" si="53"/>
        <v>0</v>
      </c>
      <c r="AG24" s="65"/>
      <c r="AH24" s="76" t="s">
        <v>1949</v>
      </c>
      <c r="AI24" s="77">
        <f t="shared" si="53"/>
        <v>0</v>
      </c>
      <c r="AJ24" s="65"/>
      <c r="AK24" s="76" t="s">
        <v>1948</v>
      </c>
      <c r="AL24" s="77">
        <f t="shared" si="53"/>
        <v>0</v>
      </c>
      <c r="AM24" s="65"/>
      <c r="AN24" s="76" t="s">
        <v>1950</v>
      </c>
      <c r="AO24" s="77">
        <f t="shared" si="53"/>
        <v>0</v>
      </c>
      <c r="AP24" s="65"/>
      <c r="AQ24" s="76" t="s">
        <v>1948</v>
      </c>
      <c r="AR24" s="77">
        <f t="shared" si="53"/>
        <v>0</v>
      </c>
      <c r="AS24" s="65"/>
      <c r="AT24" s="76" t="s">
        <v>1941</v>
      </c>
      <c r="AU24" s="77">
        <f t="shared" si="53"/>
        <v>0</v>
      </c>
      <c r="AV24" s="65"/>
      <c r="AW24" s="76" t="s">
        <v>1943</v>
      </c>
      <c r="AX24" s="77">
        <f t="shared" si="53"/>
        <v>0</v>
      </c>
      <c r="AY24" s="65"/>
      <c r="AZ24" s="76" t="s">
        <v>1949</v>
      </c>
      <c r="BA24" s="77">
        <f t="shared" si="53"/>
        <v>0</v>
      </c>
      <c r="BB24" s="65"/>
      <c r="BC24" s="76" t="s">
        <v>1949</v>
      </c>
      <c r="BD24" s="77">
        <f t="shared" si="53"/>
        <v>0</v>
      </c>
      <c r="BE24" s="65"/>
      <c r="BF24" s="76" t="s">
        <v>1950</v>
      </c>
      <c r="BG24" s="77">
        <f t="shared" si="53"/>
        <v>0</v>
      </c>
      <c r="BH24" s="65"/>
      <c r="BI24" s="76" t="s">
        <v>1949</v>
      </c>
      <c r="BJ24" s="77">
        <f t="shared" si="53"/>
        <v>0</v>
      </c>
      <c r="BK24" s="65"/>
      <c r="BL24" s="76" t="s">
        <v>1950</v>
      </c>
      <c r="BM24" s="77">
        <f t="shared" si="53"/>
        <v>0</v>
      </c>
      <c r="BN24" s="65"/>
      <c r="BO24" s="76" t="s">
        <v>1941</v>
      </c>
      <c r="BP24" s="77">
        <f t="shared" si="53"/>
        <v>0</v>
      </c>
      <c r="BQ24" s="65"/>
      <c r="BR24" s="76" t="s">
        <v>1941</v>
      </c>
      <c r="BS24" s="77">
        <f t="shared" si="53"/>
        <v>0</v>
      </c>
      <c r="BT24" s="65"/>
      <c r="BU24" s="76" t="s">
        <v>1941</v>
      </c>
      <c r="BV24" s="77">
        <f t="shared" si="53"/>
        <v>0</v>
      </c>
      <c r="BW24" s="65"/>
      <c r="BX24" s="76" t="s">
        <v>1950</v>
      </c>
      <c r="BY24" s="77">
        <f t="shared" si="53"/>
        <v>0</v>
      </c>
      <c r="BZ24" s="65"/>
      <c r="CA24" s="76" t="s">
        <v>2070</v>
      </c>
      <c r="CB24" s="77">
        <f t="shared" si="53"/>
        <v>0</v>
      </c>
      <c r="CC24" s="65"/>
      <c r="CD24" s="76" t="s">
        <v>1947</v>
      </c>
      <c r="CE24" s="77">
        <f t="shared" si="53"/>
        <v>0</v>
      </c>
      <c r="CF24" s="65"/>
      <c r="CG24" s="76" t="s">
        <v>1949</v>
      </c>
      <c r="CH24" s="77">
        <f t="shared" si="53"/>
        <v>0</v>
      </c>
      <c r="CI24" s="65"/>
      <c r="CJ24" s="76" t="s">
        <v>1949</v>
      </c>
      <c r="CK24" s="77">
        <f t="shared" si="52"/>
        <v>0</v>
      </c>
      <c r="CL24" s="65"/>
      <c r="CM24" s="76" t="s">
        <v>1941</v>
      </c>
      <c r="CN24" s="77">
        <f t="shared" si="52"/>
        <v>0</v>
      </c>
      <c r="CO24" s="65"/>
      <c r="CP24" s="65"/>
    </row>
    <row r="25" spans="1:94">
      <c r="A25" s="49"/>
      <c r="B25" s="49"/>
      <c r="C25" s="438" t="str">
        <f>Idiomas!D321&amp;"**"</f>
        <v>CUARTOS -Diferencia/Distancia de goles (Con 1X2 acertado)**</v>
      </c>
      <c r="D25" s="44">
        <v>0</v>
      </c>
      <c r="E25" s="111"/>
      <c r="F25" s="445">
        <f t="shared" si="47"/>
        <v>6</v>
      </c>
      <c r="G25" s="445">
        <f ca="1">VLOOKUP(H25,Equipos!$Q$1:$R$25,2,0)</f>
        <v>6</v>
      </c>
      <c r="H25" s="446">
        <f ca="1">TRUNC(INDEX(WORLDCUP!$X$4:$X$147,MATCH(ADMIN!K25,WORLDCUP!$DT$4:$DT$147,0))+INDEX(Horarios!$R$3:$R$86,MATCH(Horarios!$C$3,Horarios!$P$3:$P$86,0))/24)</f>
        <v>46189</v>
      </c>
      <c r="I25" s="48">
        <v>1</v>
      </c>
      <c r="J25" s="96" t="s">
        <v>26</v>
      </c>
      <c r="K25" s="53" t="str">
        <f ca="1">CONCATENATE(WORLDCUP!AA77,"-",WORLDCUP!AF77)</f>
        <v>Austria-Jordania</v>
      </c>
      <c r="L25" s="53"/>
      <c r="M25" s="55" t="str">
        <f>IF(OR(WORLDCUP!AC77="",WORLDCUP!AD77=""),"-",N25&amp;"|"&amp;O25&amp;"-"&amp;P25)</f>
        <v>-</v>
      </c>
      <c r="N25" s="25" t="str">
        <f>IF(OR(WORLDCUP!AC77="",WORLDCUP!AD77=""),"",IF(WORLDCUP!AC77&gt;WORLDCUP!AD77,"1",IF(WORLDCUP!AC77&lt;WORLDCUP!AD77,"2","X")))</f>
        <v/>
      </c>
      <c r="O25" s="25">
        <f>WORLDCUP!AC77</f>
        <v>0</v>
      </c>
      <c r="P25" s="25">
        <f>WORLDCUP!AD77</f>
        <v>0</v>
      </c>
      <c r="Q25" s="25">
        <f t="shared" si="51"/>
        <v>0</v>
      </c>
      <c r="R25" s="49"/>
      <c r="S25" s="74" t="s">
        <v>1946</v>
      </c>
      <c r="T25" s="73">
        <f t="shared" si="48"/>
        <v>0</v>
      </c>
      <c r="U25" s="65"/>
      <c r="V25" s="74" t="s">
        <v>1943</v>
      </c>
      <c r="W25" s="73">
        <f t="shared" si="49"/>
        <v>0</v>
      </c>
      <c r="X25" s="65"/>
      <c r="Y25" s="74" t="s">
        <v>1941</v>
      </c>
      <c r="Z25" s="73">
        <f t="shared" si="53"/>
        <v>0</v>
      </c>
      <c r="AA25" s="65"/>
      <c r="AB25" s="74" t="s">
        <v>1943</v>
      </c>
      <c r="AC25" s="73">
        <f t="shared" si="53"/>
        <v>0</v>
      </c>
      <c r="AD25" s="65"/>
      <c r="AE25" s="74" t="s">
        <v>1941</v>
      </c>
      <c r="AF25" s="73">
        <f t="shared" si="53"/>
        <v>0</v>
      </c>
      <c r="AG25" s="65"/>
      <c r="AH25" s="74" t="s">
        <v>1941</v>
      </c>
      <c r="AI25" s="73">
        <f t="shared" si="53"/>
        <v>0</v>
      </c>
      <c r="AJ25" s="65"/>
      <c r="AK25" s="74" t="s">
        <v>1943</v>
      </c>
      <c r="AL25" s="73">
        <f t="shared" si="53"/>
        <v>0</v>
      </c>
      <c r="AM25" s="65"/>
      <c r="AN25" s="74" t="s">
        <v>1943</v>
      </c>
      <c r="AO25" s="73">
        <f t="shared" si="53"/>
        <v>0</v>
      </c>
      <c r="AP25" s="65"/>
      <c r="AQ25" s="74" t="s">
        <v>1941</v>
      </c>
      <c r="AR25" s="73">
        <f t="shared" si="53"/>
        <v>0</v>
      </c>
      <c r="AS25" s="65"/>
      <c r="AT25" s="74" t="s">
        <v>1948</v>
      </c>
      <c r="AU25" s="73">
        <f t="shared" si="53"/>
        <v>0</v>
      </c>
      <c r="AV25" s="65"/>
      <c r="AW25" s="74" t="s">
        <v>1943</v>
      </c>
      <c r="AX25" s="73">
        <f t="shared" si="53"/>
        <v>0</v>
      </c>
      <c r="AY25" s="65"/>
      <c r="AZ25" s="74" t="s">
        <v>1944</v>
      </c>
      <c r="BA25" s="73">
        <f t="shared" si="53"/>
        <v>0</v>
      </c>
      <c r="BB25" s="65"/>
      <c r="BC25" s="74" t="s">
        <v>1943</v>
      </c>
      <c r="BD25" s="73">
        <f t="shared" si="53"/>
        <v>0</v>
      </c>
      <c r="BE25" s="65"/>
      <c r="BF25" s="74" t="s">
        <v>1948</v>
      </c>
      <c r="BG25" s="73">
        <f t="shared" si="53"/>
        <v>0</v>
      </c>
      <c r="BH25" s="65"/>
      <c r="BI25" s="74" t="s">
        <v>1943</v>
      </c>
      <c r="BJ25" s="73">
        <f t="shared" si="53"/>
        <v>0</v>
      </c>
      <c r="BK25" s="65"/>
      <c r="BL25" s="74" t="s">
        <v>1941</v>
      </c>
      <c r="BM25" s="73">
        <f t="shared" si="53"/>
        <v>0</v>
      </c>
      <c r="BN25" s="65"/>
      <c r="BO25" s="74" t="s">
        <v>1943</v>
      </c>
      <c r="BP25" s="73">
        <f t="shared" si="53"/>
        <v>0</v>
      </c>
      <c r="BQ25" s="65"/>
      <c r="BR25" s="74" t="s">
        <v>1948</v>
      </c>
      <c r="BS25" s="73">
        <f t="shared" si="53"/>
        <v>0</v>
      </c>
      <c r="BT25" s="65"/>
      <c r="BU25" s="74" t="s">
        <v>1949</v>
      </c>
      <c r="BV25" s="73">
        <f t="shared" si="53"/>
        <v>0</v>
      </c>
      <c r="BW25" s="65"/>
      <c r="BX25" s="74" t="s">
        <v>1941</v>
      </c>
      <c r="BY25" s="73">
        <f t="shared" si="53"/>
        <v>0</v>
      </c>
      <c r="BZ25" s="65"/>
      <c r="CA25" s="74" t="s">
        <v>1949</v>
      </c>
      <c r="CB25" s="73">
        <f t="shared" si="53"/>
        <v>0</v>
      </c>
      <c r="CC25" s="65"/>
      <c r="CD25" s="74" t="s">
        <v>1948</v>
      </c>
      <c r="CE25" s="73">
        <f t="shared" si="53"/>
        <v>0</v>
      </c>
      <c r="CF25" s="65"/>
      <c r="CG25" s="74" t="s">
        <v>1948</v>
      </c>
      <c r="CH25" s="73">
        <f t="shared" si="53"/>
        <v>0</v>
      </c>
      <c r="CI25" s="65"/>
      <c r="CJ25" s="74" t="s">
        <v>1941</v>
      </c>
      <c r="CK25" s="73">
        <f t="shared" si="52"/>
        <v>0</v>
      </c>
      <c r="CL25" s="65"/>
      <c r="CM25" s="74" t="s">
        <v>1949</v>
      </c>
      <c r="CN25" s="73">
        <f t="shared" si="52"/>
        <v>0</v>
      </c>
      <c r="CO25" s="65"/>
      <c r="CP25" s="65"/>
    </row>
    <row r="26" spans="1:94">
      <c r="A26" s="49"/>
      <c r="B26" s="49"/>
      <c r="C26" s="437" t="str">
        <f>Idiomas!D322</f>
        <v>CUARTOS - Resultado exacto</v>
      </c>
      <c r="D26" s="62">
        <v>10</v>
      </c>
      <c r="E26" s="111"/>
      <c r="F26" s="445">
        <f t="shared" si="47"/>
        <v>6</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v>
      </c>
      <c r="N26" s="25" t="str">
        <f>IF(OR(WORLDCUP!AC84="",WORLDCUP!AD84=""),"",IF(WORLDCUP!AC84&gt;WORLDCUP!AD84,"1",IF(WORLDCUP!AC84&lt;WORLDCUP!AD84,"2","X")))</f>
        <v/>
      </c>
      <c r="O26" s="25">
        <f>WORLDCUP!AC84</f>
        <v>0</v>
      </c>
      <c r="P26" s="25">
        <f>WORLDCUP!AD84</f>
        <v>0</v>
      </c>
      <c r="Q26" s="25">
        <f t="shared" si="51"/>
        <v>0</v>
      </c>
      <c r="R26" s="49"/>
      <c r="S26" s="74" t="s">
        <v>1951</v>
      </c>
      <c r="T26" s="73">
        <f t="shared" si="48"/>
        <v>0</v>
      </c>
      <c r="U26" s="65"/>
      <c r="V26" s="74" t="s">
        <v>1951</v>
      </c>
      <c r="W26" s="73">
        <f t="shared" si="49"/>
        <v>0</v>
      </c>
      <c r="X26" s="65"/>
      <c r="Y26" s="74" t="s">
        <v>1948</v>
      </c>
      <c r="Z26" s="73">
        <f t="shared" si="53"/>
        <v>0</v>
      </c>
      <c r="AA26" s="65"/>
      <c r="AB26" s="74" t="s">
        <v>1949</v>
      </c>
      <c r="AC26" s="73">
        <f t="shared" si="53"/>
        <v>0</v>
      </c>
      <c r="AD26" s="65"/>
      <c r="AE26" s="74" t="s">
        <v>1949</v>
      </c>
      <c r="AF26" s="73">
        <f t="shared" si="53"/>
        <v>0</v>
      </c>
      <c r="AG26" s="65"/>
      <c r="AH26" s="74" t="s">
        <v>1947</v>
      </c>
      <c r="AI26" s="73">
        <f t="shared" si="53"/>
        <v>0</v>
      </c>
      <c r="AJ26" s="65"/>
      <c r="AK26" s="74" t="s">
        <v>1949</v>
      </c>
      <c r="AL26" s="73">
        <f t="shared" si="53"/>
        <v>0</v>
      </c>
      <c r="AM26" s="65"/>
      <c r="AN26" s="74" t="s">
        <v>1947</v>
      </c>
      <c r="AO26" s="73">
        <f t="shared" si="53"/>
        <v>0</v>
      </c>
      <c r="AP26" s="65"/>
      <c r="AQ26" s="74" t="s">
        <v>1949</v>
      </c>
      <c r="AR26" s="73">
        <f t="shared" si="53"/>
        <v>0</v>
      </c>
      <c r="AS26" s="65"/>
      <c r="AT26" s="74" t="s">
        <v>1949</v>
      </c>
      <c r="AU26" s="73">
        <f t="shared" si="53"/>
        <v>0</v>
      </c>
      <c r="AV26" s="65"/>
      <c r="AW26" s="74" t="s">
        <v>1947</v>
      </c>
      <c r="AX26" s="73">
        <f t="shared" si="53"/>
        <v>0</v>
      </c>
      <c r="AY26" s="65"/>
      <c r="AZ26" s="74" t="s">
        <v>1947</v>
      </c>
      <c r="BA26" s="73">
        <f t="shared" si="53"/>
        <v>0</v>
      </c>
      <c r="BB26" s="65"/>
      <c r="BC26" s="74" t="s">
        <v>1949</v>
      </c>
      <c r="BD26" s="73">
        <f t="shared" si="53"/>
        <v>0</v>
      </c>
      <c r="BE26" s="65"/>
      <c r="BF26" s="74" t="s">
        <v>2070</v>
      </c>
      <c r="BG26" s="73">
        <f t="shared" si="53"/>
        <v>0</v>
      </c>
      <c r="BH26" s="65"/>
      <c r="BI26" s="74" t="s">
        <v>1950</v>
      </c>
      <c r="BJ26" s="73">
        <f t="shared" si="53"/>
        <v>0</v>
      </c>
      <c r="BK26" s="65"/>
      <c r="BL26" s="74" t="s">
        <v>1941</v>
      </c>
      <c r="BM26" s="73">
        <f t="shared" si="53"/>
        <v>0</v>
      </c>
      <c r="BN26" s="65"/>
      <c r="BO26" s="74" t="s">
        <v>1941</v>
      </c>
      <c r="BP26" s="73">
        <f t="shared" si="53"/>
        <v>0</v>
      </c>
      <c r="BQ26" s="65"/>
      <c r="BR26" s="74" t="s">
        <v>1949</v>
      </c>
      <c r="BS26" s="73">
        <f t="shared" si="53"/>
        <v>0</v>
      </c>
      <c r="BT26" s="65"/>
      <c r="BU26" s="74" t="s">
        <v>1949</v>
      </c>
      <c r="BV26" s="73">
        <f t="shared" si="53"/>
        <v>0</v>
      </c>
      <c r="BW26" s="65"/>
      <c r="BX26" s="74" t="s">
        <v>1947</v>
      </c>
      <c r="BY26" s="73">
        <f t="shared" si="53"/>
        <v>0</v>
      </c>
      <c r="BZ26" s="65"/>
      <c r="CA26" s="74" t="s">
        <v>1947</v>
      </c>
      <c r="CB26" s="73">
        <f t="shared" si="53"/>
        <v>0</v>
      </c>
      <c r="CC26" s="65"/>
      <c r="CD26" s="74" t="s">
        <v>2070</v>
      </c>
      <c r="CE26" s="73">
        <f t="shared" si="53"/>
        <v>0</v>
      </c>
      <c r="CF26" s="65"/>
      <c r="CG26" s="74" t="s">
        <v>1949</v>
      </c>
      <c r="CH26" s="73">
        <f t="shared" si="53"/>
        <v>0</v>
      </c>
      <c r="CI26" s="65"/>
      <c r="CJ26" s="74" t="s">
        <v>1949</v>
      </c>
      <c r="CK26" s="73">
        <f t="shared" si="52"/>
        <v>0</v>
      </c>
      <c r="CL26" s="65"/>
      <c r="CM26" s="74" t="s">
        <v>1941</v>
      </c>
      <c r="CN26" s="73">
        <f t="shared" si="52"/>
        <v>0</v>
      </c>
      <c r="CO26" s="65"/>
      <c r="CP26" s="65"/>
    </row>
    <row r="27" spans="1:94">
      <c r="A27" s="49"/>
      <c r="B27" s="49"/>
      <c r="C27" s="439" t="str">
        <f>Idiomas!D323</f>
        <v>Equipo clasificado para SEMIFINALES</v>
      </c>
      <c r="D27" s="45">
        <v>7</v>
      </c>
      <c r="E27" s="111"/>
      <c r="F27" s="445">
        <f t="shared" si="47"/>
        <v>6</v>
      </c>
      <c r="G27" s="445">
        <f ca="1">VLOOKUP(H27,Equipos!$Q$1:$R$25,2,0)</f>
        <v>7</v>
      </c>
      <c r="H27" s="446">
        <f ca="1">TRUNC(INDEX(WORLDCUP!$X$4:$X$147,MATCH(ADMIN!K27,WORLDCUP!$DT$4:$DT$147,0))+INDEX(Horarios!$R$3:$R$86,MATCH(Horarios!$C$3,Horarios!$P$3:$P$86,0))/24)</f>
        <v>46190</v>
      </c>
      <c r="I27" s="48">
        <v>1</v>
      </c>
      <c r="J27" s="95" t="s">
        <v>515</v>
      </c>
      <c r="K27" s="53" t="str">
        <f ca="1">CONCATENATE(WORLDCUP!AA85,"-",WORLDCUP!AF85)</f>
        <v>Uzbekistán-Colombia</v>
      </c>
      <c r="L27" s="53"/>
      <c r="M27" s="53" t="str">
        <f>IF(OR(WORLDCUP!AC85="",WORLDCUP!AD85=""),"-",N27&amp;"|"&amp;O27&amp;"-"&amp;P27)</f>
        <v>-</v>
      </c>
      <c r="N27" s="25" t="str">
        <f>IF(OR(WORLDCUP!AC85="",WORLDCUP!AD85=""),"",IF(WORLDCUP!AC85&gt;WORLDCUP!AD85,"1",IF(WORLDCUP!AC85&lt;WORLDCUP!AD85,"2","X")))</f>
        <v/>
      </c>
      <c r="O27" s="25">
        <f>WORLDCUP!AC85</f>
        <v>0</v>
      </c>
      <c r="P27" s="25">
        <f>WORLDCUP!AD85</f>
        <v>0</v>
      </c>
      <c r="Q27" s="25">
        <f t="shared" si="51"/>
        <v>0</v>
      </c>
      <c r="R27" s="49"/>
      <c r="S27" s="74" t="s">
        <v>1944</v>
      </c>
      <c r="T27" s="73">
        <f t="shared" si="48"/>
        <v>0</v>
      </c>
      <c r="U27" s="65"/>
      <c r="V27" s="74" t="s">
        <v>1945</v>
      </c>
      <c r="W27" s="73">
        <f t="shared" si="49"/>
        <v>0</v>
      </c>
      <c r="X27" s="65"/>
      <c r="Y27" s="74" t="s">
        <v>1944</v>
      </c>
      <c r="Z27" s="73">
        <f t="shared" si="53"/>
        <v>0</v>
      </c>
      <c r="AA27" s="65"/>
      <c r="AB27" s="74" t="s">
        <v>1942</v>
      </c>
      <c r="AC27" s="73">
        <f t="shared" si="53"/>
        <v>0</v>
      </c>
      <c r="AD27" s="65"/>
      <c r="AE27" s="74" t="s">
        <v>1942</v>
      </c>
      <c r="AF27" s="73">
        <f t="shared" si="53"/>
        <v>0</v>
      </c>
      <c r="AG27" s="65"/>
      <c r="AH27" s="74" t="s">
        <v>1945</v>
      </c>
      <c r="AI27" s="73">
        <f t="shared" si="53"/>
        <v>0</v>
      </c>
      <c r="AJ27" s="65"/>
      <c r="AK27" s="74" t="s">
        <v>1945</v>
      </c>
      <c r="AL27" s="73">
        <f t="shared" si="53"/>
        <v>0</v>
      </c>
      <c r="AM27" s="65"/>
      <c r="AN27" s="74" t="s">
        <v>1953</v>
      </c>
      <c r="AO27" s="73">
        <f t="shared" si="53"/>
        <v>0</v>
      </c>
      <c r="AP27" s="65"/>
      <c r="AQ27" s="74" t="s">
        <v>1954</v>
      </c>
      <c r="AR27" s="73">
        <f t="shared" si="53"/>
        <v>0</v>
      </c>
      <c r="AS27" s="65"/>
      <c r="AT27" s="74" t="s">
        <v>1954</v>
      </c>
      <c r="AU27" s="73">
        <f t="shared" si="53"/>
        <v>0</v>
      </c>
      <c r="AV27" s="65"/>
      <c r="AW27" s="74" t="s">
        <v>1953</v>
      </c>
      <c r="AX27" s="73">
        <f t="shared" si="53"/>
        <v>0</v>
      </c>
      <c r="AY27" s="65"/>
      <c r="AZ27" s="74" t="s">
        <v>1945</v>
      </c>
      <c r="BA27" s="73">
        <f t="shared" si="53"/>
        <v>0</v>
      </c>
      <c r="BB27" s="65"/>
      <c r="BC27" s="74" t="s">
        <v>1944</v>
      </c>
      <c r="BD27" s="73">
        <f t="shared" si="53"/>
        <v>0</v>
      </c>
      <c r="BE27" s="65"/>
      <c r="BF27" s="74" t="s">
        <v>1954</v>
      </c>
      <c r="BG27" s="73">
        <f t="shared" si="53"/>
        <v>0</v>
      </c>
      <c r="BH27" s="65"/>
      <c r="BI27" s="74" t="s">
        <v>1945</v>
      </c>
      <c r="BJ27" s="73">
        <f t="shared" si="53"/>
        <v>0</v>
      </c>
      <c r="BK27" s="65"/>
      <c r="BL27" s="74" t="s">
        <v>1945</v>
      </c>
      <c r="BM27" s="73">
        <f t="shared" si="53"/>
        <v>0</v>
      </c>
      <c r="BN27" s="65"/>
      <c r="BO27" s="74" t="s">
        <v>1944</v>
      </c>
      <c r="BP27" s="73">
        <f t="shared" si="53"/>
        <v>0</v>
      </c>
      <c r="BQ27" s="65"/>
      <c r="BR27" s="74" t="s">
        <v>1945</v>
      </c>
      <c r="BS27" s="73">
        <f t="shared" si="53"/>
        <v>0</v>
      </c>
      <c r="BT27" s="65"/>
      <c r="BU27" s="74" t="s">
        <v>1952</v>
      </c>
      <c r="BV27" s="73">
        <f t="shared" si="53"/>
        <v>0</v>
      </c>
      <c r="BW27" s="65"/>
      <c r="BX27" s="74" t="s">
        <v>1953</v>
      </c>
      <c r="BY27" s="73">
        <f t="shared" si="53"/>
        <v>0</v>
      </c>
      <c r="BZ27" s="65"/>
      <c r="CA27" s="74" t="s">
        <v>1953</v>
      </c>
      <c r="CB27" s="73">
        <f t="shared" si="53"/>
        <v>0</v>
      </c>
      <c r="CC27" s="65"/>
      <c r="CD27" s="74" t="s">
        <v>1952</v>
      </c>
      <c r="CE27" s="73">
        <f t="shared" si="53"/>
        <v>0</v>
      </c>
      <c r="CF27" s="65"/>
      <c r="CG27" s="74" t="s">
        <v>1945</v>
      </c>
      <c r="CH27" s="73">
        <f t="shared" si="53"/>
        <v>0</v>
      </c>
      <c r="CI27" s="65"/>
      <c r="CJ27" s="74" t="s">
        <v>1952</v>
      </c>
      <c r="CK27" s="73">
        <f t="shared" si="52"/>
        <v>0</v>
      </c>
      <c r="CL27" s="65"/>
      <c r="CM27" s="74" t="s">
        <v>1945</v>
      </c>
      <c r="CN27" s="73">
        <f t="shared" si="52"/>
        <v>0</v>
      </c>
      <c r="CO27" s="65"/>
      <c r="CP27" s="65"/>
    </row>
    <row r="28" spans="1:94">
      <c r="A28" s="49"/>
      <c r="B28" s="49"/>
      <c r="C28" s="437" t="str">
        <f>Idiomas!D324</f>
        <v>SEMIFINALES - Signo 1X2  (local, empate, visitante)</v>
      </c>
      <c r="D28" s="62">
        <v>6</v>
      </c>
      <c r="E28" s="111"/>
      <c r="F28" s="445">
        <f t="shared" si="47"/>
        <v>6</v>
      </c>
      <c r="G28" s="445">
        <f ca="1">VLOOKUP(H28,Equipos!$Q$1:$R$25,2,0)</f>
        <v>7</v>
      </c>
      <c r="H28" s="446">
        <f ca="1">TRUNC(INDEX(WORLDCUP!$X$4:$X$147,MATCH(ADMIN!K28,WORLDCUP!$DT$4:$DT$147,0))+INDEX(Horarios!$R$3:$R$86,MATCH(Horarios!$C$3,Horarios!$P$3:$P$86,0))/24)</f>
        <v>46190</v>
      </c>
      <c r="I28" s="48">
        <v>1</v>
      </c>
      <c r="J28" s="96" t="s">
        <v>1196</v>
      </c>
      <c r="K28" s="53" t="str">
        <f ca="1">CONCATENATE(WORLDCUP!AA92,"-",WORLDCUP!AF92)</f>
        <v>Inglaterra-Croacia</v>
      </c>
      <c r="L28" s="53"/>
      <c r="M28" s="55" t="str">
        <f>IF(OR(WORLDCUP!AC92="",WORLDCUP!AD92=""),"-",N28&amp;"|"&amp;O28&amp;"-"&amp;P28)</f>
        <v>-</v>
      </c>
      <c r="N28" s="25" t="str">
        <f>IF(OR(WORLDCUP!AC92="",WORLDCUP!AD92=""),"",IF(WORLDCUP!AC92&gt;WORLDCUP!AD92,"1",IF(WORLDCUP!AC92&lt;WORLDCUP!AD92,"2","X")))</f>
        <v/>
      </c>
      <c r="O28" s="25">
        <f>WORLDCUP!AC92</f>
        <v>0</v>
      </c>
      <c r="P28" s="25">
        <f>WORLDCUP!AD92</f>
        <v>0</v>
      </c>
      <c r="Q28" s="25">
        <f t="shared" si="51"/>
        <v>0</v>
      </c>
      <c r="R28" s="49"/>
      <c r="S28" s="74" t="s">
        <v>1942</v>
      </c>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0</v>
      </c>
      <c r="U28" s="65"/>
      <c r="V28" s="74" t="s">
        <v>1995</v>
      </c>
      <c r="W28" s="73">
        <f t="shared" si="49"/>
        <v>0</v>
      </c>
      <c r="X28" s="65"/>
      <c r="Y28" s="74" t="s">
        <v>1943</v>
      </c>
      <c r="Z28" s="73">
        <f t="shared" si="53"/>
        <v>0</v>
      </c>
      <c r="AA28" s="65"/>
      <c r="AB28" s="74" t="s">
        <v>1948</v>
      </c>
      <c r="AC28" s="73">
        <f t="shared" si="53"/>
        <v>0</v>
      </c>
      <c r="AD28" s="65"/>
      <c r="AE28" s="74" t="s">
        <v>1948</v>
      </c>
      <c r="AF28" s="73">
        <f t="shared" si="53"/>
        <v>0</v>
      </c>
      <c r="AG28" s="65"/>
      <c r="AH28" s="74" t="s">
        <v>1948</v>
      </c>
      <c r="AI28" s="73">
        <f t="shared" si="53"/>
        <v>0</v>
      </c>
      <c r="AJ28" s="65"/>
      <c r="AK28" s="74" t="s">
        <v>1948</v>
      </c>
      <c r="AL28" s="73">
        <f t="shared" si="53"/>
        <v>0</v>
      </c>
      <c r="AM28" s="65"/>
      <c r="AN28" s="74" t="s">
        <v>1948</v>
      </c>
      <c r="AO28" s="73">
        <f t="shared" si="53"/>
        <v>0</v>
      </c>
      <c r="AP28" s="65"/>
      <c r="AQ28" s="74" t="s">
        <v>1941</v>
      </c>
      <c r="AR28" s="73">
        <f t="shared" si="53"/>
        <v>0</v>
      </c>
      <c r="AS28" s="65"/>
      <c r="AT28" s="74" t="s">
        <v>1950</v>
      </c>
      <c r="AU28" s="73">
        <f t="shared" si="53"/>
        <v>0</v>
      </c>
      <c r="AV28" s="65"/>
      <c r="AW28" s="74" t="s">
        <v>1943</v>
      </c>
      <c r="AX28" s="73">
        <f t="shared" si="53"/>
        <v>0</v>
      </c>
      <c r="AY28" s="65"/>
      <c r="AZ28" s="74" t="s">
        <v>1948</v>
      </c>
      <c r="BA28" s="73">
        <f t="shared" si="53"/>
        <v>0</v>
      </c>
      <c r="BB28" s="65"/>
      <c r="BC28" s="74" t="s">
        <v>1995</v>
      </c>
      <c r="BD28" s="73">
        <f t="shared" si="53"/>
        <v>0</v>
      </c>
      <c r="BE28" s="65"/>
      <c r="BF28" s="74" t="s">
        <v>1941</v>
      </c>
      <c r="BG28" s="73">
        <f t="shared" si="53"/>
        <v>0</v>
      </c>
      <c r="BH28" s="65"/>
      <c r="BI28" s="74" t="s">
        <v>1948</v>
      </c>
      <c r="BJ28" s="73">
        <f t="shared" si="53"/>
        <v>0</v>
      </c>
      <c r="BK28" s="65"/>
      <c r="BL28" s="74" t="s">
        <v>1942</v>
      </c>
      <c r="BM28" s="73">
        <f t="shared" si="53"/>
        <v>0</v>
      </c>
      <c r="BN28" s="65"/>
      <c r="BO28" s="74" t="s">
        <v>1942</v>
      </c>
      <c r="BP28" s="73">
        <f t="shared" si="53"/>
        <v>0</v>
      </c>
      <c r="BQ28" s="65"/>
      <c r="BR28" s="74" t="s">
        <v>1943</v>
      </c>
      <c r="BS28" s="73">
        <f t="shared" si="53"/>
        <v>0</v>
      </c>
      <c r="BT28" s="65"/>
      <c r="BU28" s="74" t="s">
        <v>1941</v>
      </c>
      <c r="BV28" s="73">
        <f t="shared" si="53"/>
        <v>0</v>
      </c>
      <c r="BW28" s="65"/>
      <c r="BX28" s="74" t="s">
        <v>1995</v>
      </c>
      <c r="BY28" s="73">
        <f t="shared" si="53"/>
        <v>0</v>
      </c>
      <c r="BZ28" s="65"/>
      <c r="CA28" s="74" t="s">
        <v>1947</v>
      </c>
      <c r="CB28" s="73">
        <f t="shared" si="53"/>
        <v>0</v>
      </c>
      <c r="CC28" s="65"/>
      <c r="CD28" s="74" t="s">
        <v>1948</v>
      </c>
      <c r="CE28" s="73">
        <f t="shared" si="53"/>
        <v>0</v>
      </c>
      <c r="CF28" s="65"/>
      <c r="CG28" s="74" t="s">
        <v>1995</v>
      </c>
      <c r="CH28" s="73">
        <f t="shared" si="53"/>
        <v>0</v>
      </c>
      <c r="CI28" s="65"/>
      <c r="CJ28" s="74" t="s">
        <v>1948</v>
      </c>
      <c r="CK28" s="73">
        <f t="shared" si="52"/>
        <v>0</v>
      </c>
      <c r="CL28" s="65"/>
      <c r="CM28" s="74" t="s">
        <v>1943</v>
      </c>
      <c r="CN28" s="73">
        <f t="shared" si="52"/>
        <v>0</v>
      </c>
      <c r="CO28" s="65"/>
      <c r="CP28" s="65"/>
    </row>
    <row r="29" spans="1:94">
      <c r="A29" s="49"/>
      <c r="B29" s="49"/>
      <c r="C29" s="438" t="str">
        <f>Idiomas!D325&amp;"**"</f>
        <v>SEMIFINALES -Diferencia/Distancia de goles (Con 1X2 acertado)**</v>
      </c>
      <c r="D29" s="44">
        <v>0</v>
      </c>
      <c r="E29" s="111"/>
      <c r="F29" s="445">
        <f t="shared" si="47"/>
        <v>6</v>
      </c>
      <c r="G29" s="445">
        <f ca="1">VLOOKUP(H29,Equipos!$Q$1:$R$25,2,0)</f>
        <v>7</v>
      </c>
      <c r="H29" s="446">
        <f ca="1">TRUNC(INDEX(WORLDCUP!$X$4:$X$147,MATCH(ADMIN!K29,WORLDCUP!$DT$4:$DT$147,0))+INDEX(Horarios!$R$3:$R$86,MATCH(Horarios!$C$3,Horarios!$P$3:$P$86,0))/24)</f>
        <v>46190</v>
      </c>
      <c r="I29" s="48">
        <v>1</v>
      </c>
      <c r="J29" s="96" t="s">
        <v>1196</v>
      </c>
      <c r="K29" s="57" t="str">
        <f ca="1">CONCATENATE(WORLDCUP!AA93,"-",WORLDCUP!AF93)</f>
        <v>Ghana-Panamá</v>
      </c>
      <c r="L29" s="58"/>
      <c r="M29" s="59" t="str">
        <f>IF(OR(WORLDCUP!AC93="",WORLDCUP!AD93=""),"-",N29&amp;"|"&amp;O29&amp;"-"&amp;P29)</f>
        <v>-</v>
      </c>
      <c r="N29" s="25" t="str">
        <f>IF(OR(WORLDCUP!AC93="",WORLDCUP!AD93=""),"",IF(WORLDCUP!AC93&gt;WORLDCUP!AD93,"1",IF(WORLDCUP!AC93&lt;WORLDCUP!AD93,"2","X")))</f>
        <v/>
      </c>
      <c r="O29" s="25">
        <f>WORLDCUP!AC93</f>
        <v>0</v>
      </c>
      <c r="P29" s="25">
        <f>WORLDCUP!AD93</f>
        <v>0</v>
      </c>
      <c r="Q29" s="25">
        <f t="shared" si="51"/>
        <v>0</v>
      </c>
      <c r="R29" s="49"/>
      <c r="S29" s="78" t="s">
        <v>1943</v>
      </c>
      <c r="T29" s="79">
        <f t="shared" si="54"/>
        <v>0</v>
      </c>
      <c r="U29" s="65"/>
      <c r="V29" s="78" t="s">
        <v>1950</v>
      </c>
      <c r="W29" s="79">
        <f t="shared" si="49"/>
        <v>0</v>
      </c>
      <c r="X29" s="65"/>
      <c r="Y29" s="78" t="s">
        <v>1942</v>
      </c>
      <c r="Z29" s="79">
        <f t="shared" si="53"/>
        <v>0</v>
      </c>
      <c r="AA29" s="65"/>
      <c r="AB29" s="78" t="s">
        <v>1995</v>
      </c>
      <c r="AC29" s="79">
        <f t="shared" si="53"/>
        <v>0</v>
      </c>
      <c r="AD29" s="65"/>
      <c r="AE29" s="78" t="s">
        <v>1948</v>
      </c>
      <c r="AF29" s="79">
        <f t="shared" si="53"/>
        <v>0</v>
      </c>
      <c r="AG29" s="65"/>
      <c r="AH29" s="78" t="s">
        <v>1943</v>
      </c>
      <c r="AI29" s="79">
        <f t="shared" si="53"/>
        <v>0</v>
      </c>
      <c r="AJ29" s="65"/>
      <c r="AK29" s="78" t="s">
        <v>1942</v>
      </c>
      <c r="AL29" s="79">
        <f t="shared" si="53"/>
        <v>0</v>
      </c>
      <c r="AM29" s="65"/>
      <c r="AN29" s="78" t="s">
        <v>1941</v>
      </c>
      <c r="AO29" s="79">
        <f t="shared" si="53"/>
        <v>0</v>
      </c>
      <c r="AP29" s="65"/>
      <c r="AQ29" s="78" t="s">
        <v>1942</v>
      </c>
      <c r="AR29" s="79">
        <f t="shared" si="53"/>
        <v>0</v>
      </c>
      <c r="AS29" s="65"/>
      <c r="AT29" s="78" t="s">
        <v>1941</v>
      </c>
      <c r="AU29" s="79">
        <f t="shared" si="53"/>
        <v>0</v>
      </c>
      <c r="AV29" s="65"/>
      <c r="AW29" s="78" t="s">
        <v>1944</v>
      </c>
      <c r="AX29" s="79">
        <f t="shared" si="53"/>
        <v>0</v>
      </c>
      <c r="AY29" s="65"/>
      <c r="AZ29" s="78" t="s">
        <v>1943</v>
      </c>
      <c r="BA29" s="79">
        <f t="shared" si="53"/>
        <v>0</v>
      </c>
      <c r="BB29" s="65"/>
      <c r="BC29" s="78" t="s">
        <v>1948</v>
      </c>
      <c r="BD29" s="79">
        <f t="shared" si="53"/>
        <v>0</v>
      </c>
      <c r="BE29" s="65"/>
      <c r="BF29" s="78" t="s">
        <v>1949</v>
      </c>
      <c r="BG29" s="79">
        <f t="shared" si="53"/>
        <v>0</v>
      </c>
      <c r="BH29" s="65"/>
      <c r="BI29" s="78" t="s">
        <v>1941</v>
      </c>
      <c r="BJ29" s="79">
        <f t="shared" si="53"/>
        <v>0</v>
      </c>
      <c r="BK29" s="65"/>
      <c r="BL29" s="78" t="s">
        <v>1941</v>
      </c>
      <c r="BM29" s="79">
        <f t="shared" si="53"/>
        <v>0</v>
      </c>
      <c r="BN29" s="65"/>
      <c r="BO29" s="78" t="s">
        <v>1941</v>
      </c>
      <c r="BP29" s="79">
        <f t="shared" si="53"/>
        <v>0</v>
      </c>
      <c r="BQ29" s="65"/>
      <c r="BR29" s="78" t="s">
        <v>1941</v>
      </c>
      <c r="BS29" s="79">
        <f t="shared" si="53"/>
        <v>0</v>
      </c>
      <c r="BT29" s="65"/>
      <c r="BU29" s="78" t="s">
        <v>1948</v>
      </c>
      <c r="BV29" s="79">
        <f t="shared" si="53"/>
        <v>0</v>
      </c>
      <c r="BW29" s="65"/>
      <c r="BX29" s="78" t="s">
        <v>1950</v>
      </c>
      <c r="BY29" s="79">
        <f t="shared" si="53"/>
        <v>0</v>
      </c>
      <c r="BZ29" s="65"/>
      <c r="CA29" s="78" t="s">
        <v>1944</v>
      </c>
      <c r="CB29" s="79">
        <f t="shared" si="53"/>
        <v>0</v>
      </c>
      <c r="CC29" s="65"/>
      <c r="CD29" s="78" t="s">
        <v>1947</v>
      </c>
      <c r="CE29" s="79">
        <f t="shared" si="53"/>
        <v>0</v>
      </c>
      <c r="CF29" s="65"/>
      <c r="CG29" s="78" t="s">
        <v>1954</v>
      </c>
      <c r="CH29" s="79">
        <f t="shared" si="53"/>
        <v>0</v>
      </c>
      <c r="CI29" s="65"/>
      <c r="CJ29" s="78" t="s">
        <v>1942</v>
      </c>
      <c r="CK29" s="79">
        <f t="shared" si="52"/>
        <v>0</v>
      </c>
      <c r="CL29" s="65"/>
      <c r="CM29" s="78" t="s">
        <v>1948</v>
      </c>
      <c r="CN29" s="79">
        <f t="shared" si="52"/>
        <v>0</v>
      </c>
      <c r="CO29" s="65"/>
      <c r="CP29" s="65"/>
    </row>
    <row r="30" spans="1:94">
      <c r="A30" s="49"/>
      <c r="B30" s="49"/>
      <c r="C30" s="437" t="str">
        <f>Idiomas!D326</f>
        <v>SEMIFINALES - Resultado exacto</v>
      </c>
      <c r="D30" s="62">
        <v>12</v>
      </c>
      <c r="E30" s="111"/>
      <c r="F30" s="445">
        <f t="shared" si="47"/>
        <v>6</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v>
      </c>
      <c r="N30" s="25" t="str">
        <f>IF(OR(WORLDCUP!AC6="",WORLDCUP!AD6=""),"",IF(WORLDCUP!AC6&gt;WORLDCUP!AD6,"1",IF(WORLDCUP!AC6&lt;WORLDCUP!AD6,"2","X")))</f>
        <v/>
      </c>
      <c r="O30" s="25">
        <f>WORLDCUP!AC6</f>
        <v>0</v>
      </c>
      <c r="P30" s="25">
        <f>WORLDCUP!AD6</f>
        <v>0</v>
      </c>
      <c r="Q30" s="25">
        <f t="shared" si="51"/>
        <v>0</v>
      </c>
      <c r="R30" s="49"/>
      <c r="S30" s="76" t="s">
        <v>1942</v>
      </c>
      <c r="T30" s="77">
        <f t="shared" si="54"/>
        <v>0</v>
      </c>
      <c r="U30" s="65"/>
      <c r="V30" s="76" t="s">
        <v>1945</v>
      </c>
      <c r="W30" s="77">
        <f t="shared" si="49"/>
        <v>0</v>
      </c>
      <c r="X30" s="65"/>
      <c r="Y30" s="76" t="s">
        <v>1943</v>
      </c>
      <c r="Z30" s="77">
        <f t="shared" si="53"/>
        <v>0</v>
      </c>
      <c r="AA30" s="65"/>
      <c r="AB30" s="76" t="s">
        <v>1941</v>
      </c>
      <c r="AC30" s="77">
        <f t="shared" si="53"/>
        <v>0</v>
      </c>
      <c r="AD30" s="65"/>
      <c r="AE30" s="76" t="s">
        <v>1941</v>
      </c>
      <c r="AF30" s="77">
        <f t="shared" si="53"/>
        <v>0</v>
      </c>
      <c r="AG30" s="65"/>
      <c r="AH30" s="76" t="s">
        <v>1948</v>
      </c>
      <c r="AI30" s="77">
        <f t="shared" si="53"/>
        <v>0</v>
      </c>
      <c r="AJ30" s="65"/>
      <c r="AK30" s="76" t="s">
        <v>1943</v>
      </c>
      <c r="AL30" s="77">
        <f t="shared" si="53"/>
        <v>0</v>
      </c>
      <c r="AM30" s="65"/>
      <c r="AN30" s="76" t="s">
        <v>1948</v>
      </c>
      <c r="AO30" s="77">
        <f t="shared" si="53"/>
        <v>0</v>
      </c>
      <c r="AP30" s="65"/>
      <c r="AQ30" s="76" t="s">
        <v>1948</v>
      </c>
      <c r="AR30" s="77">
        <f t="shared" si="53"/>
        <v>0</v>
      </c>
      <c r="AS30" s="65"/>
      <c r="AT30" s="76" t="s">
        <v>1943</v>
      </c>
      <c r="AU30" s="77">
        <f t="shared" si="53"/>
        <v>0</v>
      </c>
      <c r="AV30" s="65"/>
      <c r="AW30" s="76" t="s">
        <v>1943</v>
      </c>
      <c r="AX30" s="77">
        <f t="shared" si="53"/>
        <v>0</v>
      </c>
      <c r="AY30" s="65"/>
      <c r="AZ30" s="76" t="s">
        <v>1942</v>
      </c>
      <c r="BA30" s="77">
        <f t="shared" si="53"/>
        <v>0</v>
      </c>
      <c r="BB30" s="65"/>
      <c r="BC30" s="76" t="s">
        <v>1942</v>
      </c>
      <c r="BD30" s="77">
        <f t="shared" si="53"/>
        <v>0</v>
      </c>
      <c r="BE30" s="65"/>
      <c r="BF30" s="76" t="s">
        <v>1941</v>
      </c>
      <c r="BG30" s="77">
        <f t="shared" si="53"/>
        <v>0</v>
      </c>
      <c r="BH30" s="65"/>
      <c r="BI30" s="76" t="s">
        <v>1942</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
        <v>1952</v>
      </c>
      <c r="BM30" s="77">
        <f t="shared" si="55"/>
        <v>0</v>
      </c>
      <c r="BN30" s="65"/>
      <c r="BO30" s="76" t="s">
        <v>1946</v>
      </c>
      <c r="BP30" s="77">
        <f t="shared" si="55"/>
        <v>0</v>
      </c>
      <c r="BQ30" s="65"/>
      <c r="BR30" s="76" t="s">
        <v>1949</v>
      </c>
      <c r="BS30" s="77">
        <f t="shared" si="55"/>
        <v>0</v>
      </c>
      <c r="BT30" s="65"/>
      <c r="BU30" s="76" t="s">
        <v>1948</v>
      </c>
      <c r="BV30" s="77">
        <f t="shared" si="55"/>
        <v>0</v>
      </c>
      <c r="BW30" s="65"/>
      <c r="BX30" s="76" t="s">
        <v>1941</v>
      </c>
      <c r="BY30" s="77">
        <f t="shared" si="55"/>
        <v>0</v>
      </c>
      <c r="BZ30" s="65"/>
      <c r="CA30" s="76" t="s">
        <v>1941</v>
      </c>
      <c r="CB30" s="77">
        <f t="shared" si="55"/>
        <v>0</v>
      </c>
      <c r="CC30" s="65"/>
      <c r="CD30" s="76" t="s">
        <v>1941</v>
      </c>
      <c r="CE30" s="77">
        <f t="shared" si="55"/>
        <v>0</v>
      </c>
      <c r="CF30" s="65"/>
      <c r="CG30" s="76" t="s">
        <v>1942</v>
      </c>
      <c r="CH30" s="77">
        <f t="shared" si="55"/>
        <v>0</v>
      </c>
      <c r="CI30" s="65"/>
      <c r="CJ30" s="76" t="s">
        <v>1943</v>
      </c>
      <c r="CK30" s="77">
        <f t="shared" si="55"/>
        <v>0</v>
      </c>
      <c r="CL30" s="65"/>
      <c r="CM30" s="76" t="s">
        <v>1948</v>
      </c>
      <c r="CN30" s="77">
        <f t="shared" si="55"/>
        <v>0</v>
      </c>
      <c r="CO30" s="65"/>
      <c r="CP30" s="65"/>
    </row>
    <row r="31" spans="1:94">
      <c r="A31" s="49"/>
      <c r="B31" s="49"/>
      <c r="C31" s="438" t="str">
        <f>Idiomas!D327</f>
        <v>Equipo clasificado para 3º y 4º puesto</v>
      </c>
      <c r="D31" s="44">
        <v>5</v>
      </c>
      <c r="E31" s="111"/>
      <c r="F31" s="445">
        <f t="shared" si="47"/>
        <v>6</v>
      </c>
      <c r="G31" s="445">
        <f ca="1">VLOOKUP(H31,Equipos!$Q$1:$R$25,2,0)</f>
        <v>8</v>
      </c>
      <c r="H31" s="446">
        <f ca="1">TRUNC(INDEX(WORLDCUP!$X$4:$X$147,MATCH(ADMIN!K31,WORLDCUP!$DT$4:$DT$147,0))+INDEX(Horarios!$R$3:$R$86,MATCH(Horarios!$C$3,Horarios!$P$3:$P$86,0))/24)</f>
        <v>46191</v>
      </c>
      <c r="I31" s="48">
        <v>1</v>
      </c>
      <c r="J31" s="95" t="s">
        <v>118</v>
      </c>
      <c r="K31" s="56" t="str">
        <f ca="1">CONCATENATE(WORLDCUP!AA7,"-",WORLDCUP!AF7)</f>
        <v>México-Corea del Sur</v>
      </c>
      <c r="L31" s="53"/>
      <c r="M31" s="55" t="str">
        <f>IF(OR(WORLDCUP!AC7="",WORLDCUP!AD7=""),"-",N31&amp;"|"&amp;O31&amp;"-"&amp;P31)</f>
        <v>-</v>
      </c>
      <c r="N31" s="25" t="str">
        <f>IF(OR(WORLDCUP!AC7="",WORLDCUP!AD7=""),"",IF(WORLDCUP!AC7&gt;WORLDCUP!AD7,"1",IF(WORLDCUP!AC7&lt;WORLDCUP!AD7,"2","X")))</f>
        <v/>
      </c>
      <c r="O31" s="25">
        <f>WORLDCUP!AC7</f>
        <v>0</v>
      </c>
      <c r="P31" s="25">
        <f>WORLDCUP!AD7</f>
        <v>0</v>
      </c>
      <c r="Q31" s="25">
        <f t="shared" si="51"/>
        <v>0</v>
      </c>
      <c r="R31" s="49"/>
      <c r="S31" s="74" t="s">
        <v>1948</v>
      </c>
      <c r="T31" s="73">
        <f t="shared" si="54"/>
        <v>0</v>
      </c>
      <c r="U31" s="65"/>
      <c r="V31" s="74" t="s">
        <v>1948</v>
      </c>
      <c r="W31" s="73">
        <f t="shared" si="49"/>
        <v>0</v>
      </c>
      <c r="X31" s="65"/>
      <c r="Y31" s="74" t="s">
        <v>1942</v>
      </c>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t="s">
        <v>1945</v>
      </c>
      <c r="AC31" s="73">
        <f t="shared" si="56"/>
        <v>0</v>
      </c>
      <c r="AD31" s="65"/>
      <c r="AE31" s="74" t="s">
        <v>1954</v>
      </c>
      <c r="AF31" s="73">
        <f t="shared" si="56"/>
        <v>0</v>
      </c>
      <c r="AG31" s="65"/>
      <c r="AH31" s="74" t="s">
        <v>1948</v>
      </c>
      <c r="AI31" s="73">
        <f t="shared" si="56"/>
        <v>0</v>
      </c>
      <c r="AJ31" s="65"/>
      <c r="AK31" s="74" t="s">
        <v>1948</v>
      </c>
      <c r="AL31" s="73">
        <f t="shared" si="56"/>
        <v>0</v>
      </c>
      <c r="AM31" s="65"/>
      <c r="AN31" s="74" t="s">
        <v>1995</v>
      </c>
      <c r="AO31" s="73">
        <f t="shared" si="56"/>
        <v>0</v>
      </c>
      <c r="AP31" s="65"/>
      <c r="AQ31" s="74" t="s">
        <v>1942</v>
      </c>
      <c r="AR31" s="73">
        <f t="shared" si="56"/>
        <v>0</v>
      </c>
      <c r="AS31" s="65"/>
      <c r="AT31" s="74" t="s">
        <v>1948</v>
      </c>
      <c r="AU31" s="73">
        <f t="shared" si="56"/>
        <v>0</v>
      </c>
      <c r="AV31" s="65"/>
      <c r="AW31" s="74" t="s">
        <v>1948</v>
      </c>
      <c r="AX31" s="73">
        <f t="shared" si="56"/>
        <v>0</v>
      </c>
      <c r="AY31" s="65"/>
      <c r="AZ31" s="74" t="s">
        <v>1995</v>
      </c>
      <c r="BA31" s="73">
        <f t="shared" si="56"/>
        <v>0</v>
      </c>
      <c r="BB31" s="65"/>
      <c r="BC31" s="74" t="s">
        <v>1942</v>
      </c>
      <c r="BD31" s="73">
        <f t="shared" si="56"/>
        <v>0</v>
      </c>
      <c r="BE31" s="65"/>
      <c r="BF31" s="74" t="s">
        <v>1950</v>
      </c>
      <c r="BG31" s="73">
        <f t="shared" si="56"/>
        <v>0</v>
      </c>
      <c r="BH31" s="65"/>
      <c r="BI31" s="74" t="s">
        <v>1942</v>
      </c>
      <c r="BJ31" s="73">
        <f t="shared" si="56"/>
        <v>0</v>
      </c>
      <c r="BK31" s="65"/>
      <c r="BL31" s="74" t="s">
        <v>1948</v>
      </c>
      <c r="BM31" s="73">
        <f t="shared" si="56"/>
        <v>0</v>
      </c>
      <c r="BN31" s="65"/>
      <c r="BO31" s="74" t="s">
        <v>1954</v>
      </c>
      <c r="BP31" s="73">
        <f t="shared" si="56"/>
        <v>0</v>
      </c>
      <c r="BQ31" s="65"/>
      <c r="BR31" s="74" t="s">
        <v>1948</v>
      </c>
      <c r="BS31" s="73">
        <f t="shared" si="56"/>
        <v>0</v>
      </c>
      <c r="BT31" s="65"/>
      <c r="BU31" s="74" t="s">
        <v>1948</v>
      </c>
      <c r="BV31" s="73">
        <f t="shared" si="56"/>
        <v>0</v>
      </c>
      <c r="BW31" s="65"/>
      <c r="BX31" s="74" t="s">
        <v>1995</v>
      </c>
      <c r="BY31" s="73">
        <f t="shared" si="56"/>
        <v>0</v>
      </c>
      <c r="BZ31" s="65"/>
      <c r="CA31" s="74" t="s">
        <v>1941</v>
      </c>
      <c r="CB31" s="73">
        <f t="shared" si="56"/>
        <v>0</v>
      </c>
      <c r="CC31" s="65"/>
      <c r="CD31" s="74" t="s">
        <v>1954</v>
      </c>
      <c r="CE31" s="73">
        <f t="shared" si="56"/>
        <v>0</v>
      </c>
      <c r="CF31" s="65"/>
      <c r="CG31" s="74" t="s">
        <v>1954</v>
      </c>
      <c r="CH31" s="73">
        <f t="shared" si="56"/>
        <v>0</v>
      </c>
      <c r="CI31" s="65"/>
      <c r="CJ31" s="74" t="s">
        <v>1948</v>
      </c>
      <c r="CK31" s="73">
        <f t="shared" si="55"/>
        <v>0</v>
      </c>
      <c r="CL31" s="65"/>
      <c r="CM31" s="74" t="s">
        <v>1948</v>
      </c>
      <c r="CN31" s="73">
        <f t="shared" si="55"/>
        <v>0</v>
      </c>
      <c r="CO31" s="65"/>
      <c r="CP31" s="65"/>
    </row>
    <row r="32" spans="1:94">
      <c r="A32" s="49"/>
      <c r="B32" s="49"/>
      <c r="C32" s="440" t="str">
        <f>Idiomas!D328</f>
        <v>Equipo clasificado para FINAL</v>
      </c>
      <c r="D32" s="63">
        <v>10</v>
      </c>
      <c r="E32" s="111"/>
      <c r="F32" s="445">
        <f t="shared" si="47"/>
        <v>6</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51"/>
        <v>0</v>
      </c>
      <c r="R32" s="49"/>
      <c r="S32" s="74" t="s">
        <v>1943</v>
      </c>
      <c r="T32" s="73">
        <f t="shared" si="54"/>
        <v>0</v>
      </c>
      <c r="U32" s="65"/>
      <c r="V32" s="74" t="s">
        <v>1995</v>
      </c>
      <c r="W32" s="73">
        <f t="shared" si="49"/>
        <v>0</v>
      </c>
      <c r="X32" s="65"/>
      <c r="Y32" s="74" t="s">
        <v>1942</v>
      </c>
      <c r="Z32" s="73">
        <f t="shared" si="56"/>
        <v>0</v>
      </c>
      <c r="AA32" s="65"/>
      <c r="AB32" s="74" t="s">
        <v>1948</v>
      </c>
      <c r="AC32" s="73">
        <f t="shared" si="56"/>
        <v>0</v>
      </c>
      <c r="AD32" s="65"/>
      <c r="AE32" s="74" t="s">
        <v>1942</v>
      </c>
      <c r="AF32" s="73">
        <f t="shared" si="56"/>
        <v>0</v>
      </c>
      <c r="AG32" s="65"/>
      <c r="AH32" s="74" t="s">
        <v>1943</v>
      </c>
      <c r="AI32" s="73">
        <f t="shared" si="56"/>
        <v>0</v>
      </c>
      <c r="AJ32" s="65"/>
      <c r="AK32" s="74" t="s">
        <v>1943</v>
      </c>
      <c r="AL32" s="73">
        <f t="shared" si="56"/>
        <v>0</v>
      </c>
      <c r="AM32" s="65"/>
      <c r="AN32" s="74" t="s">
        <v>1941</v>
      </c>
      <c r="AO32" s="73">
        <f t="shared" si="56"/>
        <v>0</v>
      </c>
      <c r="AP32" s="65"/>
      <c r="AQ32" s="74" t="s">
        <v>1948</v>
      </c>
      <c r="AR32" s="73">
        <f t="shared" si="56"/>
        <v>0</v>
      </c>
      <c r="AS32" s="65"/>
      <c r="AT32" s="74" t="s">
        <v>1948</v>
      </c>
      <c r="AU32" s="73">
        <f t="shared" si="56"/>
        <v>0</v>
      </c>
      <c r="AV32" s="65"/>
      <c r="AW32" s="74" t="s">
        <v>1948</v>
      </c>
      <c r="AX32" s="73">
        <f t="shared" si="56"/>
        <v>0</v>
      </c>
      <c r="AY32" s="65"/>
      <c r="AZ32" s="74" t="s">
        <v>1942</v>
      </c>
      <c r="BA32" s="73">
        <f t="shared" si="56"/>
        <v>0</v>
      </c>
      <c r="BB32" s="65"/>
      <c r="BC32" s="74" t="s">
        <v>1948</v>
      </c>
      <c r="BD32" s="73">
        <f t="shared" si="56"/>
        <v>0</v>
      </c>
      <c r="BE32" s="65"/>
      <c r="BF32" s="74" t="s">
        <v>1941</v>
      </c>
      <c r="BG32" s="73">
        <f t="shared" si="56"/>
        <v>0</v>
      </c>
      <c r="BH32" s="65"/>
      <c r="BI32" s="74" t="s">
        <v>1942</v>
      </c>
      <c r="BJ32" s="73">
        <f t="shared" si="56"/>
        <v>0</v>
      </c>
      <c r="BK32" s="65"/>
      <c r="BL32" s="74" t="s">
        <v>1995</v>
      </c>
      <c r="BM32" s="73">
        <f t="shared" si="56"/>
        <v>0</v>
      </c>
      <c r="BN32" s="65"/>
      <c r="BO32" s="74" t="s">
        <v>1949</v>
      </c>
      <c r="BP32" s="73">
        <f t="shared" si="56"/>
        <v>0</v>
      </c>
      <c r="BQ32" s="65"/>
      <c r="BR32" s="74" t="s">
        <v>1954</v>
      </c>
      <c r="BS32" s="73">
        <f t="shared" si="56"/>
        <v>0</v>
      </c>
      <c r="BT32" s="65"/>
      <c r="BU32" s="74" t="s">
        <v>1948</v>
      </c>
      <c r="BV32" s="73">
        <f t="shared" si="56"/>
        <v>0</v>
      </c>
      <c r="BW32" s="65"/>
      <c r="BX32" s="74" t="s">
        <v>1941</v>
      </c>
      <c r="BY32" s="73">
        <f t="shared" si="56"/>
        <v>0</v>
      </c>
      <c r="BZ32" s="65"/>
      <c r="CA32" s="74" t="s">
        <v>1941</v>
      </c>
      <c r="CB32" s="73">
        <f t="shared" si="56"/>
        <v>0</v>
      </c>
      <c r="CC32" s="65"/>
      <c r="CD32" s="74" t="s">
        <v>1993</v>
      </c>
      <c r="CE32" s="73">
        <f t="shared" si="56"/>
        <v>0</v>
      </c>
      <c r="CF32" s="65"/>
      <c r="CG32" s="74" t="s">
        <v>1941</v>
      </c>
      <c r="CH32" s="73">
        <f t="shared" si="56"/>
        <v>0</v>
      </c>
      <c r="CI32" s="65"/>
      <c r="CJ32" s="74" t="s">
        <v>1941</v>
      </c>
      <c r="CK32" s="73">
        <f t="shared" si="55"/>
        <v>0</v>
      </c>
      <c r="CL32" s="65"/>
      <c r="CM32" s="74" t="s">
        <v>1943</v>
      </c>
      <c r="CN32" s="73">
        <f t="shared" si="55"/>
        <v>0</v>
      </c>
      <c r="CO32" s="65"/>
      <c r="CP32" s="65"/>
    </row>
    <row r="33" spans="1:94">
      <c r="A33" s="49"/>
      <c r="B33" s="49"/>
      <c r="C33" s="438" t="str">
        <f>Idiomas!D329</f>
        <v>3ºy4º PUESTO - Signo 1X2  (local, empate, visitante)</v>
      </c>
      <c r="D33" s="44">
        <v>6</v>
      </c>
      <c r="E33" s="111"/>
      <c r="F33" s="445">
        <f t="shared" si="47"/>
        <v>6</v>
      </c>
      <c r="G33" s="445">
        <f ca="1">VLOOKUP(H33,Equipos!$Q$1:$R$25,2,0)</f>
        <v>8</v>
      </c>
      <c r="H33" s="446">
        <f ca="1">TRUNC(INDEX(WORLDCUP!$X$4:$X$147,MATCH(ADMIN!K33,WORLDCUP!$DT$4:$DT$147,0))+INDEX(Horarios!$R$3:$R$86,MATCH(Horarios!$C$3,Horarios!$P$3:$P$86,0))/24)</f>
        <v>46191</v>
      </c>
      <c r="I33" s="48">
        <v>1</v>
      </c>
      <c r="J33" s="96" t="s">
        <v>119</v>
      </c>
      <c r="K33" s="56" t="str">
        <f ca="1">CONCATENATE(WORLDCUP!AA15,"-",WORLDCUP!AF15)</f>
        <v>Canadá-Catar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51"/>
        <v>0</v>
      </c>
      <c r="R33" s="49"/>
      <c r="S33" s="74" t="s">
        <v>1942</v>
      </c>
      <c r="T33" s="73">
        <f t="shared" si="54"/>
        <v>0</v>
      </c>
      <c r="U33" s="65"/>
      <c r="V33" s="74" t="s">
        <v>1954</v>
      </c>
      <c r="W33" s="73">
        <f t="shared" si="49"/>
        <v>0</v>
      </c>
      <c r="X33" s="65"/>
      <c r="Y33" s="74" t="s">
        <v>1941</v>
      </c>
      <c r="Z33" s="73">
        <f t="shared" si="56"/>
        <v>0</v>
      </c>
      <c r="AA33" s="65"/>
      <c r="AB33" s="74" t="s">
        <v>1947</v>
      </c>
      <c r="AC33" s="73">
        <f t="shared" si="56"/>
        <v>0</v>
      </c>
      <c r="AD33" s="65"/>
      <c r="AE33" s="74" t="s">
        <v>1943</v>
      </c>
      <c r="AF33" s="73">
        <f t="shared" si="56"/>
        <v>0</v>
      </c>
      <c r="AG33" s="65"/>
      <c r="AH33" s="74" t="s">
        <v>1941</v>
      </c>
      <c r="AI33" s="73">
        <f t="shared" si="56"/>
        <v>0</v>
      </c>
      <c r="AJ33" s="65"/>
      <c r="AK33" s="74" t="s">
        <v>1943</v>
      </c>
      <c r="AL33" s="73">
        <f t="shared" si="56"/>
        <v>0</v>
      </c>
      <c r="AM33" s="65"/>
      <c r="AN33" s="74" t="s">
        <v>1941</v>
      </c>
      <c r="AO33" s="73">
        <f t="shared" si="56"/>
        <v>0</v>
      </c>
      <c r="AP33" s="65"/>
      <c r="AQ33" s="74" t="s">
        <v>1948</v>
      </c>
      <c r="AR33" s="73">
        <f t="shared" si="56"/>
        <v>0</v>
      </c>
      <c r="AS33" s="65"/>
      <c r="AT33" s="74" t="s">
        <v>1941</v>
      </c>
      <c r="AU33" s="73">
        <f t="shared" si="56"/>
        <v>0</v>
      </c>
      <c r="AV33" s="65"/>
      <c r="AW33" s="74" t="s">
        <v>1943</v>
      </c>
      <c r="AX33" s="73">
        <f t="shared" si="56"/>
        <v>0</v>
      </c>
      <c r="AY33" s="65"/>
      <c r="AZ33" s="74" t="s">
        <v>1954</v>
      </c>
      <c r="BA33" s="73">
        <f t="shared" si="56"/>
        <v>0</v>
      </c>
      <c r="BB33" s="65"/>
      <c r="BC33" s="74" t="s">
        <v>1944</v>
      </c>
      <c r="BD33" s="73">
        <f t="shared" si="56"/>
        <v>0</v>
      </c>
      <c r="BE33" s="65"/>
      <c r="BF33" s="74" t="s">
        <v>1947</v>
      </c>
      <c r="BG33" s="73">
        <f t="shared" si="56"/>
        <v>0</v>
      </c>
      <c r="BH33" s="65"/>
      <c r="BI33" s="74" t="s">
        <v>1948</v>
      </c>
      <c r="BJ33" s="73">
        <f t="shared" si="56"/>
        <v>0</v>
      </c>
      <c r="BK33" s="65"/>
      <c r="BL33" s="74" t="s">
        <v>1950</v>
      </c>
      <c r="BM33" s="73">
        <f t="shared" si="56"/>
        <v>0</v>
      </c>
      <c r="BN33" s="65"/>
      <c r="BO33" s="74" t="s">
        <v>1948</v>
      </c>
      <c r="BP33" s="73">
        <f t="shared" si="56"/>
        <v>0</v>
      </c>
      <c r="BQ33" s="65"/>
      <c r="BR33" s="74" t="s">
        <v>1947</v>
      </c>
      <c r="BS33" s="73">
        <f t="shared" si="56"/>
        <v>0</v>
      </c>
      <c r="BT33" s="65"/>
      <c r="BU33" s="74" t="s">
        <v>1943</v>
      </c>
      <c r="BV33" s="73">
        <f t="shared" si="56"/>
        <v>0</v>
      </c>
      <c r="BW33" s="65"/>
      <c r="BX33" s="74" t="s">
        <v>1941</v>
      </c>
      <c r="BY33" s="73">
        <f t="shared" si="56"/>
        <v>0</v>
      </c>
      <c r="BZ33" s="65"/>
      <c r="CA33" s="74" t="s">
        <v>1947</v>
      </c>
      <c r="CB33" s="73">
        <f t="shared" si="56"/>
        <v>0</v>
      </c>
      <c r="CC33" s="65"/>
      <c r="CD33" s="74" t="s">
        <v>1949</v>
      </c>
      <c r="CE33" s="73">
        <f t="shared" si="56"/>
        <v>0</v>
      </c>
      <c r="CF33" s="65"/>
      <c r="CG33" s="74" t="s">
        <v>1995</v>
      </c>
      <c r="CH33" s="73">
        <f t="shared" si="56"/>
        <v>0</v>
      </c>
      <c r="CI33" s="65"/>
      <c r="CJ33" s="74" t="s">
        <v>1943</v>
      </c>
      <c r="CK33" s="73">
        <f t="shared" si="55"/>
        <v>0</v>
      </c>
      <c r="CL33" s="65"/>
      <c r="CM33" s="74" t="s">
        <v>1949</v>
      </c>
      <c r="CN33" s="73">
        <f t="shared" si="55"/>
        <v>0</v>
      </c>
      <c r="CO33" s="65"/>
      <c r="CP33" s="65"/>
    </row>
    <row r="34" spans="1:94">
      <c r="A34" s="49"/>
      <c r="B34" s="49"/>
      <c r="C34" s="437" t="str">
        <f>Idiomas!D330&amp;"**"</f>
        <v>3ºy4º PUESTO - Diferencia/Distancia de goles (Con 1X2 acertado)**</v>
      </c>
      <c r="D34" s="62">
        <v>0</v>
      </c>
      <c r="E34" s="111"/>
      <c r="F34" s="445">
        <f t="shared" si="47"/>
        <v>6</v>
      </c>
      <c r="G34" s="445">
        <f ca="1">VLOOKUP(H34,Equipos!$Q$1:$R$25,2,0)</f>
        <v>9</v>
      </c>
      <c r="H34" s="446">
        <f ca="1">TRUNC(INDEX(WORLDCUP!$X$4:$X$147,MATCH(ADMIN!K34,WORLDCUP!$DT$4:$DT$147,0))+INDEX(Horarios!$R$3:$R$86,MATCH(Horarios!$C$3,Horarios!$P$3:$P$86,0))/24)</f>
        <v>46192</v>
      </c>
      <c r="I34" s="48">
        <v>1</v>
      </c>
      <c r="J34" s="95" t="s">
        <v>120</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51"/>
        <v>0</v>
      </c>
      <c r="R34" s="49"/>
      <c r="S34" s="74" t="s">
        <v>1945</v>
      </c>
      <c r="T34" s="73">
        <f t="shared" si="54"/>
        <v>0</v>
      </c>
      <c r="U34" s="65"/>
      <c r="V34" s="74" t="s">
        <v>1950</v>
      </c>
      <c r="W34" s="73">
        <f t="shared" si="49"/>
        <v>0</v>
      </c>
      <c r="X34" s="65"/>
      <c r="Y34" s="74" t="s">
        <v>1954</v>
      </c>
      <c r="Z34" s="73">
        <f t="shared" si="56"/>
        <v>0</v>
      </c>
      <c r="AA34" s="65"/>
      <c r="AB34" s="74" t="s">
        <v>1952</v>
      </c>
      <c r="AC34" s="73">
        <f t="shared" si="56"/>
        <v>0</v>
      </c>
      <c r="AD34" s="65"/>
      <c r="AE34" s="74" t="s">
        <v>1954</v>
      </c>
      <c r="AF34" s="73">
        <f t="shared" si="56"/>
        <v>0</v>
      </c>
      <c r="AG34" s="65"/>
      <c r="AH34" s="74" t="s">
        <v>1954</v>
      </c>
      <c r="AI34" s="73">
        <f t="shared" si="56"/>
        <v>0</v>
      </c>
      <c r="AJ34" s="65"/>
      <c r="AK34" s="74" t="s">
        <v>1954</v>
      </c>
      <c r="AL34" s="73">
        <f t="shared" si="56"/>
        <v>0</v>
      </c>
      <c r="AM34" s="65"/>
      <c r="AN34" s="74" t="s">
        <v>1945</v>
      </c>
      <c r="AO34" s="73">
        <f t="shared" si="56"/>
        <v>0</v>
      </c>
      <c r="AP34" s="65"/>
      <c r="AQ34" s="74" t="s">
        <v>1946</v>
      </c>
      <c r="AR34" s="73">
        <f t="shared" si="56"/>
        <v>0</v>
      </c>
      <c r="AS34" s="65"/>
      <c r="AT34" s="74" t="s">
        <v>1954</v>
      </c>
      <c r="AU34" s="73">
        <f t="shared" si="56"/>
        <v>0</v>
      </c>
      <c r="AV34" s="65"/>
      <c r="AW34" s="74" t="s">
        <v>1945</v>
      </c>
      <c r="AX34" s="73">
        <f t="shared" si="56"/>
        <v>0</v>
      </c>
      <c r="AY34" s="65"/>
      <c r="AZ34" s="74" t="s">
        <v>1945</v>
      </c>
      <c r="BA34" s="73">
        <f t="shared" si="56"/>
        <v>0</v>
      </c>
      <c r="BB34" s="65"/>
      <c r="BC34" s="74" t="s">
        <v>1942</v>
      </c>
      <c r="BD34" s="73">
        <f t="shared" si="56"/>
        <v>0</v>
      </c>
      <c r="BE34" s="65"/>
      <c r="BF34" s="74" t="s">
        <v>1952</v>
      </c>
      <c r="BG34" s="73">
        <f t="shared" si="56"/>
        <v>0</v>
      </c>
      <c r="BH34" s="65"/>
      <c r="BI34" s="74" t="s">
        <v>1945</v>
      </c>
      <c r="BJ34" s="73">
        <f t="shared" si="56"/>
        <v>0</v>
      </c>
      <c r="BK34" s="65"/>
      <c r="BL34" s="74" t="s">
        <v>1944</v>
      </c>
      <c r="BM34" s="73">
        <f t="shared" si="56"/>
        <v>0</v>
      </c>
      <c r="BN34" s="65"/>
      <c r="BO34" s="74" t="s">
        <v>1945</v>
      </c>
      <c r="BP34" s="73">
        <f t="shared" si="56"/>
        <v>0</v>
      </c>
      <c r="BQ34" s="65"/>
      <c r="BR34" s="74" t="s">
        <v>1954</v>
      </c>
      <c r="BS34" s="73">
        <f t="shared" si="56"/>
        <v>0</v>
      </c>
      <c r="BT34" s="65"/>
      <c r="BU34" s="74" t="s">
        <v>1954</v>
      </c>
      <c r="BV34" s="73">
        <f t="shared" si="56"/>
        <v>0</v>
      </c>
      <c r="BW34" s="65"/>
      <c r="BX34" s="74" t="s">
        <v>1942</v>
      </c>
      <c r="BY34" s="73">
        <f t="shared" si="56"/>
        <v>0</v>
      </c>
      <c r="BZ34" s="65"/>
      <c r="CA34" s="74" t="s">
        <v>1948</v>
      </c>
      <c r="CB34" s="73">
        <f t="shared" si="56"/>
        <v>0</v>
      </c>
      <c r="CC34" s="65"/>
      <c r="CD34" s="74" t="s">
        <v>1945</v>
      </c>
      <c r="CE34" s="73">
        <f t="shared" si="56"/>
        <v>0</v>
      </c>
      <c r="CF34" s="65"/>
      <c r="CG34" s="74" t="s">
        <v>1945</v>
      </c>
      <c r="CH34" s="73">
        <f t="shared" si="56"/>
        <v>0</v>
      </c>
      <c r="CI34" s="65"/>
      <c r="CJ34" s="74" t="s">
        <v>1944</v>
      </c>
      <c r="CK34" s="73">
        <f t="shared" si="55"/>
        <v>0</v>
      </c>
      <c r="CL34" s="65"/>
      <c r="CM34" s="74" t="s">
        <v>1944</v>
      </c>
      <c r="CN34" s="73">
        <f t="shared" si="55"/>
        <v>0</v>
      </c>
      <c r="CO34" s="65"/>
      <c r="CP34" s="65"/>
    </row>
    <row r="35" spans="1:94">
      <c r="A35" s="49"/>
      <c r="B35" s="49"/>
      <c r="C35" s="439" t="str">
        <f>Idiomas!D331</f>
        <v>3ºy4º PUESTO - Resultado exacto</v>
      </c>
      <c r="D35" s="45">
        <v>12</v>
      </c>
      <c r="E35" s="111"/>
      <c r="F35" s="445">
        <f t="shared" si="47"/>
        <v>6</v>
      </c>
      <c r="G35" s="445">
        <f ca="1">VLOOKUP(H35,Equipos!$Q$1:$R$25,2,0)</f>
        <v>9</v>
      </c>
      <c r="H35" s="446">
        <f ca="1">TRUNC(INDEX(WORLDCUP!$X$4:$X$147,MATCH(ADMIN!K35,WORLDCUP!$DT$4:$DT$147,0))+INDEX(Horarios!$R$3:$R$86,MATCH(Horarios!$C$3,Horarios!$P$3:$P$86,0))/24)</f>
        <v>46192</v>
      </c>
      <c r="I35" s="48">
        <v>1</v>
      </c>
      <c r="J35" s="95" t="s">
        <v>120</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51"/>
        <v>0</v>
      </c>
      <c r="R35" s="49"/>
      <c r="S35" s="74" t="s">
        <v>1949</v>
      </c>
      <c r="T35" s="73">
        <f t="shared" si="54"/>
        <v>0</v>
      </c>
      <c r="U35" s="65"/>
      <c r="V35" s="74" t="s">
        <v>1950</v>
      </c>
      <c r="W35" s="73">
        <f t="shared" si="49"/>
        <v>0</v>
      </c>
      <c r="X35" s="65"/>
      <c r="Y35" s="74" t="s">
        <v>1949</v>
      </c>
      <c r="Z35" s="73">
        <f t="shared" si="56"/>
        <v>0</v>
      </c>
      <c r="AA35" s="65"/>
      <c r="AB35" s="74" t="s">
        <v>1947</v>
      </c>
      <c r="AC35" s="73">
        <f t="shared" si="56"/>
        <v>0</v>
      </c>
      <c r="AD35" s="65"/>
      <c r="AE35" s="74" t="s">
        <v>1947</v>
      </c>
      <c r="AF35" s="73">
        <f t="shared" si="56"/>
        <v>0</v>
      </c>
      <c r="AG35" s="65"/>
      <c r="AH35" s="74" t="s">
        <v>1947</v>
      </c>
      <c r="AI35" s="73">
        <f t="shared" si="56"/>
        <v>0</v>
      </c>
      <c r="AJ35" s="65"/>
      <c r="AK35" s="74" t="s">
        <v>1949</v>
      </c>
      <c r="AL35" s="73">
        <f t="shared" si="56"/>
        <v>0</v>
      </c>
      <c r="AM35" s="65"/>
      <c r="AN35" s="74" t="s">
        <v>2070</v>
      </c>
      <c r="AO35" s="73">
        <f t="shared" si="56"/>
        <v>0</v>
      </c>
      <c r="AP35" s="65"/>
      <c r="AQ35" s="74" t="s">
        <v>1949</v>
      </c>
      <c r="AR35" s="73">
        <f t="shared" si="56"/>
        <v>0</v>
      </c>
      <c r="AS35" s="65"/>
      <c r="AT35" s="74" t="s">
        <v>1947</v>
      </c>
      <c r="AU35" s="73">
        <f t="shared" si="56"/>
        <v>0</v>
      </c>
      <c r="AV35" s="65"/>
      <c r="AW35" s="74" t="s">
        <v>1941</v>
      </c>
      <c r="AX35" s="73">
        <f t="shared" si="56"/>
        <v>0</v>
      </c>
      <c r="AY35" s="65"/>
      <c r="AZ35" s="74" t="s">
        <v>1947</v>
      </c>
      <c r="BA35" s="73">
        <f t="shared" si="56"/>
        <v>0</v>
      </c>
      <c r="BB35" s="65"/>
      <c r="BC35" s="74" t="s">
        <v>1949</v>
      </c>
      <c r="BD35" s="73">
        <f t="shared" si="56"/>
        <v>0</v>
      </c>
      <c r="BE35" s="65"/>
      <c r="BF35" s="74" t="s">
        <v>2070</v>
      </c>
      <c r="BG35" s="73">
        <f t="shared" si="56"/>
        <v>0</v>
      </c>
      <c r="BH35" s="65"/>
      <c r="BI35" s="74" t="s">
        <v>1947</v>
      </c>
      <c r="BJ35" s="73">
        <f t="shared" si="56"/>
        <v>0</v>
      </c>
      <c r="BK35" s="65"/>
      <c r="BL35" s="74" t="s">
        <v>1950</v>
      </c>
      <c r="BM35" s="73">
        <f t="shared" si="56"/>
        <v>0</v>
      </c>
      <c r="BN35" s="65"/>
      <c r="BO35" s="74" t="s">
        <v>1949</v>
      </c>
      <c r="BP35" s="73">
        <f t="shared" si="56"/>
        <v>0</v>
      </c>
      <c r="BQ35" s="65"/>
      <c r="BR35" s="74" t="s">
        <v>1947</v>
      </c>
      <c r="BS35" s="73">
        <f t="shared" si="56"/>
        <v>0</v>
      </c>
      <c r="BT35" s="65"/>
      <c r="BU35" s="74" t="s">
        <v>1949</v>
      </c>
      <c r="BV35" s="73">
        <f t="shared" si="56"/>
        <v>0</v>
      </c>
      <c r="BW35" s="65"/>
      <c r="BX35" s="74" t="s">
        <v>1947</v>
      </c>
      <c r="BY35" s="73">
        <f t="shared" si="56"/>
        <v>0</v>
      </c>
      <c r="BZ35" s="65"/>
      <c r="CA35" s="74" t="s">
        <v>1947</v>
      </c>
      <c r="CB35" s="73">
        <f t="shared" si="56"/>
        <v>0</v>
      </c>
      <c r="CC35" s="65"/>
      <c r="CD35" s="74" t="s">
        <v>2491</v>
      </c>
      <c r="CE35" s="73">
        <f t="shared" si="56"/>
        <v>0</v>
      </c>
      <c r="CF35" s="65"/>
      <c r="CG35" s="74" t="s">
        <v>1949</v>
      </c>
      <c r="CH35" s="73">
        <f t="shared" si="56"/>
        <v>0</v>
      </c>
      <c r="CI35" s="65"/>
      <c r="CJ35" s="74" t="s">
        <v>1949</v>
      </c>
      <c r="CK35" s="73">
        <f t="shared" si="55"/>
        <v>0</v>
      </c>
      <c r="CL35" s="65"/>
      <c r="CM35" s="74" t="s">
        <v>1947</v>
      </c>
      <c r="CN35" s="73">
        <f t="shared" si="55"/>
        <v>0</v>
      </c>
      <c r="CO35" s="65"/>
      <c r="CP35" s="65"/>
    </row>
    <row r="36" spans="1:94">
      <c r="A36" s="49"/>
      <c r="B36" s="49"/>
      <c r="C36" s="437" t="str">
        <f>Idiomas!D332</f>
        <v>FINAL - Signo 1X2  (local, empate, visitante)</v>
      </c>
      <c r="D36" s="62">
        <v>7</v>
      </c>
      <c r="E36" s="111"/>
      <c r="F36" s="445">
        <f t="shared" si="47"/>
        <v>6</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51"/>
        <v>0</v>
      </c>
      <c r="R36" s="49"/>
      <c r="S36" s="74" t="s">
        <v>1948</v>
      </c>
      <c r="T36" s="73">
        <f t="shared" si="54"/>
        <v>0</v>
      </c>
      <c r="U36" s="65"/>
      <c r="V36" s="74" t="s">
        <v>1996</v>
      </c>
      <c r="W36" s="73">
        <f t="shared" si="49"/>
        <v>0</v>
      </c>
      <c r="X36" s="65"/>
      <c r="Y36" s="74" t="s">
        <v>1943</v>
      </c>
      <c r="Z36" s="73">
        <f t="shared" si="56"/>
        <v>0</v>
      </c>
      <c r="AA36" s="65"/>
      <c r="AB36" s="74" t="s">
        <v>1950</v>
      </c>
      <c r="AC36" s="73">
        <f t="shared" si="56"/>
        <v>0</v>
      </c>
      <c r="AD36" s="65"/>
      <c r="AE36" s="74" t="s">
        <v>1948</v>
      </c>
      <c r="AF36" s="73">
        <f t="shared" si="56"/>
        <v>0</v>
      </c>
      <c r="AG36" s="65"/>
      <c r="AH36" s="74" t="s">
        <v>1948</v>
      </c>
      <c r="AI36" s="73">
        <f t="shared" si="56"/>
        <v>0</v>
      </c>
      <c r="AJ36" s="65"/>
      <c r="AK36" s="74" t="s">
        <v>1943</v>
      </c>
      <c r="AL36" s="73">
        <f t="shared" si="56"/>
        <v>0</v>
      </c>
      <c r="AM36" s="65"/>
      <c r="AN36" s="74" t="s">
        <v>1948</v>
      </c>
      <c r="AO36" s="73">
        <f t="shared" si="56"/>
        <v>0</v>
      </c>
      <c r="AP36" s="65"/>
      <c r="AQ36" s="74" t="s">
        <v>1948</v>
      </c>
      <c r="AR36" s="73">
        <f t="shared" si="56"/>
        <v>0</v>
      </c>
      <c r="AS36" s="65"/>
      <c r="AT36" s="74" t="s">
        <v>1941</v>
      </c>
      <c r="AU36" s="73">
        <f t="shared" si="56"/>
        <v>0</v>
      </c>
      <c r="AV36" s="65"/>
      <c r="AW36" s="74" t="s">
        <v>1941</v>
      </c>
      <c r="AX36" s="73">
        <f t="shared" si="56"/>
        <v>0</v>
      </c>
      <c r="AY36" s="65"/>
      <c r="AZ36" s="74" t="s">
        <v>1941</v>
      </c>
      <c r="BA36" s="73">
        <f t="shared" si="56"/>
        <v>0</v>
      </c>
      <c r="BB36" s="65"/>
      <c r="BC36" s="74" t="s">
        <v>1944</v>
      </c>
      <c r="BD36" s="73">
        <f t="shared" si="56"/>
        <v>0</v>
      </c>
      <c r="BE36" s="65"/>
      <c r="BF36" s="74" t="s">
        <v>1942</v>
      </c>
      <c r="BG36" s="73">
        <f t="shared" si="56"/>
        <v>0</v>
      </c>
      <c r="BH36" s="65"/>
      <c r="BI36" s="74" t="s">
        <v>1948</v>
      </c>
      <c r="BJ36" s="73">
        <f t="shared" si="56"/>
        <v>0</v>
      </c>
      <c r="BK36" s="65"/>
      <c r="BL36" s="74" t="s">
        <v>1995</v>
      </c>
      <c r="BM36" s="73">
        <f t="shared" si="56"/>
        <v>0</v>
      </c>
      <c r="BN36" s="65"/>
      <c r="BO36" s="74" t="s">
        <v>1944</v>
      </c>
      <c r="BP36" s="73">
        <f t="shared" si="56"/>
        <v>0</v>
      </c>
      <c r="BQ36" s="65"/>
      <c r="BR36" s="74" t="s">
        <v>1943</v>
      </c>
      <c r="BS36" s="73">
        <f t="shared" si="56"/>
        <v>0</v>
      </c>
      <c r="BT36" s="65"/>
      <c r="BU36" s="74" t="s">
        <v>1948</v>
      </c>
      <c r="BV36" s="73">
        <f t="shared" si="56"/>
        <v>0</v>
      </c>
      <c r="BW36" s="65"/>
      <c r="BX36" s="74" t="s">
        <v>1948</v>
      </c>
      <c r="BY36" s="73">
        <f t="shared" si="56"/>
        <v>0</v>
      </c>
      <c r="BZ36" s="65"/>
      <c r="CA36" s="74" t="s">
        <v>1949</v>
      </c>
      <c r="CB36" s="73">
        <f t="shared" si="56"/>
        <v>0</v>
      </c>
      <c r="CC36" s="65"/>
      <c r="CD36" s="74" t="s">
        <v>1943</v>
      </c>
      <c r="CE36" s="73">
        <f t="shared" si="56"/>
        <v>0</v>
      </c>
      <c r="CF36" s="65"/>
      <c r="CG36" s="74" t="s">
        <v>1995</v>
      </c>
      <c r="CH36" s="73">
        <f t="shared" si="56"/>
        <v>0</v>
      </c>
      <c r="CI36" s="65"/>
      <c r="CJ36" s="74" t="s">
        <v>1948</v>
      </c>
      <c r="CK36" s="73">
        <f t="shared" si="55"/>
        <v>0</v>
      </c>
      <c r="CL36" s="65"/>
      <c r="CM36" s="74" t="s">
        <v>1948</v>
      </c>
      <c r="CN36" s="73">
        <f t="shared" si="55"/>
        <v>0</v>
      </c>
      <c r="CO36" s="65"/>
      <c r="CP36" s="65"/>
    </row>
    <row r="37" spans="1:94">
      <c r="A37" s="49"/>
      <c r="B37" s="49"/>
      <c r="C37" s="438" t="str">
        <f>Idiomas!D333&amp;"**"</f>
        <v>FINAL - Diferencia/Distancia de goles (Con 1X2 acertado)**</v>
      </c>
      <c r="D37" s="44">
        <v>0</v>
      </c>
      <c r="E37" s="111"/>
      <c r="F37" s="445">
        <f t="shared" si="47"/>
        <v>6</v>
      </c>
      <c r="G37" s="445">
        <f ca="1">VLOOKUP(H37,Equipos!$Q$1:$R$25,2,0)</f>
        <v>9</v>
      </c>
      <c r="H37" s="446">
        <f ca="1">TRUNC(INDEX(WORLDCUP!$X$4:$X$147,MATCH(ADMIN!K37,WORLDCUP!$DT$4:$DT$147,0))+INDEX(Horarios!$R$3:$R$86,MATCH(Horarios!$C$3,Horarios!$P$3:$P$86,0))/24)</f>
        <v>46192</v>
      </c>
      <c r="I37" s="48">
        <v>1</v>
      </c>
      <c r="J37" s="96" t="s">
        <v>121</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51"/>
        <v>0</v>
      </c>
      <c r="R37" s="49"/>
      <c r="S37" s="74" t="s">
        <v>1942</v>
      </c>
      <c r="T37" s="73">
        <f t="shared" si="48"/>
        <v>0</v>
      </c>
      <c r="U37" s="65"/>
      <c r="V37" s="74" t="s">
        <v>1953</v>
      </c>
      <c r="W37" s="73">
        <f t="shared" si="49"/>
        <v>0</v>
      </c>
      <c r="X37" s="65"/>
      <c r="Y37" s="74" t="s">
        <v>1942</v>
      </c>
      <c r="Z37" s="73">
        <f t="shared" si="56"/>
        <v>0</v>
      </c>
      <c r="AA37" s="65"/>
      <c r="AB37" s="74" t="s">
        <v>1993</v>
      </c>
      <c r="AC37" s="73">
        <f t="shared" si="56"/>
        <v>0</v>
      </c>
      <c r="AD37" s="65"/>
      <c r="AE37" s="74" t="s">
        <v>1941</v>
      </c>
      <c r="AF37" s="73">
        <f t="shared" si="56"/>
        <v>0</v>
      </c>
      <c r="AG37" s="65"/>
      <c r="AH37" s="74" t="s">
        <v>1948</v>
      </c>
      <c r="AI37" s="73">
        <f t="shared" si="56"/>
        <v>0</v>
      </c>
      <c r="AJ37" s="65"/>
      <c r="AK37" s="74" t="s">
        <v>1942</v>
      </c>
      <c r="AL37" s="73">
        <f t="shared" si="56"/>
        <v>0</v>
      </c>
      <c r="AM37" s="65"/>
      <c r="AN37" s="74" t="s">
        <v>1954</v>
      </c>
      <c r="AO37" s="73">
        <f t="shared" si="56"/>
        <v>0</v>
      </c>
      <c r="AP37" s="65"/>
      <c r="AQ37" s="74" t="s">
        <v>1946</v>
      </c>
      <c r="AR37" s="73">
        <f t="shared" si="56"/>
        <v>0</v>
      </c>
      <c r="AS37" s="65"/>
      <c r="AT37" s="74" t="s">
        <v>1948</v>
      </c>
      <c r="AU37" s="73">
        <f t="shared" si="56"/>
        <v>0</v>
      </c>
      <c r="AV37" s="65"/>
      <c r="AW37" s="74" t="s">
        <v>1942</v>
      </c>
      <c r="AX37" s="73">
        <f t="shared" si="56"/>
        <v>0</v>
      </c>
      <c r="AY37" s="65"/>
      <c r="AZ37" s="74" t="s">
        <v>1942</v>
      </c>
      <c r="BA37" s="73">
        <f t="shared" si="56"/>
        <v>0</v>
      </c>
      <c r="BB37" s="65"/>
      <c r="BC37" s="74" t="s">
        <v>1948</v>
      </c>
      <c r="BD37" s="73">
        <f t="shared" si="56"/>
        <v>0</v>
      </c>
      <c r="BE37" s="65"/>
      <c r="BF37" s="74" t="s">
        <v>1949</v>
      </c>
      <c r="BG37" s="73">
        <f t="shared" si="56"/>
        <v>0</v>
      </c>
      <c r="BH37" s="65"/>
      <c r="BI37" s="74" t="s">
        <v>1942</v>
      </c>
      <c r="BJ37" s="73">
        <f t="shared" si="56"/>
        <v>0</v>
      </c>
      <c r="BK37" s="65"/>
      <c r="BL37" s="74" t="s">
        <v>1948</v>
      </c>
      <c r="BM37" s="73">
        <f t="shared" si="56"/>
        <v>0</v>
      </c>
      <c r="BN37" s="65"/>
      <c r="BO37" s="74" t="s">
        <v>1942</v>
      </c>
      <c r="BP37" s="73">
        <f t="shared" si="56"/>
        <v>0</v>
      </c>
      <c r="BQ37" s="65"/>
      <c r="BR37" s="74" t="s">
        <v>1948</v>
      </c>
      <c r="BS37" s="73">
        <f t="shared" si="56"/>
        <v>0</v>
      </c>
      <c r="BT37" s="65"/>
      <c r="BU37" s="74" t="s">
        <v>1948</v>
      </c>
      <c r="BV37" s="73">
        <f t="shared" si="56"/>
        <v>0</v>
      </c>
      <c r="BW37" s="65"/>
      <c r="BX37" s="74" t="s">
        <v>1948</v>
      </c>
      <c r="BY37" s="73">
        <f t="shared" si="56"/>
        <v>0</v>
      </c>
      <c r="BZ37" s="65"/>
      <c r="CA37" s="74" t="s">
        <v>1954</v>
      </c>
      <c r="CB37" s="73">
        <f t="shared" si="56"/>
        <v>0</v>
      </c>
      <c r="CC37" s="65"/>
      <c r="CD37" s="74" t="s">
        <v>1995</v>
      </c>
      <c r="CE37" s="73">
        <f t="shared" si="56"/>
        <v>0</v>
      </c>
      <c r="CF37" s="65"/>
      <c r="CG37" s="74" t="s">
        <v>1941</v>
      </c>
      <c r="CH37" s="73">
        <f t="shared" si="56"/>
        <v>0</v>
      </c>
      <c r="CI37" s="65"/>
      <c r="CJ37" s="74" t="s">
        <v>1946</v>
      </c>
      <c r="CK37" s="73">
        <f t="shared" si="55"/>
        <v>0</v>
      </c>
      <c r="CL37" s="65"/>
      <c r="CM37" s="74" t="s">
        <v>1942</v>
      </c>
      <c r="CN37" s="73">
        <f t="shared" si="55"/>
        <v>0</v>
      </c>
      <c r="CO37" s="65"/>
      <c r="CP37" s="65"/>
    </row>
    <row r="38" spans="1:94">
      <c r="A38" s="49"/>
      <c r="B38" s="49"/>
      <c r="C38" s="440" t="str">
        <f>Idiomas!D334</f>
        <v>FINAL - Resultado exacto</v>
      </c>
      <c r="D38" s="63">
        <v>14</v>
      </c>
      <c r="E38" s="111"/>
      <c r="F38" s="445">
        <f t="shared" si="47"/>
        <v>6</v>
      </c>
      <c r="G38" s="445">
        <f ca="1">VLOOKUP(H38,Equipos!$Q$1:$R$25,2,0)</f>
        <v>10</v>
      </c>
      <c r="H38" s="446">
        <f ca="1">TRUNC(INDEX(WORLDCUP!$X$4:$X$147,MATCH(ADMIN!K38,WORLDCUP!$DT$4:$DT$147,0))+INDEX(Horarios!$R$3:$R$86,MATCH(Horarios!$C$3,Horarios!$P$3:$P$86,0))/24)</f>
        <v>46193</v>
      </c>
      <c r="I38" s="48">
        <v>1</v>
      </c>
      <c r="J38" s="95"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51"/>
        <v>0</v>
      </c>
      <c r="R38" s="49"/>
      <c r="S38" s="74" t="s">
        <v>1942</v>
      </c>
      <c r="T38" s="73">
        <f t="shared" si="48"/>
        <v>0</v>
      </c>
      <c r="U38" s="65"/>
      <c r="V38" s="74" t="s">
        <v>1951</v>
      </c>
      <c r="W38" s="73">
        <f t="shared" si="49"/>
        <v>0</v>
      </c>
      <c r="X38" s="65"/>
      <c r="Y38" s="74" t="s">
        <v>1948</v>
      </c>
      <c r="Z38" s="73">
        <f t="shared" si="56"/>
        <v>0</v>
      </c>
      <c r="AA38" s="65"/>
      <c r="AB38" s="74" t="s">
        <v>1995</v>
      </c>
      <c r="AC38" s="73">
        <f t="shared" si="56"/>
        <v>0</v>
      </c>
      <c r="AD38" s="65"/>
      <c r="AE38" s="74" t="s">
        <v>1942</v>
      </c>
      <c r="AF38" s="73">
        <f t="shared" si="56"/>
        <v>0</v>
      </c>
      <c r="AG38" s="65"/>
      <c r="AH38" s="74" t="s">
        <v>1941</v>
      </c>
      <c r="AI38" s="73">
        <f t="shared" si="56"/>
        <v>0</v>
      </c>
      <c r="AJ38" s="65"/>
      <c r="AK38" s="74" t="s">
        <v>1948</v>
      </c>
      <c r="AL38" s="73">
        <f t="shared" si="56"/>
        <v>0</v>
      </c>
      <c r="AM38" s="65"/>
      <c r="AN38" s="74" t="s">
        <v>1950</v>
      </c>
      <c r="AO38" s="73">
        <f t="shared" si="56"/>
        <v>0</v>
      </c>
      <c r="AP38" s="65"/>
      <c r="AQ38" s="74" t="s">
        <v>1941</v>
      </c>
      <c r="AR38" s="73">
        <f t="shared" si="56"/>
        <v>0</v>
      </c>
      <c r="AS38" s="65"/>
      <c r="AT38" s="74" t="s">
        <v>1950</v>
      </c>
      <c r="AU38" s="73">
        <f t="shared" si="56"/>
        <v>0</v>
      </c>
      <c r="AV38" s="65"/>
      <c r="AW38" s="74" t="s">
        <v>1949</v>
      </c>
      <c r="AX38" s="73">
        <f t="shared" si="56"/>
        <v>0</v>
      </c>
      <c r="AY38" s="65"/>
      <c r="AZ38" s="74" t="s">
        <v>1948</v>
      </c>
      <c r="BA38" s="73">
        <f t="shared" si="56"/>
        <v>0</v>
      </c>
      <c r="BB38" s="65"/>
      <c r="BC38" s="74" t="s">
        <v>1950</v>
      </c>
      <c r="BD38" s="73">
        <f t="shared" si="56"/>
        <v>0</v>
      </c>
      <c r="BE38" s="65"/>
      <c r="BF38" s="74" t="s">
        <v>1942</v>
      </c>
      <c r="BG38" s="73">
        <f t="shared" si="56"/>
        <v>0</v>
      </c>
      <c r="BH38" s="65"/>
      <c r="BI38" s="74" t="s">
        <v>1995</v>
      </c>
      <c r="BJ38" s="73">
        <f t="shared" si="56"/>
        <v>0</v>
      </c>
      <c r="BK38" s="65"/>
      <c r="BL38" s="74" t="s">
        <v>1948</v>
      </c>
      <c r="BM38" s="73">
        <f t="shared" si="56"/>
        <v>0</v>
      </c>
      <c r="BN38" s="65"/>
      <c r="BO38" s="74" t="s">
        <v>1941</v>
      </c>
      <c r="BP38" s="73">
        <f t="shared" si="56"/>
        <v>0</v>
      </c>
      <c r="BQ38" s="65"/>
      <c r="BR38" s="74" t="s">
        <v>1948</v>
      </c>
      <c r="BS38" s="73">
        <f t="shared" si="56"/>
        <v>0</v>
      </c>
      <c r="BT38" s="65"/>
      <c r="BU38" s="74" t="s">
        <v>1948</v>
      </c>
      <c r="BV38" s="73">
        <f t="shared" si="56"/>
        <v>0</v>
      </c>
      <c r="BW38" s="65"/>
      <c r="BX38" s="74" t="s">
        <v>1950</v>
      </c>
      <c r="BY38" s="73">
        <f t="shared" si="56"/>
        <v>0</v>
      </c>
      <c r="BZ38" s="65"/>
      <c r="CA38" s="74" t="s">
        <v>2070</v>
      </c>
      <c r="CB38" s="73">
        <f t="shared" si="56"/>
        <v>0</v>
      </c>
      <c r="CC38" s="65"/>
      <c r="CD38" s="74" t="s">
        <v>1948</v>
      </c>
      <c r="CE38" s="73">
        <f t="shared" si="56"/>
        <v>0</v>
      </c>
      <c r="CF38" s="65"/>
      <c r="CG38" s="74" t="s">
        <v>1993</v>
      </c>
      <c r="CH38" s="73">
        <f t="shared" si="56"/>
        <v>0</v>
      </c>
      <c r="CI38" s="65"/>
      <c r="CJ38" s="74" t="s">
        <v>1941</v>
      </c>
      <c r="CK38" s="73">
        <f t="shared" si="55"/>
        <v>0</v>
      </c>
      <c r="CL38" s="65"/>
      <c r="CM38" s="74" t="s">
        <v>1941</v>
      </c>
      <c r="CN38" s="73">
        <f t="shared" si="55"/>
        <v>0</v>
      </c>
      <c r="CO38" s="65"/>
      <c r="CP38" s="65"/>
    </row>
    <row r="39" spans="1:94">
      <c r="A39" s="49"/>
      <c r="B39" s="49"/>
      <c r="C39" s="438" t="str">
        <f>Idiomas!D335</f>
        <v>Campeón</v>
      </c>
      <c r="D39" s="44">
        <v>20</v>
      </c>
      <c r="E39" s="111"/>
      <c r="F39" s="445">
        <f t="shared" si="47"/>
        <v>6</v>
      </c>
      <c r="G39" s="445">
        <f ca="1">VLOOKUP(H39,Equipos!$Q$1:$R$25,2,0)</f>
        <v>10</v>
      </c>
      <c r="H39" s="446">
        <f ca="1">TRUNC(INDEX(WORLDCUP!$X$4:$X$147,MATCH(ADMIN!K39,WORLDCUP!$DT$4:$DT$147,0))+INDEX(Horarios!$R$3:$R$86,MATCH(Horarios!$C$3,Horarios!$P$3:$P$86,0))/24)</f>
        <v>46193</v>
      </c>
      <c r="I39" s="48">
        <v>1</v>
      </c>
      <c r="J39" s="95"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51"/>
        <v>0</v>
      </c>
      <c r="R39" s="49"/>
      <c r="S39" s="74" t="s">
        <v>1941</v>
      </c>
      <c r="T39" s="73">
        <f t="shared" si="48"/>
        <v>0</v>
      </c>
      <c r="U39" s="65"/>
      <c r="V39" s="74" t="s">
        <v>1948</v>
      </c>
      <c r="W39" s="73">
        <f t="shared" si="49"/>
        <v>0</v>
      </c>
      <c r="X39" s="65"/>
      <c r="Y39" s="74" t="s">
        <v>1941</v>
      </c>
      <c r="Z39" s="73">
        <f t="shared" si="56"/>
        <v>0</v>
      </c>
      <c r="AA39" s="65"/>
      <c r="AB39" s="74" t="s">
        <v>1949</v>
      </c>
      <c r="AC39" s="73">
        <f t="shared" si="56"/>
        <v>0</v>
      </c>
      <c r="AD39" s="65"/>
      <c r="AE39" s="74" t="s">
        <v>1948</v>
      </c>
      <c r="AF39" s="73">
        <f t="shared" si="56"/>
        <v>0</v>
      </c>
      <c r="AG39" s="65"/>
      <c r="AH39" s="74" t="s">
        <v>1941</v>
      </c>
      <c r="AI39" s="73">
        <f t="shared" si="56"/>
        <v>0</v>
      </c>
      <c r="AJ39" s="65"/>
      <c r="AK39" s="74" t="s">
        <v>1949</v>
      </c>
      <c r="AL39" s="73">
        <f t="shared" si="56"/>
        <v>0</v>
      </c>
      <c r="AM39" s="65"/>
      <c r="AN39" s="74" t="s">
        <v>1949</v>
      </c>
      <c r="AO39" s="73">
        <f t="shared" si="56"/>
        <v>0</v>
      </c>
      <c r="AP39" s="65"/>
      <c r="AQ39" s="74" t="s">
        <v>1950</v>
      </c>
      <c r="AR39" s="73">
        <f t="shared" si="56"/>
        <v>0</v>
      </c>
      <c r="AS39" s="65"/>
      <c r="AT39" s="74" t="s">
        <v>1949</v>
      </c>
      <c r="AU39" s="73">
        <f t="shared" si="56"/>
        <v>0</v>
      </c>
      <c r="AV39" s="65"/>
      <c r="AW39" s="74" t="s">
        <v>1941</v>
      </c>
      <c r="AX39" s="73">
        <f t="shared" si="56"/>
        <v>0</v>
      </c>
      <c r="AY39" s="65"/>
      <c r="AZ39" s="74" t="s">
        <v>1949</v>
      </c>
      <c r="BA39" s="73">
        <f t="shared" si="56"/>
        <v>0</v>
      </c>
      <c r="BB39" s="65"/>
      <c r="BC39" s="74" t="s">
        <v>1941</v>
      </c>
      <c r="BD39" s="73">
        <f t="shared" si="56"/>
        <v>0</v>
      </c>
      <c r="BE39" s="65"/>
      <c r="BF39" s="74" t="s">
        <v>1949</v>
      </c>
      <c r="BG39" s="73">
        <f t="shared" si="56"/>
        <v>0</v>
      </c>
      <c r="BH39" s="65"/>
      <c r="BI39" s="74" t="s">
        <v>1941</v>
      </c>
      <c r="BJ39" s="73">
        <f t="shared" si="56"/>
        <v>0</v>
      </c>
      <c r="BK39" s="65"/>
      <c r="BL39" s="74" t="s">
        <v>1941</v>
      </c>
      <c r="BM39" s="73">
        <f t="shared" si="56"/>
        <v>0</v>
      </c>
      <c r="BN39" s="65"/>
      <c r="BO39" s="74" t="s">
        <v>1949</v>
      </c>
      <c r="BP39" s="73">
        <f t="shared" si="56"/>
        <v>0</v>
      </c>
      <c r="BQ39" s="65"/>
      <c r="BR39" s="74" t="s">
        <v>1941</v>
      </c>
      <c r="BS39" s="73">
        <f t="shared" si="56"/>
        <v>0</v>
      </c>
      <c r="BT39" s="65"/>
      <c r="BU39" s="74" t="s">
        <v>1949</v>
      </c>
      <c r="BV39" s="73">
        <f t="shared" si="56"/>
        <v>0</v>
      </c>
      <c r="BW39" s="65"/>
      <c r="BX39" s="74" t="s">
        <v>1941</v>
      </c>
      <c r="BY39" s="73">
        <f t="shared" si="56"/>
        <v>0</v>
      </c>
      <c r="BZ39" s="65"/>
      <c r="CA39" s="74" t="s">
        <v>1949</v>
      </c>
      <c r="CB39" s="73">
        <f t="shared" si="56"/>
        <v>0</v>
      </c>
      <c r="CC39" s="65"/>
      <c r="CD39" s="74" t="s">
        <v>1947</v>
      </c>
      <c r="CE39" s="73">
        <f t="shared" si="56"/>
        <v>0</v>
      </c>
      <c r="CF39" s="65"/>
      <c r="CG39" s="74" t="s">
        <v>1941</v>
      </c>
      <c r="CH39" s="73">
        <f t="shared" si="56"/>
        <v>0</v>
      </c>
      <c r="CI39" s="65"/>
      <c r="CJ39" s="74" t="s">
        <v>1950</v>
      </c>
      <c r="CK39" s="73">
        <f t="shared" si="55"/>
        <v>0</v>
      </c>
      <c r="CL39" s="65"/>
      <c r="CM39" s="74" t="s">
        <v>1949</v>
      </c>
      <c r="CN39" s="73">
        <f t="shared" si="55"/>
        <v>0</v>
      </c>
      <c r="CO39" s="65"/>
      <c r="CP39" s="65"/>
    </row>
    <row r="40" spans="1:94">
      <c r="A40" s="49"/>
      <c r="B40" s="49"/>
      <c r="C40" s="437" t="str">
        <f>Idiomas!D336</f>
        <v>Subcampeón</v>
      </c>
      <c r="D40" s="62">
        <v>10</v>
      </c>
      <c r="E40" s="111"/>
      <c r="F40" s="445">
        <f t="shared" si="47"/>
        <v>6</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51"/>
        <v>0</v>
      </c>
      <c r="R40" s="49"/>
      <c r="S40" s="74" t="s">
        <v>1948</v>
      </c>
      <c r="T40" s="73">
        <f t="shared" si="48"/>
        <v>0</v>
      </c>
      <c r="U40" s="65"/>
      <c r="V40" s="74" t="s">
        <v>1995</v>
      </c>
      <c r="W40" s="73">
        <f t="shared" si="49"/>
        <v>0</v>
      </c>
      <c r="X40" s="65"/>
      <c r="Y40" s="74" t="s">
        <v>1948</v>
      </c>
      <c r="Z40" s="73">
        <f t="shared" si="56"/>
        <v>0</v>
      </c>
      <c r="AA40" s="65"/>
      <c r="AB40" s="74" t="s">
        <v>1995</v>
      </c>
      <c r="AC40" s="73">
        <f t="shared" si="56"/>
        <v>0</v>
      </c>
      <c r="AD40" s="65"/>
      <c r="AE40" s="74" t="s">
        <v>1948</v>
      </c>
      <c r="AF40" s="73">
        <f t="shared" si="56"/>
        <v>0</v>
      </c>
      <c r="AG40" s="65"/>
      <c r="AH40" s="74" t="s">
        <v>1948</v>
      </c>
      <c r="AI40" s="73">
        <f t="shared" si="56"/>
        <v>0</v>
      </c>
      <c r="AJ40" s="65"/>
      <c r="AK40" s="74" t="s">
        <v>1948</v>
      </c>
      <c r="AL40" s="73">
        <f t="shared" si="56"/>
        <v>0</v>
      </c>
      <c r="AM40" s="65"/>
      <c r="AN40" s="74" t="s">
        <v>1948</v>
      </c>
      <c r="AO40" s="73">
        <f t="shared" si="56"/>
        <v>0</v>
      </c>
      <c r="AP40" s="65"/>
      <c r="AQ40" s="74" t="s">
        <v>1943</v>
      </c>
      <c r="AR40" s="73">
        <f t="shared" si="56"/>
        <v>0</v>
      </c>
      <c r="AS40" s="65"/>
      <c r="AT40" s="74" t="s">
        <v>1942</v>
      </c>
      <c r="AU40" s="73">
        <f t="shared" si="56"/>
        <v>0</v>
      </c>
      <c r="AV40" s="65"/>
      <c r="AW40" s="74" t="s">
        <v>1949</v>
      </c>
      <c r="AX40" s="73">
        <f t="shared" si="56"/>
        <v>0</v>
      </c>
      <c r="AY40" s="65"/>
      <c r="AZ40" s="74" t="s">
        <v>1995</v>
      </c>
      <c r="BA40" s="73">
        <f t="shared" si="56"/>
        <v>0</v>
      </c>
      <c r="BB40" s="65"/>
      <c r="BC40" s="74" t="s">
        <v>1948</v>
      </c>
      <c r="BD40" s="73">
        <f t="shared" si="56"/>
        <v>0</v>
      </c>
      <c r="BE40" s="65"/>
      <c r="BF40" s="74" t="s">
        <v>1950</v>
      </c>
      <c r="BG40" s="73">
        <f t="shared" si="56"/>
        <v>0</v>
      </c>
      <c r="BH40" s="65"/>
      <c r="BI40" s="74" t="s">
        <v>1941</v>
      </c>
      <c r="BJ40" s="73">
        <f t="shared" si="56"/>
        <v>0</v>
      </c>
      <c r="BK40" s="65"/>
      <c r="BL40" s="74" t="s">
        <v>1950</v>
      </c>
      <c r="BM40" s="73">
        <f t="shared" si="56"/>
        <v>0</v>
      </c>
      <c r="BN40" s="65"/>
      <c r="BO40" s="74" t="s">
        <v>1941</v>
      </c>
      <c r="BP40" s="73">
        <f t="shared" si="56"/>
        <v>0</v>
      </c>
      <c r="BQ40" s="65"/>
      <c r="BR40" s="74" t="s">
        <v>1943</v>
      </c>
      <c r="BS40" s="73">
        <f t="shared" si="56"/>
        <v>0</v>
      </c>
      <c r="BT40" s="65"/>
      <c r="BU40" s="74" t="s">
        <v>1950</v>
      </c>
      <c r="BV40" s="73">
        <f t="shared" si="56"/>
        <v>0</v>
      </c>
      <c r="BW40" s="65"/>
      <c r="BX40" s="74" t="s">
        <v>1948</v>
      </c>
      <c r="BY40" s="73">
        <f t="shared" si="56"/>
        <v>0</v>
      </c>
      <c r="BZ40" s="65"/>
      <c r="CA40" s="74" t="s">
        <v>1993</v>
      </c>
      <c r="CB40" s="73">
        <f t="shared" si="56"/>
        <v>0</v>
      </c>
      <c r="CC40" s="65"/>
      <c r="CD40" s="74" t="s">
        <v>1950</v>
      </c>
      <c r="CE40" s="73">
        <f t="shared" si="56"/>
        <v>0</v>
      </c>
      <c r="CF40" s="65"/>
      <c r="CG40" s="74" t="s">
        <v>1941</v>
      </c>
      <c r="CH40" s="73">
        <f t="shared" si="56"/>
        <v>0</v>
      </c>
      <c r="CI40" s="65"/>
      <c r="CJ40" s="74" t="s">
        <v>1948</v>
      </c>
      <c r="CK40" s="73">
        <f t="shared" si="55"/>
        <v>0</v>
      </c>
      <c r="CL40" s="65"/>
      <c r="CM40" s="74" t="s">
        <v>1941</v>
      </c>
      <c r="CN40" s="73">
        <f t="shared" si="55"/>
        <v>0</v>
      </c>
      <c r="CO40" s="65"/>
      <c r="CP40" s="65"/>
    </row>
    <row r="41" spans="1:94">
      <c r="A41" s="49"/>
      <c r="B41" s="49"/>
      <c r="C41" s="438" t="str">
        <f>Idiomas!D337</f>
        <v>3º puesto</v>
      </c>
      <c r="D41" s="44">
        <v>5</v>
      </c>
      <c r="E41" s="111"/>
      <c r="F41" s="445">
        <f t="shared" si="47"/>
        <v>6</v>
      </c>
      <c r="G41" s="445">
        <f ca="1">VLOOKUP(H41,Equipos!$Q$1:$R$25,2,0)</f>
        <v>10</v>
      </c>
      <c r="H41" s="446">
        <f ca="1">TRUNC(INDEX(WORLDCUP!$X$4:$X$147,MATCH(ADMIN!K41,WORLDCUP!$DT$4:$DT$147,0))+INDEX(Horarios!$R$3:$R$86,MATCH(Horarios!$C$3,Horarios!$P$3:$P$86,0))/24)</f>
        <v>46193</v>
      </c>
      <c r="I41" s="48">
        <v>1</v>
      </c>
      <c r="J41" s="96"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51"/>
        <v>0</v>
      </c>
      <c r="R41" s="49"/>
      <c r="S41" s="74" t="s">
        <v>1944</v>
      </c>
      <c r="T41" s="73">
        <f t="shared" si="48"/>
        <v>0</v>
      </c>
      <c r="U41" s="65"/>
      <c r="V41" s="74" t="s">
        <v>1944</v>
      </c>
      <c r="W41" s="73">
        <f t="shared" si="49"/>
        <v>0</v>
      </c>
      <c r="X41" s="65"/>
      <c r="Y41" s="74" t="s">
        <v>1942</v>
      </c>
      <c r="Z41" s="73">
        <f t="shared" si="56"/>
        <v>0</v>
      </c>
      <c r="AA41" s="65"/>
      <c r="AB41" s="74" t="s">
        <v>1945</v>
      </c>
      <c r="AC41" s="73">
        <f t="shared" si="56"/>
        <v>0</v>
      </c>
      <c r="AD41" s="65"/>
      <c r="AE41" s="74" t="s">
        <v>1944</v>
      </c>
      <c r="AF41" s="73">
        <f t="shared" si="56"/>
        <v>0</v>
      </c>
      <c r="AG41" s="65"/>
      <c r="AH41" s="74" t="s">
        <v>1945</v>
      </c>
      <c r="AI41" s="73">
        <f t="shared" si="56"/>
        <v>0</v>
      </c>
      <c r="AJ41" s="65"/>
      <c r="AK41" s="74" t="s">
        <v>1954</v>
      </c>
      <c r="AL41" s="73">
        <f t="shared" si="56"/>
        <v>0</v>
      </c>
      <c r="AM41" s="65"/>
      <c r="AN41" s="74" t="s">
        <v>1953</v>
      </c>
      <c r="AO41" s="73">
        <f t="shared" si="56"/>
        <v>0</v>
      </c>
      <c r="AP41" s="65"/>
      <c r="AQ41" s="74" t="s">
        <v>1944</v>
      </c>
      <c r="AR41" s="73">
        <f t="shared" si="56"/>
        <v>0</v>
      </c>
      <c r="AS41" s="65"/>
      <c r="AT41" s="74" t="s">
        <v>1944</v>
      </c>
      <c r="AU41" s="73">
        <f t="shared" si="56"/>
        <v>0</v>
      </c>
      <c r="AV41" s="65"/>
      <c r="AW41" s="74" t="s">
        <v>1954</v>
      </c>
      <c r="AX41" s="73">
        <f t="shared" si="56"/>
        <v>0</v>
      </c>
      <c r="AY41" s="65"/>
      <c r="AZ41" s="74" t="s">
        <v>1954</v>
      </c>
      <c r="BA41" s="73">
        <f t="shared" si="56"/>
        <v>0</v>
      </c>
      <c r="BB41" s="65"/>
      <c r="BC41" s="74" t="s">
        <v>1954</v>
      </c>
      <c r="BD41" s="73">
        <f t="shared" si="56"/>
        <v>0</v>
      </c>
      <c r="BE41" s="65"/>
      <c r="BF41" s="74" t="s">
        <v>1942</v>
      </c>
      <c r="BG41" s="73">
        <f t="shared" si="56"/>
        <v>0</v>
      </c>
      <c r="BH41" s="65"/>
      <c r="BI41" s="74" t="s">
        <v>1953</v>
      </c>
      <c r="BJ41" s="73">
        <f t="shared" si="56"/>
        <v>0</v>
      </c>
      <c r="BK41" s="65"/>
      <c r="BL41" s="74" t="s">
        <v>1954</v>
      </c>
      <c r="BM41" s="73">
        <f t="shared" si="56"/>
        <v>0</v>
      </c>
      <c r="BN41" s="65"/>
      <c r="BO41" s="74" t="s">
        <v>1945</v>
      </c>
      <c r="BP41" s="73">
        <f t="shared" si="56"/>
        <v>0</v>
      </c>
      <c r="BQ41" s="65"/>
      <c r="BR41" s="74" t="s">
        <v>1954</v>
      </c>
      <c r="BS41" s="73">
        <f t="shared" si="56"/>
        <v>0</v>
      </c>
      <c r="BT41" s="65"/>
      <c r="BU41" s="74" t="s">
        <v>1945</v>
      </c>
      <c r="BV41" s="73">
        <f t="shared" si="56"/>
        <v>0</v>
      </c>
      <c r="BW41" s="65"/>
      <c r="BX41" s="74" t="s">
        <v>1945</v>
      </c>
      <c r="BY41" s="73">
        <f t="shared" si="56"/>
        <v>0</v>
      </c>
      <c r="BZ41" s="65"/>
      <c r="CA41" s="74" t="s">
        <v>1954</v>
      </c>
      <c r="CB41" s="73">
        <f t="shared" si="56"/>
        <v>0</v>
      </c>
      <c r="CC41" s="65"/>
      <c r="CD41" s="74" t="s">
        <v>1952</v>
      </c>
      <c r="CE41" s="73">
        <f t="shared" si="56"/>
        <v>0</v>
      </c>
      <c r="CF41" s="65"/>
      <c r="CG41" s="74" t="s">
        <v>1953</v>
      </c>
      <c r="CH41" s="73">
        <f t="shared" si="56"/>
        <v>0</v>
      </c>
      <c r="CI41" s="65"/>
      <c r="CJ41" s="74" t="s">
        <v>1945</v>
      </c>
      <c r="CK41" s="73">
        <f t="shared" si="55"/>
        <v>0</v>
      </c>
      <c r="CL41" s="65"/>
      <c r="CM41" s="74" t="s">
        <v>1945</v>
      </c>
      <c r="CN41" s="73">
        <f t="shared" si="55"/>
        <v>0</v>
      </c>
      <c r="CO41" s="65"/>
      <c r="CP41" s="65"/>
    </row>
    <row r="42" spans="1:94">
      <c r="A42" s="49"/>
      <c r="B42" s="49"/>
      <c r="C42" s="437" t="str">
        <f>Idiomas!D338</f>
        <v>Bota de Oro  (máximo goleador)</v>
      </c>
      <c r="D42" s="62">
        <v>10</v>
      </c>
      <c r="E42" s="111"/>
      <c r="F42" s="445">
        <f t="shared" si="47"/>
        <v>6</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51"/>
        <v>0</v>
      </c>
      <c r="R42" s="49"/>
      <c r="S42" s="76" t="s">
        <v>1950</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1943</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1948</v>
      </c>
      <c r="Z42" s="77">
        <f t="shared" si="56"/>
        <v>0</v>
      </c>
      <c r="AA42" s="65"/>
      <c r="AB42" s="76" t="s">
        <v>1949</v>
      </c>
      <c r="AC42" s="77">
        <f t="shared" si="56"/>
        <v>0</v>
      </c>
      <c r="AD42" s="65"/>
      <c r="AE42" s="76" t="s">
        <v>1949</v>
      </c>
      <c r="AF42" s="77">
        <f t="shared" si="56"/>
        <v>0</v>
      </c>
      <c r="AG42" s="65"/>
      <c r="AH42" s="76" t="s">
        <v>1941</v>
      </c>
      <c r="AI42" s="77">
        <f t="shared" si="56"/>
        <v>0</v>
      </c>
      <c r="AJ42" s="65"/>
      <c r="AK42" s="76" t="s">
        <v>1948</v>
      </c>
      <c r="AL42" s="77">
        <f t="shared" si="56"/>
        <v>0</v>
      </c>
      <c r="AM42" s="65"/>
      <c r="AN42" s="76" t="s">
        <v>1941</v>
      </c>
      <c r="AO42" s="77">
        <f t="shared" si="56"/>
        <v>0</v>
      </c>
      <c r="AP42" s="65"/>
      <c r="AQ42" s="76" t="s">
        <v>1941</v>
      </c>
      <c r="AR42" s="77">
        <f t="shared" si="56"/>
        <v>0</v>
      </c>
      <c r="AS42" s="65"/>
      <c r="AT42" s="76" t="s">
        <v>1941</v>
      </c>
      <c r="AU42" s="77">
        <f t="shared" si="56"/>
        <v>0</v>
      </c>
      <c r="AV42" s="65"/>
      <c r="AW42" s="76" t="s">
        <v>1941</v>
      </c>
      <c r="AX42" s="77">
        <f t="shared" si="56"/>
        <v>0</v>
      </c>
      <c r="AY42" s="65"/>
      <c r="AZ42" s="76" t="s">
        <v>1941</v>
      </c>
      <c r="BA42" s="77">
        <f t="shared" si="56"/>
        <v>0</v>
      </c>
      <c r="BB42" s="65"/>
      <c r="BC42" s="76" t="s">
        <v>1941</v>
      </c>
      <c r="BD42" s="77">
        <f t="shared" si="56"/>
        <v>0</v>
      </c>
      <c r="BE42" s="65"/>
      <c r="BF42" s="76" t="s">
        <v>1941</v>
      </c>
      <c r="BG42" s="77">
        <f t="shared" si="56"/>
        <v>0</v>
      </c>
      <c r="BH42" s="65"/>
      <c r="BI42" s="76" t="s">
        <v>1941</v>
      </c>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t="s">
        <v>1949</v>
      </c>
      <c r="BM42" s="77">
        <f t="shared" si="57"/>
        <v>0</v>
      </c>
      <c r="BN42" s="65"/>
      <c r="BO42" s="76" t="s">
        <v>1950</v>
      </c>
      <c r="BP42" s="77">
        <f t="shared" si="57"/>
        <v>0</v>
      </c>
      <c r="BQ42" s="65"/>
      <c r="BR42" s="76" t="s">
        <v>1949</v>
      </c>
      <c r="BS42" s="77">
        <f t="shared" si="57"/>
        <v>0</v>
      </c>
      <c r="BT42" s="65"/>
      <c r="BU42" s="76" t="s">
        <v>1941</v>
      </c>
      <c r="BV42" s="77">
        <f t="shared" si="57"/>
        <v>0</v>
      </c>
      <c r="BW42" s="65"/>
      <c r="BX42" s="76" t="s">
        <v>1949</v>
      </c>
      <c r="BY42" s="77">
        <f t="shared" si="57"/>
        <v>0</v>
      </c>
      <c r="BZ42" s="65"/>
      <c r="CA42" s="76" t="s">
        <v>1994</v>
      </c>
      <c r="CB42" s="77">
        <f t="shared" si="57"/>
        <v>0</v>
      </c>
      <c r="CC42" s="65"/>
      <c r="CD42" s="76" t="s">
        <v>1949</v>
      </c>
      <c r="CE42" s="77">
        <f t="shared" si="57"/>
        <v>0</v>
      </c>
      <c r="CF42" s="65"/>
      <c r="CG42" s="76" t="s">
        <v>1948</v>
      </c>
      <c r="CH42" s="77">
        <f t="shared" si="57"/>
        <v>0</v>
      </c>
      <c r="CI42" s="65"/>
      <c r="CJ42" s="76" t="s">
        <v>1941</v>
      </c>
      <c r="CK42" s="77">
        <f t="shared" si="57"/>
        <v>0</v>
      </c>
      <c r="CL42" s="65"/>
      <c r="CM42" s="76" t="s">
        <v>1941</v>
      </c>
      <c r="CN42" s="77">
        <f t="shared" si="57"/>
        <v>0</v>
      </c>
      <c r="CO42" s="65"/>
      <c r="CP42" s="65"/>
    </row>
    <row r="43" spans="1:94">
      <c r="A43" s="49"/>
      <c r="B43" s="49"/>
      <c r="C43" s="438" t="str">
        <f>Idiomas!D339</f>
        <v>Bota de Plata (2º máximo goleador)</v>
      </c>
      <c r="D43" s="44">
        <v>5</v>
      </c>
      <c r="E43" s="111"/>
      <c r="F43" s="445">
        <f t="shared" si="47"/>
        <v>6</v>
      </c>
      <c r="G43" s="445">
        <f ca="1">VLOOKUP(H43,Equipos!$Q$1:$R$25,2,0)</f>
        <v>11</v>
      </c>
      <c r="H43" s="446">
        <f ca="1">TRUNC(INDEX(WORLDCUP!$X$4:$X$147,MATCH(ADMIN!K43,WORLDCUP!$DT$4:$DT$147,0))+INDEX(Horarios!$R$3:$R$86,MATCH(Horarios!$C$3,Horarios!$P$3:$P$86,0))/24)</f>
        <v>46194</v>
      </c>
      <c r="I43" s="48">
        <v>1</v>
      </c>
      <c r="J43" s="95"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51"/>
        <v>0</v>
      </c>
      <c r="R43" s="49"/>
      <c r="S43" s="74" t="s">
        <v>1942</v>
      </c>
      <c r="T43" s="73">
        <f t="shared" si="48"/>
        <v>0</v>
      </c>
      <c r="U43" s="65"/>
      <c r="V43" s="74" t="s">
        <v>1948</v>
      </c>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0</v>
      </c>
      <c r="X43" s="65"/>
      <c r="Y43" s="74" t="s">
        <v>1995</v>
      </c>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0</v>
      </c>
      <c r="AA43" s="65"/>
      <c r="AB43" s="74" t="s">
        <v>1995</v>
      </c>
      <c r="AC43" s="73">
        <f t="shared" si="59"/>
        <v>0</v>
      </c>
      <c r="AD43" s="65"/>
      <c r="AE43" s="74" t="s">
        <v>1954</v>
      </c>
      <c r="AF43" s="73">
        <f t="shared" si="59"/>
        <v>0</v>
      </c>
      <c r="AG43" s="65"/>
      <c r="AH43" s="74" t="s">
        <v>1954</v>
      </c>
      <c r="AI43" s="73">
        <f t="shared" si="59"/>
        <v>0</v>
      </c>
      <c r="AJ43" s="65"/>
      <c r="AK43" s="74" t="s">
        <v>1945</v>
      </c>
      <c r="AL43" s="73">
        <f t="shared" si="59"/>
        <v>0</v>
      </c>
      <c r="AM43" s="65"/>
      <c r="AN43" s="74" t="s">
        <v>1954</v>
      </c>
      <c r="AO43" s="73">
        <f t="shared" si="59"/>
        <v>0</v>
      </c>
      <c r="AP43" s="65"/>
      <c r="AQ43" s="74" t="s">
        <v>1945</v>
      </c>
      <c r="AR43" s="73">
        <f t="shared" si="59"/>
        <v>0</v>
      </c>
      <c r="AS43" s="65"/>
      <c r="AT43" s="74" t="s">
        <v>1945</v>
      </c>
      <c r="AU43" s="73">
        <f t="shared" si="59"/>
        <v>0</v>
      </c>
      <c r="AV43" s="65"/>
      <c r="AW43" s="74" t="s">
        <v>1942</v>
      </c>
      <c r="AX43" s="73">
        <f t="shared" si="59"/>
        <v>0</v>
      </c>
      <c r="AY43" s="65"/>
      <c r="AZ43" s="74" t="s">
        <v>1945</v>
      </c>
      <c r="BA43" s="73">
        <f t="shared" si="59"/>
        <v>0</v>
      </c>
      <c r="BB43" s="65"/>
      <c r="BC43" s="74" t="s">
        <v>1942</v>
      </c>
      <c r="BD43" s="73">
        <f t="shared" si="59"/>
        <v>0</v>
      </c>
      <c r="BE43" s="65"/>
      <c r="BF43" s="74" t="s">
        <v>1945</v>
      </c>
      <c r="BG43" s="73">
        <f t="shared" si="59"/>
        <v>0</v>
      </c>
      <c r="BH43" s="65"/>
      <c r="BI43" s="74" t="s">
        <v>1954</v>
      </c>
      <c r="BJ43" s="73">
        <f t="shared" si="59"/>
        <v>0</v>
      </c>
      <c r="BK43" s="65"/>
      <c r="BL43" s="74" t="s">
        <v>1944</v>
      </c>
      <c r="BM43" s="73">
        <f t="shared" si="59"/>
        <v>0</v>
      </c>
      <c r="BN43" s="65"/>
      <c r="BO43" s="74" t="s">
        <v>1945</v>
      </c>
      <c r="BP43" s="73">
        <f t="shared" si="59"/>
        <v>0</v>
      </c>
      <c r="BQ43" s="65"/>
      <c r="BR43" s="74" t="s">
        <v>1952</v>
      </c>
      <c r="BS43" s="73">
        <f t="shared" si="59"/>
        <v>0</v>
      </c>
      <c r="BT43" s="65"/>
      <c r="BU43" s="74" t="s">
        <v>1945</v>
      </c>
      <c r="BV43" s="73">
        <f t="shared" si="59"/>
        <v>0</v>
      </c>
      <c r="BW43" s="65"/>
      <c r="BX43" s="74" t="s">
        <v>1954</v>
      </c>
      <c r="BY43" s="73">
        <f t="shared" si="59"/>
        <v>0</v>
      </c>
      <c r="BZ43" s="65"/>
      <c r="CA43" s="74" t="s">
        <v>1941</v>
      </c>
      <c r="CB43" s="73">
        <f t="shared" si="59"/>
        <v>0</v>
      </c>
      <c r="CC43" s="65"/>
      <c r="CD43" s="74" t="s">
        <v>1942</v>
      </c>
      <c r="CE43" s="73">
        <f t="shared" si="59"/>
        <v>0</v>
      </c>
      <c r="CF43" s="65"/>
      <c r="CG43" s="74" t="s">
        <v>1993</v>
      </c>
      <c r="CH43" s="73">
        <f t="shared" si="59"/>
        <v>0</v>
      </c>
      <c r="CI43" s="65"/>
      <c r="CJ43" s="74" t="s">
        <v>1946</v>
      </c>
      <c r="CK43" s="73">
        <f t="shared" si="57"/>
        <v>0</v>
      </c>
      <c r="CL43" s="65"/>
      <c r="CM43" s="74" t="s">
        <v>1945</v>
      </c>
      <c r="CN43" s="73">
        <f t="shared" si="57"/>
        <v>0</v>
      </c>
      <c r="CO43" s="65"/>
      <c r="CP43" s="65"/>
    </row>
    <row r="44" spans="1:94">
      <c r="A44" s="49"/>
      <c r="B44" s="49"/>
      <c r="C44" s="437" t="str">
        <f>Idiomas!D340</f>
        <v>Bota de Bronce (3º máximo goleador)</v>
      </c>
      <c r="D44" s="62">
        <v>3</v>
      </c>
      <c r="E44" s="111"/>
      <c r="F44" s="445">
        <f t="shared" si="47"/>
        <v>6</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51"/>
        <v>0</v>
      </c>
      <c r="R44" s="49"/>
      <c r="S44" s="74" t="s">
        <v>1951</v>
      </c>
      <c r="T44" s="73">
        <f t="shared" si="48"/>
        <v>0</v>
      </c>
      <c r="U44" s="65"/>
      <c r="V44" s="74" t="s">
        <v>1941</v>
      </c>
      <c r="W44" s="73">
        <f t="shared" si="58"/>
        <v>0</v>
      </c>
      <c r="X44" s="65"/>
      <c r="Y44" s="74" t="s">
        <v>1950</v>
      </c>
      <c r="Z44" s="73">
        <f t="shared" si="59"/>
        <v>0</v>
      </c>
      <c r="AA44" s="65"/>
      <c r="AB44" s="74" t="s">
        <v>1941</v>
      </c>
      <c r="AC44" s="73">
        <f t="shared" si="59"/>
        <v>0</v>
      </c>
      <c r="AD44" s="65"/>
      <c r="AE44" s="74" t="s">
        <v>1948</v>
      </c>
      <c r="AF44" s="73">
        <f t="shared" si="59"/>
        <v>0</v>
      </c>
      <c r="AG44" s="65"/>
      <c r="AH44" s="74" t="s">
        <v>1949</v>
      </c>
      <c r="AI44" s="73">
        <f t="shared" si="59"/>
        <v>0</v>
      </c>
      <c r="AJ44" s="65"/>
      <c r="AK44" s="74" t="s">
        <v>1948</v>
      </c>
      <c r="AL44" s="73">
        <f t="shared" si="59"/>
        <v>0</v>
      </c>
      <c r="AM44" s="65"/>
      <c r="AN44" s="74" t="s">
        <v>1949</v>
      </c>
      <c r="AO44" s="73">
        <f t="shared" si="59"/>
        <v>0</v>
      </c>
      <c r="AP44" s="65"/>
      <c r="AQ44" s="74" t="s">
        <v>1941</v>
      </c>
      <c r="AR44" s="73">
        <f t="shared" si="59"/>
        <v>0</v>
      </c>
      <c r="AS44" s="65"/>
      <c r="AT44" s="74" t="s">
        <v>1941</v>
      </c>
      <c r="AU44" s="73">
        <f t="shared" si="59"/>
        <v>0</v>
      </c>
      <c r="AV44" s="65"/>
      <c r="AW44" s="74" t="s">
        <v>1950</v>
      </c>
      <c r="AX44" s="73">
        <f t="shared" si="59"/>
        <v>0</v>
      </c>
      <c r="AY44" s="65"/>
      <c r="AZ44" s="74" t="s">
        <v>1948</v>
      </c>
      <c r="BA44" s="73">
        <f t="shared" si="59"/>
        <v>0</v>
      </c>
      <c r="BB44" s="65"/>
      <c r="BC44" s="74" t="s">
        <v>1943</v>
      </c>
      <c r="BD44" s="73">
        <f t="shared" si="59"/>
        <v>0</v>
      </c>
      <c r="BE44" s="65"/>
      <c r="BF44" s="74" t="s">
        <v>1950</v>
      </c>
      <c r="BG44" s="73">
        <f t="shared" si="59"/>
        <v>0</v>
      </c>
      <c r="BH44" s="65"/>
      <c r="BI44" s="74" t="s">
        <v>1941</v>
      </c>
      <c r="BJ44" s="73">
        <f t="shared" si="59"/>
        <v>0</v>
      </c>
      <c r="BK44" s="65"/>
      <c r="BL44" s="74" t="s">
        <v>1943</v>
      </c>
      <c r="BM44" s="73">
        <f t="shared" si="59"/>
        <v>0</v>
      </c>
      <c r="BN44" s="65"/>
      <c r="BO44" s="74" t="s">
        <v>1949</v>
      </c>
      <c r="BP44" s="73">
        <f t="shared" si="59"/>
        <v>0</v>
      </c>
      <c r="BQ44" s="65"/>
      <c r="BR44" s="74" t="s">
        <v>1949</v>
      </c>
      <c r="BS44" s="73">
        <f t="shared" si="59"/>
        <v>0</v>
      </c>
      <c r="BT44" s="65"/>
      <c r="BU44" s="74" t="s">
        <v>1949</v>
      </c>
      <c r="BV44" s="73">
        <f t="shared" si="59"/>
        <v>0</v>
      </c>
      <c r="BW44" s="65"/>
      <c r="BX44" s="74" t="s">
        <v>1951</v>
      </c>
      <c r="BY44" s="73">
        <f t="shared" si="59"/>
        <v>0</v>
      </c>
      <c r="BZ44" s="65"/>
      <c r="CA44" s="74" t="s">
        <v>2070</v>
      </c>
      <c r="CB44" s="73">
        <f t="shared" si="59"/>
        <v>0</v>
      </c>
      <c r="CC44" s="65"/>
      <c r="CD44" s="74" t="s">
        <v>1950</v>
      </c>
      <c r="CE44" s="73">
        <f t="shared" si="59"/>
        <v>0</v>
      </c>
      <c r="CF44" s="65"/>
      <c r="CG44" s="74" t="s">
        <v>1941</v>
      </c>
      <c r="CH44" s="73">
        <f t="shared" si="59"/>
        <v>0</v>
      </c>
      <c r="CI44" s="65"/>
      <c r="CJ44" s="74" t="s">
        <v>1949</v>
      </c>
      <c r="CK44" s="73">
        <f t="shared" si="57"/>
        <v>0</v>
      </c>
      <c r="CL44" s="65"/>
      <c r="CM44" s="74" t="s">
        <v>1949</v>
      </c>
      <c r="CN44" s="73">
        <f t="shared" si="57"/>
        <v>0</v>
      </c>
      <c r="CO44" s="65"/>
      <c r="CP44" s="65"/>
    </row>
    <row r="45" spans="1:94">
      <c r="A45" s="49"/>
      <c r="B45" s="49"/>
      <c r="C45" s="438" t="str">
        <f>Idiomas!D341</f>
        <v>Balón de Oro  (mejor jugador)</v>
      </c>
      <c r="D45" s="44">
        <v>10</v>
      </c>
      <c r="E45" s="111"/>
      <c r="F45" s="445">
        <f t="shared" si="47"/>
        <v>6</v>
      </c>
      <c r="G45" s="445">
        <f ca="1">VLOOKUP(H45,Equipos!$Q$1:$R$25,2,0)</f>
        <v>11</v>
      </c>
      <c r="H45" s="446">
        <f ca="1">TRUNC(INDEX(WORLDCUP!$X$4:$X$147,MATCH(ADMIN!K45,WORLDCUP!$DT$4:$DT$147,0))+INDEX(Horarios!$R$3:$R$86,MATCH(Horarios!$C$3,Horarios!$P$3:$P$86,0))/24)</f>
        <v>46194</v>
      </c>
      <c r="I45" s="48">
        <v>1</v>
      </c>
      <c r="J45" s="96"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51"/>
        <v>0</v>
      </c>
      <c r="R45" s="49"/>
      <c r="S45" s="74" t="s">
        <v>1950</v>
      </c>
      <c r="T45" s="73">
        <f t="shared" si="48"/>
        <v>0</v>
      </c>
      <c r="U45" s="65"/>
      <c r="V45" s="74" t="s">
        <v>1949</v>
      </c>
      <c r="W45" s="73">
        <f t="shared" si="58"/>
        <v>0</v>
      </c>
      <c r="X45" s="65"/>
      <c r="Y45" s="74" t="s">
        <v>1942</v>
      </c>
      <c r="Z45" s="73">
        <f t="shared" si="59"/>
        <v>0</v>
      </c>
      <c r="AA45" s="65"/>
      <c r="AB45" s="74" t="s">
        <v>1949</v>
      </c>
      <c r="AC45" s="73">
        <f t="shared" si="59"/>
        <v>0</v>
      </c>
      <c r="AD45" s="65"/>
      <c r="AE45" s="74" t="s">
        <v>1943</v>
      </c>
      <c r="AF45" s="73">
        <f t="shared" si="59"/>
        <v>0</v>
      </c>
      <c r="AG45" s="65"/>
      <c r="AH45" s="74" t="s">
        <v>1949</v>
      </c>
      <c r="AI45" s="73">
        <f t="shared" si="59"/>
        <v>0</v>
      </c>
      <c r="AJ45" s="65"/>
      <c r="AK45" s="74" t="s">
        <v>1941</v>
      </c>
      <c r="AL45" s="73">
        <f t="shared" si="59"/>
        <v>0</v>
      </c>
      <c r="AM45" s="65"/>
      <c r="AN45" s="74" t="s">
        <v>1949</v>
      </c>
      <c r="AO45" s="73">
        <f t="shared" si="59"/>
        <v>0</v>
      </c>
      <c r="AP45" s="65"/>
      <c r="AQ45" s="74" t="s">
        <v>1941</v>
      </c>
      <c r="AR45" s="73">
        <f t="shared" si="59"/>
        <v>0</v>
      </c>
      <c r="AS45" s="65"/>
      <c r="AT45" s="74" t="s">
        <v>1947</v>
      </c>
      <c r="AU45" s="73">
        <f t="shared" si="59"/>
        <v>0</v>
      </c>
      <c r="AV45" s="65"/>
      <c r="AW45" s="74" t="s">
        <v>1949</v>
      </c>
      <c r="AX45" s="73">
        <f t="shared" si="59"/>
        <v>0</v>
      </c>
      <c r="AY45" s="65"/>
      <c r="AZ45" s="74" t="s">
        <v>1949</v>
      </c>
      <c r="BA45" s="73">
        <f t="shared" si="59"/>
        <v>0</v>
      </c>
      <c r="BB45" s="65"/>
      <c r="BC45" s="74" t="s">
        <v>1941</v>
      </c>
      <c r="BD45" s="73">
        <f t="shared" si="59"/>
        <v>0</v>
      </c>
      <c r="BE45" s="65"/>
      <c r="BF45" s="74" t="s">
        <v>1949</v>
      </c>
      <c r="BG45" s="73">
        <f t="shared" si="59"/>
        <v>0</v>
      </c>
      <c r="BH45" s="65"/>
      <c r="BI45" s="74" t="s">
        <v>1949</v>
      </c>
      <c r="BJ45" s="73">
        <f t="shared" si="59"/>
        <v>0</v>
      </c>
      <c r="BK45" s="65"/>
      <c r="BL45" s="74" t="s">
        <v>1941</v>
      </c>
      <c r="BM45" s="73">
        <f t="shared" si="59"/>
        <v>0</v>
      </c>
      <c r="BN45" s="65"/>
      <c r="BO45" s="74" t="s">
        <v>1943</v>
      </c>
      <c r="BP45" s="73">
        <f t="shared" si="59"/>
        <v>0</v>
      </c>
      <c r="BQ45" s="65"/>
      <c r="BR45" s="74" t="s">
        <v>1941</v>
      </c>
      <c r="BS45" s="73">
        <f t="shared" si="59"/>
        <v>0</v>
      </c>
      <c r="BT45" s="65"/>
      <c r="BU45" s="74" t="s">
        <v>1941</v>
      </c>
      <c r="BV45" s="73">
        <f t="shared" si="59"/>
        <v>0</v>
      </c>
      <c r="BW45" s="65"/>
      <c r="BX45" s="74" t="s">
        <v>1949</v>
      </c>
      <c r="BY45" s="73">
        <f t="shared" si="59"/>
        <v>0</v>
      </c>
      <c r="BZ45" s="65"/>
      <c r="CA45" s="74" t="s">
        <v>2070</v>
      </c>
      <c r="CB45" s="73">
        <f t="shared" si="59"/>
        <v>0</v>
      </c>
      <c r="CC45" s="65"/>
      <c r="CD45" s="74" t="s">
        <v>1947</v>
      </c>
      <c r="CE45" s="73">
        <f t="shared" si="59"/>
        <v>0</v>
      </c>
      <c r="CF45" s="65"/>
      <c r="CG45" s="74" t="s">
        <v>1949</v>
      </c>
      <c r="CH45" s="73">
        <f t="shared" si="59"/>
        <v>0</v>
      </c>
      <c r="CI45" s="65"/>
      <c r="CJ45" s="74" t="s">
        <v>1950</v>
      </c>
      <c r="CK45" s="73">
        <f t="shared" si="57"/>
        <v>0</v>
      </c>
      <c r="CL45" s="65"/>
      <c r="CM45" s="74" t="s">
        <v>1941</v>
      </c>
      <c r="CN45" s="73">
        <f t="shared" si="57"/>
        <v>0</v>
      </c>
      <c r="CO45" s="65"/>
      <c r="CP45" s="65"/>
    </row>
    <row r="46" spans="1:94">
      <c r="A46" s="49"/>
      <c r="B46" s="49"/>
      <c r="C46" s="437" t="str">
        <f>Idiomas!D342</f>
        <v>Balón de Plata (2º mejor jugador)</v>
      </c>
      <c r="D46" s="62">
        <v>5</v>
      </c>
      <c r="E46" s="111"/>
      <c r="F46" s="445">
        <f t="shared" si="47"/>
        <v>6</v>
      </c>
      <c r="G46" s="445">
        <f ca="1">VLOOKUP(H46,Equipos!$Q$1:$R$25,2,0)</f>
        <v>12</v>
      </c>
      <c r="H46" s="446">
        <f ca="1">TRUNC(INDEX(WORLDCUP!$X$4:$X$147,MATCH(ADMIN!K46,WORLDCUP!$DT$4:$DT$147,0))+INDEX(Horarios!$R$3:$R$86,MATCH(Horarios!$C$3,Horarios!$P$3:$P$86,0))/24)</f>
        <v>46195</v>
      </c>
      <c r="I46" s="48">
        <v>1</v>
      </c>
      <c r="J46" s="95"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51"/>
        <v>0</v>
      </c>
      <c r="R46" s="49"/>
      <c r="S46" s="74" t="s">
        <v>1941</v>
      </c>
      <c r="T46" s="73">
        <f t="shared" si="48"/>
        <v>0</v>
      </c>
      <c r="U46" s="65"/>
      <c r="V46" s="74" t="s">
        <v>1950</v>
      </c>
      <c r="W46" s="73">
        <f t="shared" si="58"/>
        <v>0</v>
      </c>
      <c r="X46" s="65"/>
      <c r="Y46" s="74" t="s">
        <v>1941</v>
      </c>
      <c r="Z46" s="73">
        <f t="shared" si="59"/>
        <v>0</v>
      </c>
      <c r="AA46" s="65"/>
      <c r="AB46" s="74" t="s">
        <v>1943</v>
      </c>
      <c r="AC46" s="73">
        <f t="shared" si="59"/>
        <v>0</v>
      </c>
      <c r="AD46" s="65"/>
      <c r="AE46" s="74" t="s">
        <v>1949</v>
      </c>
      <c r="AF46" s="73">
        <f t="shared" si="59"/>
        <v>0</v>
      </c>
      <c r="AG46" s="65"/>
      <c r="AH46" s="74" t="s">
        <v>1949</v>
      </c>
      <c r="AI46" s="73">
        <f t="shared" si="59"/>
        <v>0</v>
      </c>
      <c r="AJ46" s="65"/>
      <c r="AK46" s="74" t="s">
        <v>1950</v>
      </c>
      <c r="AL46" s="73">
        <f t="shared" si="59"/>
        <v>0</v>
      </c>
      <c r="AM46" s="65"/>
      <c r="AN46" s="74" t="s">
        <v>1949</v>
      </c>
      <c r="AO46" s="73">
        <f t="shared" si="59"/>
        <v>0</v>
      </c>
      <c r="AP46" s="65"/>
      <c r="AQ46" s="74" t="s">
        <v>1950</v>
      </c>
      <c r="AR46" s="73">
        <f t="shared" si="59"/>
        <v>0</v>
      </c>
      <c r="AS46" s="65"/>
      <c r="AT46" s="74" t="s">
        <v>1947</v>
      </c>
      <c r="AU46" s="73">
        <f t="shared" si="59"/>
        <v>0</v>
      </c>
      <c r="AV46" s="65"/>
      <c r="AW46" s="74" t="s">
        <v>1995</v>
      </c>
      <c r="AX46" s="73">
        <f t="shared" si="59"/>
        <v>0</v>
      </c>
      <c r="AY46" s="65"/>
      <c r="AZ46" s="74" t="s">
        <v>1949</v>
      </c>
      <c r="BA46" s="73">
        <f t="shared" si="59"/>
        <v>0</v>
      </c>
      <c r="BB46" s="65"/>
      <c r="BC46" s="74" t="s">
        <v>1948</v>
      </c>
      <c r="BD46" s="73">
        <f t="shared" si="59"/>
        <v>0</v>
      </c>
      <c r="BE46" s="65"/>
      <c r="BF46" s="74" t="s">
        <v>1947</v>
      </c>
      <c r="BG46" s="73">
        <f t="shared" si="59"/>
        <v>0</v>
      </c>
      <c r="BH46" s="65"/>
      <c r="BI46" s="74" t="s">
        <v>1947</v>
      </c>
      <c r="BJ46" s="73">
        <f t="shared" si="59"/>
        <v>0</v>
      </c>
      <c r="BK46" s="65"/>
      <c r="BL46" s="74" t="s">
        <v>1948</v>
      </c>
      <c r="BM46" s="73">
        <f t="shared" si="59"/>
        <v>0</v>
      </c>
      <c r="BN46" s="65"/>
      <c r="BO46" s="74" t="s">
        <v>1947</v>
      </c>
      <c r="BP46" s="73">
        <f t="shared" si="59"/>
        <v>0</v>
      </c>
      <c r="BQ46" s="65"/>
      <c r="BR46" s="74" t="s">
        <v>1947</v>
      </c>
      <c r="BS46" s="73">
        <f t="shared" si="59"/>
        <v>0</v>
      </c>
      <c r="BT46" s="65"/>
      <c r="BU46" s="74" t="s">
        <v>1947</v>
      </c>
      <c r="BV46" s="73">
        <f t="shared" si="59"/>
        <v>0</v>
      </c>
      <c r="BW46" s="65"/>
      <c r="BX46" s="74" t="s">
        <v>2070</v>
      </c>
      <c r="BY46" s="73">
        <f t="shared" si="59"/>
        <v>0</v>
      </c>
      <c r="BZ46" s="65"/>
      <c r="CA46" s="74" t="s">
        <v>1949</v>
      </c>
      <c r="CB46" s="73">
        <f t="shared" si="59"/>
        <v>0</v>
      </c>
      <c r="CC46" s="65"/>
      <c r="CD46" s="74" t="s">
        <v>1941</v>
      </c>
      <c r="CE46" s="73">
        <f t="shared" si="59"/>
        <v>0</v>
      </c>
      <c r="CF46" s="65"/>
      <c r="CG46" s="74" t="s">
        <v>1949</v>
      </c>
      <c r="CH46" s="73">
        <f t="shared" si="59"/>
        <v>0</v>
      </c>
      <c r="CI46" s="65"/>
      <c r="CJ46" s="74" t="s">
        <v>1949</v>
      </c>
      <c r="CK46" s="73">
        <f t="shared" si="57"/>
        <v>0</v>
      </c>
      <c r="CL46" s="65"/>
      <c r="CM46" s="74" t="s">
        <v>1947</v>
      </c>
      <c r="CN46" s="73">
        <f t="shared" si="57"/>
        <v>0</v>
      </c>
      <c r="CO46" s="65"/>
      <c r="CP46" s="65"/>
    </row>
    <row r="47" spans="1:94">
      <c r="A47" s="49"/>
      <c r="B47" s="49"/>
      <c r="C47" s="439" t="str">
        <f>Idiomas!D343</f>
        <v>Balón de Bronce (3º mejor jugador)</v>
      </c>
      <c r="D47" s="45">
        <v>3</v>
      </c>
      <c r="E47" s="111"/>
      <c r="F47" s="445">
        <f t="shared" si="47"/>
        <v>6</v>
      </c>
      <c r="G47" s="445">
        <f ca="1">VLOOKUP(H47,Equipos!$Q$1:$R$25,2,0)</f>
        <v>12</v>
      </c>
      <c r="H47" s="446">
        <f ca="1">TRUNC(INDEX(WORLDCUP!$X$4:$X$147,MATCH(ADMIN!K47,WORLDCUP!$DT$4:$DT$147,0))+INDEX(Horarios!$R$3:$R$86,MATCH(Horarios!$C$3,Horarios!$P$3:$P$86,0))/24)</f>
        <v>46195</v>
      </c>
      <c r="I47" s="48">
        <v>1</v>
      </c>
      <c r="J47" s="95"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51"/>
        <v>0</v>
      </c>
      <c r="R47" s="49"/>
      <c r="S47" s="74" t="s">
        <v>1943</v>
      </c>
      <c r="T47" s="73">
        <f t="shared" si="48"/>
        <v>0</v>
      </c>
      <c r="U47" s="65"/>
      <c r="V47" s="74" t="s">
        <v>1943</v>
      </c>
      <c r="W47" s="73">
        <f t="shared" si="58"/>
        <v>0</v>
      </c>
      <c r="X47" s="65"/>
      <c r="Y47" s="74" t="s">
        <v>1995</v>
      </c>
      <c r="Z47" s="73">
        <f t="shared" si="59"/>
        <v>0</v>
      </c>
      <c r="AA47" s="65"/>
      <c r="AB47" s="74" t="s">
        <v>2072</v>
      </c>
      <c r="AC47" s="73">
        <f t="shared" si="59"/>
        <v>0</v>
      </c>
      <c r="AD47" s="65"/>
      <c r="AE47" s="74" t="s">
        <v>1942</v>
      </c>
      <c r="AF47" s="73">
        <f t="shared" si="59"/>
        <v>0</v>
      </c>
      <c r="AG47" s="65"/>
      <c r="AH47" s="74" t="s">
        <v>1941</v>
      </c>
      <c r="AI47" s="73">
        <f t="shared" si="59"/>
        <v>0</v>
      </c>
      <c r="AJ47" s="65"/>
      <c r="AK47" s="74" t="s">
        <v>1995</v>
      </c>
      <c r="AL47" s="73">
        <f t="shared" si="59"/>
        <v>0</v>
      </c>
      <c r="AM47" s="65"/>
      <c r="AN47" s="74" t="s">
        <v>1948</v>
      </c>
      <c r="AO47" s="73">
        <f t="shared" si="59"/>
        <v>0</v>
      </c>
      <c r="AP47" s="65"/>
      <c r="AQ47" s="74" t="s">
        <v>1942</v>
      </c>
      <c r="AR47" s="73">
        <f t="shared" si="59"/>
        <v>0</v>
      </c>
      <c r="AS47" s="65"/>
      <c r="AT47" s="74" t="s">
        <v>1995</v>
      </c>
      <c r="AU47" s="73">
        <f t="shared" si="59"/>
        <v>0</v>
      </c>
      <c r="AV47" s="65"/>
      <c r="AW47" s="74" t="s">
        <v>1942</v>
      </c>
      <c r="AX47" s="73">
        <f t="shared" si="59"/>
        <v>0</v>
      </c>
      <c r="AY47" s="65"/>
      <c r="AZ47" s="74" t="s">
        <v>1942</v>
      </c>
      <c r="BA47" s="73">
        <f t="shared" si="59"/>
        <v>0</v>
      </c>
      <c r="BB47" s="65"/>
      <c r="BC47" s="74" t="s">
        <v>1942</v>
      </c>
      <c r="BD47" s="73">
        <f t="shared" si="59"/>
        <v>0</v>
      </c>
      <c r="BE47" s="65"/>
      <c r="BF47" s="74" t="s">
        <v>1941</v>
      </c>
      <c r="BG47" s="73">
        <f t="shared" si="59"/>
        <v>0</v>
      </c>
      <c r="BH47" s="65"/>
      <c r="BI47" s="74" t="s">
        <v>1943</v>
      </c>
      <c r="BJ47" s="73">
        <f t="shared" si="59"/>
        <v>0</v>
      </c>
      <c r="BK47" s="65"/>
      <c r="BL47" s="74" t="s">
        <v>1942</v>
      </c>
      <c r="BM47" s="73">
        <f t="shared" si="59"/>
        <v>0</v>
      </c>
      <c r="BN47" s="65"/>
      <c r="BO47" s="74" t="s">
        <v>1942</v>
      </c>
      <c r="BP47" s="73">
        <f t="shared" si="59"/>
        <v>0</v>
      </c>
      <c r="BQ47" s="65"/>
      <c r="BR47" s="74" t="s">
        <v>1948</v>
      </c>
      <c r="BS47" s="73">
        <f t="shared" si="59"/>
        <v>0</v>
      </c>
      <c r="BT47" s="65"/>
      <c r="BU47" s="74" t="s">
        <v>1992</v>
      </c>
      <c r="BV47" s="73">
        <f t="shared" si="59"/>
        <v>0</v>
      </c>
      <c r="BW47" s="65"/>
      <c r="BX47" s="74" t="s">
        <v>1993</v>
      </c>
      <c r="BY47" s="73">
        <f t="shared" si="59"/>
        <v>0</v>
      </c>
      <c r="BZ47" s="65"/>
      <c r="CA47" s="74" t="s">
        <v>1948</v>
      </c>
      <c r="CB47" s="73">
        <f t="shared" si="59"/>
        <v>0</v>
      </c>
      <c r="CC47" s="65"/>
      <c r="CD47" s="74" t="s">
        <v>1995</v>
      </c>
      <c r="CE47" s="73">
        <f t="shared" si="59"/>
        <v>0</v>
      </c>
      <c r="CF47" s="65"/>
      <c r="CG47" s="74" t="s">
        <v>1993</v>
      </c>
      <c r="CH47" s="73">
        <f t="shared" si="59"/>
        <v>0</v>
      </c>
      <c r="CI47" s="65"/>
      <c r="CJ47" s="74" t="s">
        <v>1995</v>
      </c>
      <c r="CK47" s="73">
        <f t="shared" si="57"/>
        <v>0</v>
      </c>
      <c r="CL47" s="65"/>
      <c r="CM47" s="74" t="s">
        <v>1948</v>
      </c>
      <c r="CN47" s="73">
        <f t="shared" si="57"/>
        <v>0</v>
      </c>
      <c r="CO47" s="65"/>
      <c r="CP47" s="65"/>
    </row>
    <row r="48" spans="1:94">
      <c r="A48" s="49"/>
      <c r="B48" s="49"/>
      <c r="C48" s="17"/>
      <c r="D48" s="17"/>
      <c r="E48" s="89"/>
      <c r="F48" s="445">
        <f t="shared" si="47"/>
        <v>6</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51"/>
        <v>0</v>
      </c>
      <c r="R48" s="49"/>
      <c r="S48" s="74" t="s">
        <v>1941</v>
      </c>
      <c r="T48" s="73">
        <f t="shared" si="48"/>
        <v>0</v>
      </c>
      <c r="U48" s="65"/>
      <c r="V48" s="74" t="s">
        <v>1950</v>
      </c>
      <c r="W48" s="73">
        <f t="shared" si="58"/>
        <v>0</v>
      </c>
      <c r="X48" s="65"/>
      <c r="Y48" s="74" t="s">
        <v>1950</v>
      </c>
      <c r="Z48" s="73">
        <f t="shared" si="59"/>
        <v>0</v>
      </c>
      <c r="AA48" s="65"/>
      <c r="AB48" s="74" t="s">
        <v>1949</v>
      </c>
      <c r="AC48" s="73">
        <f t="shared" si="59"/>
        <v>0</v>
      </c>
      <c r="AD48" s="65"/>
      <c r="AE48" s="74" t="s">
        <v>1995</v>
      </c>
      <c r="AF48" s="73">
        <f t="shared" si="59"/>
        <v>0</v>
      </c>
      <c r="AG48" s="65"/>
      <c r="AH48" s="74" t="s">
        <v>1948</v>
      </c>
      <c r="AI48" s="73">
        <f t="shared" si="59"/>
        <v>0</v>
      </c>
      <c r="AJ48" s="65"/>
      <c r="AK48" s="74" t="s">
        <v>1941</v>
      </c>
      <c r="AL48" s="73">
        <f t="shared" si="59"/>
        <v>0</v>
      </c>
      <c r="AM48" s="65"/>
      <c r="AN48" s="74" t="s">
        <v>1948</v>
      </c>
      <c r="AO48" s="73">
        <f t="shared" si="59"/>
        <v>0</v>
      </c>
      <c r="AP48" s="65"/>
      <c r="AQ48" s="74" t="s">
        <v>1943</v>
      </c>
      <c r="AR48" s="73">
        <f t="shared" si="59"/>
        <v>0</v>
      </c>
      <c r="AS48" s="65"/>
      <c r="AT48" s="74" t="s">
        <v>1949</v>
      </c>
      <c r="AU48" s="73">
        <f t="shared" si="59"/>
        <v>0</v>
      </c>
      <c r="AV48" s="65"/>
      <c r="AW48" s="74" t="s">
        <v>1948</v>
      </c>
      <c r="AX48" s="73">
        <f t="shared" si="59"/>
        <v>0</v>
      </c>
      <c r="AY48" s="65"/>
      <c r="AZ48" s="74" t="s">
        <v>1941</v>
      </c>
      <c r="BA48" s="73">
        <f t="shared" si="59"/>
        <v>0</v>
      </c>
      <c r="BB48" s="65"/>
      <c r="BC48" s="74" t="s">
        <v>1948</v>
      </c>
      <c r="BD48" s="73">
        <f t="shared" si="59"/>
        <v>0</v>
      </c>
      <c r="BE48" s="65"/>
      <c r="BF48" s="74" t="s">
        <v>1995</v>
      </c>
      <c r="BG48" s="73">
        <f t="shared" si="59"/>
        <v>0</v>
      </c>
      <c r="BH48" s="65"/>
      <c r="BI48" s="74" t="s">
        <v>1941</v>
      </c>
      <c r="BJ48" s="73">
        <f t="shared" si="59"/>
        <v>0</v>
      </c>
      <c r="BK48" s="65"/>
      <c r="BL48" s="74" t="s">
        <v>1941</v>
      </c>
      <c r="BM48" s="73">
        <f t="shared" si="59"/>
        <v>0</v>
      </c>
      <c r="BN48" s="65"/>
      <c r="BO48" s="74" t="s">
        <v>1948</v>
      </c>
      <c r="BP48" s="73">
        <f t="shared" si="59"/>
        <v>0</v>
      </c>
      <c r="BQ48" s="65"/>
      <c r="BR48" s="74" t="s">
        <v>1943</v>
      </c>
      <c r="BS48" s="73">
        <f t="shared" si="59"/>
        <v>0</v>
      </c>
      <c r="BT48" s="65"/>
      <c r="BU48" s="74" t="s">
        <v>1950</v>
      </c>
      <c r="BV48" s="73">
        <f t="shared" si="59"/>
        <v>0</v>
      </c>
      <c r="BW48" s="65"/>
      <c r="BX48" s="74" t="s">
        <v>1948</v>
      </c>
      <c r="BY48" s="73">
        <f t="shared" si="59"/>
        <v>0</v>
      </c>
      <c r="BZ48" s="65"/>
      <c r="CA48" s="74" t="s">
        <v>1950</v>
      </c>
      <c r="CB48" s="73">
        <f t="shared" si="59"/>
        <v>0</v>
      </c>
      <c r="CC48" s="65"/>
      <c r="CD48" s="74" t="s">
        <v>1950</v>
      </c>
      <c r="CE48" s="73">
        <f t="shared" si="59"/>
        <v>0</v>
      </c>
      <c r="CF48" s="65"/>
      <c r="CG48" s="74" t="s">
        <v>1948</v>
      </c>
      <c r="CH48" s="73">
        <f t="shared" si="59"/>
        <v>0</v>
      </c>
      <c r="CI48" s="65"/>
      <c r="CJ48" s="74" t="s">
        <v>1948</v>
      </c>
      <c r="CK48" s="73">
        <f t="shared" si="57"/>
        <v>0</v>
      </c>
      <c r="CL48" s="65"/>
      <c r="CM48" s="74" t="s">
        <v>1948</v>
      </c>
      <c r="CN48" s="73">
        <f t="shared" si="57"/>
        <v>0</v>
      </c>
      <c r="CO48" s="65"/>
      <c r="CP48" s="65"/>
    </row>
    <row r="49" spans="1:94" ht="15.75" thickBot="1">
      <c r="A49" s="49"/>
      <c r="B49" s="436"/>
      <c r="C49" s="667" t="str">
        <f>"**"&amp;Idiomas!D441&amp;": -&gt;"</f>
        <v>**% Ajuste por desvío en Diferencia/Distancia de goles: -&gt;</v>
      </c>
      <c r="D49" s="668" t="s">
        <v>1927</v>
      </c>
      <c r="E49" s="89"/>
      <c r="F49" s="445">
        <f t="shared" si="47"/>
        <v>6</v>
      </c>
      <c r="G49" s="445">
        <f ca="1">VLOOKUP(H49,Equipos!$Q$1:$R$25,2,0)</f>
        <v>12</v>
      </c>
      <c r="H49" s="446">
        <f ca="1">TRUNC(INDEX(WORLDCUP!$X$4:$X$147,MATCH(ADMIN!K49,WORLDCUP!$DT$4:$DT$147,0))+INDEX(Horarios!$R$3:$R$86,MATCH(Horarios!$C$3,Horarios!$P$3:$P$86,0))/24)</f>
        <v>46195</v>
      </c>
      <c r="I49" s="48">
        <v>1</v>
      </c>
      <c r="J49" s="96"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51"/>
        <v>0</v>
      </c>
      <c r="R49" s="49"/>
      <c r="S49" s="74" t="s">
        <v>1942</v>
      </c>
      <c r="T49" s="73">
        <f t="shared" si="48"/>
        <v>0</v>
      </c>
      <c r="U49" s="65"/>
      <c r="V49" s="74" t="s">
        <v>1954</v>
      </c>
      <c r="W49" s="73">
        <f t="shared" si="58"/>
        <v>0</v>
      </c>
      <c r="X49" s="65"/>
      <c r="Y49" s="74" t="s">
        <v>1945</v>
      </c>
      <c r="Z49" s="73">
        <f t="shared" si="59"/>
        <v>0</v>
      </c>
      <c r="AA49" s="65"/>
      <c r="AB49" s="74" t="s">
        <v>1954</v>
      </c>
      <c r="AC49" s="73">
        <f t="shared" si="59"/>
        <v>0</v>
      </c>
      <c r="AD49" s="65"/>
      <c r="AE49" s="74" t="s">
        <v>1954</v>
      </c>
      <c r="AF49" s="73">
        <f t="shared" si="59"/>
        <v>0</v>
      </c>
      <c r="AG49" s="65"/>
      <c r="AH49" s="74" t="s">
        <v>1944</v>
      </c>
      <c r="AI49" s="73">
        <f t="shared" si="59"/>
        <v>0</v>
      </c>
      <c r="AJ49" s="65"/>
      <c r="AK49" s="74" t="s">
        <v>1954</v>
      </c>
      <c r="AL49" s="73">
        <f t="shared" si="59"/>
        <v>0</v>
      </c>
      <c r="AM49" s="65"/>
      <c r="AN49" s="74" t="s">
        <v>1944</v>
      </c>
      <c r="AO49" s="73">
        <f t="shared" si="59"/>
        <v>0</v>
      </c>
      <c r="AP49" s="65"/>
      <c r="AQ49" s="74" t="s">
        <v>1945</v>
      </c>
      <c r="AR49" s="73">
        <f t="shared" si="59"/>
        <v>0</v>
      </c>
      <c r="AS49" s="65"/>
      <c r="AT49" s="74" t="s">
        <v>1944</v>
      </c>
      <c r="AU49" s="73">
        <f t="shared" si="59"/>
        <v>0</v>
      </c>
      <c r="AV49" s="65"/>
      <c r="AW49" s="74" t="s">
        <v>1945</v>
      </c>
      <c r="AX49" s="73">
        <f t="shared" si="59"/>
        <v>0</v>
      </c>
      <c r="AY49" s="65"/>
      <c r="AZ49" s="74" t="s">
        <v>1942</v>
      </c>
      <c r="BA49" s="73">
        <f t="shared" si="59"/>
        <v>0</v>
      </c>
      <c r="BB49" s="65"/>
      <c r="BC49" s="74" t="s">
        <v>1942</v>
      </c>
      <c r="BD49" s="73">
        <f t="shared" si="59"/>
        <v>0</v>
      </c>
      <c r="BE49" s="65"/>
      <c r="BF49" s="74" t="s">
        <v>1954</v>
      </c>
      <c r="BG49" s="73">
        <f t="shared" si="59"/>
        <v>0</v>
      </c>
      <c r="BH49" s="65"/>
      <c r="BI49" s="74" t="s">
        <v>1954</v>
      </c>
      <c r="BJ49" s="73">
        <f t="shared" si="59"/>
        <v>0</v>
      </c>
      <c r="BK49" s="65"/>
      <c r="BL49" s="74" t="s">
        <v>1945</v>
      </c>
      <c r="BM49" s="73">
        <f t="shared" si="59"/>
        <v>0</v>
      </c>
      <c r="BN49" s="65"/>
      <c r="BO49" s="74" t="s">
        <v>1946</v>
      </c>
      <c r="BP49" s="73">
        <f t="shared" si="59"/>
        <v>0</v>
      </c>
      <c r="BQ49" s="65"/>
      <c r="BR49" s="74" t="s">
        <v>1944</v>
      </c>
      <c r="BS49" s="73">
        <f t="shared" si="59"/>
        <v>0</v>
      </c>
      <c r="BT49" s="65"/>
      <c r="BU49" s="74" t="s">
        <v>1954</v>
      </c>
      <c r="BV49" s="73">
        <f t="shared" si="59"/>
        <v>0</v>
      </c>
      <c r="BW49" s="65"/>
      <c r="BX49" s="74" t="s">
        <v>1942</v>
      </c>
      <c r="BY49" s="73">
        <f t="shared" si="59"/>
        <v>0</v>
      </c>
      <c r="BZ49" s="65"/>
      <c r="CA49" s="74" t="s">
        <v>1948</v>
      </c>
      <c r="CB49" s="73">
        <f t="shared" si="59"/>
        <v>0</v>
      </c>
      <c r="CC49" s="65"/>
      <c r="CD49" s="74" t="s">
        <v>1954</v>
      </c>
      <c r="CE49" s="73">
        <f t="shared" si="59"/>
        <v>0</v>
      </c>
      <c r="CF49" s="65"/>
      <c r="CG49" s="74" t="s">
        <v>1944</v>
      </c>
      <c r="CH49" s="73">
        <f t="shared" si="59"/>
        <v>0</v>
      </c>
      <c r="CI49" s="65"/>
      <c r="CJ49" s="74" t="s">
        <v>1944</v>
      </c>
      <c r="CK49" s="73">
        <f t="shared" si="57"/>
        <v>0</v>
      </c>
      <c r="CL49" s="65"/>
      <c r="CM49" s="74" t="s">
        <v>1945</v>
      </c>
      <c r="CN49" s="73">
        <f t="shared" si="57"/>
        <v>0</v>
      </c>
      <c r="CO49" s="65"/>
      <c r="CP49" s="65"/>
    </row>
    <row r="50" spans="1:94" ht="15.75" thickBot="1">
      <c r="A50" s="49"/>
      <c r="B50" s="49"/>
      <c r="C50" s="671" t="str">
        <f>HYPERLINK(Idiomas!D444,Idiomas!D443)</f>
        <v>**¿Qué es esto y cómo funciona?</v>
      </c>
      <c r="D50" s="429">
        <f>IF(D49=Idiomas!$D$442,1,D49)</f>
        <v>1</v>
      </c>
      <c r="E50" s="89"/>
      <c r="F50" s="445">
        <f t="shared" si="47"/>
        <v>6</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51"/>
        <v>0</v>
      </c>
      <c r="R50" s="49"/>
      <c r="S50" s="74" t="s">
        <v>1948</v>
      </c>
      <c r="T50" s="73">
        <f t="shared" si="48"/>
        <v>0</v>
      </c>
      <c r="U50" s="65"/>
      <c r="V50" s="74" t="s">
        <v>1948</v>
      </c>
      <c r="W50" s="73">
        <f t="shared" si="58"/>
        <v>0</v>
      </c>
      <c r="X50" s="65"/>
      <c r="Y50" s="74" t="s">
        <v>1949</v>
      </c>
      <c r="Z50" s="73">
        <f t="shared" si="59"/>
        <v>0</v>
      </c>
      <c r="AA50" s="65"/>
      <c r="AB50" s="74" t="s">
        <v>1943</v>
      </c>
      <c r="AC50" s="73">
        <f t="shared" si="59"/>
        <v>0</v>
      </c>
      <c r="AD50" s="65"/>
      <c r="AE50" s="74" t="s">
        <v>1941</v>
      </c>
      <c r="AF50" s="73">
        <f t="shared" si="59"/>
        <v>0</v>
      </c>
      <c r="AG50" s="65"/>
      <c r="AH50" s="74" t="s">
        <v>1949</v>
      </c>
      <c r="AI50" s="73">
        <f t="shared" si="59"/>
        <v>0</v>
      </c>
      <c r="AJ50" s="65"/>
      <c r="AK50" s="74" t="s">
        <v>1941</v>
      </c>
      <c r="AL50" s="73">
        <f t="shared" si="59"/>
        <v>0</v>
      </c>
      <c r="AM50" s="65"/>
      <c r="AN50" s="74" t="s">
        <v>1949</v>
      </c>
      <c r="AO50" s="73">
        <f t="shared" si="59"/>
        <v>0</v>
      </c>
      <c r="AP50" s="65"/>
      <c r="AQ50" s="74" t="s">
        <v>1941</v>
      </c>
      <c r="AR50" s="73">
        <f t="shared" si="59"/>
        <v>0</v>
      </c>
      <c r="AS50" s="65"/>
      <c r="AT50" s="74" t="s">
        <v>1941</v>
      </c>
      <c r="AU50" s="73">
        <f t="shared" si="59"/>
        <v>0</v>
      </c>
      <c r="AV50" s="65"/>
      <c r="AW50" s="74" t="s">
        <v>2070</v>
      </c>
      <c r="AX50" s="73">
        <f t="shared" si="59"/>
        <v>0</v>
      </c>
      <c r="AY50" s="65"/>
      <c r="AZ50" s="74" t="s">
        <v>1949</v>
      </c>
      <c r="BA50" s="73">
        <f t="shared" si="59"/>
        <v>0</v>
      </c>
      <c r="BB50" s="65"/>
      <c r="BC50" s="74" t="s">
        <v>1941</v>
      </c>
      <c r="BD50" s="73">
        <f t="shared" si="59"/>
        <v>0</v>
      </c>
      <c r="BE50" s="65"/>
      <c r="BF50" s="74" t="s">
        <v>1950</v>
      </c>
      <c r="BG50" s="73">
        <f t="shared" si="59"/>
        <v>0</v>
      </c>
      <c r="BH50" s="65"/>
      <c r="BI50" s="74" t="s">
        <v>1941</v>
      </c>
      <c r="BJ50" s="73">
        <f t="shared" si="59"/>
        <v>0</v>
      </c>
      <c r="BK50" s="65"/>
      <c r="BL50" s="74" t="s">
        <v>1949</v>
      </c>
      <c r="BM50" s="73">
        <f t="shared" si="59"/>
        <v>0</v>
      </c>
      <c r="BN50" s="65"/>
      <c r="BO50" s="74" t="s">
        <v>1949</v>
      </c>
      <c r="BP50" s="73">
        <f t="shared" si="59"/>
        <v>0</v>
      </c>
      <c r="BQ50" s="65"/>
      <c r="BR50" s="74" t="s">
        <v>1941</v>
      </c>
      <c r="BS50" s="73">
        <f t="shared" si="59"/>
        <v>0</v>
      </c>
      <c r="BT50" s="65"/>
      <c r="BU50" s="74" t="s">
        <v>1949</v>
      </c>
      <c r="BV50" s="73">
        <f t="shared" si="59"/>
        <v>0</v>
      </c>
      <c r="BW50" s="65"/>
      <c r="BX50" s="74" t="s">
        <v>1949</v>
      </c>
      <c r="BY50" s="73">
        <f t="shared" si="59"/>
        <v>0</v>
      </c>
      <c r="BZ50" s="65"/>
      <c r="CA50" s="74" t="s">
        <v>1947</v>
      </c>
      <c r="CB50" s="73">
        <f t="shared" si="59"/>
        <v>0</v>
      </c>
      <c r="CC50" s="65"/>
      <c r="CD50" s="74" t="s">
        <v>1950</v>
      </c>
      <c r="CE50" s="73">
        <f t="shared" si="59"/>
        <v>0</v>
      </c>
      <c r="CF50" s="65"/>
      <c r="CG50" s="74" t="s">
        <v>1947</v>
      </c>
      <c r="CH50" s="73">
        <f t="shared" si="59"/>
        <v>0</v>
      </c>
      <c r="CI50" s="65"/>
      <c r="CJ50" s="74" t="s">
        <v>1949</v>
      </c>
      <c r="CK50" s="73">
        <f t="shared" si="57"/>
        <v>0</v>
      </c>
      <c r="CL50" s="65"/>
      <c r="CM50" s="74" t="s">
        <v>1949</v>
      </c>
      <c r="CN50" s="73">
        <f t="shared" si="57"/>
        <v>0</v>
      </c>
      <c r="CO50" s="65"/>
      <c r="CP50" s="65"/>
    </row>
    <row r="51" spans="1:94">
      <c r="A51" s="49"/>
      <c r="B51" s="49"/>
      <c r="C51" s="17"/>
      <c r="D51" s="17"/>
      <c r="E51" s="89"/>
      <c r="F51" s="445">
        <f t="shared" si="47"/>
        <v>6</v>
      </c>
      <c r="G51" s="445">
        <f ca="1">VLOOKUP(H51,Equipos!$Q$1:$R$25,2,0)</f>
        <v>13</v>
      </c>
      <c r="H51" s="446">
        <f ca="1">TRUNC(INDEX(WORLDCUP!$X$4:$X$147,MATCH(ADMIN!K51,WORLDCUP!$DT$4:$DT$147,0))+INDEX(Horarios!$R$3:$R$86,MATCH(Horarios!$C$3,Horarios!$P$3:$P$86,0))/24)</f>
        <v>46196</v>
      </c>
      <c r="I51" s="48">
        <v>1</v>
      </c>
      <c r="J51" s="95"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51"/>
        <v>0</v>
      </c>
      <c r="R51" s="49"/>
      <c r="S51" s="74" t="s">
        <v>1941</v>
      </c>
      <c r="T51" s="73">
        <f t="shared" si="48"/>
        <v>0</v>
      </c>
      <c r="U51" s="65"/>
      <c r="V51" s="74" t="s">
        <v>1949</v>
      </c>
      <c r="W51" s="73">
        <f t="shared" si="58"/>
        <v>0</v>
      </c>
      <c r="X51" s="65"/>
      <c r="Y51" s="74" t="s">
        <v>1942</v>
      </c>
      <c r="Z51" s="73">
        <f t="shared" si="59"/>
        <v>0</v>
      </c>
      <c r="AA51" s="65"/>
      <c r="AB51" s="74" t="s">
        <v>1941</v>
      </c>
      <c r="AC51" s="73">
        <f t="shared" si="59"/>
        <v>0</v>
      </c>
      <c r="AD51" s="65"/>
      <c r="AE51" s="74" t="s">
        <v>1941</v>
      </c>
      <c r="AF51" s="73">
        <f t="shared" si="59"/>
        <v>0</v>
      </c>
      <c r="AG51" s="65"/>
      <c r="AH51" s="74" t="s">
        <v>1941</v>
      </c>
      <c r="AI51" s="73">
        <f t="shared" si="59"/>
        <v>0</v>
      </c>
      <c r="AJ51" s="65"/>
      <c r="AK51" s="74" t="s">
        <v>1949</v>
      </c>
      <c r="AL51" s="73">
        <f t="shared" si="59"/>
        <v>0</v>
      </c>
      <c r="AM51" s="65"/>
      <c r="AN51" s="74" t="s">
        <v>1949</v>
      </c>
      <c r="AO51" s="73">
        <f t="shared" si="59"/>
        <v>0</v>
      </c>
      <c r="AP51" s="65"/>
      <c r="AQ51" s="74" t="s">
        <v>1943</v>
      </c>
      <c r="AR51" s="73">
        <f t="shared" si="59"/>
        <v>0</v>
      </c>
      <c r="AS51" s="65"/>
      <c r="AT51" s="74" t="s">
        <v>1948</v>
      </c>
      <c r="AU51" s="73">
        <f t="shared" si="59"/>
        <v>0</v>
      </c>
      <c r="AV51" s="65"/>
      <c r="AW51" s="74" t="s">
        <v>1947</v>
      </c>
      <c r="AX51" s="73">
        <f t="shared" si="59"/>
        <v>0</v>
      </c>
      <c r="AY51" s="65"/>
      <c r="AZ51" s="74" t="s">
        <v>1941</v>
      </c>
      <c r="BA51" s="73">
        <f t="shared" si="59"/>
        <v>0</v>
      </c>
      <c r="BB51" s="65"/>
      <c r="BC51" s="74" t="s">
        <v>1941</v>
      </c>
      <c r="BD51" s="73">
        <f t="shared" si="59"/>
        <v>0</v>
      </c>
      <c r="BE51" s="65"/>
      <c r="BF51" s="74" t="s">
        <v>1941</v>
      </c>
      <c r="BG51" s="73">
        <f t="shared" si="59"/>
        <v>0</v>
      </c>
      <c r="BH51" s="65"/>
      <c r="BI51" s="74" t="s">
        <v>1943</v>
      </c>
      <c r="BJ51" s="73">
        <f t="shared" si="59"/>
        <v>0</v>
      </c>
      <c r="BK51" s="65"/>
      <c r="BL51" s="74" t="s">
        <v>1948</v>
      </c>
      <c r="BM51" s="73">
        <f t="shared" si="59"/>
        <v>0</v>
      </c>
      <c r="BN51" s="65"/>
      <c r="BO51" s="74" t="s">
        <v>1948</v>
      </c>
      <c r="BP51" s="73">
        <f t="shared" si="59"/>
        <v>0</v>
      </c>
      <c r="BQ51" s="65"/>
      <c r="BR51" s="74" t="s">
        <v>1950</v>
      </c>
      <c r="BS51" s="73">
        <f t="shared" si="59"/>
        <v>0</v>
      </c>
      <c r="BT51" s="65"/>
      <c r="BU51" s="74" t="s">
        <v>1941</v>
      </c>
      <c r="BV51" s="73">
        <f t="shared" si="59"/>
        <v>0</v>
      </c>
      <c r="BW51" s="65"/>
      <c r="BX51" s="74" t="s">
        <v>1947</v>
      </c>
      <c r="BY51" s="73">
        <f t="shared" si="59"/>
        <v>0</v>
      </c>
      <c r="BZ51" s="65"/>
      <c r="CA51" s="74" t="s">
        <v>1949</v>
      </c>
      <c r="CB51" s="73">
        <f t="shared" si="59"/>
        <v>0</v>
      </c>
      <c r="CC51" s="65"/>
      <c r="CD51" s="74" t="s">
        <v>1951</v>
      </c>
      <c r="CE51" s="73">
        <f t="shared" si="59"/>
        <v>0</v>
      </c>
      <c r="CF51" s="65"/>
      <c r="CG51" s="74" t="s">
        <v>1950</v>
      </c>
      <c r="CH51" s="73">
        <f t="shared" si="59"/>
        <v>0</v>
      </c>
      <c r="CI51" s="65"/>
      <c r="CJ51" s="74" t="s">
        <v>1941</v>
      </c>
      <c r="CK51" s="73">
        <f t="shared" si="57"/>
        <v>0</v>
      </c>
      <c r="CL51" s="65"/>
      <c r="CM51" s="74" t="s">
        <v>1948</v>
      </c>
      <c r="CN51" s="73">
        <f t="shared" si="57"/>
        <v>0</v>
      </c>
      <c r="CO51" s="65"/>
      <c r="CP51" s="65"/>
    </row>
    <row r="52" spans="1:94">
      <c r="A52" s="49"/>
      <c r="B52" s="49"/>
      <c r="C52" s="17"/>
      <c r="D52" s="17"/>
      <c r="E52" s="89"/>
      <c r="F52" s="445">
        <f t="shared" si="47"/>
        <v>6</v>
      </c>
      <c r="G52" s="445">
        <f ca="1">VLOOKUP(H52,Equipos!$Q$1:$R$25,2,0)</f>
        <v>13</v>
      </c>
      <c r="H52" s="446">
        <f ca="1">TRUNC(INDEX(WORLDCUP!$X$4:$X$147,MATCH(ADMIN!K52,WORLDCUP!$DT$4:$DT$147,0))+INDEX(Horarios!$R$3:$R$86,MATCH(Horarios!$C$3,Horarios!$P$3:$P$86,0))/24)</f>
        <v>46196</v>
      </c>
      <c r="I52" s="48">
        <v>1</v>
      </c>
      <c r="J52" s="96"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51"/>
        <v>0</v>
      </c>
      <c r="R52" s="49"/>
      <c r="S52" s="74" t="s">
        <v>1948</v>
      </c>
      <c r="T52" s="73">
        <f t="shared" si="48"/>
        <v>0</v>
      </c>
      <c r="U52" s="65"/>
      <c r="V52" s="74" t="s">
        <v>1996</v>
      </c>
      <c r="W52" s="73">
        <f t="shared" si="58"/>
        <v>0</v>
      </c>
      <c r="X52" s="65"/>
      <c r="Y52" s="74" t="s">
        <v>1941</v>
      </c>
      <c r="Z52" s="73">
        <f t="shared" si="59"/>
        <v>0</v>
      </c>
      <c r="AA52" s="65"/>
      <c r="AB52" s="74" t="s">
        <v>1943</v>
      </c>
      <c r="AC52" s="73">
        <f t="shared" si="59"/>
        <v>0</v>
      </c>
      <c r="AD52" s="65"/>
      <c r="AE52" s="74" t="s">
        <v>1941</v>
      </c>
      <c r="AF52" s="73">
        <f t="shared" si="59"/>
        <v>0</v>
      </c>
      <c r="AG52" s="65"/>
      <c r="AH52" s="74" t="s">
        <v>1941</v>
      </c>
      <c r="AI52" s="73">
        <f t="shared" si="59"/>
        <v>0</v>
      </c>
      <c r="AJ52" s="65"/>
      <c r="AK52" s="74" t="s">
        <v>1941</v>
      </c>
      <c r="AL52" s="73">
        <f t="shared" si="59"/>
        <v>0</v>
      </c>
      <c r="AM52" s="65"/>
      <c r="AN52" s="74" t="s">
        <v>1948</v>
      </c>
      <c r="AO52" s="73">
        <f t="shared" si="59"/>
        <v>0</v>
      </c>
      <c r="AP52" s="65"/>
      <c r="AQ52" s="74" t="s">
        <v>1948</v>
      </c>
      <c r="AR52" s="73">
        <f t="shared" si="59"/>
        <v>0</v>
      </c>
      <c r="AS52" s="65"/>
      <c r="AT52" s="74" t="s">
        <v>1947</v>
      </c>
      <c r="AU52" s="73">
        <f t="shared" si="59"/>
        <v>0</v>
      </c>
      <c r="AV52" s="65"/>
      <c r="AW52" s="74" t="s">
        <v>1941</v>
      </c>
      <c r="AX52" s="73">
        <f t="shared" si="59"/>
        <v>0</v>
      </c>
      <c r="AY52" s="65"/>
      <c r="AZ52" s="74" t="s">
        <v>1942</v>
      </c>
      <c r="BA52" s="73">
        <f t="shared" si="59"/>
        <v>0</v>
      </c>
      <c r="BB52" s="65"/>
      <c r="BC52" s="74" t="s">
        <v>1949</v>
      </c>
      <c r="BD52" s="73">
        <f t="shared" si="59"/>
        <v>0</v>
      </c>
      <c r="BE52" s="65"/>
      <c r="BF52" s="74" t="s">
        <v>1950</v>
      </c>
      <c r="BG52" s="73">
        <f t="shared" si="59"/>
        <v>0</v>
      </c>
      <c r="BH52" s="65"/>
      <c r="BI52" s="74" t="s">
        <v>1950</v>
      </c>
      <c r="BJ52" s="73">
        <f t="shared" si="59"/>
        <v>0</v>
      </c>
      <c r="BK52" s="65"/>
      <c r="BL52" s="74" t="s">
        <v>1950</v>
      </c>
      <c r="BM52" s="73">
        <f t="shared" si="59"/>
        <v>0</v>
      </c>
      <c r="BN52" s="65"/>
      <c r="BO52" s="74" t="s">
        <v>1948</v>
      </c>
      <c r="BP52" s="73">
        <f t="shared" si="59"/>
        <v>0</v>
      </c>
      <c r="BQ52" s="65"/>
      <c r="BR52" s="74" t="s">
        <v>1950</v>
      </c>
      <c r="BS52" s="73">
        <f t="shared" si="59"/>
        <v>0</v>
      </c>
      <c r="BT52" s="65"/>
      <c r="BU52" s="74" t="s">
        <v>1951</v>
      </c>
      <c r="BV52" s="73">
        <f t="shared" si="59"/>
        <v>0</v>
      </c>
      <c r="BW52" s="65"/>
      <c r="BX52" s="74" t="s">
        <v>1948</v>
      </c>
      <c r="BY52" s="73">
        <f t="shared" si="59"/>
        <v>0</v>
      </c>
      <c r="BZ52" s="65"/>
      <c r="CA52" s="74" t="s">
        <v>1947</v>
      </c>
      <c r="CB52" s="73">
        <f t="shared" si="59"/>
        <v>0</v>
      </c>
      <c r="CC52" s="65"/>
      <c r="CD52" s="74" t="s">
        <v>1993</v>
      </c>
      <c r="CE52" s="73">
        <f t="shared" si="59"/>
        <v>0</v>
      </c>
      <c r="CF52" s="65"/>
      <c r="CG52" s="74" t="s">
        <v>1949</v>
      </c>
      <c r="CH52" s="73">
        <f t="shared" si="59"/>
        <v>0</v>
      </c>
      <c r="CI52" s="65"/>
      <c r="CJ52" s="74" t="s">
        <v>1941</v>
      </c>
      <c r="CK52" s="73">
        <f t="shared" si="57"/>
        <v>0</v>
      </c>
      <c r="CL52" s="65"/>
      <c r="CM52" s="74" t="s">
        <v>1941</v>
      </c>
      <c r="CN52" s="73">
        <f t="shared" si="57"/>
        <v>0</v>
      </c>
      <c r="CO52" s="65"/>
      <c r="CP52" s="65"/>
    </row>
    <row r="53" spans="1:94">
      <c r="A53" s="49"/>
      <c r="B53" s="49"/>
      <c r="C53" s="17"/>
      <c r="D53" s="203"/>
      <c r="E53" s="89"/>
      <c r="F53" s="445">
        <f t="shared" si="47"/>
        <v>6</v>
      </c>
      <c r="G53" s="445">
        <f ca="1">VLOOKUP(H53,Equipos!$Q$1:$R$25,2,0)</f>
        <v>13</v>
      </c>
      <c r="H53" s="446">
        <f ca="1">TRUNC(INDEX(WORLDCUP!$X$4:$X$147,MATCH(ADMIN!K53,WORLDCUP!$DT$4:$DT$147,0))+INDEX(Horarios!$R$3:$R$86,MATCH(Horarios!$C$3,Horarios!$P$3:$P$86,0))/24)</f>
        <v>46196</v>
      </c>
      <c r="I53" s="48">
        <v>1</v>
      </c>
      <c r="J53" s="96"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51"/>
        <v>0</v>
      </c>
      <c r="R53" s="49"/>
      <c r="S53" s="78" t="s">
        <v>1942</v>
      </c>
      <c r="T53" s="79">
        <f t="shared" si="48"/>
        <v>0</v>
      </c>
      <c r="U53" s="65"/>
      <c r="V53" s="78" t="s">
        <v>1942</v>
      </c>
      <c r="W53" s="79">
        <f t="shared" si="58"/>
        <v>0</v>
      </c>
      <c r="X53" s="65"/>
      <c r="Y53" s="78" t="s">
        <v>1954</v>
      </c>
      <c r="Z53" s="79">
        <f t="shared" si="59"/>
        <v>0</v>
      </c>
      <c r="AA53" s="65"/>
      <c r="AB53" s="78" t="s">
        <v>1945</v>
      </c>
      <c r="AC53" s="79">
        <f t="shared" si="59"/>
        <v>0</v>
      </c>
      <c r="AD53" s="65"/>
      <c r="AE53" s="78" t="s">
        <v>1945</v>
      </c>
      <c r="AF53" s="79">
        <f t="shared" si="59"/>
        <v>0</v>
      </c>
      <c r="AG53" s="65"/>
      <c r="AH53" s="78" t="s">
        <v>1945</v>
      </c>
      <c r="AI53" s="79">
        <f t="shared" si="59"/>
        <v>0</v>
      </c>
      <c r="AJ53" s="65"/>
      <c r="AK53" s="78" t="s">
        <v>1945</v>
      </c>
      <c r="AL53" s="79">
        <f t="shared" si="59"/>
        <v>0</v>
      </c>
      <c r="AM53" s="65"/>
      <c r="AN53" s="78" t="s">
        <v>1953</v>
      </c>
      <c r="AO53" s="79">
        <f t="shared" si="59"/>
        <v>0</v>
      </c>
      <c r="AP53" s="65"/>
      <c r="AQ53" s="78" t="s">
        <v>1945</v>
      </c>
      <c r="AR53" s="79">
        <f t="shared" si="59"/>
        <v>0</v>
      </c>
      <c r="AS53" s="65"/>
      <c r="AT53" s="78" t="s">
        <v>1945</v>
      </c>
      <c r="AU53" s="79">
        <f t="shared" si="59"/>
        <v>0</v>
      </c>
      <c r="AV53" s="65"/>
      <c r="AW53" s="78" t="s">
        <v>1945</v>
      </c>
      <c r="AX53" s="79">
        <f t="shared" si="59"/>
        <v>0</v>
      </c>
      <c r="AY53" s="65"/>
      <c r="AZ53" s="78" t="s">
        <v>1945</v>
      </c>
      <c r="BA53" s="79">
        <f t="shared" si="59"/>
        <v>0</v>
      </c>
      <c r="BB53" s="65"/>
      <c r="BC53" s="78" t="s">
        <v>1953</v>
      </c>
      <c r="BD53" s="79">
        <f t="shared" si="59"/>
        <v>0</v>
      </c>
      <c r="BE53" s="65"/>
      <c r="BF53" s="78" t="s">
        <v>1996</v>
      </c>
      <c r="BG53" s="79">
        <f t="shared" si="59"/>
        <v>0</v>
      </c>
      <c r="BH53" s="65"/>
      <c r="BI53" s="78" t="s">
        <v>1945</v>
      </c>
      <c r="BJ53" s="79">
        <f t="shared" si="59"/>
        <v>0</v>
      </c>
      <c r="BK53" s="65"/>
      <c r="BL53" s="78" t="s">
        <v>1953</v>
      </c>
      <c r="BM53" s="79">
        <f t="shared" si="59"/>
        <v>0</v>
      </c>
      <c r="BN53" s="65"/>
      <c r="BO53" s="78" t="s">
        <v>1953</v>
      </c>
      <c r="BP53" s="79">
        <f t="shared" si="59"/>
        <v>0</v>
      </c>
      <c r="BQ53" s="65"/>
      <c r="BR53" s="78" t="s">
        <v>1944</v>
      </c>
      <c r="BS53" s="79">
        <f t="shared" si="59"/>
        <v>0</v>
      </c>
      <c r="BT53" s="65"/>
      <c r="BU53" s="78" t="s">
        <v>1945</v>
      </c>
      <c r="BV53" s="79">
        <f t="shared" si="59"/>
        <v>0</v>
      </c>
      <c r="BW53" s="65"/>
      <c r="BX53" s="78" t="s">
        <v>1953</v>
      </c>
      <c r="BY53" s="79">
        <f t="shared" si="59"/>
        <v>0</v>
      </c>
      <c r="BZ53" s="65"/>
      <c r="CA53" s="78" t="s">
        <v>1952</v>
      </c>
      <c r="CB53" s="79">
        <f t="shared" si="59"/>
        <v>0</v>
      </c>
      <c r="CC53" s="65"/>
      <c r="CD53" s="78" t="s">
        <v>1952</v>
      </c>
      <c r="CE53" s="79">
        <f t="shared" si="59"/>
        <v>0</v>
      </c>
      <c r="CF53" s="65"/>
      <c r="CG53" s="78" t="s">
        <v>1952</v>
      </c>
      <c r="CH53" s="79">
        <f t="shared" si="59"/>
        <v>0</v>
      </c>
      <c r="CI53" s="65"/>
      <c r="CJ53" s="78" t="s">
        <v>1954</v>
      </c>
      <c r="CK53" s="79">
        <f t="shared" si="57"/>
        <v>0</v>
      </c>
      <c r="CL53" s="65"/>
      <c r="CM53" s="78" t="s">
        <v>1945</v>
      </c>
      <c r="CN53" s="79">
        <f t="shared" si="57"/>
        <v>0</v>
      </c>
      <c r="CO53" s="65"/>
      <c r="CP53" s="65"/>
    </row>
    <row r="54" spans="1:94">
      <c r="A54" s="49"/>
      <c r="B54" s="49"/>
      <c r="C54" s="17"/>
      <c r="D54" s="203"/>
      <c r="E54" s="89"/>
      <c r="F54" s="445">
        <f t="shared" si="47"/>
        <v>6</v>
      </c>
      <c r="G54" s="445">
        <f ca="1">VLOOKUP(H54,Equipos!$Q$1:$R$25,2,0)</f>
        <v>14</v>
      </c>
      <c r="H54" s="446">
        <f ca="1">TRUNC(INDEX(WORLDCUP!$X$4:$X$147,MATCH(ADMIN!K54,WORLDCUP!$DT$4:$DT$147,0))+INDEX(Horarios!$R$3:$R$86,MATCH(Horarios!$C$3,Horarios!$P$3:$P$86,0))/24)</f>
        <v>46197</v>
      </c>
      <c r="I54" s="48">
        <v>1</v>
      </c>
      <c r="J54" s="95"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51"/>
        <v>0</v>
      </c>
      <c r="R54" s="49"/>
      <c r="S54" s="76" t="s">
        <v>1945</v>
      </c>
      <c r="T54" s="77">
        <f t="shared" si="48"/>
        <v>0</v>
      </c>
      <c r="U54" s="65"/>
      <c r="V54" s="76" t="s">
        <v>1992</v>
      </c>
      <c r="W54" s="77">
        <f t="shared" si="58"/>
        <v>0</v>
      </c>
      <c r="X54" s="65"/>
      <c r="Y54" s="76" t="s">
        <v>1942</v>
      </c>
      <c r="Z54" s="77">
        <f t="shared" si="59"/>
        <v>0</v>
      </c>
      <c r="AA54" s="65"/>
      <c r="AB54" s="76" t="s">
        <v>1943</v>
      </c>
      <c r="AC54" s="77">
        <f t="shared" si="59"/>
        <v>0</v>
      </c>
      <c r="AD54" s="65"/>
      <c r="AE54" s="76" t="s">
        <v>1943</v>
      </c>
      <c r="AF54" s="77">
        <f t="shared" si="59"/>
        <v>0</v>
      </c>
      <c r="AG54" s="65"/>
      <c r="AH54" s="76" t="s">
        <v>1954</v>
      </c>
      <c r="AI54" s="77">
        <f t="shared" si="59"/>
        <v>0</v>
      </c>
      <c r="AJ54" s="65"/>
      <c r="AK54" s="76" t="s">
        <v>1944</v>
      </c>
      <c r="AL54" s="77">
        <f t="shared" si="59"/>
        <v>0</v>
      </c>
      <c r="AM54" s="65"/>
      <c r="AN54" s="76" t="s">
        <v>1945</v>
      </c>
      <c r="AO54" s="77">
        <f t="shared" si="59"/>
        <v>0</v>
      </c>
      <c r="AP54" s="65"/>
      <c r="AQ54" s="76" t="s">
        <v>1944</v>
      </c>
      <c r="AR54" s="77">
        <f t="shared" si="59"/>
        <v>0</v>
      </c>
      <c r="AS54" s="65"/>
      <c r="AT54" s="76" t="s">
        <v>1954</v>
      </c>
      <c r="AU54" s="77">
        <f t="shared" si="59"/>
        <v>0</v>
      </c>
      <c r="AV54" s="65"/>
      <c r="AW54" s="76" t="s">
        <v>1948</v>
      </c>
      <c r="AX54" s="77">
        <f t="shared" si="59"/>
        <v>0</v>
      </c>
      <c r="AY54" s="65"/>
      <c r="AZ54" s="76" t="s">
        <v>1952</v>
      </c>
      <c r="BA54" s="77">
        <f t="shared" si="59"/>
        <v>0</v>
      </c>
      <c r="BB54" s="65"/>
      <c r="BC54" s="76" t="s">
        <v>1944</v>
      </c>
      <c r="BD54" s="77">
        <f t="shared" si="59"/>
        <v>0</v>
      </c>
      <c r="BE54" s="65"/>
      <c r="BF54" s="76" t="s">
        <v>1942</v>
      </c>
      <c r="BG54" s="77">
        <f t="shared" si="59"/>
        <v>0</v>
      </c>
      <c r="BH54" s="65"/>
      <c r="BI54" s="76" t="s">
        <v>1954</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
        <v>1953</v>
      </c>
      <c r="BM54" s="77">
        <f t="shared" si="60"/>
        <v>0</v>
      </c>
      <c r="BN54" s="65"/>
      <c r="BO54" s="76" t="s">
        <v>1942</v>
      </c>
      <c r="BP54" s="77">
        <f t="shared" si="60"/>
        <v>0</v>
      </c>
      <c r="BQ54" s="65"/>
      <c r="BR54" s="76" t="s">
        <v>1995</v>
      </c>
      <c r="BS54" s="77">
        <f t="shared" si="60"/>
        <v>0</v>
      </c>
      <c r="BT54" s="65"/>
      <c r="BU54" s="76" t="s">
        <v>1942</v>
      </c>
      <c r="BV54" s="77">
        <f t="shared" si="60"/>
        <v>0</v>
      </c>
      <c r="BW54" s="65"/>
      <c r="BX54" s="76" t="s">
        <v>1954</v>
      </c>
      <c r="BY54" s="77">
        <f t="shared" si="60"/>
        <v>0</v>
      </c>
      <c r="BZ54" s="65"/>
      <c r="CA54" s="76" t="s">
        <v>1944</v>
      </c>
      <c r="CB54" s="77">
        <f t="shared" si="60"/>
        <v>0</v>
      </c>
      <c r="CC54" s="65"/>
      <c r="CD54" s="76" t="s">
        <v>1954</v>
      </c>
      <c r="CE54" s="77">
        <f t="shared" si="60"/>
        <v>0</v>
      </c>
      <c r="CF54" s="65"/>
      <c r="CG54" s="76" t="s">
        <v>1945</v>
      </c>
      <c r="CH54" s="77">
        <f t="shared" si="60"/>
        <v>0</v>
      </c>
      <c r="CI54" s="65"/>
      <c r="CJ54" s="76" t="s">
        <v>1945</v>
      </c>
      <c r="CK54" s="77">
        <f t="shared" si="60"/>
        <v>0</v>
      </c>
      <c r="CL54" s="65"/>
      <c r="CM54" s="76" t="s">
        <v>1942</v>
      </c>
      <c r="CN54" s="77">
        <f t="shared" si="60"/>
        <v>0</v>
      </c>
      <c r="CO54" s="65"/>
      <c r="CP54" s="65"/>
    </row>
    <row r="55" spans="1:94">
      <c r="A55" s="49"/>
      <c r="B55" s="49"/>
      <c r="C55" s="17"/>
      <c r="D55" s="17"/>
      <c r="E55" s="89"/>
      <c r="F55" s="445">
        <f t="shared" si="47"/>
        <v>6</v>
      </c>
      <c r="G55" s="445">
        <f ca="1">VLOOKUP(H55,Equipos!$Q$1:$R$25,2,0)</f>
        <v>14</v>
      </c>
      <c r="H55" s="446">
        <f ca="1">TRUNC(INDEX(WORLDCUP!$X$4:$X$147,MATCH(ADMIN!K55,WORLDCUP!$DT$4:$DT$147,0))+INDEX(Horarios!$R$3:$R$86,MATCH(Horarios!$C$3,Horarios!$P$3:$P$86,0))/24)</f>
        <v>46197</v>
      </c>
      <c r="I55" s="48">
        <v>1</v>
      </c>
      <c r="J55" s="95"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51"/>
        <v>0</v>
      </c>
      <c r="R55" s="49"/>
      <c r="S55" s="74" t="s">
        <v>1948</v>
      </c>
      <c r="T55" s="73">
        <f t="shared" si="48"/>
        <v>0</v>
      </c>
      <c r="U55" s="65"/>
      <c r="V55" s="74" t="s">
        <v>1949</v>
      </c>
      <c r="W55" s="73">
        <f t="shared" si="58"/>
        <v>0</v>
      </c>
      <c r="X55" s="65"/>
      <c r="Y55" s="74" t="s">
        <v>1943</v>
      </c>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t="s">
        <v>1945</v>
      </c>
      <c r="AC55" s="73">
        <f t="shared" si="61"/>
        <v>0</v>
      </c>
      <c r="AD55" s="65"/>
      <c r="AE55" s="74" t="s">
        <v>1942</v>
      </c>
      <c r="AF55" s="73">
        <f t="shared" si="61"/>
        <v>0</v>
      </c>
      <c r="AG55" s="65"/>
      <c r="AH55" s="74" t="s">
        <v>1954</v>
      </c>
      <c r="AI55" s="73">
        <f t="shared" si="61"/>
        <v>0</v>
      </c>
      <c r="AJ55" s="65"/>
      <c r="AK55" s="74" t="s">
        <v>1944</v>
      </c>
      <c r="AL55" s="73">
        <f t="shared" si="61"/>
        <v>0</v>
      </c>
      <c r="AM55" s="65"/>
      <c r="AN55" s="74" t="s">
        <v>1952</v>
      </c>
      <c r="AO55" s="73">
        <f t="shared" si="61"/>
        <v>0</v>
      </c>
      <c r="AP55" s="65"/>
      <c r="AQ55" s="74" t="s">
        <v>1945</v>
      </c>
      <c r="AR55" s="73">
        <f t="shared" si="61"/>
        <v>0</v>
      </c>
      <c r="AS55" s="65"/>
      <c r="AT55" s="74" t="s">
        <v>1954</v>
      </c>
      <c r="AU55" s="73">
        <f t="shared" si="61"/>
        <v>0</v>
      </c>
      <c r="AV55" s="65"/>
      <c r="AW55" s="74" t="s">
        <v>1943</v>
      </c>
      <c r="AX55" s="73">
        <f t="shared" si="61"/>
        <v>0</v>
      </c>
      <c r="AY55" s="65"/>
      <c r="AZ55" s="74" t="s">
        <v>1942</v>
      </c>
      <c r="BA55" s="73">
        <f t="shared" si="61"/>
        <v>0</v>
      </c>
      <c r="BB55" s="65"/>
      <c r="BC55" s="74" t="s">
        <v>1942</v>
      </c>
      <c r="BD55" s="73">
        <f t="shared" si="61"/>
        <v>0</v>
      </c>
      <c r="BE55" s="65"/>
      <c r="BF55" s="74" t="s">
        <v>1942</v>
      </c>
      <c r="BG55" s="73">
        <f t="shared" si="61"/>
        <v>0</v>
      </c>
      <c r="BH55" s="65"/>
      <c r="BI55" s="74" t="s">
        <v>1945</v>
      </c>
      <c r="BJ55" s="73">
        <f t="shared" si="61"/>
        <v>0</v>
      </c>
      <c r="BK55" s="65"/>
      <c r="BL55" s="74" t="s">
        <v>1945</v>
      </c>
      <c r="BM55" s="73">
        <f t="shared" si="61"/>
        <v>0</v>
      </c>
      <c r="BN55" s="65"/>
      <c r="BO55" s="74" t="s">
        <v>1944</v>
      </c>
      <c r="BP55" s="73">
        <f t="shared" si="61"/>
        <v>0</v>
      </c>
      <c r="BQ55" s="65"/>
      <c r="BR55" s="74" t="s">
        <v>1952</v>
      </c>
      <c r="BS55" s="73">
        <f t="shared" si="61"/>
        <v>0</v>
      </c>
      <c r="BT55" s="65"/>
      <c r="BU55" s="74" t="s">
        <v>1944</v>
      </c>
      <c r="BV55" s="73">
        <f t="shared" si="61"/>
        <v>0</v>
      </c>
      <c r="BW55" s="65"/>
      <c r="BX55" s="74" t="s">
        <v>1954</v>
      </c>
      <c r="BY55" s="73">
        <f t="shared" si="61"/>
        <v>0</v>
      </c>
      <c r="BZ55" s="65"/>
      <c r="CA55" s="74" t="s">
        <v>1941</v>
      </c>
      <c r="CB55" s="73">
        <f t="shared" si="61"/>
        <v>0</v>
      </c>
      <c r="CC55" s="65"/>
      <c r="CD55" s="74" t="s">
        <v>1952</v>
      </c>
      <c r="CE55" s="73">
        <f t="shared" si="61"/>
        <v>0</v>
      </c>
      <c r="CF55" s="65"/>
      <c r="CG55" s="74" t="s">
        <v>1944</v>
      </c>
      <c r="CH55" s="73">
        <f t="shared" si="61"/>
        <v>0</v>
      </c>
      <c r="CI55" s="65"/>
      <c r="CJ55" s="74" t="s">
        <v>1942</v>
      </c>
      <c r="CK55" s="73">
        <f t="shared" si="60"/>
        <v>0</v>
      </c>
      <c r="CL55" s="65"/>
      <c r="CM55" s="74" t="s">
        <v>1945</v>
      </c>
      <c r="CN55" s="73">
        <f t="shared" si="60"/>
        <v>0</v>
      </c>
      <c r="CO55" s="65"/>
      <c r="CP55" s="65"/>
    </row>
    <row r="56" spans="1:94">
      <c r="A56" s="49"/>
      <c r="B56" s="49"/>
      <c r="C56" s="119" t="str">
        <f>"MAX. "&amp;K5</f>
        <v>MAX. FASE DE GRUPOS</v>
      </c>
      <c r="D56" s="122">
        <f>SUM($D$8:$D$10)*SUM($I$6:$I$77)+SUM($D$11:$D$14)*12+$D$15*32</f>
        <v>684</v>
      </c>
      <c r="E56" s="111"/>
      <c r="F56" s="445">
        <f t="shared" si="47"/>
        <v>6</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51"/>
        <v>0</v>
      </c>
      <c r="R56" s="49"/>
      <c r="S56" s="74" t="s">
        <v>1948</v>
      </c>
      <c r="T56" s="73">
        <f t="shared" si="48"/>
        <v>0</v>
      </c>
      <c r="U56" s="65"/>
      <c r="V56" s="74" t="s">
        <v>1992</v>
      </c>
      <c r="W56" s="73">
        <f t="shared" si="58"/>
        <v>0</v>
      </c>
      <c r="X56" s="65"/>
      <c r="Y56" s="74" t="s">
        <v>1943</v>
      </c>
      <c r="Z56" s="73">
        <f t="shared" si="61"/>
        <v>0</v>
      </c>
      <c r="AA56" s="65"/>
      <c r="AB56" s="74" t="s">
        <v>1954</v>
      </c>
      <c r="AC56" s="73">
        <f t="shared" si="61"/>
        <v>0</v>
      </c>
      <c r="AD56" s="65"/>
      <c r="AE56" s="74" t="s">
        <v>1995</v>
      </c>
      <c r="AF56" s="73">
        <f t="shared" si="61"/>
        <v>0</v>
      </c>
      <c r="AG56" s="65"/>
      <c r="AH56" s="74" t="s">
        <v>1995</v>
      </c>
      <c r="AI56" s="73">
        <f t="shared" si="61"/>
        <v>0</v>
      </c>
      <c r="AJ56" s="65"/>
      <c r="AK56" s="74" t="s">
        <v>1948</v>
      </c>
      <c r="AL56" s="73">
        <f t="shared" si="61"/>
        <v>0</v>
      </c>
      <c r="AM56" s="65"/>
      <c r="AN56" s="74" t="s">
        <v>1948</v>
      </c>
      <c r="AO56" s="73">
        <f t="shared" si="61"/>
        <v>0</v>
      </c>
      <c r="AP56" s="65"/>
      <c r="AQ56" s="74" t="s">
        <v>1943</v>
      </c>
      <c r="AR56" s="73">
        <f t="shared" si="61"/>
        <v>0</v>
      </c>
      <c r="AS56" s="65"/>
      <c r="AT56" s="74" t="s">
        <v>1942</v>
      </c>
      <c r="AU56" s="73">
        <f t="shared" si="61"/>
        <v>0</v>
      </c>
      <c r="AV56" s="65"/>
      <c r="AW56" s="74" t="s">
        <v>1948</v>
      </c>
      <c r="AX56" s="73">
        <f t="shared" si="61"/>
        <v>0</v>
      </c>
      <c r="AY56" s="65"/>
      <c r="AZ56" s="74" t="s">
        <v>1948</v>
      </c>
      <c r="BA56" s="73">
        <f t="shared" si="61"/>
        <v>0</v>
      </c>
      <c r="BB56" s="65"/>
      <c r="BC56" s="74" t="s">
        <v>1942</v>
      </c>
      <c r="BD56" s="73">
        <f t="shared" si="61"/>
        <v>0</v>
      </c>
      <c r="BE56" s="65"/>
      <c r="BF56" s="74" t="s">
        <v>1948</v>
      </c>
      <c r="BG56" s="73">
        <f t="shared" si="61"/>
        <v>0</v>
      </c>
      <c r="BH56" s="65"/>
      <c r="BI56" s="74" t="s">
        <v>1943</v>
      </c>
      <c r="BJ56" s="73">
        <f t="shared" si="61"/>
        <v>0</v>
      </c>
      <c r="BK56" s="65"/>
      <c r="BL56" s="74" t="s">
        <v>1943</v>
      </c>
      <c r="BM56" s="73">
        <f t="shared" si="61"/>
        <v>0</v>
      </c>
      <c r="BN56" s="65"/>
      <c r="BO56" s="74" t="s">
        <v>1942</v>
      </c>
      <c r="BP56" s="73">
        <f t="shared" si="61"/>
        <v>0</v>
      </c>
      <c r="BQ56" s="65"/>
      <c r="BR56" s="74" t="s">
        <v>1952</v>
      </c>
      <c r="BS56" s="73">
        <f t="shared" si="61"/>
        <v>0</v>
      </c>
      <c r="BT56" s="65"/>
      <c r="BU56" s="74" t="s">
        <v>1941</v>
      </c>
      <c r="BV56" s="73">
        <f t="shared" si="61"/>
        <v>0</v>
      </c>
      <c r="BW56" s="65"/>
      <c r="BX56" s="74" t="s">
        <v>1995</v>
      </c>
      <c r="BY56" s="73">
        <f t="shared" si="61"/>
        <v>0</v>
      </c>
      <c r="BZ56" s="65"/>
      <c r="CA56" s="74" t="s">
        <v>1995</v>
      </c>
      <c r="CB56" s="73">
        <f t="shared" si="61"/>
        <v>0</v>
      </c>
      <c r="CC56" s="65"/>
      <c r="CD56" s="74" t="s">
        <v>1943</v>
      </c>
      <c r="CE56" s="73">
        <f t="shared" si="61"/>
        <v>0</v>
      </c>
      <c r="CF56" s="65"/>
      <c r="CG56" s="74" t="s">
        <v>1954</v>
      </c>
      <c r="CH56" s="73">
        <f t="shared" si="61"/>
        <v>0</v>
      </c>
      <c r="CI56" s="65"/>
      <c r="CJ56" s="74" t="s">
        <v>1948</v>
      </c>
      <c r="CK56" s="73">
        <f t="shared" si="60"/>
        <v>0</v>
      </c>
      <c r="CL56" s="65"/>
      <c r="CM56" s="74" t="s">
        <v>1948</v>
      </c>
      <c r="CN56" s="73">
        <f t="shared" si="60"/>
        <v>0</v>
      </c>
      <c r="CO56" s="65"/>
      <c r="CP56" s="65"/>
    </row>
    <row r="57" spans="1:94">
      <c r="A57" s="49"/>
      <c r="B57" s="49"/>
      <c r="C57" s="120" t="str">
        <f>"MAX. "&amp;UPPER(Idiomas!D260)</f>
        <v>MAX. DIECISEISAVOS DE FINAL</v>
      </c>
      <c r="D57" s="123">
        <f>SUM($D$16:$D$18)*SUM($I$164:$I$179)+$D$19*16</f>
        <v>208</v>
      </c>
      <c r="E57" s="111"/>
      <c r="F57" s="445">
        <f t="shared" si="47"/>
        <v>6</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51"/>
        <v>0</v>
      </c>
      <c r="R57" s="49"/>
      <c r="S57" s="74" t="s">
        <v>1946</v>
      </c>
      <c r="T57" s="73">
        <f t="shared" si="48"/>
        <v>0</v>
      </c>
      <c r="U57" s="65"/>
      <c r="V57" s="74" t="s">
        <v>1997</v>
      </c>
      <c r="W57" s="73">
        <f t="shared" si="58"/>
        <v>0</v>
      </c>
      <c r="X57" s="65"/>
      <c r="Y57" s="74" t="s">
        <v>1948</v>
      </c>
      <c r="Z57" s="73">
        <f t="shared" si="61"/>
        <v>0</v>
      </c>
      <c r="AA57" s="65"/>
      <c r="AB57" s="74" t="s">
        <v>1943</v>
      </c>
      <c r="AC57" s="73">
        <f t="shared" si="61"/>
        <v>0</v>
      </c>
      <c r="AD57" s="65"/>
      <c r="AE57" s="74" t="s">
        <v>1950</v>
      </c>
      <c r="AF57" s="73">
        <f t="shared" si="61"/>
        <v>0</v>
      </c>
      <c r="AG57" s="65"/>
      <c r="AH57" s="74" t="s">
        <v>1942</v>
      </c>
      <c r="AI57" s="73">
        <f t="shared" si="61"/>
        <v>0</v>
      </c>
      <c r="AJ57" s="65"/>
      <c r="AK57" s="74" t="s">
        <v>1941</v>
      </c>
      <c r="AL57" s="73">
        <f t="shared" si="61"/>
        <v>0</v>
      </c>
      <c r="AM57" s="65"/>
      <c r="AN57" s="74" t="s">
        <v>1941</v>
      </c>
      <c r="AO57" s="73">
        <f t="shared" si="61"/>
        <v>0</v>
      </c>
      <c r="AP57" s="65"/>
      <c r="AQ57" s="74" t="s">
        <v>1941</v>
      </c>
      <c r="AR57" s="73">
        <f t="shared" si="61"/>
        <v>0</v>
      </c>
      <c r="AS57" s="65"/>
      <c r="AT57" s="74" t="s">
        <v>1941</v>
      </c>
      <c r="AU57" s="73">
        <f t="shared" si="61"/>
        <v>0</v>
      </c>
      <c r="AV57" s="65"/>
      <c r="AW57" s="74" t="s">
        <v>1942</v>
      </c>
      <c r="AX57" s="73">
        <f t="shared" si="61"/>
        <v>0</v>
      </c>
      <c r="AY57" s="65"/>
      <c r="AZ57" s="74" t="s">
        <v>1944</v>
      </c>
      <c r="BA57" s="73">
        <f t="shared" si="61"/>
        <v>0</v>
      </c>
      <c r="BB57" s="65"/>
      <c r="BC57" s="74" t="s">
        <v>1995</v>
      </c>
      <c r="BD57" s="73">
        <f t="shared" si="61"/>
        <v>0</v>
      </c>
      <c r="BE57" s="65"/>
      <c r="BF57" s="74" t="s">
        <v>1948</v>
      </c>
      <c r="BG57" s="73">
        <f t="shared" si="61"/>
        <v>0</v>
      </c>
      <c r="BH57" s="65"/>
      <c r="BI57" s="74" t="s">
        <v>1941</v>
      </c>
      <c r="BJ57" s="73">
        <f t="shared" si="61"/>
        <v>0</v>
      </c>
      <c r="BK57" s="65"/>
      <c r="BL57" s="74" t="s">
        <v>1942</v>
      </c>
      <c r="BM57" s="73">
        <f t="shared" si="61"/>
        <v>0</v>
      </c>
      <c r="BN57" s="65"/>
      <c r="BO57" s="74" t="s">
        <v>1944</v>
      </c>
      <c r="BP57" s="73">
        <f t="shared" si="61"/>
        <v>0</v>
      </c>
      <c r="BQ57" s="65"/>
      <c r="BR57" s="74" t="s">
        <v>1949</v>
      </c>
      <c r="BS57" s="73">
        <f t="shared" si="61"/>
        <v>0</v>
      </c>
      <c r="BT57" s="65"/>
      <c r="BU57" s="74" t="s">
        <v>1941</v>
      </c>
      <c r="BV57" s="73">
        <f t="shared" si="61"/>
        <v>0</v>
      </c>
      <c r="BW57" s="65"/>
      <c r="BX57" s="74" t="s">
        <v>1943</v>
      </c>
      <c r="BY57" s="73">
        <f t="shared" si="61"/>
        <v>0</v>
      </c>
      <c r="BZ57" s="65"/>
      <c r="CA57" s="74" t="s">
        <v>1944</v>
      </c>
      <c r="CB57" s="73">
        <f t="shared" si="61"/>
        <v>0</v>
      </c>
      <c r="CC57" s="65"/>
      <c r="CD57" s="74" t="s">
        <v>1941</v>
      </c>
      <c r="CE57" s="73">
        <f t="shared" si="61"/>
        <v>0</v>
      </c>
      <c r="CF57" s="65"/>
      <c r="CG57" s="74" t="s">
        <v>1953</v>
      </c>
      <c r="CH57" s="73">
        <f t="shared" si="61"/>
        <v>0</v>
      </c>
      <c r="CI57" s="65"/>
      <c r="CJ57" s="74" t="s">
        <v>1941</v>
      </c>
      <c r="CK57" s="73">
        <f t="shared" si="60"/>
        <v>0</v>
      </c>
      <c r="CL57" s="65"/>
      <c r="CM57" s="74" t="s">
        <v>1941</v>
      </c>
      <c r="CN57" s="73">
        <f t="shared" si="60"/>
        <v>0</v>
      </c>
      <c r="CO57" s="65"/>
      <c r="CP57" s="65"/>
    </row>
    <row r="58" spans="1:94">
      <c r="A58" s="49"/>
      <c r="B58" s="49"/>
      <c r="C58" s="121" t="str">
        <f>"MAX. "&amp;UPPER(Idiomas!D261)</f>
        <v>MAX. OCTAVOS DE FINAL</v>
      </c>
      <c r="D58" s="124">
        <f>SUM($D$20:$D$22)*SUM($I$200:$I$207)+$D$23*8</f>
        <v>136</v>
      </c>
      <c r="E58" s="111"/>
      <c r="F58" s="445">
        <f t="shared" si="47"/>
        <v>6</v>
      </c>
      <c r="G58" s="445">
        <f ca="1">VLOOKUP(H58,Equipos!$Q$1:$R$25,2,0)</f>
        <v>14</v>
      </c>
      <c r="H58" s="446">
        <f ca="1">TRUNC(INDEX(WORLDCUP!$X$4:$X$147,MATCH(ADMIN!K58,WORLDCUP!$DT$4:$DT$147,0))+INDEX(Horarios!$R$3:$R$86,MATCH(Horarios!$C$3,Horarios!$P$3:$P$86,0))/24)</f>
        <v>46197</v>
      </c>
      <c r="I58" s="48">
        <v>1</v>
      </c>
      <c r="J58" s="95"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51"/>
        <v>0</v>
      </c>
      <c r="R58" s="49"/>
      <c r="S58" s="74" t="s">
        <v>1952</v>
      </c>
      <c r="T58" s="73">
        <f t="shared" si="48"/>
        <v>0</v>
      </c>
      <c r="U58" s="65"/>
      <c r="V58" s="74" t="s">
        <v>1997</v>
      </c>
      <c r="W58" s="73">
        <f t="shared" si="58"/>
        <v>0</v>
      </c>
      <c r="X58" s="65"/>
      <c r="Y58" s="74" t="s">
        <v>1945</v>
      </c>
      <c r="Z58" s="73">
        <f t="shared" si="61"/>
        <v>0</v>
      </c>
      <c r="AA58" s="65"/>
      <c r="AB58" s="74" t="s">
        <v>1996</v>
      </c>
      <c r="AC58" s="73">
        <f t="shared" si="61"/>
        <v>0</v>
      </c>
      <c r="AD58" s="65"/>
      <c r="AE58" s="74" t="s">
        <v>1952</v>
      </c>
      <c r="AF58" s="73">
        <f t="shared" si="61"/>
        <v>0</v>
      </c>
      <c r="AG58" s="65"/>
      <c r="AH58" s="74" t="s">
        <v>1945</v>
      </c>
      <c r="AI58" s="73">
        <f t="shared" si="61"/>
        <v>0</v>
      </c>
      <c r="AJ58" s="65"/>
      <c r="AK58" s="74" t="s">
        <v>1945</v>
      </c>
      <c r="AL58" s="73">
        <f t="shared" si="61"/>
        <v>0</v>
      </c>
      <c r="AM58" s="65"/>
      <c r="AN58" s="74" t="s">
        <v>1952</v>
      </c>
      <c r="AO58" s="73">
        <f t="shared" si="61"/>
        <v>0</v>
      </c>
      <c r="AP58" s="65"/>
      <c r="AQ58" s="74" t="s">
        <v>1945</v>
      </c>
      <c r="AR58" s="73">
        <f t="shared" si="61"/>
        <v>0</v>
      </c>
      <c r="AS58" s="65"/>
      <c r="AT58" s="74" t="s">
        <v>1952</v>
      </c>
      <c r="AU58" s="73">
        <f t="shared" si="61"/>
        <v>0</v>
      </c>
      <c r="AV58" s="65"/>
      <c r="AW58" s="74" t="s">
        <v>1952</v>
      </c>
      <c r="AX58" s="73">
        <f t="shared" si="61"/>
        <v>0</v>
      </c>
      <c r="AY58" s="65"/>
      <c r="AZ58" s="74" t="s">
        <v>1945</v>
      </c>
      <c r="BA58" s="73">
        <f t="shared" si="61"/>
        <v>0</v>
      </c>
      <c r="BB58" s="65"/>
      <c r="BC58" s="74" t="s">
        <v>1952</v>
      </c>
      <c r="BD58" s="73">
        <f t="shared" si="61"/>
        <v>0</v>
      </c>
      <c r="BE58" s="65"/>
      <c r="BF58" s="74" t="s">
        <v>1954</v>
      </c>
      <c r="BG58" s="73">
        <f t="shared" si="61"/>
        <v>0</v>
      </c>
      <c r="BH58" s="65"/>
      <c r="BI58" s="74" t="s">
        <v>1954</v>
      </c>
      <c r="BJ58" s="73">
        <f t="shared" si="61"/>
        <v>0</v>
      </c>
      <c r="BK58" s="65"/>
      <c r="BL58" s="74" t="s">
        <v>1992</v>
      </c>
      <c r="BM58" s="73">
        <f t="shared" si="61"/>
        <v>0</v>
      </c>
      <c r="BN58" s="65"/>
      <c r="BO58" s="74" t="s">
        <v>1954</v>
      </c>
      <c r="BP58" s="73">
        <f t="shared" si="61"/>
        <v>0</v>
      </c>
      <c r="BQ58" s="65"/>
      <c r="BR58" s="74" t="s">
        <v>1952</v>
      </c>
      <c r="BS58" s="73">
        <f t="shared" si="61"/>
        <v>0</v>
      </c>
      <c r="BT58" s="65"/>
      <c r="BU58" s="74" t="s">
        <v>1945</v>
      </c>
      <c r="BV58" s="73">
        <f t="shared" si="61"/>
        <v>0</v>
      </c>
      <c r="BW58" s="65"/>
      <c r="BX58" s="74" t="s">
        <v>1954</v>
      </c>
      <c r="BY58" s="73">
        <f t="shared" si="61"/>
        <v>0</v>
      </c>
      <c r="BZ58" s="65"/>
      <c r="CA58" s="74" t="s">
        <v>1941</v>
      </c>
      <c r="CB58" s="73">
        <f t="shared" si="61"/>
        <v>0</v>
      </c>
      <c r="CC58" s="65"/>
      <c r="CD58" s="74" t="s">
        <v>1952</v>
      </c>
      <c r="CE58" s="73">
        <f t="shared" si="61"/>
        <v>0</v>
      </c>
      <c r="CF58" s="65"/>
      <c r="CG58" s="74" t="s">
        <v>1945</v>
      </c>
      <c r="CH58" s="73">
        <f t="shared" si="61"/>
        <v>0</v>
      </c>
      <c r="CI58" s="65"/>
      <c r="CJ58" s="74" t="s">
        <v>1952</v>
      </c>
      <c r="CK58" s="73">
        <f t="shared" si="60"/>
        <v>0</v>
      </c>
      <c r="CL58" s="65"/>
      <c r="CM58" s="74" t="s">
        <v>1945</v>
      </c>
      <c r="CN58" s="73">
        <f t="shared" si="60"/>
        <v>0</v>
      </c>
      <c r="CO58" s="65"/>
      <c r="CP58" s="65"/>
    </row>
    <row r="59" spans="1:94">
      <c r="A59" s="49"/>
      <c r="B59" s="49"/>
      <c r="C59" s="120" t="str">
        <f>"MAX. "&amp;UPPER(Idiomas!D262)</f>
        <v>MAX. CUARTOS DE FINAL</v>
      </c>
      <c r="D59" s="123">
        <f>SUM($D$24:$D$26)*SUM($I$220:$I$223)+$D$27*4</f>
        <v>88</v>
      </c>
      <c r="E59" s="111"/>
      <c r="F59" s="445">
        <f t="shared" si="47"/>
        <v>6</v>
      </c>
      <c r="G59" s="445">
        <f ca="1">VLOOKUP(H59,Equipos!$Q$1:$R$25,2,0)</f>
        <v>14</v>
      </c>
      <c r="H59" s="446">
        <f ca="1">TRUNC(INDEX(WORLDCUP!$X$4:$X$147,MATCH(ADMIN!K59,WORLDCUP!$DT$4:$DT$147,0))+INDEX(Horarios!$R$3:$R$86,MATCH(Horarios!$C$3,Horarios!$P$3:$P$86,0))/24)</f>
        <v>46197</v>
      </c>
      <c r="I59" s="48">
        <v>1</v>
      </c>
      <c r="J59" s="95"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51"/>
        <v>0</v>
      </c>
      <c r="R59" s="49"/>
      <c r="S59" s="74" t="s">
        <v>1941</v>
      </c>
      <c r="T59" s="73">
        <f t="shared" si="48"/>
        <v>0</v>
      </c>
      <c r="U59" s="65"/>
      <c r="V59" s="74" t="s">
        <v>1942</v>
      </c>
      <c r="W59" s="73">
        <f t="shared" si="58"/>
        <v>0</v>
      </c>
      <c r="X59" s="65"/>
      <c r="Y59" s="74" t="s">
        <v>1943</v>
      </c>
      <c r="Z59" s="73">
        <f t="shared" si="61"/>
        <v>0</v>
      </c>
      <c r="AA59" s="65"/>
      <c r="AB59" s="74" t="s">
        <v>1941</v>
      </c>
      <c r="AC59" s="73">
        <f t="shared" si="61"/>
        <v>0</v>
      </c>
      <c r="AD59" s="65"/>
      <c r="AE59" s="74" t="s">
        <v>1949</v>
      </c>
      <c r="AF59" s="73">
        <f t="shared" si="61"/>
        <v>0</v>
      </c>
      <c r="AG59" s="65"/>
      <c r="AH59" s="74" t="s">
        <v>1941</v>
      </c>
      <c r="AI59" s="73">
        <f t="shared" si="61"/>
        <v>0</v>
      </c>
      <c r="AJ59" s="65"/>
      <c r="AK59" s="74" t="s">
        <v>1941</v>
      </c>
      <c r="AL59" s="73">
        <f t="shared" si="61"/>
        <v>0</v>
      </c>
      <c r="AM59" s="65"/>
      <c r="AN59" s="74" t="s">
        <v>1949</v>
      </c>
      <c r="AO59" s="73">
        <f t="shared" si="61"/>
        <v>0</v>
      </c>
      <c r="AP59" s="65"/>
      <c r="AQ59" s="74" t="s">
        <v>1948</v>
      </c>
      <c r="AR59" s="73">
        <f t="shared" si="61"/>
        <v>0</v>
      </c>
      <c r="AS59" s="65"/>
      <c r="AT59" s="74" t="s">
        <v>1949</v>
      </c>
      <c r="AU59" s="73">
        <f t="shared" si="61"/>
        <v>0</v>
      </c>
      <c r="AV59" s="65"/>
      <c r="AW59" s="74" t="s">
        <v>1949</v>
      </c>
      <c r="AX59" s="73">
        <f t="shared" si="61"/>
        <v>0</v>
      </c>
      <c r="AY59" s="65"/>
      <c r="AZ59" s="74" t="s">
        <v>1949</v>
      </c>
      <c r="BA59" s="73">
        <f t="shared" si="61"/>
        <v>0</v>
      </c>
      <c r="BB59" s="65"/>
      <c r="BC59" s="74" t="s">
        <v>1942</v>
      </c>
      <c r="BD59" s="73">
        <f t="shared" si="61"/>
        <v>0</v>
      </c>
      <c r="BE59" s="65"/>
      <c r="BF59" s="74" t="s">
        <v>1949</v>
      </c>
      <c r="BG59" s="73">
        <f t="shared" si="61"/>
        <v>0</v>
      </c>
      <c r="BH59" s="65"/>
      <c r="BI59" s="74" t="s">
        <v>1949</v>
      </c>
      <c r="BJ59" s="73">
        <f t="shared" si="61"/>
        <v>0</v>
      </c>
      <c r="BK59" s="65"/>
      <c r="BL59" s="74" t="s">
        <v>1948</v>
      </c>
      <c r="BM59" s="73">
        <f t="shared" si="61"/>
        <v>0</v>
      </c>
      <c r="BN59" s="65"/>
      <c r="BO59" s="74" t="s">
        <v>1949</v>
      </c>
      <c r="BP59" s="73">
        <f t="shared" si="61"/>
        <v>0</v>
      </c>
      <c r="BQ59" s="65"/>
      <c r="BR59" s="74" t="s">
        <v>1949</v>
      </c>
      <c r="BS59" s="73">
        <f t="shared" si="61"/>
        <v>0</v>
      </c>
      <c r="BT59" s="65"/>
      <c r="BU59" s="74" t="s">
        <v>1941</v>
      </c>
      <c r="BV59" s="73">
        <f t="shared" si="61"/>
        <v>0</v>
      </c>
      <c r="BW59" s="65"/>
      <c r="BX59" s="74" t="s">
        <v>1941</v>
      </c>
      <c r="BY59" s="73">
        <f t="shared" si="61"/>
        <v>0</v>
      </c>
      <c r="BZ59" s="65"/>
      <c r="CA59" s="74" t="s">
        <v>1942</v>
      </c>
      <c r="CB59" s="73">
        <f t="shared" si="61"/>
        <v>0</v>
      </c>
      <c r="CC59" s="65"/>
      <c r="CD59" s="74" t="s">
        <v>1949</v>
      </c>
      <c r="CE59" s="73">
        <f t="shared" si="61"/>
        <v>0</v>
      </c>
      <c r="CF59" s="65"/>
      <c r="CG59" s="74" t="s">
        <v>1947</v>
      </c>
      <c r="CH59" s="73">
        <f t="shared" si="61"/>
        <v>0</v>
      </c>
      <c r="CI59" s="65"/>
      <c r="CJ59" s="74" t="s">
        <v>1941</v>
      </c>
      <c r="CK59" s="73">
        <f t="shared" si="60"/>
        <v>0</v>
      </c>
      <c r="CL59" s="65"/>
      <c r="CM59" s="74" t="s">
        <v>1949</v>
      </c>
      <c r="CN59" s="73">
        <f t="shared" si="60"/>
        <v>0</v>
      </c>
      <c r="CO59" s="65"/>
      <c r="CP59" s="65"/>
    </row>
    <row r="60" spans="1:94">
      <c r="A60" s="49"/>
      <c r="B60" s="49"/>
      <c r="C60" s="121" t="str">
        <f>"MAX. "&amp;UPPER(Idiomas!D263)</f>
        <v>MAX. SEMIFINALES</v>
      </c>
      <c r="D60" s="124">
        <f>SUM($D$28:$D$30)*SUM($I$232:$I$233)+$D$31*2+$D$32*2</f>
        <v>66</v>
      </c>
      <c r="E60" s="111"/>
      <c r="F60" s="445">
        <f t="shared" si="47"/>
        <v>6</v>
      </c>
      <c r="G60" s="445">
        <f ca="1">VLOOKUP(H60,Equipos!$Q$1:$R$25,2,0)</f>
        <v>15</v>
      </c>
      <c r="H60" s="446">
        <f ca="1">TRUNC(INDEX(WORLDCUP!$X$4:$X$147,MATCH(ADMIN!K60,WORLDCUP!$DT$4:$DT$147,0))+INDEX(Horarios!$R$3:$R$86,MATCH(Horarios!$C$3,Horarios!$P$3:$P$86,0))/24)</f>
        <v>46198</v>
      </c>
      <c r="I60" s="48">
        <v>1</v>
      </c>
      <c r="J60" s="96"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51"/>
        <v>0</v>
      </c>
      <c r="R60" s="49"/>
      <c r="S60" s="76" t="s">
        <v>1950</v>
      </c>
      <c r="T60" s="77">
        <f t="shared" si="48"/>
        <v>0</v>
      </c>
      <c r="U60" s="65"/>
      <c r="V60" s="76" t="s">
        <v>1946</v>
      </c>
      <c r="W60" s="77">
        <f t="shared" si="58"/>
        <v>0</v>
      </c>
      <c r="X60" s="65"/>
      <c r="Y60" s="76" t="s">
        <v>1948</v>
      </c>
      <c r="Z60" s="77">
        <f t="shared" si="61"/>
        <v>0</v>
      </c>
      <c r="AA60" s="65"/>
      <c r="AB60" s="76" t="s">
        <v>1943</v>
      </c>
      <c r="AC60" s="77">
        <f t="shared" si="61"/>
        <v>0</v>
      </c>
      <c r="AD60" s="65"/>
      <c r="AE60" s="76" t="s">
        <v>1942</v>
      </c>
      <c r="AF60" s="77">
        <f t="shared" si="61"/>
        <v>0</v>
      </c>
      <c r="AG60" s="65"/>
      <c r="AH60" s="76" t="s">
        <v>1942</v>
      </c>
      <c r="AI60" s="77">
        <f t="shared" si="61"/>
        <v>0</v>
      </c>
      <c r="AJ60" s="65"/>
      <c r="AK60" s="76" t="s">
        <v>1948</v>
      </c>
      <c r="AL60" s="77">
        <f t="shared" si="61"/>
        <v>0</v>
      </c>
      <c r="AM60" s="65"/>
      <c r="AN60" s="76" t="s">
        <v>1948</v>
      </c>
      <c r="AO60" s="77">
        <f t="shared" si="61"/>
        <v>0</v>
      </c>
      <c r="AP60" s="65"/>
      <c r="AQ60" s="76" t="s">
        <v>1948</v>
      </c>
      <c r="AR60" s="77">
        <f t="shared" si="61"/>
        <v>0</v>
      </c>
      <c r="AS60" s="65"/>
      <c r="AT60" s="76" t="s">
        <v>1954</v>
      </c>
      <c r="AU60" s="77">
        <f t="shared" si="61"/>
        <v>0</v>
      </c>
      <c r="AV60" s="65"/>
      <c r="AW60" s="76" t="s">
        <v>1954</v>
      </c>
      <c r="AX60" s="77">
        <f t="shared" si="61"/>
        <v>0</v>
      </c>
      <c r="AY60" s="65"/>
      <c r="AZ60" s="76" t="s">
        <v>1948</v>
      </c>
      <c r="BA60" s="77">
        <f t="shared" si="61"/>
        <v>0</v>
      </c>
      <c r="BB60" s="65"/>
      <c r="BC60" s="76" t="s">
        <v>1943</v>
      </c>
      <c r="BD60" s="77">
        <f t="shared" si="61"/>
        <v>0</v>
      </c>
      <c r="BE60" s="65"/>
      <c r="BF60" s="76" t="s">
        <v>1948</v>
      </c>
      <c r="BG60" s="77">
        <f t="shared" si="61"/>
        <v>0</v>
      </c>
      <c r="BH60" s="65"/>
      <c r="BI60" s="76" t="s">
        <v>1942</v>
      </c>
      <c r="BJ60" s="77">
        <f t="shared" si="61"/>
        <v>0</v>
      </c>
      <c r="BK60" s="65"/>
      <c r="BL60" s="76" t="s">
        <v>1993</v>
      </c>
      <c r="BM60" s="77">
        <f t="shared" si="61"/>
        <v>0</v>
      </c>
      <c r="BN60" s="65"/>
      <c r="BO60" s="76" t="s">
        <v>1945</v>
      </c>
      <c r="BP60" s="77">
        <f t="shared" si="61"/>
        <v>0</v>
      </c>
      <c r="BQ60" s="65"/>
      <c r="BR60" s="76" t="s">
        <v>1995</v>
      </c>
      <c r="BS60" s="77">
        <f t="shared" si="61"/>
        <v>0</v>
      </c>
      <c r="BT60" s="65"/>
      <c r="BU60" s="76" t="s">
        <v>1943</v>
      </c>
      <c r="BV60" s="77">
        <f t="shared" si="61"/>
        <v>0</v>
      </c>
      <c r="BW60" s="65"/>
      <c r="BX60" s="76" t="s">
        <v>1995</v>
      </c>
      <c r="BY60" s="77">
        <f t="shared" si="61"/>
        <v>0</v>
      </c>
      <c r="BZ60" s="65"/>
      <c r="CA60" s="76" t="s">
        <v>1953</v>
      </c>
      <c r="CB60" s="77">
        <f t="shared" si="61"/>
        <v>0</v>
      </c>
      <c r="CC60" s="65"/>
      <c r="CD60" s="76" t="s">
        <v>1995</v>
      </c>
      <c r="CE60" s="77">
        <f t="shared" si="61"/>
        <v>0</v>
      </c>
      <c r="CF60" s="65"/>
      <c r="CG60" s="76" t="s">
        <v>1993</v>
      </c>
      <c r="CH60" s="77">
        <f t="shared" si="61"/>
        <v>0</v>
      </c>
      <c r="CI60" s="65"/>
      <c r="CJ60" s="76" t="s">
        <v>1995</v>
      </c>
      <c r="CK60" s="77">
        <f t="shared" si="60"/>
        <v>0</v>
      </c>
      <c r="CL60" s="65"/>
      <c r="CM60" s="76" t="s">
        <v>1995</v>
      </c>
      <c r="CN60" s="77">
        <f t="shared" si="60"/>
        <v>0</v>
      </c>
      <c r="CO60" s="65"/>
      <c r="CP60" s="65"/>
    </row>
    <row r="61" spans="1:94">
      <c r="A61" s="49"/>
      <c r="B61" s="49"/>
      <c r="C61" s="120" t="str">
        <f>"MAX. "&amp;UPPER(Idiomas!D264)</f>
        <v>MAX. 3-4 &amp; FINAL</v>
      </c>
      <c r="D61" s="123">
        <f>SUM($D$33:$D$35)*$I$244+SUM($D$36:$D$38)*$I$247</f>
        <v>39</v>
      </c>
      <c r="E61" s="111"/>
      <c r="F61" s="445">
        <f t="shared" si="47"/>
        <v>6</v>
      </c>
      <c r="G61" s="445">
        <f ca="1">VLOOKUP(H61,Equipos!$Q$1:$R$25,2,0)</f>
        <v>15</v>
      </c>
      <c r="H61" s="446">
        <f ca="1">TRUNC(INDEX(WORLDCUP!$X$4:$X$147,MATCH(ADMIN!K61,WORLDCUP!$DT$4:$DT$147,0))+INDEX(Horarios!$R$3:$R$86,MATCH(Horarios!$C$3,Horarios!$P$3:$P$86,0))/24)</f>
        <v>46198</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51"/>
        <v>0</v>
      </c>
      <c r="R61" s="49"/>
      <c r="S61" s="74" t="s">
        <v>1942</v>
      </c>
      <c r="T61" s="73">
        <f t="shared" si="48"/>
        <v>0</v>
      </c>
      <c r="U61" s="65"/>
      <c r="V61" s="74" t="s">
        <v>1995</v>
      </c>
      <c r="W61" s="73">
        <f t="shared" si="58"/>
        <v>0</v>
      </c>
      <c r="X61" s="65"/>
      <c r="Y61" s="74" t="s">
        <v>1943</v>
      </c>
      <c r="Z61" s="73">
        <f t="shared" si="61"/>
        <v>0</v>
      </c>
      <c r="AA61" s="65"/>
      <c r="AB61" s="74" t="s">
        <v>1941</v>
      </c>
      <c r="AC61" s="73">
        <f t="shared" si="61"/>
        <v>0</v>
      </c>
      <c r="AD61" s="65"/>
      <c r="AE61" s="74" t="s">
        <v>1943</v>
      </c>
      <c r="AF61" s="73">
        <f t="shared" si="61"/>
        <v>0</v>
      </c>
      <c r="AG61" s="65"/>
      <c r="AH61" s="74" t="s">
        <v>1948</v>
      </c>
      <c r="AI61" s="73">
        <f t="shared" si="61"/>
        <v>0</v>
      </c>
      <c r="AJ61" s="65"/>
      <c r="AK61" s="74" t="s">
        <v>1941</v>
      </c>
      <c r="AL61" s="73">
        <f t="shared" si="61"/>
        <v>0</v>
      </c>
      <c r="AM61" s="65"/>
      <c r="AN61" s="74" t="s">
        <v>1943</v>
      </c>
      <c r="AO61" s="73">
        <f t="shared" si="61"/>
        <v>0</v>
      </c>
      <c r="AP61" s="65"/>
      <c r="AQ61" s="74" t="s">
        <v>1948</v>
      </c>
      <c r="AR61" s="73">
        <f t="shared" si="61"/>
        <v>0</v>
      </c>
      <c r="AS61" s="65"/>
      <c r="AT61" s="74" t="s">
        <v>1942</v>
      </c>
      <c r="AU61" s="73">
        <f t="shared" si="61"/>
        <v>0</v>
      </c>
      <c r="AV61" s="65"/>
      <c r="AW61" s="74" t="s">
        <v>1941</v>
      </c>
      <c r="AX61" s="73">
        <f t="shared" si="61"/>
        <v>0</v>
      </c>
      <c r="AY61" s="65"/>
      <c r="AZ61" s="74" t="s">
        <v>1946</v>
      </c>
      <c r="BA61" s="73">
        <f t="shared" si="61"/>
        <v>0</v>
      </c>
      <c r="BB61" s="65"/>
      <c r="BC61" s="74" t="s">
        <v>1948</v>
      </c>
      <c r="BD61" s="73">
        <f t="shared" si="61"/>
        <v>0</v>
      </c>
      <c r="BE61" s="65"/>
      <c r="BF61" s="74" t="s">
        <v>1950</v>
      </c>
      <c r="BG61" s="73">
        <f t="shared" si="61"/>
        <v>0</v>
      </c>
      <c r="BH61" s="65"/>
      <c r="BI61" s="74" t="s">
        <v>1943</v>
      </c>
      <c r="BJ61" s="73">
        <f t="shared" si="61"/>
        <v>0</v>
      </c>
      <c r="BK61" s="65"/>
      <c r="BL61" s="74" t="s">
        <v>1946</v>
      </c>
      <c r="BM61" s="73">
        <f t="shared" si="61"/>
        <v>0</v>
      </c>
      <c r="BN61" s="65"/>
      <c r="BO61" s="74" t="s">
        <v>1946</v>
      </c>
      <c r="BP61" s="73">
        <f t="shared" si="61"/>
        <v>0</v>
      </c>
      <c r="BQ61" s="65"/>
      <c r="BR61" s="74" t="s">
        <v>1948</v>
      </c>
      <c r="BS61" s="73">
        <f t="shared" si="61"/>
        <v>0</v>
      </c>
      <c r="BT61" s="65"/>
      <c r="BU61" s="74" t="s">
        <v>1941</v>
      </c>
      <c r="BV61" s="73">
        <f t="shared" si="61"/>
        <v>0</v>
      </c>
      <c r="BW61" s="65"/>
      <c r="BX61" s="74" t="s">
        <v>1948</v>
      </c>
      <c r="BY61" s="73">
        <f t="shared" si="61"/>
        <v>0</v>
      </c>
      <c r="BZ61" s="65"/>
      <c r="CA61" s="74" t="s">
        <v>1941</v>
      </c>
      <c r="CB61" s="73">
        <f t="shared" si="61"/>
        <v>0</v>
      </c>
      <c r="CC61" s="65"/>
      <c r="CD61" s="74" t="s">
        <v>1949</v>
      </c>
      <c r="CE61" s="73">
        <f t="shared" si="61"/>
        <v>0</v>
      </c>
      <c r="CF61" s="65"/>
      <c r="CG61" s="74" t="s">
        <v>1948</v>
      </c>
      <c r="CH61" s="73">
        <f t="shared" si="61"/>
        <v>0</v>
      </c>
      <c r="CI61" s="65"/>
      <c r="CJ61" s="74" t="s">
        <v>1945</v>
      </c>
      <c r="CK61" s="73">
        <f t="shared" si="60"/>
        <v>0</v>
      </c>
      <c r="CL61" s="65"/>
      <c r="CM61" s="74" t="s">
        <v>1943</v>
      </c>
      <c r="CN61" s="73">
        <f t="shared" si="60"/>
        <v>0</v>
      </c>
      <c r="CO61" s="65"/>
      <c r="CP61" s="65"/>
    </row>
    <row r="62" spans="1:94">
      <c r="A62" s="49"/>
      <c r="B62" s="49"/>
      <c r="C62" s="47" t="str">
        <f>"MAX. "&amp;$K$249</f>
        <v>MAX. CUADRO DE HONOR</v>
      </c>
      <c r="D62" s="126">
        <f>SUM($D$39:$D$47)</f>
        <v>71</v>
      </c>
      <c r="E62" s="111"/>
      <c r="F62" s="445">
        <f t="shared" si="47"/>
        <v>6</v>
      </c>
      <c r="G62" s="445">
        <f ca="1">VLOOKUP(H62,Equipos!$Q$1:$R$25,2,0)</f>
        <v>15</v>
      </c>
      <c r="H62" s="446">
        <f ca="1">TRUNC(INDEX(WORLDCUP!$X$4:$X$147,MATCH(ADMIN!K62,WORLDCUP!$DT$4:$DT$147,0))+INDEX(Horarios!$R$3:$R$86,MATCH(Horarios!$C$3,Horarios!$P$3:$P$86,0))/24)</f>
        <v>46198</v>
      </c>
      <c r="I62" s="48">
        <v>1</v>
      </c>
      <c r="J62" s="95"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51"/>
        <v>0</v>
      </c>
      <c r="R62" s="49"/>
      <c r="S62" s="74" t="s">
        <v>1953</v>
      </c>
      <c r="T62" s="73">
        <f t="shared" si="48"/>
        <v>0</v>
      </c>
      <c r="U62" s="65"/>
      <c r="V62" s="74" t="s">
        <v>1948</v>
      </c>
      <c r="W62" s="73">
        <f t="shared" si="58"/>
        <v>0</v>
      </c>
      <c r="X62" s="65"/>
      <c r="Y62" s="74" t="s">
        <v>1952</v>
      </c>
      <c r="Z62" s="73">
        <f t="shared" si="61"/>
        <v>0</v>
      </c>
      <c r="AA62" s="65"/>
      <c r="AB62" s="74" t="s">
        <v>1954</v>
      </c>
      <c r="AC62" s="73">
        <f t="shared" si="61"/>
        <v>0</v>
      </c>
      <c r="AD62" s="65"/>
      <c r="AE62" s="74" t="s">
        <v>1953</v>
      </c>
      <c r="AF62" s="73">
        <f t="shared" si="61"/>
        <v>0</v>
      </c>
      <c r="AG62" s="65"/>
      <c r="AH62" s="74" t="s">
        <v>1942</v>
      </c>
      <c r="AI62" s="73">
        <f t="shared" si="61"/>
        <v>0</v>
      </c>
      <c r="AJ62" s="65"/>
      <c r="AK62" s="74" t="s">
        <v>1945</v>
      </c>
      <c r="AL62" s="73">
        <f t="shared" si="61"/>
        <v>0</v>
      </c>
      <c r="AM62" s="65"/>
      <c r="AN62" s="74" t="s">
        <v>1953</v>
      </c>
      <c r="AO62" s="73">
        <f t="shared" si="61"/>
        <v>0</v>
      </c>
      <c r="AP62" s="65"/>
      <c r="AQ62" s="74" t="s">
        <v>1945</v>
      </c>
      <c r="AR62" s="73">
        <f t="shared" si="61"/>
        <v>0</v>
      </c>
      <c r="AS62" s="65"/>
      <c r="AT62" s="74" t="s">
        <v>1945</v>
      </c>
      <c r="AU62" s="73">
        <f t="shared" si="61"/>
        <v>0</v>
      </c>
      <c r="AV62" s="65"/>
      <c r="AW62" s="74" t="s">
        <v>1946</v>
      </c>
      <c r="AX62" s="73">
        <f t="shared" si="61"/>
        <v>0</v>
      </c>
      <c r="AY62" s="65"/>
      <c r="AZ62" s="74" t="s">
        <v>1945</v>
      </c>
      <c r="BA62" s="73">
        <f t="shared" si="61"/>
        <v>0</v>
      </c>
      <c r="BB62" s="65"/>
      <c r="BC62" s="74" t="s">
        <v>1946</v>
      </c>
      <c r="BD62" s="73">
        <f t="shared" si="61"/>
        <v>0</v>
      </c>
      <c r="BE62" s="65"/>
      <c r="BF62" s="74" t="s">
        <v>1996</v>
      </c>
      <c r="BG62" s="73">
        <f t="shared" si="61"/>
        <v>0</v>
      </c>
      <c r="BH62" s="65"/>
      <c r="BI62" s="74" t="s">
        <v>1953</v>
      </c>
      <c r="BJ62" s="73">
        <f t="shared" si="61"/>
        <v>0</v>
      </c>
      <c r="BK62" s="65"/>
      <c r="BL62" s="74" t="s">
        <v>1954</v>
      </c>
      <c r="BM62" s="73">
        <f t="shared" si="61"/>
        <v>0</v>
      </c>
      <c r="BN62" s="65"/>
      <c r="BO62" s="74" t="s">
        <v>1945</v>
      </c>
      <c r="BP62" s="73">
        <f t="shared" si="61"/>
        <v>0</v>
      </c>
      <c r="BQ62" s="65"/>
      <c r="BR62" s="74" t="s">
        <v>1953</v>
      </c>
      <c r="BS62" s="73">
        <f t="shared" si="61"/>
        <v>0</v>
      </c>
      <c r="BT62" s="65"/>
      <c r="BU62" s="74" t="s">
        <v>1953</v>
      </c>
      <c r="BV62" s="73">
        <f t="shared" si="61"/>
        <v>0</v>
      </c>
      <c r="BW62" s="65"/>
      <c r="BX62" s="74" t="s">
        <v>1953</v>
      </c>
      <c r="BY62" s="73">
        <f t="shared" si="61"/>
        <v>0</v>
      </c>
      <c r="BZ62" s="65"/>
      <c r="CA62" s="74" t="s">
        <v>1942</v>
      </c>
      <c r="CB62" s="73">
        <f t="shared" si="61"/>
        <v>0</v>
      </c>
      <c r="CC62" s="65"/>
      <c r="CD62" s="74" t="s">
        <v>1996</v>
      </c>
      <c r="CE62" s="73">
        <f t="shared" si="61"/>
        <v>0</v>
      </c>
      <c r="CF62" s="65"/>
      <c r="CG62" s="74" t="s">
        <v>1945</v>
      </c>
      <c r="CH62" s="73">
        <f t="shared" si="61"/>
        <v>0</v>
      </c>
      <c r="CI62" s="65"/>
      <c r="CJ62" s="74" t="s">
        <v>1954</v>
      </c>
      <c r="CK62" s="73">
        <f t="shared" si="60"/>
        <v>0</v>
      </c>
      <c r="CL62" s="65"/>
      <c r="CM62" s="74" t="s">
        <v>1945</v>
      </c>
      <c r="CN62" s="73">
        <f t="shared" si="60"/>
        <v>0</v>
      </c>
      <c r="CO62" s="65"/>
      <c r="CP62" s="65"/>
    </row>
    <row r="63" spans="1:94">
      <c r="A63" s="49"/>
      <c r="B63" s="49"/>
      <c r="C63" s="49"/>
      <c r="D63" s="49"/>
      <c r="E63" s="111"/>
      <c r="F63" s="445">
        <f t="shared" si="47"/>
        <v>6</v>
      </c>
      <c r="G63" s="445">
        <f ca="1">VLOOKUP(H63,Equipos!$Q$1:$R$25,2,0)</f>
        <v>15</v>
      </c>
      <c r="H63" s="446">
        <f ca="1">TRUNC(INDEX(WORLDCUP!$X$4:$X$147,MATCH(ADMIN!K63,WORLDCUP!$DT$4:$DT$147,0))+INDEX(Horarios!$R$3:$R$86,MATCH(Horarios!$C$3,Horarios!$P$3:$P$86,0))/24)</f>
        <v>46198</v>
      </c>
      <c r="I63" s="48">
        <v>1</v>
      </c>
      <c r="J63" s="95"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51"/>
        <v>0</v>
      </c>
      <c r="R63" s="49"/>
      <c r="S63" s="74" t="s">
        <v>1945</v>
      </c>
      <c r="T63" s="73">
        <f t="shared" si="48"/>
        <v>0</v>
      </c>
      <c r="U63" s="65"/>
      <c r="V63" s="74" t="s">
        <v>1998</v>
      </c>
      <c r="W63" s="73">
        <f t="shared" si="58"/>
        <v>0</v>
      </c>
      <c r="X63" s="65"/>
      <c r="Y63" s="74" t="s">
        <v>1946</v>
      </c>
      <c r="Z63" s="73">
        <f t="shared" si="61"/>
        <v>0</v>
      </c>
      <c r="AA63" s="65"/>
      <c r="AB63" s="74" t="s">
        <v>1998</v>
      </c>
      <c r="AC63" s="73">
        <f t="shared" si="61"/>
        <v>0</v>
      </c>
      <c r="AD63" s="65"/>
      <c r="AE63" s="74" t="s">
        <v>1954</v>
      </c>
      <c r="AF63" s="73">
        <f t="shared" si="61"/>
        <v>0</v>
      </c>
      <c r="AG63" s="65"/>
      <c r="AH63" s="74" t="s">
        <v>1954</v>
      </c>
      <c r="AI63" s="73">
        <f t="shared" si="61"/>
        <v>0</v>
      </c>
      <c r="AJ63" s="65"/>
      <c r="AK63" s="74" t="s">
        <v>1954</v>
      </c>
      <c r="AL63" s="73">
        <f t="shared" si="61"/>
        <v>0</v>
      </c>
      <c r="AM63" s="65"/>
      <c r="AN63" s="74" t="s">
        <v>1945</v>
      </c>
      <c r="AO63" s="73">
        <f t="shared" si="61"/>
        <v>0</v>
      </c>
      <c r="AP63" s="65"/>
      <c r="AQ63" s="74" t="s">
        <v>1944</v>
      </c>
      <c r="AR63" s="73">
        <f t="shared" si="61"/>
        <v>0</v>
      </c>
      <c r="AS63" s="65"/>
      <c r="AT63" s="74" t="s">
        <v>1942</v>
      </c>
      <c r="AU63" s="73">
        <f t="shared" si="61"/>
        <v>0</v>
      </c>
      <c r="AV63" s="65"/>
      <c r="AW63" s="74" t="s">
        <v>1952</v>
      </c>
      <c r="AX63" s="73">
        <f t="shared" si="61"/>
        <v>0</v>
      </c>
      <c r="AY63" s="65"/>
      <c r="AZ63" s="74" t="s">
        <v>1942</v>
      </c>
      <c r="BA63" s="73">
        <f t="shared" si="61"/>
        <v>0</v>
      </c>
      <c r="BB63" s="65"/>
      <c r="BC63" s="74" t="s">
        <v>1954</v>
      </c>
      <c r="BD63" s="73">
        <f t="shared" si="61"/>
        <v>0</v>
      </c>
      <c r="BE63" s="65"/>
      <c r="BF63" s="74" t="s">
        <v>1952</v>
      </c>
      <c r="BG63" s="73">
        <f t="shared" si="61"/>
        <v>0</v>
      </c>
      <c r="BH63" s="65"/>
      <c r="BI63" s="74" t="s">
        <v>1942</v>
      </c>
      <c r="BJ63" s="73">
        <f t="shared" si="61"/>
        <v>0</v>
      </c>
      <c r="BK63" s="65"/>
      <c r="BL63" s="74" t="s">
        <v>1942</v>
      </c>
      <c r="BM63" s="73">
        <f t="shared" si="61"/>
        <v>0</v>
      </c>
      <c r="BN63" s="65"/>
      <c r="BO63" s="74" t="s">
        <v>1992</v>
      </c>
      <c r="BP63" s="73">
        <f t="shared" si="61"/>
        <v>0</v>
      </c>
      <c r="BQ63" s="65"/>
      <c r="BR63" s="74" t="s">
        <v>1995</v>
      </c>
      <c r="BS63" s="73">
        <f t="shared" si="61"/>
        <v>0</v>
      </c>
      <c r="BT63" s="65"/>
      <c r="BU63" s="74" t="s">
        <v>1954</v>
      </c>
      <c r="BV63" s="73">
        <f t="shared" si="61"/>
        <v>0</v>
      </c>
      <c r="BW63" s="65"/>
      <c r="BX63" s="74" t="s">
        <v>1952</v>
      </c>
      <c r="BY63" s="73">
        <f t="shared" si="61"/>
        <v>0</v>
      </c>
      <c r="BZ63" s="65"/>
      <c r="CA63" s="74" t="s">
        <v>1995</v>
      </c>
      <c r="CB63" s="73">
        <f t="shared" si="61"/>
        <v>0</v>
      </c>
      <c r="CC63" s="65"/>
      <c r="CD63" s="74" t="s">
        <v>1995</v>
      </c>
      <c r="CE63" s="73">
        <f t="shared" si="61"/>
        <v>0</v>
      </c>
      <c r="CF63" s="65"/>
      <c r="CG63" s="74" t="s">
        <v>1992</v>
      </c>
      <c r="CH63" s="73">
        <f t="shared" si="61"/>
        <v>0</v>
      </c>
      <c r="CI63" s="65"/>
      <c r="CJ63" s="74" t="s">
        <v>1954</v>
      </c>
      <c r="CK63" s="73">
        <f t="shared" si="60"/>
        <v>0</v>
      </c>
      <c r="CL63" s="65"/>
      <c r="CM63" s="74" t="s">
        <v>1954</v>
      </c>
      <c r="CN63" s="73">
        <f t="shared" si="60"/>
        <v>0</v>
      </c>
      <c r="CO63" s="65"/>
      <c r="CP63" s="65"/>
    </row>
    <row r="64" spans="1:94">
      <c r="A64" s="49"/>
      <c r="B64" s="49"/>
      <c r="C64" s="119" t="str">
        <f>"MAX. "&amp;K5</f>
        <v>MAX. FASE DE GRUPOS</v>
      </c>
      <c r="D64" s="122">
        <f>D56</f>
        <v>684</v>
      </c>
      <c r="E64" s="111"/>
      <c r="F64" s="445">
        <f t="shared" si="47"/>
        <v>6</v>
      </c>
      <c r="G64" s="445">
        <f ca="1">VLOOKUP(H64,Equipos!$Q$1:$R$25,2,0)</f>
        <v>15</v>
      </c>
      <c r="H64" s="446">
        <f ca="1">TRUNC(INDEX(WORLDCUP!$X$4:$X$147,MATCH(ADMIN!K64,WORLDCUP!$DT$4:$DT$147,0))+INDEX(Horarios!$R$3:$R$86,MATCH(Horarios!$C$3,Horarios!$P$3:$P$86,0))/24)</f>
        <v>46198</v>
      </c>
      <c r="I64" s="48">
        <v>1</v>
      </c>
      <c r="J64" s="96"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51"/>
        <v>0</v>
      </c>
      <c r="R64" s="49"/>
      <c r="S64" s="74" t="s">
        <v>1942</v>
      </c>
      <c r="T64" s="73">
        <f t="shared" si="48"/>
        <v>0</v>
      </c>
      <c r="U64" s="65"/>
      <c r="V64" s="74" t="s">
        <v>1995</v>
      </c>
      <c r="W64" s="73">
        <f t="shared" si="58"/>
        <v>0</v>
      </c>
      <c r="X64" s="65"/>
      <c r="Y64" s="74" t="s">
        <v>1950</v>
      </c>
      <c r="Z64" s="73">
        <f t="shared" si="61"/>
        <v>0</v>
      </c>
      <c r="AA64" s="65"/>
      <c r="AB64" s="74" t="s">
        <v>1948</v>
      </c>
      <c r="AC64" s="73">
        <f t="shared" si="61"/>
        <v>0</v>
      </c>
      <c r="AD64" s="65"/>
      <c r="AE64" s="74" t="s">
        <v>1995</v>
      </c>
      <c r="AF64" s="73">
        <f t="shared" si="61"/>
        <v>0</v>
      </c>
      <c r="AG64" s="65"/>
      <c r="AH64" s="74" t="s">
        <v>1954</v>
      </c>
      <c r="AI64" s="73">
        <f t="shared" si="61"/>
        <v>0</v>
      </c>
      <c r="AJ64" s="65"/>
      <c r="AK64" s="74" t="s">
        <v>1948</v>
      </c>
      <c r="AL64" s="73">
        <f t="shared" si="61"/>
        <v>0</v>
      </c>
      <c r="AM64" s="65"/>
      <c r="AN64" s="74" t="s">
        <v>1948</v>
      </c>
      <c r="AO64" s="73">
        <f t="shared" si="61"/>
        <v>0</v>
      </c>
      <c r="AP64" s="65"/>
      <c r="AQ64" s="74" t="s">
        <v>1942</v>
      </c>
      <c r="AR64" s="73">
        <f t="shared" si="61"/>
        <v>0</v>
      </c>
      <c r="AS64" s="65"/>
      <c r="AT64" s="74" t="s">
        <v>1942</v>
      </c>
      <c r="AU64" s="73">
        <f t="shared" si="61"/>
        <v>0</v>
      </c>
      <c r="AV64" s="65"/>
      <c r="AW64" s="74" t="s">
        <v>1948</v>
      </c>
      <c r="AX64" s="73">
        <f t="shared" si="61"/>
        <v>0</v>
      </c>
      <c r="AY64" s="65"/>
      <c r="AZ64" s="74" t="s">
        <v>1942</v>
      </c>
      <c r="BA64" s="73">
        <f t="shared" si="61"/>
        <v>0</v>
      </c>
      <c r="BB64" s="65"/>
      <c r="BC64" s="74" t="s">
        <v>1942</v>
      </c>
      <c r="BD64" s="73">
        <f t="shared" si="61"/>
        <v>0</v>
      </c>
      <c r="BE64" s="65"/>
      <c r="BF64" s="74" t="s">
        <v>1946</v>
      </c>
      <c r="BG64" s="73">
        <f t="shared" si="61"/>
        <v>0</v>
      </c>
      <c r="BH64" s="65"/>
      <c r="BI64" s="74" t="s">
        <v>1948</v>
      </c>
      <c r="BJ64" s="73">
        <f t="shared" si="61"/>
        <v>0</v>
      </c>
      <c r="BK64" s="65"/>
      <c r="BL64" s="74" t="s">
        <v>1946</v>
      </c>
      <c r="BM64" s="73">
        <f t="shared" si="61"/>
        <v>0</v>
      </c>
      <c r="BN64" s="65"/>
      <c r="BO64" s="74" t="s">
        <v>1948</v>
      </c>
      <c r="BP64" s="73">
        <f t="shared" si="61"/>
        <v>0</v>
      </c>
      <c r="BQ64" s="65"/>
      <c r="BR64" s="74" t="s">
        <v>1948</v>
      </c>
      <c r="BS64" s="73">
        <f t="shared" si="61"/>
        <v>0</v>
      </c>
      <c r="BT64" s="65"/>
      <c r="BU64" s="74" t="s">
        <v>1942</v>
      </c>
      <c r="BV64" s="73">
        <f t="shared" si="61"/>
        <v>0</v>
      </c>
      <c r="BW64" s="65"/>
      <c r="BX64" s="74" t="s">
        <v>1942</v>
      </c>
      <c r="BY64" s="73">
        <f t="shared" si="61"/>
        <v>0</v>
      </c>
      <c r="BZ64" s="65"/>
      <c r="CA64" s="74" t="s">
        <v>1995</v>
      </c>
      <c r="CB64" s="73">
        <f t="shared" si="61"/>
        <v>0</v>
      </c>
      <c r="CC64" s="65"/>
      <c r="CD64" s="74" t="s">
        <v>1948</v>
      </c>
      <c r="CE64" s="73">
        <f t="shared" si="61"/>
        <v>0</v>
      </c>
      <c r="CF64" s="65"/>
      <c r="CG64" s="74" t="s">
        <v>1948</v>
      </c>
      <c r="CH64" s="73">
        <f t="shared" si="61"/>
        <v>0</v>
      </c>
      <c r="CI64" s="65"/>
      <c r="CJ64" s="74" t="s">
        <v>1995</v>
      </c>
      <c r="CK64" s="73">
        <f t="shared" si="60"/>
        <v>0</v>
      </c>
      <c r="CL64" s="65"/>
      <c r="CM64" s="74" t="s">
        <v>1948</v>
      </c>
      <c r="CN64" s="73">
        <f t="shared" si="60"/>
        <v>0</v>
      </c>
      <c r="CO64" s="65"/>
      <c r="CP64" s="65"/>
    </row>
    <row r="65" spans="1:94">
      <c r="A65" s="49"/>
      <c r="B65" s="49"/>
      <c r="C65" s="46" t="s">
        <v>1646</v>
      </c>
      <c r="D65" s="125">
        <f>SUM($D$57:$D$62)</f>
        <v>608</v>
      </c>
      <c r="E65" s="111"/>
      <c r="F65" s="445">
        <f t="shared" si="47"/>
        <v>6</v>
      </c>
      <c r="G65" s="445">
        <f ca="1">VLOOKUP(H65,Equipos!$Q$1:$R$25,2,0)</f>
        <v>15</v>
      </c>
      <c r="H65" s="446">
        <f ca="1">TRUNC(INDEX(WORLDCUP!$X$4:$X$147,MATCH(ADMIN!K65,WORLDCUP!$DT$4:$DT$147,0))+INDEX(Horarios!$R$3:$R$86,MATCH(Horarios!$C$3,Horarios!$P$3:$P$86,0))/24)</f>
        <v>46198</v>
      </c>
      <c r="I65" s="48">
        <v>1</v>
      </c>
      <c r="J65" s="96"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51"/>
        <v>0</v>
      </c>
      <c r="R65" s="49"/>
      <c r="S65" s="74" t="s">
        <v>1944</v>
      </c>
      <c r="T65" s="73">
        <f t="shared" si="48"/>
        <v>0</v>
      </c>
      <c r="U65" s="65"/>
      <c r="V65" s="74" t="s">
        <v>1945</v>
      </c>
      <c r="W65" s="73">
        <f t="shared" si="58"/>
        <v>0</v>
      </c>
      <c r="X65" s="65"/>
      <c r="Y65" s="74" t="s">
        <v>1945</v>
      </c>
      <c r="Z65" s="73">
        <f t="shared" si="61"/>
        <v>0</v>
      </c>
      <c r="AA65" s="65"/>
      <c r="AB65" s="74" t="s">
        <v>1944</v>
      </c>
      <c r="AC65" s="73">
        <f t="shared" si="61"/>
        <v>0</v>
      </c>
      <c r="AD65" s="65"/>
      <c r="AE65" s="74" t="s">
        <v>1944</v>
      </c>
      <c r="AF65" s="73">
        <f t="shared" si="61"/>
        <v>0</v>
      </c>
      <c r="AG65" s="65"/>
      <c r="AH65" s="74" t="s">
        <v>1945</v>
      </c>
      <c r="AI65" s="73">
        <f t="shared" si="61"/>
        <v>0</v>
      </c>
      <c r="AJ65" s="65"/>
      <c r="AK65" s="74" t="s">
        <v>1945</v>
      </c>
      <c r="AL65" s="73">
        <f t="shared" si="61"/>
        <v>0</v>
      </c>
      <c r="AM65" s="65"/>
      <c r="AN65" s="74" t="s">
        <v>1953</v>
      </c>
      <c r="AO65" s="73">
        <f t="shared" si="61"/>
        <v>0</v>
      </c>
      <c r="AP65" s="65"/>
      <c r="AQ65" s="74" t="s">
        <v>1952</v>
      </c>
      <c r="AR65" s="73">
        <f t="shared" si="61"/>
        <v>0</v>
      </c>
      <c r="AS65" s="65"/>
      <c r="AT65" s="74" t="s">
        <v>1953</v>
      </c>
      <c r="AU65" s="73">
        <f t="shared" si="61"/>
        <v>0</v>
      </c>
      <c r="AV65" s="65"/>
      <c r="AW65" s="74" t="s">
        <v>1953</v>
      </c>
      <c r="AX65" s="73">
        <f t="shared" si="61"/>
        <v>0</v>
      </c>
      <c r="AY65" s="65"/>
      <c r="AZ65" s="74" t="s">
        <v>1945</v>
      </c>
      <c r="BA65" s="73">
        <f t="shared" si="61"/>
        <v>0</v>
      </c>
      <c r="BB65" s="65"/>
      <c r="BC65" s="74" t="s">
        <v>1942</v>
      </c>
      <c r="BD65" s="73">
        <f t="shared" si="61"/>
        <v>0</v>
      </c>
      <c r="BE65" s="65"/>
      <c r="BF65" s="74" t="s">
        <v>2333</v>
      </c>
      <c r="BG65" s="73">
        <f t="shared" si="61"/>
        <v>0</v>
      </c>
      <c r="BH65" s="65"/>
      <c r="BI65" s="74" t="s">
        <v>1953</v>
      </c>
      <c r="BJ65" s="73">
        <f t="shared" si="61"/>
        <v>0</v>
      </c>
      <c r="BK65" s="65"/>
      <c r="BL65" s="74" t="s">
        <v>1945</v>
      </c>
      <c r="BM65" s="73">
        <f t="shared" si="61"/>
        <v>0</v>
      </c>
      <c r="BN65" s="65"/>
      <c r="BO65" s="74" t="s">
        <v>1945</v>
      </c>
      <c r="BP65" s="73">
        <f t="shared" si="61"/>
        <v>0</v>
      </c>
      <c r="BQ65" s="65"/>
      <c r="BR65" s="74" t="s">
        <v>1953</v>
      </c>
      <c r="BS65" s="73">
        <f t="shared" si="61"/>
        <v>0</v>
      </c>
      <c r="BT65" s="65"/>
      <c r="BU65" s="74" t="s">
        <v>1945</v>
      </c>
      <c r="BV65" s="73">
        <f t="shared" si="61"/>
        <v>0</v>
      </c>
      <c r="BW65" s="65"/>
      <c r="BX65" s="74" t="s">
        <v>1953</v>
      </c>
      <c r="BY65" s="73">
        <f t="shared" si="61"/>
        <v>0</v>
      </c>
      <c r="BZ65" s="65"/>
      <c r="CA65" s="74" t="s">
        <v>1953</v>
      </c>
      <c r="CB65" s="73">
        <f t="shared" si="61"/>
        <v>0</v>
      </c>
      <c r="CC65" s="65"/>
      <c r="CD65" s="74" t="s">
        <v>1952</v>
      </c>
      <c r="CE65" s="73">
        <f t="shared" si="61"/>
        <v>0</v>
      </c>
      <c r="CF65" s="65"/>
      <c r="CG65" s="74" t="s">
        <v>1953</v>
      </c>
      <c r="CH65" s="73">
        <f t="shared" si="61"/>
        <v>0</v>
      </c>
      <c r="CI65" s="65"/>
      <c r="CJ65" s="74" t="s">
        <v>1952</v>
      </c>
      <c r="CK65" s="73">
        <f t="shared" si="60"/>
        <v>0</v>
      </c>
      <c r="CL65" s="65"/>
      <c r="CM65" s="74" t="s">
        <v>1953</v>
      </c>
      <c r="CN65" s="73">
        <f t="shared" si="60"/>
        <v>0</v>
      </c>
      <c r="CO65" s="65"/>
      <c r="CP65" s="65"/>
    </row>
    <row r="66" spans="1:94">
      <c r="A66" s="49"/>
      <c r="B66" s="49"/>
      <c r="C66" s="17"/>
      <c r="D66" s="17"/>
      <c r="E66" s="111"/>
      <c r="F66" s="445">
        <f t="shared" si="47"/>
        <v>6</v>
      </c>
      <c r="G66" s="445">
        <f ca="1">VLOOKUP(H66,Equipos!$Q$1:$R$25,2,0)</f>
        <v>16</v>
      </c>
      <c r="H66" s="446">
        <f ca="1">TRUNC(INDEX(WORLDCUP!$X$4:$X$147,MATCH(ADMIN!K66,WORLDCUP!$DT$4:$DT$147,0))+INDEX(Horarios!$R$3:$R$86,MATCH(Horarios!$C$3,Horarios!$P$3:$P$86,0))/24)</f>
        <v>46199</v>
      </c>
      <c r="I66" s="48">
        <v>1</v>
      </c>
      <c r="J66" s="95"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51"/>
        <v>0</v>
      </c>
      <c r="R66" s="49"/>
      <c r="S66" s="74" t="s">
        <v>1946</v>
      </c>
      <c r="T66" s="73">
        <f t="shared" si="48"/>
        <v>0</v>
      </c>
      <c r="U66" s="65"/>
      <c r="V66" s="74" t="s">
        <v>1950</v>
      </c>
      <c r="W66" s="73">
        <f t="shared" si="58"/>
        <v>0</v>
      </c>
      <c r="X66" s="65"/>
      <c r="Y66" s="74" t="s">
        <v>1942</v>
      </c>
      <c r="Z66" s="73">
        <f t="shared" si="61"/>
        <v>0</v>
      </c>
      <c r="AA66" s="65"/>
      <c r="AB66" s="74" t="s">
        <v>1941</v>
      </c>
      <c r="AC66" s="73">
        <f t="shared" si="61"/>
        <v>0</v>
      </c>
      <c r="AD66" s="65"/>
      <c r="AE66" s="74" t="s">
        <v>1941</v>
      </c>
      <c r="AF66" s="73">
        <f t="shared" si="61"/>
        <v>0</v>
      </c>
      <c r="AG66" s="65"/>
      <c r="AH66" s="74" t="s">
        <v>1942</v>
      </c>
      <c r="AI66" s="73">
        <f t="shared" si="61"/>
        <v>0</v>
      </c>
      <c r="AJ66" s="65"/>
      <c r="AK66" s="74" t="s">
        <v>1942</v>
      </c>
      <c r="AL66" s="73">
        <f t="shared" si="61"/>
        <v>0</v>
      </c>
      <c r="AM66" s="65"/>
      <c r="AN66" s="74" t="s">
        <v>1943</v>
      </c>
      <c r="AO66" s="73">
        <f t="shared" si="61"/>
        <v>0</v>
      </c>
      <c r="AP66" s="65"/>
      <c r="AQ66" s="74" t="s">
        <v>1943</v>
      </c>
      <c r="AR66" s="73">
        <f t="shared" si="61"/>
        <v>0</v>
      </c>
      <c r="AS66" s="65"/>
      <c r="AT66" s="74" t="s">
        <v>1995</v>
      </c>
      <c r="AU66" s="73">
        <f t="shared" si="61"/>
        <v>0</v>
      </c>
      <c r="AV66" s="65"/>
      <c r="AW66" s="74" t="s">
        <v>1946</v>
      </c>
      <c r="AX66" s="73">
        <f t="shared" si="61"/>
        <v>0</v>
      </c>
      <c r="AY66" s="65"/>
      <c r="AZ66" s="74" t="s">
        <v>1941</v>
      </c>
      <c r="BA66" s="73">
        <f t="shared" si="61"/>
        <v>0</v>
      </c>
      <c r="BB66" s="65"/>
      <c r="BC66" s="74" t="s">
        <v>1942</v>
      </c>
      <c r="BD66" s="73">
        <f t="shared" si="61"/>
        <v>0</v>
      </c>
      <c r="BE66" s="65"/>
      <c r="BF66" s="74" t="s">
        <v>1942</v>
      </c>
      <c r="BG66" s="73">
        <f t="shared" si="61"/>
        <v>0</v>
      </c>
      <c r="BH66" s="65"/>
      <c r="BI66" s="74" t="s">
        <v>1946</v>
      </c>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t="s">
        <v>1950</v>
      </c>
      <c r="BM66" s="73">
        <f t="shared" si="62"/>
        <v>0</v>
      </c>
      <c r="BN66" s="65"/>
      <c r="BO66" s="74" t="s">
        <v>1943</v>
      </c>
      <c r="BP66" s="73">
        <f t="shared" si="62"/>
        <v>0</v>
      </c>
      <c r="BQ66" s="65"/>
      <c r="BR66" s="74" t="s">
        <v>1943</v>
      </c>
      <c r="BS66" s="73">
        <f t="shared" si="62"/>
        <v>0</v>
      </c>
      <c r="BT66" s="65"/>
      <c r="BU66" s="74" t="s">
        <v>1948</v>
      </c>
      <c r="BV66" s="73">
        <f t="shared" si="62"/>
        <v>0</v>
      </c>
      <c r="BW66" s="65"/>
      <c r="BX66" s="74" t="s">
        <v>1942</v>
      </c>
      <c r="BY66" s="73">
        <f t="shared" si="62"/>
        <v>0</v>
      </c>
      <c r="BZ66" s="65"/>
      <c r="CA66" s="74" t="s">
        <v>1995</v>
      </c>
      <c r="CB66" s="73">
        <f t="shared" si="62"/>
        <v>0</v>
      </c>
      <c r="CC66" s="65"/>
      <c r="CD66" s="74" t="s">
        <v>1993</v>
      </c>
      <c r="CE66" s="73">
        <f t="shared" si="62"/>
        <v>0</v>
      </c>
      <c r="CF66" s="65"/>
      <c r="CG66" s="74" t="s">
        <v>1995</v>
      </c>
      <c r="CH66" s="73">
        <f t="shared" si="62"/>
        <v>0</v>
      </c>
      <c r="CI66" s="65"/>
      <c r="CJ66" s="74" t="s">
        <v>1942</v>
      </c>
      <c r="CK66" s="73">
        <f t="shared" si="62"/>
        <v>0</v>
      </c>
      <c r="CL66" s="65"/>
      <c r="CM66" s="74" t="s">
        <v>1948</v>
      </c>
      <c r="CN66" s="73">
        <f t="shared" si="62"/>
        <v>0</v>
      </c>
      <c r="CO66" s="65"/>
      <c r="CP66" s="65"/>
    </row>
    <row r="67" spans="1:94">
      <c r="A67" s="49"/>
      <c r="B67" s="49"/>
      <c r="C67" s="17"/>
      <c r="D67" s="17"/>
      <c r="E67" s="111"/>
      <c r="F67" s="445">
        <f t="shared" si="47"/>
        <v>6</v>
      </c>
      <c r="G67" s="445">
        <f ca="1">VLOOKUP(H67,Equipos!$Q$1:$R$25,2,0)</f>
        <v>16</v>
      </c>
      <c r="H67" s="446">
        <f ca="1">TRUNC(INDEX(WORLDCUP!$X$4:$X$147,MATCH(ADMIN!K67,WORLDCUP!$DT$4:$DT$147,0))+INDEX(Horarios!$R$3:$R$86,MATCH(Horarios!$C$3,Horarios!$P$3:$P$86,0))/24)</f>
        <v>46199</v>
      </c>
      <c r="I67" s="48">
        <v>1</v>
      </c>
      <c r="J67" s="95"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51"/>
        <v>0</v>
      </c>
      <c r="R67" s="49"/>
      <c r="S67" s="74" t="s">
        <v>1942</v>
      </c>
      <c r="T67" s="73">
        <f t="shared" si="48"/>
        <v>0</v>
      </c>
      <c r="U67" s="65"/>
      <c r="V67" s="74" t="s">
        <v>1994</v>
      </c>
      <c r="W67" s="73">
        <f t="shared" si="58"/>
        <v>0</v>
      </c>
      <c r="X67" s="65"/>
      <c r="Y67" s="74" t="s">
        <v>1942</v>
      </c>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0</v>
      </c>
      <c r="AA67" s="65"/>
      <c r="AB67" s="74" t="s">
        <v>1954</v>
      </c>
      <c r="AC67" s="73">
        <f t="shared" si="63"/>
        <v>0</v>
      </c>
      <c r="AD67" s="65"/>
      <c r="AE67" s="74" t="s">
        <v>1952</v>
      </c>
      <c r="AF67" s="73">
        <f t="shared" si="63"/>
        <v>0</v>
      </c>
      <c r="AG67" s="65"/>
      <c r="AH67" s="74" t="s">
        <v>1945</v>
      </c>
      <c r="AI67" s="73">
        <f t="shared" si="63"/>
        <v>0</v>
      </c>
      <c r="AJ67" s="65"/>
      <c r="AK67" s="74" t="s">
        <v>1945</v>
      </c>
      <c r="AL67" s="73">
        <f t="shared" si="63"/>
        <v>0</v>
      </c>
      <c r="AM67" s="65"/>
      <c r="AN67" s="74" t="s">
        <v>1945</v>
      </c>
      <c r="AO67" s="73">
        <f t="shared" si="63"/>
        <v>0</v>
      </c>
      <c r="AP67" s="65"/>
      <c r="AQ67" s="74" t="s">
        <v>1953</v>
      </c>
      <c r="AR67" s="73">
        <f t="shared" si="63"/>
        <v>0</v>
      </c>
      <c r="AS67" s="65"/>
      <c r="AT67" s="74" t="s">
        <v>1996</v>
      </c>
      <c r="AU67" s="73">
        <f t="shared" si="63"/>
        <v>0</v>
      </c>
      <c r="AV67" s="65"/>
      <c r="AW67" s="74" t="s">
        <v>1945</v>
      </c>
      <c r="AX67" s="73">
        <f t="shared" si="63"/>
        <v>0</v>
      </c>
      <c r="AY67" s="65"/>
      <c r="AZ67" s="74" t="s">
        <v>1945</v>
      </c>
      <c r="BA67" s="73">
        <f t="shared" si="63"/>
        <v>0</v>
      </c>
      <c r="BB67" s="65"/>
      <c r="BC67" s="74" t="s">
        <v>1952</v>
      </c>
      <c r="BD67" s="73">
        <f t="shared" si="63"/>
        <v>0</v>
      </c>
      <c r="BE67" s="65"/>
      <c r="BF67" s="74" t="s">
        <v>1953</v>
      </c>
      <c r="BG67" s="73">
        <f t="shared" si="63"/>
        <v>0</v>
      </c>
      <c r="BH67" s="65"/>
      <c r="BI67" s="74" t="s">
        <v>1945</v>
      </c>
      <c r="BJ67" s="73">
        <f t="shared" si="63"/>
        <v>0</v>
      </c>
      <c r="BK67" s="65"/>
      <c r="BL67" s="74" t="s">
        <v>1942</v>
      </c>
      <c r="BM67" s="73">
        <f t="shared" si="63"/>
        <v>0</v>
      </c>
      <c r="BN67" s="65"/>
      <c r="BO67" s="74" t="s">
        <v>1945</v>
      </c>
      <c r="BP67" s="73">
        <f t="shared" si="63"/>
        <v>0</v>
      </c>
      <c r="BQ67" s="65"/>
      <c r="BR67" s="74" t="s">
        <v>2071</v>
      </c>
      <c r="BS67" s="73">
        <f t="shared" si="63"/>
        <v>0</v>
      </c>
      <c r="BT67" s="65"/>
      <c r="BU67" s="74" t="s">
        <v>1945</v>
      </c>
      <c r="BV67" s="73">
        <f t="shared" si="63"/>
        <v>0</v>
      </c>
      <c r="BW67" s="65"/>
      <c r="BX67" s="74" t="s">
        <v>1945</v>
      </c>
      <c r="BY67" s="73">
        <f t="shared" si="63"/>
        <v>0</v>
      </c>
      <c r="BZ67" s="65"/>
      <c r="CA67" s="74" t="s">
        <v>1954</v>
      </c>
      <c r="CB67" s="73">
        <f t="shared" si="63"/>
        <v>0</v>
      </c>
      <c r="CC67" s="65"/>
      <c r="CD67" s="74" t="s">
        <v>2071</v>
      </c>
      <c r="CE67" s="73">
        <f t="shared" si="63"/>
        <v>0</v>
      </c>
      <c r="CF67" s="65"/>
      <c r="CG67" s="74" t="s">
        <v>1995</v>
      </c>
      <c r="CH67" s="73">
        <f t="shared" si="63"/>
        <v>0</v>
      </c>
      <c r="CI67" s="65"/>
      <c r="CJ67" s="74" t="s">
        <v>1945</v>
      </c>
      <c r="CK67" s="73">
        <f t="shared" si="62"/>
        <v>0</v>
      </c>
      <c r="CL67" s="65"/>
      <c r="CM67" s="74" t="s">
        <v>2071</v>
      </c>
      <c r="CN67" s="73">
        <f t="shared" si="62"/>
        <v>0</v>
      </c>
      <c r="CO67" s="65"/>
      <c r="CP67" s="65"/>
    </row>
    <row r="68" spans="1:94">
      <c r="A68" s="49"/>
      <c r="B68" s="49"/>
      <c r="C68" s="17"/>
      <c r="D68" s="17"/>
      <c r="E68" s="111"/>
      <c r="F68" s="445">
        <f t="shared" si="47"/>
        <v>6</v>
      </c>
      <c r="G68" s="445">
        <f ca="1">VLOOKUP(H68,Equipos!$Q$1:$R$25,2,0)</f>
        <v>16</v>
      </c>
      <c r="H68" s="446">
        <f ca="1">TRUNC(INDEX(WORLDCUP!$X$4:$X$147,MATCH(ADMIN!K68,WORLDCUP!$DT$4:$DT$147,0))+INDEX(Horarios!$R$3:$R$86,MATCH(Horarios!$C$3,Horarios!$P$3:$P$86,0))/24)</f>
        <v>46199</v>
      </c>
      <c r="I68" s="48">
        <v>1</v>
      </c>
      <c r="J68" s="96"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51"/>
        <v>0</v>
      </c>
      <c r="R68" s="49"/>
      <c r="S68" s="74" t="s">
        <v>1946</v>
      </c>
      <c r="T68" s="73">
        <f t="shared" si="48"/>
        <v>0</v>
      </c>
      <c r="U68" s="65"/>
      <c r="V68" s="74" t="s">
        <v>1954</v>
      </c>
      <c r="W68" s="73">
        <f t="shared" si="58"/>
        <v>0</v>
      </c>
      <c r="X68" s="65"/>
      <c r="Y68" s="74" t="s">
        <v>1950</v>
      </c>
      <c r="Z68" s="73">
        <f t="shared" si="63"/>
        <v>0</v>
      </c>
      <c r="AA68" s="65"/>
      <c r="AB68" s="74" t="s">
        <v>1944</v>
      </c>
      <c r="AC68" s="73">
        <f t="shared" si="63"/>
        <v>0</v>
      </c>
      <c r="AD68" s="65"/>
      <c r="AE68" s="74" t="s">
        <v>1954</v>
      </c>
      <c r="AF68" s="73">
        <f t="shared" si="63"/>
        <v>0</v>
      </c>
      <c r="AG68" s="65"/>
      <c r="AH68" s="74" t="s">
        <v>1945</v>
      </c>
      <c r="AI68" s="73">
        <f t="shared" si="63"/>
        <v>0</v>
      </c>
      <c r="AJ68" s="65"/>
      <c r="AK68" s="74" t="s">
        <v>1944</v>
      </c>
      <c r="AL68" s="73">
        <f t="shared" si="63"/>
        <v>0</v>
      </c>
      <c r="AM68" s="65"/>
      <c r="AN68" s="74" t="s">
        <v>1944</v>
      </c>
      <c r="AO68" s="73">
        <f t="shared" si="63"/>
        <v>0</v>
      </c>
      <c r="AP68" s="65"/>
      <c r="AQ68" s="74" t="s">
        <v>1944</v>
      </c>
      <c r="AR68" s="73">
        <f t="shared" si="63"/>
        <v>0</v>
      </c>
      <c r="AS68" s="65"/>
      <c r="AT68" s="74" t="s">
        <v>1942</v>
      </c>
      <c r="AU68" s="73">
        <f t="shared" si="63"/>
        <v>0</v>
      </c>
      <c r="AV68" s="65"/>
      <c r="AW68" s="74" t="s">
        <v>1946</v>
      </c>
      <c r="AX68" s="73">
        <f t="shared" si="63"/>
        <v>0</v>
      </c>
      <c r="AY68" s="65"/>
      <c r="AZ68" s="74" t="s">
        <v>1945</v>
      </c>
      <c r="BA68" s="73">
        <f t="shared" si="63"/>
        <v>0</v>
      </c>
      <c r="BB68" s="65"/>
      <c r="BC68" s="74" t="s">
        <v>1944</v>
      </c>
      <c r="BD68" s="73">
        <f t="shared" si="63"/>
        <v>0</v>
      </c>
      <c r="BE68" s="65"/>
      <c r="BF68" s="74" t="s">
        <v>1954</v>
      </c>
      <c r="BG68" s="73">
        <f t="shared" si="63"/>
        <v>0</v>
      </c>
      <c r="BH68" s="65"/>
      <c r="BI68" s="74" t="s">
        <v>1944</v>
      </c>
      <c r="BJ68" s="73">
        <f t="shared" si="63"/>
        <v>0</v>
      </c>
      <c r="BK68" s="65"/>
      <c r="BL68" s="74" t="s">
        <v>1942</v>
      </c>
      <c r="BM68" s="73">
        <f t="shared" si="63"/>
        <v>0</v>
      </c>
      <c r="BN68" s="65"/>
      <c r="BO68" s="74" t="s">
        <v>1946</v>
      </c>
      <c r="BP68" s="73">
        <f t="shared" si="63"/>
        <v>0</v>
      </c>
      <c r="BQ68" s="65"/>
      <c r="BR68" s="74" t="s">
        <v>1952</v>
      </c>
      <c r="BS68" s="73">
        <f t="shared" si="63"/>
        <v>0</v>
      </c>
      <c r="BT68" s="65"/>
      <c r="BU68" s="74" t="s">
        <v>1995</v>
      </c>
      <c r="BV68" s="73">
        <f t="shared" si="63"/>
        <v>0</v>
      </c>
      <c r="BW68" s="65"/>
      <c r="BX68" s="74" t="s">
        <v>1954</v>
      </c>
      <c r="BY68" s="73">
        <f t="shared" si="63"/>
        <v>0</v>
      </c>
      <c r="BZ68" s="65"/>
      <c r="CA68" s="74" t="s">
        <v>1954</v>
      </c>
      <c r="CB68" s="73">
        <f t="shared" si="63"/>
        <v>0</v>
      </c>
      <c r="CC68" s="65"/>
      <c r="CD68" s="74" t="s">
        <v>1945</v>
      </c>
      <c r="CE68" s="73">
        <f t="shared" si="63"/>
        <v>0</v>
      </c>
      <c r="CF68" s="65"/>
      <c r="CG68" s="74" t="s">
        <v>1952</v>
      </c>
      <c r="CH68" s="73">
        <f t="shared" si="63"/>
        <v>0</v>
      </c>
      <c r="CI68" s="65"/>
      <c r="CJ68" s="74" t="s">
        <v>1954</v>
      </c>
      <c r="CK68" s="73">
        <f t="shared" si="62"/>
        <v>0</v>
      </c>
      <c r="CL68" s="65"/>
      <c r="CM68" s="74" t="s">
        <v>1942</v>
      </c>
      <c r="CN68" s="73">
        <f t="shared" si="62"/>
        <v>0</v>
      </c>
      <c r="CO68" s="65"/>
      <c r="CP68" s="65"/>
    </row>
    <row r="69" spans="1:94">
      <c r="A69" s="49"/>
      <c r="B69" s="49"/>
      <c r="C69" s="17"/>
      <c r="D69" s="17"/>
      <c r="E69" s="111"/>
      <c r="F69" s="445">
        <f t="shared" si="47"/>
        <v>6</v>
      </c>
      <c r="G69" s="445">
        <f ca="1">VLOOKUP(H69,Equipos!$Q$1:$R$25,2,0)</f>
        <v>16</v>
      </c>
      <c r="H69" s="446">
        <f ca="1">TRUNC(INDEX(WORLDCUP!$X$4:$X$147,MATCH(ADMIN!K69,WORLDCUP!$DT$4:$DT$147,0))+INDEX(Horarios!$R$3:$R$86,MATCH(Horarios!$C$3,Horarios!$P$3:$P$86,0))/24)</f>
        <v>46199</v>
      </c>
      <c r="I69" s="48">
        <v>1</v>
      </c>
      <c r="J69" s="96"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51"/>
        <v>0</v>
      </c>
      <c r="R69" s="49"/>
      <c r="S69" s="74" t="s">
        <v>1954</v>
      </c>
      <c r="T69" s="73">
        <f t="shared" si="48"/>
        <v>0</v>
      </c>
      <c r="U69" s="65"/>
      <c r="V69" s="74" t="s">
        <v>1994</v>
      </c>
      <c r="W69" s="73">
        <f t="shared" si="58"/>
        <v>0</v>
      </c>
      <c r="X69" s="65"/>
      <c r="Y69" s="74" t="s">
        <v>1944</v>
      </c>
      <c r="Z69" s="73">
        <f t="shared" si="63"/>
        <v>0</v>
      </c>
      <c r="AA69" s="65"/>
      <c r="AB69" s="74" t="s">
        <v>1952</v>
      </c>
      <c r="AC69" s="73">
        <f t="shared" si="63"/>
        <v>0</v>
      </c>
      <c r="AD69" s="65"/>
      <c r="AE69" s="74" t="s">
        <v>1942</v>
      </c>
      <c r="AF69" s="73">
        <f t="shared" si="63"/>
        <v>0</v>
      </c>
      <c r="AG69" s="65"/>
      <c r="AH69" s="74" t="s">
        <v>1952</v>
      </c>
      <c r="AI69" s="73">
        <f t="shared" si="63"/>
        <v>0</v>
      </c>
      <c r="AJ69" s="65"/>
      <c r="AK69" s="74" t="s">
        <v>1954</v>
      </c>
      <c r="AL69" s="73">
        <f t="shared" si="63"/>
        <v>0</v>
      </c>
      <c r="AM69" s="65"/>
      <c r="AN69" s="74" t="s">
        <v>1954</v>
      </c>
      <c r="AO69" s="73">
        <f t="shared" si="63"/>
        <v>0</v>
      </c>
      <c r="AP69" s="65"/>
      <c r="AQ69" s="74" t="s">
        <v>1954</v>
      </c>
      <c r="AR69" s="73">
        <f t="shared" si="63"/>
        <v>0</v>
      </c>
      <c r="AS69" s="65"/>
      <c r="AT69" s="74" t="s">
        <v>1954</v>
      </c>
      <c r="AU69" s="73">
        <f t="shared" si="63"/>
        <v>0</v>
      </c>
      <c r="AV69" s="65"/>
      <c r="AW69" s="74" t="s">
        <v>1995</v>
      </c>
      <c r="AX69" s="73">
        <f t="shared" si="63"/>
        <v>0</v>
      </c>
      <c r="AY69" s="65"/>
      <c r="AZ69" s="74" t="s">
        <v>1995</v>
      </c>
      <c r="BA69" s="73">
        <f t="shared" si="63"/>
        <v>0</v>
      </c>
      <c r="BB69" s="65"/>
      <c r="BC69" s="74" t="s">
        <v>1948</v>
      </c>
      <c r="BD69" s="73">
        <f t="shared" si="63"/>
        <v>0</v>
      </c>
      <c r="BE69" s="65"/>
      <c r="BF69" s="74" t="s">
        <v>1954</v>
      </c>
      <c r="BG69" s="73">
        <f t="shared" si="63"/>
        <v>0</v>
      </c>
      <c r="BH69" s="65"/>
      <c r="BI69" s="74" t="s">
        <v>1954</v>
      </c>
      <c r="BJ69" s="73">
        <f t="shared" si="63"/>
        <v>0</v>
      </c>
      <c r="BK69" s="65"/>
      <c r="BL69" s="74" t="s">
        <v>1995</v>
      </c>
      <c r="BM69" s="73">
        <f t="shared" si="63"/>
        <v>0</v>
      </c>
      <c r="BN69" s="65"/>
      <c r="BO69" s="74" t="s">
        <v>1954</v>
      </c>
      <c r="BP69" s="73">
        <f t="shared" si="63"/>
        <v>0</v>
      </c>
      <c r="BQ69" s="65"/>
      <c r="BR69" s="74" t="s">
        <v>1945</v>
      </c>
      <c r="BS69" s="73">
        <f t="shared" si="63"/>
        <v>0</v>
      </c>
      <c r="BT69" s="65"/>
      <c r="BU69" s="74" t="s">
        <v>1945</v>
      </c>
      <c r="BV69" s="73">
        <f t="shared" si="63"/>
        <v>0</v>
      </c>
      <c r="BW69" s="65"/>
      <c r="BX69" s="74" t="s">
        <v>1995</v>
      </c>
      <c r="BY69" s="73">
        <f t="shared" si="63"/>
        <v>0</v>
      </c>
      <c r="BZ69" s="65"/>
      <c r="CA69" s="74" t="s">
        <v>1992</v>
      </c>
      <c r="CB69" s="73">
        <f t="shared" si="63"/>
        <v>0</v>
      </c>
      <c r="CC69" s="65"/>
      <c r="CD69" s="74" t="s">
        <v>1954</v>
      </c>
      <c r="CE69" s="73">
        <f t="shared" si="63"/>
        <v>0</v>
      </c>
      <c r="CF69" s="65"/>
      <c r="CG69" s="74" t="s">
        <v>1997</v>
      </c>
      <c r="CH69" s="73">
        <f t="shared" si="63"/>
        <v>0</v>
      </c>
      <c r="CI69" s="65"/>
      <c r="CJ69" s="74" t="s">
        <v>1945</v>
      </c>
      <c r="CK69" s="73">
        <f t="shared" si="62"/>
        <v>0</v>
      </c>
      <c r="CL69" s="65"/>
      <c r="CM69" s="74" t="s">
        <v>1942</v>
      </c>
      <c r="CN69" s="73">
        <f t="shared" si="62"/>
        <v>0</v>
      </c>
      <c r="CO69" s="65"/>
      <c r="CP69" s="65"/>
    </row>
    <row r="70" spans="1:94">
      <c r="A70" s="49"/>
      <c r="B70" s="49"/>
      <c r="C70" s="17"/>
      <c r="D70" s="17"/>
      <c r="E70" s="111"/>
      <c r="F70" s="445">
        <f t="shared" si="47"/>
        <v>6</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51"/>
        <v>0</v>
      </c>
      <c r="R70" s="49"/>
      <c r="S70" s="74" t="s">
        <v>1954</v>
      </c>
      <c r="T70" s="73">
        <f t="shared" si="48"/>
        <v>0</v>
      </c>
      <c r="U70" s="65"/>
      <c r="V70" s="74" t="s">
        <v>1952</v>
      </c>
      <c r="W70" s="73">
        <f t="shared" si="58"/>
        <v>0</v>
      </c>
      <c r="X70" s="65"/>
      <c r="Y70" s="74" t="s">
        <v>1942</v>
      </c>
      <c r="Z70" s="73">
        <f t="shared" si="63"/>
        <v>0</v>
      </c>
      <c r="AA70" s="65"/>
      <c r="AB70" s="74" t="s">
        <v>1942</v>
      </c>
      <c r="AC70" s="73">
        <f t="shared" si="63"/>
        <v>0</v>
      </c>
      <c r="AD70" s="65"/>
      <c r="AE70" s="74" t="s">
        <v>1954</v>
      </c>
      <c r="AF70" s="73">
        <f t="shared" si="63"/>
        <v>0</v>
      </c>
      <c r="AG70" s="65"/>
      <c r="AH70" s="74" t="s">
        <v>1954</v>
      </c>
      <c r="AI70" s="73">
        <f t="shared" si="63"/>
        <v>0</v>
      </c>
      <c r="AJ70" s="65"/>
      <c r="AK70" s="74" t="s">
        <v>1954</v>
      </c>
      <c r="AL70" s="73">
        <f t="shared" si="63"/>
        <v>0</v>
      </c>
      <c r="AM70" s="65"/>
      <c r="AN70" s="74" t="s">
        <v>1954</v>
      </c>
      <c r="AO70" s="73">
        <f t="shared" si="63"/>
        <v>0</v>
      </c>
      <c r="AP70" s="65"/>
      <c r="AQ70" s="74" t="s">
        <v>1944</v>
      </c>
      <c r="AR70" s="73">
        <f t="shared" si="63"/>
        <v>0</v>
      </c>
      <c r="AS70" s="65"/>
      <c r="AT70" s="74" t="s">
        <v>1954</v>
      </c>
      <c r="AU70" s="73">
        <f t="shared" si="63"/>
        <v>0</v>
      </c>
      <c r="AV70" s="65"/>
      <c r="AW70" s="74" t="s">
        <v>1953</v>
      </c>
      <c r="AX70" s="73">
        <f t="shared" si="63"/>
        <v>0</v>
      </c>
      <c r="AY70" s="65"/>
      <c r="AZ70" s="74" t="s">
        <v>1954</v>
      </c>
      <c r="BA70" s="73">
        <f t="shared" si="63"/>
        <v>0</v>
      </c>
      <c r="BB70" s="65"/>
      <c r="BC70" s="74" t="s">
        <v>1995</v>
      </c>
      <c r="BD70" s="73">
        <f t="shared" si="63"/>
        <v>0</v>
      </c>
      <c r="BE70" s="65"/>
      <c r="BF70" s="74" t="s">
        <v>1942</v>
      </c>
      <c r="BG70" s="73">
        <f t="shared" si="63"/>
        <v>0</v>
      </c>
      <c r="BH70" s="65"/>
      <c r="BI70" s="74" t="s">
        <v>1992</v>
      </c>
      <c r="BJ70" s="73">
        <f t="shared" si="63"/>
        <v>0</v>
      </c>
      <c r="BK70" s="65"/>
      <c r="BL70" s="74" t="s">
        <v>1952</v>
      </c>
      <c r="BM70" s="73">
        <f t="shared" si="63"/>
        <v>0</v>
      </c>
      <c r="BN70" s="65"/>
      <c r="BO70" s="74" t="s">
        <v>1952</v>
      </c>
      <c r="BP70" s="73">
        <f t="shared" si="63"/>
        <v>0</v>
      </c>
      <c r="BQ70" s="65"/>
      <c r="BR70" s="74" t="s">
        <v>1945</v>
      </c>
      <c r="BS70" s="73">
        <f t="shared" si="63"/>
        <v>0</v>
      </c>
      <c r="BT70" s="65"/>
      <c r="BU70" s="74" t="s">
        <v>1992</v>
      </c>
      <c r="BV70" s="73">
        <f t="shared" si="63"/>
        <v>0</v>
      </c>
      <c r="BW70" s="65"/>
      <c r="BX70" s="74" t="s">
        <v>1995</v>
      </c>
      <c r="BY70" s="73">
        <f t="shared" si="63"/>
        <v>0</v>
      </c>
      <c r="BZ70" s="65"/>
      <c r="CA70" s="74" t="s">
        <v>1997</v>
      </c>
      <c r="CB70" s="73">
        <f t="shared" si="63"/>
        <v>0</v>
      </c>
      <c r="CC70" s="65"/>
      <c r="CD70" s="74" t="s">
        <v>1954</v>
      </c>
      <c r="CE70" s="73">
        <f t="shared" si="63"/>
        <v>0</v>
      </c>
      <c r="CF70" s="65"/>
      <c r="CG70" s="74" t="s">
        <v>1952</v>
      </c>
      <c r="CH70" s="73">
        <f t="shared" si="63"/>
        <v>0</v>
      </c>
      <c r="CI70" s="65"/>
      <c r="CJ70" s="74" t="s">
        <v>1942</v>
      </c>
      <c r="CK70" s="73">
        <f t="shared" si="62"/>
        <v>0</v>
      </c>
      <c r="CL70" s="65"/>
      <c r="CM70" s="74" t="s">
        <v>1954</v>
      </c>
      <c r="CN70" s="73">
        <f t="shared" si="62"/>
        <v>0</v>
      </c>
      <c r="CO70" s="65"/>
      <c r="CP70" s="65"/>
    </row>
    <row r="71" spans="1:94">
      <c r="A71" s="49"/>
      <c r="B71" s="49"/>
      <c r="C71" s="17"/>
      <c r="D71" s="17"/>
      <c r="E71" s="111"/>
      <c r="F71" s="445">
        <f t="shared" ref="F71:F77" si="64">SUM($D$8:$D$10)*I71</f>
        <v>6</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65">ABS(O71-P71)</f>
        <v>0</v>
      </c>
      <c r="R71" s="49"/>
      <c r="S71" s="74" t="s">
        <v>1942</v>
      </c>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0</v>
      </c>
      <c r="U71" s="65"/>
      <c r="V71" s="74" t="s">
        <v>1942</v>
      </c>
      <c r="W71" s="73">
        <f t="shared" si="58"/>
        <v>0</v>
      </c>
      <c r="X71" s="65"/>
      <c r="Y71" s="74" t="s">
        <v>1948</v>
      </c>
      <c r="Z71" s="73">
        <f t="shared" si="63"/>
        <v>0</v>
      </c>
      <c r="AA71" s="65"/>
      <c r="AB71" s="74" t="s">
        <v>1941</v>
      </c>
      <c r="AC71" s="73">
        <f t="shared" si="63"/>
        <v>0</v>
      </c>
      <c r="AD71" s="65"/>
      <c r="AE71" s="74" t="s">
        <v>1941</v>
      </c>
      <c r="AF71" s="73">
        <f t="shared" si="63"/>
        <v>0</v>
      </c>
      <c r="AG71" s="65"/>
      <c r="AH71" s="74" t="s">
        <v>1941</v>
      </c>
      <c r="AI71" s="73">
        <f t="shared" si="63"/>
        <v>0</v>
      </c>
      <c r="AJ71" s="65"/>
      <c r="AK71" s="74" t="s">
        <v>1941</v>
      </c>
      <c r="AL71" s="73">
        <f t="shared" si="63"/>
        <v>0</v>
      </c>
      <c r="AM71" s="65"/>
      <c r="AN71" s="74" t="s">
        <v>1941</v>
      </c>
      <c r="AO71" s="73">
        <f t="shared" si="63"/>
        <v>0</v>
      </c>
      <c r="AP71" s="65"/>
      <c r="AQ71" s="74" t="s">
        <v>1941</v>
      </c>
      <c r="AR71" s="73">
        <f t="shared" si="63"/>
        <v>0</v>
      </c>
      <c r="AS71" s="65"/>
      <c r="AT71" s="74" t="s">
        <v>1941</v>
      </c>
      <c r="AU71" s="73">
        <f t="shared" si="63"/>
        <v>0</v>
      </c>
      <c r="AV71" s="65"/>
      <c r="AW71" s="74" t="s">
        <v>2071</v>
      </c>
      <c r="AX71" s="73">
        <f t="shared" si="63"/>
        <v>0</v>
      </c>
      <c r="AY71" s="65"/>
      <c r="AZ71" s="74" t="s">
        <v>1943</v>
      </c>
      <c r="BA71" s="73">
        <f t="shared" si="63"/>
        <v>0</v>
      </c>
      <c r="BB71" s="65"/>
      <c r="BC71" s="74" t="s">
        <v>1948</v>
      </c>
      <c r="BD71" s="73">
        <f t="shared" si="63"/>
        <v>0</v>
      </c>
      <c r="BE71" s="65"/>
      <c r="BF71" s="74" t="s">
        <v>1949</v>
      </c>
      <c r="BG71" s="73">
        <f t="shared" si="63"/>
        <v>0</v>
      </c>
      <c r="BH71" s="65"/>
      <c r="BI71" s="74" t="s">
        <v>1941</v>
      </c>
      <c r="BJ71" s="73">
        <f t="shared" si="63"/>
        <v>0</v>
      </c>
      <c r="BK71" s="65"/>
      <c r="BL71" s="74" t="s">
        <v>1941</v>
      </c>
      <c r="BM71" s="73">
        <f t="shared" si="63"/>
        <v>0</v>
      </c>
      <c r="BN71" s="65"/>
      <c r="BO71" s="74" t="s">
        <v>1941</v>
      </c>
      <c r="BP71" s="73">
        <f t="shared" si="63"/>
        <v>0</v>
      </c>
      <c r="BQ71" s="65"/>
      <c r="BR71" s="74" t="s">
        <v>1949</v>
      </c>
      <c r="BS71" s="73">
        <f t="shared" si="63"/>
        <v>0</v>
      </c>
      <c r="BT71" s="65"/>
      <c r="BU71" s="74" t="s">
        <v>1950</v>
      </c>
      <c r="BV71" s="73">
        <f t="shared" si="63"/>
        <v>0</v>
      </c>
      <c r="BW71" s="65"/>
      <c r="BX71" s="74" t="s">
        <v>1941</v>
      </c>
      <c r="BY71" s="73">
        <f t="shared" si="63"/>
        <v>0</v>
      </c>
      <c r="BZ71" s="65"/>
      <c r="CA71" s="74" t="s">
        <v>1943</v>
      </c>
      <c r="CB71" s="73">
        <f t="shared" si="63"/>
        <v>0</v>
      </c>
      <c r="CC71" s="65"/>
      <c r="CD71" s="74" t="s">
        <v>1949</v>
      </c>
      <c r="CE71" s="73">
        <f t="shared" si="63"/>
        <v>0</v>
      </c>
      <c r="CF71" s="65"/>
      <c r="CG71" s="74" t="s">
        <v>1942</v>
      </c>
      <c r="CH71" s="73">
        <f t="shared" si="63"/>
        <v>0</v>
      </c>
      <c r="CI71" s="65"/>
      <c r="CJ71" s="74" t="s">
        <v>1941</v>
      </c>
      <c r="CK71" s="73">
        <f t="shared" si="62"/>
        <v>0</v>
      </c>
      <c r="CL71" s="65"/>
      <c r="CM71" s="74" t="s">
        <v>1949</v>
      </c>
      <c r="CN71" s="73">
        <f t="shared" si="62"/>
        <v>0</v>
      </c>
      <c r="CO71" s="65"/>
      <c r="CP71" s="65"/>
    </row>
    <row r="72" spans="1:94">
      <c r="A72" s="49"/>
      <c r="B72" s="49"/>
      <c r="C72" s="17"/>
      <c r="D72" s="17"/>
      <c r="E72" s="111"/>
      <c r="F72" s="445">
        <f t="shared" si="64"/>
        <v>6</v>
      </c>
      <c r="G72" s="445">
        <f ca="1">VLOOKUP(H72,Equipos!$Q$1:$R$25,2,0)</f>
        <v>17</v>
      </c>
      <c r="H72" s="446">
        <f ca="1">TRUNC(INDEX(WORLDCUP!$X$4:$X$147,MATCH(ADMIN!K72,WORLDCUP!$DT$4:$DT$147,0))+INDEX(Horarios!$R$3:$R$86,MATCH(Horarios!$C$3,Horarios!$P$3:$P$86,0))/24)</f>
        <v>46200</v>
      </c>
      <c r="I72" s="48">
        <v>1</v>
      </c>
      <c r="J72" s="96"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65"/>
        <v>0</v>
      </c>
      <c r="R72" s="49"/>
      <c r="S72" s="74" t="s">
        <v>1944</v>
      </c>
      <c r="T72" s="73">
        <f t="shared" si="66"/>
        <v>0</v>
      </c>
      <c r="U72" s="65"/>
      <c r="V72" s="74" t="s">
        <v>1945</v>
      </c>
      <c r="W72" s="73">
        <f t="shared" si="58"/>
        <v>0</v>
      </c>
      <c r="X72" s="65"/>
      <c r="Y72" s="74" t="s">
        <v>1942</v>
      </c>
      <c r="Z72" s="73">
        <f t="shared" si="63"/>
        <v>0</v>
      </c>
      <c r="AA72" s="65"/>
      <c r="AB72" s="74" t="s">
        <v>1943</v>
      </c>
      <c r="AC72" s="73">
        <f t="shared" si="63"/>
        <v>0</v>
      </c>
      <c r="AD72" s="65"/>
      <c r="AE72" s="74" t="s">
        <v>1942</v>
      </c>
      <c r="AF72" s="73">
        <f t="shared" si="63"/>
        <v>0</v>
      </c>
      <c r="AG72" s="65"/>
      <c r="AH72" s="74" t="s">
        <v>1954</v>
      </c>
      <c r="AI72" s="73">
        <f t="shared" si="63"/>
        <v>0</v>
      </c>
      <c r="AJ72" s="65"/>
      <c r="AK72" s="74" t="s">
        <v>1944</v>
      </c>
      <c r="AL72" s="73">
        <f t="shared" si="63"/>
        <v>0</v>
      </c>
      <c r="AM72" s="65"/>
      <c r="AN72" s="74" t="s">
        <v>1944</v>
      </c>
      <c r="AO72" s="73">
        <f t="shared" si="63"/>
        <v>0</v>
      </c>
      <c r="AP72" s="65"/>
      <c r="AQ72" s="74" t="s">
        <v>1944</v>
      </c>
      <c r="AR72" s="73">
        <f t="shared" si="63"/>
        <v>0</v>
      </c>
      <c r="AS72" s="65"/>
      <c r="AT72" s="74" t="s">
        <v>1942</v>
      </c>
      <c r="AU72" s="73">
        <f t="shared" si="63"/>
        <v>0</v>
      </c>
      <c r="AV72" s="65"/>
      <c r="AW72" s="74" t="s">
        <v>1948</v>
      </c>
      <c r="AX72" s="73">
        <f t="shared" si="63"/>
        <v>0</v>
      </c>
      <c r="AY72" s="65"/>
      <c r="AZ72" s="74" t="s">
        <v>1941</v>
      </c>
      <c r="BA72" s="73">
        <f t="shared" si="63"/>
        <v>0</v>
      </c>
      <c r="BB72" s="65"/>
      <c r="BC72" s="74" t="s">
        <v>1948</v>
      </c>
      <c r="BD72" s="73">
        <f t="shared" si="63"/>
        <v>0</v>
      </c>
      <c r="BE72" s="65"/>
      <c r="BF72" s="74" t="s">
        <v>1943</v>
      </c>
      <c r="BG72" s="73">
        <f t="shared" si="63"/>
        <v>0</v>
      </c>
      <c r="BH72" s="65"/>
      <c r="BI72" s="74" t="s">
        <v>1946</v>
      </c>
      <c r="BJ72" s="73">
        <f t="shared" si="63"/>
        <v>0</v>
      </c>
      <c r="BK72" s="65"/>
      <c r="BL72" s="74" t="s">
        <v>1946</v>
      </c>
      <c r="BM72" s="73">
        <f t="shared" si="63"/>
        <v>0</v>
      </c>
      <c r="BN72" s="65"/>
      <c r="BO72" s="74" t="s">
        <v>1944</v>
      </c>
      <c r="BP72" s="73">
        <f t="shared" si="63"/>
        <v>0</v>
      </c>
      <c r="BQ72" s="65"/>
      <c r="BR72" s="74" t="s">
        <v>1954</v>
      </c>
      <c r="BS72" s="73">
        <f t="shared" si="63"/>
        <v>0</v>
      </c>
      <c r="BT72" s="65"/>
      <c r="BU72" s="74" t="s">
        <v>1944</v>
      </c>
      <c r="BV72" s="73">
        <f t="shared" si="63"/>
        <v>0</v>
      </c>
      <c r="BW72" s="65"/>
      <c r="BX72" s="74" t="s">
        <v>1954</v>
      </c>
      <c r="BY72" s="73">
        <f t="shared" si="63"/>
        <v>0</v>
      </c>
      <c r="BZ72" s="65"/>
      <c r="CA72" s="74" t="s">
        <v>1952</v>
      </c>
      <c r="CB72" s="73">
        <f t="shared" si="63"/>
        <v>0</v>
      </c>
      <c r="CC72" s="65"/>
      <c r="CD72" s="74" t="s">
        <v>1944</v>
      </c>
      <c r="CE72" s="73">
        <f t="shared" si="63"/>
        <v>0</v>
      </c>
      <c r="CF72" s="65"/>
      <c r="CG72" s="74" t="s">
        <v>1995</v>
      </c>
      <c r="CH72" s="73">
        <f t="shared" si="63"/>
        <v>0</v>
      </c>
      <c r="CI72" s="65"/>
      <c r="CJ72" s="74" t="s">
        <v>1954</v>
      </c>
      <c r="CK72" s="73">
        <f t="shared" si="62"/>
        <v>0</v>
      </c>
      <c r="CL72" s="65"/>
      <c r="CM72" s="74" t="s">
        <v>1954</v>
      </c>
      <c r="CN72" s="73">
        <f t="shared" si="62"/>
        <v>0</v>
      </c>
      <c r="CO72" s="65"/>
      <c r="CP72" s="65"/>
    </row>
    <row r="73" spans="1:94">
      <c r="A73" s="49"/>
      <c r="B73" s="49"/>
      <c r="C73" s="49"/>
      <c r="D73" s="49"/>
      <c r="E73" s="111"/>
      <c r="F73" s="445">
        <f t="shared" si="64"/>
        <v>6</v>
      </c>
      <c r="G73" s="445">
        <f ca="1">VLOOKUP(H73,Equipos!$Q$1:$R$25,2,0)</f>
        <v>17</v>
      </c>
      <c r="H73" s="446">
        <f ca="1">TRUNC(INDEX(WORLDCUP!$X$4:$X$147,MATCH(ADMIN!K73,WORLDCUP!$DT$4:$DT$147,0))+INDEX(Horarios!$R$3:$R$86,MATCH(Horarios!$C$3,Horarios!$P$3:$P$86,0))/24)</f>
        <v>46200</v>
      </c>
      <c r="I73" s="48">
        <v>1</v>
      </c>
      <c r="J73" s="96"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65"/>
        <v>0</v>
      </c>
      <c r="R73" s="49"/>
      <c r="S73" s="74" t="s">
        <v>1953</v>
      </c>
      <c r="T73" s="73">
        <f t="shared" si="66"/>
        <v>0</v>
      </c>
      <c r="U73" s="65"/>
      <c r="V73" s="74" t="s">
        <v>1997</v>
      </c>
      <c r="W73" s="73">
        <f t="shared" si="58"/>
        <v>0</v>
      </c>
      <c r="X73" s="65"/>
      <c r="Y73" s="74" t="s">
        <v>1952</v>
      </c>
      <c r="Z73" s="73">
        <f t="shared" si="63"/>
        <v>0</v>
      </c>
      <c r="AA73" s="65"/>
      <c r="AB73" s="74" t="s">
        <v>1996</v>
      </c>
      <c r="AC73" s="73">
        <f t="shared" si="63"/>
        <v>0</v>
      </c>
      <c r="AD73" s="65"/>
      <c r="AE73" s="74" t="s">
        <v>1954</v>
      </c>
      <c r="AF73" s="73">
        <f t="shared" si="63"/>
        <v>0</v>
      </c>
      <c r="AG73" s="65"/>
      <c r="AH73" s="74" t="s">
        <v>1953</v>
      </c>
      <c r="AI73" s="73">
        <f t="shared" si="63"/>
        <v>0</v>
      </c>
      <c r="AJ73" s="65"/>
      <c r="AK73" s="74" t="s">
        <v>1952</v>
      </c>
      <c r="AL73" s="73">
        <f t="shared" si="63"/>
        <v>0</v>
      </c>
      <c r="AM73" s="65"/>
      <c r="AN73" s="74" t="s">
        <v>1953</v>
      </c>
      <c r="AO73" s="73">
        <f t="shared" si="63"/>
        <v>0</v>
      </c>
      <c r="AP73" s="65"/>
      <c r="AQ73" s="74" t="s">
        <v>1953</v>
      </c>
      <c r="AR73" s="73">
        <f t="shared" si="63"/>
        <v>0</v>
      </c>
      <c r="AS73" s="65"/>
      <c r="AT73" s="74" t="s">
        <v>2071</v>
      </c>
      <c r="AU73" s="73">
        <f t="shared" si="63"/>
        <v>0</v>
      </c>
      <c r="AV73" s="65"/>
      <c r="AW73" s="74" t="s">
        <v>2071</v>
      </c>
      <c r="AX73" s="73">
        <f t="shared" si="63"/>
        <v>0</v>
      </c>
      <c r="AY73" s="65"/>
      <c r="AZ73" s="74" t="s">
        <v>1945</v>
      </c>
      <c r="BA73" s="73">
        <f t="shared" si="63"/>
        <v>0</v>
      </c>
      <c r="BB73" s="65"/>
      <c r="BC73" s="74" t="s">
        <v>1996</v>
      </c>
      <c r="BD73" s="73">
        <f t="shared" si="63"/>
        <v>0</v>
      </c>
      <c r="BE73" s="65"/>
      <c r="BF73" s="74" t="s">
        <v>1952</v>
      </c>
      <c r="BG73" s="73">
        <f t="shared" si="63"/>
        <v>0</v>
      </c>
      <c r="BH73" s="65"/>
      <c r="BI73" s="74" t="s">
        <v>1945</v>
      </c>
      <c r="BJ73" s="73">
        <f t="shared" si="63"/>
        <v>0</v>
      </c>
      <c r="BK73" s="65"/>
      <c r="BL73" s="74" t="s">
        <v>1945</v>
      </c>
      <c r="BM73" s="73">
        <f t="shared" si="63"/>
        <v>0</v>
      </c>
      <c r="BN73" s="65"/>
      <c r="BO73" s="74" t="s">
        <v>1953</v>
      </c>
      <c r="BP73" s="73">
        <f t="shared" si="63"/>
        <v>0</v>
      </c>
      <c r="BQ73" s="65"/>
      <c r="BR73" s="74" t="s">
        <v>1953</v>
      </c>
      <c r="BS73" s="73">
        <f t="shared" si="63"/>
        <v>0</v>
      </c>
      <c r="BT73" s="65"/>
      <c r="BU73" s="74" t="s">
        <v>1945</v>
      </c>
      <c r="BV73" s="73">
        <f t="shared" si="63"/>
        <v>0</v>
      </c>
      <c r="BW73" s="65"/>
      <c r="BX73" s="74" t="s">
        <v>1953</v>
      </c>
      <c r="BY73" s="73">
        <f t="shared" si="63"/>
        <v>0</v>
      </c>
      <c r="BZ73" s="65"/>
      <c r="CA73" s="74" t="s">
        <v>1947</v>
      </c>
      <c r="CB73" s="73">
        <f t="shared" si="63"/>
        <v>0</v>
      </c>
      <c r="CC73" s="65"/>
      <c r="CD73" s="74" t="s">
        <v>1952</v>
      </c>
      <c r="CE73" s="73">
        <f t="shared" si="63"/>
        <v>0</v>
      </c>
      <c r="CF73" s="65"/>
      <c r="CG73" s="74" t="s">
        <v>1952</v>
      </c>
      <c r="CH73" s="73">
        <f t="shared" si="63"/>
        <v>0</v>
      </c>
      <c r="CI73" s="65"/>
      <c r="CJ73" s="74" t="s">
        <v>1953</v>
      </c>
      <c r="CK73" s="73">
        <f t="shared" si="62"/>
        <v>0</v>
      </c>
      <c r="CL73" s="65"/>
      <c r="CM73" s="74" t="s">
        <v>2071</v>
      </c>
      <c r="CN73" s="73">
        <f t="shared" si="62"/>
        <v>0</v>
      </c>
      <c r="CO73" s="65"/>
      <c r="CP73" s="65"/>
    </row>
    <row r="74" spans="1:94">
      <c r="A74" s="49"/>
      <c r="B74" s="49"/>
      <c r="C74" s="49"/>
      <c r="D74" s="49"/>
      <c r="E74" s="111"/>
      <c r="F74" s="445">
        <f t="shared" si="64"/>
        <v>6</v>
      </c>
      <c r="G74" s="445">
        <f ca="1">VLOOKUP(H74,Equipos!$Q$1:$R$25,2,0)</f>
        <v>17</v>
      </c>
      <c r="H74" s="446">
        <f ca="1">TRUNC(INDEX(WORLDCUP!$X$4:$X$147,MATCH(ADMIN!K74,WORLDCUP!$DT$4:$DT$147,0))+INDEX(Horarios!$R$3:$R$86,MATCH(Horarios!$C$3,Horarios!$P$3:$P$86,0))/24)</f>
        <v>46200</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65"/>
        <v>0</v>
      </c>
      <c r="R74" s="49"/>
      <c r="S74" s="74" t="s">
        <v>1954</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1996</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1944</v>
      </c>
      <c r="Z74" s="73">
        <f t="shared" si="63"/>
        <v>0</v>
      </c>
      <c r="AA74" s="65"/>
      <c r="AB74" s="74" t="s">
        <v>1954</v>
      </c>
      <c r="AC74" s="73">
        <f t="shared" si="63"/>
        <v>0</v>
      </c>
      <c r="AD74" s="65"/>
      <c r="AE74" s="74" t="s">
        <v>1954</v>
      </c>
      <c r="AF74" s="73">
        <f t="shared" si="63"/>
        <v>0</v>
      </c>
      <c r="AG74" s="65"/>
      <c r="AH74" s="74" t="s">
        <v>1954</v>
      </c>
      <c r="AI74" s="73">
        <f t="shared" si="63"/>
        <v>0</v>
      </c>
      <c r="AJ74" s="65"/>
      <c r="AK74" s="74" t="s">
        <v>1995</v>
      </c>
      <c r="AL74" s="73">
        <f t="shared" si="63"/>
        <v>0</v>
      </c>
      <c r="AM74" s="65"/>
      <c r="AN74" s="74" t="s">
        <v>1954</v>
      </c>
      <c r="AO74" s="73">
        <f t="shared" si="63"/>
        <v>0</v>
      </c>
      <c r="AP74" s="65"/>
      <c r="AQ74" s="74" t="s">
        <v>1954</v>
      </c>
      <c r="AR74" s="73">
        <f t="shared" si="63"/>
        <v>0</v>
      </c>
      <c r="AS74" s="65"/>
      <c r="AT74" s="74" t="s">
        <v>1954</v>
      </c>
      <c r="AU74" s="73">
        <f t="shared" si="63"/>
        <v>0</v>
      </c>
      <c r="AV74" s="65"/>
      <c r="AW74" s="74" t="s">
        <v>1942</v>
      </c>
      <c r="AX74" s="73">
        <f t="shared" si="63"/>
        <v>0</v>
      </c>
      <c r="AY74" s="65"/>
      <c r="AZ74" s="74" t="s">
        <v>1995</v>
      </c>
      <c r="BA74" s="73">
        <f t="shared" si="63"/>
        <v>0</v>
      </c>
      <c r="BB74" s="65"/>
      <c r="BC74" s="74" t="s">
        <v>1952</v>
      </c>
      <c r="BD74" s="73">
        <f t="shared" si="63"/>
        <v>0</v>
      </c>
      <c r="BE74" s="65"/>
      <c r="BF74" s="74" t="s">
        <v>1992</v>
      </c>
      <c r="BG74" s="73">
        <f t="shared" si="63"/>
        <v>0</v>
      </c>
      <c r="BH74" s="65"/>
      <c r="BI74" s="74" t="s">
        <v>1954</v>
      </c>
      <c r="BJ74" s="73">
        <f t="shared" si="63"/>
        <v>0</v>
      </c>
      <c r="BK74" s="65"/>
      <c r="BL74" s="74" t="s">
        <v>1992</v>
      </c>
      <c r="BM74" s="73">
        <f t="shared" si="63"/>
        <v>0</v>
      </c>
      <c r="BN74" s="65"/>
      <c r="BO74" s="74" t="s">
        <v>1954</v>
      </c>
      <c r="BP74" s="73">
        <f t="shared" si="63"/>
        <v>0</v>
      </c>
      <c r="BQ74" s="65"/>
      <c r="BR74" s="74" t="s">
        <v>1942</v>
      </c>
      <c r="BS74" s="73">
        <f t="shared" si="63"/>
        <v>0</v>
      </c>
      <c r="BT74" s="65"/>
      <c r="BU74" s="74" t="s">
        <v>1952</v>
      </c>
      <c r="BV74" s="73">
        <f t="shared" si="63"/>
        <v>0</v>
      </c>
      <c r="BW74" s="65"/>
      <c r="BX74" s="74" t="s">
        <v>1995</v>
      </c>
      <c r="BY74" s="73">
        <f t="shared" si="63"/>
        <v>0</v>
      </c>
      <c r="BZ74" s="65"/>
      <c r="CA74" s="74" t="s">
        <v>1943</v>
      </c>
      <c r="CB74" s="73">
        <f t="shared" si="63"/>
        <v>0</v>
      </c>
      <c r="CC74" s="65"/>
      <c r="CD74" s="74" t="s">
        <v>1995</v>
      </c>
      <c r="CE74" s="73">
        <f t="shared" si="63"/>
        <v>0</v>
      </c>
      <c r="CF74" s="65"/>
      <c r="CG74" s="74" t="s">
        <v>1992</v>
      </c>
      <c r="CH74" s="73">
        <f t="shared" si="63"/>
        <v>0</v>
      </c>
      <c r="CI74" s="65"/>
      <c r="CJ74" s="74" t="s">
        <v>1992</v>
      </c>
      <c r="CK74" s="73">
        <f t="shared" si="62"/>
        <v>0</v>
      </c>
      <c r="CL74" s="65"/>
      <c r="CM74" s="74" t="s">
        <v>1954</v>
      </c>
      <c r="CN74" s="73">
        <f t="shared" si="62"/>
        <v>0</v>
      </c>
      <c r="CO74" s="65"/>
      <c r="CP74" s="65"/>
    </row>
    <row r="75" spans="1:94">
      <c r="A75" s="49"/>
      <c r="B75" s="49"/>
      <c r="C75" s="49"/>
      <c r="D75" s="49"/>
      <c r="E75" s="111"/>
      <c r="F75" s="445">
        <f t="shared" si="64"/>
        <v>6</v>
      </c>
      <c r="G75" s="445">
        <f ca="1">VLOOKUP(H75,Equipos!$Q$1:$R$25,2,0)</f>
        <v>17</v>
      </c>
      <c r="H75" s="446">
        <f ca="1">TRUNC(INDEX(WORLDCUP!$X$4:$X$147,MATCH(ADMIN!K75,WORLDCUP!$DT$4:$DT$147,0))+INDEX(Horarios!$R$3:$R$86,MATCH(Horarios!$C$3,Horarios!$P$3:$P$86,0))/24)</f>
        <v>46200</v>
      </c>
      <c r="I75" s="48">
        <v>1</v>
      </c>
      <c r="J75" s="95"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65"/>
        <v>0</v>
      </c>
      <c r="R75" s="49"/>
      <c r="S75" s="74" t="s">
        <v>1942</v>
      </c>
      <c r="T75" s="73">
        <f t="shared" si="66"/>
        <v>0</v>
      </c>
      <c r="U75" s="65"/>
      <c r="V75" s="74" t="s">
        <v>1945</v>
      </c>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t="s">
        <v>1943</v>
      </c>
      <c r="Z75" s="73">
        <f t="shared" si="63"/>
        <v>0</v>
      </c>
      <c r="AA75" s="65"/>
      <c r="AB75" s="74" t="s">
        <v>1945</v>
      </c>
      <c r="AC75" s="73">
        <f t="shared" si="63"/>
        <v>0</v>
      </c>
      <c r="AD75" s="65"/>
      <c r="AE75" s="74" t="s">
        <v>1946</v>
      </c>
      <c r="AF75" s="73">
        <f t="shared" si="63"/>
        <v>0</v>
      </c>
      <c r="AG75" s="65"/>
      <c r="AH75" s="74" t="s">
        <v>1942</v>
      </c>
      <c r="AI75" s="73">
        <f t="shared" si="63"/>
        <v>0</v>
      </c>
      <c r="AJ75" s="65"/>
      <c r="AK75" s="74" t="s">
        <v>1944</v>
      </c>
      <c r="AL75" s="73">
        <f t="shared" si="63"/>
        <v>0</v>
      </c>
      <c r="AM75" s="65"/>
      <c r="AN75" s="74" t="s">
        <v>1944</v>
      </c>
      <c r="AO75" s="73">
        <f t="shared" si="63"/>
        <v>0</v>
      </c>
      <c r="AP75" s="65"/>
      <c r="AQ75" s="74" t="s">
        <v>1943</v>
      </c>
      <c r="AR75" s="73">
        <f t="shared" si="63"/>
        <v>0</v>
      </c>
      <c r="AS75" s="65"/>
      <c r="AT75" s="74" t="s">
        <v>1942</v>
      </c>
      <c r="AU75" s="73">
        <f t="shared" si="63"/>
        <v>0</v>
      </c>
      <c r="AV75" s="65"/>
      <c r="AW75" s="74" t="s">
        <v>1943</v>
      </c>
      <c r="AX75" s="73">
        <f t="shared" si="63"/>
        <v>0</v>
      </c>
      <c r="AY75" s="65"/>
      <c r="AZ75" s="74" t="s">
        <v>1946</v>
      </c>
      <c r="BA75" s="73">
        <f t="shared" si="63"/>
        <v>0</v>
      </c>
      <c r="BB75" s="65"/>
      <c r="BC75" s="74" t="s">
        <v>1942</v>
      </c>
      <c r="BD75" s="73">
        <f t="shared" si="63"/>
        <v>0</v>
      </c>
      <c r="BE75" s="65"/>
      <c r="BF75" s="74" t="s">
        <v>1952</v>
      </c>
      <c r="BG75" s="73">
        <f t="shared" si="63"/>
        <v>0</v>
      </c>
      <c r="BH75" s="65"/>
      <c r="BI75" s="74" t="s">
        <v>1943</v>
      </c>
      <c r="BJ75" s="73">
        <f t="shared" si="63"/>
        <v>0</v>
      </c>
      <c r="BK75" s="65"/>
      <c r="BL75" s="74" t="s">
        <v>1943</v>
      </c>
      <c r="BM75" s="73">
        <f t="shared" si="63"/>
        <v>0</v>
      </c>
      <c r="BN75" s="65"/>
      <c r="BO75" s="74" t="s">
        <v>1943</v>
      </c>
      <c r="BP75" s="73">
        <f t="shared" si="63"/>
        <v>0</v>
      </c>
      <c r="BQ75" s="65"/>
      <c r="BR75" s="74" t="s">
        <v>1948</v>
      </c>
      <c r="BS75" s="73">
        <f t="shared" si="63"/>
        <v>0</v>
      </c>
      <c r="BT75" s="65"/>
      <c r="BU75" s="74" t="s">
        <v>1942</v>
      </c>
      <c r="BV75" s="73">
        <f t="shared" si="63"/>
        <v>0</v>
      </c>
      <c r="BW75" s="65"/>
      <c r="BX75" s="74" t="s">
        <v>1948</v>
      </c>
      <c r="BY75" s="73">
        <f t="shared" si="63"/>
        <v>0</v>
      </c>
      <c r="BZ75" s="65"/>
      <c r="CA75" s="74" t="s">
        <v>1946</v>
      </c>
      <c r="CB75" s="73">
        <f t="shared" si="63"/>
        <v>0</v>
      </c>
      <c r="CC75" s="65"/>
      <c r="CD75" s="74" t="s">
        <v>1942</v>
      </c>
      <c r="CE75" s="73">
        <f t="shared" si="63"/>
        <v>0</v>
      </c>
      <c r="CF75" s="65"/>
      <c r="CG75" s="74" t="s">
        <v>1942</v>
      </c>
      <c r="CH75" s="73">
        <f t="shared" si="63"/>
        <v>0</v>
      </c>
      <c r="CI75" s="65"/>
      <c r="CJ75" s="74" t="s">
        <v>1946</v>
      </c>
      <c r="CK75" s="73">
        <f t="shared" si="62"/>
        <v>0</v>
      </c>
      <c r="CL75" s="65"/>
      <c r="CM75" s="74" t="s">
        <v>1943</v>
      </c>
      <c r="CN75" s="73">
        <f t="shared" si="62"/>
        <v>0</v>
      </c>
      <c r="CO75" s="65"/>
      <c r="CP75" s="65"/>
    </row>
    <row r="76" spans="1:94">
      <c r="A76" s="49"/>
      <c r="B76" s="49"/>
      <c r="C76" s="17"/>
      <c r="D76" s="17"/>
      <c r="E76" s="111"/>
      <c r="F76" s="445">
        <f t="shared" si="64"/>
        <v>6</v>
      </c>
      <c r="G76" s="445">
        <f ca="1">VLOOKUP(H76,Equipos!$Q$1:$R$25,2,0)</f>
        <v>17</v>
      </c>
      <c r="H76" s="446">
        <f ca="1">TRUNC(INDEX(WORLDCUP!$X$4:$X$147,MATCH(ADMIN!K76,WORLDCUP!$DT$4:$DT$147,0))+INDEX(Horarios!$R$3:$R$86,MATCH(Horarios!$C$3,Horarios!$P$3:$P$86,0))/24)</f>
        <v>46200</v>
      </c>
      <c r="I76" s="48">
        <v>1</v>
      </c>
      <c r="J76" s="96"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65"/>
        <v>0</v>
      </c>
      <c r="R76" s="49"/>
      <c r="S76" s="74" t="s">
        <v>1944</v>
      </c>
      <c r="T76" s="73">
        <f t="shared" si="66"/>
        <v>0</v>
      </c>
      <c r="U76" s="65"/>
      <c r="V76" s="74" t="s">
        <v>1992</v>
      </c>
      <c r="W76" s="73">
        <f t="shared" si="67"/>
        <v>0</v>
      </c>
      <c r="X76" s="65"/>
      <c r="Y76" s="74" t="s">
        <v>1945</v>
      </c>
      <c r="Z76" s="73">
        <f t="shared" si="63"/>
        <v>0</v>
      </c>
      <c r="AA76" s="65"/>
      <c r="AB76" s="74" t="s">
        <v>1953</v>
      </c>
      <c r="AC76" s="73">
        <f t="shared" si="63"/>
        <v>0</v>
      </c>
      <c r="AD76" s="65"/>
      <c r="AE76" s="74" t="s">
        <v>1953</v>
      </c>
      <c r="AF76" s="73">
        <f t="shared" si="63"/>
        <v>0</v>
      </c>
      <c r="AG76" s="65"/>
      <c r="AH76" s="74" t="s">
        <v>1953</v>
      </c>
      <c r="AI76" s="73">
        <f t="shared" si="63"/>
        <v>0</v>
      </c>
      <c r="AJ76" s="65"/>
      <c r="AK76" s="74" t="s">
        <v>1945</v>
      </c>
      <c r="AL76" s="73">
        <f t="shared" si="63"/>
        <v>0</v>
      </c>
      <c r="AM76" s="65"/>
      <c r="AN76" s="74" t="s">
        <v>1953</v>
      </c>
      <c r="AO76" s="73">
        <f t="shared" si="63"/>
        <v>0</v>
      </c>
      <c r="AP76" s="65"/>
      <c r="AQ76" s="74" t="s">
        <v>1953</v>
      </c>
      <c r="AR76" s="73">
        <f t="shared" si="63"/>
        <v>0</v>
      </c>
      <c r="AS76" s="65"/>
      <c r="AT76" s="74" t="s">
        <v>1953</v>
      </c>
      <c r="AU76" s="73">
        <f t="shared" si="63"/>
        <v>0</v>
      </c>
      <c r="AV76" s="65"/>
      <c r="AW76" s="74" t="s">
        <v>1954</v>
      </c>
      <c r="AX76" s="73">
        <f t="shared" si="63"/>
        <v>0</v>
      </c>
      <c r="AY76" s="65"/>
      <c r="AZ76" s="74" t="s">
        <v>1953</v>
      </c>
      <c r="BA76" s="73">
        <f t="shared" si="63"/>
        <v>0</v>
      </c>
      <c r="BB76" s="65"/>
      <c r="BC76" s="74" t="s">
        <v>1953</v>
      </c>
      <c r="BD76" s="73">
        <f t="shared" si="63"/>
        <v>0</v>
      </c>
      <c r="BE76" s="65"/>
      <c r="BF76" s="74" t="s">
        <v>1996</v>
      </c>
      <c r="BG76" s="73">
        <f t="shared" si="63"/>
        <v>0</v>
      </c>
      <c r="BH76" s="65"/>
      <c r="BI76" s="74" t="s">
        <v>1953</v>
      </c>
      <c r="BJ76" s="73">
        <f t="shared" si="63"/>
        <v>0</v>
      </c>
      <c r="BK76" s="65"/>
      <c r="BL76" s="74" t="s">
        <v>1945</v>
      </c>
      <c r="BM76" s="73">
        <f t="shared" si="63"/>
        <v>0</v>
      </c>
      <c r="BN76" s="65"/>
      <c r="BO76" s="74" t="s">
        <v>2071</v>
      </c>
      <c r="BP76" s="73">
        <f t="shared" si="63"/>
        <v>0</v>
      </c>
      <c r="BQ76" s="65"/>
      <c r="BR76" s="74" t="s">
        <v>2071</v>
      </c>
      <c r="BS76" s="73">
        <f t="shared" si="63"/>
        <v>0</v>
      </c>
      <c r="BT76" s="65"/>
      <c r="BU76" s="74" t="s">
        <v>1945</v>
      </c>
      <c r="BV76" s="73">
        <f t="shared" si="63"/>
        <v>0</v>
      </c>
      <c r="BW76" s="65"/>
      <c r="BX76" s="74" t="s">
        <v>1953</v>
      </c>
      <c r="BY76" s="73">
        <f t="shared" si="63"/>
        <v>0</v>
      </c>
      <c r="BZ76" s="65"/>
      <c r="CA76" s="74" t="s">
        <v>1996</v>
      </c>
      <c r="CB76" s="73">
        <f t="shared" si="63"/>
        <v>0</v>
      </c>
      <c r="CC76" s="65"/>
      <c r="CD76" s="74" t="s">
        <v>2492</v>
      </c>
      <c r="CE76" s="73">
        <f t="shared" si="63"/>
        <v>0</v>
      </c>
      <c r="CF76" s="65"/>
      <c r="CG76" s="74" t="s">
        <v>1952</v>
      </c>
      <c r="CH76" s="73">
        <f t="shared" si="63"/>
        <v>0</v>
      </c>
      <c r="CI76" s="65"/>
      <c r="CJ76" s="74" t="s">
        <v>1954</v>
      </c>
      <c r="CK76" s="73">
        <f t="shared" si="62"/>
        <v>0</v>
      </c>
      <c r="CL76" s="65"/>
      <c r="CM76" s="74" t="s">
        <v>1953</v>
      </c>
      <c r="CN76" s="73">
        <f t="shared" si="62"/>
        <v>0</v>
      </c>
      <c r="CO76" s="65"/>
      <c r="CP76" s="65"/>
    </row>
    <row r="77" spans="1:94">
      <c r="A77" s="49"/>
      <c r="B77" s="49"/>
      <c r="C77" s="17"/>
      <c r="D77" s="17"/>
      <c r="E77" s="111"/>
      <c r="F77" s="445">
        <f t="shared" si="64"/>
        <v>6</v>
      </c>
      <c r="G77" s="445">
        <f ca="1">VLOOKUP(H77,Equipos!$Q$1:$R$25,2,0)</f>
        <v>17</v>
      </c>
      <c r="H77" s="446">
        <f ca="1">TRUNC(INDEX(WORLDCUP!$X$4:$X$147,MATCH(ADMIN!K77,WORLDCUP!$DT$4:$DT$147,0))+INDEX(Horarios!$R$3:$R$86,MATCH(Horarios!$C$3,Horarios!$P$3:$P$86,0))/24)</f>
        <v>46200</v>
      </c>
      <c r="I77" s="48">
        <v>1</v>
      </c>
      <c r="J77" s="96" t="s">
        <v>1198</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65"/>
        <v>0</v>
      </c>
      <c r="R77" s="49"/>
      <c r="S77" s="80" t="s">
        <v>1944</v>
      </c>
      <c r="T77" s="81">
        <f t="shared" si="66"/>
        <v>0</v>
      </c>
      <c r="U77" s="65"/>
      <c r="V77" s="80" t="s">
        <v>1945</v>
      </c>
      <c r="W77" s="81">
        <f t="shared" si="67"/>
        <v>0</v>
      </c>
      <c r="X77" s="65"/>
      <c r="Y77" s="80" t="s">
        <v>1942</v>
      </c>
      <c r="Z77" s="81">
        <f t="shared" si="63"/>
        <v>0</v>
      </c>
      <c r="AA77" s="65"/>
      <c r="AB77" s="80" t="s">
        <v>1943</v>
      </c>
      <c r="AC77" s="81">
        <f t="shared" si="63"/>
        <v>0</v>
      </c>
      <c r="AD77" s="65"/>
      <c r="AE77" s="80" t="s">
        <v>1948</v>
      </c>
      <c r="AF77" s="81">
        <f t="shared" si="63"/>
        <v>0</v>
      </c>
      <c r="AG77" s="65"/>
      <c r="AH77" s="80" t="s">
        <v>1948</v>
      </c>
      <c r="AI77" s="81">
        <f t="shared" si="63"/>
        <v>0</v>
      </c>
      <c r="AJ77" s="65"/>
      <c r="AK77" s="80" t="s">
        <v>1950</v>
      </c>
      <c r="AL77" s="81">
        <f t="shared" si="63"/>
        <v>0</v>
      </c>
      <c r="AM77" s="65"/>
      <c r="AN77" s="80" t="s">
        <v>1943</v>
      </c>
      <c r="AO77" s="81">
        <f t="shared" si="63"/>
        <v>0</v>
      </c>
      <c r="AP77" s="65"/>
      <c r="AQ77" s="80" t="s">
        <v>1948</v>
      </c>
      <c r="AR77" s="81">
        <f t="shared" si="63"/>
        <v>0</v>
      </c>
      <c r="AS77" s="65"/>
      <c r="AT77" s="80" t="s">
        <v>1942</v>
      </c>
      <c r="AU77" s="81">
        <f t="shared" si="63"/>
        <v>0</v>
      </c>
      <c r="AV77" s="65"/>
      <c r="AW77" s="80" t="s">
        <v>1943</v>
      </c>
      <c r="AX77" s="81">
        <f t="shared" si="63"/>
        <v>0</v>
      </c>
      <c r="AY77" s="65"/>
      <c r="AZ77" s="80" t="s">
        <v>1948</v>
      </c>
      <c r="BA77" s="81">
        <f t="shared" si="63"/>
        <v>0</v>
      </c>
      <c r="BB77" s="65"/>
      <c r="BC77" s="80" t="s">
        <v>1941</v>
      </c>
      <c r="BD77" s="81">
        <f t="shared" si="63"/>
        <v>0</v>
      </c>
      <c r="BE77" s="65"/>
      <c r="BF77" s="80" t="s">
        <v>1948</v>
      </c>
      <c r="BG77" s="81">
        <f t="shared" si="63"/>
        <v>0</v>
      </c>
      <c r="BH77" s="65"/>
      <c r="BI77" s="80" t="s">
        <v>1942</v>
      </c>
      <c r="BJ77" s="81">
        <f t="shared" si="63"/>
        <v>0</v>
      </c>
      <c r="BK77" s="65"/>
      <c r="BL77" s="80" t="s">
        <v>1950</v>
      </c>
      <c r="BM77" s="81">
        <f t="shared" si="63"/>
        <v>0</v>
      </c>
      <c r="BN77" s="65"/>
      <c r="BO77" s="80" t="s">
        <v>1943</v>
      </c>
      <c r="BP77" s="81">
        <f t="shared" si="63"/>
        <v>0</v>
      </c>
      <c r="BQ77" s="65"/>
      <c r="BR77" s="80" t="s">
        <v>1948</v>
      </c>
      <c r="BS77" s="81">
        <f t="shared" si="63"/>
        <v>0</v>
      </c>
      <c r="BT77" s="65"/>
      <c r="BU77" s="80" t="s">
        <v>1948</v>
      </c>
      <c r="BV77" s="81">
        <f t="shared" si="63"/>
        <v>0</v>
      </c>
      <c r="BW77" s="65"/>
      <c r="BX77" s="80" t="s">
        <v>1995</v>
      </c>
      <c r="BY77" s="81">
        <f t="shared" si="63"/>
        <v>0</v>
      </c>
      <c r="BZ77" s="65"/>
      <c r="CA77" s="80" t="s">
        <v>1949</v>
      </c>
      <c r="CB77" s="81">
        <f t="shared" si="63"/>
        <v>0</v>
      </c>
      <c r="CC77" s="65"/>
      <c r="CD77" s="80" t="s">
        <v>1995</v>
      </c>
      <c r="CE77" s="81">
        <f t="shared" si="63"/>
        <v>0</v>
      </c>
      <c r="CF77" s="65"/>
      <c r="CG77" s="80" t="s">
        <v>1941</v>
      </c>
      <c r="CH77" s="81">
        <f t="shared" si="63"/>
        <v>0</v>
      </c>
      <c r="CI77" s="65"/>
      <c r="CJ77" s="80" t="s">
        <v>1943</v>
      </c>
      <c r="CK77" s="81">
        <f t="shared" si="62"/>
        <v>0</v>
      </c>
      <c r="CL77" s="65"/>
      <c r="CM77" s="80" t="s">
        <v>1948</v>
      </c>
      <c r="CN77" s="81">
        <f t="shared" si="62"/>
        <v>0</v>
      </c>
      <c r="CO77" s="65"/>
      <c r="CP77" s="65"/>
    </row>
    <row r="78" spans="1:94">
      <c r="A78" s="49"/>
      <c r="B78" s="49"/>
      <c r="C78" s="49"/>
      <c r="D78" s="49"/>
      <c r="E78" s="111"/>
      <c r="F78" s="127"/>
      <c r="G78" s="445"/>
      <c r="H78" s="65"/>
      <c r="I78" s="60"/>
      <c r="J78" s="97"/>
      <c r="K78" s="432" t="str">
        <f>Idiomas!D455</f>
        <v>F. Grupos</v>
      </c>
      <c r="L78" s="433"/>
      <c r="M78" s="432" t="str">
        <f>"Max: "&amp;SUM($D$8:$D$10)*SUM($I$6:$I$77)</f>
        <v>Max: 432</v>
      </c>
      <c r="N78" s="25"/>
      <c r="O78" s="25"/>
      <c r="P78" s="25"/>
      <c r="Q78" s="25"/>
      <c r="R78" s="110"/>
      <c r="S78" s="82"/>
      <c r="T78" s="83">
        <f>SUM(T6:T77)</f>
        <v>0</v>
      </c>
      <c r="U78" s="64"/>
      <c r="V78" s="82"/>
      <c r="W78" s="83">
        <f>SUM(W6:W77)</f>
        <v>0</v>
      </c>
      <c r="X78" s="64"/>
      <c r="Y78" s="82"/>
      <c r="Z78" s="83">
        <f t="shared" ref="Z78" si="68">SUM(Z6:Z77)</f>
        <v>0</v>
      </c>
      <c r="AA78" s="64"/>
      <c r="AB78" s="82"/>
      <c r="AC78" s="83">
        <f t="shared" ref="AC78" si="69">SUM(AC6:AC77)</f>
        <v>0</v>
      </c>
      <c r="AD78" s="64"/>
      <c r="AE78" s="82"/>
      <c r="AF78" s="83">
        <f t="shared" ref="AF78" si="70">SUM(AF6:AF77)</f>
        <v>0</v>
      </c>
      <c r="AG78" s="64"/>
      <c r="AH78" s="82"/>
      <c r="AI78" s="83">
        <f t="shared" ref="AI78" si="71">SUM(AI6:AI77)</f>
        <v>0</v>
      </c>
      <c r="AJ78" s="64"/>
      <c r="AK78" s="82"/>
      <c r="AL78" s="83">
        <f t="shared" ref="AL78" si="72">SUM(AL6:AL77)</f>
        <v>0</v>
      </c>
      <c r="AM78" s="64"/>
      <c r="AN78" s="82"/>
      <c r="AO78" s="83">
        <f t="shared" ref="AO78" si="73">SUM(AO6:AO77)</f>
        <v>0</v>
      </c>
      <c r="AP78" s="64"/>
      <c r="AQ78" s="82"/>
      <c r="AR78" s="83">
        <f t="shared" ref="AR78" si="74">SUM(AR6:AR77)</f>
        <v>0</v>
      </c>
      <c r="AS78" s="64"/>
      <c r="AT78" s="82"/>
      <c r="AU78" s="83">
        <f t="shared" ref="AU78" si="75">SUM(AU6:AU77)</f>
        <v>0</v>
      </c>
      <c r="AV78" s="64"/>
      <c r="AW78" s="82"/>
      <c r="AX78" s="83">
        <f t="shared" ref="AX78" si="76">SUM(AX6:AX77)</f>
        <v>0</v>
      </c>
      <c r="AY78" s="64"/>
      <c r="AZ78" s="82"/>
      <c r="BA78" s="83">
        <f t="shared" ref="BA78" si="77">SUM(BA6:BA77)</f>
        <v>0</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6</v>
      </c>
      <c r="G80" s="445">
        <f ca="1">VLOOKUP(H80,Equipos!$Q$1:$R$25,2,0)</f>
        <v>14</v>
      </c>
      <c r="H80" s="446">
        <f ca="1">$H$54</f>
        <v>46197</v>
      </c>
      <c r="I80" s="50"/>
      <c r="J80" s="844" t="s">
        <v>0</v>
      </c>
      <c r="K80" s="53" t="str">
        <f>Idiomas!D150</f>
        <v>1º GRUPO A</v>
      </c>
      <c r="L80" s="53"/>
      <c r="M80" s="55" t="str">
        <f ca="1">IF(OR(SUM(WORLDCUP!$AN$6:$AN$9)=12,WORLDCUP!$AJ$99=144),WORLDCUP!AL6,LEFT(K80,1)&amp;RIGHT(K80,1))</f>
        <v>1A</v>
      </c>
      <c r="N80" s="25"/>
      <c r="O80" s="25"/>
      <c r="P80" s="25"/>
      <c r="Q80" s="25"/>
      <c r="R80" s="110"/>
      <c r="S80" s="76" t="s">
        <v>1265</v>
      </c>
      <c r="T80" s="77">
        <f ca="1">($M80=S80)*$D$11</f>
        <v>0</v>
      </c>
      <c r="U80" s="64"/>
      <c r="V80" s="76" t="s">
        <v>1265</v>
      </c>
      <c r="W80" s="77">
        <f t="shared" ref="W80" ca="1" si="91">($M80=V80)*$D$11</f>
        <v>0</v>
      </c>
      <c r="X80" s="64"/>
      <c r="Y80" s="76" t="s">
        <v>1265</v>
      </c>
      <c r="Z80" s="77">
        <f t="shared" ref="Z80" ca="1" si="92">($M80=Y80)*$D$11</f>
        <v>0</v>
      </c>
      <c r="AA80" s="64"/>
      <c r="AB80" s="76" t="s">
        <v>1260</v>
      </c>
      <c r="AC80" s="77">
        <f t="shared" ref="AC80" ca="1" si="93">($M80=AB80)*$D$11</f>
        <v>0</v>
      </c>
      <c r="AD80" s="64"/>
      <c r="AE80" s="76" t="s">
        <v>1843</v>
      </c>
      <c r="AF80" s="77">
        <f t="shared" ref="AF80" ca="1" si="94">($M80=AE80)*$D$11</f>
        <v>0</v>
      </c>
      <c r="AG80" s="64"/>
      <c r="AH80" s="76" t="s">
        <v>1265</v>
      </c>
      <c r="AI80" s="77">
        <f t="shared" ref="AI80" ca="1" si="95">($M80=AH80)*$D$11</f>
        <v>0</v>
      </c>
      <c r="AJ80" s="64"/>
      <c r="AK80" s="76" t="s">
        <v>1265</v>
      </c>
      <c r="AL80" s="77">
        <f t="shared" ref="AL80" ca="1" si="96">($M80=AK80)*$D$11</f>
        <v>0</v>
      </c>
      <c r="AM80" s="64"/>
      <c r="AN80" s="76" t="s">
        <v>1260</v>
      </c>
      <c r="AO80" s="77">
        <f t="shared" ref="AO80" ca="1" si="97">($M80=AN80)*$D$11</f>
        <v>0</v>
      </c>
      <c r="AP80" s="64"/>
      <c r="AQ80" s="76" t="s">
        <v>1265</v>
      </c>
      <c r="AR80" s="77">
        <f t="shared" ref="AR80" ca="1" si="98">($M80=AQ80)*$D$11</f>
        <v>0</v>
      </c>
      <c r="AS80" s="64"/>
      <c r="AT80" s="76" t="s">
        <v>1265</v>
      </c>
      <c r="AU80" s="77">
        <f t="shared" ref="AU80" ca="1" si="99">($M80=AT80)*$D$11</f>
        <v>0</v>
      </c>
      <c r="AV80" s="64"/>
      <c r="AW80" s="76" t="s">
        <v>1843</v>
      </c>
      <c r="AX80" s="77">
        <f t="shared" ref="AX80" ca="1" si="100">($M80=AW80)*$D$11</f>
        <v>0</v>
      </c>
      <c r="AY80" s="64"/>
      <c r="AZ80" s="76" t="s">
        <v>1265</v>
      </c>
      <c r="BA80" s="77">
        <f t="shared" ref="BA80" ca="1" si="101">($M80=AZ80)*$D$11</f>
        <v>0</v>
      </c>
      <c r="BB80" s="64"/>
      <c r="BC80" s="76" t="s">
        <v>1265</v>
      </c>
      <c r="BD80" s="77">
        <f t="shared" ref="BD80" ca="1" si="102">($M80=BC80)*$D$11</f>
        <v>0</v>
      </c>
      <c r="BE80" s="64"/>
      <c r="BF80" s="76" t="s">
        <v>1265</v>
      </c>
      <c r="BG80" s="77">
        <f t="shared" ref="BG80" ca="1" si="103">($M80=BF80)*$D$11</f>
        <v>0</v>
      </c>
      <c r="BH80" s="64"/>
      <c r="BI80" s="76" t="s">
        <v>1265</v>
      </c>
      <c r="BJ80" s="77">
        <f t="shared" ref="BJ80" ca="1" si="104">($M80=BI80)*$D$11</f>
        <v>0</v>
      </c>
      <c r="BK80" s="64"/>
      <c r="BL80" s="76" t="s">
        <v>1265</v>
      </c>
      <c r="BM80" s="77">
        <f t="shared" ref="BM80" ca="1" si="105">($M80=BL80)*$D$11</f>
        <v>0</v>
      </c>
      <c r="BN80" s="64"/>
      <c r="BO80" s="76" t="s">
        <v>1260</v>
      </c>
      <c r="BP80" s="77">
        <f t="shared" ref="BP80" ca="1" si="106">($M80=BO80)*$D$11</f>
        <v>0</v>
      </c>
      <c r="BQ80" s="64"/>
      <c r="BR80" s="76" t="s">
        <v>1265</v>
      </c>
      <c r="BS80" s="77">
        <f t="shared" ref="BS80" ca="1" si="107">($M80=BR80)*$D$11</f>
        <v>0</v>
      </c>
      <c r="BT80" s="64"/>
      <c r="BU80" s="76" t="s">
        <v>1265</v>
      </c>
      <c r="BV80" s="77">
        <f t="shared" ref="BV80" ca="1" si="108">($M80=BU80)*$D$11</f>
        <v>0</v>
      </c>
      <c r="BW80" s="64"/>
      <c r="BX80" s="76" t="s">
        <v>1265</v>
      </c>
      <c r="BY80" s="77">
        <f t="shared" ref="BY80" ca="1" si="109">($M80=BX80)*$D$11</f>
        <v>0</v>
      </c>
      <c r="BZ80" s="64"/>
      <c r="CA80" s="76" t="s">
        <v>1265</v>
      </c>
      <c r="CB80" s="77">
        <f t="shared" ref="CB80" ca="1" si="110">($M80=CA80)*$D$11</f>
        <v>0</v>
      </c>
      <c r="CC80" s="64"/>
      <c r="CD80" s="76" t="s">
        <v>1260</v>
      </c>
      <c r="CE80" s="77">
        <f t="shared" ref="CE80" ca="1" si="111">($M80=CD80)*$D$11</f>
        <v>0</v>
      </c>
      <c r="CF80" s="64"/>
      <c r="CG80" s="76" t="s">
        <v>1260</v>
      </c>
      <c r="CH80" s="77">
        <f t="shared" ref="CH80" ca="1" si="112">($M80=CG80)*$D$11</f>
        <v>0</v>
      </c>
      <c r="CI80" s="64"/>
      <c r="CJ80" s="76" t="s">
        <v>1265</v>
      </c>
      <c r="CK80" s="77">
        <f t="shared" ref="CK80" ca="1" si="113">($M80=CJ80)*$D$11</f>
        <v>0</v>
      </c>
      <c r="CL80" s="64"/>
      <c r="CM80" s="76" t="s">
        <v>1265</v>
      </c>
      <c r="CN80" s="77">
        <f t="shared" ref="CN80" ca="1" si="114">($M80=CM80)*$D$11</f>
        <v>0</v>
      </c>
      <c r="CO80" s="64"/>
      <c r="CP80" s="64"/>
    </row>
    <row r="81" spans="1:94">
      <c r="A81" s="49"/>
      <c r="B81" s="49"/>
      <c r="C81" s="49"/>
      <c r="D81" s="49"/>
      <c r="E81" s="111"/>
      <c r="F81" s="127">
        <f>$D$12</f>
        <v>4</v>
      </c>
      <c r="G81" s="445">
        <f ca="1">VLOOKUP(H81,Equipos!$Q$1:$R$25,2,0)</f>
        <v>14</v>
      </c>
      <c r="H81" s="446">
        <f ca="1">$H$54</f>
        <v>46197</v>
      </c>
      <c r="I81" s="50"/>
      <c r="J81" s="844"/>
      <c r="K81" s="56" t="str">
        <f>Idiomas!D151</f>
        <v>2º GRUPO A</v>
      </c>
      <c r="L81" s="53"/>
      <c r="M81" s="55" t="str">
        <f ca="1">IF(OR(SUM(WORLDCUP!$AN$6:$AN$9)=12,WORLDCUP!$AJ$99=144),WORLDCUP!AL7,LEFT(K81,1)&amp;RIGHT(K81,1))</f>
        <v>2A</v>
      </c>
      <c r="N81" s="25"/>
      <c r="O81" s="25"/>
      <c r="P81" s="25"/>
      <c r="Q81" s="25"/>
      <c r="R81" s="110"/>
      <c r="S81" s="74" t="s">
        <v>1630</v>
      </c>
      <c r="T81" s="73">
        <f ca="1">($M81=S81)*$D$12</f>
        <v>0</v>
      </c>
      <c r="U81" s="64"/>
      <c r="V81" s="74" t="s">
        <v>1630</v>
      </c>
      <c r="W81" s="73">
        <f t="shared" ref="W81" ca="1" si="115">($M81=V81)*$D$12</f>
        <v>0</v>
      </c>
      <c r="X81" s="64"/>
      <c r="Y81" s="74" t="s">
        <v>1260</v>
      </c>
      <c r="Z81" s="73">
        <f t="shared" ref="Z81" ca="1" si="116">($M81=Y81)*$D$12</f>
        <v>0</v>
      </c>
      <c r="AA81" s="64"/>
      <c r="AB81" s="74" t="s">
        <v>1843</v>
      </c>
      <c r="AC81" s="73">
        <f t="shared" ref="AC81" ca="1" si="117">($M81=AB81)*$D$12</f>
        <v>0</v>
      </c>
      <c r="AD81" s="64"/>
      <c r="AE81" s="74" t="s">
        <v>1260</v>
      </c>
      <c r="AF81" s="73">
        <f t="shared" ref="AF81" ca="1" si="118">($M81=AE81)*$D$12</f>
        <v>0</v>
      </c>
      <c r="AG81" s="64"/>
      <c r="AH81" s="74" t="s">
        <v>1843</v>
      </c>
      <c r="AI81" s="73">
        <f t="shared" ref="AI81" ca="1" si="119">($M81=AH81)*$D$12</f>
        <v>0</v>
      </c>
      <c r="AJ81" s="64"/>
      <c r="AK81" s="74" t="s">
        <v>1260</v>
      </c>
      <c r="AL81" s="73">
        <f t="shared" ref="AL81" ca="1" si="120">($M81=AK81)*$D$12</f>
        <v>0</v>
      </c>
      <c r="AM81" s="64"/>
      <c r="AN81" s="74" t="s">
        <v>1265</v>
      </c>
      <c r="AO81" s="73">
        <f t="shared" ref="AO81" ca="1" si="121">($M81=AN81)*$D$12</f>
        <v>0</v>
      </c>
      <c r="AP81" s="64"/>
      <c r="AQ81" s="74" t="s">
        <v>1843</v>
      </c>
      <c r="AR81" s="73">
        <f t="shared" ref="AR81" ca="1" si="122">($M81=AQ81)*$D$12</f>
        <v>0</v>
      </c>
      <c r="AS81" s="64"/>
      <c r="AT81" s="74" t="s">
        <v>1260</v>
      </c>
      <c r="AU81" s="73">
        <f t="shared" ref="AU81" ca="1" si="123">($M81=AT81)*$D$12</f>
        <v>0</v>
      </c>
      <c r="AV81" s="64"/>
      <c r="AW81" s="74" t="s">
        <v>1265</v>
      </c>
      <c r="AX81" s="73">
        <f t="shared" ref="AX81" ca="1" si="124">($M81=AW81)*$D$12</f>
        <v>0</v>
      </c>
      <c r="AY81" s="64"/>
      <c r="AZ81" s="74" t="s">
        <v>1260</v>
      </c>
      <c r="BA81" s="73">
        <f t="shared" ref="BA81" ca="1" si="125">($M81=AZ81)*$D$12</f>
        <v>0</v>
      </c>
      <c r="BB81" s="64"/>
      <c r="BC81" s="74" t="s">
        <v>1843</v>
      </c>
      <c r="BD81" s="73">
        <f t="shared" ref="BD81" ca="1" si="126">($M81=BC81)*$D$12</f>
        <v>0</v>
      </c>
      <c r="BE81" s="64"/>
      <c r="BF81" s="74" t="s">
        <v>1260</v>
      </c>
      <c r="BG81" s="73">
        <f t="shared" ref="BG81" ca="1" si="127">($M81=BF81)*$D$12</f>
        <v>0</v>
      </c>
      <c r="BH81" s="64"/>
      <c r="BI81" s="74" t="s">
        <v>1260</v>
      </c>
      <c r="BJ81" s="73">
        <f t="shared" ref="BJ81" ca="1" si="128">($M81=BI81)*$D$12</f>
        <v>0</v>
      </c>
      <c r="BK81" s="64"/>
      <c r="BL81" s="74" t="s">
        <v>1260</v>
      </c>
      <c r="BM81" s="73">
        <f t="shared" ref="BM81" ca="1" si="129">($M81=BL81)*$D$12</f>
        <v>0</v>
      </c>
      <c r="BN81" s="64"/>
      <c r="BO81" s="74" t="s">
        <v>1265</v>
      </c>
      <c r="BP81" s="73">
        <f t="shared" ref="BP81" ca="1" si="130">($M81=BO81)*$D$12</f>
        <v>0</v>
      </c>
      <c r="BQ81" s="64"/>
      <c r="BR81" s="74" t="s">
        <v>1843</v>
      </c>
      <c r="BS81" s="73">
        <f t="shared" ref="BS81" ca="1" si="131">($M81=BR81)*$D$12</f>
        <v>0</v>
      </c>
      <c r="BT81" s="64"/>
      <c r="BU81" s="74" t="s">
        <v>1843</v>
      </c>
      <c r="BV81" s="73">
        <f t="shared" ref="BV81" ca="1" si="132">($M81=BU81)*$D$12</f>
        <v>0</v>
      </c>
      <c r="BW81" s="64"/>
      <c r="BX81" s="74" t="s">
        <v>1260</v>
      </c>
      <c r="BY81" s="73">
        <f t="shared" ref="BY81" ca="1" si="133">($M81=BX81)*$D$12</f>
        <v>0</v>
      </c>
      <c r="BZ81" s="64"/>
      <c r="CA81" s="74" t="s">
        <v>1843</v>
      </c>
      <c r="CB81" s="73">
        <f t="shared" ref="CB81" ca="1" si="134">($M81=CA81)*$D$12</f>
        <v>0</v>
      </c>
      <c r="CC81" s="64"/>
      <c r="CD81" s="74" t="s">
        <v>1265</v>
      </c>
      <c r="CE81" s="73">
        <f t="shared" ref="CE81" ca="1" si="135">($M81=CD81)*$D$12</f>
        <v>0</v>
      </c>
      <c r="CF81" s="64"/>
      <c r="CG81" s="74" t="s">
        <v>1265</v>
      </c>
      <c r="CH81" s="73">
        <f t="shared" ref="CH81" ca="1" si="136">($M81=CG81)*$D$12</f>
        <v>0</v>
      </c>
      <c r="CI81" s="64"/>
      <c r="CJ81" s="74" t="s">
        <v>1843</v>
      </c>
      <c r="CK81" s="73">
        <f t="shared" ref="CK81" ca="1" si="137">($M81=CJ81)*$D$12</f>
        <v>0</v>
      </c>
      <c r="CL81" s="64"/>
      <c r="CM81" s="74" t="s">
        <v>1843</v>
      </c>
      <c r="CN81" s="73">
        <f t="shared" ref="CN81" ca="1" si="138">($M81=CM81)*$D$12</f>
        <v>0</v>
      </c>
      <c r="CO81" s="64"/>
      <c r="CP81" s="64"/>
    </row>
    <row r="82" spans="1:94">
      <c r="A82" s="49"/>
      <c r="B82" s="49"/>
      <c r="C82" s="49"/>
      <c r="D82" s="49"/>
      <c r="E82" s="111"/>
      <c r="F82" s="127">
        <f>$D$13</f>
        <v>2</v>
      </c>
      <c r="G82" s="445">
        <f ca="1">VLOOKUP(H82,Equipos!$Q$1:$R$25,2,0)</f>
        <v>14</v>
      </c>
      <c r="H82" s="446">
        <f ca="1">$H$54</f>
        <v>46197</v>
      </c>
      <c r="I82" s="50"/>
      <c r="J82" s="844"/>
      <c r="K82" s="56" t="str">
        <f>Idiomas!D152</f>
        <v>3º GRUPO A</v>
      </c>
      <c r="L82" s="53"/>
      <c r="M82" s="55" t="str">
        <f ca="1">IF(OR(SUM(WORLDCUP!$AN$6:$AN$9)=12,WORLDCUP!$AJ$99=144),WORLDCUP!AL8,LEFT(K82,1)&amp;RIGHT(K82,1))</f>
        <v>3A</v>
      </c>
      <c r="N82" s="25"/>
      <c r="O82" s="25"/>
      <c r="P82" s="25"/>
      <c r="Q82" s="25"/>
      <c r="R82" s="110"/>
      <c r="S82" s="74" t="s">
        <v>1843</v>
      </c>
      <c r="T82" s="73">
        <f ca="1">($M82=S82)*$D$13</f>
        <v>0</v>
      </c>
      <c r="U82" s="64"/>
      <c r="V82" s="74" t="s">
        <v>1843</v>
      </c>
      <c r="W82" s="73">
        <f t="shared" ref="W82" ca="1" si="139">($M82=V82)*$D$13</f>
        <v>0</v>
      </c>
      <c r="X82" s="64"/>
      <c r="Y82" s="74" t="s">
        <v>1843</v>
      </c>
      <c r="Z82" s="73">
        <f t="shared" ref="Z82" ca="1" si="140">($M82=Y82)*$D$13</f>
        <v>0</v>
      </c>
      <c r="AA82" s="64"/>
      <c r="AB82" s="74" t="s">
        <v>1265</v>
      </c>
      <c r="AC82" s="73">
        <f t="shared" ref="AC82" ca="1" si="141">($M82=AB82)*$D$13</f>
        <v>0</v>
      </c>
      <c r="AD82" s="64"/>
      <c r="AE82" s="74" t="s">
        <v>1630</v>
      </c>
      <c r="AF82" s="73">
        <f t="shared" ref="AF82" ca="1" si="142">($M82=AE82)*$D$13</f>
        <v>0</v>
      </c>
      <c r="AG82" s="64"/>
      <c r="AH82" s="74" t="s">
        <v>1260</v>
      </c>
      <c r="AI82" s="73">
        <f t="shared" ref="AI82" ca="1" si="143">($M82=AH82)*$D$13</f>
        <v>0</v>
      </c>
      <c r="AJ82" s="64"/>
      <c r="AK82" s="74" t="s">
        <v>1843</v>
      </c>
      <c r="AL82" s="73">
        <f t="shared" ref="AL82" ca="1" si="144">($M82=AK82)*$D$13</f>
        <v>0</v>
      </c>
      <c r="AM82" s="64"/>
      <c r="AN82" s="74" t="s">
        <v>1843</v>
      </c>
      <c r="AO82" s="73">
        <f t="shared" ref="AO82" ca="1" si="145">($M82=AN82)*$D$13</f>
        <v>0</v>
      </c>
      <c r="AP82" s="64"/>
      <c r="AQ82" s="74" t="s">
        <v>1260</v>
      </c>
      <c r="AR82" s="73">
        <f t="shared" ref="AR82" ca="1" si="146">($M82=AQ82)*$D$13</f>
        <v>0</v>
      </c>
      <c r="AS82" s="64"/>
      <c r="AT82" s="74" t="s">
        <v>1843</v>
      </c>
      <c r="AU82" s="73">
        <f t="shared" ref="AU82" ca="1" si="147">($M82=AT82)*$D$13</f>
        <v>0</v>
      </c>
      <c r="AV82" s="64"/>
      <c r="AW82" s="74" t="s">
        <v>1630</v>
      </c>
      <c r="AX82" s="73">
        <f t="shared" ref="AX82" ca="1" si="148">($M82=AW82)*$D$13</f>
        <v>0</v>
      </c>
      <c r="AY82" s="64"/>
      <c r="AZ82" s="74" t="s">
        <v>1630</v>
      </c>
      <c r="BA82" s="73">
        <f t="shared" ref="BA82" ca="1" si="149">($M82=AZ82)*$D$13</f>
        <v>0</v>
      </c>
      <c r="BB82" s="64"/>
      <c r="BC82" s="74" t="s">
        <v>1260</v>
      </c>
      <c r="BD82" s="73">
        <f t="shared" ref="BD82" ca="1" si="150">($M82=BC82)*$D$13</f>
        <v>0</v>
      </c>
      <c r="BE82" s="64"/>
      <c r="BF82" s="74" t="s">
        <v>1843</v>
      </c>
      <c r="BG82" s="73">
        <f t="shared" ref="BG82" ca="1" si="151">($M82=BF82)*$D$13</f>
        <v>0</v>
      </c>
      <c r="BH82" s="64"/>
      <c r="BI82" s="74" t="s">
        <v>1843</v>
      </c>
      <c r="BJ82" s="73">
        <f t="shared" ref="BJ82" ca="1" si="152">($M82=BI82)*$D$13</f>
        <v>0</v>
      </c>
      <c r="BK82" s="64"/>
      <c r="BL82" s="74" t="s">
        <v>1630</v>
      </c>
      <c r="BM82" s="73">
        <f t="shared" ref="BM82" ca="1" si="153">($M82=BL82)*$D$13</f>
        <v>0</v>
      </c>
      <c r="BN82" s="64"/>
      <c r="BO82" s="74" t="s">
        <v>1843</v>
      </c>
      <c r="BP82" s="73">
        <f t="shared" ref="BP82" ca="1" si="154">($M82=BO82)*$D$13</f>
        <v>0</v>
      </c>
      <c r="BQ82" s="64"/>
      <c r="BR82" s="74" t="s">
        <v>1260</v>
      </c>
      <c r="BS82" s="73">
        <f t="shared" ref="BS82" ca="1" si="155">($M82=BR82)*$D$13</f>
        <v>0</v>
      </c>
      <c r="BT82" s="64"/>
      <c r="BU82" s="74" t="s">
        <v>1260</v>
      </c>
      <c r="BV82" s="73">
        <f t="shared" ref="BV82" ca="1" si="156">($M82=BU82)*$D$13</f>
        <v>0</v>
      </c>
      <c r="BW82" s="64"/>
      <c r="BX82" s="74" t="s">
        <v>1843</v>
      </c>
      <c r="BY82" s="73">
        <f t="shared" ref="BY82" ca="1" si="157">($M82=BX82)*$D$13</f>
        <v>0</v>
      </c>
      <c r="BZ82" s="64"/>
      <c r="CA82" s="74" t="s">
        <v>1630</v>
      </c>
      <c r="CB82" s="73">
        <f t="shared" ref="CB82" ca="1" si="158">($M82=CA82)*$D$13</f>
        <v>0</v>
      </c>
      <c r="CC82" s="64"/>
      <c r="CD82" s="74" t="s">
        <v>1843</v>
      </c>
      <c r="CE82" s="73">
        <f t="shared" ref="CE82" ca="1" si="159">($M82=CD82)*$D$13</f>
        <v>0</v>
      </c>
      <c r="CF82" s="64"/>
      <c r="CG82" s="74" t="s">
        <v>1630</v>
      </c>
      <c r="CH82" s="73">
        <f t="shared" ref="CH82" ca="1" si="160">($M82=CG82)*$D$13</f>
        <v>0</v>
      </c>
      <c r="CI82" s="64"/>
      <c r="CJ82" s="74" t="s">
        <v>1260</v>
      </c>
      <c r="CK82" s="73">
        <f t="shared" ref="CK82" ca="1" si="161">($M82=CJ82)*$D$13</f>
        <v>0</v>
      </c>
      <c r="CL82" s="64"/>
      <c r="CM82" s="74" t="s">
        <v>1260</v>
      </c>
      <c r="CN82" s="73">
        <f t="shared" ref="CN82" ca="1" si="162">($M82=CM82)*$D$13</f>
        <v>0</v>
      </c>
      <c r="CO82" s="64"/>
      <c r="CP82" s="64"/>
    </row>
    <row r="83" spans="1:94">
      <c r="A83" s="49"/>
      <c r="B83" s="49"/>
      <c r="C83" s="49"/>
      <c r="D83" s="49"/>
      <c r="E83" s="111"/>
      <c r="F83" s="127">
        <f>$D$14</f>
        <v>1</v>
      </c>
      <c r="G83" s="445">
        <f ca="1">VLOOKUP(H83,Equipos!$Q$1:$R$25,2,0)</f>
        <v>14</v>
      </c>
      <c r="H83" s="446">
        <f ca="1">$H$54</f>
        <v>46197</v>
      </c>
      <c r="I83" s="50"/>
      <c r="J83" s="844"/>
      <c r="K83" s="56" t="str">
        <f>Idiomas!D153</f>
        <v>4º GRUPO A</v>
      </c>
      <c r="L83" s="53"/>
      <c r="M83" s="55" t="str">
        <f ca="1">IF(OR(SUM(WORLDCUP!$AN$6:$AN$9)=12,WORLDCUP!$AJ$99=144),WORLDCUP!AL9,LEFT(K83,1)&amp;RIGHT(K83,1))</f>
        <v>4A</v>
      </c>
      <c r="N83" s="25"/>
      <c r="O83" s="25"/>
      <c r="P83" s="25"/>
      <c r="Q83" s="25"/>
      <c r="R83" s="110"/>
      <c r="S83" s="74" t="s">
        <v>1260</v>
      </c>
      <c r="T83" s="73">
        <f ca="1">($M83=S83)*$D$14</f>
        <v>0</v>
      </c>
      <c r="U83" s="64"/>
      <c r="V83" s="74" t="s">
        <v>1260</v>
      </c>
      <c r="W83" s="73">
        <f t="shared" ref="W83" ca="1" si="163">($M83=V83)*$D$14</f>
        <v>0</v>
      </c>
      <c r="X83" s="64"/>
      <c r="Y83" s="74" t="s">
        <v>1630</v>
      </c>
      <c r="Z83" s="73">
        <f t="shared" ref="Z83" ca="1" si="164">($M83=Y83)*$D$14</f>
        <v>0</v>
      </c>
      <c r="AA83" s="64"/>
      <c r="AB83" s="74" t="s">
        <v>1630</v>
      </c>
      <c r="AC83" s="73">
        <f t="shared" ref="AC83" ca="1" si="165">($M83=AB83)*$D$14</f>
        <v>0</v>
      </c>
      <c r="AD83" s="64"/>
      <c r="AE83" s="74" t="s">
        <v>1265</v>
      </c>
      <c r="AF83" s="73">
        <f t="shared" ref="AF83" ca="1" si="166">($M83=AE83)*$D$14</f>
        <v>0</v>
      </c>
      <c r="AG83" s="64"/>
      <c r="AH83" s="74" t="s">
        <v>1630</v>
      </c>
      <c r="AI83" s="73">
        <f t="shared" ref="AI83" ca="1" si="167">($M83=AH83)*$D$14</f>
        <v>0</v>
      </c>
      <c r="AJ83" s="64"/>
      <c r="AK83" s="74" t="s">
        <v>1630</v>
      </c>
      <c r="AL83" s="73">
        <f t="shared" ref="AL83" ca="1" si="168">($M83=AK83)*$D$14</f>
        <v>0</v>
      </c>
      <c r="AM83" s="64"/>
      <c r="AN83" s="74" t="s">
        <v>1630</v>
      </c>
      <c r="AO83" s="73">
        <f t="shared" ref="AO83" ca="1" si="169">($M83=AN83)*$D$14</f>
        <v>0</v>
      </c>
      <c r="AP83" s="64"/>
      <c r="AQ83" s="74" t="s">
        <v>1630</v>
      </c>
      <c r="AR83" s="73">
        <f t="shared" ref="AR83" ca="1" si="170">($M83=AQ83)*$D$14</f>
        <v>0</v>
      </c>
      <c r="AS83" s="64"/>
      <c r="AT83" s="74" t="s">
        <v>1630</v>
      </c>
      <c r="AU83" s="73">
        <f t="shared" ref="AU83" ca="1" si="171">($M83=AT83)*$D$14</f>
        <v>0</v>
      </c>
      <c r="AV83" s="64"/>
      <c r="AW83" s="74" t="s">
        <v>1260</v>
      </c>
      <c r="AX83" s="73">
        <f t="shared" ref="AX83" ca="1" si="172">($M83=AW83)*$D$14</f>
        <v>0</v>
      </c>
      <c r="AY83" s="64"/>
      <c r="AZ83" s="74" t="s">
        <v>1843</v>
      </c>
      <c r="BA83" s="73">
        <f t="shared" ref="BA83" ca="1" si="173">($M83=AZ83)*$D$14</f>
        <v>0</v>
      </c>
      <c r="BB83" s="64"/>
      <c r="BC83" s="74" t="s">
        <v>1630</v>
      </c>
      <c r="BD83" s="73">
        <f t="shared" ref="BD83" ca="1" si="174">($M83=BC83)*$D$14</f>
        <v>0</v>
      </c>
      <c r="BE83" s="64"/>
      <c r="BF83" s="74" t="s">
        <v>1630</v>
      </c>
      <c r="BG83" s="73">
        <f t="shared" ref="BG83" ca="1" si="175">($M83=BF83)*$D$14</f>
        <v>0</v>
      </c>
      <c r="BH83" s="64"/>
      <c r="BI83" s="74" t="s">
        <v>1630</v>
      </c>
      <c r="BJ83" s="73">
        <f t="shared" ref="BJ83" ca="1" si="176">($M83=BI83)*$D$14</f>
        <v>0</v>
      </c>
      <c r="BK83" s="64"/>
      <c r="BL83" s="74" t="s">
        <v>1843</v>
      </c>
      <c r="BM83" s="73">
        <f t="shared" ref="BM83" ca="1" si="177">($M83=BL83)*$D$14</f>
        <v>0</v>
      </c>
      <c r="BN83" s="64"/>
      <c r="BO83" s="74" t="s">
        <v>1630</v>
      </c>
      <c r="BP83" s="73">
        <f t="shared" ref="BP83" ca="1" si="178">($M83=BO83)*$D$14</f>
        <v>0</v>
      </c>
      <c r="BQ83" s="64"/>
      <c r="BR83" s="74" t="s">
        <v>1630</v>
      </c>
      <c r="BS83" s="73">
        <f t="shared" ref="BS83" ca="1" si="179">($M83=BR83)*$D$14</f>
        <v>0</v>
      </c>
      <c r="BT83" s="64"/>
      <c r="BU83" s="74" t="s">
        <v>1630</v>
      </c>
      <c r="BV83" s="73">
        <f t="shared" ref="BV83" ca="1" si="180">($M83=BU83)*$D$14</f>
        <v>0</v>
      </c>
      <c r="BW83" s="64"/>
      <c r="BX83" s="74" t="s">
        <v>1630</v>
      </c>
      <c r="BY83" s="73">
        <f t="shared" ref="BY83" ca="1" si="181">($M83=BX83)*$D$14</f>
        <v>0</v>
      </c>
      <c r="BZ83" s="64"/>
      <c r="CA83" s="74" t="s">
        <v>1260</v>
      </c>
      <c r="CB83" s="73">
        <f t="shared" ref="CB83" ca="1" si="182">($M83=CA83)*$D$14</f>
        <v>0</v>
      </c>
      <c r="CC83" s="64"/>
      <c r="CD83" s="74" t="s">
        <v>1630</v>
      </c>
      <c r="CE83" s="73">
        <f t="shared" ref="CE83" ca="1" si="183">($M83=CD83)*$D$14</f>
        <v>0</v>
      </c>
      <c r="CF83" s="64"/>
      <c r="CG83" s="74" t="s">
        <v>1843</v>
      </c>
      <c r="CH83" s="73">
        <f t="shared" ref="CH83" ca="1" si="184">($M83=CG83)*$D$14</f>
        <v>0</v>
      </c>
      <c r="CI83" s="64"/>
      <c r="CJ83" s="74" t="s">
        <v>1630</v>
      </c>
      <c r="CK83" s="73">
        <f t="shared" ref="CK83" ca="1" si="185">($M83=CJ83)*$D$14</f>
        <v>0</v>
      </c>
      <c r="CL83" s="64"/>
      <c r="CM83" s="74" t="s">
        <v>1630</v>
      </c>
      <c r="CN83" s="73">
        <f t="shared" ref="CN83" ca="1" si="186">($M83=CM83)*$D$14</f>
        <v>0</v>
      </c>
      <c r="CO83" s="64"/>
      <c r="CP83" s="64"/>
    </row>
    <row r="84" spans="1:94">
      <c r="A84" s="49"/>
      <c r="B84" s="49"/>
      <c r="C84" s="49"/>
      <c r="D84" s="49"/>
      <c r="E84" s="111"/>
      <c r="F84" s="127">
        <f t="shared" ref="F84" si="187">$D$11</f>
        <v>6</v>
      </c>
      <c r="G84" s="445">
        <f ca="1">VLOOKUP(H84,Equipos!$Q$1:$R$25,2,0)</f>
        <v>14</v>
      </c>
      <c r="H84" s="446">
        <f ca="1">$H$56</f>
        <v>46197</v>
      </c>
      <c r="I84" s="50"/>
      <c r="J84" s="843" t="s">
        <v>1</v>
      </c>
      <c r="K84" s="56" t="str">
        <f>Idiomas!D154</f>
        <v>1º GRUPO B</v>
      </c>
      <c r="L84" s="53"/>
      <c r="M84" s="55" t="str">
        <f ca="1">IF(OR(SUM(WORLDCUP!$AN$14:$AN$17)=12,WORLDCUP!$AJ$99=144),WORLDCUP!AL14,LEFT(K84,1)&amp;RIGHT(K84,1))</f>
        <v>1B</v>
      </c>
      <c r="N84" s="25"/>
      <c r="O84" s="25"/>
      <c r="P84" s="25"/>
      <c r="Q84" s="25"/>
      <c r="R84" s="110"/>
      <c r="S84" s="74" t="s">
        <v>75</v>
      </c>
      <c r="T84" s="73">
        <f t="shared" ref="T84" ca="1" si="188">($M84=S84)*$D$11</f>
        <v>0</v>
      </c>
      <c r="U84" s="64"/>
      <c r="V84" s="74" t="s">
        <v>1631</v>
      </c>
      <c r="W84" s="73">
        <f t="shared" ref="W84:CH84" ca="1" si="189">($M84=V84)*$D$11</f>
        <v>0</v>
      </c>
      <c r="X84" s="64"/>
      <c r="Y84" s="74" t="s">
        <v>75</v>
      </c>
      <c r="Z84" s="73">
        <f t="shared" ca="1" si="189"/>
        <v>0</v>
      </c>
      <c r="AA84" s="64"/>
      <c r="AB84" s="74" t="s">
        <v>1259</v>
      </c>
      <c r="AC84" s="73">
        <f t="shared" ca="1" si="189"/>
        <v>0</v>
      </c>
      <c r="AD84" s="64"/>
      <c r="AE84" s="74" t="s">
        <v>1259</v>
      </c>
      <c r="AF84" s="73">
        <f t="shared" ca="1" si="189"/>
        <v>0</v>
      </c>
      <c r="AG84" s="64"/>
      <c r="AH84" s="74" t="s">
        <v>1259</v>
      </c>
      <c r="AI84" s="73">
        <f t="shared" ca="1" si="189"/>
        <v>0</v>
      </c>
      <c r="AJ84" s="64"/>
      <c r="AK84" s="74" t="s">
        <v>75</v>
      </c>
      <c r="AL84" s="73">
        <f t="shared" ca="1" si="189"/>
        <v>0</v>
      </c>
      <c r="AM84" s="64"/>
      <c r="AN84" s="74" t="s">
        <v>75</v>
      </c>
      <c r="AO84" s="73">
        <f t="shared" ca="1" si="189"/>
        <v>0</v>
      </c>
      <c r="AP84" s="64"/>
      <c r="AQ84" s="74" t="s">
        <v>75</v>
      </c>
      <c r="AR84" s="73">
        <f t="shared" ca="1" si="189"/>
        <v>0</v>
      </c>
      <c r="AS84" s="64"/>
      <c r="AT84" s="74" t="s">
        <v>75</v>
      </c>
      <c r="AU84" s="73">
        <f t="shared" ca="1" si="189"/>
        <v>0</v>
      </c>
      <c r="AV84" s="64"/>
      <c r="AW84" s="74" t="s">
        <v>75</v>
      </c>
      <c r="AX84" s="73">
        <f t="shared" ca="1" si="189"/>
        <v>0</v>
      </c>
      <c r="AY84" s="64"/>
      <c r="AZ84" s="74" t="s">
        <v>1631</v>
      </c>
      <c r="BA84" s="73">
        <f t="shared" ca="1" si="189"/>
        <v>0</v>
      </c>
      <c r="BB84" s="64"/>
      <c r="BC84" s="74" t="s">
        <v>75</v>
      </c>
      <c r="BD84" s="73">
        <f t="shared" ca="1" si="189"/>
        <v>0</v>
      </c>
      <c r="BE84" s="64"/>
      <c r="BF84" s="74" t="s">
        <v>75</v>
      </c>
      <c r="BG84" s="73">
        <f t="shared" ca="1" si="189"/>
        <v>0</v>
      </c>
      <c r="BH84" s="64"/>
      <c r="BI84" s="74" t="s">
        <v>75</v>
      </c>
      <c r="BJ84" s="73">
        <f t="shared" ca="1" si="189"/>
        <v>0</v>
      </c>
      <c r="BK84" s="64"/>
      <c r="BL84" s="74" t="s">
        <v>75</v>
      </c>
      <c r="BM84" s="73">
        <f t="shared" ca="1" si="189"/>
        <v>0</v>
      </c>
      <c r="BN84" s="64"/>
      <c r="BO84" s="74" t="s">
        <v>1259</v>
      </c>
      <c r="BP84" s="73">
        <f t="shared" ca="1" si="189"/>
        <v>0</v>
      </c>
      <c r="BQ84" s="64"/>
      <c r="BR84" s="74" t="s">
        <v>1259</v>
      </c>
      <c r="BS84" s="73">
        <f t="shared" ca="1" si="189"/>
        <v>0</v>
      </c>
      <c r="BT84" s="64"/>
      <c r="BU84" s="74" t="s">
        <v>75</v>
      </c>
      <c r="BV84" s="73">
        <f t="shared" ca="1" si="189"/>
        <v>0</v>
      </c>
      <c r="BW84" s="64"/>
      <c r="BX84" s="74" t="s">
        <v>75</v>
      </c>
      <c r="BY84" s="73">
        <f t="shared" ca="1" si="189"/>
        <v>0</v>
      </c>
      <c r="BZ84" s="64"/>
      <c r="CA84" s="74" t="s">
        <v>1259</v>
      </c>
      <c r="CB84" s="73">
        <f t="shared" ca="1" si="189"/>
        <v>0</v>
      </c>
      <c r="CC84" s="64"/>
      <c r="CD84" s="74" t="s">
        <v>75</v>
      </c>
      <c r="CE84" s="73">
        <f t="shared" ca="1" si="189"/>
        <v>0</v>
      </c>
      <c r="CF84" s="64"/>
      <c r="CG84" s="74" t="s">
        <v>1259</v>
      </c>
      <c r="CH84" s="73">
        <f t="shared" ca="1" si="189"/>
        <v>0</v>
      </c>
      <c r="CI84" s="64"/>
      <c r="CJ84" s="74" t="s">
        <v>75</v>
      </c>
      <c r="CK84" s="73">
        <f t="shared" ref="CK84:CN84" ca="1" si="190">($M84=CJ84)*$D$11</f>
        <v>0</v>
      </c>
      <c r="CL84" s="64"/>
      <c r="CM84" s="74" t="s">
        <v>75</v>
      </c>
      <c r="CN84" s="73">
        <f t="shared" ca="1" si="190"/>
        <v>0</v>
      </c>
      <c r="CO84" s="64"/>
      <c r="CP84" s="64"/>
    </row>
    <row r="85" spans="1:94">
      <c r="A85" s="49"/>
      <c r="B85" s="49"/>
      <c r="C85" s="49"/>
      <c r="D85" s="49"/>
      <c r="E85" s="111"/>
      <c r="F85" s="127">
        <f t="shared" ref="F85" si="191">$D$12</f>
        <v>4</v>
      </c>
      <c r="G85" s="445">
        <f ca="1">VLOOKUP(H85,Equipos!$Q$1:$R$25,2,0)</f>
        <v>14</v>
      </c>
      <c r="H85" s="446">
        <f ca="1">$H$56</f>
        <v>46197</v>
      </c>
      <c r="I85" s="50"/>
      <c r="J85" s="843"/>
      <c r="K85" s="56" t="str">
        <f>Idiomas!D155</f>
        <v>2º GRUPO B</v>
      </c>
      <c r="L85" s="53"/>
      <c r="M85" s="55" t="str">
        <f ca="1">IF(OR(SUM(WORLDCUP!$AN$14:$AN$17)=12,WORLDCUP!$AJ$99=144),WORLDCUP!AL15,LEFT(K85,1)&amp;RIGHT(K85,1))</f>
        <v>2B</v>
      </c>
      <c r="N85" s="25"/>
      <c r="O85" s="25"/>
      <c r="P85" s="25"/>
      <c r="Q85" s="25"/>
      <c r="R85" s="110"/>
      <c r="S85" s="74" t="s">
        <v>1259</v>
      </c>
      <c r="T85" s="73">
        <f t="shared" ref="T85" ca="1" si="192">($M85=S85)*$D$12</f>
        <v>0</v>
      </c>
      <c r="U85" s="64"/>
      <c r="V85" s="74" t="s">
        <v>1259</v>
      </c>
      <c r="W85" s="73">
        <f t="shared" ref="W85:CH85" ca="1" si="193">($M85=V85)*$D$12</f>
        <v>0</v>
      </c>
      <c r="X85" s="64"/>
      <c r="Y85" s="74" t="s">
        <v>1259</v>
      </c>
      <c r="Z85" s="73">
        <f t="shared" ca="1" si="193"/>
        <v>0</v>
      </c>
      <c r="AA85" s="64"/>
      <c r="AB85" s="74" t="s">
        <v>75</v>
      </c>
      <c r="AC85" s="73">
        <f t="shared" ca="1" si="193"/>
        <v>0</v>
      </c>
      <c r="AD85" s="64"/>
      <c r="AE85" s="74" t="s">
        <v>75</v>
      </c>
      <c r="AF85" s="73">
        <f t="shared" ca="1" si="193"/>
        <v>0</v>
      </c>
      <c r="AG85" s="64"/>
      <c r="AH85" s="74" t="s">
        <v>75</v>
      </c>
      <c r="AI85" s="73">
        <f t="shared" ca="1" si="193"/>
        <v>0</v>
      </c>
      <c r="AJ85" s="64"/>
      <c r="AK85" s="74" t="s">
        <v>1259</v>
      </c>
      <c r="AL85" s="73">
        <f t="shared" ca="1" si="193"/>
        <v>0</v>
      </c>
      <c r="AM85" s="64"/>
      <c r="AN85" s="74" t="s">
        <v>1841</v>
      </c>
      <c r="AO85" s="73">
        <f t="shared" ca="1" si="193"/>
        <v>0</v>
      </c>
      <c r="AP85" s="64"/>
      <c r="AQ85" s="74" t="s">
        <v>1841</v>
      </c>
      <c r="AR85" s="73">
        <f t="shared" ca="1" si="193"/>
        <v>0</v>
      </c>
      <c r="AS85" s="64"/>
      <c r="AT85" s="74" t="s">
        <v>1259</v>
      </c>
      <c r="AU85" s="73">
        <f t="shared" ca="1" si="193"/>
        <v>0</v>
      </c>
      <c r="AV85" s="64"/>
      <c r="AW85" s="74" t="s">
        <v>1259</v>
      </c>
      <c r="AX85" s="73">
        <f t="shared" ca="1" si="193"/>
        <v>0</v>
      </c>
      <c r="AY85" s="64"/>
      <c r="AZ85" s="74" t="s">
        <v>75</v>
      </c>
      <c r="BA85" s="73">
        <f t="shared" ca="1" si="193"/>
        <v>0</v>
      </c>
      <c r="BB85" s="64"/>
      <c r="BC85" s="74" t="s">
        <v>1841</v>
      </c>
      <c r="BD85" s="73">
        <f t="shared" ca="1" si="193"/>
        <v>0</v>
      </c>
      <c r="BE85" s="64"/>
      <c r="BF85" s="74" t="s">
        <v>1259</v>
      </c>
      <c r="BG85" s="73">
        <f t="shared" ca="1" si="193"/>
        <v>0</v>
      </c>
      <c r="BH85" s="64"/>
      <c r="BI85" s="74" t="s">
        <v>1841</v>
      </c>
      <c r="BJ85" s="73">
        <f t="shared" ca="1" si="193"/>
        <v>0</v>
      </c>
      <c r="BK85" s="64"/>
      <c r="BL85" s="74" t="s">
        <v>1259</v>
      </c>
      <c r="BM85" s="73">
        <f t="shared" ca="1" si="193"/>
        <v>0</v>
      </c>
      <c r="BN85" s="64"/>
      <c r="BO85" s="74" t="s">
        <v>75</v>
      </c>
      <c r="BP85" s="73">
        <f t="shared" ca="1" si="193"/>
        <v>0</v>
      </c>
      <c r="BQ85" s="64"/>
      <c r="BR85" s="74" t="s">
        <v>1841</v>
      </c>
      <c r="BS85" s="73">
        <f t="shared" ca="1" si="193"/>
        <v>0</v>
      </c>
      <c r="BT85" s="64"/>
      <c r="BU85" s="74" t="s">
        <v>1841</v>
      </c>
      <c r="BV85" s="73">
        <f t="shared" ca="1" si="193"/>
        <v>0</v>
      </c>
      <c r="BW85" s="64"/>
      <c r="BX85" s="74" t="s">
        <v>1259</v>
      </c>
      <c r="BY85" s="73">
        <f t="shared" ca="1" si="193"/>
        <v>0</v>
      </c>
      <c r="BZ85" s="64"/>
      <c r="CA85" s="74" t="s">
        <v>75</v>
      </c>
      <c r="CB85" s="73">
        <f t="shared" ca="1" si="193"/>
        <v>0</v>
      </c>
      <c r="CC85" s="64"/>
      <c r="CD85" s="74" t="s">
        <v>1259</v>
      </c>
      <c r="CE85" s="73">
        <f t="shared" ca="1" si="193"/>
        <v>0</v>
      </c>
      <c r="CF85" s="64"/>
      <c r="CG85" s="74" t="s">
        <v>75</v>
      </c>
      <c r="CH85" s="73">
        <f t="shared" ca="1" si="193"/>
        <v>0</v>
      </c>
      <c r="CI85" s="64"/>
      <c r="CJ85" s="74" t="s">
        <v>1259</v>
      </c>
      <c r="CK85" s="73">
        <f t="shared" ref="CK85:CN85" ca="1" si="194">($M85=CJ85)*$D$12</f>
        <v>0</v>
      </c>
      <c r="CL85" s="64"/>
      <c r="CM85" s="74" t="s">
        <v>1259</v>
      </c>
      <c r="CN85" s="73">
        <f t="shared" ca="1" si="194"/>
        <v>0</v>
      </c>
      <c r="CO85" s="64"/>
      <c r="CP85" s="64"/>
    </row>
    <row r="86" spans="1:94">
      <c r="A86" s="49"/>
      <c r="B86" s="49"/>
      <c r="C86" s="49"/>
      <c r="D86" s="49"/>
      <c r="E86" s="111"/>
      <c r="F86" s="127">
        <f t="shared" ref="F86" si="195">$D$13</f>
        <v>2</v>
      </c>
      <c r="G86" s="445">
        <f ca="1">VLOOKUP(H86,Equipos!$Q$1:$R$25,2,0)</f>
        <v>14</v>
      </c>
      <c r="H86" s="446">
        <f ca="1">$H$56</f>
        <v>46197</v>
      </c>
      <c r="I86" s="50"/>
      <c r="J86" s="843"/>
      <c r="K86" s="56" t="str">
        <f>Idiomas!D156</f>
        <v>3º GRUPO B</v>
      </c>
      <c r="L86" s="53"/>
      <c r="M86" s="55" t="str">
        <f ca="1">IF(OR(SUM(WORLDCUP!$AN$14:$AN$17)=12,WORLDCUP!$AJ$99=144),WORLDCUP!AL16,LEFT(K86,1)&amp;RIGHT(K86,1))</f>
        <v>3B</v>
      </c>
      <c r="N86" s="25"/>
      <c r="O86" s="25"/>
      <c r="P86" s="25"/>
      <c r="Q86" s="25"/>
      <c r="R86" s="110"/>
      <c r="S86" s="74" t="s">
        <v>1631</v>
      </c>
      <c r="T86" s="73">
        <f t="shared" ref="T86" ca="1" si="196">($M86=S86)*$D$13</f>
        <v>0</v>
      </c>
      <c r="U86" s="64"/>
      <c r="V86" s="74" t="s">
        <v>1841</v>
      </c>
      <c r="W86" s="73">
        <f t="shared" ref="W86:CH86" ca="1" si="197">($M86=V86)*$D$13</f>
        <v>0</v>
      </c>
      <c r="X86" s="64"/>
      <c r="Y86" s="74" t="s">
        <v>1841</v>
      </c>
      <c r="Z86" s="73">
        <f t="shared" ca="1" si="197"/>
        <v>0</v>
      </c>
      <c r="AA86" s="64"/>
      <c r="AB86" s="74" t="s">
        <v>1841</v>
      </c>
      <c r="AC86" s="73">
        <f t="shared" ca="1" si="197"/>
        <v>0</v>
      </c>
      <c r="AD86" s="64"/>
      <c r="AE86" s="74" t="s">
        <v>1841</v>
      </c>
      <c r="AF86" s="73">
        <f t="shared" ca="1" si="197"/>
        <v>0</v>
      </c>
      <c r="AG86" s="64"/>
      <c r="AH86" s="74" t="s">
        <v>1631</v>
      </c>
      <c r="AI86" s="73">
        <f t="shared" ca="1" si="197"/>
        <v>0</v>
      </c>
      <c r="AJ86" s="64"/>
      <c r="AK86" s="74" t="s">
        <v>1841</v>
      </c>
      <c r="AL86" s="73">
        <f t="shared" ca="1" si="197"/>
        <v>0</v>
      </c>
      <c r="AM86" s="64"/>
      <c r="AN86" s="74" t="s">
        <v>1259</v>
      </c>
      <c r="AO86" s="73">
        <f t="shared" ca="1" si="197"/>
        <v>0</v>
      </c>
      <c r="AP86" s="64"/>
      <c r="AQ86" s="74" t="s">
        <v>1259</v>
      </c>
      <c r="AR86" s="73">
        <f t="shared" ca="1" si="197"/>
        <v>0</v>
      </c>
      <c r="AS86" s="64"/>
      <c r="AT86" s="74" t="s">
        <v>1841</v>
      </c>
      <c r="AU86" s="73">
        <f t="shared" ca="1" si="197"/>
        <v>0</v>
      </c>
      <c r="AV86" s="64"/>
      <c r="AW86" s="74" t="s">
        <v>1841</v>
      </c>
      <c r="AX86" s="73">
        <f t="shared" ca="1" si="197"/>
        <v>0</v>
      </c>
      <c r="AY86" s="64"/>
      <c r="AZ86" s="74" t="s">
        <v>1841</v>
      </c>
      <c r="BA86" s="73">
        <f t="shared" ca="1" si="197"/>
        <v>0</v>
      </c>
      <c r="BB86" s="64"/>
      <c r="BC86" s="74" t="s">
        <v>1631</v>
      </c>
      <c r="BD86" s="73">
        <f t="shared" ca="1" si="197"/>
        <v>0</v>
      </c>
      <c r="BE86" s="64"/>
      <c r="BF86" s="74" t="s">
        <v>1841</v>
      </c>
      <c r="BG86" s="73">
        <f t="shared" ca="1" si="197"/>
        <v>0</v>
      </c>
      <c r="BH86" s="64"/>
      <c r="BI86" s="74" t="s">
        <v>1259</v>
      </c>
      <c r="BJ86" s="73">
        <f t="shared" ca="1" si="197"/>
        <v>0</v>
      </c>
      <c r="BK86" s="64"/>
      <c r="BL86" s="74" t="s">
        <v>1841</v>
      </c>
      <c r="BM86" s="73">
        <f t="shared" ca="1" si="197"/>
        <v>0</v>
      </c>
      <c r="BN86" s="64"/>
      <c r="BO86" s="74" t="s">
        <v>1631</v>
      </c>
      <c r="BP86" s="73">
        <f t="shared" ca="1" si="197"/>
        <v>0</v>
      </c>
      <c r="BQ86" s="64"/>
      <c r="BR86" s="74" t="s">
        <v>75</v>
      </c>
      <c r="BS86" s="73">
        <f t="shared" ca="1" si="197"/>
        <v>0</v>
      </c>
      <c r="BT86" s="64"/>
      <c r="BU86" s="74" t="s">
        <v>1259</v>
      </c>
      <c r="BV86" s="73">
        <f t="shared" ca="1" si="197"/>
        <v>0</v>
      </c>
      <c r="BW86" s="64"/>
      <c r="BX86" s="74" t="s">
        <v>1841</v>
      </c>
      <c r="BY86" s="73">
        <f t="shared" ca="1" si="197"/>
        <v>0</v>
      </c>
      <c r="BZ86" s="64"/>
      <c r="CA86" s="74" t="s">
        <v>1631</v>
      </c>
      <c r="CB86" s="73">
        <f t="shared" ca="1" si="197"/>
        <v>0</v>
      </c>
      <c r="CC86" s="64"/>
      <c r="CD86" s="74" t="s">
        <v>1841</v>
      </c>
      <c r="CE86" s="73">
        <f t="shared" ca="1" si="197"/>
        <v>0</v>
      </c>
      <c r="CF86" s="64"/>
      <c r="CG86" s="74" t="s">
        <v>1631</v>
      </c>
      <c r="CH86" s="73">
        <f t="shared" ca="1" si="197"/>
        <v>0</v>
      </c>
      <c r="CI86" s="64"/>
      <c r="CJ86" s="74" t="s">
        <v>1841</v>
      </c>
      <c r="CK86" s="73">
        <f t="shared" ref="CK86:CN86" ca="1" si="198">($M86=CJ86)*$D$13</f>
        <v>0</v>
      </c>
      <c r="CL86" s="64"/>
      <c r="CM86" s="74" t="s">
        <v>1841</v>
      </c>
      <c r="CN86" s="73">
        <f t="shared" ca="1" si="198"/>
        <v>0</v>
      </c>
      <c r="CO86" s="64"/>
      <c r="CP86" s="64"/>
    </row>
    <row r="87" spans="1:94">
      <c r="A87" s="49"/>
      <c r="B87" s="49"/>
      <c r="C87" s="49"/>
      <c r="D87" s="49"/>
      <c r="E87" s="111"/>
      <c r="F87" s="127">
        <f t="shared" ref="F87" si="199">$D$14</f>
        <v>1</v>
      </c>
      <c r="G87" s="445">
        <f ca="1">VLOOKUP(H87,Equipos!$Q$1:$R$25,2,0)</f>
        <v>14</v>
      </c>
      <c r="H87" s="446">
        <f ca="1">$H$56</f>
        <v>46197</v>
      </c>
      <c r="I87" s="50"/>
      <c r="J87" s="843"/>
      <c r="K87" s="56" t="str">
        <f>Idiomas!D157</f>
        <v>4º GRUPO B</v>
      </c>
      <c r="L87" s="53"/>
      <c r="M87" s="55" t="str">
        <f ca="1">IF(OR(SUM(WORLDCUP!$AN$14:$AN$17)=12,WORLDCUP!$AJ$99=144),WORLDCUP!AL17,LEFT(K87,1)&amp;RIGHT(K87,1))</f>
        <v>4B</v>
      </c>
      <c r="N87" s="25"/>
      <c r="O87" s="25"/>
      <c r="P87" s="25"/>
      <c r="Q87" s="25"/>
      <c r="R87" s="110"/>
      <c r="S87" s="74" t="s">
        <v>1841</v>
      </c>
      <c r="T87" s="73">
        <f t="shared" ref="T87" ca="1" si="200">($M87=S87)*$D$14</f>
        <v>0</v>
      </c>
      <c r="U87" s="64"/>
      <c r="V87" s="74" t="s">
        <v>75</v>
      </c>
      <c r="W87" s="73">
        <f t="shared" ref="W87:CH87" ca="1" si="201">($M87=V87)*$D$14</f>
        <v>0</v>
      </c>
      <c r="X87" s="64"/>
      <c r="Y87" s="74" t="s">
        <v>1631</v>
      </c>
      <c r="Z87" s="73">
        <f t="shared" ca="1" si="201"/>
        <v>0</v>
      </c>
      <c r="AA87" s="64"/>
      <c r="AB87" s="74" t="s">
        <v>1631</v>
      </c>
      <c r="AC87" s="73">
        <f t="shared" ca="1" si="201"/>
        <v>0</v>
      </c>
      <c r="AD87" s="64"/>
      <c r="AE87" s="74" t="s">
        <v>1631</v>
      </c>
      <c r="AF87" s="73">
        <f t="shared" ca="1" si="201"/>
        <v>0</v>
      </c>
      <c r="AG87" s="64"/>
      <c r="AH87" s="74" t="s">
        <v>1841</v>
      </c>
      <c r="AI87" s="73">
        <f t="shared" ca="1" si="201"/>
        <v>0</v>
      </c>
      <c r="AJ87" s="64"/>
      <c r="AK87" s="74" t="s">
        <v>1631</v>
      </c>
      <c r="AL87" s="73">
        <f t="shared" ca="1" si="201"/>
        <v>0</v>
      </c>
      <c r="AM87" s="64"/>
      <c r="AN87" s="74" t="s">
        <v>1631</v>
      </c>
      <c r="AO87" s="73">
        <f t="shared" ca="1" si="201"/>
        <v>0</v>
      </c>
      <c r="AP87" s="64"/>
      <c r="AQ87" s="74" t="s">
        <v>1631</v>
      </c>
      <c r="AR87" s="73">
        <f t="shared" ca="1" si="201"/>
        <v>0</v>
      </c>
      <c r="AS87" s="64"/>
      <c r="AT87" s="74" t="s">
        <v>1631</v>
      </c>
      <c r="AU87" s="73">
        <f t="shared" ca="1" si="201"/>
        <v>0</v>
      </c>
      <c r="AV87" s="64"/>
      <c r="AW87" s="74" t="s">
        <v>1631</v>
      </c>
      <c r="AX87" s="73">
        <f t="shared" ca="1" si="201"/>
        <v>0</v>
      </c>
      <c r="AY87" s="64"/>
      <c r="AZ87" s="74" t="s">
        <v>1259</v>
      </c>
      <c r="BA87" s="73">
        <f t="shared" ca="1" si="201"/>
        <v>0</v>
      </c>
      <c r="BB87" s="64"/>
      <c r="BC87" s="74" t="s">
        <v>1259</v>
      </c>
      <c r="BD87" s="73">
        <f t="shared" ca="1" si="201"/>
        <v>0</v>
      </c>
      <c r="BE87" s="64"/>
      <c r="BF87" s="74" t="s">
        <v>1631</v>
      </c>
      <c r="BG87" s="73">
        <f t="shared" ca="1" si="201"/>
        <v>0</v>
      </c>
      <c r="BH87" s="64"/>
      <c r="BI87" s="74" t="s">
        <v>1631</v>
      </c>
      <c r="BJ87" s="73">
        <f t="shared" ca="1" si="201"/>
        <v>0</v>
      </c>
      <c r="BK87" s="64"/>
      <c r="BL87" s="74" t="s">
        <v>1631</v>
      </c>
      <c r="BM87" s="73">
        <f t="shared" ca="1" si="201"/>
        <v>0</v>
      </c>
      <c r="BN87" s="64"/>
      <c r="BO87" s="74" t="s">
        <v>1841</v>
      </c>
      <c r="BP87" s="73">
        <f t="shared" ca="1" si="201"/>
        <v>0</v>
      </c>
      <c r="BQ87" s="64"/>
      <c r="BR87" s="74" t="s">
        <v>1631</v>
      </c>
      <c r="BS87" s="73">
        <f t="shared" ca="1" si="201"/>
        <v>0</v>
      </c>
      <c r="BT87" s="64"/>
      <c r="BU87" s="74" t="s">
        <v>1631</v>
      </c>
      <c r="BV87" s="73">
        <f t="shared" ca="1" si="201"/>
        <v>0</v>
      </c>
      <c r="BW87" s="64"/>
      <c r="BX87" s="74" t="s">
        <v>1631</v>
      </c>
      <c r="BY87" s="73">
        <f t="shared" ca="1" si="201"/>
        <v>0</v>
      </c>
      <c r="BZ87" s="64"/>
      <c r="CA87" s="74" t="s">
        <v>1841</v>
      </c>
      <c r="CB87" s="73">
        <f t="shared" ca="1" si="201"/>
        <v>0</v>
      </c>
      <c r="CC87" s="64"/>
      <c r="CD87" s="74" t="s">
        <v>1631</v>
      </c>
      <c r="CE87" s="73">
        <f t="shared" ca="1" si="201"/>
        <v>0</v>
      </c>
      <c r="CF87" s="64"/>
      <c r="CG87" s="74" t="s">
        <v>1841</v>
      </c>
      <c r="CH87" s="73">
        <f t="shared" ca="1" si="201"/>
        <v>0</v>
      </c>
      <c r="CI87" s="64"/>
      <c r="CJ87" s="74" t="s">
        <v>1631</v>
      </c>
      <c r="CK87" s="73">
        <f t="shared" ref="CK87:CN87" ca="1" si="202">($M87=CJ87)*$D$14</f>
        <v>0</v>
      </c>
      <c r="CL87" s="64"/>
      <c r="CM87" s="74" t="s">
        <v>1631</v>
      </c>
      <c r="CN87" s="73">
        <f t="shared" ca="1" si="202"/>
        <v>0</v>
      </c>
      <c r="CO87" s="64"/>
      <c r="CP87" s="64"/>
    </row>
    <row r="88" spans="1:94">
      <c r="A88" s="49"/>
      <c r="B88" s="49"/>
      <c r="C88" s="49"/>
      <c r="D88" s="49"/>
      <c r="E88" s="111"/>
      <c r="F88" s="127">
        <f t="shared" ref="F88" si="203">$D$11</f>
        <v>6</v>
      </c>
      <c r="G88" s="445">
        <f ca="1">VLOOKUP(H88,Equipos!$Q$1:$R$25,2,0)</f>
        <v>14</v>
      </c>
      <c r="H88" s="446">
        <f ca="1">$H$58</f>
        <v>46197</v>
      </c>
      <c r="I88" s="50"/>
      <c r="J88" s="844" t="s">
        <v>2</v>
      </c>
      <c r="K88" s="56" t="str">
        <f>Idiomas!D158</f>
        <v>1º GRUPO C</v>
      </c>
      <c r="L88" s="53"/>
      <c r="M88" s="55" t="str">
        <f ca="1">IF(OR(SUM(WORLDCUP!$AN$22:$AN$25)=12,WORLDCUP!$AJ$99=144),WORLDCUP!AL22,LEFT(K88,1)&amp;RIGHT(K88,1))</f>
        <v>1C</v>
      </c>
      <c r="N88" s="25"/>
      <c r="O88" s="25"/>
      <c r="P88" s="25"/>
      <c r="Q88" s="25"/>
      <c r="R88" s="110"/>
      <c r="S88" s="74" t="s">
        <v>1258</v>
      </c>
      <c r="T88" s="73">
        <f t="shared" ref="T88" ca="1" si="204">($M88=S88)*$D$11</f>
        <v>0</v>
      </c>
      <c r="U88" s="64"/>
      <c r="V88" s="74" t="s">
        <v>1258</v>
      </c>
      <c r="W88" s="73">
        <f t="shared" ref="W88:CH88" ca="1" si="205">($M88=V88)*$D$11</f>
        <v>0</v>
      </c>
      <c r="X88" s="64"/>
      <c r="Y88" s="74" t="s">
        <v>1258</v>
      </c>
      <c r="Z88" s="73">
        <f t="shared" ca="1" si="205"/>
        <v>0</v>
      </c>
      <c r="AA88" s="64"/>
      <c r="AB88" s="74" t="s">
        <v>1258</v>
      </c>
      <c r="AC88" s="73">
        <f t="shared" ca="1" si="205"/>
        <v>0</v>
      </c>
      <c r="AD88" s="64"/>
      <c r="AE88" s="74" t="s">
        <v>1258</v>
      </c>
      <c r="AF88" s="73">
        <f t="shared" ca="1" si="205"/>
        <v>0</v>
      </c>
      <c r="AG88" s="64"/>
      <c r="AH88" s="74" t="s">
        <v>1258</v>
      </c>
      <c r="AI88" s="73">
        <f t="shared" ca="1" si="205"/>
        <v>0</v>
      </c>
      <c r="AJ88" s="64"/>
      <c r="AK88" s="74" t="s">
        <v>1258</v>
      </c>
      <c r="AL88" s="73">
        <f t="shared" ca="1" si="205"/>
        <v>0</v>
      </c>
      <c r="AM88" s="64"/>
      <c r="AN88" s="74" t="s">
        <v>1258</v>
      </c>
      <c r="AO88" s="73">
        <f t="shared" ca="1" si="205"/>
        <v>0</v>
      </c>
      <c r="AP88" s="64"/>
      <c r="AQ88" s="74" t="s">
        <v>1258</v>
      </c>
      <c r="AR88" s="73">
        <f t="shared" ca="1" si="205"/>
        <v>0</v>
      </c>
      <c r="AS88" s="64"/>
      <c r="AT88" s="74" t="s">
        <v>1258</v>
      </c>
      <c r="AU88" s="73">
        <f t="shared" ca="1" si="205"/>
        <v>0</v>
      </c>
      <c r="AV88" s="64"/>
      <c r="AW88" s="74" t="s">
        <v>1258</v>
      </c>
      <c r="AX88" s="73">
        <f t="shared" ca="1" si="205"/>
        <v>0</v>
      </c>
      <c r="AY88" s="64"/>
      <c r="AZ88" s="74" t="s">
        <v>1258</v>
      </c>
      <c r="BA88" s="73">
        <f t="shared" ca="1" si="205"/>
        <v>0</v>
      </c>
      <c r="BB88" s="64"/>
      <c r="BC88" s="74" t="s">
        <v>1258</v>
      </c>
      <c r="BD88" s="73">
        <f t="shared" ca="1" si="205"/>
        <v>0</v>
      </c>
      <c r="BE88" s="64"/>
      <c r="BF88" s="74" t="s">
        <v>1321</v>
      </c>
      <c r="BG88" s="73">
        <f t="shared" ca="1" si="205"/>
        <v>0</v>
      </c>
      <c r="BH88" s="64"/>
      <c r="BI88" s="74" t="s">
        <v>1258</v>
      </c>
      <c r="BJ88" s="73">
        <f t="shared" ca="1" si="205"/>
        <v>0</v>
      </c>
      <c r="BK88" s="64"/>
      <c r="BL88" s="74" t="s">
        <v>1258</v>
      </c>
      <c r="BM88" s="73">
        <f t="shared" ca="1" si="205"/>
        <v>0</v>
      </c>
      <c r="BN88" s="64"/>
      <c r="BO88" s="74" t="s">
        <v>1258</v>
      </c>
      <c r="BP88" s="73">
        <f t="shared" ca="1" si="205"/>
        <v>0</v>
      </c>
      <c r="BQ88" s="64"/>
      <c r="BR88" s="74" t="s">
        <v>1258</v>
      </c>
      <c r="BS88" s="73">
        <f t="shared" ca="1" si="205"/>
        <v>0</v>
      </c>
      <c r="BT88" s="64"/>
      <c r="BU88" s="74" t="s">
        <v>1258</v>
      </c>
      <c r="BV88" s="73">
        <f t="shared" ca="1" si="205"/>
        <v>0</v>
      </c>
      <c r="BW88" s="64"/>
      <c r="BX88" s="74" t="s">
        <v>1258</v>
      </c>
      <c r="BY88" s="73">
        <f t="shared" ca="1" si="205"/>
        <v>0</v>
      </c>
      <c r="BZ88" s="64"/>
      <c r="CA88" s="74" t="s">
        <v>134</v>
      </c>
      <c r="CB88" s="73">
        <f t="shared" ca="1" si="205"/>
        <v>0</v>
      </c>
      <c r="CC88" s="64"/>
      <c r="CD88" s="74" t="s">
        <v>1258</v>
      </c>
      <c r="CE88" s="73">
        <f t="shared" ca="1" si="205"/>
        <v>0</v>
      </c>
      <c r="CF88" s="64"/>
      <c r="CG88" s="74" t="s">
        <v>1321</v>
      </c>
      <c r="CH88" s="73">
        <f t="shared" ca="1" si="205"/>
        <v>0</v>
      </c>
      <c r="CI88" s="64"/>
      <c r="CJ88" s="74" t="s">
        <v>1258</v>
      </c>
      <c r="CK88" s="73">
        <f t="shared" ref="CK88:CN88" ca="1" si="206">($M88=CJ88)*$D$11</f>
        <v>0</v>
      </c>
      <c r="CL88" s="64"/>
      <c r="CM88" s="74" t="s">
        <v>1258</v>
      </c>
      <c r="CN88" s="73">
        <f t="shared" ca="1" si="206"/>
        <v>0</v>
      </c>
      <c r="CO88" s="64"/>
      <c r="CP88" s="64"/>
    </row>
    <row r="89" spans="1:94">
      <c r="A89" s="49"/>
      <c r="B89" s="49"/>
      <c r="C89" s="49"/>
      <c r="D89" s="49"/>
      <c r="E89" s="111"/>
      <c r="F89" s="127">
        <f t="shared" ref="F89" si="207">$D$12</f>
        <v>4</v>
      </c>
      <c r="G89" s="445">
        <f ca="1">VLOOKUP(H89,Equipos!$Q$1:$R$25,2,0)</f>
        <v>14</v>
      </c>
      <c r="H89" s="446">
        <f ca="1">$H$58</f>
        <v>46197</v>
      </c>
      <c r="I89" s="50"/>
      <c r="J89" s="844"/>
      <c r="K89" s="56" t="str">
        <f>Idiomas!D159</f>
        <v>2º GRUPO C</v>
      </c>
      <c r="L89" s="53"/>
      <c r="M89" s="55" t="str">
        <f ca="1">IF(OR(SUM(WORLDCUP!$AN$22:$AN$25)=12,WORLDCUP!$AJ$99=144),WORLDCUP!AL23,LEFT(K89,1)&amp;RIGHT(K89,1))</f>
        <v>2C</v>
      </c>
      <c r="N89" s="25"/>
      <c r="O89" s="25"/>
      <c r="P89" s="25"/>
      <c r="Q89" s="25"/>
      <c r="R89" s="110"/>
      <c r="S89" s="74" t="s">
        <v>1321</v>
      </c>
      <c r="T89" s="73">
        <f t="shared" ref="T89" ca="1" si="208">($M89=S89)*$D$12</f>
        <v>0</v>
      </c>
      <c r="U89" s="64"/>
      <c r="V89" s="74" t="s">
        <v>134</v>
      </c>
      <c r="W89" s="73">
        <f t="shared" ref="W89:CH89" ca="1" si="209">($M89=V89)*$D$12</f>
        <v>0</v>
      </c>
      <c r="X89" s="64"/>
      <c r="Y89" s="74" t="s">
        <v>1321</v>
      </c>
      <c r="Z89" s="73">
        <f t="shared" ca="1" si="209"/>
        <v>0</v>
      </c>
      <c r="AA89" s="64"/>
      <c r="AB89" s="74" t="s">
        <v>1321</v>
      </c>
      <c r="AC89" s="73">
        <f t="shared" ca="1" si="209"/>
        <v>0</v>
      </c>
      <c r="AD89" s="64"/>
      <c r="AE89" s="74" t="s">
        <v>1321</v>
      </c>
      <c r="AF89" s="73">
        <f t="shared" ca="1" si="209"/>
        <v>0</v>
      </c>
      <c r="AG89" s="64"/>
      <c r="AH89" s="74" t="s">
        <v>1321</v>
      </c>
      <c r="AI89" s="73">
        <f t="shared" ca="1" si="209"/>
        <v>0</v>
      </c>
      <c r="AJ89" s="64"/>
      <c r="AK89" s="74" t="s">
        <v>1321</v>
      </c>
      <c r="AL89" s="73">
        <f t="shared" ca="1" si="209"/>
        <v>0</v>
      </c>
      <c r="AM89" s="64"/>
      <c r="AN89" s="74" t="s">
        <v>1321</v>
      </c>
      <c r="AO89" s="73">
        <f t="shared" ca="1" si="209"/>
        <v>0</v>
      </c>
      <c r="AP89" s="64"/>
      <c r="AQ89" s="74" t="s">
        <v>134</v>
      </c>
      <c r="AR89" s="73">
        <f t="shared" ca="1" si="209"/>
        <v>0</v>
      </c>
      <c r="AS89" s="64"/>
      <c r="AT89" s="74" t="s">
        <v>1321</v>
      </c>
      <c r="AU89" s="73">
        <f t="shared" ca="1" si="209"/>
        <v>0</v>
      </c>
      <c r="AV89" s="64"/>
      <c r="AW89" s="74" t="s">
        <v>1321</v>
      </c>
      <c r="AX89" s="73">
        <f t="shared" ca="1" si="209"/>
        <v>0</v>
      </c>
      <c r="AY89" s="64"/>
      <c r="AZ89" s="74" t="s">
        <v>1321</v>
      </c>
      <c r="BA89" s="73">
        <f t="shared" ca="1" si="209"/>
        <v>0</v>
      </c>
      <c r="BB89" s="64"/>
      <c r="BC89" s="74" t="s">
        <v>134</v>
      </c>
      <c r="BD89" s="73">
        <f t="shared" ca="1" si="209"/>
        <v>0</v>
      </c>
      <c r="BE89" s="64"/>
      <c r="BF89" s="74" t="s">
        <v>1258</v>
      </c>
      <c r="BG89" s="73">
        <f t="shared" ca="1" si="209"/>
        <v>0</v>
      </c>
      <c r="BH89" s="64"/>
      <c r="BI89" s="74" t="s">
        <v>1321</v>
      </c>
      <c r="BJ89" s="73">
        <f t="shared" ca="1" si="209"/>
        <v>0</v>
      </c>
      <c r="BK89" s="64"/>
      <c r="BL89" s="74" t="s">
        <v>1321</v>
      </c>
      <c r="BM89" s="73">
        <f t="shared" ca="1" si="209"/>
        <v>0</v>
      </c>
      <c r="BN89" s="64"/>
      <c r="BO89" s="74" t="s">
        <v>1321</v>
      </c>
      <c r="BP89" s="73">
        <f t="shared" ca="1" si="209"/>
        <v>0</v>
      </c>
      <c r="BQ89" s="64"/>
      <c r="BR89" s="74" t="s">
        <v>1321</v>
      </c>
      <c r="BS89" s="73">
        <f t="shared" ca="1" si="209"/>
        <v>0</v>
      </c>
      <c r="BT89" s="64"/>
      <c r="BU89" s="74" t="s">
        <v>1321</v>
      </c>
      <c r="BV89" s="73">
        <f t="shared" ca="1" si="209"/>
        <v>0</v>
      </c>
      <c r="BW89" s="64"/>
      <c r="BX89" s="74" t="s">
        <v>134</v>
      </c>
      <c r="BY89" s="73">
        <f t="shared" ca="1" si="209"/>
        <v>0</v>
      </c>
      <c r="BZ89" s="64"/>
      <c r="CA89" s="74" t="s">
        <v>1258</v>
      </c>
      <c r="CB89" s="73">
        <f t="shared" ca="1" si="209"/>
        <v>0</v>
      </c>
      <c r="CC89" s="64"/>
      <c r="CD89" s="74" t="s">
        <v>1321</v>
      </c>
      <c r="CE89" s="73">
        <f t="shared" ca="1" si="209"/>
        <v>0</v>
      </c>
      <c r="CF89" s="64"/>
      <c r="CG89" s="74" t="s">
        <v>1258</v>
      </c>
      <c r="CH89" s="73">
        <f t="shared" ca="1" si="209"/>
        <v>0</v>
      </c>
      <c r="CI89" s="64"/>
      <c r="CJ89" s="74" t="s">
        <v>1321</v>
      </c>
      <c r="CK89" s="73">
        <f t="shared" ref="CK89:CN89" ca="1" si="210">($M89=CJ89)*$D$12</f>
        <v>0</v>
      </c>
      <c r="CL89" s="64"/>
      <c r="CM89" s="74" t="s">
        <v>1321</v>
      </c>
      <c r="CN89" s="73">
        <f t="shared" ca="1" si="210"/>
        <v>0</v>
      </c>
      <c r="CO89" s="64"/>
      <c r="CP89" s="64"/>
    </row>
    <row r="90" spans="1:94">
      <c r="A90" s="49"/>
      <c r="B90" s="49"/>
      <c r="C90" s="49"/>
      <c r="D90" s="49"/>
      <c r="E90" s="111"/>
      <c r="F90" s="127">
        <f t="shared" ref="F90" si="211">$D$13</f>
        <v>2</v>
      </c>
      <c r="G90" s="445">
        <f ca="1">VLOOKUP(H90,Equipos!$Q$1:$R$25,2,0)</f>
        <v>14</v>
      </c>
      <c r="H90" s="446">
        <f ca="1">$H$58</f>
        <v>46197</v>
      </c>
      <c r="I90" s="50"/>
      <c r="J90" s="844"/>
      <c r="K90" s="56" t="str">
        <f>Idiomas!D160</f>
        <v>3º GRUPO C</v>
      </c>
      <c r="L90" s="53"/>
      <c r="M90" s="55" t="str">
        <f ca="1">IF(OR(SUM(WORLDCUP!$AN$22:$AN$25)=12,WORLDCUP!$AJ$99=144),WORLDCUP!AL24,LEFT(K90,1)&amp;RIGHT(K90,1))</f>
        <v>3C</v>
      </c>
      <c r="N90" s="25"/>
      <c r="O90" s="25"/>
      <c r="P90" s="25"/>
      <c r="Q90" s="25"/>
      <c r="R90" s="110"/>
      <c r="S90" s="74" t="s">
        <v>134</v>
      </c>
      <c r="T90" s="73">
        <f t="shared" ref="T90" ca="1" si="212">($M90=S90)*$D$13</f>
        <v>0</v>
      </c>
      <c r="U90" s="64"/>
      <c r="V90" s="74" t="s">
        <v>1728</v>
      </c>
      <c r="W90" s="73">
        <f t="shared" ref="W90:CH90" ca="1" si="213">($M90=V90)*$D$13</f>
        <v>0</v>
      </c>
      <c r="X90" s="64"/>
      <c r="Y90" s="74" t="s">
        <v>134</v>
      </c>
      <c r="Z90" s="73">
        <f t="shared" ca="1" si="213"/>
        <v>0</v>
      </c>
      <c r="AA90" s="64"/>
      <c r="AB90" s="74" t="s">
        <v>134</v>
      </c>
      <c r="AC90" s="73">
        <f t="shared" ca="1" si="213"/>
        <v>0</v>
      </c>
      <c r="AD90" s="64"/>
      <c r="AE90" s="74" t="s">
        <v>134</v>
      </c>
      <c r="AF90" s="73">
        <f t="shared" ca="1" si="213"/>
        <v>0</v>
      </c>
      <c r="AG90" s="64"/>
      <c r="AH90" s="74" t="s">
        <v>134</v>
      </c>
      <c r="AI90" s="73">
        <f t="shared" ca="1" si="213"/>
        <v>0</v>
      </c>
      <c r="AJ90" s="64"/>
      <c r="AK90" s="74" t="s">
        <v>134</v>
      </c>
      <c r="AL90" s="73">
        <f t="shared" ca="1" si="213"/>
        <v>0</v>
      </c>
      <c r="AM90" s="64"/>
      <c r="AN90" s="74" t="s">
        <v>134</v>
      </c>
      <c r="AO90" s="73">
        <f t="shared" ca="1" si="213"/>
        <v>0</v>
      </c>
      <c r="AP90" s="64"/>
      <c r="AQ90" s="74" t="s">
        <v>1321</v>
      </c>
      <c r="AR90" s="73">
        <f t="shared" ca="1" si="213"/>
        <v>0</v>
      </c>
      <c r="AS90" s="64"/>
      <c r="AT90" s="74" t="s">
        <v>134</v>
      </c>
      <c r="AU90" s="73">
        <f t="shared" ca="1" si="213"/>
        <v>0</v>
      </c>
      <c r="AV90" s="64"/>
      <c r="AW90" s="74" t="s">
        <v>134</v>
      </c>
      <c r="AX90" s="73">
        <f t="shared" ca="1" si="213"/>
        <v>0</v>
      </c>
      <c r="AY90" s="64"/>
      <c r="AZ90" s="74" t="s">
        <v>134</v>
      </c>
      <c r="BA90" s="73">
        <f t="shared" ca="1" si="213"/>
        <v>0</v>
      </c>
      <c r="BB90" s="64"/>
      <c r="BC90" s="74" t="s">
        <v>1321</v>
      </c>
      <c r="BD90" s="73">
        <f t="shared" ca="1" si="213"/>
        <v>0</v>
      </c>
      <c r="BE90" s="64"/>
      <c r="BF90" s="74" t="s">
        <v>134</v>
      </c>
      <c r="BG90" s="73">
        <f t="shared" ca="1" si="213"/>
        <v>0</v>
      </c>
      <c r="BH90" s="64"/>
      <c r="BI90" s="74" t="s">
        <v>134</v>
      </c>
      <c r="BJ90" s="73">
        <f t="shared" ca="1" si="213"/>
        <v>0</v>
      </c>
      <c r="BK90" s="64"/>
      <c r="BL90" s="74" t="s">
        <v>134</v>
      </c>
      <c r="BM90" s="73">
        <f t="shared" ca="1" si="213"/>
        <v>0</v>
      </c>
      <c r="BN90" s="64"/>
      <c r="BO90" s="74" t="s">
        <v>134</v>
      </c>
      <c r="BP90" s="73">
        <f t="shared" ca="1" si="213"/>
        <v>0</v>
      </c>
      <c r="BQ90" s="64"/>
      <c r="BR90" s="74" t="s">
        <v>134</v>
      </c>
      <c r="BS90" s="73">
        <f t="shared" ca="1" si="213"/>
        <v>0</v>
      </c>
      <c r="BT90" s="64"/>
      <c r="BU90" s="74" t="s">
        <v>134</v>
      </c>
      <c r="BV90" s="73">
        <f t="shared" ca="1" si="213"/>
        <v>0</v>
      </c>
      <c r="BW90" s="64"/>
      <c r="BX90" s="74" t="s">
        <v>1321</v>
      </c>
      <c r="BY90" s="73">
        <f t="shared" ca="1" si="213"/>
        <v>0</v>
      </c>
      <c r="BZ90" s="64"/>
      <c r="CA90" s="74" t="s">
        <v>1321</v>
      </c>
      <c r="CB90" s="73">
        <f t="shared" ca="1" si="213"/>
        <v>0</v>
      </c>
      <c r="CC90" s="64"/>
      <c r="CD90" s="74" t="s">
        <v>134</v>
      </c>
      <c r="CE90" s="73">
        <f t="shared" ca="1" si="213"/>
        <v>0</v>
      </c>
      <c r="CF90" s="64"/>
      <c r="CG90" s="74" t="s">
        <v>1728</v>
      </c>
      <c r="CH90" s="73">
        <f t="shared" ca="1" si="213"/>
        <v>0</v>
      </c>
      <c r="CI90" s="64"/>
      <c r="CJ90" s="74" t="s">
        <v>134</v>
      </c>
      <c r="CK90" s="73">
        <f t="shared" ref="CK90:CN90" ca="1" si="214">($M90=CJ90)*$D$13</f>
        <v>0</v>
      </c>
      <c r="CL90" s="64"/>
      <c r="CM90" s="74" t="s">
        <v>134</v>
      </c>
      <c r="CN90" s="73">
        <f t="shared" ca="1" si="214"/>
        <v>0</v>
      </c>
      <c r="CO90" s="64"/>
      <c r="CP90" s="64"/>
    </row>
    <row r="91" spans="1:94">
      <c r="A91" s="49"/>
      <c r="B91" s="49"/>
      <c r="C91" s="49"/>
      <c r="D91" s="49"/>
      <c r="E91" s="111"/>
      <c r="F91" s="127">
        <f t="shared" ref="F91" si="215">$D$14</f>
        <v>1</v>
      </c>
      <c r="G91" s="445">
        <f ca="1">VLOOKUP(H91,Equipos!$Q$1:$R$25,2,0)</f>
        <v>14</v>
      </c>
      <c r="H91" s="446">
        <f ca="1">$H$58</f>
        <v>46197</v>
      </c>
      <c r="I91" s="50"/>
      <c r="J91" s="844"/>
      <c r="K91" s="56" t="str">
        <f>Idiomas!D161</f>
        <v>4º GRUPO C</v>
      </c>
      <c r="L91" s="53"/>
      <c r="M91" s="55" t="str">
        <f ca="1">IF(OR(SUM(WORLDCUP!$AN$22:$AN$25)=12,WORLDCUP!$AJ$99=144),WORLDCUP!AL25,LEFT(K91,1)&amp;RIGHT(K91,1))</f>
        <v>4C</v>
      </c>
      <c r="N91" s="25"/>
      <c r="O91" s="25"/>
      <c r="P91" s="25"/>
      <c r="Q91" s="25"/>
      <c r="R91" s="110"/>
      <c r="S91" s="74" t="s">
        <v>1728</v>
      </c>
      <c r="T91" s="73">
        <f t="shared" ref="T91" ca="1" si="216">($M91=S91)*$D$14</f>
        <v>0</v>
      </c>
      <c r="U91" s="64"/>
      <c r="V91" s="74" t="s">
        <v>1321</v>
      </c>
      <c r="W91" s="73">
        <f t="shared" ref="W91:CH91" ca="1" si="217">($M91=V91)*$D$14</f>
        <v>0</v>
      </c>
      <c r="X91" s="64"/>
      <c r="Y91" s="74" t="s">
        <v>1728</v>
      </c>
      <c r="Z91" s="73">
        <f t="shared" ca="1" si="217"/>
        <v>0</v>
      </c>
      <c r="AA91" s="64"/>
      <c r="AB91" s="74" t="s">
        <v>1728</v>
      </c>
      <c r="AC91" s="73">
        <f t="shared" ca="1" si="217"/>
        <v>0</v>
      </c>
      <c r="AD91" s="64"/>
      <c r="AE91" s="74" t="s">
        <v>1728</v>
      </c>
      <c r="AF91" s="73">
        <f t="shared" ca="1" si="217"/>
        <v>0</v>
      </c>
      <c r="AG91" s="64"/>
      <c r="AH91" s="74" t="s">
        <v>1728</v>
      </c>
      <c r="AI91" s="73">
        <f t="shared" ca="1" si="217"/>
        <v>0</v>
      </c>
      <c r="AJ91" s="64"/>
      <c r="AK91" s="74" t="s">
        <v>1728</v>
      </c>
      <c r="AL91" s="73">
        <f t="shared" ca="1" si="217"/>
        <v>0</v>
      </c>
      <c r="AM91" s="64"/>
      <c r="AN91" s="74" t="s">
        <v>1728</v>
      </c>
      <c r="AO91" s="73">
        <f t="shared" ca="1" si="217"/>
        <v>0</v>
      </c>
      <c r="AP91" s="64"/>
      <c r="AQ91" s="74" t="s">
        <v>1728</v>
      </c>
      <c r="AR91" s="73">
        <f t="shared" ca="1" si="217"/>
        <v>0</v>
      </c>
      <c r="AS91" s="64"/>
      <c r="AT91" s="74" t="s">
        <v>1728</v>
      </c>
      <c r="AU91" s="73">
        <f t="shared" ca="1" si="217"/>
        <v>0</v>
      </c>
      <c r="AV91" s="64"/>
      <c r="AW91" s="74" t="s">
        <v>1728</v>
      </c>
      <c r="AX91" s="73">
        <f t="shared" ca="1" si="217"/>
        <v>0</v>
      </c>
      <c r="AY91" s="64"/>
      <c r="AZ91" s="74" t="s">
        <v>1728</v>
      </c>
      <c r="BA91" s="73">
        <f t="shared" ca="1" si="217"/>
        <v>0</v>
      </c>
      <c r="BB91" s="64"/>
      <c r="BC91" s="74" t="s">
        <v>1728</v>
      </c>
      <c r="BD91" s="73">
        <f t="shared" ca="1" si="217"/>
        <v>0</v>
      </c>
      <c r="BE91" s="64"/>
      <c r="BF91" s="74" t="s">
        <v>1728</v>
      </c>
      <c r="BG91" s="73">
        <f t="shared" ca="1" si="217"/>
        <v>0</v>
      </c>
      <c r="BH91" s="64"/>
      <c r="BI91" s="74" t="s">
        <v>1728</v>
      </c>
      <c r="BJ91" s="73">
        <f t="shared" ca="1" si="217"/>
        <v>0</v>
      </c>
      <c r="BK91" s="64"/>
      <c r="BL91" s="74" t="s">
        <v>1728</v>
      </c>
      <c r="BM91" s="73">
        <f t="shared" ca="1" si="217"/>
        <v>0</v>
      </c>
      <c r="BN91" s="64"/>
      <c r="BO91" s="74" t="s">
        <v>1728</v>
      </c>
      <c r="BP91" s="73">
        <f t="shared" ca="1" si="217"/>
        <v>0</v>
      </c>
      <c r="BQ91" s="64"/>
      <c r="BR91" s="74" t="s">
        <v>1728</v>
      </c>
      <c r="BS91" s="73">
        <f t="shared" ca="1" si="217"/>
        <v>0</v>
      </c>
      <c r="BT91" s="64"/>
      <c r="BU91" s="74" t="s">
        <v>1728</v>
      </c>
      <c r="BV91" s="73">
        <f t="shared" ca="1" si="217"/>
        <v>0</v>
      </c>
      <c r="BW91" s="64"/>
      <c r="BX91" s="74" t="s">
        <v>1728</v>
      </c>
      <c r="BY91" s="73">
        <f t="shared" ca="1" si="217"/>
        <v>0</v>
      </c>
      <c r="BZ91" s="64"/>
      <c r="CA91" s="74" t="s">
        <v>1728</v>
      </c>
      <c r="CB91" s="73">
        <f t="shared" ca="1" si="217"/>
        <v>0</v>
      </c>
      <c r="CC91" s="64"/>
      <c r="CD91" s="74" t="s">
        <v>1728</v>
      </c>
      <c r="CE91" s="73">
        <f t="shared" ca="1" si="217"/>
        <v>0</v>
      </c>
      <c r="CF91" s="64"/>
      <c r="CG91" s="74" t="s">
        <v>134</v>
      </c>
      <c r="CH91" s="73">
        <f t="shared" ca="1" si="217"/>
        <v>0</v>
      </c>
      <c r="CI91" s="64"/>
      <c r="CJ91" s="74" t="s">
        <v>1728</v>
      </c>
      <c r="CK91" s="73">
        <f t="shared" ref="CK91:CN91" ca="1" si="218">($M91=CJ91)*$D$14</f>
        <v>0</v>
      </c>
      <c r="CL91" s="64"/>
      <c r="CM91" s="74" t="s">
        <v>1728</v>
      </c>
      <c r="CN91" s="73">
        <f t="shared" ca="1" si="218"/>
        <v>0</v>
      </c>
      <c r="CO91" s="64"/>
      <c r="CP91" s="64"/>
    </row>
    <row r="92" spans="1:94">
      <c r="A92" s="49"/>
      <c r="B92" s="49"/>
      <c r="C92" s="49"/>
      <c r="D92" s="49"/>
      <c r="E92" s="111"/>
      <c r="F92" s="127">
        <f t="shared" ref="F92" si="219">$D$11</f>
        <v>6</v>
      </c>
      <c r="G92" s="445">
        <f ca="1">VLOOKUP(H92,Equipos!$Q$1:$R$25,2,0)</f>
        <v>15</v>
      </c>
      <c r="H92" s="446">
        <f ca="1">$H$60</f>
        <v>46198</v>
      </c>
      <c r="I92" s="50"/>
      <c r="J92" s="843" t="s">
        <v>73</v>
      </c>
      <c r="K92" s="56" t="str">
        <f>Idiomas!D162</f>
        <v>1º GRUPO D</v>
      </c>
      <c r="L92" s="53"/>
      <c r="M92" s="55" t="str">
        <f ca="1">IF(OR(SUM(WORLDCUP!$AN$30:$AN$33)=12,WORLDCUP!$AJ$99=144),WORLDCUP!AL30,LEFT(K92,1)&amp;RIGHT(K92,1))</f>
        <v>1D</v>
      </c>
      <c r="N92" s="25"/>
      <c r="O92" s="25"/>
      <c r="P92" s="25"/>
      <c r="Q92" s="25"/>
      <c r="R92" s="110"/>
      <c r="S92" s="74" t="s">
        <v>1835</v>
      </c>
      <c r="T92" s="73">
        <f t="shared" ref="T92" ca="1" si="220">($M92=S92)*$D$11</f>
        <v>0</v>
      </c>
      <c r="U92" s="64"/>
      <c r="V92" s="74" t="s">
        <v>1319</v>
      </c>
      <c r="W92" s="73">
        <f t="shared" ref="W92:CH92" ca="1" si="221">($M92=V92)*$D$11</f>
        <v>0</v>
      </c>
      <c r="X92" s="64"/>
      <c r="Y92" s="74" t="s">
        <v>497</v>
      </c>
      <c r="Z92" s="73">
        <f t="shared" ca="1" si="221"/>
        <v>0</v>
      </c>
      <c r="AA92" s="64"/>
      <c r="AB92" s="74" t="s">
        <v>1835</v>
      </c>
      <c r="AC92" s="73">
        <f t="shared" ca="1" si="221"/>
        <v>0</v>
      </c>
      <c r="AD92" s="64"/>
      <c r="AE92" s="74" t="s">
        <v>1835</v>
      </c>
      <c r="AF92" s="73">
        <f t="shared" ca="1" si="221"/>
        <v>0</v>
      </c>
      <c r="AG92" s="64"/>
      <c r="AH92" s="74" t="s">
        <v>1835</v>
      </c>
      <c r="AI92" s="73">
        <f t="shared" ca="1" si="221"/>
        <v>0</v>
      </c>
      <c r="AJ92" s="64"/>
      <c r="AK92" s="74" t="s">
        <v>1835</v>
      </c>
      <c r="AL92" s="73">
        <f t="shared" ca="1" si="221"/>
        <v>0</v>
      </c>
      <c r="AM92" s="64"/>
      <c r="AN92" s="74" t="s">
        <v>1319</v>
      </c>
      <c r="AO92" s="73">
        <f t="shared" ca="1" si="221"/>
        <v>0</v>
      </c>
      <c r="AP92" s="64"/>
      <c r="AQ92" s="74" t="s">
        <v>1835</v>
      </c>
      <c r="AR92" s="73">
        <f t="shared" ca="1" si="221"/>
        <v>0</v>
      </c>
      <c r="AS92" s="64"/>
      <c r="AT92" s="74" t="s">
        <v>497</v>
      </c>
      <c r="AU92" s="73">
        <f t="shared" ca="1" si="221"/>
        <v>0</v>
      </c>
      <c r="AV92" s="64"/>
      <c r="AW92" s="74" t="s">
        <v>497</v>
      </c>
      <c r="AX92" s="73">
        <f t="shared" ca="1" si="221"/>
        <v>0</v>
      </c>
      <c r="AY92" s="64"/>
      <c r="AZ92" s="74" t="s">
        <v>497</v>
      </c>
      <c r="BA92" s="73">
        <f t="shared" ca="1" si="221"/>
        <v>0</v>
      </c>
      <c r="BB92" s="64"/>
      <c r="BC92" s="74" t="s">
        <v>1835</v>
      </c>
      <c r="BD92" s="73">
        <f t="shared" ca="1" si="221"/>
        <v>0</v>
      </c>
      <c r="BE92" s="64"/>
      <c r="BF92" s="74" t="s">
        <v>1835</v>
      </c>
      <c r="BG92" s="73">
        <f t="shared" ca="1" si="221"/>
        <v>0</v>
      </c>
      <c r="BH92" s="64"/>
      <c r="BI92" s="74" t="s">
        <v>1319</v>
      </c>
      <c r="BJ92" s="73">
        <f t="shared" ca="1" si="221"/>
        <v>0</v>
      </c>
      <c r="BK92" s="64"/>
      <c r="BL92" s="74" t="s">
        <v>1835</v>
      </c>
      <c r="BM92" s="73">
        <f t="shared" ca="1" si="221"/>
        <v>0</v>
      </c>
      <c r="BN92" s="64"/>
      <c r="BO92" s="74" t="s">
        <v>1257</v>
      </c>
      <c r="BP92" s="73">
        <f t="shared" ca="1" si="221"/>
        <v>0</v>
      </c>
      <c r="BQ92" s="64"/>
      <c r="BR92" s="74" t="s">
        <v>1835</v>
      </c>
      <c r="BS92" s="73">
        <f t="shared" ca="1" si="221"/>
        <v>0</v>
      </c>
      <c r="BT92" s="64"/>
      <c r="BU92" s="74" t="s">
        <v>1835</v>
      </c>
      <c r="BV92" s="73">
        <f t="shared" ca="1" si="221"/>
        <v>0</v>
      </c>
      <c r="BW92" s="64"/>
      <c r="BX92" s="74" t="s">
        <v>497</v>
      </c>
      <c r="BY92" s="73">
        <f t="shared" ca="1" si="221"/>
        <v>0</v>
      </c>
      <c r="BZ92" s="64"/>
      <c r="CA92" s="74" t="s">
        <v>497</v>
      </c>
      <c r="CB92" s="73">
        <f t="shared" ca="1" si="221"/>
        <v>0</v>
      </c>
      <c r="CC92" s="64"/>
      <c r="CD92" s="74" t="s">
        <v>1319</v>
      </c>
      <c r="CE92" s="73">
        <f t="shared" ca="1" si="221"/>
        <v>0</v>
      </c>
      <c r="CF92" s="64"/>
      <c r="CG92" s="74" t="s">
        <v>1835</v>
      </c>
      <c r="CH92" s="73">
        <f t="shared" ca="1" si="221"/>
        <v>0</v>
      </c>
      <c r="CI92" s="64"/>
      <c r="CJ92" s="74" t="s">
        <v>497</v>
      </c>
      <c r="CK92" s="73">
        <f t="shared" ref="CK92:CN92" ca="1" si="222">($M92=CJ92)*$D$11</f>
        <v>0</v>
      </c>
      <c r="CL92" s="64"/>
      <c r="CM92" s="74" t="s">
        <v>497</v>
      </c>
      <c r="CN92" s="73">
        <f t="shared" ca="1" si="222"/>
        <v>0</v>
      </c>
      <c r="CO92" s="64"/>
      <c r="CP92" s="64"/>
    </row>
    <row r="93" spans="1:94">
      <c r="A93" s="49"/>
      <c r="B93" s="49"/>
      <c r="C93" s="49"/>
      <c r="D93" s="49"/>
      <c r="E93" s="111"/>
      <c r="F93" s="127">
        <f t="shared" ref="F93" si="223">$D$12</f>
        <v>4</v>
      </c>
      <c r="G93" s="445">
        <f ca="1">VLOOKUP(H93,Equipos!$Q$1:$R$25,2,0)</f>
        <v>15</v>
      </c>
      <c r="H93" s="446">
        <f ca="1">$H$60</f>
        <v>46198</v>
      </c>
      <c r="I93" s="50"/>
      <c r="J93" s="843"/>
      <c r="K93" s="56" t="str">
        <f>Idiomas!D163</f>
        <v>2º GRUPO D</v>
      </c>
      <c r="L93" s="53"/>
      <c r="M93" s="55" t="str">
        <f ca="1">IF(OR(SUM(WORLDCUP!$AN$30:$AN$33)=12,WORLDCUP!$AJ$99=144),WORLDCUP!AL31,LEFT(K93,1)&amp;RIGHT(K93,1))</f>
        <v>2D</v>
      </c>
      <c r="N93" s="25"/>
      <c r="O93" s="25"/>
      <c r="P93" s="25"/>
      <c r="Q93" s="25"/>
      <c r="R93" s="110"/>
      <c r="S93" s="74" t="s">
        <v>497</v>
      </c>
      <c r="T93" s="73">
        <f t="shared" ref="T93" ca="1" si="224">($M93=S93)*$D$12</f>
        <v>0</v>
      </c>
      <c r="U93" s="64"/>
      <c r="V93" s="74" t="s">
        <v>1257</v>
      </c>
      <c r="W93" s="73">
        <f t="shared" ref="W93:CH93" ca="1" si="225">($M93=V93)*$D$12</f>
        <v>0</v>
      </c>
      <c r="X93" s="64"/>
      <c r="Y93" s="74" t="s">
        <v>1835</v>
      </c>
      <c r="Z93" s="73">
        <f t="shared" ca="1" si="225"/>
        <v>0</v>
      </c>
      <c r="AA93" s="64"/>
      <c r="AB93" s="74" t="s">
        <v>1319</v>
      </c>
      <c r="AC93" s="73">
        <f t="shared" ca="1" si="225"/>
        <v>0</v>
      </c>
      <c r="AD93" s="64"/>
      <c r="AE93" s="74" t="s">
        <v>497</v>
      </c>
      <c r="AF93" s="73">
        <f t="shared" ca="1" si="225"/>
        <v>0</v>
      </c>
      <c r="AG93" s="64"/>
      <c r="AH93" s="74" t="s">
        <v>497</v>
      </c>
      <c r="AI93" s="73">
        <f t="shared" ca="1" si="225"/>
        <v>0</v>
      </c>
      <c r="AJ93" s="64"/>
      <c r="AK93" s="74" t="s">
        <v>1319</v>
      </c>
      <c r="AL93" s="73">
        <f t="shared" ca="1" si="225"/>
        <v>0</v>
      </c>
      <c r="AM93" s="64"/>
      <c r="AN93" s="74" t="s">
        <v>1835</v>
      </c>
      <c r="AO93" s="73">
        <f t="shared" ca="1" si="225"/>
        <v>0</v>
      </c>
      <c r="AP93" s="64"/>
      <c r="AQ93" s="74" t="s">
        <v>1319</v>
      </c>
      <c r="AR93" s="73">
        <f t="shared" ca="1" si="225"/>
        <v>0</v>
      </c>
      <c r="AS93" s="64"/>
      <c r="AT93" s="74" t="s">
        <v>1835</v>
      </c>
      <c r="AU93" s="73">
        <f t="shared" ca="1" si="225"/>
        <v>0</v>
      </c>
      <c r="AV93" s="64"/>
      <c r="AW93" s="74" t="s">
        <v>1319</v>
      </c>
      <c r="AX93" s="73">
        <f t="shared" ca="1" si="225"/>
        <v>0</v>
      </c>
      <c r="AY93" s="64"/>
      <c r="AZ93" s="74" t="s">
        <v>1835</v>
      </c>
      <c r="BA93" s="73">
        <f t="shared" ca="1" si="225"/>
        <v>0</v>
      </c>
      <c r="BB93" s="64"/>
      <c r="BC93" s="74" t="s">
        <v>1319</v>
      </c>
      <c r="BD93" s="73">
        <f t="shared" ca="1" si="225"/>
        <v>0</v>
      </c>
      <c r="BE93" s="64"/>
      <c r="BF93" s="74" t="s">
        <v>497</v>
      </c>
      <c r="BG93" s="73">
        <f t="shared" ca="1" si="225"/>
        <v>0</v>
      </c>
      <c r="BH93" s="64"/>
      <c r="BI93" s="74" t="s">
        <v>1835</v>
      </c>
      <c r="BJ93" s="73">
        <f t="shared" ca="1" si="225"/>
        <v>0</v>
      </c>
      <c r="BK93" s="64"/>
      <c r="BL93" s="74" t="s">
        <v>497</v>
      </c>
      <c r="BM93" s="73">
        <f t="shared" ca="1" si="225"/>
        <v>0</v>
      </c>
      <c r="BN93" s="64"/>
      <c r="BO93" s="74" t="s">
        <v>497</v>
      </c>
      <c r="BP93" s="73">
        <f t="shared" ca="1" si="225"/>
        <v>0</v>
      </c>
      <c r="BQ93" s="64"/>
      <c r="BR93" s="74" t="s">
        <v>497</v>
      </c>
      <c r="BS93" s="73">
        <f t="shared" ca="1" si="225"/>
        <v>0</v>
      </c>
      <c r="BT93" s="64"/>
      <c r="BU93" s="74" t="s">
        <v>1319</v>
      </c>
      <c r="BV93" s="73">
        <f t="shared" ca="1" si="225"/>
        <v>0</v>
      </c>
      <c r="BW93" s="64"/>
      <c r="BX93" s="74" t="s">
        <v>1835</v>
      </c>
      <c r="BY93" s="73">
        <f t="shared" ca="1" si="225"/>
        <v>0</v>
      </c>
      <c r="BZ93" s="64"/>
      <c r="CA93" s="74" t="s">
        <v>1319</v>
      </c>
      <c r="CB93" s="73">
        <f t="shared" ca="1" si="225"/>
        <v>0</v>
      </c>
      <c r="CC93" s="64"/>
      <c r="CD93" s="74" t="s">
        <v>1835</v>
      </c>
      <c r="CE93" s="73">
        <f t="shared" ca="1" si="225"/>
        <v>0</v>
      </c>
      <c r="CF93" s="64"/>
      <c r="CG93" s="74" t="s">
        <v>497</v>
      </c>
      <c r="CH93" s="73">
        <f t="shared" ca="1" si="225"/>
        <v>0</v>
      </c>
      <c r="CI93" s="64"/>
      <c r="CJ93" s="74" t="s">
        <v>1835</v>
      </c>
      <c r="CK93" s="73">
        <f t="shared" ref="CK93:CN93" ca="1" si="226">($M93=CJ93)*$D$12</f>
        <v>0</v>
      </c>
      <c r="CL93" s="64"/>
      <c r="CM93" s="74" t="s">
        <v>1835</v>
      </c>
      <c r="CN93" s="73">
        <f t="shared" ca="1" si="226"/>
        <v>0</v>
      </c>
      <c r="CO93" s="64"/>
      <c r="CP93" s="64"/>
    </row>
    <row r="94" spans="1:94">
      <c r="A94" s="49"/>
      <c r="B94" s="49"/>
      <c r="C94" s="49"/>
      <c r="D94" s="49"/>
      <c r="E94" s="111"/>
      <c r="F94" s="127">
        <f t="shared" ref="F94" si="227">$D$13</f>
        <v>2</v>
      </c>
      <c r="G94" s="445">
        <f ca="1">VLOOKUP(H94,Equipos!$Q$1:$R$25,2,0)</f>
        <v>15</v>
      </c>
      <c r="H94" s="446">
        <f ca="1">$H$60</f>
        <v>46198</v>
      </c>
      <c r="I94" s="50"/>
      <c r="J94" s="843"/>
      <c r="K94" s="56" t="str">
        <f>Idiomas!D164</f>
        <v>3º GRUPO D</v>
      </c>
      <c r="L94" s="53"/>
      <c r="M94" s="55" t="str">
        <f ca="1">IF(OR(SUM(WORLDCUP!$AN$30:$AN$33)=12,WORLDCUP!$AJ$99=144),WORLDCUP!AL32,LEFT(K94,1)&amp;RIGHT(K94,1))</f>
        <v>3D</v>
      </c>
      <c r="N94" s="25"/>
      <c r="O94" s="25"/>
      <c r="P94" s="25"/>
      <c r="Q94" s="25"/>
      <c r="R94" s="110"/>
      <c r="S94" s="74" t="s">
        <v>1319</v>
      </c>
      <c r="T94" s="73">
        <f t="shared" ref="T94" ca="1" si="228">($M94=S94)*$D$13</f>
        <v>0</v>
      </c>
      <c r="U94" s="64"/>
      <c r="V94" s="74" t="s">
        <v>497</v>
      </c>
      <c r="W94" s="73">
        <f t="shared" ref="W94:CH94" ca="1" si="229">($M94=V94)*$D$13</f>
        <v>0</v>
      </c>
      <c r="X94" s="64"/>
      <c r="Y94" s="74" t="s">
        <v>1319</v>
      </c>
      <c r="Z94" s="73">
        <f t="shared" ca="1" si="229"/>
        <v>0</v>
      </c>
      <c r="AA94" s="64"/>
      <c r="AB94" s="74" t="s">
        <v>497</v>
      </c>
      <c r="AC94" s="73">
        <f t="shared" ca="1" si="229"/>
        <v>0</v>
      </c>
      <c r="AD94" s="64"/>
      <c r="AE94" s="74" t="s">
        <v>1319</v>
      </c>
      <c r="AF94" s="73">
        <f t="shared" ca="1" si="229"/>
        <v>0</v>
      </c>
      <c r="AG94" s="64"/>
      <c r="AH94" s="74" t="s">
        <v>1319</v>
      </c>
      <c r="AI94" s="73">
        <f t="shared" ca="1" si="229"/>
        <v>0</v>
      </c>
      <c r="AJ94" s="64"/>
      <c r="AK94" s="74" t="s">
        <v>497</v>
      </c>
      <c r="AL94" s="73">
        <f t="shared" ca="1" si="229"/>
        <v>0</v>
      </c>
      <c r="AM94" s="64"/>
      <c r="AN94" s="74" t="s">
        <v>497</v>
      </c>
      <c r="AO94" s="73">
        <f t="shared" ca="1" si="229"/>
        <v>0</v>
      </c>
      <c r="AP94" s="64"/>
      <c r="AQ94" s="74" t="s">
        <v>497</v>
      </c>
      <c r="AR94" s="73">
        <f t="shared" ca="1" si="229"/>
        <v>0</v>
      </c>
      <c r="AS94" s="64"/>
      <c r="AT94" s="74" t="s">
        <v>1257</v>
      </c>
      <c r="AU94" s="73">
        <f t="shared" ca="1" si="229"/>
        <v>0</v>
      </c>
      <c r="AV94" s="64"/>
      <c r="AW94" s="74" t="s">
        <v>1835</v>
      </c>
      <c r="AX94" s="73">
        <f t="shared" ca="1" si="229"/>
        <v>0</v>
      </c>
      <c r="AY94" s="64"/>
      <c r="AZ94" s="74" t="s">
        <v>1319</v>
      </c>
      <c r="BA94" s="73">
        <f t="shared" ca="1" si="229"/>
        <v>0</v>
      </c>
      <c r="BB94" s="64"/>
      <c r="BC94" s="74" t="s">
        <v>1257</v>
      </c>
      <c r="BD94" s="73">
        <f t="shared" ca="1" si="229"/>
        <v>0</v>
      </c>
      <c r="BE94" s="64"/>
      <c r="BF94" s="74" t="s">
        <v>1319</v>
      </c>
      <c r="BG94" s="73">
        <f t="shared" ca="1" si="229"/>
        <v>0</v>
      </c>
      <c r="BH94" s="64"/>
      <c r="BI94" s="74" t="s">
        <v>497</v>
      </c>
      <c r="BJ94" s="73">
        <f t="shared" ca="1" si="229"/>
        <v>0</v>
      </c>
      <c r="BK94" s="64"/>
      <c r="BL94" s="74" t="s">
        <v>1257</v>
      </c>
      <c r="BM94" s="73">
        <f t="shared" ca="1" si="229"/>
        <v>0</v>
      </c>
      <c r="BN94" s="64"/>
      <c r="BO94" s="74" t="s">
        <v>1319</v>
      </c>
      <c r="BP94" s="73">
        <f t="shared" ca="1" si="229"/>
        <v>0</v>
      </c>
      <c r="BQ94" s="64"/>
      <c r="BR94" s="74" t="s">
        <v>1319</v>
      </c>
      <c r="BS94" s="73">
        <f t="shared" ca="1" si="229"/>
        <v>0</v>
      </c>
      <c r="BT94" s="64"/>
      <c r="BU94" s="74" t="s">
        <v>497</v>
      </c>
      <c r="BV94" s="73">
        <f t="shared" ca="1" si="229"/>
        <v>0</v>
      </c>
      <c r="BW94" s="64"/>
      <c r="BX94" s="74" t="s">
        <v>1319</v>
      </c>
      <c r="BY94" s="73">
        <f t="shared" ca="1" si="229"/>
        <v>0</v>
      </c>
      <c r="BZ94" s="64"/>
      <c r="CA94" s="74" t="s">
        <v>1257</v>
      </c>
      <c r="CB94" s="73">
        <f t="shared" ca="1" si="229"/>
        <v>0</v>
      </c>
      <c r="CC94" s="64"/>
      <c r="CD94" s="74" t="s">
        <v>497</v>
      </c>
      <c r="CE94" s="73">
        <f t="shared" ca="1" si="229"/>
        <v>0</v>
      </c>
      <c r="CF94" s="64"/>
      <c r="CG94" s="74" t="s">
        <v>1319</v>
      </c>
      <c r="CH94" s="73">
        <f t="shared" ca="1" si="229"/>
        <v>0</v>
      </c>
      <c r="CI94" s="64"/>
      <c r="CJ94" s="74" t="s">
        <v>1257</v>
      </c>
      <c r="CK94" s="73">
        <f t="shared" ref="CK94:CN94" ca="1" si="230">($M94=CJ94)*$D$13</f>
        <v>0</v>
      </c>
      <c r="CL94" s="64"/>
      <c r="CM94" s="74" t="s">
        <v>1319</v>
      </c>
      <c r="CN94" s="73">
        <f t="shared" ca="1" si="230"/>
        <v>0</v>
      </c>
      <c r="CO94" s="64"/>
      <c r="CP94" s="64"/>
    </row>
    <row r="95" spans="1:94">
      <c r="A95" s="49"/>
      <c r="B95" s="49"/>
      <c r="C95" s="49"/>
      <c r="D95" s="49"/>
      <c r="E95" s="111"/>
      <c r="F95" s="127">
        <f t="shared" ref="F95" si="231">$D$14</f>
        <v>1</v>
      </c>
      <c r="G95" s="445">
        <f ca="1">VLOOKUP(H95,Equipos!$Q$1:$R$25,2,0)</f>
        <v>15</v>
      </c>
      <c r="H95" s="446">
        <f ca="1">$H$60</f>
        <v>46198</v>
      </c>
      <c r="I95" s="50"/>
      <c r="J95" s="843"/>
      <c r="K95" s="56" t="str">
        <f>Idiomas!D165</f>
        <v>4º GRUPO D</v>
      </c>
      <c r="L95" s="53"/>
      <c r="M95" s="55" t="str">
        <f ca="1">IF(OR(SUM(WORLDCUP!$AN$30:$AN$33)=12,WORLDCUP!$AJ$99=144),WORLDCUP!AL33,LEFT(K95,1)&amp;RIGHT(K95,1))</f>
        <v>4D</v>
      </c>
      <c r="N95" s="25"/>
      <c r="O95" s="25"/>
      <c r="P95" s="25"/>
      <c r="Q95" s="25"/>
      <c r="R95" s="110"/>
      <c r="S95" s="74" t="s">
        <v>1257</v>
      </c>
      <c r="T95" s="73">
        <f t="shared" ref="T95" ca="1" si="232">($M95=S95)*$D$14</f>
        <v>0</v>
      </c>
      <c r="U95" s="64"/>
      <c r="V95" s="74" t="s">
        <v>1835</v>
      </c>
      <c r="W95" s="73">
        <f t="shared" ref="W95:CH95" ca="1" si="233">($M95=V95)*$D$14</f>
        <v>0</v>
      </c>
      <c r="X95" s="64"/>
      <c r="Y95" s="74" t="s">
        <v>1257</v>
      </c>
      <c r="Z95" s="73">
        <f t="shared" ca="1" si="233"/>
        <v>0</v>
      </c>
      <c r="AA95" s="64"/>
      <c r="AB95" s="74" t="s">
        <v>1257</v>
      </c>
      <c r="AC95" s="73">
        <f t="shared" ca="1" si="233"/>
        <v>0</v>
      </c>
      <c r="AD95" s="64"/>
      <c r="AE95" s="74" t="s">
        <v>1257</v>
      </c>
      <c r="AF95" s="73">
        <f t="shared" ca="1" si="233"/>
        <v>0</v>
      </c>
      <c r="AG95" s="64"/>
      <c r="AH95" s="74" t="s">
        <v>1257</v>
      </c>
      <c r="AI95" s="73">
        <f t="shared" ca="1" si="233"/>
        <v>0</v>
      </c>
      <c r="AJ95" s="64"/>
      <c r="AK95" s="74" t="s">
        <v>1257</v>
      </c>
      <c r="AL95" s="73">
        <f t="shared" ca="1" si="233"/>
        <v>0</v>
      </c>
      <c r="AM95" s="64"/>
      <c r="AN95" s="74" t="s">
        <v>1257</v>
      </c>
      <c r="AO95" s="73">
        <f t="shared" ca="1" si="233"/>
        <v>0</v>
      </c>
      <c r="AP95" s="64"/>
      <c r="AQ95" s="74" t="s">
        <v>1257</v>
      </c>
      <c r="AR95" s="73">
        <f t="shared" ca="1" si="233"/>
        <v>0</v>
      </c>
      <c r="AS95" s="64"/>
      <c r="AT95" s="74" t="s">
        <v>1319</v>
      </c>
      <c r="AU95" s="73">
        <f t="shared" ca="1" si="233"/>
        <v>0</v>
      </c>
      <c r="AV95" s="64"/>
      <c r="AW95" s="74" t="s">
        <v>1257</v>
      </c>
      <c r="AX95" s="73">
        <f t="shared" ca="1" si="233"/>
        <v>0</v>
      </c>
      <c r="AY95" s="64"/>
      <c r="AZ95" s="74" t="s">
        <v>1257</v>
      </c>
      <c r="BA95" s="73">
        <f t="shared" ca="1" si="233"/>
        <v>0</v>
      </c>
      <c r="BB95" s="64"/>
      <c r="BC95" s="74" t="s">
        <v>497</v>
      </c>
      <c r="BD95" s="73">
        <f t="shared" ca="1" si="233"/>
        <v>0</v>
      </c>
      <c r="BE95" s="64"/>
      <c r="BF95" s="74" t="s">
        <v>1257</v>
      </c>
      <c r="BG95" s="73">
        <f t="shared" ca="1" si="233"/>
        <v>0</v>
      </c>
      <c r="BH95" s="64"/>
      <c r="BI95" s="74" t="s">
        <v>1257</v>
      </c>
      <c r="BJ95" s="73">
        <f t="shared" ca="1" si="233"/>
        <v>0</v>
      </c>
      <c r="BK95" s="64"/>
      <c r="BL95" s="74" t="s">
        <v>1319</v>
      </c>
      <c r="BM95" s="73">
        <f t="shared" ca="1" si="233"/>
        <v>0</v>
      </c>
      <c r="BN95" s="64"/>
      <c r="BO95" s="74" t="s">
        <v>1835</v>
      </c>
      <c r="BP95" s="73">
        <f t="shared" ca="1" si="233"/>
        <v>0</v>
      </c>
      <c r="BQ95" s="64"/>
      <c r="BR95" s="74" t="s">
        <v>1257</v>
      </c>
      <c r="BS95" s="73">
        <f t="shared" ca="1" si="233"/>
        <v>0</v>
      </c>
      <c r="BT95" s="64"/>
      <c r="BU95" s="74" t="s">
        <v>1257</v>
      </c>
      <c r="BV95" s="73">
        <f t="shared" ca="1" si="233"/>
        <v>0</v>
      </c>
      <c r="BW95" s="64"/>
      <c r="BX95" s="74" t="s">
        <v>1257</v>
      </c>
      <c r="BY95" s="73">
        <f t="shared" ca="1" si="233"/>
        <v>0</v>
      </c>
      <c r="BZ95" s="64"/>
      <c r="CA95" s="74" t="s">
        <v>1835</v>
      </c>
      <c r="CB95" s="73">
        <f t="shared" ca="1" si="233"/>
        <v>0</v>
      </c>
      <c r="CC95" s="64"/>
      <c r="CD95" s="74" t="s">
        <v>1257</v>
      </c>
      <c r="CE95" s="73">
        <f t="shared" ca="1" si="233"/>
        <v>0</v>
      </c>
      <c r="CF95" s="64"/>
      <c r="CG95" s="74" t="s">
        <v>1257</v>
      </c>
      <c r="CH95" s="73">
        <f t="shared" ca="1" si="233"/>
        <v>0</v>
      </c>
      <c r="CI95" s="64"/>
      <c r="CJ95" s="74" t="s">
        <v>1319</v>
      </c>
      <c r="CK95" s="73">
        <f t="shared" ref="CK95:CN95" ca="1" si="234">($M95=CJ95)*$D$14</f>
        <v>0</v>
      </c>
      <c r="CL95" s="64"/>
      <c r="CM95" s="74" t="s">
        <v>1257</v>
      </c>
      <c r="CN95" s="73">
        <f t="shared" ca="1" si="234"/>
        <v>0</v>
      </c>
      <c r="CO95" s="64"/>
      <c r="CP95" s="64"/>
    </row>
    <row r="96" spans="1:94">
      <c r="A96" s="49"/>
      <c r="B96" s="49"/>
      <c r="C96" s="49"/>
      <c r="D96" s="49"/>
      <c r="E96" s="111"/>
      <c r="F96" s="127">
        <f t="shared" ref="F96" si="235">$D$11</f>
        <v>6</v>
      </c>
      <c r="G96" s="445">
        <f ca="1">VLOOKUP(H96,Equipos!$Q$1:$R$25,2,0)</f>
        <v>15</v>
      </c>
      <c r="H96" s="446">
        <f ca="1">$H$62</f>
        <v>46198</v>
      </c>
      <c r="I96" s="50"/>
      <c r="J96" s="844" t="s">
        <v>3</v>
      </c>
      <c r="K96" s="56" t="str">
        <f>Idiomas!D166</f>
        <v>1º GRUPO E</v>
      </c>
      <c r="L96" s="53"/>
      <c r="M96" s="55" t="str">
        <f ca="1">IF(OR(SUM(WORLDCUP!$AN$38:$AN$41)=12,WORLDCUP!$AJ$99=144),WORLDCUP!AL38,LEFT(K96,1)&amp;RIGHT(K96,1))</f>
        <v>1E</v>
      </c>
      <c r="N96" s="25"/>
      <c r="O96" s="25"/>
      <c r="P96" s="25"/>
      <c r="Q96" s="25"/>
      <c r="R96" s="110"/>
      <c r="S96" s="74" t="s">
        <v>77</v>
      </c>
      <c r="T96" s="73">
        <f t="shared" ref="T96" ca="1" si="236">($M96=S96)*$D$11</f>
        <v>0</v>
      </c>
      <c r="U96" s="64"/>
      <c r="V96" s="74" t="s">
        <v>1261</v>
      </c>
      <c r="W96" s="73">
        <f t="shared" ref="W96:CH96" ca="1" si="237">($M96=V96)*$D$11</f>
        <v>0</v>
      </c>
      <c r="X96" s="64"/>
      <c r="Y96" s="74" t="s">
        <v>77</v>
      </c>
      <c r="Z96" s="73">
        <f t="shared" ca="1" si="237"/>
        <v>0</v>
      </c>
      <c r="AA96" s="64"/>
      <c r="AB96" s="74" t="s">
        <v>1261</v>
      </c>
      <c r="AC96" s="73">
        <f t="shared" ca="1" si="237"/>
        <v>0</v>
      </c>
      <c r="AD96" s="64"/>
      <c r="AE96" s="74" t="s">
        <v>77</v>
      </c>
      <c r="AF96" s="73">
        <f t="shared" ca="1" si="237"/>
        <v>0</v>
      </c>
      <c r="AG96" s="64"/>
      <c r="AH96" s="74" t="s">
        <v>77</v>
      </c>
      <c r="AI96" s="73">
        <f t="shared" ca="1" si="237"/>
        <v>0</v>
      </c>
      <c r="AJ96" s="64"/>
      <c r="AK96" s="74" t="s">
        <v>77</v>
      </c>
      <c r="AL96" s="73">
        <f t="shared" ca="1" si="237"/>
        <v>0</v>
      </c>
      <c r="AM96" s="64"/>
      <c r="AN96" s="74" t="s">
        <v>77</v>
      </c>
      <c r="AO96" s="73">
        <f t="shared" ca="1" si="237"/>
        <v>0</v>
      </c>
      <c r="AP96" s="64"/>
      <c r="AQ96" s="74" t="s">
        <v>77</v>
      </c>
      <c r="AR96" s="73">
        <f t="shared" ca="1" si="237"/>
        <v>0</v>
      </c>
      <c r="AS96" s="64"/>
      <c r="AT96" s="74" t="s">
        <v>77</v>
      </c>
      <c r="AU96" s="73">
        <f t="shared" ca="1" si="237"/>
        <v>0</v>
      </c>
      <c r="AV96" s="64"/>
      <c r="AW96" s="74" t="s">
        <v>77</v>
      </c>
      <c r="AX96" s="73">
        <f t="shared" ca="1" si="237"/>
        <v>0</v>
      </c>
      <c r="AY96" s="64"/>
      <c r="AZ96" s="74" t="s">
        <v>77</v>
      </c>
      <c r="BA96" s="73">
        <f t="shared" ca="1" si="237"/>
        <v>0</v>
      </c>
      <c r="BB96" s="64"/>
      <c r="BC96" s="74" t="s">
        <v>77</v>
      </c>
      <c r="BD96" s="73">
        <f t="shared" ca="1" si="237"/>
        <v>0</v>
      </c>
      <c r="BE96" s="64"/>
      <c r="BF96" s="74" t="s">
        <v>77</v>
      </c>
      <c r="BG96" s="73">
        <f t="shared" ca="1" si="237"/>
        <v>0</v>
      </c>
      <c r="BH96" s="64"/>
      <c r="BI96" s="74" t="s">
        <v>1633</v>
      </c>
      <c r="BJ96" s="73">
        <f t="shared" ca="1" si="237"/>
        <v>0</v>
      </c>
      <c r="BK96" s="64"/>
      <c r="BL96" s="74" t="s">
        <v>77</v>
      </c>
      <c r="BM96" s="73">
        <f t="shared" ca="1" si="237"/>
        <v>0</v>
      </c>
      <c r="BN96" s="64"/>
      <c r="BO96" s="74" t="s">
        <v>77</v>
      </c>
      <c r="BP96" s="73">
        <f t="shared" ca="1" si="237"/>
        <v>0</v>
      </c>
      <c r="BQ96" s="64"/>
      <c r="BR96" s="74" t="s">
        <v>77</v>
      </c>
      <c r="BS96" s="73">
        <f t="shared" ca="1" si="237"/>
        <v>0</v>
      </c>
      <c r="BT96" s="64"/>
      <c r="BU96" s="74" t="s">
        <v>77</v>
      </c>
      <c r="BV96" s="73">
        <f t="shared" ca="1" si="237"/>
        <v>0</v>
      </c>
      <c r="BW96" s="64"/>
      <c r="BX96" s="74" t="s">
        <v>77</v>
      </c>
      <c r="BY96" s="73">
        <f t="shared" ca="1" si="237"/>
        <v>0</v>
      </c>
      <c r="BZ96" s="64"/>
      <c r="CA96" s="74" t="s">
        <v>77</v>
      </c>
      <c r="CB96" s="73">
        <f t="shared" ca="1" si="237"/>
        <v>0</v>
      </c>
      <c r="CC96" s="64"/>
      <c r="CD96" s="74" t="s">
        <v>77</v>
      </c>
      <c r="CE96" s="73">
        <f t="shared" ca="1" si="237"/>
        <v>0</v>
      </c>
      <c r="CF96" s="64"/>
      <c r="CG96" s="74" t="s">
        <v>77</v>
      </c>
      <c r="CH96" s="73">
        <f t="shared" ca="1" si="237"/>
        <v>0</v>
      </c>
      <c r="CI96" s="64"/>
      <c r="CJ96" s="74" t="s">
        <v>77</v>
      </c>
      <c r="CK96" s="73">
        <f t="shared" ref="CK96:CN96" ca="1" si="238">($M96=CJ96)*$D$11</f>
        <v>0</v>
      </c>
      <c r="CL96" s="64"/>
      <c r="CM96" s="74" t="s">
        <v>77</v>
      </c>
      <c r="CN96" s="73">
        <f t="shared" ca="1" si="238"/>
        <v>0</v>
      </c>
      <c r="CO96" s="64"/>
      <c r="CP96" s="64"/>
    </row>
    <row r="97" spans="1:94">
      <c r="A97" s="49"/>
      <c r="B97" s="49"/>
      <c r="C97" s="49"/>
      <c r="D97" s="49"/>
      <c r="E97" s="111"/>
      <c r="F97" s="127">
        <f t="shared" ref="F97" si="239">$D$12</f>
        <v>4</v>
      </c>
      <c r="G97" s="445">
        <f ca="1">VLOOKUP(H97,Equipos!$Q$1:$R$25,2,0)</f>
        <v>15</v>
      </c>
      <c r="H97" s="446">
        <f ca="1">$H$62</f>
        <v>46198</v>
      </c>
      <c r="I97" s="50"/>
      <c r="J97" s="844"/>
      <c r="K97" s="56" t="str">
        <f>Idiomas!D167</f>
        <v>2º GRUPO E</v>
      </c>
      <c r="L97" s="53"/>
      <c r="M97" s="55" t="str">
        <f ca="1">IF(OR(SUM(WORLDCUP!$AN$38:$AN$41)=12,WORLDCUP!$AJ$99=144),WORLDCUP!AL39,LEFT(K97,1)&amp;RIGHT(K97,1))</f>
        <v>2E</v>
      </c>
      <c r="N97" s="25"/>
      <c r="O97" s="25"/>
      <c r="P97" s="25"/>
      <c r="Q97" s="25"/>
      <c r="R97" s="110"/>
      <c r="S97" s="74" t="s">
        <v>1633</v>
      </c>
      <c r="T97" s="73">
        <f t="shared" ref="T97" ca="1" si="240">($M97=S97)*$D$12</f>
        <v>0</v>
      </c>
      <c r="U97" s="64"/>
      <c r="V97" s="74" t="s">
        <v>77</v>
      </c>
      <c r="W97" s="73">
        <f t="shared" ref="W97:CH97" ca="1" si="241">($M97=V97)*$D$12</f>
        <v>0</v>
      </c>
      <c r="X97" s="64"/>
      <c r="Y97" s="74" t="s">
        <v>1261</v>
      </c>
      <c r="Z97" s="73">
        <f t="shared" ca="1" si="241"/>
        <v>0</v>
      </c>
      <c r="AA97" s="64"/>
      <c r="AB97" s="74" t="s">
        <v>77</v>
      </c>
      <c r="AC97" s="73">
        <f t="shared" ca="1" si="241"/>
        <v>0</v>
      </c>
      <c r="AD97" s="64"/>
      <c r="AE97" s="74" t="s">
        <v>1633</v>
      </c>
      <c r="AF97" s="73">
        <f t="shared" ca="1" si="241"/>
        <v>0</v>
      </c>
      <c r="AG97" s="64"/>
      <c r="AH97" s="74" t="s">
        <v>1261</v>
      </c>
      <c r="AI97" s="73">
        <f t="shared" ca="1" si="241"/>
        <v>0</v>
      </c>
      <c r="AJ97" s="64"/>
      <c r="AK97" s="74" t="s">
        <v>1261</v>
      </c>
      <c r="AL97" s="73">
        <f t="shared" ca="1" si="241"/>
        <v>0</v>
      </c>
      <c r="AM97" s="64"/>
      <c r="AN97" s="74" t="s">
        <v>1261</v>
      </c>
      <c r="AO97" s="73">
        <f t="shared" ca="1" si="241"/>
        <v>0</v>
      </c>
      <c r="AP97" s="64"/>
      <c r="AQ97" s="74" t="s">
        <v>1261</v>
      </c>
      <c r="AR97" s="73">
        <f t="shared" ca="1" si="241"/>
        <v>0</v>
      </c>
      <c r="AS97" s="64"/>
      <c r="AT97" s="74" t="s">
        <v>1261</v>
      </c>
      <c r="AU97" s="73">
        <f t="shared" ca="1" si="241"/>
        <v>0</v>
      </c>
      <c r="AV97" s="64"/>
      <c r="AW97" s="74" t="s">
        <v>1261</v>
      </c>
      <c r="AX97" s="73">
        <f t="shared" ca="1" si="241"/>
        <v>0</v>
      </c>
      <c r="AY97" s="64"/>
      <c r="AZ97" s="74" t="s">
        <v>1261</v>
      </c>
      <c r="BA97" s="73">
        <f t="shared" ca="1" si="241"/>
        <v>0</v>
      </c>
      <c r="BB97" s="64"/>
      <c r="BC97" s="74" t="s">
        <v>1261</v>
      </c>
      <c r="BD97" s="73">
        <f t="shared" ca="1" si="241"/>
        <v>0</v>
      </c>
      <c r="BE97" s="64"/>
      <c r="BF97" s="74" t="s">
        <v>1633</v>
      </c>
      <c r="BG97" s="73">
        <f t="shared" ca="1" si="241"/>
        <v>0</v>
      </c>
      <c r="BH97" s="64"/>
      <c r="BI97" s="74" t="s">
        <v>77</v>
      </c>
      <c r="BJ97" s="73">
        <f t="shared" ca="1" si="241"/>
        <v>0</v>
      </c>
      <c r="BK97" s="64"/>
      <c r="BL97" s="74" t="s">
        <v>1261</v>
      </c>
      <c r="BM97" s="73">
        <f t="shared" ca="1" si="241"/>
        <v>0</v>
      </c>
      <c r="BN97" s="64"/>
      <c r="BO97" s="74" t="s">
        <v>1261</v>
      </c>
      <c r="BP97" s="73">
        <f t="shared" ca="1" si="241"/>
        <v>0</v>
      </c>
      <c r="BQ97" s="64"/>
      <c r="BR97" s="74" t="s">
        <v>1261</v>
      </c>
      <c r="BS97" s="73">
        <f t="shared" ca="1" si="241"/>
        <v>0</v>
      </c>
      <c r="BT97" s="64"/>
      <c r="BU97" s="74" t="s">
        <v>1261</v>
      </c>
      <c r="BV97" s="73">
        <f t="shared" ca="1" si="241"/>
        <v>0</v>
      </c>
      <c r="BW97" s="64"/>
      <c r="BX97" s="74" t="s">
        <v>1633</v>
      </c>
      <c r="BY97" s="73">
        <f t="shared" ca="1" si="241"/>
        <v>0</v>
      </c>
      <c r="BZ97" s="64"/>
      <c r="CA97" s="74" t="s">
        <v>1261</v>
      </c>
      <c r="CB97" s="73">
        <f t="shared" ca="1" si="241"/>
        <v>0</v>
      </c>
      <c r="CC97" s="64"/>
      <c r="CD97" s="74" t="s">
        <v>1261</v>
      </c>
      <c r="CE97" s="73">
        <f t="shared" ca="1" si="241"/>
        <v>0</v>
      </c>
      <c r="CF97" s="64"/>
      <c r="CG97" s="74" t="s">
        <v>1261</v>
      </c>
      <c r="CH97" s="73">
        <f t="shared" ca="1" si="241"/>
        <v>0</v>
      </c>
      <c r="CI97" s="64"/>
      <c r="CJ97" s="74" t="s">
        <v>1261</v>
      </c>
      <c r="CK97" s="73">
        <f t="shared" ref="CK97:CN97" ca="1" si="242">($M97=CJ97)*$D$12</f>
        <v>0</v>
      </c>
      <c r="CL97" s="64"/>
      <c r="CM97" s="74" t="s">
        <v>1261</v>
      </c>
      <c r="CN97" s="73">
        <f t="shared" ca="1" si="242"/>
        <v>0</v>
      </c>
      <c r="CO97" s="64"/>
      <c r="CP97" s="64"/>
    </row>
    <row r="98" spans="1:94">
      <c r="A98" s="49"/>
      <c r="B98" s="49"/>
      <c r="C98" s="49"/>
      <c r="D98" s="49"/>
      <c r="E98" s="111"/>
      <c r="F98" s="127">
        <f t="shared" ref="F98" si="243">$D$13</f>
        <v>2</v>
      </c>
      <c r="G98" s="445">
        <f ca="1">VLOOKUP(H98,Equipos!$Q$1:$R$25,2,0)</f>
        <v>15</v>
      </c>
      <c r="H98" s="446">
        <f ca="1">$H$62</f>
        <v>46198</v>
      </c>
      <c r="I98" s="50"/>
      <c r="J98" s="844"/>
      <c r="K98" s="56" t="str">
        <f>Idiomas!D168</f>
        <v>3º GRUPO E</v>
      </c>
      <c r="L98" s="53"/>
      <c r="M98" s="55" t="str">
        <f ca="1">IF(OR(SUM(WORLDCUP!$AN$38:$AN$41)=12,WORLDCUP!$AJ$99=144),WORLDCUP!AL40,LEFT(K98,1)&amp;RIGHT(K98,1))</f>
        <v>3E</v>
      </c>
      <c r="N98" s="25"/>
      <c r="O98" s="25"/>
      <c r="P98" s="25"/>
      <c r="Q98" s="25"/>
      <c r="R98" s="110"/>
      <c r="S98" s="74" t="s">
        <v>1261</v>
      </c>
      <c r="T98" s="73">
        <f t="shared" ref="T98" ca="1" si="244">($M98=S98)*$D$13</f>
        <v>0</v>
      </c>
      <c r="U98" s="64"/>
      <c r="V98" s="74" t="s">
        <v>1726</v>
      </c>
      <c r="W98" s="73">
        <f t="shared" ref="W98:CH98" ca="1" si="245">($M98=V98)*$D$13</f>
        <v>0</v>
      </c>
      <c r="X98" s="64"/>
      <c r="Y98" s="74" t="s">
        <v>1633</v>
      </c>
      <c r="Z98" s="73">
        <f t="shared" ca="1" si="245"/>
        <v>0</v>
      </c>
      <c r="AA98" s="64"/>
      <c r="AB98" s="74" t="s">
        <v>1633</v>
      </c>
      <c r="AC98" s="73">
        <f t="shared" ca="1" si="245"/>
        <v>0</v>
      </c>
      <c r="AD98" s="64"/>
      <c r="AE98" s="74" t="s">
        <v>1261</v>
      </c>
      <c r="AF98" s="73">
        <f t="shared" ca="1" si="245"/>
        <v>0</v>
      </c>
      <c r="AG98" s="64"/>
      <c r="AH98" s="74" t="s">
        <v>1633</v>
      </c>
      <c r="AI98" s="73">
        <f t="shared" ca="1" si="245"/>
        <v>0</v>
      </c>
      <c r="AJ98" s="64"/>
      <c r="AK98" s="74" t="s">
        <v>1633</v>
      </c>
      <c r="AL98" s="73">
        <f t="shared" ca="1" si="245"/>
        <v>0</v>
      </c>
      <c r="AM98" s="64"/>
      <c r="AN98" s="74" t="s">
        <v>1633</v>
      </c>
      <c r="AO98" s="73">
        <f t="shared" ca="1" si="245"/>
        <v>0</v>
      </c>
      <c r="AP98" s="64"/>
      <c r="AQ98" s="74" t="s">
        <v>1633</v>
      </c>
      <c r="AR98" s="73">
        <f t="shared" ca="1" si="245"/>
        <v>0</v>
      </c>
      <c r="AS98" s="64"/>
      <c r="AT98" s="74" t="s">
        <v>1633</v>
      </c>
      <c r="AU98" s="73">
        <f t="shared" ca="1" si="245"/>
        <v>0</v>
      </c>
      <c r="AV98" s="64"/>
      <c r="AW98" s="74" t="s">
        <v>1633</v>
      </c>
      <c r="AX98" s="73">
        <f t="shared" ca="1" si="245"/>
        <v>0</v>
      </c>
      <c r="AY98" s="64"/>
      <c r="AZ98" s="74" t="s">
        <v>1633</v>
      </c>
      <c r="BA98" s="73">
        <f t="shared" ca="1" si="245"/>
        <v>0</v>
      </c>
      <c r="BB98" s="64"/>
      <c r="BC98" s="74" t="s">
        <v>1633</v>
      </c>
      <c r="BD98" s="73">
        <f t="shared" ca="1" si="245"/>
        <v>0</v>
      </c>
      <c r="BE98" s="64"/>
      <c r="BF98" s="74" t="s">
        <v>1261</v>
      </c>
      <c r="BG98" s="73">
        <f t="shared" ca="1" si="245"/>
        <v>0</v>
      </c>
      <c r="BH98" s="64"/>
      <c r="BI98" s="74" t="s">
        <v>1261</v>
      </c>
      <c r="BJ98" s="73">
        <f t="shared" ca="1" si="245"/>
        <v>0</v>
      </c>
      <c r="BK98" s="64"/>
      <c r="BL98" s="74" t="s">
        <v>1633</v>
      </c>
      <c r="BM98" s="73">
        <f t="shared" ca="1" si="245"/>
        <v>0</v>
      </c>
      <c r="BN98" s="64"/>
      <c r="BO98" s="74" t="s">
        <v>1633</v>
      </c>
      <c r="BP98" s="73">
        <f t="shared" ca="1" si="245"/>
        <v>0</v>
      </c>
      <c r="BQ98" s="64"/>
      <c r="BR98" s="74" t="s">
        <v>1633</v>
      </c>
      <c r="BS98" s="73">
        <f t="shared" ca="1" si="245"/>
        <v>0</v>
      </c>
      <c r="BT98" s="64"/>
      <c r="BU98" s="74" t="s">
        <v>1633</v>
      </c>
      <c r="BV98" s="73">
        <f t="shared" ca="1" si="245"/>
        <v>0</v>
      </c>
      <c r="BW98" s="64"/>
      <c r="BX98" s="74" t="s">
        <v>1261</v>
      </c>
      <c r="BY98" s="73">
        <f t="shared" ca="1" si="245"/>
        <v>0</v>
      </c>
      <c r="BZ98" s="64"/>
      <c r="CA98" s="74" t="s">
        <v>1633</v>
      </c>
      <c r="CB98" s="73">
        <f t="shared" ca="1" si="245"/>
        <v>0</v>
      </c>
      <c r="CC98" s="64"/>
      <c r="CD98" s="74" t="s">
        <v>1633</v>
      </c>
      <c r="CE98" s="73">
        <f t="shared" ca="1" si="245"/>
        <v>0</v>
      </c>
      <c r="CF98" s="64"/>
      <c r="CG98" s="74" t="s">
        <v>1633</v>
      </c>
      <c r="CH98" s="73">
        <f t="shared" ca="1" si="245"/>
        <v>0</v>
      </c>
      <c r="CI98" s="64"/>
      <c r="CJ98" s="74" t="s">
        <v>1633</v>
      </c>
      <c r="CK98" s="73">
        <f t="shared" ref="CK98:CN98" ca="1" si="246">($M98=CJ98)*$D$13</f>
        <v>0</v>
      </c>
      <c r="CL98" s="64"/>
      <c r="CM98" s="74" t="s">
        <v>1633</v>
      </c>
      <c r="CN98" s="73">
        <f t="shared" ca="1" si="246"/>
        <v>0</v>
      </c>
      <c r="CO98" s="64"/>
      <c r="CP98" s="64"/>
    </row>
    <row r="99" spans="1:94">
      <c r="A99" s="49"/>
      <c r="B99" s="49"/>
      <c r="C99" s="49"/>
      <c r="D99" s="49"/>
      <c r="E99" s="111"/>
      <c r="F99" s="127">
        <f t="shared" ref="F99" si="247">$D$14</f>
        <v>1</v>
      </c>
      <c r="G99" s="445">
        <f ca="1">VLOOKUP(H99,Equipos!$Q$1:$R$25,2,0)</f>
        <v>15</v>
      </c>
      <c r="H99" s="446">
        <f ca="1">$H$62</f>
        <v>46198</v>
      </c>
      <c r="I99" s="50"/>
      <c r="J99" s="844"/>
      <c r="K99" s="56" t="str">
        <f>Idiomas!D169</f>
        <v>4º GRUPO E</v>
      </c>
      <c r="L99" s="53"/>
      <c r="M99" s="55" t="str">
        <f ca="1">IF(OR(SUM(WORLDCUP!$AN$38:$AN$41)=12,WORLDCUP!$AJ$99=144),WORLDCUP!AL41,LEFT(K99,1)&amp;RIGHT(K99,1))</f>
        <v>4E</v>
      </c>
      <c r="N99" s="25"/>
      <c r="O99" s="25"/>
      <c r="P99" s="25"/>
      <c r="Q99" s="25"/>
      <c r="R99" s="110"/>
      <c r="S99" s="74" t="s">
        <v>1726</v>
      </c>
      <c r="T99" s="73">
        <f t="shared" ref="T99" ca="1" si="248">($M99=S99)*$D$14</f>
        <v>0</v>
      </c>
      <c r="U99" s="64"/>
      <c r="V99" s="74" t="s">
        <v>1633</v>
      </c>
      <c r="W99" s="73">
        <f t="shared" ref="W99:CH99" ca="1" si="249">($M99=V99)*$D$14</f>
        <v>0</v>
      </c>
      <c r="X99" s="64"/>
      <c r="Y99" s="74" t="s">
        <v>1726</v>
      </c>
      <c r="Z99" s="73">
        <f t="shared" ca="1" si="249"/>
        <v>0</v>
      </c>
      <c r="AA99" s="64"/>
      <c r="AB99" s="74" t="s">
        <v>1726</v>
      </c>
      <c r="AC99" s="73">
        <f t="shared" ca="1" si="249"/>
        <v>0</v>
      </c>
      <c r="AD99" s="64"/>
      <c r="AE99" s="74" t="s">
        <v>1726</v>
      </c>
      <c r="AF99" s="73">
        <f t="shared" ca="1" si="249"/>
        <v>0</v>
      </c>
      <c r="AG99" s="64"/>
      <c r="AH99" s="74" t="s">
        <v>1726</v>
      </c>
      <c r="AI99" s="73">
        <f t="shared" ca="1" si="249"/>
        <v>0</v>
      </c>
      <c r="AJ99" s="64"/>
      <c r="AK99" s="74" t="s">
        <v>1726</v>
      </c>
      <c r="AL99" s="73">
        <f t="shared" ca="1" si="249"/>
        <v>0</v>
      </c>
      <c r="AM99" s="64"/>
      <c r="AN99" s="74" t="s">
        <v>1726</v>
      </c>
      <c r="AO99" s="73">
        <f t="shared" ca="1" si="249"/>
        <v>0</v>
      </c>
      <c r="AP99" s="64"/>
      <c r="AQ99" s="74" t="s">
        <v>1726</v>
      </c>
      <c r="AR99" s="73">
        <f t="shared" ca="1" si="249"/>
        <v>0</v>
      </c>
      <c r="AS99" s="64"/>
      <c r="AT99" s="74" t="s">
        <v>1726</v>
      </c>
      <c r="AU99" s="73">
        <f t="shared" ca="1" si="249"/>
        <v>0</v>
      </c>
      <c r="AV99" s="64"/>
      <c r="AW99" s="74" t="s">
        <v>1726</v>
      </c>
      <c r="AX99" s="73">
        <f t="shared" ca="1" si="249"/>
        <v>0</v>
      </c>
      <c r="AY99" s="64"/>
      <c r="AZ99" s="74" t="s">
        <v>1726</v>
      </c>
      <c r="BA99" s="73">
        <f t="shared" ca="1" si="249"/>
        <v>0</v>
      </c>
      <c r="BB99" s="64"/>
      <c r="BC99" s="74" t="s">
        <v>1726</v>
      </c>
      <c r="BD99" s="73">
        <f t="shared" ca="1" si="249"/>
        <v>0</v>
      </c>
      <c r="BE99" s="64"/>
      <c r="BF99" s="74" t="s">
        <v>1726</v>
      </c>
      <c r="BG99" s="73">
        <f t="shared" ca="1" si="249"/>
        <v>0</v>
      </c>
      <c r="BH99" s="64"/>
      <c r="BI99" s="74" t="s">
        <v>1726</v>
      </c>
      <c r="BJ99" s="73">
        <f t="shared" ca="1" si="249"/>
        <v>0</v>
      </c>
      <c r="BK99" s="64"/>
      <c r="BL99" s="74" t="s">
        <v>1726</v>
      </c>
      <c r="BM99" s="73">
        <f t="shared" ca="1" si="249"/>
        <v>0</v>
      </c>
      <c r="BN99" s="64"/>
      <c r="BO99" s="74" t="s">
        <v>1726</v>
      </c>
      <c r="BP99" s="73">
        <f t="shared" ca="1" si="249"/>
        <v>0</v>
      </c>
      <c r="BQ99" s="64"/>
      <c r="BR99" s="74" t="s">
        <v>1726</v>
      </c>
      <c r="BS99" s="73">
        <f t="shared" ca="1" si="249"/>
        <v>0</v>
      </c>
      <c r="BT99" s="64"/>
      <c r="BU99" s="74" t="s">
        <v>1726</v>
      </c>
      <c r="BV99" s="73">
        <f t="shared" ca="1" si="249"/>
        <v>0</v>
      </c>
      <c r="BW99" s="64"/>
      <c r="BX99" s="74" t="s">
        <v>1726</v>
      </c>
      <c r="BY99" s="73">
        <f t="shared" ca="1" si="249"/>
        <v>0</v>
      </c>
      <c r="BZ99" s="64"/>
      <c r="CA99" s="74" t="s">
        <v>1726</v>
      </c>
      <c r="CB99" s="73">
        <f t="shared" ca="1" si="249"/>
        <v>0</v>
      </c>
      <c r="CC99" s="64"/>
      <c r="CD99" s="74" t="s">
        <v>1726</v>
      </c>
      <c r="CE99" s="73">
        <f t="shared" ca="1" si="249"/>
        <v>0</v>
      </c>
      <c r="CF99" s="64"/>
      <c r="CG99" s="74" t="s">
        <v>1726</v>
      </c>
      <c r="CH99" s="73">
        <f t="shared" ca="1" si="249"/>
        <v>0</v>
      </c>
      <c r="CI99" s="64"/>
      <c r="CJ99" s="74" t="s">
        <v>1726</v>
      </c>
      <c r="CK99" s="73">
        <f t="shared" ref="CK99:CN99" ca="1" si="250">($M99=CJ99)*$D$14</f>
        <v>0</v>
      </c>
      <c r="CL99" s="64"/>
      <c r="CM99" s="74" t="s">
        <v>1726</v>
      </c>
      <c r="CN99" s="73">
        <f t="shared" ca="1" si="250"/>
        <v>0</v>
      </c>
      <c r="CO99" s="64"/>
      <c r="CP99" s="64"/>
    </row>
    <row r="100" spans="1:94">
      <c r="A100" s="49"/>
      <c r="B100" s="49"/>
      <c r="C100" s="49"/>
      <c r="D100" s="49"/>
      <c r="E100" s="111"/>
      <c r="F100" s="127">
        <f t="shared" ref="F100" si="251">$D$11</f>
        <v>6</v>
      </c>
      <c r="G100" s="445">
        <f ca="1">VLOOKUP(H100,Equipos!$Q$1:$R$25,2,0)</f>
        <v>15</v>
      </c>
      <c r="H100" s="446">
        <f ca="1">$H$64</f>
        <v>46198</v>
      </c>
      <c r="I100" s="50"/>
      <c r="J100" s="843" t="s">
        <v>4</v>
      </c>
      <c r="K100" s="56" t="str">
        <f>Idiomas!D170</f>
        <v>1º GRUPO F</v>
      </c>
      <c r="L100" s="53"/>
      <c r="M100" s="55" t="str">
        <f ca="1">IF(OR(SUM(WORLDCUP!$AN$46:$AN$49)=12,WORLDCUP!$AJ$99=144),WORLDCUP!AL46,LEFT(K100,1)&amp;RIGHT(K100,1))</f>
        <v>1F</v>
      </c>
      <c r="N100" s="25"/>
      <c r="O100" s="25"/>
      <c r="P100" s="25"/>
      <c r="Q100" s="25"/>
      <c r="R100" s="110"/>
      <c r="S100" s="74" t="s">
        <v>111</v>
      </c>
      <c r="T100" s="73">
        <f t="shared" ref="T100" ca="1" si="252">($M100=S100)*$D$11</f>
        <v>0</v>
      </c>
      <c r="U100" s="64"/>
      <c r="V100" s="74" t="s">
        <v>1263</v>
      </c>
      <c r="W100" s="73">
        <f t="shared" ref="W100:CH100" ca="1" si="253">($M100=V100)*$D$11</f>
        <v>0</v>
      </c>
      <c r="X100" s="64"/>
      <c r="Y100" s="74" t="s">
        <v>1263</v>
      </c>
      <c r="Z100" s="73">
        <f t="shared" ca="1" si="253"/>
        <v>0</v>
      </c>
      <c r="AA100" s="64"/>
      <c r="AB100" s="74" t="s">
        <v>1263</v>
      </c>
      <c r="AC100" s="73">
        <f t="shared" ca="1" si="253"/>
        <v>0</v>
      </c>
      <c r="AD100" s="64"/>
      <c r="AE100" s="74" t="s">
        <v>111</v>
      </c>
      <c r="AF100" s="73">
        <f t="shared" ca="1" si="253"/>
        <v>0</v>
      </c>
      <c r="AG100" s="64"/>
      <c r="AH100" s="74" t="s">
        <v>111</v>
      </c>
      <c r="AI100" s="73">
        <f t="shared" ca="1" si="253"/>
        <v>0</v>
      </c>
      <c r="AJ100" s="64"/>
      <c r="AK100" s="74" t="s">
        <v>111</v>
      </c>
      <c r="AL100" s="73">
        <f t="shared" ca="1" si="253"/>
        <v>0</v>
      </c>
      <c r="AM100" s="64"/>
      <c r="AN100" s="74" t="s">
        <v>111</v>
      </c>
      <c r="AO100" s="73">
        <f t="shared" ca="1" si="253"/>
        <v>0</v>
      </c>
      <c r="AP100" s="64"/>
      <c r="AQ100" s="74" t="s">
        <v>111</v>
      </c>
      <c r="AR100" s="73">
        <f t="shared" ca="1" si="253"/>
        <v>0</v>
      </c>
      <c r="AS100" s="64"/>
      <c r="AT100" s="74" t="s">
        <v>111</v>
      </c>
      <c r="AU100" s="73">
        <f t="shared" ca="1" si="253"/>
        <v>0</v>
      </c>
      <c r="AV100" s="64"/>
      <c r="AW100" s="74" t="s">
        <v>111</v>
      </c>
      <c r="AX100" s="73">
        <f t="shared" ca="1" si="253"/>
        <v>0</v>
      </c>
      <c r="AY100" s="64"/>
      <c r="AZ100" s="74" t="s">
        <v>111</v>
      </c>
      <c r="BA100" s="73">
        <f t="shared" ca="1" si="253"/>
        <v>0</v>
      </c>
      <c r="BB100" s="64"/>
      <c r="BC100" s="74" t="s">
        <v>111</v>
      </c>
      <c r="BD100" s="73">
        <f t="shared" ca="1" si="253"/>
        <v>0</v>
      </c>
      <c r="BE100" s="64"/>
      <c r="BF100" s="74" t="s">
        <v>111</v>
      </c>
      <c r="BG100" s="73">
        <f t="shared" ca="1" si="253"/>
        <v>0</v>
      </c>
      <c r="BH100" s="64"/>
      <c r="BI100" s="74" t="s">
        <v>111</v>
      </c>
      <c r="BJ100" s="73">
        <f t="shared" ca="1" si="253"/>
        <v>0</v>
      </c>
      <c r="BK100" s="64"/>
      <c r="BL100" s="74" t="s">
        <v>111</v>
      </c>
      <c r="BM100" s="73">
        <f t="shared" ca="1" si="253"/>
        <v>0</v>
      </c>
      <c r="BN100" s="64"/>
      <c r="BO100" s="74" t="s">
        <v>111</v>
      </c>
      <c r="BP100" s="73">
        <f t="shared" ca="1" si="253"/>
        <v>0</v>
      </c>
      <c r="BQ100" s="64"/>
      <c r="BR100" s="74" t="s">
        <v>111</v>
      </c>
      <c r="BS100" s="73">
        <f t="shared" ca="1" si="253"/>
        <v>0</v>
      </c>
      <c r="BT100" s="64"/>
      <c r="BU100" s="74" t="s">
        <v>111</v>
      </c>
      <c r="BV100" s="73">
        <f t="shared" ca="1" si="253"/>
        <v>0</v>
      </c>
      <c r="BW100" s="64"/>
      <c r="BX100" s="74" t="s">
        <v>111</v>
      </c>
      <c r="BY100" s="73">
        <f t="shared" ca="1" si="253"/>
        <v>0</v>
      </c>
      <c r="BZ100" s="64"/>
      <c r="CA100" s="74" t="s">
        <v>111</v>
      </c>
      <c r="CB100" s="73">
        <f t="shared" ca="1" si="253"/>
        <v>0</v>
      </c>
      <c r="CC100" s="64"/>
      <c r="CD100" s="74" t="s">
        <v>111</v>
      </c>
      <c r="CE100" s="73">
        <f t="shared" ca="1" si="253"/>
        <v>0</v>
      </c>
      <c r="CF100" s="64"/>
      <c r="CG100" s="74" t="s">
        <v>1263</v>
      </c>
      <c r="CH100" s="73">
        <f t="shared" ca="1" si="253"/>
        <v>0</v>
      </c>
      <c r="CI100" s="64"/>
      <c r="CJ100" s="74" t="s">
        <v>111</v>
      </c>
      <c r="CK100" s="73">
        <f t="shared" ref="CK100:CN100" ca="1" si="254">($M100=CJ100)*$D$11</f>
        <v>0</v>
      </c>
      <c r="CL100" s="64"/>
      <c r="CM100" s="74" t="s">
        <v>111</v>
      </c>
      <c r="CN100" s="73">
        <f t="shared" ca="1" si="254"/>
        <v>0</v>
      </c>
      <c r="CO100" s="64"/>
      <c r="CP100" s="64"/>
    </row>
    <row r="101" spans="1:94">
      <c r="A101" s="49"/>
      <c r="B101" s="49"/>
      <c r="C101" s="49"/>
      <c r="D101" s="49"/>
      <c r="E101" s="111"/>
      <c r="F101" s="127">
        <f t="shared" ref="F101" si="255">$D$12</f>
        <v>4</v>
      </c>
      <c r="G101" s="445">
        <f ca="1">VLOOKUP(H101,Equipos!$Q$1:$R$25,2,0)</f>
        <v>15</v>
      </c>
      <c r="H101" s="446">
        <f ca="1">$H$64</f>
        <v>46198</v>
      </c>
      <c r="I101" s="50"/>
      <c r="J101" s="843"/>
      <c r="K101" s="56" t="str">
        <f>Idiomas!D171</f>
        <v>2º GRUPO F</v>
      </c>
      <c r="L101" s="53"/>
      <c r="M101" s="55" t="str">
        <f ca="1">IF(OR(SUM(WORLDCUP!$AN$46:$AN$49)=12,WORLDCUP!$AJ$99=144),WORLDCUP!AL47,LEFT(K101,1)&amp;RIGHT(K101,1))</f>
        <v>2F</v>
      </c>
      <c r="N101" s="25"/>
      <c r="O101" s="25"/>
      <c r="P101" s="25"/>
      <c r="Q101" s="25"/>
      <c r="R101" s="110"/>
      <c r="S101" s="74" t="s">
        <v>1263</v>
      </c>
      <c r="T101" s="73">
        <f t="shared" ref="T101" ca="1" si="256">($M101=S101)*$D$12</f>
        <v>0</v>
      </c>
      <c r="U101" s="64"/>
      <c r="V101" s="74" t="s">
        <v>1833</v>
      </c>
      <c r="W101" s="73">
        <f t="shared" ref="W101:CH101" ca="1" si="257">($M101=V101)*$D$12</f>
        <v>0</v>
      </c>
      <c r="X101" s="64"/>
      <c r="Y101" s="74" t="s">
        <v>111</v>
      </c>
      <c r="Z101" s="73">
        <f t="shared" ca="1" si="257"/>
        <v>0</v>
      </c>
      <c r="AA101" s="64"/>
      <c r="AB101" s="74" t="s">
        <v>1833</v>
      </c>
      <c r="AC101" s="73">
        <f t="shared" ca="1" si="257"/>
        <v>0</v>
      </c>
      <c r="AD101" s="64"/>
      <c r="AE101" s="74" t="s">
        <v>1263</v>
      </c>
      <c r="AF101" s="73">
        <f t="shared" ca="1" si="257"/>
        <v>0</v>
      </c>
      <c r="AG101" s="64"/>
      <c r="AH101" s="74" t="s">
        <v>1833</v>
      </c>
      <c r="AI101" s="73">
        <f t="shared" ca="1" si="257"/>
        <v>0</v>
      </c>
      <c r="AJ101" s="64"/>
      <c r="AK101" s="74" t="s">
        <v>1263</v>
      </c>
      <c r="AL101" s="73">
        <f t="shared" ca="1" si="257"/>
        <v>0</v>
      </c>
      <c r="AM101" s="64"/>
      <c r="AN101" s="74" t="s">
        <v>1263</v>
      </c>
      <c r="AO101" s="73">
        <f t="shared" ca="1" si="257"/>
        <v>0</v>
      </c>
      <c r="AP101" s="64"/>
      <c r="AQ101" s="74" t="s">
        <v>1833</v>
      </c>
      <c r="AR101" s="73">
        <f t="shared" ca="1" si="257"/>
        <v>0</v>
      </c>
      <c r="AS101" s="64"/>
      <c r="AT101" s="74" t="s">
        <v>1833</v>
      </c>
      <c r="AU101" s="73">
        <f t="shared" ca="1" si="257"/>
        <v>0</v>
      </c>
      <c r="AV101" s="64"/>
      <c r="AW101" s="74" t="s">
        <v>1263</v>
      </c>
      <c r="AX101" s="73">
        <f t="shared" ca="1" si="257"/>
        <v>0</v>
      </c>
      <c r="AY101" s="64"/>
      <c r="AZ101" s="74" t="s">
        <v>1833</v>
      </c>
      <c r="BA101" s="73">
        <f t="shared" ca="1" si="257"/>
        <v>0</v>
      </c>
      <c r="BB101" s="64"/>
      <c r="BC101" s="74" t="s">
        <v>1263</v>
      </c>
      <c r="BD101" s="73">
        <f t="shared" ca="1" si="257"/>
        <v>0</v>
      </c>
      <c r="BE101" s="64"/>
      <c r="BF101" s="74" t="s">
        <v>1833</v>
      </c>
      <c r="BG101" s="73">
        <f t="shared" ca="1" si="257"/>
        <v>0</v>
      </c>
      <c r="BH101" s="64"/>
      <c r="BI101" s="74" t="s">
        <v>1263</v>
      </c>
      <c r="BJ101" s="73">
        <f t="shared" ca="1" si="257"/>
        <v>0</v>
      </c>
      <c r="BK101" s="64"/>
      <c r="BL101" s="74" t="s">
        <v>1263</v>
      </c>
      <c r="BM101" s="73">
        <f t="shared" ca="1" si="257"/>
        <v>0</v>
      </c>
      <c r="BN101" s="64"/>
      <c r="BO101" s="74" t="s">
        <v>1263</v>
      </c>
      <c r="BP101" s="73">
        <f t="shared" ca="1" si="257"/>
        <v>0</v>
      </c>
      <c r="BQ101" s="64"/>
      <c r="BR101" s="74" t="s">
        <v>1263</v>
      </c>
      <c r="BS101" s="73">
        <f t="shared" ca="1" si="257"/>
        <v>0</v>
      </c>
      <c r="BT101" s="64"/>
      <c r="BU101" s="74" t="s">
        <v>1263</v>
      </c>
      <c r="BV101" s="73">
        <f t="shared" ca="1" si="257"/>
        <v>0</v>
      </c>
      <c r="BW101" s="64"/>
      <c r="BX101" s="74" t="s">
        <v>1263</v>
      </c>
      <c r="BY101" s="73">
        <f t="shared" ca="1" si="257"/>
        <v>0</v>
      </c>
      <c r="BZ101" s="64"/>
      <c r="CA101" s="74" t="s">
        <v>1833</v>
      </c>
      <c r="CB101" s="73">
        <f t="shared" ca="1" si="257"/>
        <v>0</v>
      </c>
      <c r="CC101" s="64"/>
      <c r="CD101" s="74" t="s">
        <v>1263</v>
      </c>
      <c r="CE101" s="73">
        <f t="shared" ca="1" si="257"/>
        <v>0</v>
      </c>
      <c r="CF101" s="64"/>
      <c r="CG101" s="74" t="s">
        <v>111</v>
      </c>
      <c r="CH101" s="73">
        <f t="shared" ca="1" si="257"/>
        <v>0</v>
      </c>
      <c r="CI101" s="64"/>
      <c r="CJ101" s="74" t="s">
        <v>1263</v>
      </c>
      <c r="CK101" s="73">
        <f t="shared" ref="CK101:CN101" ca="1" si="258">($M101=CJ101)*$D$12</f>
        <v>0</v>
      </c>
      <c r="CL101" s="64"/>
      <c r="CM101" s="74" t="s">
        <v>1263</v>
      </c>
      <c r="CN101" s="73">
        <f t="shared" ca="1" si="258"/>
        <v>0</v>
      </c>
      <c r="CO101" s="64"/>
      <c r="CP101" s="64"/>
    </row>
    <row r="102" spans="1:94">
      <c r="A102" s="49"/>
      <c r="B102" s="49"/>
      <c r="C102" s="49"/>
      <c r="D102" s="49"/>
      <c r="E102" s="111"/>
      <c r="F102" s="127">
        <f t="shared" ref="F102" si="259">$D$13</f>
        <v>2</v>
      </c>
      <c r="G102" s="445">
        <f ca="1">VLOOKUP(H102,Equipos!$Q$1:$R$25,2,0)</f>
        <v>15</v>
      </c>
      <c r="H102" s="446">
        <f ca="1">$H$64</f>
        <v>46198</v>
      </c>
      <c r="I102" s="50"/>
      <c r="J102" s="843"/>
      <c r="K102" s="56" t="str">
        <f>Idiomas!D172</f>
        <v>3º GRUPO F</v>
      </c>
      <c r="L102" s="53"/>
      <c r="M102" s="55" t="str">
        <f ca="1">IF(OR(SUM(WORLDCUP!$AN$46:$AN$49)=12,WORLDCUP!$AJ$99=144),WORLDCUP!AL48,LEFT(K102,1)&amp;RIGHT(K102,1))</f>
        <v>3F</v>
      </c>
      <c r="N102" s="25"/>
      <c r="O102" s="25"/>
      <c r="P102" s="25"/>
      <c r="Q102" s="25"/>
      <c r="R102" s="110"/>
      <c r="S102" s="74" t="s">
        <v>1833</v>
      </c>
      <c r="T102" s="73">
        <f t="shared" ref="T102" ca="1" si="260">($M102=S102)*$D$13</f>
        <v>0</v>
      </c>
      <c r="U102" s="64"/>
      <c r="V102" s="74" t="s">
        <v>111</v>
      </c>
      <c r="W102" s="73">
        <f t="shared" ref="W102:CH102" ca="1" si="261">($M102=V102)*$D$13</f>
        <v>0</v>
      </c>
      <c r="X102" s="64"/>
      <c r="Y102" s="74" t="s">
        <v>1322</v>
      </c>
      <c r="Z102" s="73">
        <f t="shared" ca="1" si="261"/>
        <v>0</v>
      </c>
      <c r="AA102" s="64"/>
      <c r="AB102" s="74" t="s">
        <v>111</v>
      </c>
      <c r="AC102" s="73">
        <f t="shared" ca="1" si="261"/>
        <v>0</v>
      </c>
      <c r="AD102" s="64"/>
      <c r="AE102" s="74" t="s">
        <v>1833</v>
      </c>
      <c r="AF102" s="73">
        <f t="shared" ca="1" si="261"/>
        <v>0</v>
      </c>
      <c r="AG102" s="64"/>
      <c r="AH102" s="74" t="s">
        <v>1263</v>
      </c>
      <c r="AI102" s="73">
        <f t="shared" ca="1" si="261"/>
        <v>0</v>
      </c>
      <c r="AJ102" s="64"/>
      <c r="AK102" s="74" t="s">
        <v>1833</v>
      </c>
      <c r="AL102" s="73">
        <f t="shared" ca="1" si="261"/>
        <v>0</v>
      </c>
      <c r="AM102" s="64"/>
      <c r="AN102" s="74" t="s">
        <v>1833</v>
      </c>
      <c r="AO102" s="73">
        <f t="shared" ca="1" si="261"/>
        <v>0</v>
      </c>
      <c r="AP102" s="64"/>
      <c r="AQ102" s="74" t="s">
        <v>1263</v>
      </c>
      <c r="AR102" s="73">
        <f t="shared" ca="1" si="261"/>
        <v>0</v>
      </c>
      <c r="AS102" s="64"/>
      <c r="AT102" s="74" t="s">
        <v>1263</v>
      </c>
      <c r="AU102" s="73">
        <f t="shared" ca="1" si="261"/>
        <v>0</v>
      </c>
      <c r="AV102" s="64"/>
      <c r="AW102" s="74" t="s">
        <v>1833</v>
      </c>
      <c r="AX102" s="73">
        <f t="shared" ca="1" si="261"/>
        <v>0</v>
      </c>
      <c r="AY102" s="64"/>
      <c r="AZ102" s="74" t="s">
        <v>1263</v>
      </c>
      <c r="BA102" s="73">
        <f t="shared" ca="1" si="261"/>
        <v>0</v>
      </c>
      <c r="BB102" s="64"/>
      <c r="BC102" s="74" t="s">
        <v>1833</v>
      </c>
      <c r="BD102" s="73">
        <f t="shared" ca="1" si="261"/>
        <v>0</v>
      </c>
      <c r="BE102" s="64"/>
      <c r="BF102" s="74" t="s">
        <v>1263</v>
      </c>
      <c r="BG102" s="73">
        <f t="shared" ca="1" si="261"/>
        <v>0</v>
      </c>
      <c r="BH102" s="64"/>
      <c r="BI102" s="74" t="s">
        <v>1833</v>
      </c>
      <c r="BJ102" s="73">
        <f t="shared" ca="1" si="261"/>
        <v>0</v>
      </c>
      <c r="BK102" s="64"/>
      <c r="BL102" s="74" t="s">
        <v>1833</v>
      </c>
      <c r="BM102" s="73">
        <f t="shared" ca="1" si="261"/>
        <v>0</v>
      </c>
      <c r="BN102" s="64"/>
      <c r="BO102" s="74" t="s">
        <v>1833</v>
      </c>
      <c r="BP102" s="73">
        <f t="shared" ca="1" si="261"/>
        <v>0</v>
      </c>
      <c r="BQ102" s="64"/>
      <c r="BR102" s="74" t="s">
        <v>1833</v>
      </c>
      <c r="BS102" s="73">
        <f t="shared" ca="1" si="261"/>
        <v>0</v>
      </c>
      <c r="BT102" s="64"/>
      <c r="BU102" s="74" t="s">
        <v>1833</v>
      </c>
      <c r="BV102" s="73">
        <f t="shared" ca="1" si="261"/>
        <v>0</v>
      </c>
      <c r="BW102" s="64"/>
      <c r="BX102" s="74" t="s">
        <v>1833</v>
      </c>
      <c r="BY102" s="73">
        <f t="shared" ca="1" si="261"/>
        <v>0</v>
      </c>
      <c r="BZ102" s="64"/>
      <c r="CA102" s="74" t="s">
        <v>1263</v>
      </c>
      <c r="CB102" s="73">
        <f t="shared" ca="1" si="261"/>
        <v>0</v>
      </c>
      <c r="CC102" s="64"/>
      <c r="CD102" s="74" t="s">
        <v>1833</v>
      </c>
      <c r="CE102" s="73">
        <f t="shared" ca="1" si="261"/>
        <v>0</v>
      </c>
      <c r="CF102" s="64"/>
      <c r="CG102" s="74" t="s">
        <v>1833</v>
      </c>
      <c r="CH102" s="73">
        <f t="shared" ca="1" si="261"/>
        <v>0</v>
      </c>
      <c r="CI102" s="64"/>
      <c r="CJ102" s="74" t="s">
        <v>1833</v>
      </c>
      <c r="CK102" s="73">
        <f t="shared" ref="CK102:CN102" ca="1" si="262">($M102=CJ102)*$D$13</f>
        <v>0</v>
      </c>
      <c r="CL102" s="64"/>
      <c r="CM102" s="74" t="s">
        <v>1833</v>
      </c>
      <c r="CN102" s="73">
        <f t="shared" ca="1" si="262"/>
        <v>0</v>
      </c>
      <c r="CO102" s="64"/>
      <c r="CP102" s="64"/>
    </row>
    <row r="103" spans="1:94">
      <c r="A103" s="49"/>
      <c r="B103" s="49"/>
      <c r="C103" s="49"/>
      <c r="D103" s="49"/>
      <c r="E103" s="111"/>
      <c r="F103" s="127">
        <f t="shared" ref="F103" si="263">$D$14</f>
        <v>1</v>
      </c>
      <c r="G103" s="445">
        <f ca="1">VLOOKUP(H103,Equipos!$Q$1:$R$25,2,0)</f>
        <v>15</v>
      </c>
      <c r="H103" s="446">
        <f ca="1">$H$64</f>
        <v>46198</v>
      </c>
      <c r="I103" s="50"/>
      <c r="J103" s="843"/>
      <c r="K103" s="56" t="str">
        <f>Idiomas!D173</f>
        <v>4º GRUPO F</v>
      </c>
      <c r="L103" s="53"/>
      <c r="M103" s="55" t="str">
        <f ca="1">IF(OR(SUM(WORLDCUP!$AN$46:$AN$49)=12,WORLDCUP!$AJ$99=144),WORLDCUP!AL49,LEFT(K103,1)&amp;RIGHT(K103,1))</f>
        <v>4F</v>
      </c>
      <c r="N103" s="25"/>
      <c r="O103" s="25"/>
      <c r="P103" s="25"/>
      <c r="Q103" s="25"/>
      <c r="R103" s="110"/>
      <c r="S103" s="74" t="s">
        <v>1322</v>
      </c>
      <c r="T103" s="73">
        <f t="shared" ref="T103" ca="1" si="264">($M103=S103)*$D$14</f>
        <v>0</v>
      </c>
      <c r="U103" s="64"/>
      <c r="V103" s="74" t="s">
        <v>1322</v>
      </c>
      <c r="W103" s="73">
        <f t="shared" ref="W103:CH103" ca="1" si="265">($M103=V103)*$D$14</f>
        <v>0</v>
      </c>
      <c r="X103" s="64"/>
      <c r="Y103" s="74" t="s">
        <v>1833</v>
      </c>
      <c r="Z103" s="73">
        <f t="shared" ca="1" si="265"/>
        <v>0</v>
      </c>
      <c r="AA103" s="64"/>
      <c r="AB103" s="74" t="s">
        <v>1322</v>
      </c>
      <c r="AC103" s="73">
        <f t="shared" ca="1" si="265"/>
        <v>0</v>
      </c>
      <c r="AD103" s="64"/>
      <c r="AE103" s="74" t="s">
        <v>1322</v>
      </c>
      <c r="AF103" s="73">
        <f t="shared" ca="1" si="265"/>
        <v>0</v>
      </c>
      <c r="AG103" s="64"/>
      <c r="AH103" s="74" t="s">
        <v>1322</v>
      </c>
      <c r="AI103" s="73">
        <f t="shared" ca="1" si="265"/>
        <v>0</v>
      </c>
      <c r="AJ103" s="64"/>
      <c r="AK103" s="74" t="s">
        <v>1322</v>
      </c>
      <c r="AL103" s="73">
        <f t="shared" ca="1" si="265"/>
        <v>0</v>
      </c>
      <c r="AM103" s="64"/>
      <c r="AN103" s="74" t="s">
        <v>1322</v>
      </c>
      <c r="AO103" s="73">
        <f t="shared" ca="1" si="265"/>
        <v>0</v>
      </c>
      <c r="AP103" s="64"/>
      <c r="AQ103" s="74" t="s">
        <v>1322</v>
      </c>
      <c r="AR103" s="73">
        <f t="shared" ca="1" si="265"/>
        <v>0</v>
      </c>
      <c r="AS103" s="64"/>
      <c r="AT103" s="74" t="s">
        <v>1322</v>
      </c>
      <c r="AU103" s="73">
        <f t="shared" ca="1" si="265"/>
        <v>0</v>
      </c>
      <c r="AV103" s="64"/>
      <c r="AW103" s="74" t="s">
        <v>1322</v>
      </c>
      <c r="AX103" s="73">
        <f t="shared" ca="1" si="265"/>
        <v>0</v>
      </c>
      <c r="AY103" s="64"/>
      <c r="AZ103" s="74" t="s">
        <v>1322</v>
      </c>
      <c r="BA103" s="73">
        <f t="shared" ca="1" si="265"/>
        <v>0</v>
      </c>
      <c r="BB103" s="64"/>
      <c r="BC103" s="74" t="s">
        <v>1322</v>
      </c>
      <c r="BD103" s="73">
        <f t="shared" ca="1" si="265"/>
        <v>0</v>
      </c>
      <c r="BE103" s="64"/>
      <c r="BF103" s="74" t="s">
        <v>1322</v>
      </c>
      <c r="BG103" s="73">
        <f t="shared" ca="1" si="265"/>
        <v>0</v>
      </c>
      <c r="BH103" s="64"/>
      <c r="BI103" s="74" t="s">
        <v>1322</v>
      </c>
      <c r="BJ103" s="73">
        <f t="shared" ca="1" si="265"/>
        <v>0</v>
      </c>
      <c r="BK103" s="64"/>
      <c r="BL103" s="74" t="s">
        <v>1322</v>
      </c>
      <c r="BM103" s="73">
        <f t="shared" ca="1" si="265"/>
        <v>0</v>
      </c>
      <c r="BN103" s="64"/>
      <c r="BO103" s="74" t="s">
        <v>1322</v>
      </c>
      <c r="BP103" s="73">
        <f t="shared" ca="1" si="265"/>
        <v>0</v>
      </c>
      <c r="BQ103" s="64"/>
      <c r="BR103" s="74" t="s">
        <v>1322</v>
      </c>
      <c r="BS103" s="73">
        <f t="shared" ca="1" si="265"/>
        <v>0</v>
      </c>
      <c r="BT103" s="64"/>
      <c r="BU103" s="74" t="s">
        <v>1322</v>
      </c>
      <c r="BV103" s="73">
        <f t="shared" ca="1" si="265"/>
        <v>0</v>
      </c>
      <c r="BW103" s="64"/>
      <c r="BX103" s="74" t="s">
        <v>1322</v>
      </c>
      <c r="BY103" s="73">
        <f t="shared" ca="1" si="265"/>
        <v>0</v>
      </c>
      <c r="BZ103" s="64"/>
      <c r="CA103" s="74" t="s">
        <v>1322</v>
      </c>
      <c r="CB103" s="73">
        <f t="shared" ca="1" si="265"/>
        <v>0</v>
      </c>
      <c r="CC103" s="64"/>
      <c r="CD103" s="74" t="s">
        <v>1322</v>
      </c>
      <c r="CE103" s="73">
        <f t="shared" ca="1" si="265"/>
        <v>0</v>
      </c>
      <c r="CF103" s="64"/>
      <c r="CG103" s="74" t="s">
        <v>1322</v>
      </c>
      <c r="CH103" s="73">
        <f t="shared" ca="1" si="265"/>
        <v>0</v>
      </c>
      <c r="CI103" s="64"/>
      <c r="CJ103" s="74" t="s">
        <v>1322</v>
      </c>
      <c r="CK103" s="73">
        <f t="shared" ref="CK103:CN103" ca="1" si="266">($M103=CJ103)*$D$14</f>
        <v>0</v>
      </c>
      <c r="CL103" s="64"/>
      <c r="CM103" s="74" t="s">
        <v>1322</v>
      </c>
      <c r="CN103" s="73">
        <f t="shared" ca="1" si="266"/>
        <v>0</v>
      </c>
      <c r="CO103" s="64"/>
      <c r="CP103" s="64"/>
    </row>
    <row r="104" spans="1:94">
      <c r="A104" s="49"/>
      <c r="B104" s="49"/>
      <c r="C104" s="49"/>
      <c r="D104" s="49"/>
      <c r="E104" s="111"/>
      <c r="F104" s="127">
        <f t="shared" ref="F104" si="267">$D$11</f>
        <v>6</v>
      </c>
      <c r="G104" s="445">
        <f ca="1">VLOOKUP(H104,Equipos!$Q$1:$R$25,2,0)</f>
        <v>16</v>
      </c>
      <c r="H104" s="446">
        <f ca="1">$H$66</f>
        <v>46199</v>
      </c>
      <c r="I104" s="50"/>
      <c r="J104" s="844" t="s">
        <v>6</v>
      </c>
      <c r="K104" s="56" t="str">
        <f>Idiomas!D174</f>
        <v>1º GRUPO G</v>
      </c>
      <c r="L104" s="53"/>
      <c r="M104" s="55" t="str">
        <f ca="1">IF(OR(SUM(WORLDCUP!$AN$54:$AN$57)=12,WORLDCUP!$AJ$99=144),WORLDCUP!AL54,LEFT(K104,1)&amp;RIGHT(K104,1))</f>
        <v>1G</v>
      </c>
      <c r="N104" s="25"/>
      <c r="O104" s="25"/>
      <c r="P104" s="25"/>
      <c r="Q104" s="25"/>
      <c r="R104" s="110"/>
      <c r="S104" s="74" t="s">
        <v>110</v>
      </c>
      <c r="T104" s="73">
        <f t="shared" ref="T104" ca="1" si="268">($M104=S104)*$D$11</f>
        <v>0</v>
      </c>
      <c r="U104" s="64"/>
      <c r="V104" s="74" t="s">
        <v>1266</v>
      </c>
      <c r="W104" s="73">
        <f t="shared" ref="W104:CH104" ca="1" si="269">($M104=V104)*$D$11</f>
        <v>0</v>
      </c>
      <c r="X104" s="64"/>
      <c r="Y104" s="74" t="s">
        <v>110</v>
      </c>
      <c r="Z104" s="73">
        <f t="shared" ca="1" si="269"/>
        <v>0</v>
      </c>
      <c r="AA104" s="64"/>
      <c r="AB104" s="74" t="s">
        <v>110</v>
      </c>
      <c r="AC104" s="73">
        <f t="shared" ca="1" si="269"/>
        <v>0</v>
      </c>
      <c r="AD104" s="64"/>
      <c r="AE104" s="74" t="s">
        <v>110</v>
      </c>
      <c r="AF104" s="73">
        <f t="shared" ca="1" si="269"/>
        <v>0</v>
      </c>
      <c r="AG104" s="64"/>
      <c r="AH104" s="74" t="s">
        <v>110</v>
      </c>
      <c r="AI104" s="73">
        <f t="shared" ca="1" si="269"/>
        <v>0</v>
      </c>
      <c r="AJ104" s="64"/>
      <c r="AK104" s="74" t="s">
        <v>110</v>
      </c>
      <c r="AL104" s="73">
        <f t="shared" ca="1" si="269"/>
        <v>0</v>
      </c>
      <c r="AM104" s="64"/>
      <c r="AN104" s="74" t="s">
        <v>110</v>
      </c>
      <c r="AO104" s="73">
        <f t="shared" ca="1" si="269"/>
        <v>0</v>
      </c>
      <c r="AP104" s="64"/>
      <c r="AQ104" s="74" t="s">
        <v>110</v>
      </c>
      <c r="AR104" s="73">
        <f t="shared" ca="1" si="269"/>
        <v>0</v>
      </c>
      <c r="AS104" s="64"/>
      <c r="AT104" s="74" t="s">
        <v>110</v>
      </c>
      <c r="AU104" s="73">
        <f t="shared" ca="1" si="269"/>
        <v>0</v>
      </c>
      <c r="AV104" s="64"/>
      <c r="AW104" s="74" t="s">
        <v>110</v>
      </c>
      <c r="AX104" s="73">
        <f t="shared" ca="1" si="269"/>
        <v>0</v>
      </c>
      <c r="AY104" s="64"/>
      <c r="AZ104" s="74" t="s">
        <v>110</v>
      </c>
      <c r="BA104" s="73">
        <f t="shared" ca="1" si="269"/>
        <v>0</v>
      </c>
      <c r="BB104" s="64"/>
      <c r="BC104" s="74" t="s">
        <v>110</v>
      </c>
      <c r="BD104" s="73">
        <f t="shared" ca="1" si="269"/>
        <v>0</v>
      </c>
      <c r="BE104" s="64"/>
      <c r="BF104" s="74" t="s">
        <v>110</v>
      </c>
      <c r="BG104" s="73">
        <f t="shared" ca="1" si="269"/>
        <v>0</v>
      </c>
      <c r="BH104" s="64"/>
      <c r="BI104" s="74" t="s">
        <v>110</v>
      </c>
      <c r="BJ104" s="73">
        <f t="shared" ca="1" si="269"/>
        <v>0</v>
      </c>
      <c r="BK104" s="64"/>
      <c r="BL104" s="74" t="s">
        <v>110</v>
      </c>
      <c r="BM104" s="73">
        <f t="shared" ca="1" si="269"/>
        <v>0</v>
      </c>
      <c r="BN104" s="64"/>
      <c r="BO104" s="74" t="s">
        <v>110</v>
      </c>
      <c r="BP104" s="73">
        <f t="shared" ca="1" si="269"/>
        <v>0</v>
      </c>
      <c r="BQ104" s="64"/>
      <c r="BR104" s="74" t="s">
        <v>110</v>
      </c>
      <c r="BS104" s="73">
        <f t="shared" ca="1" si="269"/>
        <v>0</v>
      </c>
      <c r="BT104" s="64"/>
      <c r="BU104" s="74" t="s">
        <v>110</v>
      </c>
      <c r="BV104" s="73">
        <f t="shared" ca="1" si="269"/>
        <v>0</v>
      </c>
      <c r="BW104" s="64"/>
      <c r="BX104" s="74" t="s">
        <v>110</v>
      </c>
      <c r="BY104" s="73">
        <f t="shared" ca="1" si="269"/>
        <v>0</v>
      </c>
      <c r="BZ104" s="64"/>
      <c r="CA104" s="74" t="s">
        <v>110</v>
      </c>
      <c r="CB104" s="73">
        <f t="shared" ca="1" si="269"/>
        <v>0</v>
      </c>
      <c r="CC104" s="64"/>
      <c r="CD104" s="74" t="s">
        <v>110</v>
      </c>
      <c r="CE104" s="73">
        <f t="shared" ca="1" si="269"/>
        <v>0</v>
      </c>
      <c r="CF104" s="64"/>
      <c r="CG104" s="74" t="s">
        <v>110</v>
      </c>
      <c r="CH104" s="73">
        <f t="shared" ca="1" si="269"/>
        <v>0</v>
      </c>
      <c r="CI104" s="64"/>
      <c r="CJ104" s="74" t="s">
        <v>110</v>
      </c>
      <c r="CK104" s="73">
        <f t="shared" ref="CK104:CN104" ca="1" si="270">($M104=CJ104)*$D$11</f>
        <v>0</v>
      </c>
      <c r="CL104" s="64"/>
      <c r="CM104" s="74" t="s">
        <v>110</v>
      </c>
      <c r="CN104" s="73">
        <f t="shared" ca="1" si="270"/>
        <v>0</v>
      </c>
      <c r="CO104" s="64"/>
      <c r="CP104" s="64"/>
    </row>
    <row r="105" spans="1:94">
      <c r="A105" s="49"/>
      <c r="B105" s="49"/>
      <c r="C105" s="49"/>
      <c r="D105" s="49"/>
      <c r="E105" s="111"/>
      <c r="F105" s="127">
        <f t="shared" ref="F105" si="271">$D$12</f>
        <v>4</v>
      </c>
      <c r="G105" s="445">
        <f ca="1">VLOOKUP(H105,Equipos!$Q$1:$R$25,2,0)</f>
        <v>16</v>
      </c>
      <c r="H105" s="446">
        <f ca="1">$H$66</f>
        <v>46199</v>
      </c>
      <c r="I105" s="50"/>
      <c r="J105" s="844"/>
      <c r="K105" s="56" t="str">
        <f>Idiomas!D175</f>
        <v>2º GRUPO G</v>
      </c>
      <c r="L105" s="53"/>
      <c r="M105" s="55" t="str">
        <f ca="1">IF(OR(SUM(WORLDCUP!$AN$54:$AN$57)=12,WORLDCUP!$AJ$99=144),WORLDCUP!AL55,LEFT(K105,1)&amp;RIGHT(K105,1))</f>
        <v>2G</v>
      </c>
      <c r="N105" s="25"/>
      <c r="O105" s="25"/>
      <c r="P105" s="25"/>
      <c r="Q105" s="25"/>
      <c r="R105" s="110"/>
      <c r="S105" s="74" t="s">
        <v>1266</v>
      </c>
      <c r="T105" s="73">
        <f t="shared" ref="T105" ca="1" si="272">($M105=S105)*$D$12</f>
        <v>0</v>
      </c>
      <c r="U105" s="64"/>
      <c r="V105" s="74" t="s">
        <v>110</v>
      </c>
      <c r="W105" s="73">
        <f t="shared" ref="W105:CH105" ca="1" si="273">($M105=V105)*$D$12</f>
        <v>0</v>
      </c>
      <c r="X105" s="64"/>
      <c r="Y105" s="74" t="s">
        <v>1262</v>
      </c>
      <c r="Z105" s="73">
        <f t="shared" ca="1" si="273"/>
        <v>0</v>
      </c>
      <c r="AA105" s="64"/>
      <c r="AB105" s="74" t="s">
        <v>1550</v>
      </c>
      <c r="AC105" s="73">
        <f t="shared" ca="1" si="273"/>
        <v>0</v>
      </c>
      <c r="AD105" s="64"/>
      <c r="AE105" s="74" t="s">
        <v>1550</v>
      </c>
      <c r="AF105" s="73">
        <f t="shared" ca="1" si="273"/>
        <v>0</v>
      </c>
      <c r="AG105" s="64"/>
      <c r="AH105" s="74" t="s">
        <v>1550</v>
      </c>
      <c r="AI105" s="73">
        <f t="shared" ca="1" si="273"/>
        <v>0</v>
      </c>
      <c r="AJ105" s="64"/>
      <c r="AK105" s="74" t="s">
        <v>1550</v>
      </c>
      <c r="AL105" s="73">
        <f t="shared" ca="1" si="273"/>
        <v>0</v>
      </c>
      <c r="AM105" s="64"/>
      <c r="AN105" s="74" t="s">
        <v>1550</v>
      </c>
      <c r="AO105" s="73">
        <f t="shared" ca="1" si="273"/>
        <v>0</v>
      </c>
      <c r="AP105" s="64"/>
      <c r="AQ105" s="74" t="s">
        <v>1550</v>
      </c>
      <c r="AR105" s="73">
        <f t="shared" ca="1" si="273"/>
        <v>0</v>
      </c>
      <c r="AS105" s="64"/>
      <c r="AT105" s="74" t="s">
        <v>1550</v>
      </c>
      <c r="AU105" s="73">
        <f t="shared" ca="1" si="273"/>
        <v>0</v>
      </c>
      <c r="AV105" s="64"/>
      <c r="AW105" s="74" t="s">
        <v>1266</v>
      </c>
      <c r="AX105" s="73">
        <f t="shared" ca="1" si="273"/>
        <v>0</v>
      </c>
      <c r="AY105" s="64"/>
      <c r="AZ105" s="74" t="s">
        <v>1550</v>
      </c>
      <c r="BA105" s="73">
        <f t="shared" ca="1" si="273"/>
        <v>0</v>
      </c>
      <c r="BB105" s="64"/>
      <c r="BC105" s="74" t="s">
        <v>1266</v>
      </c>
      <c r="BD105" s="73">
        <f t="shared" ca="1" si="273"/>
        <v>0</v>
      </c>
      <c r="BE105" s="64"/>
      <c r="BF105" s="74" t="s">
        <v>1550</v>
      </c>
      <c r="BG105" s="73">
        <f t="shared" ca="1" si="273"/>
        <v>0</v>
      </c>
      <c r="BH105" s="64"/>
      <c r="BI105" s="74" t="s">
        <v>1550</v>
      </c>
      <c r="BJ105" s="73">
        <f t="shared" ca="1" si="273"/>
        <v>0</v>
      </c>
      <c r="BK105" s="64"/>
      <c r="BL105" s="74" t="s">
        <v>1550</v>
      </c>
      <c r="BM105" s="73">
        <f t="shared" ca="1" si="273"/>
        <v>0</v>
      </c>
      <c r="BN105" s="64"/>
      <c r="BO105" s="74" t="s">
        <v>1550</v>
      </c>
      <c r="BP105" s="73">
        <f t="shared" ca="1" si="273"/>
        <v>0</v>
      </c>
      <c r="BQ105" s="64"/>
      <c r="BR105" s="74" t="s">
        <v>1550</v>
      </c>
      <c r="BS105" s="73">
        <f t="shared" ca="1" si="273"/>
        <v>0</v>
      </c>
      <c r="BT105" s="64"/>
      <c r="BU105" s="74" t="s">
        <v>1550</v>
      </c>
      <c r="BV105" s="73">
        <f t="shared" ca="1" si="273"/>
        <v>0</v>
      </c>
      <c r="BW105" s="64"/>
      <c r="BX105" s="74" t="s">
        <v>1550</v>
      </c>
      <c r="BY105" s="73">
        <f t="shared" ca="1" si="273"/>
        <v>0</v>
      </c>
      <c r="BZ105" s="64"/>
      <c r="CA105" s="74" t="s">
        <v>1266</v>
      </c>
      <c r="CB105" s="73">
        <f t="shared" ca="1" si="273"/>
        <v>0</v>
      </c>
      <c r="CC105" s="64"/>
      <c r="CD105" s="74" t="s">
        <v>1550</v>
      </c>
      <c r="CE105" s="73">
        <f t="shared" ca="1" si="273"/>
        <v>0</v>
      </c>
      <c r="CF105" s="64"/>
      <c r="CG105" s="74" t="s">
        <v>1266</v>
      </c>
      <c r="CH105" s="73">
        <f t="shared" ca="1" si="273"/>
        <v>0</v>
      </c>
      <c r="CI105" s="64"/>
      <c r="CJ105" s="74" t="s">
        <v>1262</v>
      </c>
      <c r="CK105" s="73">
        <f t="shared" ref="CK105:CN105" ca="1" si="274">($M105=CJ105)*$D$12</f>
        <v>0</v>
      </c>
      <c r="CL105" s="64"/>
      <c r="CM105" s="74" t="s">
        <v>1550</v>
      </c>
      <c r="CN105" s="73">
        <f t="shared" ca="1" si="274"/>
        <v>0</v>
      </c>
      <c r="CO105" s="64"/>
      <c r="CP105" s="64"/>
    </row>
    <row r="106" spans="1:94">
      <c r="A106" s="49"/>
      <c r="B106" s="49"/>
      <c r="C106" s="49"/>
      <c r="D106" s="49"/>
      <c r="E106" s="111"/>
      <c r="F106" s="127">
        <f t="shared" ref="F106" si="275">$D$13</f>
        <v>2</v>
      </c>
      <c r="G106" s="445">
        <f ca="1">VLOOKUP(H106,Equipos!$Q$1:$R$25,2,0)</f>
        <v>16</v>
      </c>
      <c r="H106" s="446">
        <f ca="1">$H$66</f>
        <v>46199</v>
      </c>
      <c r="I106" s="50"/>
      <c r="J106" s="844"/>
      <c r="K106" s="56" t="str">
        <f>Idiomas!D176</f>
        <v>3º GRUPO G</v>
      </c>
      <c r="L106" s="53"/>
      <c r="M106" s="55" t="str">
        <f ca="1">IF(OR(SUM(WORLDCUP!$AN$54:$AN$57)=12,WORLDCUP!$AJ$99=144),WORLDCUP!AL56,LEFT(K106,1)&amp;RIGHT(K106,1))</f>
        <v>3G</v>
      </c>
      <c r="N106" s="25"/>
      <c r="O106" s="25"/>
      <c r="P106" s="25"/>
      <c r="Q106" s="25"/>
      <c r="R106" s="110"/>
      <c r="S106" s="74" t="s">
        <v>1550</v>
      </c>
      <c r="T106" s="73">
        <f t="shared" ref="T106" ca="1" si="276">($M106=S106)*$D$13</f>
        <v>0</v>
      </c>
      <c r="U106" s="64"/>
      <c r="V106" s="74" t="s">
        <v>1550</v>
      </c>
      <c r="W106" s="73">
        <f t="shared" ref="W106:CH106" ca="1" si="277">($M106=V106)*$D$13</f>
        <v>0</v>
      </c>
      <c r="X106" s="64"/>
      <c r="Y106" s="74" t="s">
        <v>1266</v>
      </c>
      <c r="Z106" s="73">
        <f t="shared" ca="1" si="277"/>
        <v>0</v>
      </c>
      <c r="AA106" s="64"/>
      <c r="AB106" s="74" t="s">
        <v>1266</v>
      </c>
      <c r="AC106" s="73">
        <f t="shared" ca="1" si="277"/>
        <v>0</v>
      </c>
      <c r="AD106" s="64"/>
      <c r="AE106" s="74" t="s">
        <v>1266</v>
      </c>
      <c r="AF106" s="73">
        <f t="shared" ca="1" si="277"/>
        <v>0</v>
      </c>
      <c r="AG106" s="64"/>
      <c r="AH106" s="74" t="s">
        <v>1262</v>
      </c>
      <c r="AI106" s="73">
        <f t="shared" ca="1" si="277"/>
        <v>0</v>
      </c>
      <c r="AJ106" s="64"/>
      <c r="AK106" s="74" t="s">
        <v>1262</v>
      </c>
      <c r="AL106" s="73">
        <f t="shared" ca="1" si="277"/>
        <v>0</v>
      </c>
      <c r="AM106" s="64"/>
      <c r="AN106" s="74" t="s">
        <v>1266</v>
      </c>
      <c r="AO106" s="73">
        <f t="shared" ca="1" si="277"/>
        <v>0</v>
      </c>
      <c r="AP106" s="64"/>
      <c r="AQ106" s="74" t="s">
        <v>1262</v>
      </c>
      <c r="AR106" s="73">
        <f t="shared" ca="1" si="277"/>
        <v>0</v>
      </c>
      <c r="AS106" s="64"/>
      <c r="AT106" s="74" t="s">
        <v>1262</v>
      </c>
      <c r="AU106" s="73">
        <f t="shared" ca="1" si="277"/>
        <v>0</v>
      </c>
      <c r="AV106" s="64"/>
      <c r="AW106" s="74" t="s">
        <v>1262</v>
      </c>
      <c r="AX106" s="73">
        <f t="shared" ca="1" si="277"/>
        <v>0</v>
      </c>
      <c r="AY106" s="64"/>
      <c r="AZ106" s="74" t="s">
        <v>1262</v>
      </c>
      <c r="BA106" s="73">
        <f t="shared" ca="1" si="277"/>
        <v>0</v>
      </c>
      <c r="BB106" s="64"/>
      <c r="BC106" s="74" t="s">
        <v>1550</v>
      </c>
      <c r="BD106" s="73">
        <f t="shared" ca="1" si="277"/>
        <v>0</v>
      </c>
      <c r="BE106" s="64"/>
      <c r="BF106" s="74" t="s">
        <v>1262</v>
      </c>
      <c r="BG106" s="73">
        <f t="shared" ca="1" si="277"/>
        <v>0</v>
      </c>
      <c r="BH106" s="64"/>
      <c r="BI106" s="74" t="s">
        <v>1262</v>
      </c>
      <c r="BJ106" s="73">
        <f t="shared" ca="1" si="277"/>
        <v>0</v>
      </c>
      <c r="BK106" s="64"/>
      <c r="BL106" s="74" t="s">
        <v>1262</v>
      </c>
      <c r="BM106" s="73">
        <f t="shared" ca="1" si="277"/>
        <v>0</v>
      </c>
      <c r="BN106" s="64"/>
      <c r="BO106" s="74" t="s">
        <v>1262</v>
      </c>
      <c r="BP106" s="73">
        <f t="shared" ca="1" si="277"/>
        <v>0</v>
      </c>
      <c r="BQ106" s="64"/>
      <c r="BR106" s="74" t="s">
        <v>1262</v>
      </c>
      <c r="BS106" s="73">
        <f t="shared" ca="1" si="277"/>
        <v>0</v>
      </c>
      <c r="BT106" s="64"/>
      <c r="BU106" s="74" t="s">
        <v>1262</v>
      </c>
      <c r="BV106" s="73">
        <f t="shared" ca="1" si="277"/>
        <v>0</v>
      </c>
      <c r="BW106" s="64"/>
      <c r="BX106" s="74" t="s">
        <v>1262</v>
      </c>
      <c r="BY106" s="73">
        <f t="shared" ca="1" si="277"/>
        <v>0</v>
      </c>
      <c r="BZ106" s="64"/>
      <c r="CA106" s="74" t="s">
        <v>1262</v>
      </c>
      <c r="CB106" s="73">
        <f t="shared" ca="1" si="277"/>
        <v>0</v>
      </c>
      <c r="CC106" s="64"/>
      <c r="CD106" s="74" t="s">
        <v>1266</v>
      </c>
      <c r="CE106" s="73">
        <f t="shared" ca="1" si="277"/>
        <v>0</v>
      </c>
      <c r="CF106" s="64"/>
      <c r="CG106" s="74" t="s">
        <v>1262</v>
      </c>
      <c r="CH106" s="73">
        <f t="shared" ca="1" si="277"/>
        <v>0</v>
      </c>
      <c r="CI106" s="64"/>
      <c r="CJ106" s="74" t="s">
        <v>1550</v>
      </c>
      <c r="CK106" s="73">
        <f t="shared" ref="CK106:CN106" ca="1" si="278">($M106=CJ106)*$D$13</f>
        <v>0</v>
      </c>
      <c r="CL106" s="64"/>
      <c r="CM106" s="74" t="s">
        <v>1262</v>
      </c>
      <c r="CN106" s="73">
        <f t="shared" ca="1" si="278"/>
        <v>0</v>
      </c>
      <c r="CO106" s="64"/>
      <c r="CP106" s="64"/>
    </row>
    <row r="107" spans="1:94">
      <c r="A107" s="49"/>
      <c r="B107" s="49"/>
      <c r="C107" s="49"/>
      <c r="D107" s="49"/>
      <c r="E107" s="111"/>
      <c r="F107" s="127">
        <f t="shared" ref="F107" si="279">$D$14</f>
        <v>1</v>
      </c>
      <c r="G107" s="445">
        <f ca="1">VLOOKUP(H107,Equipos!$Q$1:$R$25,2,0)</f>
        <v>16</v>
      </c>
      <c r="H107" s="446">
        <f ca="1">$H$66</f>
        <v>46199</v>
      </c>
      <c r="I107" s="50"/>
      <c r="J107" s="844"/>
      <c r="K107" s="56" t="str">
        <f>Idiomas!D177</f>
        <v>4º GRUPO G</v>
      </c>
      <c r="L107" s="53"/>
      <c r="M107" s="55" t="str">
        <f ca="1">IF(OR(SUM(WORLDCUP!$AN$54:$AN$57)=12,WORLDCUP!$AJ$99=144),WORLDCUP!AL57,LEFT(K107,1)&amp;RIGHT(K107,1))</f>
        <v>4G</v>
      </c>
      <c r="N107" s="25"/>
      <c r="O107" s="25"/>
      <c r="P107" s="25"/>
      <c r="Q107" s="25"/>
      <c r="R107" s="110"/>
      <c r="S107" s="74" t="s">
        <v>1262</v>
      </c>
      <c r="T107" s="73">
        <f t="shared" ref="T107" ca="1" si="280">($M107=S107)*$D$14</f>
        <v>0</v>
      </c>
      <c r="U107" s="64"/>
      <c r="V107" s="74" t="s">
        <v>1262</v>
      </c>
      <c r="W107" s="73">
        <f t="shared" ref="W107:CH107" ca="1" si="281">($M107=V107)*$D$14</f>
        <v>0</v>
      </c>
      <c r="X107" s="64"/>
      <c r="Y107" s="74" t="s">
        <v>1550</v>
      </c>
      <c r="Z107" s="73">
        <f t="shared" ca="1" si="281"/>
        <v>0</v>
      </c>
      <c r="AA107" s="64"/>
      <c r="AB107" s="74" t="s">
        <v>1262</v>
      </c>
      <c r="AC107" s="73">
        <f t="shared" ca="1" si="281"/>
        <v>0</v>
      </c>
      <c r="AD107" s="64"/>
      <c r="AE107" s="74" t="s">
        <v>1262</v>
      </c>
      <c r="AF107" s="73">
        <f t="shared" ca="1" si="281"/>
        <v>0</v>
      </c>
      <c r="AG107" s="64"/>
      <c r="AH107" s="74" t="s">
        <v>1266</v>
      </c>
      <c r="AI107" s="73">
        <f t="shared" ca="1" si="281"/>
        <v>0</v>
      </c>
      <c r="AJ107" s="64"/>
      <c r="AK107" s="74" t="s">
        <v>1266</v>
      </c>
      <c r="AL107" s="73">
        <f t="shared" ca="1" si="281"/>
        <v>0</v>
      </c>
      <c r="AM107" s="64"/>
      <c r="AN107" s="74" t="s">
        <v>1262</v>
      </c>
      <c r="AO107" s="73">
        <f t="shared" ca="1" si="281"/>
        <v>0</v>
      </c>
      <c r="AP107" s="64"/>
      <c r="AQ107" s="74" t="s">
        <v>1266</v>
      </c>
      <c r="AR107" s="73">
        <f t="shared" ca="1" si="281"/>
        <v>0</v>
      </c>
      <c r="AS107" s="64"/>
      <c r="AT107" s="74" t="s">
        <v>1266</v>
      </c>
      <c r="AU107" s="73">
        <f t="shared" ca="1" si="281"/>
        <v>0</v>
      </c>
      <c r="AV107" s="64"/>
      <c r="AW107" s="74" t="s">
        <v>1550</v>
      </c>
      <c r="AX107" s="73">
        <f t="shared" ca="1" si="281"/>
        <v>0</v>
      </c>
      <c r="AY107" s="64"/>
      <c r="AZ107" s="74" t="s">
        <v>1266</v>
      </c>
      <c r="BA107" s="73">
        <f t="shared" ca="1" si="281"/>
        <v>0</v>
      </c>
      <c r="BB107" s="64"/>
      <c r="BC107" s="74" t="s">
        <v>1262</v>
      </c>
      <c r="BD107" s="73">
        <f t="shared" ca="1" si="281"/>
        <v>0</v>
      </c>
      <c r="BE107" s="64"/>
      <c r="BF107" s="74" t="s">
        <v>1266</v>
      </c>
      <c r="BG107" s="73">
        <f t="shared" ca="1" si="281"/>
        <v>0</v>
      </c>
      <c r="BH107" s="64"/>
      <c r="BI107" s="74" t="s">
        <v>1266</v>
      </c>
      <c r="BJ107" s="73">
        <f t="shared" ca="1" si="281"/>
        <v>0</v>
      </c>
      <c r="BK107" s="64"/>
      <c r="BL107" s="74" t="s">
        <v>1266</v>
      </c>
      <c r="BM107" s="73">
        <f t="shared" ca="1" si="281"/>
        <v>0</v>
      </c>
      <c r="BN107" s="64"/>
      <c r="BO107" s="74" t="s">
        <v>1266</v>
      </c>
      <c r="BP107" s="73">
        <f t="shared" ca="1" si="281"/>
        <v>0</v>
      </c>
      <c r="BQ107" s="64"/>
      <c r="BR107" s="74" t="s">
        <v>1266</v>
      </c>
      <c r="BS107" s="73">
        <f t="shared" ca="1" si="281"/>
        <v>0</v>
      </c>
      <c r="BT107" s="64"/>
      <c r="BU107" s="74" t="s">
        <v>1266</v>
      </c>
      <c r="BV107" s="73">
        <f t="shared" ca="1" si="281"/>
        <v>0</v>
      </c>
      <c r="BW107" s="64"/>
      <c r="BX107" s="74" t="s">
        <v>1266</v>
      </c>
      <c r="BY107" s="73">
        <f t="shared" ca="1" si="281"/>
        <v>0</v>
      </c>
      <c r="BZ107" s="64"/>
      <c r="CA107" s="74" t="s">
        <v>1550</v>
      </c>
      <c r="CB107" s="73">
        <f t="shared" ca="1" si="281"/>
        <v>0</v>
      </c>
      <c r="CC107" s="64"/>
      <c r="CD107" s="74" t="s">
        <v>1262</v>
      </c>
      <c r="CE107" s="73">
        <f t="shared" ca="1" si="281"/>
        <v>0</v>
      </c>
      <c r="CF107" s="64"/>
      <c r="CG107" s="74" t="s">
        <v>1550</v>
      </c>
      <c r="CH107" s="73">
        <f t="shared" ca="1" si="281"/>
        <v>0</v>
      </c>
      <c r="CI107" s="64"/>
      <c r="CJ107" s="74" t="s">
        <v>1266</v>
      </c>
      <c r="CK107" s="73">
        <f t="shared" ref="CK107:CN107" ca="1" si="282">($M107=CJ107)*$D$14</f>
        <v>0</v>
      </c>
      <c r="CL107" s="64"/>
      <c r="CM107" s="74" t="s">
        <v>1266</v>
      </c>
      <c r="CN107" s="73">
        <f t="shared" ca="1" si="282"/>
        <v>0</v>
      </c>
      <c r="CO107" s="64"/>
      <c r="CP107" s="64"/>
    </row>
    <row r="108" spans="1:94">
      <c r="A108" s="49"/>
      <c r="B108" s="49"/>
      <c r="C108" s="49"/>
      <c r="D108" s="49"/>
      <c r="E108" s="111"/>
      <c r="F108" s="127">
        <f t="shared" ref="F108" si="283">$D$11</f>
        <v>6</v>
      </c>
      <c r="G108" s="445">
        <f ca="1">VLOOKUP(H108,Equipos!$Q$1:$R$25,2,0)</f>
        <v>16</v>
      </c>
      <c r="H108" s="446">
        <f ca="1">$H$68</f>
        <v>46199</v>
      </c>
      <c r="I108" s="50"/>
      <c r="J108" s="843" t="s">
        <v>437</v>
      </c>
      <c r="K108" s="56" t="str">
        <f>Idiomas!D178</f>
        <v>1º GRUPO H</v>
      </c>
      <c r="L108" s="53"/>
      <c r="M108" s="55" t="str">
        <f ca="1">IF(OR(SUM(WORLDCUP!$AN$62:$AN$65)=12,WORLDCUP!$AJ$99=144),WORLDCUP!AL62,LEFT(K108,1)&amp;RIGHT(K108,1))</f>
        <v>1H</v>
      </c>
      <c r="N108" s="25"/>
      <c r="O108" s="25"/>
      <c r="P108" s="25"/>
      <c r="Q108" s="25"/>
      <c r="R108" s="110"/>
      <c r="S108" s="74" t="s">
        <v>38</v>
      </c>
      <c r="T108" s="73">
        <f t="shared" ref="T108" ca="1" si="284">($M108=S108)*$D$11</f>
        <v>0</v>
      </c>
      <c r="U108" s="64"/>
      <c r="V108" s="74" t="s">
        <v>1318</v>
      </c>
      <c r="W108" s="73">
        <f t="shared" ref="W108:CH108" ca="1" si="285">($M108=V108)*$D$11</f>
        <v>0</v>
      </c>
      <c r="X108" s="64"/>
      <c r="Y108" s="74" t="s">
        <v>38</v>
      </c>
      <c r="Z108" s="73">
        <f t="shared" ca="1" si="285"/>
        <v>0</v>
      </c>
      <c r="AA108" s="64"/>
      <c r="AB108" s="74" t="s">
        <v>38</v>
      </c>
      <c r="AC108" s="73">
        <f t="shared" ca="1" si="285"/>
        <v>0</v>
      </c>
      <c r="AD108" s="64"/>
      <c r="AE108" s="74" t="s">
        <v>38</v>
      </c>
      <c r="AF108" s="73">
        <f t="shared" ca="1" si="285"/>
        <v>0</v>
      </c>
      <c r="AG108" s="64"/>
      <c r="AH108" s="74" t="s">
        <v>38</v>
      </c>
      <c r="AI108" s="73">
        <f t="shared" ca="1" si="285"/>
        <v>0</v>
      </c>
      <c r="AJ108" s="64"/>
      <c r="AK108" s="74" t="s">
        <v>38</v>
      </c>
      <c r="AL108" s="73">
        <f t="shared" ca="1" si="285"/>
        <v>0</v>
      </c>
      <c r="AM108" s="64"/>
      <c r="AN108" s="74" t="s">
        <v>38</v>
      </c>
      <c r="AO108" s="73">
        <f t="shared" ca="1" si="285"/>
        <v>0</v>
      </c>
      <c r="AP108" s="64"/>
      <c r="AQ108" s="74" t="s">
        <v>38</v>
      </c>
      <c r="AR108" s="73">
        <f t="shared" ca="1" si="285"/>
        <v>0</v>
      </c>
      <c r="AS108" s="64"/>
      <c r="AT108" s="74" t="s">
        <v>38</v>
      </c>
      <c r="AU108" s="73">
        <f t="shared" ca="1" si="285"/>
        <v>0</v>
      </c>
      <c r="AV108" s="64"/>
      <c r="AW108" s="74" t="s">
        <v>38</v>
      </c>
      <c r="AX108" s="73">
        <f t="shared" ca="1" si="285"/>
        <v>0</v>
      </c>
      <c r="AY108" s="64"/>
      <c r="AZ108" s="74" t="s">
        <v>38</v>
      </c>
      <c r="BA108" s="73">
        <f t="shared" ca="1" si="285"/>
        <v>0</v>
      </c>
      <c r="BB108" s="64"/>
      <c r="BC108" s="74" t="s">
        <v>1318</v>
      </c>
      <c r="BD108" s="73">
        <f t="shared" ca="1" si="285"/>
        <v>0</v>
      </c>
      <c r="BE108" s="64"/>
      <c r="BF108" s="74" t="s">
        <v>38</v>
      </c>
      <c r="BG108" s="73">
        <f t="shared" ca="1" si="285"/>
        <v>0</v>
      </c>
      <c r="BH108" s="64"/>
      <c r="BI108" s="74" t="s">
        <v>38</v>
      </c>
      <c r="BJ108" s="73">
        <f t="shared" ca="1" si="285"/>
        <v>0</v>
      </c>
      <c r="BK108" s="64"/>
      <c r="BL108" s="74" t="s">
        <v>38</v>
      </c>
      <c r="BM108" s="73">
        <f t="shared" ca="1" si="285"/>
        <v>0</v>
      </c>
      <c r="BN108" s="64"/>
      <c r="BO108" s="74" t="s">
        <v>38</v>
      </c>
      <c r="BP108" s="73">
        <f t="shared" ca="1" si="285"/>
        <v>0</v>
      </c>
      <c r="BQ108" s="64"/>
      <c r="BR108" s="74" t="s">
        <v>38</v>
      </c>
      <c r="BS108" s="73">
        <f t="shared" ca="1" si="285"/>
        <v>0</v>
      </c>
      <c r="BT108" s="64"/>
      <c r="BU108" s="74" t="s">
        <v>38</v>
      </c>
      <c r="BV108" s="73">
        <f t="shared" ca="1" si="285"/>
        <v>0</v>
      </c>
      <c r="BW108" s="64"/>
      <c r="BX108" s="74" t="s">
        <v>38</v>
      </c>
      <c r="BY108" s="73">
        <f t="shared" ca="1" si="285"/>
        <v>0</v>
      </c>
      <c r="BZ108" s="64"/>
      <c r="CA108" s="74" t="s">
        <v>38</v>
      </c>
      <c r="CB108" s="73">
        <f t="shared" ca="1" si="285"/>
        <v>0</v>
      </c>
      <c r="CC108" s="64"/>
      <c r="CD108" s="74" t="s">
        <v>38</v>
      </c>
      <c r="CE108" s="73">
        <f t="shared" ca="1" si="285"/>
        <v>0</v>
      </c>
      <c r="CF108" s="64"/>
      <c r="CG108" s="74" t="s">
        <v>38</v>
      </c>
      <c r="CH108" s="73">
        <f t="shared" ca="1" si="285"/>
        <v>0</v>
      </c>
      <c r="CI108" s="64"/>
      <c r="CJ108" s="74" t="s">
        <v>38</v>
      </c>
      <c r="CK108" s="73">
        <f t="shared" ref="CK108:CN108" ca="1" si="286">($M108=CJ108)*$D$11</f>
        <v>0</v>
      </c>
      <c r="CL108" s="64"/>
      <c r="CM108" s="74" t="s">
        <v>38</v>
      </c>
      <c r="CN108" s="73">
        <f t="shared" ca="1" si="286"/>
        <v>0</v>
      </c>
      <c r="CO108" s="64"/>
      <c r="CP108" s="64"/>
    </row>
    <row r="109" spans="1:94">
      <c r="A109" s="49"/>
      <c r="B109" s="49"/>
      <c r="C109" s="49"/>
      <c r="D109" s="49"/>
      <c r="E109" s="111"/>
      <c r="F109" s="127">
        <f t="shared" ref="F109" si="287">$D$12</f>
        <v>4</v>
      </c>
      <c r="G109" s="445">
        <f ca="1">VLOOKUP(H109,Equipos!$Q$1:$R$25,2,0)</f>
        <v>16</v>
      </c>
      <c r="H109" s="446">
        <f ca="1">$H$68</f>
        <v>46199</v>
      </c>
      <c r="I109" s="50"/>
      <c r="J109" s="843"/>
      <c r="K109" s="56" t="str">
        <f>Idiomas!D179</f>
        <v>2º GRUPO H</v>
      </c>
      <c r="L109" s="53"/>
      <c r="M109" s="55" t="str">
        <f ca="1">IF(OR(SUM(WORLDCUP!$AN$62:$AN$65)=12,WORLDCUP!$AJ$99=144),WORLDCUP!AL63,LEFT(K109,1)&amp;RIGHT(K109,1))</f>
        <v>2H</v>
      </c>
      <c r="N109" s="25"/>
      <c r="O109" s="25"/>
      <c r="P109" s="25"/>
      <c r="Q109" s="25"/>
      <c r="R109" s="110"/>
      <c r="S109" s="74" t="s">
        <v>1318</v>
      </c>
      <c r="T109" s="73">
        <f t="shared" ref="T109" ca="1" si="288">($M109=S109)*$D$12</f>
        <v>0</v>
      </c>
      <c r="U109" s="64"/>
      <c r="V109" s="74" t="s">
        <v>38</v>
      </c>
      <c r="W109" s="73">
        <f t="shared" ref="W109:CH109" ca="1" si="289">($M109=V109)*$D$12</f>
        <v>0</v>
      </c>
      <c r="X109" s="64"/>
      <c r="Y109" s="74" t="s">
        <v>1318</v>
      </c>
      <c r="Z109" s="73">
        <f t="shared" ca="1" si="289"/>
        <v>0</v>
      </c>
      <c r="AA109" s="64"/>
      <c r="AB109" s="74" t="s">
        <v>1318</v>
      </c>
      <c r="AC109" s="73">
        <f t="shared" ca="1" si="289"/>
        <v>0</v>
      </c>
      <c r="AD109" s="64"/>
      <c r="AE109" s="74" t="s">
        <v>1318</v>
      </c>
      <c r="AF109" s="73">
        <f t="shared" ca="1" si="289"/>
        <v>0</v>
      </c>
      <c r="AG109" s="64"/>
      <c r="AH109" s="74" t="s">
        <v>1318</v>
      </c>
      <c r="AI109" s="73">
        <f t="shared" ca="1" si="289"/>
        <v>0</v>
      </c>
      <c r="AJ109" s="64"/>
      <c r="AK109" s="74" t="s">
        <v>1318</v>
      </c>
      <c r="AL109" s="73">
        <f t="shared" ca="1" si="289"/>
        <v>0</v>
      </c>
      <c r="AM109" s="64"/>
      <c r="AN109" s="74" t="s">
        <v>1318</v>
      </c>
      <c r="AO109" s="73">
        <f t="shared" ca="1" si="289"/>
        <v>0</v>
      </c>
      <c r="AP109" s="64"/>
      <c r="AQ109" s="74" t="s">
        <v>1318</v>
      </c>
      <c r="AR109" s="73">
        <f t="shared" ca="1" si="289"/>
        <v>0</v>
      </c>
      <c r="AS109" s="64"/>
      <c r="AT109" s="74" t="s">
        <v>1318</v>
      </c>
      <c r="AU109" s="73">
        <f t="shared" ca="1" si="289"/>
        <v>0</v>
      </c>
      <c r="AV109" s="64"/>
      <c r="AW109" s="74" t="s">
        <v>1318</v>
      </c>
      <c r="AX109" s="73">
        <f t="shared" ca="1" si="289"/>
        <v>0</v>
      </c>
      <c r="AY109" s="64"/>
      <c r="AZ109" s="74" t="s">
        <v>1318</v>
      </c>
      <c r="BA109" s="73">
        <f t="shared" ca="1" si="289"/>
        <v>0</v>
      </c>
      <c r="BB109" s="64"/>
      <c r="BC109" s="74" t="s">
        <v>38</v>
      </c>
      <c r="BD109" s="73">
        <f t="shared" ca="1" si="289"/>
        <v>0</v>
      </c>
      <c r="BE109" s="64"/>
      <c r="BF109" s="74" t="s">
        <v>1318</v>
      </c>
      <c r="BG109" s="73">
        <f t="shared" ca="1" si="289"/>
        <v>0</v>
      </c>
      <c r="BH109" s="64"/>
      <c r="BI109" s="74" t="s">
        <v>1318</v>
      </c>
      <c r="BJ109" s="73">
        <f t="shared" ca="1" si="289"/>
        <v>0</v>
      </c>
      <c r="BK109" s="64"/>
      <c r="BL109" s="74" t="s">
        <v>1318</v>
      </c>
      <c r="BM109" s="73">
        <f t="shared" ca="1" si="289"/>
        <v>0</v>
      </c>
      <c r="BN109" s="64"/>
      <c r="BO109" s="74" t="s">
        <v>1318</v>
      </c>
      <c r="BP109" s="73">
        <f t="shared" ca="1" si="289"/>
        <v>0</v>
      </c>
      <c r="BQ109" s="64"/>
      <c r="BR109" s="74" t="s">
        <v>1318</v>
      </c>
      <c r="BS109" s="73">
        <f t="shared" ca="1" si="289"/>
        <v>0</v>
      </c>
      <c r="BT109" s="64"/>
      <c r="BU109" s="74" t="s">
        <v>1318</v>
      </c>
      <c r="BV109" s="73">
        <f t="shared" ca="1" si="289"/>
        <v>0</v>
      </c>
      <c r="BW109" s="64"/>
      <c r="BX109" s="74" t="s">
        <v>1318</v>
      </c>
      <c r="BY109" s="73">
        <f t="shared" ca="1" si="289"/>
        <v>0</v>
      </c>
      <c r="BZ109" s="64"/>
      <c r="CA109" s="74" t="s">
        <v>1318</v>
      </c>
      <c r="CB109" s="73">
        <f t="shared" ca="1" si="289"/>
        <v>0</v>
      </c>
      <c r="CC109" s="64"/>
      <c r="CD109" s="74" t="s">
        <v>1318</v>
      </c>
      <c r="CE109" s="73">
        <f t="shared" ca="1" si="289"/>
        <v>0</v>
      </c>
      <c r="CF109" s="64"/>
      <c r="CG109" s="74" t="s">
        <v>1318</v>
      </c>
      <c r="CH109" s="73">
        <f t="shared" ca="1" si="289"/>
        <v>0</v>
      </c>
      <c r="CI109" s="64"/>
      <c r="CJ109" s="74" t="s">
        <v>1318</v>
      </c>
      <c r="CK109" s="73">
        <f t="shared" ref="CK109:CN109" ca="1" si="290">($M109=CJ109)*$D$12</f>
        <v>0</v>
      </c>
      <c r="CL109" s="64"/>
      <c r="CM109" s="74" t="s">
        <v>1318</v>
      </c>
      <c r="CN109" s="73">
        <f t="shared" ca="1" si="290"/>
        <v>0</v>
      </c>
      <c r="CO109" s="64"/>
      <c r="CP109" s="64"/>
    </row>
    <row r="110" spans="1:94">
      <c r="A110" s="49"/>
      <c r="B110" s="49"/>
      <c r="C110" s="49"/>
      <c r="D110" s="49"/>
      <c r="E110" s="111"/>
      <c r="F110" s="127">
        <f t="shared" ref="F110" si="291">$D$13</f>
        <v>2</v>
      </c>
      <c r="G110" s="445">
        <f ca="1">VLOOKUP(H110,Equipos!$Q$1:$R$25,2,0)</f>
        <v>16</v>
      </c>
      <c r="H110" s="446">
        <f ca="1">$H$68</f>
        <v>46199</v>
      </c>
      <c r="I110" s="50"/>
      <c r="J110" s="843"/>
      <c r="K110" s="56" t="str">
        <f>Idiomas!D180</f>
        <v>3º GRUPO H</v>
      </c>
      <c r="L110" s="53"/>
      <c r="M110" s="55" t="str">
        <f ca="1">IF(OR(SUM(WORLDCUP!$AN$62:$AN$65)=12,WORLDCUP!$AJ$99=144),WORLDCUP!AL64,LEFT(K110,1)&amp;RIGHT(K110,1))</f>
        <v>3H</v>
      </c>
      <c r="N110" s="25"/>
      <c r="O110" s="25"/>
      <c r="P110" s="25"/>
      <c r="Q110" s="25"/>
      <c r="R110" s="110"/>
      <c r="S110" s="74" t="s">
        <v>1552</v>
      </c>
      <c r="T110" s="73">
        <f t="shared" ref="T110" ca="1" si="292">($M110=S110)*$D$13</f>
        <v>0</v>
      </c>
      <c r="U110" s="64"/>
      <c r="V110" s="74" t="s">
        <v>1632</v>
      </c>
      <c r="W110" s="73">
        <f t="shared" ref="W110:CH110" ca="1" si="293">($M110=V110)*$D$13</f>
        <v>0</v>
      </c>
      <c r="X110" s="64"/>
      <c r="Y110" s="74" t="s">
        <v>1552</v>
      </c>
      <c r="Z110" s="73">
        <f t="shared" ca="1" si="293"/>
        <v>0</v>
      </c>
      <c r="AA110" s="64"/>
      <c r="AB110" s="74" t="s">
        <v>1632</v>
      </c>
      <c r="AC110" s="73">
        <f t="shared" ca="1" si="293"/>
        <v>0</v>
      </c>
      <c r="AD110" s="64"/>
      <c r="AE110" s="74" t="s">
        <v>1632</v>
      </c>
      <c r="AF110" s="73">
        <f t="shared" ca="1" si="293"/>
        <v>0</v>
      </c>
      <c r="AG110" s="64"/>
      <c r="AH110" s="74" t="s">
        <v>1632</v>
      </c>
      <c r="AI110" s="73">
        <f t="shared" ca="1" si="293"/>
        <v>0</v>
      </c>
      <c r="AJ110" s="64"/>
      <c r="AK110" s="74" t="s">
        <v>1632</v>
      </c>
      <c r="AL110" s="73">
        <f t="shared" ca="1" si="293"/>
        <v>0</v>
      </c>
      <c r="AM110" s="64"/>
      <c r="AN110" s="74" t="s">
        <v>1632</v>
      </c>
      <c r="AO110" s="73">
        <f t="shared" ca="1" si="293"/>
        <v>0</v>
      </c>
      <c r="AP110" s="64"/>
      <c r="AQ110" s="74" t="s">
        <v>1632</v>
      </c>
      <c r="AR110" s="73">
        <f t="shared" ca="1" si="293"/>
        <v>0</v>
      </c>
      <c r="AS110" s="64"/>
      <c r="AT110" s="74" t="s">
        <v>1632</v>
      </c>
      <c r="AU110" s="73">
        <f t="shared" ca="1" si="293"/>
        <v>0</v>
      </c>
      <c r="AV110" s="64"/>
      <c r="AW110" s="74" t="s">
        <v>1632</v>
      </c>
      <c r="AX110" s="73">
        <f t="shared" ca="1" si="293"/>
        <v>0</v>
      </c>
      <c r="AY110" s="64"/>
      <c r="AZ110" s="74" t="s">
        <v>1632</v>
      </c>
      <c r="BA110" s="73">
        <f t="shared" ca="1" si="293"/>
        <v>0</v>
      </c>
      <c r="BB110" s="64"/>
      <c r="BC110" s="74" t="s">
        <v>1632</v>
      </c>
      <c r="BD110" s="73">
        <f t="shared" ca="1" si="293"/>
        <v>0</v>
      </c>
      <c r="BE110" s="64"/>
      <c r="BF110" s="74" t="s">
        <v>1632</v>
      </c>
      <c r="BG110" s="73">
        <f t="shared" ca="1" si="293"/>
        <v>0</v>
      </c>
      <c r="BH110" s="64"/>
      <c r="BI110" s="74" t="s">
        <v>1632</v>
      </c>
      <c r="BJ110" s="73">
        <f t="shared" ca="1" si="293"/>
        <v>0</v>
      </c>
      <c r="BK110" s="64"/>
      <c r="BL110" s="74" t="s">
        <v>1632</v>
      </c>
      <c r="BM110" s="73">
        <f t="shared" ca="1" si="293"/>
        <v>0</v>
      </c>
      <c r="BN110" s="64"/>
      <c r="BO110" s="74" t="s">
        <v>1632</v>
      </c>
      <c r="BP110" s="73">
        <f t="shared" ca="1" si="293"/>
        <v>0</v>
      </c>
      <c r="BQ110" s="64"/>
      <c r="BR110" s="74" t="s">
        <v>1632</v>
      </c>
      <c r="BS110" s="73">
        <f t="shared" ca="1" si="293"/>
        <v>0</v>
      </c>
      <c r="BT110" s="64"/>
      <c r="BU110" s="74" t="s">
        <v>1632</v>
      </c>
      <c r="BV110" s="73">
        <f t="shared" ca="1" si="293"/>
        <v>0</v>
      </c>
      <c r="BW110" s="64"/>
      <c r="BX110" s="74" t="s">
        <v>1632</v>
      </c>
      <c r="BY110" s="73">
        <f t="shared" ca="1" si="293"/>
        <v>0</v>
      </c>
      <c r="BZ110" s="64"/>
      <c r="CA110" s="74" t="s">
        <v>1632</v>
      </c>
      <c r="CB110" s="73">
        <f t="shared" ca="1" si="293"/>
        <v>0</v>
      </c>
      <c r="CC110" s="64"/>
      <c r="CD110" s="74" t="s">
        <v>1632</v>
      </c>
      <c r="CE110" s="73">
        <f t="shared" ca="1" si="293"/>
        <v>0</v>
      </c>
      <c r="CF110" s="64"/>
      <c r="CG110" s="74" t="s">
        <v>1632</v>
      </c>
      <c r="CH110" s="73">
        <f t="shared" ca="1" si="293"/>
        <v>0</v>
      </c>
      <c r="CI110" s="64"/>
      <c r="CJ110" s="74" t="s">
        <v>1632</v>
      </c>
      <c r="CK110" s="73">
        <f t="shared" ref="CK110:CN110" ca="1" si="294">($M110=CJ110)*$D$13</f>
        <v>0</v>
      </c>
      <c r="CL110" s="64"/>
      <c r="CM110" s="74" t="s">
        <v>1552</v>
      </c>
      <c r="CN110" s="73">
        <f t="shared" ca="1" si="294"/>
        <v>0</v>
      </c>
      <c r="CO110" s="64"/>
      <c r="CP110" s="64"/>
    </row>
    <row r="111" spans="1:94">
      <c r="A111" s="49"/>
      <c r="B111" s="49"/>
      <c r="C111" s="49"/>
      <c r="D111" s="49"/>
      <c r="E111" s="65"/>
      <c r="F111" s="127">
        <f t="shared" ref="F111" si="295">$D$14</f>
        <v>1</v>
      </c>
      <c r="G111" s="445">
        <f ca="1">VLOOKUP(H111,Equipos!$Q$1:$R$25,2,0)</f>
        <v>16</v>
      </c>
      <c r="H111" s="446">
        <f ca="1">$H$68</f>
        <v>46199</v>
      </c>
      <c r="I111" s="50"/>
      <c r="J111" s="843"/>
      <c r="K111" s="56" t="str">
        <f>Idiomas!D181</f>
        <v>4º GRUPO H</v>
      </c>
      <c r="L111" s="53"/>
      <c r="M111" s="55" t="str">
        <f ca="1">IF(OR(SUM(WORLDCUP!$AN$62:$AN$65)=12,WORLDCUP!$AJ$99=144),WORLDCUP!AL65,LEFT(K111,1)&amp;RIGHT(K111,1))</f>
        <v>4H</v>
      </c>
      <c r="N111" s="25"/>
      <c r="O111" s="25"/>
      <c r="P111" s="25"/>
      <c r="Q111" s="25"/>
      <c r="R111" s="110"/>
      <c r="S111" s="74" t="s">
        <v>1632</v>
      </c>
      <c r="T111" s="73">
        <f t="shared" ref="T111" ca="1" si="296">($M111=S111)*$D$14</f>
        <v>0</v>
      </c>
      <c r="U111" s="64"/>
      <c r="V111" s="74" t="s">
        <v>1552</v>
      </c>
      <c r="W111" s="73">
        <f t="shared" ref="W111:CH111" ca="1" si="297">($M111=V111)*$D$14</f>
        <v>0</v>
      </c>
      <c r="X111" s="64"/>
      <c r="Y111" s="74" t="s">
        <v>1632</v>
      </c>
      <c r="Z111" s="73">
        <f t="shared" ca="1" si="297"/>
        <v>0</v>
      </c>
      <c r="AA111" s="64"/>
      <c r="AB111" s="74" t="s">
        <v>1552</v>
      </c>
      <c r="AC111" s="73">
        <f t="shared" ca="1" si="297"/>
        <v>0</v>
      </c>
      <c r="AD111" s="64"/>
      <c r="AE111" s="74" t="s">
        <v>1552</v>
      </c>
      <c r="AF111" s="73">
        <f t="shared" ca="1" si="297"/>
        <v>0</v>
      </c>
      <c r="AG111" s="64"/>
      <c r="AH111" s="74" t="s">
        <v>1552</v>
      </c>
      <c r="AI111" s="73">
        <f t="shared" ca="1" si="297"/>
        <v>0</v>
      </c>
      <c r="AJ111" s="64"/>
      <c r="AK111" s="74" t="s">
        <v>1552</v>
      </c>
      <c r="AL111" s="73">
        <f t="shared" ca="1" si="297"/>
        <v>0</v>
      </c>
      <c r="AM111" s="64"/>
      <c r="AN111" s="74" t="s">
        <v>1552</v>
      </c>
      <c r="AO111" s="73">
        <f t="shared" ca="1" si="297"/>
        <v>0</v>
      </c>
      <c r="AP111" s="64"/>
      <c r="AQ111" s="74" t="s">
        <v>1552</v>
      </c>
      <c r="AR111" s="73">
        <f t="shared" ca="1" si="297"/>
        <v>0</v>
      </c>
      <c r="AS111" s="64"/>
      <c r="AT111" s="74" t="s">
        <v>1552</v>
      </c>
      <c r="AU111" s="73">
        <f t="shared" ca="1" si="297"/>
        <v>0</v>
      </c>
      <c r="AV111" s="64"/>
      <c r="AW111" s="74" t="s">
        <v>1552</v>
      </c>
      <c r="AX111" s="73">
        <f t="shared" ca="1" si="297"/>
        <v>0</v>
      </c>
      <c r="AY111" s="64"/>
      <c r="AZ111" s="74" t="s">
        <v>1552</v>
      </c>
      <c r="BA111" s="73">
        <f t="shared" ca="1" si="297"/>
        <v>0</v>
      </c>
      <c r="BB111" s="64"/>
      <c r="BC111" s="74" t="s">
        <v>1552</v>
      </c>
      <c r="BD111" s="73">
        <f t="shared" ca="1" si="297"/>
        <v>0</v>
      </c>
      <c r="BE111" s="64"/>
      <c r="BF111" s="74" t="s">
        <v>1552</v>
      </c>
      <c r="BG111" s="73">
        <f t="shared" ca="1" si="297"/>
        <v>0</v>
      </c>
      <c r="BH111" s="64"/>
      <c r="BI111" s="74" t="s">
        <v>1552</v>
      </c>
      <c r="BJ111" s="73">
        <f t="shared" ca="1" si="297"/>
        <v>0</v>
      </c>
      <c r="BK111" s="64"/>
      <c r="BL111" s="74" t="s">
        <v>1552</v>
      </c>
      <c r="BM111" s="73">
        <f t="shared" ca="1" si="297"/>
        <v>0</v>
      </c>
      <c r="BN111" s="64"/>
      <c r="BO111" s="74" t="s">
        <v>1552</v>
      </c>
      <c r="BP111" s="73">
        <f t="shared" ca="1" si="297"/>
        <v>0</v>
      </c>
      <c r="BQ111" s="64"/>
      <c r="BR111" s="74" t="s">
        <v>1552</v>
      </c>
      <c r="BS111" s="73">
        <f t="shared" ca="1" si="297"/>
        <v>0</v>
      </c>
      <c r="BT111" s="64"/>
      <c r="BU111" s="74" t="s">
        <v>1552</v>
      </c>
      <c r="BV111" s="73">
        <f t="shared" ca="1" si="297"/>
        <v>0</v>
      </c>
      <c r="BW111" s="64"/>
      <c r="BX111" s="74" t="s">
        <v>1552</v>
      </c>
      <c r="BY111" s="73">
        <f t="shared" ca="1" si="297"/>
        <v>0</v>
      </c>
      <c r="BZ111" s="64"/>
      <c r="CA111" s="74" t="s">
        <v>1552</v>
      </c>
      <c r="CB111" s="73">
        <f t="shared" ca="1" si="297"/>
        <v>0</v>
      </c>
      <c r="CC111" s="64"/>
      <c r="CD111" s="74" t="s">
        <v>1552</v>
      </c>
      <c r="CE111" s="73">
        <f t="shared" ca="1" si="297"/>
        <v>0</v>
      </c>
      <c r="CF111" s="64"/>
      <c r="CG111" s="74" t="s">
        <v>1552</v>
      </c>
      <c r="CH111" s="73">
        <f t="shared" ca="1" si="297"/>
        <v>0</v>
      </c>
      <c r="CI111" s="64"/>
      <c r="CJ111" s="74" t="s">
        <v>1552</v>
      </c>
      <c r="CK111" s="73">
        <f t="shared" ref="CK111:CN111" ca="1" si="298">($M111=CJ111)*$D$14</f>
        <v>0</v>
      </c>
      <c r="CL111" s="64"/>
      <c r="CM111" s="74" t="s">
        <v>1632</v>
      </c>
      <c r="CN111" s="73">
        <f t="shared" ca="1" si="298"/>
        <v>0</v>
      </c>
      <c r="CO111" s="64"/>
      <c r="CP111" s="64"/>
    </row>
    <row r="112" spans="1:94">
      <c r="A112" s="49"/>
      <c r="B112" s="49"/>
      <c r="C112" s="49"/>
      <c r="D112" s="49"/>
      <c r="E112" s="65"/>
      <c r="F112" s="127">
        <f t="shared" ref="F112" si="299">$D$11</f>
        <v>6</v>
      </c>
      <c r="G112" s="445">
        <f ca="1">VLOOKUP(H112,Equipos!$Q$1:$R$25,2,0)</f>
        <v>16</v>
      </c>
      <c r="H112" s="446">
        <f ca="1">$H$70</f>
        <v>46199</v>
      </c>
      <c r="I112" s="50"/>
      <c r="J112" s="844" t="s">
        <v>438</v>
      </c>
      <c r="K112" s="56" t="str">
        <f>Idiomas!D182</f>
        <v>1º GRUPO I</v>
      </c>
      <c r="L112" s="53"/>
      <c r="M112" s="55" t="str">
        <f ca="1">IF(OR(SUM(WORLDCUP!$AN$70:$AN$73)=12,WORLDCUP!$AJ$99=144),WORLDCUP!AL70,LEFT(K112,1)&amp;RIGHT(K112,1))</f>
        <v>1I</v>
      </c>
      <c r="N112" s="25"/>
      <c r="O112" s="25"/>
      <c r="P112" s="25"/>
      <c r="Q112" s="25"/>
      <c r="R112" s="110"/>
      <c r="S112" s="74" t="s">
        <v>74</v>
      </c>
      <c r="T112" s="73">
        <f t="shared" ref="T112" ca="1" si="300">($M112=S112)*$D$11</f>
        <v>0</v>
      </c>
      <c r="U112" s="64"/>
      <c r="V112" s="74" t="s">
        <v>74</v>
      </c>
      <c r="W112" s="73">
        <f t="shared" ref="W112:CH112" ca="1" si="301">($M112=V112)*$D$11</f>
        <v>0</v>
      </c>
      <c r="X112" s="64"/>
      <c r="Y112" s="74" t="s">
        <v>74</v>
      </c>
      <c r="Z112" s="73">
        <f t="shared" ca="1" si="301"/>
        <v>0</v>
      </c>
      <c r="AA112" s="64"/>
      <c r="AB112" s="74" t="s">
        <v>135</v>
      </c>
      <c r="AC112" s="73">
        <f t="shared" ca="1" si="301"/>
        <v>0</v>
      </c>
      <c r="AD112" s="64"/>
      <c r="AE112" s="74" t="s">
        <v>74</v>
      </c>
      <c r="AF112" s="73">
        <f t="shared" ca="1" si="301"/>
        <v>0</v>
      </c>
      <c r="AG112" s="64"/>
      <c r="AH112" s="74" t="s">
        <v>74</v>
      </c>
      <c r="AI112" s="73">
        <f t="shared" ca="1" si="301"/>
        <v>0</v>
      </c>
      <c r="AJ112" s="64"/>
      <c r="AK112" s="74" t="s">
        <v>74</v>
      </c>
      <c r="AL112" s="73">
        <f t="shared" ca="1" si="301"/>
        <v>0</v>
      </c>
      <c r="AM112" s="64"/>
      <c r="AN112" s="74" t="s">
        <v>74</v>
      </c>
      <c r="AO112" s="73">
        <f t="shared" ca="1" si="301"/>
        <v>0</v>
      </c>
      <c r="AP112" s="64"/>
      <c r="AQ112" s="74" t="s">
        <v>74</v>
      </c>
      <c r="AR112" s="73">
        <f t="shared" ca="1" si="301"/>
        <v>0</v>
      </c>
      <c r="AS112" s="64"/>
      <c r="AT112" s="74" t="s">
        <v>74</v>
      </c>
      <c r="AU112" s="73">
        <f t="shared" ca="1" si="301"/>
        <v>0</v>
      </c>
      <c r="AV112" s="64"/>
      <c r="AW112" s="74" t="s">
        <v>1757</v>
      </c>
      <c r="AX112" s="73">
        <f t="shared" ca="1" si="301"/>
        <v>0</v>
      </c>
      <c r="AY112" s="64"/>
      <c r="AZ112" s="74" t="s">
        <v>74</v>
      </c>
      <c r="BA112" s="73">
        <f t="shared" ca="1" si="301"/>
        <v>0</v>
      </c>
      <c r="BB112" s="64"/>
      <c r="BC112" s="74" t="s">
        <v>74</v>
      </c>
      <c r="BD112" s="73">
        <f t="shared" ca="1" si="301"/>
        <v>0</v>
      </c>
      <c r="BE112" s="64"/>
      <c r="BF112" s="74" t="s">
        <v>74</v>
      </c>
      <c r="BG112" s="73">
        <f t="shared" ca="1" si="301"/>
        <v>0</v>
      </c>
      <c r="BH112" s="64"/>
      <c r="BI112" s="74" t="s">
        <v>74</v>
      </c>
      <c r="BJ112" s="73">
        <f t="shared" ca="1" si="301"/>
        <v>0</v>
      </c>
      <c r="BK112" s="64"/>
      <c r="BL112" s="74" t="s">
        <v>74</v>
      </c>
      <c r="BM112" s="73">
        <f t="shared" ca="1" si="301"/>
        <v>0</v>
      </c>
      <c r="BN112" s="64"/>
      <c r="BO112" s="74" t="s">
        <v>74</v>
      </c>
      <c r="BP112" s="73">
        <f t="shared" ca="1" si="301"/>
        <v>0</v>
      </c>
      <c r="BQ112" s="64"/>
      <c r="BR112" s="74" t="s">
        <v>74</v>
      </c>
      <c r="BS112" s="73">
        <f t="shared" ca="1" si="301"/>
        <v>0</v>
      </c>
      <c r="BT112" s="64"/>
      <c r="BU112" s="74" t="s">
        <v>74</v>
      </c>
      <c r="BV112" s="73">
        <f t="shared" ca="1" si="301"/>
        <v>0</v>
      </c>
      <c r="BW112" s="64"/>
      <c r="BX112" s="74" t="s">
        <v>74</v>
      </c>
      <c r="BY112" s="73">
        <f t="shared" ca="1" si="301"/>
        <v>0</v>
      </c>
      <c r="BZ112" s="64"/>
      <c r="CA112" s="74" t="s">
        <v>74</v>
      </c>
      <c r="CB112" s="73">
        <f t="shared" ca="1" si="301"/>
        <v>0</v>
      </c>
      <c r="CC112" s="64"/>
      <c r="CD112" s="74" t="s">
        <v>74</v>
      </c>
      <c r="CE112" s="73">
        <f t="shared" ca="1" si="301"/>
        <v>0</v>
      </c>
      <c r="CF112" s="64"/>
      <c r="CG112" s="74" t="s">
        <v>74</v>
      </c>
      <c r="CH112" s="73">
        <f t="shared" ca="1" si="301"/>
        <v>0</v>
      </c>
      <c r="CI112" s="64"/>
      <c r="CJ112" s="74" t="s">
        <v>74</v>
      </c>
      <c r="CK112" s="73">
        <f t="shared" ref="CK112:CN112" ca="1" si="302">($M112=CJ112)*$D$11</f>
        <v>0</v>
      </c>
      <c r="CL112" s="64"/>
      <c r="CM112" s="74" t="s">
        <v>74</v>
      </c>
      <c r="CN112" s="73">
        <f t="shared" ca="1" si="302"/>
        <v>0</v>
      </c>
      <c r="CO112" s="64"/>
      <c r="CP112" s="64"/>
    </row>
    <row r="113" spans="1:94">
      <c r="A113" s="49"/>
      <c r="B113" s="49"/>
      <c r="C113" s="49"/>
      <c r="D113" s="49"/>
      <c r="E113" s="65"/>
      <c r="F113" s="127">
        <f t="shared" ref="F113" si="303">$D$12</f>
        <v>4</v>
      </c>
      <c r="G113" s="445">
        <f ca="1">VLOOKUP(H113,Equipos!$Q$1:$R$25,2,0)</f>
        <v>16</v>
      </c>
      <c r="H113" s="446">
        <f ca="1">$H$70</f>
        <v>46199</v>
      </c>
      <c r="I113" s="50"/>
      <c r="J113" s="844"/>
      <c r="K113" s="56" t="str">
        <f>Idiomas!D183</f>
        <v>2º GRUPO I</v>
      </c>
      <c r="L113" s="53"/>
      <c r="M113" s="55" t="str">
        <f ca="1">IF(OR(SUM(WORLDCUP!$AN$70:$AN$73)=12,WORLDCUP!$AJ$99=144),WORLDCUP!AL71,LEFT(K113,1)&amp;RIGHT(K113,1))</f>
        <v>2I</v>
      </c>
      <c r="N113" s="25"/>
      <c r="O113" s="25"/>
      <c r="P113" s="25"/>
      <c r="Q113" s="25"/>
      <c r="R113" s="110"/>
      <c r="S113" s="74" t="s">
        <v>135</v>
      </c>
      <c r="T113" s="73">
        <f t="shared" ref="T113" ca="1" si="304">($M113=S113)*$D$12</f>
        <v>0</v>
      </c>
      <c r="U113" s="64"/>
      <c r="V113" s="74" t="s">
        <v>135</v>
      </c>
      <c r="W113" s="73">
        <f t="shared" ref="W113:CH113" ca="1" si="305">($M113=V113)*$D$12</f>
        <v>0</v>
      </c>
      <c r="X113" s="64"/>
      <c r="Y113" s="74" t="s">
        <v>135</v>
      </c>
      <c r="Z113" s="73">
        <f t="shared" ca="1" si="305"/>
        <v>0</v>
      </c>
      <c r="AA113" s="64"/>
      <c r="AB113" s="74" t="s">
        <v>74</v>
      </c>
      <c r="AC113" s="73">
        <f t="shared" ca="1" si="305"/>
        <v>0</v>
      </c>
      <c r="AD113" s="64"/>
      <c r="AE113" s="74" t="s">
        <v>1634</v>
      </c>
      <c r="AF113" s="73">
        <f t="shared" ca="1" si="305"/>
        <v>0</v>
      </c>
      <c r="AG113" s="64"/>
      <c r="AH113" s="74" t="s">
        <v>135</v>
      </c>
      <c r="AI113" s="73">
        <f t="shared" ca="1" si="305"/>
        <v>0</v>
      </c>
      <c r="AJ113" s="64"/>
      <c r="AK113" s="74" t="s">
        <v>135</v>
      </c>
      <c r="AL113" s="73">
        <f t="shared" ca="1" si="305"/>
        <v>0</v>
      </c>
      <c r="AM113" s="64"/>
      <c r="AN113" s="74" t="s">
        <v>135</v>
      </c>
      <c r="AO113" s="73">
        <f t="shared" ca="1" si="305"/>
        <v>0</v>
      </c>
      <c r="AP113" s="64"/>
      <c r="AQ113" s="74" t="s">
        <v>135</v>
      </c>
      <c r="AR113" s="73">
        <f t="shared" ca="1" si="305"/>
        <v>0</v>
      </c>
      <c r="AS113" s="64"/>
      <c r="AT113" s="74" t="s">
        <v>135</v>
      </c>
      <c r="AU113" s="73">
        <f t="shared" ca="1" si="305"/>
        <v>0</v>
      </c>
      <c r="AV113" s="64"/>
      <c r="AW113" s="74" t="s">
        <v>74</v>
      </c>
      <c r="AX113" s="73">
        <f t="shared" ca="1" si="305"/>
        <v>0</v>
      </c>
      <c r="AY113" s="64"/>
      <c r="AZ113" s="74" t="s">
        <v>135</v>
      </c>
      <c r="BA113" s="73">
        <f t="shared" ca="1" si="305"/>
        <v>0</v>
      </c>
      <c r="BB113" s="64"/>
      <c r="BC113" s="74" t="s">
        <v>135</v>
      </c>
      <c r="BD113" s="73">
        <f t="shared" ca="1" si="305"/>
        <v>0</v>
      </c>
      <c r="BE113" s="64"/>
      <c r="BF113" s="74" t="s">
        <v>135</v>
      </c>
      <c r="BG113" s="73">
        <f t="shared" ca="1" si="305"/>
        <v>0</v>
      </c>
      <c r="BH113" s="64"/>
      <c r="BI113" s="74" t="s">
        <v>135</v>
      </c>
      <c r="BJ113" s="73">
        <f t="shared" ca="1" si="305"/>
        <v>0</v>
      </c>
      <c r="BK113" s="64"/>
      <c r="BL113" s="74" t="s">
        <v>135</v>
      </c>
      <c r="BM113" s="73">
        <f t="shared" ca="1" si="305"/>
        <v>0</v>
      </c>
      <c r="BN113" s="64"/>
      <c r="BO113" s="74" t="s">
        <v>1634</v>
      </c>
      <c r="BP113" s="73">
        <f t="shared" ca="1" si="305"/>
        <v>0</v>
      </c>
      <c r="BQ113" s="64"/>
      <c r="BR113" s="74" t="s">
        <v>135</v>
      </c>
      <c r="BS113" s="73">
        <f t="shared" ca="1" si="305"/>
        <v>0</v>
      </c>
      <c r="BT113" s="64"/>
      <c r="BU113" s="74" t="s">
        <v>1634</v>
      </c>
      <c r="BV113" s="73">
        <f t="shared" ca="1" si="305"/>
        <v>0</v>
      </c>
      <c r="BW113" s="64"/>
      <c r="BX113" s="74" t="s">
        <v>135</v>
      </c>
      <c r="BY113" s="73">
        <f t="shared" ca="1" si="305"/>
        <v>0</v>
      </c>
      <c r="BZ113" s="64"/>
      <c r="CA113" s="74" t="s">
        <v>135</v>
      </c>
      <c r="CB113" s="73">
        <f t="shared" ca="1" si="305"/>
        <v>0</v>
      </c>
      <c r="CC113" s="64"/>
      <c r="CD113" s="74" t="s">
        <v>135</v>
      </c>
      <c r="CE113" s="73">
        <f t="shared" ca="1" si="305"/>
        <v>0</v>
      </c>
      <c r="CF113" s="64"/>
      <c r="CG113" s="74" t="s">
        <v>135</v>
      </c>
      <c r="CH113" s="73">
        <f t="shared" ca="1" si="305"/>
        <v>0</v>
      </c>
      <c r="CI113" s="64"/>
      <c r="CJ113" s="74" t="s">
        <v>135</v>
      </c>
      <c r="CK113" s="73">
        <f t="shared" ref="CK113:CN113" ca="1" si="306">($M113=CJ113)*$D$12</f>
        <v>0</v>
      </c>
      <c r="CL113" s="64"/>
      <c r="CM113" s="74" t="s">
        <v>135</v>
      </c>
      <c r="CN113" s="73">
        <f t="shared" ca="1" si="306"/>
        <v>0</v>
      </c>
      <c r="CO113" s="64"/>
      <c r="CP113" s="64"/>
    </row>
    <row r="114" spans="1:94">
      <c r="A114" s="49"/>
      <c r="B114" s="49"/>
      <c r="C114" s="49"/>
      <c r="D114" s="49"/>
      <c r="E114" s="65"/>
      <c r="F114" s="127">
        <f t="shared" ref="F114" si="307">$D$13</f>
        <v>2</v>
      </c>
      <c r="G114" s="445">
        <f ca="1">VLOOKUP(H114,Equipos!$Q$1:$R$25,2,0)</f>
        <v>16</v>
      </c>
      <c r="H114" s="446">
        <f ca="1">$H$70</f>
        <v>46199</v>
      </c>
      <c r="I114" s="50"/>
      <c r="J114" s="844"/>
      <c r="K114" s="56" t="str">
        <f>Idiomas!D184</f>
        <v>3º GRUPO I</v>
      </c>
      <c r="L114" s="53"/>
      <c r="M114" s="55" t="str">
        <f ca="1">IF(OR(SUM(WORLDCUP!$AN$70:$AN$73)=12,WORLDCUP!$AJ$99=144),WORLDCUP!AL72,LEFT(K114,1)&amp;RIGHT(K114,1))</f>
        <v>3I</v>
      </c>
      <c r="N114" s="25"/>
      <c r="O114" s="25"/>
      <c r="P114" s="25"/>
      <c r="Q114" s="25"/>
      <c r="R114" s="110"/>
      <c r="S114" s="74" t="s">
        <v>1757</v>
      </c>
      <c r="T114" s="73">
        <f t="shared" ref="T114" ca="1" si="308">($M114=S114)*$D$13</f>
        <v>0</v>
      </c>
      <c r="U114" s="64"/>
      <c r="V114" s="74" t="s">
        <v>1634</v>
      </c>
      <c r="W114" s="73">
        <f t="shared" ref="W114:CH114" ca="1" si="309">($M114=V114)*$D$13</f>
        <v>0</v>
      </c>
      <c r="X114" s="64"/>
      <c r="Y114" s="74" t="s">
        <v>1634</v>
      </c>
      <c r="Z114" s="73">
        <f t="shared" ca="1" si="309"/>
        <v>0</v>
      </c>
      <c r="AA114" s="64"/>
      <c r="AB114" s="74" t="s">
        <v>1634</v>
      </c>
      <c r="AC114" s="73">
        <f t="shared" ca="1" si="309"/>
        <v>0</v>
      </c>
      <c r="AD114" s="64"/>
      <c r="AE114" s="74" t="s">
        <v>135</v>
      </c>
      <c r="AF114" s="73">
        <f t="shared" ca="1" si="309"/>
        <v>0</v>
      </c>
      <c r="AG114" s="64"/>
      <c r="AH114" s="74" t="s">
        <v>1634</v>
      </c>
      <c r="AI114" s="73">
        <f t="shared" ca="1" si="309"/>
        <v>0</v>
      </c>
      <c r="AJ114" s="64"/>
      <c r="AK114" s="74" t="s">
        <v>1634</v>
      </c>
      <c r="AL114" s="73">
        <f t="shared" ca="1" si="309"/>
        <v>0</v>
      </c>
      <c r="AM114" s="64"/>
      <c r="AN114" s="74" t="s">
        <v>1634</v>
      </c>
      <c r="AO114" s="73">
        <f t="shared" ca="1" si="309"/>
        <v>0</v>
      </c>
      <c r="AP114" s="64"/>
      <c r="AQ114" s="74" t="s">
        <v>1634</v>
      </c>
      <c r="AR114" s="73">
        <f t="shared" ca="1" si="309"/>
        <v>0</v>
      </c>
      <c r="AS114" s="64"/>
      <c r="AT114" s="74" t="s">
        <v>1634</v>
      </c>
      <c r="AU114" s="73">
        <f t="shared" ca="1" si="309"/>
        <v>0</v>
      </c>
      <c r="AV114" s="64"/>
      <c r="AW114" s="74" t="s">
        <v>135</v>
      </c>
      <c r="AX114" s="73">
        <f t="shared" ca="1" si="309"/>
        <v>0</v>
      </c>
      <c r="AY114" s="64"/>
      <c r="AZ114" s="74" t="s">
        <v>1634</v>
      </c>
      <c r="BA114" s="73">
        <f t="shared" ca="1" si="309"/>
        <v>0</v>
      </c>
      <c r="BB114" s="64"/>
      <c r="BC114" s="74" t="s">
        <v>1634</v>
      </c>
      <c r="BD114" s="73">
        <f t="shared" ca="1" si="309"/>
        <v>0</v>
      </c>
      <c r="BE114" s="64"/>
      <c r="BF114" s="74" t="s">
        <v>1634</v>
      </c>
      <c r="BG114" s="73">
        <f t="shared" ca="1" si="309"/>
        <v>0</v>
      </c>
      <c r="BH114" s="64"/>
      <c r="BI114" s="74" t="s">
        <v>1634</v>
      </c>
      <c r="BJ114" s="73">
        <f t="shared" ca="1" si="309"/>
        <v>0</v>
      </c>
      <c r="BK114" s="64"/>
      <c r="BL114" s="74" t="s">
        <v>1634</v>
      </c>
      <c r="BM114" s="73">
        <f t="shared" ca="1" si="309"/>
        <v>0</v>
      </c>
      <c r="BN114" s="64"/>
      <c r="BO114" s="74" t="s">
        <v>135</v>
      </c>
      <c r="BP114" s="73">
        <f t="shared" ca="1" si="309"/>
        <v>0</v>
      </c>
      <c r="BQ114" s="64"/>
      <c r="BR114" s="74" t="s">
        <v>1634</v>
      </c>
      <c r="BS114" s="73">
        <f t="shared" ca="1" si="309"/>
        <v>0</v>
      </c>
      <c r="BT114" s="64"/>
      <c r="BU114" s="74" t="s">
        <v>135</v>
      </c>
      <c r="BV114" s="73">
        <f t="shared" ca="1" si="309"/>
        <v>0</v>
      </c>
      <c r="BW114" s="64"/>
      <c r="BX114" s="74" t="s">
        <v>1634</v>
      </c>
      <c r="BY114" s="73">
        <f t="shared" ca="1" si="309"/>
        <v>0</v>
      </c>
      <c r="BZ114" s="64"/>
      <c r="CA114" s="74" t="s">
        <v>1634</v>
      </c>
      <c r="CB114" s="73">
        <f t="shared" ca="1" si="309"/>
        <v>0</v>
      </c>
      <c r="CC114" s="64"/>
      <c r="CD114" s="74" t="s">
        <v>1634</v>
      </c>
      <c r="CE114" s="73">
        <f t="shared" ca="1" si="309"/>
        <v>0</v>
      </c>
      <c r="CF114" s="64"/>
      <c r="CG114" s="74" t="s">
        <v>1634</v>
      </c>
      <c r="CH114" s="73">
        <f t="shared" ca="1" si="309"/>
        <v>0</v>
      </c>
      <c r="CI114" s="64"/>
      <c r="CJ114" s="74" t="s">
        <v>1634</v>
      </c>
      <c r="CK114" s="73">
        <f t="shared" ref="CK114:CN114" ca="1" si="310">($M114=CJ114)*$D$13</f>
        <v>0</v>
      </c>
      <c r="CL114" s="64"/>
      <c r="CM114" s="74" t="s">
        <v>1634</v>
      </c>
      <c r="CN114" s="73">
        <f t="shared" ca="1" si="310"/>
        <v>0</v>
      </c>
      <c r="CO114" s="64"/>
      <c r="CP114" s="64"/>
    </row>
    <row r="115" spans="1:94">
      <c r="A115" s="49"/>
      <c r="B115" s="49"/>
      <c r="C115" s="49"/>
      <c r="D115" s="49"/>
      <c r="E115" s="65"/>
      <c r="F115" s="127">
        <f t="shared" ref="F115" si="311">$D$14</f>
        <v>1</v>
      </c>
      <c r="G115" s="445">
        <f ca="1">VLOOKUP(H115,Equipos!$Q$1:$R$25,2,0)</f>
        <v>16</v>
      </c>
      <c r="H115" s="446">
        <f ca="1">$H$70</f>
        <v>46199</v>
      </c>
      <c r="I115" s="50"/>
      <c r="J115" s="844"/>
      <c r="K115" s="56" t="str">
        <f>Idiomas!D185</f>
        <v>4º GRUPO I</v>
      </c>
      <c r="L115" s="53"/>
      <c r="M115" s="55" t="str">
        <f ca="1">IF(OR(SUM(WORLDCUP!$AN$70:$AN$73)=12,WORLDCUP!$AJ$99=144),WORLDCUP!AL73,LEFT(K115,1)&amp;RIGHT(K115,1))</f>
        <v>4I</v>
      </c>
      <c r="N115" s="25"/>
      <c r="O115" s="25"/>
      <c r="P115" s="25"/>
      <c r="Q115" s="25"/>
      <c r="R115" s="110"/>
      <c r="S115" s="74" t="s">
        <v>1634</v>
      </c>
      <c r="T115" s="73">
        <f t="shared" ref="T115" ca="1" si="312">($M115=S115)*$D$14</f>
        <v>0</v>
      </c>
      <c r="U115" s="64"/>
      <c r="V115" s="74" t="s">
        <v>1757</v>
      </c>
      <c r="W115" s="73">
        <f t="shared" ref="W115:CH115" ca="1" si="313">($M115=V115)*$D$14</f>
        <v>0</v>
      </c>
      <c r="X115" s="64"/>
      <c r="Y115" s="74" t="s">
        <v>1757</v>
      </c>
      <c r="Z115" s="73">
        <f t="shared" ca="1" si="313"/>
        <v>0</v>
      </c>
      <c r="AA115" s="64"/>
      <c r="AB115" s="74" t="s">
        <v>1757</v>
      </c>
      <c r="AC115" s="73">
        <f t="shared" ca="1" si="313"/>
        <v>0</v>
      </c>
      <c r="AD115" s="64"/>
      <c r="AE115" s="74" t="s">
        <v>1757</v>
      </c>
      <c r="AF115" s="73">
        <f t="shared" ca="1" si="313"/>
        <v>0</v>
      </c>
      <c r="AG115" s="64"/>
      <c r="AH115" s="74" t="s">
        <v>1757</v>
      </c>
      <c r="AI115" s="73">
        <f t="shared" ca="1" si="313"/>
        <v>0</v>
      </c>
      <c r="AJ115" s="64"/>
      <c r="AK115" s="74" t="s">
        <v>1757</v>
      </c>
      <c r="AL115" s="73">
        <f t="shared" ca="1" si="313"/>
        <v>0</v>
      </c>
      <c r="AM115" s="64"/>
      <c r="AN115" s="74" t="s">
        <v>1757</v>
      </c>
      <c r="AO115" s="73">
        <f t="shared" ca="1" si="313"/>
        <v>0</v>
      </c>
      <c r="AP115" s="64"/>
      <c r="AQ115" s="74" t="s">
        <v>1757</v>
      </c>
      <c r="AR115" s="73">
        <f t="shared" ca="1" si="313"/>
        <v>0</v>
      </c>
      <c r="AS115" s="64"/>
      <c r="AT115" s="74" t="s">
        <v>1757</v>
      </c>
      <c r="AU115" s="73">
        <f t="shared" ca="1" si="313"/>
        <v>0</v>
      </c>
      <c r="AV115" s="64"/>
      <c r="AW115" s="74" t="s">
        <v>1634</v>
      </c>
      <c r="AX115" s="73">
        <f t="shared" ca="1" si="313"/>
        <v>0</v>
      </c>
      <c r="AY115" s="64"/>
      <c r="AZ115" s="74" t="s">
        <v>1757</v>
      </c>
      <c r="BA115" s="73">
        <f t="shared" ca="1" si="313"/>
        <v>0</v>
      </c>
      <c r="BB115" s="64"/>
      <c r="BC115" s="74" t="s">
        <v>1757</v>
      </c>
      <c r="BD115" s="73">
        <f t="shared" ca="1" si="313"/>
        <v>0</v>
      </c>
      <c r="BE115" s="64"/>
      <c r="BF115" s="74" t="s">
        <v>1757</v>
      </c>
      <c r="BG115" s="73">
        <f t="shared" ca="1" si="313"/>
        <v>0</v>
      </c>
      <c r="BH115" s="64"/>
      <c r="BI115" s="74" t="s">
        <v>1757</v>
      </c>
      <c r="BJ115" s="73">
        <f t="shared" ca="1" si="313"/>
        <v>0</v>
      </c>
      <c r="BK115" s="64"/>
      <c r="BL115" s="74" t="s">
        <v>1757</v>
      </c>
      <c r="BM115" s="73">
        <f t="shared" ca="1" si="313"/>
        <v>0</v>
      </c>
      <c r="BN115" s="64"/>
      <c r="BO115" s="74" t="s">
        <v>1757</v>
      </c>
      <c r="BP115" s="73">
        <f t="shared" ca="1" si="313"/>
        <v>0</v>
      </c>
      <c r="BQ115" s="64"/>
      <c r="BR115" s="74" t="s">
        <v>1757</v>
      </c>
      <c r="BS115" s="73">
        <f t="shared" ca="1" si="313"/>
        <v>0</v>
      </c>
      <c r="BT115" s="64"/>
      <c r="BU115" s="74" t="s">
        <v>1757</v>
      </c>
      <c r="BV115" s="73">
        <f t="shared" ca="1" si="313"/>
        <v>0</v>
      </c>
      <c r="BW115" s="64"/>
      <c r="BX115" s="74" t="s">
        <v>1757</v>
      </c>
      <c r="BY115" s="73">
        <f t="shared" ca="1" si="313"/>
        <v>0</v>
      </c>
      <c r="BZ115" s="64"/>
      <c r="CA115" s="74" t="s">
        <v>1757</v>
      </c>
      <c r="CB115" s="73">
        <f t="shared" ca="1" si="313"/>
        <v>0</v>
      </c>
      <c r="CC115" s="64"/>
      <c r="CD115" s="74" t="s">
        <v>1757</v>
      </c>
      <c r="CE115" s="73">
        <f t="shared" ca="1" si="313"/>
        <v>0</v>
      </c>
      <c r="CF115" s="64"/>
      <c r="CG115" s="74" t="s">
        <v>1757</v>
      </c>
      <c r="CH115" s="73">
        <f t="shared" ca="1" si="313"/>
        <v>0</v>
      </c>
      <c r="CI115" s="64"/>
      <c r="CJ115" s="74" t="s">
        <v>1757</v>
      </c>
      <c r="CK115" s="73">
        <f t="shared" ref="CK115:CN115" ca="1" si="314">($M115=CJ115)*$D$14</f>
        <v>0</v>
      </c>
      <c r="CL115" s="64"/>
      <c r="CM115" s="74" t="s">
        <v>1757</v>
      </c>
      <c r="CN115" s="73">
        <f t="shared" ca="1" si="314"/>
        <v>0</v>
      </c>
      <c r="CO115" s="64"/>
      <c r="CP115" s="64"/>
    </row>
    <row r="116" spans="1:94">
      <c r="A116" s="49"/>
      <c r="B116" s="49"/>
      <c r="C116" s="49"/>
      <c r="D116" s="49"/>
      <c r="E116" s="65"/>
      <c r="F116" s="127">
        <f t="shared" ref="F116" si="315">$D$11</f>
        <v>6</v>
      </c>
      <c r="G116" s="445">
        <f ca="1">VLOOKUP(H116,Equipos!$Q$1:$R$25,2,0)</f>
        <v>17</v>
      </c>
      <c r="H116" s="446">
        <f ca="1">$H$72</f>
        <v>46200</v>
      </c>
      <c r="I116" s="50"/>
      <c r="J116" s="843" t="s">
        <v>5</v>
      </c>
      <c r="K116" s="56" t="str">
        <f>Idiomas!D186</f>
        <v>1º GRUPO J</v>
      </c>
      <c r="L116" s="53"/>
      <c r="M116" s="55" t="str">
        <f ca="1">IF(OR(SUM(WORLDCUP!$AN$78:$AN$81)=12,WORLDCUP!$AJ$99=144),WORLDCUP!AL78,LEFT(K116,1)&amp;RIGHT(K116,1))</f>
        <v>1J</v>
      </c>
      <c r="N116" s="25"/>
      <c r="O116" s="25"/>
      <c r="P116" s="25"/>
      <c r="Q116" s="25"/>
      <c r="R116" s="110"/>
      <c r="S116" s="74" t="s">
        <v>1256</v>
      </c>
      <c r="T116" s="73">
        <f t="shared" ref="T116" ca="1" si="316">($M116=S116)*$D$11</f>
        <v>0</v>
      </c>
      <c r="U116" s="64"/>
      <c r="V116" s="74" t="s">
        <v>1256</v>
      </c>
      <c r="W116" s="73">
        <f t="shared" ref="W116:CH116" ca="1" si="317">($M116=V116)*$D$11</f>
        <v>0</v>
      </c>
      <c r="X116" s="64"/>
      <c r="Y116" s="74" t="s">
        <v>1256</v>
      </c>
      <c r="Z116" s="73">
        <f t="shared" ca="1" si="317"/>
        <v>0</v>
      </c>
      <c r="AA116" s="64"/>
      <c r="AB116" s="74" t="s">
        <v>1256</v>
      </c>
      <c r="AC116" s="73">
        <f t="shared" ca="1" si="317"/>
        <v>0</v>
      </c>
      <c r="AD116" s="64"/>
      <c r="AE116" s="74" t="s">
        <v>80</v>
      </c>
      <c r="AF116" s="73">
        <f t="shared" ca="1" si="317"/>
        <v>0</v>
      </c>
      <c r="AG116" s="64"/>
      <c r="AH116" s="74" t="s">
        <v>1256</v>
      </c>
      <c r="AI116" s="73">
        <f t="shared" ca="1" si="317"/>
        <v>0</v>
      </c>
      <c r="AJ116" s="64"/>
      <c r="AK116" s="74" t="s">
        <v>1256</v>
      </c>
      <c r="AL116" s="73">
        <f t="shared" ca="1" si="317"/>
        <v>0</v>
      </c>
      <c r="AM116" s="64"/>
      <c r="AN116" s="74" t="s">
        <v>1256</v>
      </c>
      <c r="AO116" s="73">
        <f t="shared" ca="1" si="317"/>
        <v>0</v>
      </c>
      <c r="AP116" s="64"/>
      <c r="AQ116" s="74" t="s">
        <v>1256</v>
      </c>
      <c r="AR116" s="73">
        <f t="shared" ca="1" si="317"/>
        <v>0</v>
      </c>
      <c r="AS116" s="64"/>
      <c r="AT116" s="74" t="s">
        <v>1256</v>
      </c>
      <c r="AU116" s="73">
        <f t="shared" ca="1" si="317"/>
        <v>0</v>
      </c>
      <c r="AV116" s="64"/>
      <c r="AW116" s="74" t="s">
        <v>1256</v>
      </c>
      <c r="AX116" s="73">
        <f t="shared" ca="1" si="317"/>
        <v>0</v>
      </c>
      <c r="AY116" s="64"/>
      <c r="AZ116" s="74" t="s">
        <v>1256</v>
      </c>
      <c r="BA116" s="73">
        <f t="shared" ca="1" si="317"/>
        <v>0</v>
      </c>
      <c r="BB116" s="64"/>
      <c r="BC116" s="74" t="s">
        <v>1256</v>
      </c>
      <c r="BD116" s="73">
        <f t="shared" ca="1" si="317"/>
        <v>0</v>
      </c>
      <c r="BE116" s="64"/>
      <c r="BF116" s="74" t="s">
        <v>1256</v>
      </c>
      <c r="BG116" s="73">
        <f t="shared" ca="1" si="317"/>
        <v>0</v>
      </c>
      <c r="BH116" s="64"/>
      <c r="BI116" s="74" t="s">
        <v>1256</v>
      </c>
      <c r="BJ116" s="73">
        <f t="shared" ca="1" si="317"/>
        <v>0</v>
      </c>
      <c r="BK116" s="64"/>
      <c r="BL116" s="74" t="s">
        <v>1256</v>
      </c>
      <c r="BM116" s="73">
        <f t="shared" ca="1" si="317"/>
        <v>0</v>
      </c>
      <c r="BN116" s="64"/>
      <c r="BO116" s="74" t="s">
        <v>1256</v>
      </c>
      <c r="BP116" s="73">
        <f t="shared" ca="1" si="317"/>
        <v>0</v>
      </c>
      <c r="BQ116" s="64"/>
      <c r="BR116" s="74" t="s">
        <v>1256</v>
      </c>
      <c r="BS116" s="73">
        <f t="shared" ca="1" si="317"/>
        <v>0</v>
      </c>
      <c r="BT116" s="64"/>
      <c r="BU116" s="74" t="s">
        <v>1256</v>
      </c>
      <c r="BV116" s="73">
        <f t="shared" ca="1" si="317"/>
        <v>0</v>
      </c>
      <c r="BW116" s="64"/>
      <c r="BX116" s="74" t="s">
        <v>1256</v>
      </c>
      <c r="BY116" s="73">
        <f t="shared" ca="1" si="317"/>
        <v>0</v>
      </c>
      <c r="BZ116" s="64"/>
      <c r="CA116" s="74" t="s">
        <v>80</v>
      </c>
      <c r="CB116" s="73">
        <f t="shared" ca="1" si="317"/>
        <v>0</v>
      </c>
      <c r="CC116" s="64"/>
      <c r="CD116" s="74" t="s">
        <v>1256</v>
      </c>
      <c r="CE116" s="73">
        <f t="shared" ca="1" si="317"/>
        <v>0</v>
      </c>
      <c r="CF116" s="64"/>
      <c r="CG116" s="74" t="s">
        <v>1256</v>
      </c>
      <c r="CH116" s="73">
        <f t="shared" ca="1" si="317"/>
        <v>0</v>
      </c>
      <c r="CI116" s="64"/>
      <c r="CJ116" s="74" t="s">
        <v>1256</v>
      </c>
      <c r="CK116" s="73">
        <f t="shared" ref="CK116:CN116" ca="1" si="318">($M116=CJ116)*$D$11</f>
        <v>0</v>
      </c>
      <c r="CL116" s="64"/>
      <c r="CM116" s="74" t="s">
        <v>1256</v>
      </c>
      <c r="CN116" s="73">
        <f t="shared" ca="1" si="318"/>
        <v>0</v>
      </c>
      <c r="CO116" s="64"/>
      <c r="CP116" s="64"/>
    </row>
    <row r="117" spans="1:94">
      <c r="A117" s="49"/>
      <c r="B117" s="49"/>
      <c r="C117" s="49"/>
      <c r="D117" s="49"/>
      <c r="E117" s="65"/>
      <c r="F117" s="127">
        <f t="shared" ref="F117" si="319">$D$12</f>
        <v>4</v>
      </c>
      <c r="G117" s="445">
        <f ca="1">VLOOKUP(H117,Equipos!$Q$1:$R$25,2,0)</f>
        <v>17</v>
      </c>
      <c r="H117" s="446">
        <f ca="1">$H$72</f>
        <v>46200</v>
      </c>
      <c r="I117" s="50"/>
      <c r="J117" s="843"/>
      <c r="K117" s="56" t="str">
        <f>Idiomas!D187</f>
        <v>2º GRUPO J</v>
      </c>
      <c r="L117" s="53"/>
      <c r="M117" s="55" t="str">
        <f ca="1">IF(OR(SUM(WORLDCUP!$AN$78:$AN$81)=12,WORLDCUP!$AJ$99=144),WORLDCUP!AL79,LEFT(K117,1)&amp;RIGHT(K117,1))</f>
        <v>2J</v>
      </c>
      <c r="N117" s="25"/>
      <c r="O117" s="25"/>
      <c r="P117" s="25"/>
      <c r="Q117" s="25"/>
      <c r="R117" s="110"/>
      <c r="S117" s="74" t="s">
        <v>80</v>
      </c>
      <c r="T117" s="73">
        <f t="shared" ref="T117" ca="1" si="320">($M117=S117)*$D$12</f>
        <v>0</v>
      </c>
      <c r="U117" s="64"/>
      <c r="V117" s="74" t="s">
        <v>80</v>
      </c>
      <c r="W117" s="73">
        <f t="shared" ref="W117:CH117" ca="1" si="321">($M117=V117)*$D$12</f>
        <v>0</v>
      </c>
      <c r="X117" s="64"/>
      <c r="Y117" s="74" t="s">
        <v>80</v>
      </c>
      <c r="Z117" s="73">
        <f t="shared" ca="1" si="321"/>
        <v>0</v>
      </c>
      <c r="AA117" s="64"/>
      <c r="AB117" s="74" t="s">
        <v>1558</v>
      </c>
      <c r="AC117" s="73">
        <f t="shared" ca="1" si="321"/>
        <v>0</v>
      </c>
      <c r="AD117" s="64"/>
      <c r="AE117" s="74" t="s">
        <v>1256</v>
      </c>
      <c r="AF117" s="73">
        <f t="shared" ca="1" si="321"/>
        <v>0</v>
      </c>
      <c r="AG117" s="64"/>
      <c r="AH117" s="74" t="s">
        <v>80</v>
      </c>
      <c r="AI117" s="73">
        <f t="shared" ca="1" si="321"/>
        <v>0</v>
      </c>
      <c r="AJ117" s="64"/>
      <c r="AK117" s="74" t="s">
        <v>80</v>
      </c>
      <c r="AL117" s="73">
        <f t="shared" ca="1" si="321"/>
        <v>0</v>
      </c>
      <c r="AM117" s="64"/>
      <c r="AN117" s="74" t="s">
        <v>80</v>
      </c>
      <c r="AO117" s="73">
        <f t="shared" ca="1" si="321"/>
        <v>0</v>
      </c>
      <c r="AP117" s="64"/>
      <c r="AQ117" s="74" t="s">
        <v>80</v>
      </c>
      <c r="AR117" s="73">
        <f t="shared" ca="1" si="321"/>
        <v>0</v>
      </c>
      <c r="AS117" s="64"/>
      <c r="AT117" s="74" t="s">
        <v>1558</v>
      </c>
      <c r="AU117" s="73">
        <f t="shared" ca="1" si="321"/>
        <v>0</v>
      </c>
      <c r="AV117" s="64"/>
      <c r="AW117" s="74" t="s">
        <v>1558</v>
      </c>
      <c r="AX117" s="73">
        <f t="shared" ca="1" si="321"/>
        <v>0</v>
      </c>
      <c r="AY117" s="64"/>
      <c r="AZ117" s="74" t="s">
        <v>1558</v>
      </c>
      <c r="BA117" s="73">
        <f t="shared" ca="1" si="321"/>
        <v>0</v>
      </c>
      <c r="BB117" s="64"/>
      <c r="BC117" s="74" t="s">
        <v>1558</v>
      </c>
      <c r="BD117" s="73">
        <f t="shared" ca="1" si="321"/>
        <v>0</v>
      </c>
      <c r="BE117" s="64"/>
      <c r="BF117" s="74" t="s">
        <v>1558</v>
      </c>
      <c r="BG117" s="73">
        <f t="shared" ca="1" si="321"/>
        <v>0</v>
      </c>
      <c r="BH117" s="64"/>
      <c r="BI117" s="74" t="s">
        <v>80</v>
      </c>
      <c r="BJ117" s="73">
        <f t="shared" ca="1" si="321"/>
        <v>0</v>
      </c>
      <c r="BK117" s="64"/>
      <c r="BL117" s="74" t="s">
        <v>1558</v>
      </c>
      <c r="BM117" s="73">
        <f t="shared" ca="1" si="321"/>
        <v>0</v>
      </c>
      <c r="BN117" s="64"/>
      <c r="BO117" s="74" t="s">
        <v>80</v>
      </c>
      <c r="BP117" s="73">
        <f t="shared" ca="1" si="321"/>
        <v>0</v>
      </c>
      <c r="BQ117" s="64"/>
      <c r="BR117" s="74" t="s">
        <v>80</v>
      </c>
      <c r="BS117" s="73">
        <f t="shared" ca="1" si="321"/>
        <v>0</v>
      </c>
      <c r="BT117" s="64"/>
      <c r="BU117" s="74" t="s">
        <v>80</v>
      </c>
      <c r="BV117" s="73">
        <f t="shared" ca="1" si="321"/>
        <v>0</v>
      </c>
      <c r="BW117" s="64"/>
      <c r="BX117" s="74" t="s">
        <v>80</v>
      </c>
      <c r="BY117" s="73">
        <f t="shared" ca="1" si="321"/>
        <v>0</v>
      </c>
      <c r="BZ117" s="64"/>
      <c r="CA117" s="74" t="s">
        <v>1264</v>
      </c>
      <c r="CB117" s="73">
        <f t="shared" ca="1" si="321"/>
        <v>0</v>
      </c>
      <c r="CC117" s="64"/>
      <c r="CD117" s="74" t="s">
        <v>80</v>
      </c>
      <c r="CE117" s="73">
        <f t="shared" ca="1" si="321"/>
        <v>0</v>
      </c>
      <c r="CF117" s="64"/>
      <c r="CG117" s="74" t="s">
        <v>80</v>
      </c>
      <c r="CH117" s="73">
        <f t="shared" ca="1" si="321"/>
        <v>0</v>
      </c>
      <c r="CI117" s="64"/>
      <c r="CJ117" s="74" t="s">
        <v>80</v>
      </c>
      <c r="CK117" s="73">
        <f t="shared" ref="CK117:CN117" ca="1" si="322">($M117=CJ117)*$D$12</f>
        <v>0</v>
      </c>
      <c r="CL117" s="64"/>
      <c r="CM117" s="74" t="s">
        <v>80</v>
      </c>
      <c r="CN117" s="73">
        <f t="shared" ca="1" si="322"/>
        <v>0</v>
      </c>
      <c r="CO117" s="64"/>
      <c r="CP117" s="64"/>
    </row>
    <row r="118" spans="1:94">
      <c r="A118" s="49"/>
      <c r="B118" s="49"/>
      <c r="C118" s="49"/>
      <c r="D118" s="49"/>
      <c r="E118" s="65"/>
      <c r="F118" s="127">
        <f t="shared" ref="F118" si="323">$D$13</f>
        <v>2</v>
      </c>
      <c r="G118" s="445">
        <f ca="1">VLOOKUP(H118,Equipos!$Q$1:$R$25,2,0)</f>
        <v>17</v>
      </c>
      <c r="H118" s="446">
        <f ca="1">$H$72</f>
        <v>46200</v>
      </c>
      <c r="I118" s="50"/>
      <c r="J118" s="843"/>
      <c r="K118" s="56" t="str">
        <f>Idiomas!D188</f>
        <v>3º GRUPO J</v>
      </c>
      <c r="L118" s="53"/>
      <c r="M118" s="55" t="str">
        <f ca="1">IF(OR(SUM(WORLDCUP!$AN$78:$AN$81)=12,WORLDCUP!$AJ$99=144),WORLDCUP!AL80,LEFT(K118,1)&amp;RIGHT(K118,1))</f>
        <v>3J</v>
      </c>
      <c r="N118" s="25"/>
      <c r="O118" s="25"/>
      <c r="P118" s="25"/>
      <c r="Q118" s="25"/>
      <c r="R118" s="110"/>
      <c r="S118" s="74" t="s">
        <v>1264</v>
      </c>
      <c r="T118" s="73">
        <f t="shared" ref="T118" ca="1" si="324">($M118=S118)*$D$13</f>
        <v>0</v>
      </c>
      <c r="U118" s="64"/>
      <c r="V118" s="74" t="s">
        <v>1558</v>
      </c>
      <c r="W118" s="73">
        <f t="shared" ref="W118:CH118" ca="1" si="325">($M118=V118)*$D$13</f>
        <v>0</v>
      </c>
      <c r="X118" s="64"/>
      <c r="Y118" s="74" t="s">
        <v>1558</v>
      </c>
      <c r="Z118" s="73">
        <f t="shared" ca="1" si="325"/>
        <v>0</v>
      </c>
      <c r="AA118" s="64"/>
      <c r="AB118" s="74" t="s">
        <v>80</v>
      </c>
      <c r="AC118" s="73">
        <f t="shared" ca="1" si="325"/>
        <v>0</v>
      </c>
      <c r="AD118" s="64"/>
      <c r="AE118" s="74" t="s">
        <v>1558</v>
      </c>
      <c r="AF118" s="73">
        <f t="shared" ca="1" si="325"/>
        <v>0</v>
      </c>
      <c r="AG118" s="64"/>
      <c r="AH118" s="74" t="s">
        <v>1558</v>
      </c>
      <c r="AI118" s="73">
        <f t="shared" ca="1" si="325"/>
        <v>0</v>
      </c>
      <c r="AJ118" s="64"/>
      <c r="AK118" s="74" t="s">
        <v>1558</v>
      </c>
      <c r="AL118" s="73">
        <f t="shared" ca="1" si="325"/>
        <v>0</v>
      </c>
      <c r="AM118" s="64"/>
      <c r="AN118" s="74" t="s">
        <v>1558</v>
      </c>
      <c r="AO118" s="73">
        <f t="shared" ca="1" si="325"/>
        <v>0</v>
      </c>
      <c r="AP118" s="64"/>
      <c r="AQ118" s="74" t="s">
        <v>1558</v>
      </c>
      <c r="AR118" s="73">
        <f t="shared" ca="1" si="325"/>
        <v>0</v>
      </c>
      <c r="AS118" s="64"/>
      <c r="AT118" s="74" t="s">
        <v>80</v>
      </c>
      <c r="AU118" s="73">
        <f t="shared" ca="1" si="325"/>
        <v>0</v>
      </c>
      <c r="AV118" s="64"/>
      <c r="AW118" s="74" t="s">
        <v>80</v>
      </c>
      <c r="AX118" s="73">
        <f t="shared" ca="1" si="325"/>
        <v>0</v>
      </c>
      <c r="AY118" s="64"/>
      <c r="AZ118" s="74" t="s">
        <v>1264</v>
      </c>
      <c r="BA118" s="73">
        <f t="shared" ca="1" si="325"/>
        <v>0</v>
      </c>
      <c r="BB118" s="64"/>
      <c r="BC118" s="74" t="s">
        <v>80</v>
      </c>
      <c r="BD118" s="73">
        <f t="shared" ca="1" si="325"/>
        <v>0</v>
      </c>
      <c r="BE118" s="64"/>
      <c r="BF118" s="74" t="s">
        <v>80</v>
      </c>
      <c r="BG118" s="73">
        <f t="shared" ca="1" si="325"/>
        <v>0</v>
      </c>
      <c r="BH118" s="64"/>
      <c r="BI118" s="74" t="s">
        <v>1558</v>
      </c>
      <c r="BJ118" s="73">
        <f t="shared" ca="1" si="325"/>
        <v>0</v>
      </c>
      <c r="BK118" s="64"/>
      <c r="BL118" s="74" t="s">
        <v>80</v>
      </c>
      <c r="BM118" s="73">
        <f t="shared" ca="1" si="325"/>
        <v>0</v>
      </c>
      <c r="BN118" s="64"/>
      <c r="BO118" s="74" t="s">
        <v>1558</v>
      </c>
      <c r="BP118" s="73">
        <f t="shared" ca="1" si="325"/>
        <v>0</v>
      </c>
      <c r="BQ118" s="64"/>
      <c r="BR118" s="74" t="s">
        <v>1558</v>
      </c>
      <c r="BS118" s="73">
        <f t="shared" ca="1" si="325"/>
        <v>0</v>
      </c>
      <c r="BT118" s="64"/>
      <c r="BU118" s="74" t="s">
        <v>1558</v>
      </c>
      <c r="BV118" s="73">
        <f t="shared" ca="1" si="325"/>
        <v>0</v>
      </c>
      <c r="BW118" s="64"/>
      <c r="BX118" s="74" t="s">
        <v>1558</v>
      </c>
      <c r="BY118" s="73">
        <f t="shared" ca="1" si="325"/>
        <v>0</v>
      </c>
      <c r="BZ118" s="64"/>
      <c r="CA118" s="74" t="s">
        <v>1256</v>
      </c>
      <c r="CB118" s="73">
        <f t="shared" ca="1" si="325"/>
        <v>0</v>
      </c>
      <c r="CC118" s="64"/>
      <c r="CD118" s="74" t="s">
        <v>1558</v>
      </c>
      <c r="CE118" s="73">
        <f t="shared" ca="1" si="325"/>
        <v>0</v>
      </c>
      <c r="CF118" s="64"/>
      <c r="CG118" s="74" t="s">
        <v>1558</v>
      </c>
      <c r="CH118" s="73">
        <f t="shared" ca="1" si="325"/>
        <v>0</v>
      </c>
      <c r="CI118" s="64"/>
      <c r="CJ118" s="74" t="s">
        <v>1558</v>
      </c>
      <c r="CK118" s="73">
        <f t="shared" ref="CK118:CN118" ca="1" si="326">($M118=CJ118)*$D$13</f>
        <v>0</v>
      </c>
      <c r="CL118" s="64"/>
      <c r="CM118" s="74" t="s">
        <v>1558</v>
      </c>
      <c r="CN118" s="73">
        <f t="shared" ca="1" si="326"/>
        <v>0</v>
      </c>
      <c r="CO118" s="64"/>
      <c r="CP118" s="64"/>
    </row>
    <row r="119" spans="1:94">
      <c r="A119" s="49"/>
      <c r="B119" s="49"/>
      <c r="C119" s="49"/>
      <c r="D119" s="49"/>
      <c r="E119" s="65"/>
      <c r="F119" s="127">
        <f t="shared" ref="F119" si="327">$D$14</f>
        <v>1</v>
      </c>
      <c r="G119" s="445">
        <f ca="1">VLOOKUP(H119,Equipos!$Q$1:$R$25,2,0)</f>
        <v>17</v>
      </c>
      <c r="H119" s="446">
        <f ca="1">$H$72</f>
        <v>46200</v>
      </c>
      <c r="I119" s="50"/>
      <c r="J119" s="843"/>
      <c r="K119" s="56" t="str">
        <f>Idiomas!D189</f>
        <v>4º GRUPO J</v>
      </c>
      <c r="L119" s="53"/>
      <c r="M119" s="55" t="str">
        <f ca="1">IF(OR(SUM(WORLDCUP!$AN$78:$AN$81)=12,WORLDCUP!$AJ$99=144),WORLDCUP!AL81,LEFT(K119,1)&amp;RIGHT(K119,1))</f>
        <v>4J</v>
      </c>
      <c r="N119" s="25"/>
      <c r="O119" s="25"/>
      <c r="P119" s="25"/>
      <c r="Q119" s="25"/>
      <c r="R119" s="110"/>
      <c r="S119" s="74" t="s">
        <v>1558</v>
      </c>
      <c r="T119" s="73">
        <f t="shared" ref="T119" ca="1" si="328">($M119=S119)*$D$14</f>
        <v>0</v>
      </c>
      <c r="U119" s="64"/>
      <c r="V119" s="74" t="s">
        <v>1264</v>
      </c>
      <c r="W119" s="73">
        <f t="shared" ref="W119:CH119" ca="1" si="329">($M119=V119)*$D$14</f>
        <v>0</v>
      </c>
      <c r="X119" s="64"/>
      <c r="Y119" s="74" t="s">
        <v>1264</v>
      </c>
      <c r="Z119" s="73">
        <f t="shared" ca="1" si="329"/>
        <v>0</v>
      </c>
      <c r="AA119" s="64"/>
      <c r="AB119" s="74" t="s">
        <v>1264</v>
      </c>
      <c r="AC119" s="73">
        <f t="shared" ca="1" si="329"/>
        <v>0</v>
      </c>
      <c r="AD119" s="64"/>
      <c r="AE119" s="74" t="s">
        <v>1264</v>
      </c>
      <c r="AF119" s="73">
        <f t="shared" ca="1" si="329"/>
        <v>0</v>
      </c>
      <c r="AG119" s="64"/>
      <c r="AH119" s="74" t="s">
        <v>1264</v>
      </c>
      <c r="AI119" s="73">
        <f t="shared" ca="1" si="329"/>
        <v>0</v>
      </c>
      <c r="AJ119" s="64"/>
      <c r="AK119" s="74" t="s">
        <v>1264</v>
      </c>
      <c r="AL119" s="73">
        <f t="shared" ca="1" si="329"/>
        <v>0</v>
      </c>
      <c r="AM119" s="64"/>
      <c r="AN119" s="74" t="s">
        <v>1264</v>
      </c>
      <c r="AO119" s="73">
        <f t="shared" ca="1" si="329"/>
        <v>0</v>
      </c>
      <c r="AP119" s="64"/>
      <c r="AQ119" s="74" t="s">
        <v>1264</v>
      </c>
      <c r="AR119" s="73">
        <f t="shared" ca="1" si="329"/>
        <v>0</v>
      </c>
      <c r="AS119" s="64"/>
      <c r="AT119" s="74" t="s">
        <v>1264</v>
      </c>
      <c r="AU119" s="73">
        <f t="shared" ca="1" si="329"/>
        <v>0</v>
      </c>
      <c r="AV119" s="64"/>
      <c r="AW119" s="74" t="s">
        <v>1264</v>
      </c>
      <c r="AX119" s="73">
        <f t="shared" ca="1" si="329"/>
        <v>0</v>
      </c>
      <c r="AY119" s="64"/>
      <c r="AZ119" s="74" t="s">
        <v>80</v>
      </c>
      <c r="BA119" s="73">
        <f t="shared" ca="1" si="329"/>
        <v>0</v>
      </c>
      <c r="BB119" s="64"/>
      <c r="BC119" s="74" t="s">
        <v>1264</v>
      </c>
      <c r="BD119" s="73">
        <f t="shared" ca="1" si="329"/>
        <v>0</v>
      </c>
      <c r="BE119" s="64"/>
      <c r="BF119" s="74" t="s">
        <v>1264</v>
      </c>
      <c r="BG119" s="73">
        <f t="shared" ca="1" si="329"/>
        <v>0</v>
      </c>
      <c r="BH119" s="64"/>
      <c r="BI119" s="74" t="s">
        <v>1264</v>
      </c>
      <c r="BJ119" s="73">
        <f t="shared" ca="1" si="329"/>
        <v>0</v>
      </c>
      <c r="BK119" s="64"/>
      <c r="BL119" s="74" t="s">
        <v>1264</v>
      </c>
      <c r="BM119" s="73">
        <f t="shared" ca="1" si="329"/>
        <v>0</v>
      </c>
      <c r="BN119" s="64"/>
      <c r="BO119" s="74" t="s">
        <v>1264</v>
      </c>
      <c r="BP119" s="73">
        <f t="shared" ca="1" si="329"/>
        <v>0</v>
      </c>
      <c r="BQ119" s="64"/>
      <c r="BR119" s="74" t="s">
        <v>1264</v>
      </c>
      <c r="BS119" s="73">
        <f t="shared" ca="1" si="329"/>
        <v>0</v>
      </c>
      <c r="BT119" s="64"/>
      <c r="BU119" s="74" t="s">
        <v>1264</v>
      </c>
      <c r="BV119" s="73">
        <f t="shared" ca="1" si="329"/>
        <v>0</v>
      </c>
      <c r="BW119" s="64"/>
      <c r="BX119" s="74" t="s">
        <v>1264</v>
      </c>
      <c r="BY119" s="73">
        <f t="shared" ca="1" si="329"/>
        <v>0</v>
      </c>
      <c r="BZ119" s="64"/>
      <c r="CA119" s="74" t="s">
        <v>1558</v>
      </c>
      <c r="CB119" s="73">
        <f t="shared" ca="1" si="329"/>
        <v>0</v>
      </c>
      <c r="CC119" s="64"/>
      <c r="CD119" s="74" t="s">
        <v>1264</v>
      </c>
      <c r="CE119" s="73">
        <f t="shared" ca="1" si="329"/>
        <v>0</v>
      </c>
      <c r="CF119" s="64"/>
      <c r="CG119" s="74" t="s">
        <v>1264</v>
      </c>
      <c r="CH119" s="73">
        <f t="shared" ca="1" si="329"/>
        <v>0</v>
      </c>
      <c r="CI119" s="64"/>
      <c r="CJ119" s="74" t="s">
        <v>1264</v>
      </c>
      <c r="CK119" s="73">
        <f t="shared" ref="CK119:CN119" ca="1" si="330">($M119=CJ119)*$D$14</f>
        <v>0</v>
      </c>
      <c r="CL119" s="64"/>
      <c r="CM119" s="74" t="s">
        <v>1264</v>
      </c>
      <c r="CN119" s="73">
        <f t="shared" ca="1" si="330"/>
        <v>0</v>
      </c>
      <c r="CO119" s="64"/>
      <c r="CP119" s="64"/>
    </row>
    <row r="120" spans="1:94">
      <c r="A120" s="49"/>
      <c r="B120" s="49"/>
      <c r="C120" s="49"/>
      <c r="D120" s="49"/>
      <c r="E120" s="65"/>
      <c r="F120" s="127">
        <f t="shared" ref="F120" si="331">$D$11</f>
        <v>6</v>
      </c>
      <c r="G120" s="445">
        <f ca="1">VLOOKUP(H120,Equipos!$Q$1:$R$25,2,0)</f>
        <v>17</v>
      </c>
      <c r="H120" s="446">
        <f ca="1">$H$74</f>
        <v>46200</v>
      </c>
      <c r="I120" s="50"/>
      <c r="J120" s="844" t="s">
        <v>439</v>
      </c>
      <c r="K120" s="56" t="str">
        <f>Idiomas!D190</f>
        <v>1º GRUPO K</v>
      </c>
      <c r="L120" s="53"/>
      <c r="M120" s="55" t="str">
        <f ca="1">IF(OR(SUM(WORLDCUP!$AN$86:$AN$89)=12,WORLDCUP!$AJ$99=144),WORLDCUP!AL86,LEFT(K120,1)&amp;RIGHT(K120,1))</f>
        <v>1K</v>
      </c>
      <c r="N120" s="25"/>
      <c r="O120" s="25"/>
      <c r="P120" s="25"/>
      <c r="Q120" s="25"/>
      <c r="R120" s="110"/>
      <c r="S120" s="74" t="s">
        <v>79</v>
      </c>
      <c r="T120" s="73">
        <f t="shared" ref="T120" ca="1" si="332">($M120=S120)*$D$11</f>
        <v>0</v>
      </c>
      <c r="U120" s="64"/>
      <c r="V120" s="74" t="s">
        <v>79</v>
      </c>
      <c r="W120" s="73">
        <f t="shared" ref="W120:CH120" ca="1" si="333">($M120=V120)*$D$11</f>
        <v>0</v>
      </c>
      <c r="X120" s="64"/>
      <c r="Y120" s="74" t="s">
        <v>79</v>
      </c>
      <c r="Z120" s="73">
        <f t="shared" ca="1" si="333"/>
        <v>0</v>
      </c>
      <c r="AA120" s="64"/>
      <c r="AB120" s="74" t="s">
        <v>79</v>
      </c>
      <c r="AC120" s="73">
        <f t="shared" ca="1" si="333"/>
        <v>0</v>
      </c>
      <c r="AD120" s="64"/>
      <c r="AE120" s="74" t="s">
        <v>79</v>
      </c>
      <c r="AF120" s="73">
        <f t="shared" ca="1" si="333"/>
        <v>0</v>
      </c>
      <c r="AG120" s="64"/>
      <c r="AH120" s="74" t="s">
        <v>79</v>
      </c>
      <c r="AI120" s="73">
        <f t="shared" ca="1" si="333"/>
        <v>0</v>
      </c>
      <c r="AJ120" s="64"/>
      <c r="AK120" s="74" t="s">
        <v>79</v>
      </c>
      <c r="AL120" s="73">
        <f t="shared" ca="1" si="333"/>
        <v>0</v>
      </c>
      <c r="AM120" s="64"/>
      <c r="AN120" s="74" t="s">
        <v>79</v>
      </c>
      <c r="AO120" s="73">
        <f t="shared" ca="1" si="333"/>
        <v>0</v>
      </c>
      <c r="AP120" s="64"/>
      <c r="AQ120" s="74" t="s">
        <v>79</v>
      </c>
      <c r="AR120" s="73">
        <f t="shared" ca="1" si="333"/>
        <v>0</v>
      </c>
      <c r="AS120" s="64"/>
      <c r="AT120" s="74" t="s">
        <v>79</v>
      </c>
      <c r="AU120" s="73">
        <f t="shared" ca="1" si="333"/>
        <v>0</v>
      </c>
      <c r="AV120" s="64"/>
      <c r="AW120" s="74" t="s">
        <v>79</v>
      </c>
      <c r="AX120" s="73">
        <f t="shared" ca="1" si="333"/>
        <v>0</v>
      </c>
      <c r="AY120" s="64"/>
      <c r="AZ120" s="74" t="s">
        <v>79</v>
      </c>
      <c r="BA120" s="73">
        <f t="shared" ca="1" si="333"/>
        <v>0</v>
      </c>
      <c r="BB120" s="64"/>
      <c r="BC120" s="74" t="s">
        <v>79</v>
      </c>
      <c r="BD120" s="73">
        <f t="shared" ca="1" si="333"/>
        <v>0</v>
      </c>
      <c r="BE120" s="64"/>
      <c r="BF120" s="74" t="s">
        <v>79</v>
      </c>
      <c r="BG120" s="73">
        <f t="shared" ca="1" si="333"/>
        <v>0</v>
      </c>
      <c r="BH120" s="64"/>
      <c r="BI120" s="74" t="s">
        <v>79</v>
      </c>
      <c r="BJ120" s="73">
        <f t="shared" ca="1" si="333"/>
        <v>0</v>
      </c>
      <c r="BK120" s="64"/>
      <c r="BL120" s="74" t="s">
        <v>79</v>
      </c>
      <c r="BM120" s="73">
        <f t="shared" ca="1" si="333"/>
        <v>0</v>
      </c>
      <c r="BN120" s="64"/>
      <c r="BO120" s="74" t="s">
        <v>79</v>
      </c>
      <c r="BP120" s="73">
        <f t="shared" ca="1" si="333"/>
        <v>0</v>
      </c>
      <c r="BQ120" s="64"/>
      <c r="BR120" s="74" t="s">
        <v>79</v>
      </c>
      <c r="BS120" s="73">
        <f t="shared" ca="1" si="333"/>
        <v>0</v>
      </c>
      <c r="BT120" s="64"/>
      <c r="BU120" s="74" t="s">
        <v>79</v>
      </c>
      <c r="BV120" s="73">
        <f t="shared" ca="1" si="333"/>
        <v>0</v>
      </c>
      <c r="BW120" s="64"/>
      <c r="BX120" s="74" t="s">
        <v>79</v>
      </c>
      <c r="BY120" s="73">
        <f t="shared" ca="1" si="333"/>
        <v>0</v>
      </c>
      <c r="BZ120" s="64"/>
      <c r="CA120" s="74" t="s">
        <v>1320</v>
      </c>
      <c r="CB120" s="73">
        <f t="shared" ca="1" si="333"/>
        <v>0</v>
      </c>
      <c r="CC120" s="64"/>
      <c r="CD120" s="74" t="s">
        <v>79</v>
      </c>
      <c r="CE120" s="73">
        <f t="shared" ca="1" si="333"/>
        <v>0</v>
      </c>
      <c r="CF120" s="64"/>
      <c r="CG120" s="74" t="s">
        <v>79</v>
      </c>
      <c r="CH120" s="73">
        <f t="shared" ca="1" si="333"/>
        <v>0</v>
      </c>
      <c r="CI120" s="64"/>
      <c r="CJ120" s="74" t="s">
        <v>79</v>
      </c>
      <c r="CK120" s="73">
        <f t="shared" ref="CK120:CN120" ca="1" si="334">($M120=CJ120)*$D$11</f>
        <v>0</v>
      </c>
      <c r="CL120" s="64"/>
      <c r="CM120" s="74" t="s">
        <v>79</v>
      </c>
      <c r="CN120" s="73">
        <f t="shared" ca="1" si="334"/>
        <v>0</v>
      </c>
      <c r="CO120" s="64"/>
      <c r="CP120" s="64"/>
    </row>
    <row r="121" spans="1:94">
      <c r="A121" s="49"/>
      <c r="B121" s="49"/>
      <c r="C121" s="49"/>
      <c r="D121" s="49"/>
      <c r="E121" s="65"/>
      <c r="F121" s="127">
        <f t="shared" ref="F121" si="335">$D$12</f>
        <v>4</v>
      </c>
      <c r="G121" s="445">
        <f ca="1">VLOOKUP(H121,Equipos!$Q$1:$R$25,2,0)</f>
        <v>17</v>
      </c>
      <c r="H121" s="446">
        <f ca="1">$H$74</f>
        <v>46200</v>
      </c>
      <c r="I121" s="50"/>
      <c r="J121" s="844"/>
      <c r="K121" s="56" t="str">
        <f>Idiomas!D191</f>
        <v>2º GRUPO K</v>
      </c>
      <c r="L121" s="53"/>
      <c r="M121" s="55" t="str">
        <f ca="1">IF(OR(SUM(WORLDCUP!$AN$86:$AN$89)=12,WORLDCUP!$AJ$99=144),WORLDCUP!AL87,LEFT(K121,1)&amp;RIGHT(K121,1))</f>
        <v>2K</v>
      </c>
      <c r="N121" s="25"/>
      <c r="O121" s="25"/>
      <c r="P121" s="25"/>
      <c r="Q121" s="25"/>
      <c r="R121" s="110"/>
      <c r="S121" s="74" t="s">
        <v>1320</v>
      </c>
      <c r="T121" s="73">
        <f t="shared" ref="T121" ca="1" si="336">($M121=S121)*$D$12</f>
        <v>0</v>
      </c>
      <c r="U121" s="64"/>
      <c r="V121" s="74" t="s">
        <v>1320</v>
      </c>
      <c r="W121" s="73">
        <f t="shared" ref="W121:CH121" ca="1" si="337">($M121=V121)*$D$12</f>
        <v>0</v>
      </c>
      <c r="X121" s="64"/>
      <c r="Y121" s="74" t="s">
        <v>1839</v>
      </c>
      <c r="Z121" s="73">
        <f t="shared" ca="1" si="337"/>
        <v>0</v>
      </c>
      <c r="AA121" s="64"/>
      <c r="AB121" s="74" t="s">
        <v>1320</v>
      </c>
      <c r="AC121" s="73">
        <f t="shared" ca="1" si="337"/>
        <v>0</v>
      </c>
      <c r="AD121" s="64"/>
      <c r="AE121" s="74" t="s">
        <v>1320</v>
      </c>
      <c r="AF121" s="73">
        <f t="shared" ca="1" si="337"/>
        <v>0</v>
      </c>
      <c r="AG121" s="64"/>
      <c r="AH121" s="74" t="s">
        <v>1320</v>
      </c>
      <c r="AI121" s="73">
        <f t="shared" ca="1" si="337"/>
        <v>0</v>
      </c>
      <c r="AJ121" s="64"/>
      <c r="AK121" s="74" t="s">
        <v>1320</v>
      </c>
      <c r="AL121" s="73">
        <f t="shared" ca="1" si="337"/>
        <v>0</v>
      </c>
      <c r="AM121" s="64"/>
      <c r="AN121" s="74" t="s">
        <v>1320</v>
      </c>
      <c r="AO121" s="73">
        <f t="shared" ca="1" si="337"/>
        <v>0</v>
      </c>
      <c r="AP121" s="64"/>
      <c r="AQ121" s="74" t="s">
        <v>1320</v>
      </c>
      <c r="AR121" s="73">
        <f t="shared" ca="1" si="337"/>
        <v>0</v>
      </c>
      <c r="AS121" s="64"/>
      <c r="AT121" s="74" t="s">
        <v>1320</v>
      </c>
      <c r="AU121" s="73">
        <f t="shared" ca="1" si="337"/>
        <v>0</v>
      </c>
      <c r="AV121" s="64"/>
      <c r="AW121" s="74" t="s">
        <v>1320</v>
      </c>
      <c r="AX121" s="73">
        <f t="shared" ca="1" si="337"/>
        <v>0</v>
      </c>
      <c r="AY121" s="64"/>
      <c r="AZ121" s="74" t="s">
        <v>1320</v>
      </c>
      <c r="BA121" s="73">
        <f t="shared" ca="1" si="337"/>
        <v>0</v>
      </c>
      <c r="BB121" s="64"/>
      <c r="BC121" s="74" t="s">
        <v>1320</v>
      </c>
      <c r="BD121" s="73">
        <f t="shared" ca="1" si="337"/>
        <v>0</v>
      </c>
      <c r="BE121" s="64"/>
      <c r="BF121" s="74" t="s">
        <v>1320</v>
      </c>
      <c r="BG121" s="73">
        <f t="shared" ca="1" si="337"/>
        <v>0</v>
      </c>
      <c r="BH121" s="64"/>
      <c r="BI121" s="74" t="s">
        <v>1320</v>
      </c>
      <c r="BJ121" s="73">
        <f t="shared" ca="1" si="337"/>
        <v>0</v>
      </c>
      <c r="BK121" s="64"/>
      <c r="BL121" s="74" t="s">
        <v>1320</v>
      </c>
      <c r="BM121" s="73">
        <f t="shared" ca="1" si="337"/>
        <v>0</v>
      </c>
      <c r="BN121" s="64"/>
      <c r="BO121" s="74" t="s">
        <v>1320</v>
      </c>
      <c r="BP121" s="73">
        <f t="shared" ca="1" si="337"/>
        <v>0</v>
      </c>
      <c r="BQ121" s="64"/>
      <c r="BR121" s="74" t="s">
        <v>1320</v>
      </c>
      <c r="BS121" s="73">
        <f t="shared" ca="1" si="337"/>
        <v>0</v>
      </c>
      <c r="BT121" s="64"/>
      <c r="BU121" s="74" t="s">
        <v>1320</v>
      </c>
      <c r="BV121" s="73">
        <f t="shared" ca="1" si="337"/>
        <v>0</v>
      </c>
      <c r="BW121" s="64"/>
      <c r="BX121" s="74" t="s">
        <v>1320</v>
      </c>
      <c r="BY121" s="73">
        <f t="shared" ca="1" si="337"/>
        <v>0</v>
      </c>
      <c r="BZ121" s="64"/>
      <c r="CA121" s="74" t="s">
        <v>79</v>
      </c>
      <c r="CB121" s="73">
        <f t="shared" ca="1" si="337"/>
        <v>0</v>
      </c>
      <c r="CC121" s="64"/>
      <c r="CD121" s="74" t="s">
        <v>1320</v>
      </c>
      <c r="CE121" s="73">
        <f t="shared" ca="1" si="337"/>
        <v>0</v>
      </c>
      <c r="CF121" s="64"/>
      <c r="CG121" s="74" t="s">
        <v>1320</v>
      </c>
      <c r="CH121" s="73">
        <f t="shared" ca="1" si="337"/>
        <v>0</v>
      </c>
      <c r="CI121" s="64"/>
      <c r="CJ121" s="74" t="s">
        <v>1320</v>
      </c>
      <c r="CK121" s="73">
        <f t="shared" ref="CK121:CN121" ca="1" si="338">($M121=CJ121)*$D$12</f>
        <v>0</v>
      </c>
      <c r="CL121" s="64"/>
      <c r="CM121" s="74" t="s">
        <v>1320</v>
      </c>
      <c r="CN121" s="73">
        <f t="shared" ca="1" si="338"/>
        <v>0</v>
      </c>
      <c r="CO121" s="64"/>
      <c r="CP121" s="64"/>
    </row>
    <row r="122" spans="1:94">
      <c r="A122" s="49"/>
      <c r="B122" s="49"/>
      <c r="C122" s="49"/>
      <c r="D122" s="49"/>
      <c r="E122" s="65"/>
      <c r="F122" s="127">
        <f t="shared" ref="F122" si="339">$D$13</f>
        <v>2</v>
      </c>
      <c r="G122" s="445">
        <f ca="1">VLOOKUP(H122,Equipos!$Q$1:$R$25,2,0)</f>
        <v>17</v>
      </c>
      <c r="H122" s="446">
        <f ca="1">$H$74</f>
        <v>46200</v>
      </c>
      <c r="I122" s="50"/>
      <c r="J122" s="844"/>
      <c r="K122" s="56" t="str">
        <f>Idiomas!D192</f>
        <v>3º GRUPO K</v>
      </c>
      <c r="L122" s="53"/>
      <c r="M122" s="55" t="str">
        <f ca="1">IF(OR(SUM(WORLDCUP!$AN$86:$AN$89)=12,WORLDCUP!$AJ$99=144),WORLDCUP!AL88,LEFT(K122,1)&amp;RIGHT(K122,1))</f>
        <v>3K</v>
      </c>
      <c r="N122" s="25"/>
      <c r="O122" s="25"/>
      <c r="P122" s="25"/>
      <c r="Q122" s="25"/>
      <c r="R122" s="110"/>
      <c r="S122" s="74" t="s">
        <v>1267</v>
      </c>
      <c r="T122" s="73">
        <f t="shared" ref="T122" ca="1" si="340">($M122=S122)*$D$13</f>
        <v>0</v>
      </c>
      <c r="U122" s="64"/>
      <c r="V122" s="74" t="s">
        <v>1267</v>
      </c>
      <c r="W122" s="73">
        <f t="shared" ref="W122:CH122" ca="1" si="341">($M122=V122)*$D$13</f>
        <v>0</v>
      </c>
      <c r="X122" s="64"/>
      <c r="Y122" s="74" t="s">
        <v>1320</v>
      </c>
      <c r="Z122" s="73">
        <f t="shared" ca="1" si="341"/>
        <v>0</v>
      </c>
      <c r="AA122" s="64"/>
      <c r="AB122" s="74" t="s">
        <v>1267</v>
      </c>
      <c r="AC122" s="73">
        <f t="shared" ca="1" si="341"/>
        <v>0</v>
      </c>
      <c r="AD122" s="64"/>
      <c r="AE122" s="74" t="s">
        <v>1267</v>
      </c>
      <c r="AF122" s="73">
        <f t="shared" ca="1" si="341"/>
        <v>0</v>
      </c>
      <c r="AG122" s="64"/>
      <c r="AH122" s="74" t="s">
        <v>1267</v>
      </c>
      <c r="AI122" s="73">
        <f t="shared" ca="1" si="341"/>
        <v>0</v>
      </c>
      <c r="AJ122" s="64"/>
      <c r="AK122" s="74" t="s">
        <v>1267</v>
      </c>
      <c r="AL122" s="73">
        <f t="shared" ca="1" si="341"/>
        <v>0</v>
      </c>
      <c r="AM122" s="64"/>
      <c r="AN122" s="74" t="s">
        <v>1267</v>
      </c>
      <c r="AO122" s="73">
        <f t="shared" ca="1" si="341"/>
        <v>0</v>
      </c>
      <c r="AP122" s="64"/>
      <c r="AQ122" s="74" t="s">
        <v>1839</v>
      </c>
      <c r="AR122" s="73">
        <f t="shared" ca="1" si="341"/>
        <v>0</v>
      </c>
      <c r="AS122" s="64"/>
      <c r="AT122" s="74" t="s">
        <v>1267</v>
      </c>
      <c r="AU122" s="73">
        <f t="shared" ca="1" si="341"/>
        <v>0</v>
      </c>
      <c r="AV122" s="64"/>
      <c r="AW122" s="74" t="s">
        <v>1839</v>
      </c>
      <c r="AX122" s="73">
        <f t="shared" ca="1" si="341"/>
        <v>0</v>
      </c>
      <c r="AY122" s="64"/>
      <c r="AZ122" s="74" t="s">
        <v>1267</v>
      </c>
      <c r="BA122" s="73">
        <f t="shared" ca="1" si="341"/>
        <v>0</v>
      </c>
      <c r="BB122" s="64"/>
      <c r="BC122" s="74" t="s">
        <v>1267</v>
      </c>
      <c r="BD122" s="73">
        <f t="shared" ca="1" si="341"/>
        <v>0</v>
      </c>
      <c r="BE122" s="64"/>
      <c r="BF122" s="74" t="s">
        <v>1267</v>
      </c>
      <c r="BG122" s="73">
        <f t="shared" ca="1" si="341"/>
        <v>0</v>
      </c>
      <c r="BH122" s="64"/>
      <c r="BI122" s="74" t="s">
        <v>1839</v>
      </c>
      <c r="BJ122" s="73">
        <f t="shared" ca="1" si="341"/>
        <v>0</v>
      </c>
      <c r="BK122" s="64"/>
      <c r="BL122" s="74" t="s">
        <v>1839</v>
      </c>
      <c r="BM122" s="73">
        <f t="shared" ca="1" si="341"/>
        <v>0</v>
      </c>
      <c r="BN122" s="64"/>
      <c r="BO122" s="74" t="s">
        <v>1839</v>
      </c>
      <c r="BP122" s="73">
        <f t="shared" ca="1" si="341"/>
        <v>0</v>
      </c>
      <c r="BQ122" s="64"/>
      <c r="BR122" s="74" t="s">
        <v>1839</v>
      </c>
      <c r="BS122" s="73">
        <f t="shared" ca="1" si="341"/>
        <v>0</v>
      </c>
      <c r="BT122" s="64"/>
      <c r="BU122" s="74" t="s">
        <v>1267</v>
      </c>
      <c r="BV122" s="73">
        <f t="shared" ca="1" si="341"/>
        <v>0</v>
      </c>
      <c r="BW122" s="64"/>
      <c r="BX122" s="74" t="s">
        <v>1839</v>
      </c>
      <c r="BY122" s="73">
        <f t="shared" ca="1" si="341"/>
        <v>0</v>
      </c>
      <c r="BZ122" s="64"/>
      <c r="CA122" s="74" t="s">
        <v>1839</v>
      </c>
      <c r="CB122" s="73">
        <f t="shared" ca="1" si="341"/>
        <v>0</v>
      </c>
      <c r="CC122" s="64"/>
      <c r="CD122" s="74" t="s">
        <v>1267</v>
      </c>
      <c r="CE122" s="73">
        <f t="shared" ca="1" si="341"/>
        <v>0</v>
      </c>
      <c r="CF122" s="64"/>
      <c r="CG122" s="74" t="s">
        <v>1839</v>
      </c>
      <c r="CH122" s="73">
        <f t="shared" ca="1" si="341"/>
        <v>0</v>
      </c>
      <c r="CI122" s="64"/>
      <c r="CJ122" s="74" t="s">
        <v>1267</v>
      </c>
      <c r="CK122" s="73">
        <f t="shared" ref="CK122:CN122" ca="1" si="342">($M122=CJ122)*$D$13</f>
        <v>0</v>
      </c>
      <c r="CL122" s="64"/>
      <c r="CM122" s="74" t="s">
        <v>1839</v>
      </c>
      <c r="CN122" s="73">
        <f t="shared" ca="1" si="342"/>
        <v>0</v>
      </c>
      <c r="CO122" s="64"/>
      <c r="CP122" s="64"/>
    </row>
    <row r="123" spans="1:94">
      <c r="A123" s="49"/>
      <c r="B123" s="49"/>
      <c r="C123" s="49"/>
      <c r="D123" s="49"/>
      <c r="E123" s="65"/>
      <c r="F123" s="127">
        <f t="shared" ref="F123" si="343">$D$14</f>
        <v>1</v>
      </c>
      <c r="G123" s="445">
        <f ca="1">VLOOKUP(H123,Equipos!$Q$1:$R$25,2,0)</f>
        <v>17</v>
      </c>
      <c r="H123" s="446">
        <f ca="1">$H$74</f>
        <v>46200</v>
      </c>
      <c r="I123" s="50"/>
      <c r="J123" s="844"/>
      <c r="K123" s="56" t="str">
        <f>Idiomas!D193</f>
        <v>4º GRUPO K</v>
      </c>
      <c r="L123" s="53"/>
      <c r="M123" s="55" t="str">
        <f ca="1">IF(OR(SUM(WORLDCUP!$AN$86:$AN$89)=12,WORLDCUP!$AJ$99=144),WORLDCUP!AL89,LEFT(K123,1)&amp;RIGHT(K123,1))</f>
        <v>4K</v>
      </c>
      <c r="N123" s="25"/>
      <c r="O123" s="25"/>
      <c r="P123" s="25"/>
      <c r="Q123" s="25"/>
      <c r="R123" s="110"/>
      <c r="S123" s="74" t="s">
        <v>1839</v>
      </c>
      <c r="T123" s="73">
        <f t="shared" ref="T123" ca="1" si="344">($M123=S123)*$D$14</f>
        <v>0</v>
      </c>
      <c r="U123" s="64"/>
      <c r="V123" s="74" t="s">
        <v>1839</v>
      </c>
      <c r="W123" s="73">
        <f t="shared" ref="W123:CH123" ca="1" si="345">($M123=V123)*$D$14</f>
        <v>0</v>
      </c>
      <c r="X123" s="64"/>
      <c r="Y123" s="74" t="s">
        <v>1267</v>
      </c>
      <c r="Z123" s="73">
        <f t="shared" ca="1" si="345"/>
        <v>0</v>
      </c>
      <c r="AA123" s="64"/>
      <c r="AB123" s="74" t="s">
        <v>1839</v>
      </c>
      <c r="AC123" s="73">
        <f t="shared" ca="1" si="345"/>
        <v>0</v>
      </c>
      <c r="AD123" s="64"/>
      <c r="AE123" s="74" t="s">
        <v>1839</v>
      </c>
      <c r="AF123" s="73">
        <f t="shared" ca="1" si="345"/>
        <v>0</v>
      </c>
      <c r="AG123" s="64"/>
      <c r="AH123" s="74" t="s">
        <v>1839</v>
      </c>
      <c r="AI123" s="73">
        <f t="shared" ca="1" si="345"/>
        <v>0</v>
      </c>
      <c r="AJ123" s="64"/>
      <c r="AK123" s="74" t="s">
        <v>1839</v>
      </c>
      <c r="AL123" s="73">
        <f t="shared" ca="1" si="345"/>
        <v>0</v>
      </c>
      <c r="AM123" s="64"/>
      <c r="AN123" s="74" t="s">
        <v>1839</v>
      </c>
      <c r="AO123" s="73">
        <f t="shared" ca="1" si="345"/>
        <v>0</v>
      </c>
      <c r="AP123" s="64"/>
      <c r="AQ123" s="74" t="s">
        <v>1267</v>
      </c>
      <c r="AR123" s="73">
        <f t="shared" ca="1" si="345"/>
        <v>0</v>
      </c>
      <c r="AS123" s="64"/>
      <c r="AT123" s="74" t="s">
        <v>1839</v>
      </c>
      <c r="AU123" s="73">
        <f t="shared" ca="1" si="345"/>
        <v>0</v>
      </c>
      <c r="AV123" s="64"/>
      <c r="AW123" s="74" t="s">
        <v>1267</v>
      </c>
      <c r="AX123" s="73">
        <f t="shared" ca="1" si="345"/>
        <v>0</v>
      </c>
      <c r="AY123" s="64"/>
      <c r="AZ123" s="74" t="s">
        <v>1839</v>
      </c>
      <c r="BA123" s="73">
        <f t="shared" ca="1" si="345"/>
        <v>0</v>
      </c>
      <c r="BB123" s="64"/>
      <c r="BC123" s="74" t="s">
        <v>1839</v>
      </c>
      <c r="BD123" s="73">
        <f t="shared" ca="1" si="345"/>
        <v>0</v>
      </c>
      <c r="BE123" s="64"/>
      <c r="BF123" s="74" t="s">
        <v>1839</v>
      </c>
      <c r="BG123" s="73">
        <f t="shared" ca="1" si="345"/>
        <v>0</v>
      </c>
      <c r="BH123" s="64"/>
      <c r="BI123" s="74" t="s">
        <v>1267</v>
      </c>
      <c r="BJ123" s="73">
        <f t="shared" ca="1" si="345"/>
        <v>0</v>
      </c>
      <c r="BK123" s="64"/>
      <c r="BL123" s="74" t="s">
        <v>1267</v>
      </c>
      <c r="BM123" s="73">
        <f t="shared" ca="1" si="345"/>
        <v>0</v>
      </c>
      <c r="BN123" s="64"/>
      <c r="BO123" s="74" t="s">
        <v>1267</v>
      </c>
      <c r="BP123" s="73">
        <f t="shared" ca="1" si="345"/>
        <v>0</v>
      </c>
      <c r="BQ123" s="64"/>
      <c r="BR123" s="74" t="s">
        <v>1267</v>
      </c>
      <c r="BS123" s="73">
        <f t="shared" ca="1" si="345"/>
        <v>0</v>
      </c>
      <c r="BT123" s="64"/>
      <c r="BU123" s="74" t="s">
        <v>1839</v>
      </c>
      <c r="BV123" s="73">
        <f t="shared" ca="1" si="345"/>
        <v>0</v>
      </c>
      <c r="BW123" s="64"/>
      <c r="BX123" s="74" t="s">
        <v>1267</v>
      </c>
      <c r="BY123" s="73">
        <f t="shared" ca="1" si="345"/>
        <v>0</v>
      </c>
      <c r="BZ123" s="64"/>
      <c r="CA123" s="74" t="s">
        <v>1267</v>
      </c>
      <c r="CB123" s="73">
        <f t="shared" ca="1" si="345"/>
        <v>0</v>
      </c>
      <c r="CC123" s="64"/>
      <c r="CD123" s="74" t="s">
        <v>1839</v>
      </c>
      <c r="CE123" s="73">
        <f t="shared" ca="1" si="345"/>
        <v>0</v>
      </c>
      <c r="CF123" s="64"/>
      <c r="CG123" s="74" t="s">
        <v>1267</v>
      </c>
      <c r="CH123" s="73">
        <f t="shared" ca="1" si="345"/>
        <v>0</v>
      </c>
      <c r="CI123" s="64"/>
      <c r="CJ123" s="74" t="s">
        <v>1839</v>
      </c>
      <c r="CK123" s="73">
        <f t="shared" ref="CK123:CN123" ca="1" si="346">($M123=CJ123)*$D$14</f>
        <v>0</v>
      </c>
      <c r="CL123" s="64"/>
      <c r="CM123" s="74" t="s">
        <v>1267</v>
      </c>
      <c r="CN123" s="73">
        <f t="shared" ca="1" si="346"/>
        <v>0</v>
      </c>
      <c r="CO123" s="64"/>
      <c r="CP123" s="64"/>
    </row>
    <row r="124" spans="1:94">
      <c r="A124" s="49"/>
      <c r="B124" s="49"/>
      <c r="C124" s="49"/>
      <c r="D124" s="49"/>
      <c r="E124" s="65"/>
      <c r="F124" s="127">
        <f t="shared" ref="F124" si="347">$D$11</f>
        <v>6</v>
      </c>
      <c r="G124" s="445">
        <f ca="1">VLOOKUP(H124,Equipos!$Q$1:$R$25,2,0)</f>
        <v>17</v>
      </c>
      <c r="H124" s="446">
        <f ca="1">$H$76</f>
        <v>46200</v>
      </c>
      <c r="I124" s="50"/>
      <c r="J124" s="843" t="s">
        <v>238</v>
      </c>
      <c r="K124" s="56" t="str">
        <f>Idiomas!D194</f>
        <v>1º GRUPO L</v>
      </c>
      <c r="L124" s="53"/>
      <c r="M124" s="55" t="str">
        <f ca="1">IF(OR(SUM(WORLDCUP!$AN$94:$AN$97)=12,WORLDCUP!$AJ$99=144),WORLDCUP!AL94,LEFT(K124,1)&amp;RIGHT(K124,1))</f>
        <v>1L</v>
      </c>
      <c r="N124" s="25"/>
      <c r="O124" s="25"/>
      <c r="P124" s="25"/>
      <c r="Q124" s="25"/>
      <c r="R124" s="110"/>
      <c r="S124" s="74" t="s">
        <v>76</v>
      </c>
      <c r="T124" s="73">
        <f t="shared" ref="T124" ca="1" si="348">($M124=S124)*$D$11</f>
        <v>0</v>
      </c>
      <c r="U124" s="64"/>
      <c r="V124" s="74" t="s">
        <v>1551</v>
      </c>
      <c r="W124" s="73">
        <f t="shared" ref="W124:CH124" ca="1" si="349">($M124=V124)*$D$11</f>
        <v>0</v>
      </c>
      <c r="X124" s="64"/>
      <c r="Y124" s="74" t="s">
        <v>76</v>
      </c>
      <c r="Z124" s="73">
        <f t="shared" ca="1" si="349"/>
        <v>0</v>
      </c>
      <c r="AA124" s="64"/>
      <c r="AB124" s="74" t="s">
        <v>76</v>
      </c>
      <c r="AC124" s="73">
        <f t="shared" ca="1" si="349"/>
        <v>0</v>
      </c>
      <c r="AD124" s="64"/>
      <c r="AE124" s="74" t="s">
        <v>76</v>
      </c>
      <c r="AF124" s="73">
        <f t="shared" ca="1" si="349"/>
        <v>0</v>
      </c>
      <c r="AG124" s="64"/>
      <c r="AH124" s="74" t="s">
        <v>76</v>
      </c>
      <c r="AI124" s="73">
        <f t="shared" ca="1" si="349"/>
        <v>0</v>
      </c>
      <c r="AJ124" s="64"/>
      <c r="AK124" s="74" t="s">
        <v>76</v>
      </c>
      <c r="AL124" s="73">
        <f t="shared" ca="1" si="349"/>
        <v>0</v>
      </c>
      <c r="AM124" s="64"/>
      <c r="AN124" s="74" t="s">
        <v>76</v>
      </c>
      <c r="AO124" s="73">
        <f t="shared" ca="1" si="349"/>
        <v>0</v>
      </c>
      <c r="AP124" s="64"/>
      <c r="AQ124" s="74" t="s">
        <v>76</v>
      </c>
      <c r="AR124" s="73">
        <f t="shared" ca="1" si="349"/>
        <v>0</v>
      </c>
      <c r="AS124" s="64"/>
      <c r="AT124" s="74" t="s">
        <v>76</v>
      </c>
      <c r="AU124" s="73">
        <f t="shared" ca="1" si="349"/>
        <v>0</v>
      </c>
      <c r="AV124" s="64"/>
      <c r="AW124" s="74" t="s">
        <v>76</v>
      </c>
      <c r="AX124" s="73">
        <f t="shared" ca="1" si="349"/>
        <v>0</v>
      </c>
      <c r="AY124" s="64"/>
      <c r="AZ124" s="74" t="s">
        <v>76</v>
      </c>
      <c r="BA124" s="73">
        <f t="shared" ca="1" si="349"/>
        <v>0</v>
      </c>
      <c r="BB124" s="64"/>
      <c r="BC124" s="74" t="s">
        <v>76</v>
      </c>
      <c r="BD124" s="73">
        <f t="shared" ca="1" si="349"/>
        <v>0</v>
      </c>
      <c r="BE124" s="64"/>
      <c r="BF124" s="74" t="s">
        <v>76</v>
      </c>
      <c r="BG124" s="73">
        <f t="shared" ca="1" si="349"/>
        <v>0</v>
      </c>
      <c r="BH124" s="64"/>
      <c r="BI124" s="74" t="s">
        <v>76</v>
      </c>
      <c r="BJ124" s="73">
        <f t="shared" ca="1" si="349"/>
        <v>0</v>
      </c>
      <c r="BK124" s="64"/>
      <c r="BL124" s="74" t="s">
        <v>78</v>
      </c>
      <c r="BM124" s="73">
        <f t="shared" ca="1" si="349"/>
        <v>0</v>
      </c>
      <c r="BN124" s="64"/>
      <c r="BO124" s="74" t="s">
        <v>76</v>
      </c>
      <c r="BP124" s="73">
        <f t="shared" ca="1" si="349"/>
        <v>0</v>
      </c>
      <c r="BQ124" s="64"/>
      <c r="BR124" s="74" t="s">
        <v>76</v>
      </c>
      <c r="BS124" s="73">
        <f t="shared" ca="1" si="349"/>
        <v>0</v>
      </c>
      <c r="BT124" s="64"/>
      <c r="BU124" s="74" t="s">
        <v>76</v>
      </c>
      <c r="BV124" s="73">
        <f t="shared" ca="1" si="349"/>
        <v>0</v>
      </c>
      <c r="BW124" s="64"/>
      <c r="BX124" s="74" t="s">
        <v>76</v>
      </c>
      <c r="BY124" s="73">
        <f t="shared" ca="1" si="349"/>
        <v>0</v>
      </c>
      <c r="BZ124" s="64"/>
      <c r="CA124" s="74" t="s">
        <v>76</v>
      </c>
      <c r="CB124" s="73">
        <f t="shared" ca="1" si="349"/>
        <v>0</v>
      </c>
      <c r="CC124" s="64"/>
      <c r="CD124" s="74" t="s">
        <v>76</v>
      </c>
      <c r="CE124" s="73">
        <f t="shared" ca="1" si="349"/>
        <v>0</v>
      </c>
      <c r="CF124" s="64"/>
      <c r="CG124" s="74" t="s">
        <v>76</v>
      </c>
      <c r="CH124" s="73">
        <f t="shared" ca="1" si="349"/>
        <v>0</v>
      </c>
      <c r="CI124" s="64"/>
      <c r="CJ124" s="74" t="s">
        <v>76</v>
      </c>
      <c r="CK124" s="73">
        <f t="shared" ref="CK124:CN124" ca="1" si="350">($M124=CJ124)*$D$11</f>
        <v>0</v>
      </c>
      <c r="CL124" s="64"/>
      <c r="CM124" s="74" t="s">
        <v>76</v>
      </c>
      <c r="CN124" s="73">
        <f t="shared" ca="1" si="350"/>
        <v>0</v>
      </c>
      <c r="CO124" s="64"/>
      <c r="CP124" s="64"/>
    </row>
    <row r="125" spans="1:94">
      <c r="A125" s="49"/>
      <c r="B125" s="49"/>
      <c r="C125" s="49"/>
      <c r="D125" s="49"/>
      <c r="E125" s="65"/>
      <c r="F125" s="127">
        <f t="shared" ref="F125" si="351">$D$12</f>
        <v>4</v>
      </c>
      <c r="G125" s="445">
        <f ca="1">VLOOKUP(H125,Equipos!$Q$1:$R$25,2,0)</f>
        <v>17</v>
      </c>
      <c r="H125" s="446">
        <f ca="1">$H$76</f>
        <v>46200</v>
      </c>
      <c r="I125" s="50"/>
      <c r="J125" s="843"/>
      <c r="K125" s="56" t="str">
        <f>Idiomas!D195</f>
        <v>2º GRUPO L</v>
      </c>
      <c r="L125" s="53"/>
      <c r="M125" s="55" t="str">
        <f ca="1">IF(OR(SUM(WORLDCUP!$AN$94:$AN$97)=12,WORLDCUP!$AJ$99=144),WORLDCUP!AL95,LEFT(K125,1)&amp;RIGHT(K125,1))</f>
        <v>2L</v>
      </c>
      <c r="N125" s="25"/>
      <c r="O125" s="25"/>
      <c r="P125" s="25"/>
      <c r="Q125" s="25"/>
      <c r="R125" s="110"/>
      <c r="S125" s="74" t="s">
        <v>1551</v>
      </c>
      <c r="T125" s="73">
        <f t="shared" ref="T125" ca="1" si="352">($M125=S125)*$D$12</f>
        <v>0</v>
      </c>
      <c r="U125" s="64"/>
      <c r="V125" s="74" t="s">
        <v>76</v>
      </c>
      <c r="W125" s="73">
        <f t="shared" ref="W125:CH125" ca="1" si="353">($M125=V125)*$D$12</f>
        <v>0</v>
      </c>
      <c r="X125" s="64"/>
      <c r="Y125" s="74" t="s">
        <v>78</v>
      </c>
      <c r="Z125" s="73">
        <f t="shared" ca="1" si="353"/>
        <v>0</v>
      </c>
      <c r="AA125" s="64"/>
      <c r="AB125" s="74" t="s">
        <v>78</v>
      </c>
      <c r="AC125" s="73">
        <f t="shared" ca="1" si="353"/>
        <v>0</v>
      </c>
      <c r="AD125" s="64"/>
      <c r="AE125" s="74" t="s">
        <v>78</v>
      </c>
      <c r="AF125" s="73">
        <f t="shared" ca="1" si="353"/>
        <v>0</v>
      </c>
      <c r="AG125" s="64"/>
      <c r="AH125" s="74" t="s">
        <v>78</v>
      </c>
      <c r="AI125" s="73">
        <f t="shared" ca="1" si="353"/>
        <v>0</v>
      </c>
      <c r="AJ125" s="64"/>
      <c r="AK125" s="74" t="s">
        <v>78</v>
      </c>
      <c r="AL125" s="73">
        <f t="shared" ca="1" si="353"/>
        <v>0</v>
      </c>
      <c r="AM125" s="64"/>
      <c r="AN125" s="74" t="s">
        <v>78</v>
      </c>
      <c r="AO125" s="73">
        <f t="shared" ca="1" si="353"/>
        <v>0</v>
      </c>
      <c r="AP125" s="64"/>
      <c r="AQ125" s="74" t="s">
        <v>78</v>
      </c>
      <c r="AR125" s="73">
        <f t="shared" ca="1" si="353"/>
        <v>0</v>
      </c>
      <c r="AS125" s="64"/>
      <c r="AT125" s="74" t="s">
        <v>78</v>
      </c>
      <c r="AU125" s="73">
        <f t="shared" ca="1" si="353"/>
        <v>0</v>
      </c>
      <c r="AV125" s="64"/>
      <c r="AW125" s="74" t="s">
        <v>78</v>
      </c>
      <c r="AX125" s="73">
        <f t="shared" ca="1" si="353"/>
        <v>0</v>
      </c>
      <c r="AY125" s="64"/>
      <c r="AZ125" s="74" t="s">
        <v>78</v>
      </c>
      <c r="BA125" s="73">
        <f t="shared" ca="1" si="353"/>
        <v>0</v>
      </c>
      <c r="BB125" s="64"/>
      <c r="BC125" s="74" t="s">
        <v>78</v>
      </c>
      <c r="BD125" s="73">
        <f t="shared" ca="1" si="353"/>
        <v>0</v>
      </c>
      <c r="BE125" s="64"/>
      <c r="BF125" s="74" t="s">
        <v>78</v>
      </c>
      <c r="BG125" s="73">
        <f t="shared" ca="1" si="353"/>
        <v>0</v>
      </c>
      <c r="BH125" s="64"/>
      <c r="BI125" s="74" t="s">
        <v>78</v>
      </c>
      <c r="BJ125" s="73">
        <f t="shared" ca="1" si="353"/>
        <v>0</v>
      </c>
      <c r="BK125" s="64"/>
      <c r="BL125" s="74" t="s">
        <v>76</v>
      </c>
      <c r="BM125" s="73">
        <f t="shared" ca="1" si="353"/>
        <v>0</v>
      </c>
      <c r="BN125" s="64"/>
      <c r="BO125" s="74" t="s">
        <v>78</v>
      </c>
      <c r="BP125" s="73">
        <f t="shared" ca="1" si="353"/>
        <v>0</v>
      </c>
      <c r="BQ125" s="64"/>
      <c r="BR125" s="74" t="s">
        <v>78</v>
      </c>
      <c r="BS125" s="73">
        <f t="shared" ca="1" si="353"/>
        <v>0</v>
      </c>
      <c r="BT125" s="64"/>
      <c r="BU125" s="74" t="s">
        <v>78</v>
      </c>
      <c r="BV125" s="73">
        <f t="shared" ca="1" si="353"/>
        <v>0</v>
      </c>
      <c r="BW125" s="64"/>
      <c r="BX125" s="74" t="s">
        <v>78</v>
      </c>
      <c r="BY125" s="73">
        <f t="shared" ca="1" si="353"/>
        <v>0</v>
      </c>
      <c r="BZ125" s="64"/>
      <c r="CA125" s="74" t="s">
        <v>78</v>
      </c>
      <c r="CB125" s="73">
        <f t="shared" ca="1" si="353"/>
        <v>0</v>
      </c>
      <c r="CC125" s="64"/>
      <c r="CD125" s="74" t="s">
        <v>1551</v>
      </c>
      <c r="CE125" s="73">
        <f t="shared" ca="1" si="353"/>
        <v>0</v>
      </c>
      <c r="CF125" s="64"/>
      <c r="CG125" s="74" t="s">
        <v>78</v>
      </c>
      <c r="CH125" s="73">
        <f t="shared" ca="1" si="353"/>
        <v>0</v>
      </c>
      <c r="CI125" s="64"/>
      <c r="CJ125" s="74" t="s">
        <v>78</v>
      </c>
      <c r="CK125" s="73">
        <f t="shared" ref="CK125:CN125" ca="1" si="354">($M125=CJ125)*$D$12</f>
        <v>0</v>
      </c>
      <c r="CL125" s="64"/>
      <c r="CM125" s="74" t="s">
        <v>78</v>
      </c>
      <c r="CN125" s="73">
        <f t="shared" ca="1" si="354"/>
        <v>0</v>
      </c>
      <c r="CO125" s="64"/>
      <c r="CP125" s="64"/>
    </row>
    <row r="126" spans="1:94">
      <c r="A126" s="49"/>
      <c r="B126" s="49"/>
      <c r="C126" s="49"/>
      <c r="D126" s="49"/>
      <c r="E126" s="65"/>
      <c r="F126" s="127">
        <f t="shared" ref="F126" si="355">$D$13</f>
        <v>2</v>
      </c>
      <c r="G126" s="445">
        <f ca="1">VLOOKUP(H126,Equipos!$Q$1:$R$25,2,0)</f>
        <v>17</v>
      </c>
      <c r="H126" s="446">
        <f ca="1">$H$76</f>
        <v>46200</v>
      </c>
      <c r="I126" s="50"/>
      <c r="J126" s="843"/>
      <c r="K126" s="56" t="str">
        <f>Idiomas!D196</f>
        <v>3º GRUPO L</v>
      </c>
      <c r="L126" s="53"/>
      <c r="M126" s="55" t="str">
        <f ca="1">IF(OR(SUM(WORLDCUP!$AN$94:$AN$97)=12,WORLDCUP!$AJ$99=144),WORLDCUP!AL96,LEFT(K126,1)&amp;RIGHT(K126,1))</f>
        <v>3L</v>
      </c>
      <c r="N126" s="25"/>
      <c r="O126" s="25"/>
      <c r="P126" s="25"/>
      <c r="Q126" s="25"/>
      <c r="R126" s="110"/>
      <c r="S126" s="74" t="s">
        <v>78</v>
      </c>
      <c r="T126" s="73">
        <f t="shared" ref="T126" ca="1" si="356">($M126=S126)*$D$13</f>
        <v>0</v>
      </c>
      <c r="U126" s="64"/>
      <c r="V126" s="74" t="s">
        <v>78</v>
      </c>
      <c r="W126" s="73">
        <f t="shared" ref="W126:CH126" ca="1" si="357">($M126=V126)*$D$13</f>
        <v>0</v>
      </c>
      <c r="X126" s="64"/>
      <c r="Y126" s="74" t="s">
        <v>1551</v>
      </c>
      <c r="Z126" s="73">
        <f t="shared" ca="1" si="357"/>
        <v>0</v>
      </c>
      <c r="AA126" s="64"/>
      <c r="AB126" s="74" t="s">
        <v>1551</v>
      </c>
      <c r="AC126" s="73">
        <f t="shared" ca="1" si="357"/>
        <v>0</v>
      </c>
      <c r="AD126" s="64"/>
      <c r="AE126" s="74" t="s">
        <v>1551</v>
      </c>
      <c r="AF126" s="73">
        <f t="shared" ca="1" si="357"/>
        <v>0</v>
      </c>
      <c r="AG126" s="64"/>
      <c r="AH126" s="74" t="s">
        <v>1551</v>
      </c>
      <c r="AI126" s="73">
        <f t="shared" ca="1" si="357"/>
        <v>0</v>
      </c>
      <c r="AJ126" s="64"/>
      <c r="AK126" s="74" t="s">
        <v>1551</v>
      </c>
      <c r="AL126" s="73">
        <f t="shared" ca="1" si="357"/>
        <v>0</v>
      </c>
      <c r="AM126" s="64"/>
      <c r="AN126" s="74" t="s">
        <v>1551</v>
      </c>
      <c r="AO126" s="73">
        <f t="shared" ca="1" si="357"/>
        <v>0</v>
      </c>
      <c r="AP126" s="64"/>
      <c r="AQ126" s="74" t="s">
        <v>1551</v>
      </c>
      <c r="AR126" s="73">
        <f t="shared" ca="1" si="357"/>
        <v>0</v>
      </c>
      <c r="AS126" s="64"/>
      <c r="AT126" s="74" t="s">
        <v>1551</v>
      </c>
      <c r="AU126" s="73">
        <f t="shared" ca="1" si="357"/>
        <v>0</v>
      </c>
      <c r="AV126" s="64"/>
      <c r="AW126" s="74" t="s">
        <v>1730</v>
      </c>
      <c r="AX126" s="73">
        <f t="shared" ca="1" si="357"/>
        <v>0</v>
      </c>
      <c r="AY126" s="64"/>
      <c r="AZ126" s="74" t="s">
        <v>1551</v>
      </c>
      <c r="BA126" s="73">
        <f t="shared" ca="1" si="357"/>
        <v>0</v>
      </c>
      <c r="BB126" s="64"/>
      <c r="BC126" s="74" t="s">
        <v>1551</v>
      </c>
      <c r="BD126" s="73">
        <f t="shared" ca="1" si="357"/>
        <v>0</v>
      </c>
      <c r="BE126" s="64"/>
      <c r="BF126" s="74" t="s">
        <v>1551</v>
      </c>
      <c r="BG126" s="73">
        <f t="shared" ca="1" si="357"/>
        <v>0</v>
      </c>
      <c r="BH126" s="64"/>
      <c r="BI126" s="74" t="s">
        <v>1551</v>
      </c>
      <c r="BJ126" s="73">
        <f t="shared" ca="1" si="357"/>
        <v>0</v>
      </c>
      <c r="BK126" s="64"/>
      <c r="BL126" s="74" t="s">
        <v>1551</v>
      </c>
      <c r="BM126" s="73">
        <f t="shared" ca="1" si="357"/>
        <v>0</v>
      </c>
      <c r="BN126" s="64"/>
      <c r="BO126" s="74" t="s">
        <v>1551</v>
      </c>
      <c r="BP126" s="73">
        <f t="shared" ca="1" si="357"/>
        <v>0</v>
      </c>
      <c r="BQ126" s="64"/>
      <c r="BR126" s="74" t="s">
        <v>1551</v>
      </c>
      <c r="BS126" s="73">
        <f t="shared" ca="1" si="357"/>
        <v>0</v>
      </c>
      <c r="BT126" s="64"/>
      <c r="BU126" s="74" t="s">
        <v>1551</v>
      </c>
      <c r="BV126" s="73">
        <f t="shared" ca="1" si="357"/>
        <v>0</v>
      </c>
      <c r="BW126" s="64"/>
      <c r="BX126" s="74" t="s">
        <v>1551</v>
      </c>
      <c r="BY126" s="73">
        <f t="shared" ca="1" si="357"/>
        <v>0</v>
      </c>
      <c r="BZ126" s="64"/>
      <c r="CA126" s="74" t="s">
        <v>1730</v>
      </c>
      <c r="CB126" s="73">
        <f t="shared" ca="1" si="357"/>
        <v>0</v>
      </c>
      <c r="CC126" s="64"/>
      <c r="CD126" s="74" t="s">
        <v>78</v>
      </c>
      <c r="CE126" s="73">
        <f t="shared" ca="1" si="357"/>
        <v>0</v>
      </c>
      <c r="CF126" s="64"/>
      <c r="CG126" s="74" t="s">
        <v>1730</v>
      </c>
      <c r="CH126" s="73">
        <f t="shared" ca="1" si="357"/>
        <v>0</v>
      </c>
      <c r="CI126" s="64"/>
      <c r="CJ126" s="74" t="s">
        <v>1730</v>
      </c>
      <c r="CK126" s="73">
        <f t="shared" ref="CK126:CN126" ca="1" si="358">($M126=CJ126)*$D$13</f>
        <v>0</v>
      </c>
      <c r="CL126" s="64"/>
      <c r="CM126" s="74" t="s">
        <v>1551</v>
      </c>
      <c r="CN126" s="73">
        <f t="shared" ca="1" si="358"/>
        <v>0</v>
      </c>
      <c r="CO126" s="64"/>
      <c r="CP126" s="64"/>
    </row>
    <row r="127" spans="1:94">
      <c r="A127" s="49"/>
      <c r="B127" s="49"/>
      <c r="C127" s="49"/>
      <c r="D127" s="49"/>
      <c r="E127" s="65"/>
      <c r="F127" s="127">
        <f t="shared" ref="F127" si="359">$D$14</f>
        <v>1</v>
      </c>
      <c r="G127" s="445">
        <f ca="1">VLOOKUP(H127,Equipos!$Q$1:$R$25,2,0)</f>
        <v>17</v>
      </c>
      <c r="H127" s="446">
        <f ca="1">$H$76</f>
        <v>46200</v>
      </c>
      <c r="I127" s="50"/>
      <c r="J127" s="843"/>
      <c r="K127" s="115" t="str">
        <f>Idiomas!D197</f>
        <v>4º GRUPO L</v>
      </c>
      <c r="L127" s="115"/>
      <c r="M127" s="116" t="str">
        <f ca="1">IF(OR(SUM(WORLDCUP!$AN$94:$AN$97)=12,WORLDCUP!$AJ$99=144),WORLDCUP!AL97,LEFT(K127,1)&amp;RIGHT(K127,1))</f>
        <v>4L</v>
      </c>
      <c r="N127" s="25"/>
      <c r="O127" s="25"/>
      <c r="P127" s="25"/>
      <c r="Q127" s="25"/>
      <c r="R127" s="110"/>
      <c r="S127" s="80" t="s">
        <v>1730</v>
      </c>
      <c r="T127" s="81">
        <f t="shared" ref="T127" ca="1" si="360">($M127=S127)*$D$14</f>
        <v>0</v>
      </c>
      <c r="U127" s="64"/>
      <c r="V127" s="80" t="s">
        <v>1730</v>
      </c>
      <c r="W127" s="81">
        <f t="shared" ref="W127:CH127" ca="1" si="361">($M127=V127)*$D$14</f>
        <v>0</v>
      </c>
      <c r="X127" s="64"/>
      <c r="Y127" s="80" t="s">
        <v>1730</v>
      </c>
      <c r="Z127" s="81">
        <f t="shared" ca="1" si="361"/>
        <v>0</v>
      </c>
      <c r="AA127" s="64"/>
      <c r="AB127" s="80" t="s">
        <v>1730</v>
      </c>
      <c r="AC127" s="81">
        <f t="shared" ca="1" si="361"/>
        <v>0</v>
      </c>
      <c r="AD127" s="64"/>
      <c r="AE127" s="80" t="s">
        <v>1730</v>
      </c>
      <c r="AF127" s="81">
        <f t="shared" ca="1" si="361"/>
        <v>0</v>
      </c>
      <c r="AG127" s="64"/>
      <c r="AH127" s="80" t="s">
        <v>1730</v>
      </c>
      <c r="AI127" s="81">
        <f t="shared" ca="1" si="361"/>
        <v>0</v>
      </c>
      <c r="AJ127" s="64"/>
      <c r="AK127" s="80" t="s">
        <v>1730</v>
      </c>
      <c r="AL127" s="81">
        <f t="shared" ca="1" si="361"/>
        <v>0</v>
      </c>
      <c r="AM127" s="64"/>
      <c r="AN127" s="80" t="s">
        <v>1730</v>
      </c>
      <c r="AO127" s="81">
        <f t="shared" ca="1" si="361"/>
        <v>0</v>
      </c>
      <c r="AP127" s="64"/>
      <c r="AQ127" s="80" t="s">
        <v>1730</v>
      </c>
      <c r="AR127" s="81">
        <f t="shared" ca="1" si="361"/>
        <v>0</v>
      </c>
      <c r="AS127" s="64"/>
      <c r="AT127" s="80" t="s">
        <v>1730</v>
      </c>
      <c r="AU127" s="81">
        <f t="shared" ca="1" si="361"/>
        <v>0</v>
      </c>
      <c r="AV127" s="64"/>
      <c r="AW127" s="80" t="s">
        <v>1551</v>
      </c>
      <c r="AX127" s="81">
        <f t="shared" ca="1" si="361"/>
        <v>0</v>
      </c>
      <c r="AY127" s="64"/>
      <c r="AZ127" s="80" t="s">
        <v>1730</v>
      </c>
      <c r="BA127" s="81">
        <f t="shared" ca="1" si="361"/>
        <v>0</v>
      </c>
      <c r="BB127" s="64"/>
      <c r="BC127" s="80" t="s">
        <v>1730</v>
      </c>
      <c r="BD127" s="81">
        <f t="shared" ca="1" si="361"/>
        <v>0</v>
      </c>
      <c r="BE127" s="64"/>
      <c r="BF127" s="80" t="s">
        <v>1730</v>
      </c>
      <c r="BG127" s="81">
        <f t="shared" ca="1" si="361"/>
        <v>0</v>
      </c>
      <c r="BH127" s="64"/>
      <c r="BI127" s="80" t="s">
        <v>1730</v>
      </c>
      <c r="BJ127" s="81">
        <f t="shared" ca="1" si="361"/>
        <v>0</v>
      </c>
      <c r="BK127" s="64"/>
      <c r="BL127" s="80" t="s">
        <v>1730</v>
      </c>
      <c r="BM127" s="81">
        <f t="shared" ca="1" si="361"/>
        <v>0</v>
      </c>
      <c r="BN127" s="64"/>
      <c r="BO127" s="80" t="s">
        <v>1730</v>
      </c>
      <c r="BP127" s="81">
        <f t="shared" ca="1" si="361"/>
        <v>0</v>
      </c>
      <c r="BQ127" s="64"/>
      <c r="BR127" s="80" t="s">
        <v>1730</v>
      </c>
      <c r="BS127" s="81">
        <f t="shared" ca="1" si="361"/>
        <v>0</v>
      </c>
      <c r="BT127" s="64"/>
      <c r="BU127" s="80" t="s">
        <v>1730</v>
      </c>
      <c r="BV127" s="81">
        <f t="shared" ca="1" si="361"/>
        <v>0</v>
      </c>
      <c r="BW127" s="64"/>
      <c r="BX127" s="80" t="s">
        <v>1730</v>
      </c>
      <c r="BY127" s="81">
        <f t="shared" ca="1" si="361"/>
        <v>0</v>
      </c>
      <c r="BZ127" s="64"/>
      <c r="CA127" s="80" t="s">
        <v>1551</v>
      </c>
      <c r="CB127" s="81">
        <f t="shared" ca="1" si="361"/>
        <v>0</v>
      </c>
      <c r="CC127" s="64"/>
      <c r="CD127" s="80" t="s">
        <v>1730</v>
      </c>
      <c r="CE127" s="81">
        <f t="shared" ca="1" si="361"/>
        <v>0</v>
      </c>
      <c r="CF127" s="64"/>
      <c r="CG127" s="80" t="s">
        <v>1551</v>
      </c>
      <c r="CH127" s="81">
        <f t="shared" ca="1" si="361"/>
        <v>0</v>
      </c>
      <c r="CI127" s="64"/>
      <c r="CJ127" s="80" t="s">
        <v>1551</v>
      </c>
      <c r="CK127" s="81">
        <f t="shared" ref="CK127:CN127" ca="1" si="362">($M127=CJ127)*$D$14</f>
        <v>0</v>
      </c>
      <c r="CL127" s="64"/>
      <c r="CM127" s="80" t="s">
        <v>1730</v>
      </c>
      <c r="CN127" s="81">
        <f t="shared" ca="1" si="362"/>
        <v>0</v>
      </c>
      <c r="CO127" s="64"/>
      <c r="CP127" s="64"/>
    </row>
    <row r="128" spans="1:94">
      <c r="A128" s="49"/>
      <c r="B128" s="49"/>
      <c r="C128" s="49"/>
      <c r="D128" s="49"/>
      <c r="E128" s="65"/>
      <c r="F128" s="127"/>
      <c r="G128" s="445"/>
      <c r="H128" s="65"/>
      <c r="I128" s="50"/>
      <c r="J128" s="94"/>
      <c r="K128" s="434" t="str">
        <f>Idiomas!D456</f>
        <v>Pos. Grupos</v>
      </c>
      <c r="L128" s="435"/>
      <c r="M128" s="434" t="str">
        <f>"Max: "&amp;SUM($D$11:$D$14)*12</f>
        <v>Max: 156</v>
      </c>
      <c r="N128" s="25"/>
      <c r="O128" s="25"/>
      <c r="P128" s="25"/>
      <c r="Q128" s="25"/>
      <c r="R128" s="49"/>
      <c r="S128" s="84"/>
      <c r="T128" s="71">
        <f ca="1">SUM(T80:T127)</f>
        <v>0</v>
      </c>
      <c r="U128" s="65"/>
      <c r="V128" s="84"/>
      <c r="W128" s="71">
        <f t="shared" ref="W128" ca="1" si="363">SUM(W80:W127)</f>
        <v>0</v>
      </c>
      <c r="X128" s="65"/>
      <c r="Y128" s="84"/>
      <c r="Z128" s="71">
        <f t="shared" ref="Z128" ca="1" si="364">SUM(Z80:Z127)</f>
        <v>0</v>
      </c>
      <c r="AA128" s="65"/>
      <c r="AB128" s="84"/>
      <c r="AC128" s="71">
        <f t="shared" ref="AC128" ca="1" si="365">SUM(AC80:AC127)</f>
        <v>0</v>
      </c>
      <c r="AD128" s="65"/>
      <c r="AE128" s="84"/>
      <c r="AF128" s="71">
        <f t="shared" ref="AF128" ca="1" si="366">SUM(AF80:AF127)</f>
        <v>0</v>
      </c>
      <c r="AG128" s="65"/>
      <c r="AH128" s="84"/>
      <c r="AI128" s="71">
        <f t="shared" ref="AI128" ca="1" si="367">SUM(AI80:AI127)</f>
        <v>0</v>
      </c>
      <c r="AJ128" s="65"/>
      <c r="AK128" s="84"/>
      <c r="AL128" s="71">
        <f t="shared" ref="AL128" ca="1" si="368">SUM(AL80:AL127)</f>
        <v>0</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3</v>
      </c>
      <c r="G130" s="445">
        <f ca="1">VLOOKUP(H130,Equipos!$Q$1:$R$25,2,0)</f>
        <v>19</v>
      </c>
      <c r="H130" s="447" t="str">
        <f>Idiomas!$D$137</f>
        <v>CLASIFICADOS PARA DIECISEISAVOS</v>
      </c>
      <c r="I130" s="50"/>
      <c r="J130" s="845" t="s">
        <v>483</v>
      </c>
      <c r="K130" s="53" t="str">
        <f>Idiomas!$D$198&amp;"-"&amp;ROWS($L$130:L130)</f>
        <v>Dieciseisavofinalista-1</v>
      </c>
      <c r="L130" s="53"/>
      <c r="M130" s="55" t="str">
        <f ca="1">WORLDCUP!AA101</f>
        <v>2A</v>
      </c>
      <c r="N130" s="25"/>
      <c r="O130" s="25"/>
      <c r="P130" s="25"/>
      <c r="Q130" s="25"/>
      <c r="R130" s="110"/>
      <c r="S130" s="76" t="s">
        <v>1630</v>
      </c>
      <c r="T130" s="77">
        <f t="shared" ref="T130:T161" ca="1" si="387">COUNTIF($M$130:$M$161,S130)*$D$15</f>
        <v>0</v>
      </c>
      <c r="U130" s="64"/>
      <c r="V130" s="76" t="s">
        <v>1630</v>
      </c>
      <c r="W130" s="77">
        <f t="shared" ref="W130:W161" ca="1" si="388">COUNTIF($M$130:$M$161,V130)*$D$15</f>
        <v>0</v>
      </c>
      <c r="X130" s="64"/>
      <c r="Y130" s="76" t="s">
        <v>1260</v>
      </c>
      <c r="Z130" s="77">
        <f t="shared" ref="Z130:Z161" ca="1" si="389">COUNTIF($M$130:$M$161,Y130)*$D$15</f>
        <v>0</v>
      </c>
      <c r="AA130" s="64"/>
      <c r="AB130" s="76" t="s">
        <v>1843</v>
      </c>
      <c r="AC130" s="77">
        <f t="shared" ref="AC130:AC161" ca="1" si="390">COUNTIF($M$130:$M$161,AB130)*$D$15</f>
        <v>0</v>
      </c>
      <c r="AD130" s="64"/>
      <c r="AE130" s="76" t="s">
        <v>1260</v>
      </c>
      <c r="AF130" s="77">
        <f t="shared" ref="AF130:AF161" ca="1" si="391">COUNTIF($M$130:$M$161,AE130)*$D$15</f>
        <v>0</v>
      </c>
      <c r="AG130" s="64"/>
      <c r="AH130" s="76" t="s">
        <v>1843</v>
      </c>
      <c r="AI130" s="77">
        <f t="shared" ref="AI130:AI161" ca="1" si="392">COUNTIF($M$130:$M$161,AH130)*$D$15</f>
        <v>0</v>
      </c>
      <c r="AJ130" s="64"/>
      <c r="AK130" s="76" t="s">
        <v>1260</v>
      </c>
      <c r="AL130" s="77">
        <f t="shared" ref="AL130:AL161" ca="1" si="393">COUNTIF($M$130:$M$161,AK130)*$D$15</f>
        <v>0</v>
      </c>
      <c r="AM130" s="64"/>
      <c r="AN130" s="76" t="s">
        <v>1265</v>
      </c>
      <c r="AO130" s="77">
        <f t="shared" ref="AO130:AO161" ca="1" si="394">COUNTIF($M$130:$M$161,AN130)*$D$15</f>
        <v>0</v>
      </c>
      <c r="AP130" s="64"/>
      <c r="AQ130" s="76" t="s">
        <v>1843</v>
      </c>
      <c r="AR130" s="77">
        <f t="shared" ref="AR130:AR161" ca="1" si="395">COUNTIF($M$130:$M$161,AQ130)*$D$15</f>
        <v>0</v>
      </c>
      <c r="AS130" s="64"/>
      <c r="AT130" s="76" t="s">
        <v>1260</v>
      </c>
      <c r="AU130" s="77">
        <f t="shared" ref="AU130:AU161" ca="1" si="396">COUNTIF($M$130:$M$161,AT130)*$D$15</f>
        <v>0</v>
      </c>
      <c r="AV130" s="64"/>
      <c r="AW130" s="76" t="s">
        <v>1265</v>
      </c>
      <c r="AX130" s="77">
        <f t="shared" ref="AX130:AX161" ca="1" si="397">COUNTIF($M$130:$M$161,AW130)*$D$15</f>
        <v>0</v>
      </c>
      <c r="AY130" s="64"/>
      <c r="AZ130" s="76" t="s">
        <v>1260</v>
      </c>
      <c r="BA130" s="77">
        <f t="shared" ref="BA130:BA161" ca="1" si="398">COUNTIF($M$130:$M$161,AZ130)*$D$15</f>
        <v>0</v>
      </c>
      <c r="BB130" s="64"/>
      <c r="BC130" s="76" t="s">
        <v>1843</v>
      </c>
      <c r="BD130" s="77">
        <f t="shared" ref="BD130:BD161" ca="1" si="399">COUNTIF($M$130:$M$161,BC130)*$D$15</f>
        <v>0</v>
      </c>
      <c r="BE130" s="64"/>
      <c r="BF130" s="76" t="s">
        <v>1260</v>
      </c>
      <c r="BG130" s="77">
        <f t="shared" ref="BG130:BG161" ca="1" si="400">COUNTIF($M$130:$M$161,BF130)*$D$15</f>
        <v>0</v>
      </c>
      <c r="BH130" s="64"/>
      <c r="BI130" s="76" t="s">
        <v>1260</v>
      </c>
      <c r="BJ130" s="77">
        <f t="shared" ref="BJ130:BJ161" ca="1" si="401">COUNTIF($M$130:$M$161,BI130)*$D$15</f>
        <v>0</v>
      </c>
      <c r="BK130" s="64"/>
      <c r="BL130" s="76" t="s">
        <v>1260</v>
      </c>
      <c r="BM130" s="77">
        <f t="shared" ref="BM130:BM161" ca="1" si="402">COUNTIF($M$130:$M$161,BL130)*$D$15</f>
        <v>0</v>
      </c>
      <c r="BN130" s="64"/>
      <c r="BO130" s="76" t="s">
        <v>1265</v>
      </c>
      <c r="BP130" s="77">
        <f t="shared" ref="BP130:BP161" ca="1" si="403">COUNTIF($M$130:$M$161,BO130)*$D$15</f>
        <v>0</v>
      </c>
      <c r="BQ130" s="64"/>
      <c r="BR130" s="76" t="s">
        <v>1843</v>
      </c>
      <c r="BS130" s="77">
        <f t="shared" ref="BS130:BS161" ca="1" si="404">COUNTIF($M$130:$M$161,BR130)*$D$15</f>
        <v>0</v>
      </c>
      <c r="BT130" s="64"/>
      <c r="BU130" s="76" t="s">
        <v>1843</v>
      </c>
      <c r="BV130" s="77">
        <f t="shared" ref="BV130:BV161" ca="1" si="405">COUNTIF($M$130:$M$161,BU130)*$D$15</f>
        <v>0</v>
      </c>
      <c r="BW130" s="64"/>
      <c r="BX130" s="76" t="s">
        <v>1260</v>
      </c>
      <c r="BY130" s="77">
        <f t="shared" ref="BY130:BY161" ca="1" si="406">COUNTIF($M$130:$M$161,BX130)*$D$15</f>
        <v>0</v>
      </c>
      <c r="BZ130" s="64"/>
      <c r="CA130" s="76" t="s">
        <v>1843</v>
      </c>
      <c r="CB130" s="77">
        <f t="shared" ref="CB130:CB161" ca="1" si="407">COUNTIF($M$130:$M$161,CA130)*$D$15</f>
        <v>0</v>
      </c>
      <c r="CC130" s="64"/>
      <c r="CD130" s="76" t="s">
        <v>1265</v>
      </c>
      <c r="CE130" s="77">
        <f t="shared" ref="CE130:CE161" ca="1" si="408">COUNTIF($M$130:$M$161,CD130)*$D$15</f>
        <v>0</v>
      </c>
      <c r="CF130" s="64"/>
      <c r="CG130" s="76" t="s">
        <v>1265</v>
      </c>
      <c r="CH130" s="77">
        <f t="shared" ref="CH130:CH161" ca="1" si="409">COUNTIF($M$130:$M$161,CG130)*$D$15</f>
        <v>0</v>
      </c>
      <c r="CI130" s="64"/>
      <c r="CJ130" s="76" t="s">
        <v>1843</v>
      </c>
      <c r="CK130" s="77">
        <f t="shared" ref="CK130:CK161" ca="1" si="410">COUNTIF($M$130:$M$161,CJ130)*$D$15</f>
        <v>0</v>
      </c>
      <c r="CL130" s="64"/>
      <c r="CM130" s="76" t="s">
        <v>1843</v>
      </c>
      <c r="CN130" s="77">
        <f t="shared" ref="CN130:CN161" ca="1" si="411">COUNTIF($M$130:$M$161,CM130)*$D$15</f>
        <v>0</v>
      </c>
      <c r="CO130" s="64"/>
      <c r="CP130" s="64"/>
    </row>
    <row r="131" spans="1:94">
      <c r="A131" s="49"/>
      <c r="B131" s="49"/>
      <c r="C131" s="49"/>
      <c r="D131" s="49"/>
      <c r="E131" s="65"/>
      <c r="F131" s="127">
        <f t="shared" ref="F131:F161" si="412">$D$15</f>
        <v>3</v>
      </c>
      <c r="G131" s="445">
        <f ca="1">VLOOKUP(H131,Equipos!$Q$1:$R$25,2,0)</f>
        <v>19</v>
      </c>
      <c r="H131" s="447" t="str">
        <f>Idiomas!$D$137</f>
        <v>CLASIFICADOS PARA DIECISEISAVOS</v>
      </c>
      <c r="I131" s="50"/>
      <c r="J131" s="845"/>
      <c r="K131" s="56" t="str">
        <f>Idiomas!$D$198&amp;"-"&amp;ROWS($L$130:L131)</f>
        <v>Dieciseisavofinalista-2</v>
      </c>
      <c r="L131" s="53"/>
      <c r="M131" s="55" t="str">
        <f ca="1">WORLDCUP!AA102</f>
        <v>1C</v>
      </c>
      <c r="N131" s="25"/>
      <c r="O131" s="25"/>
      <c r="P131" s="25"/>
      <c r="Q131" s="25"/>
      <c r="R131" s="110"/>
      <c r="S131" s="74" t="s">
        <v>1258</v>
      </c>
      <c r="T131" s="73">
        <f t="shared" ca="1" si="387"/>
        <v>0</v>
      </c>
      <c r="U131" s="64"/>
      <c r="V131" s="74" t="s">
        <v>1258</v>
      </c>
      <c r="W131" s="73">
        <f t="shared" ca="1" si="388"/>
        <v>0</v>
      </c>
      <c r="X131" s="64"/>
      <c r="Y131" s="74" t="s">
        <v>1258</v>
      </c>
      <c r="Z131" s="73">
        <f t="shared" ca="1" si="389"/>
        <v>0</v>
      </c>
      <c r="AA131" s="64"/>
      <c r="AB131" s="74" t="s">
        <v>1258</v>
      </c>
      <c r="AC131" s="73">
        <f t="shared" ca="1" si="390"/>
        <v>0</v>
      </c>
      <c r="AD131" s="64"/>
      <c r="AE131" s="74" t="s">
        <v>1258</v>
      </c>
      <c r="AF131" s="73">
        <f t="shared" ca="1" si="391"/>
        <v>0</v>
      </c>
      <c r="AG131" s="64"/>
      <c r="AH131" s="74" t="s">
        <v>1258</v>
      </c>
      <c r="AI131" s="73">
        <f t="shared" ca="1" si="392"/>
        <v>0</v>
      </c>
      <c r="AJ131" s="64"/>
      <c r="AK131" s="74" t="s">
        <v>1258</v>
      </c>
      <c r="AL131" s="73">
        <f t="shared" ca="1" si="393"/>
        <v>0</v>
      </c>
      <c r="AM131" s="64"/>
      <c r="AN131" s="74" t="s">
        <v>1258</v>
      </c>
      <c r="AO131" s="73">
        <f t="shared" ca="1" si="394"/>
        <v>0</v>
      </c>
      <c r="AP131" s="64"/>
      <c r="AQ131" s="74" t="s">
        <v>1258</v>
      </c>
      <c r="AR131" s="73">
        <f t="shared" ca="1" si="395"/>
        <v>0</v>
      </c>
      <c r="AS131" s="64"/>
      <c r="AT131" s="74" t="s">
        <v>1258</v>
      </c>
      <c r="AU131" s="73">
        <f t="shared" ca="1" si="396"/>
        <v>0</v>
      </c>
      <c r="AV131" s="64"/>
      <c r="AW131" s="74" t="s">
        <v>1258</v>
      </c>
      <c r="AX131" s="73">
        <f t="shared" ca="1" si="397"/>
        <v>0</v>
      </c>
      <c r="AY131" s="64"/>
      <c r="AZ131" s="74" t="s">
        <v>1258</v>
      </c>
      <c r="BA131" s="73">
        <f t="shared" ca="1" si="398"/>
        <v>0</v>
      </c>
      <c r="BB131" s="64"/>
      <c r="BC131" s="74" t="s">
        <v>1258</v>
      </c>
      <c r="BD131" s="73">
        <f t="shared" ca="1" si="399"/>
        <v>0</v>
      </c>
      <c r="BE131" s="64"/>
      <c r="BF131" s="74" t="s">
        <v>1321</v>
      </c>
      <c r="BG131" s="73">
        <f t="shared" ca="1" si="400"/>
        <v>0</v>
      </c>
      <c r="BH131" s="64"/>
      <c r="BI131" s="74" t="s">
        <v>1258</v>
      </c>
      <c r="BJ131" s="73">
        <f t="shared" ca="1" si="401"/>
        <v>0</v>
      </c>
      <c r="BK131" s="64"/>
      <c r="BL131" s="74" t="s">
        <v>1258</v>
      </c>
      <c r="BM131" s="73">
        <f t="shared" ca="1" si="402"/>
        <v>0</v>
      </c>
      <c r="BN131" s="64"/>
      <c r="BO131" s="74" t="s">
        <v>1258</v>
      </c>
      <c r="BP131" s="73">
        <f t="shared" ca="1" si="403"/>
        <v>0</v>
      </c>
      <c r="BQ131" s="64"/>
      <c r="BR131" s="74" t="s">
        <v>1258</v>
      </c>
      <c r="BS131" s="73">
        <f t="shared" ca="1" si="404"/>
        <v>0</v>
      </c>
      <c r="BT131" s="64"/>
      <c r="BU131" s="74" t="s">
        <v>1258</v>
      </c>
      <c r="BV131" s="73">
        <f t="shared" ca="1" si="405"/>
        <v>0</v>
      </c>
      <c r="BW131" s="64"/>
      <c r="BX131" s="74" t="s">
        <v>1258</v>
      </c>
      <c r="BY131" s="73">
        <f t="shared" ca="1" si="406"/>
        <v>0</v>
      </c>
      <c r="BZ131" s="64"/>
      <c r="CA131" s="74" t="s">
        <v>134</v>
      </c>
      <c r="CB131" s="73">
        <f t="shared" ca="1" si="407"/>
        <v>0</v>
      </c>
      <c r="CC131" s="64"/>
      <c r="CD131" s="74" t="s">
        <v>1258</v>
      </c>
      <c r="CE131" s="73">
        <f t="shared" ca="1" si="408"/>
        <v>0</v>
      </c>
      <c r="CF131" s="64"/>
      <c r="CG131" s="74" t="s">
        <v>1321</v>
      </c>
      <c r="CH131" s="73">
        <f t="shared" ca="1" si="409"/>
        <v>0</v>
      </c>
      <c r="CI131" s="64"/>
      <c r="CJ131" s="74" t="s">
        <v>1258</v>
      </c>
      <c r="CK131" s="73">
        <f t="shared" ca="1" si="410"/>
        <v>0</v>
      </c>
      <c r="CL131" s="64"/>
      <c r="CM131" s="74" t="s">
        <v>1258</v>
      </c>
      <c r="CN131" s="73">
        <f t="shared" ca="1" si="411"/>
        <v>0</v>
      </c>
      <c r="CO131" s="64"/>
      <c r="CP131" s="64"/>
    </row>
    <row r="132" spans="1:94">
      <c r="A132" s="49"/>
      <c r="B132" s="49"/>
      <c r="C132" s="49"/>
      <c r="D132" s="49"/>
      <c r="E132" s="65"/>
      <c r="F132" s="127">
        <f t="shared" si="412"/>
        <v>3</v>
      </c>
      <c r="G132" s="445">
        <f ca="1">VLOOKUP(H132,Equipos!$Q$1:$R$25,2,0)</f>
        <v>19</v>
      </c>
      <c r="H132" s="447" t="str">
        <f>Idiomas!$D$137</f>
        <v>CLASIFICADOS PARA DIECISEISAVOS</v>
      </c>
      <c r="I132" s="50"/>
      <c r="J132" s="845"/>
      <c r="K132" s="56" t="str">
        <f>Idiomas!$D$198&amp;"-"&amp;ROWS($L$130:L132)</f>
        <v>Dieciseisavofinalista-3</v>
      </c>
      <c r="L132" s="53"/>
      <c r="M132" s="55" t="str">
        <f ca="1">WORLDCUP!AA103</f>
        <v>1E</v>
      </c>
      <c r="N132" s="25"/>
      <c r="O132" s="25"/>
      <c r="P132" s="25"/>
      <c r="Q132" s="25"/>
      <c r="R132" s="110"/>
      <c r="S132" s="74" t="s">
        <v>77</v>
      </c>
      <c r="T132" s="73">
        <f t="shared" ca="1" si="387"/>
        <v>0</v>
      </c>
      <c r="U132" s="64"/>
      <c r="V132" s="74" t="s">
        <v>1261</v>
      </c>
      <c r="W132" s="73">
        <f t="shared" ca="1" si="388"/>
        <v>0</v>
      </c>
      <c r="X132" s="64"/>
      <c r="Y132" s="74" t="s">
        <v>77</v>
      </c>
      <c r="Z132" s="73">
        <f t="shared" ca="1" si="389"/>
        <v>0</v>
      </c>
      <c r="AA132" s="64"/>
      <c r="AB132" s="74" t="s">
        <v>1261</v>
      </c>
      <c r="AC132" s="73">
        <f t="shared" ca="1" si="390"/>
        <v>0</v>
      </c>
      <c r="AD132" s="64"/>
      <c r="AE132" s="74" t="s">
        <v>77</v>
      </c>
      <c r="AF132" s="73">
        <f t="shared" ca="1" si="391"/>
        <v>0</v>
      </c>
      <c r="AG132" s="64"/>
      <c r="AH132" s="74" t="s">
        <v>77</v>
      </c>
      <c r="AI132" s="73">
        <f t="shared" ca="1" si="392"/>
        <v>0</v>
      </c>
      <c r="AJ132" s="64"/>
      <c r="AK132" s="74" t="s">
        <v>77</v>
      </c>
      <c r="AL132" s="73">
        <f t="shared" ca="1" si="393"/>
        <v>0</v>
      </c>
      <c r="AM132" s="64"/>
      <c r="AN132" s="74" t="s">
        <v>77</v>
      </c>
      <c r="AO132" s="73">
        <f t="shared" ca="1" si="394"/>
        <v>0</v>
      </c>
      <c r="AP132" s="64"/>
      <c r="AQ132" s="74" t="s">
        <v>77</v>
      </c>
      <c r="AR132" s="73">
        <f t="shared" ca="1" si="395"/>
        <v>0</v>
      </c>
      <c r="AS132" s="64"/>
      <c r="AT132" s="74" t="s">
        <v>77</v>
      </c>
      <c r="AU132" s="73">
        <f t="shared" ca="1" si="396"/>
        <v>0</v>
      </c>
      <c r="AV132" s="64"/>
      <c r="AW132" s="74" t="s">
        <v>77</v>
      </c>
      <c r="AX132" s="73">
        <f t="shared" ca="1" si="397"/>
        <v>0</v>
      </c>
      <c r="AY132" s="64"/>
      <c r="AZ132" s="74" t="s">
        <v>77</v>
      </c>
      <c r="BA132" s="73">
        <f t="shared" ca="1" si="398"/>
        <v>0</v>
      </c>
      <c r="BB132" s="64"/>
      <c r="BC132" s="74" t="s">
        <v>77</v>
      </c>
      <c r="BD132" s="73">
        <f t="shared" ca="1" si="399"/>
        <v>0</v>
      </c>
      <c r="BE132" s="64"/>
      <c r="BF132" s="74" t="s">
        <v>77</v>
      </c>
      <c r="BG132" s="73">
        <f t="shared" ca="1" si="400"/>
        <v>0</v>
      </c>
      <c r="BH132" s="64"/>
      <c r="BI132" s="74" t="s">
        <v>1633</v>
      </c>
      <c r="BJ132" s="73">
        <f t="shared" ca="1" si="401"/>
        <v>0</v>
      </c>
      <c r="BK132" s="64"/>
      <c r="BL132" s="74" t="s">
        <v>77</v>
      </c>
      <c r="BM132" s="73">
        <f t="shared" ca="1" si="402"/>
        <v>0</v>
      </c>
      <c r="BN132" s="64"/>
      <c r="BO132" s="74" t="s">
        <v>77</v>
      </c>
      <c r="BP132" s="73">
        <f t="shared" ca="1" si="403"/>
        <v>0</v>
      </c>
      <c r="BQ132" s="64"/>
      <c r="BR132" s="74" t="s">
        <v>77</v>
      </c>
      <c r="BS132" s="73">
        <f t="shared" ca="1" si="404"/>
        <v>0</v>
      </c>
      <c r="BT132" s="64"/>
      <c r="BU132" s="74" t="s">
        <v>77</v>
      </c>
      <c r="BV132" s="73">
        <f t="shared" ca="1" si="405"/>
        <v>0</v>
      </c>
      <c r="BW132" s="64"/>
      <c r="BX132" s="74" t="s">
        <v>77</v>
      </c>
      <c r="BY132" s="73">
        <f t="shared" ca="1" si="406"/>
        <v>0</v>
      </c>
      <c r="BZ132" s="64"/>
      <c r="CA132" s="74" t="s">
        <v>77</v>
      </c>
      <c r="CB132" s="73">
        <f t="shared" ca="1" si="407"/>
        <v>0</v>
      </c>
      <c r="CC132" s="64"/>
      <c r="CD132" s="74" t="s">
        <v>77</v>
      </c>
      <c r="CE132" s="73">
        <f t="shared" ca="1" si="408"/>
        <v>0</v>
      </c>
      <c r="CF132" s="64"/>
      <c r="CG132" s="74" t="s">
        <v>77</v>
      </c>
      <c r="CH132" s="73">
        <f t="shared" ca="1" si="409"/>
        <v>0</v>
      </c>
      <c r="CI132" s="64"/>
      <c r="CJ132" s="74" t="s">
        <v>77</v>
      </c>
      <c r="CK132" s="73">
        <f t="shared" ca="1" si="410"/>
        <v>0</v>
      </c>
      <c r="CL132" s="64"/>
      <c r="CM132" s="74" t="s">
        <v>77</v>
      </c>
      <c r="CN132" s="73">
        <f t="shared" ca="1" si="411"/>
        <v>0</v>
      </c>
      <c r="CO132" s="64"/>
      <c r="CP132" s="64"/>
    </row>
    <row r="133" spans="1:94">
      <c r="A133" s="49"/>
      <c r="B133" s="49"/>
      <c r="C133" s="49"/>
      <c r="D133" s="49"/>
      <c r="E133" s="65"/>
      <c r="F133" s="127">
        <f t="shared" si="412"/>
        <v>3</v>
      </c>
      <c r="G133" s="445">
        <f ca="1">VLOOKUP(H133,Equipos!$Q$1:$R$25,2,0)</f>
        <v>19</v>
      </c>
      <c r="H133" s="447" t="str">
        <f>Idiomas!$D$137</f>
        <v>CLASIFICADOS PARA DIECISEISAVOS</v>
      </c>
      <c r="I133" s="50"/>
      <c r="J133" s="845"/>
      <c r="K133" s="56" t="str">
        <f>Idiomas!$D$198&amp;"-"&amp;ROWS($L$130:L133)</f>
        <v>Dieciseisavofinalista-4</v>
      </c>
      <c r="L133" s="53"/>
      <c r="M133" s="55" t="str">
        <f ca="1">WORLDCUP!AA104</f>
        <v>1F</v>
      </c>
      <c r="N133" s="25"/>
      <c r="O133" s="25"/>
      <c r="P133" s="25"/>
      <c r="Q133" s="25"/>
      <c r="R133" s="110"/>
      <c r="S133" s="74" t="s">
        <v>111</v>
      </c>
      <c r="T133" s="73">
        <f t="shared" ca="1" si="387"/>
        <v>0</v>
      </c>
      <c r="U133" s="64"/>
      <c r="V133" s="74" t="s">
        <v>1263</v>
      </c>
      <c r="W133" s="73">
        <f t="shared" ca="1" si="388"/>
        <v>0</v>
      </c>
      <c r="X133" s="64"/>
      <c r="Y133" s="74" t="s">
        <v>1263</v>
      </c>
      <c r="Z133" s="73">
        <f t="shared" ca="1" si="389"/>
        <v>0</v>
      </c>
      <c r="AA133" s="64"/>
      <c r="AB133" s="74" t="s">
        <v>1263</v>
      </c>
      <c r="AC133" s="73">
        <f t="shared" ca="1" si="390"/>
        <v>0</v>
      </c>
      <c r="AD133" s="64"/>
      <c r="AE133" s="74" t="s">
        <v>111</v>
      </c>
      <c r="AF133" s="73">
        <f t="shared" ca="1" si="391"/>
        <v>0</v>
      </c>
      <c r="AG133" s="64"/>
      <c r="AH133" s="74" t="s">
        <v>111</v>
      </c>
      <c r="AI133" s="73">
        <f t="shared" ca="1" si="392"/>
        <v>0</v>
      </c>
      <c r="AJ133" s="64"/>
      <c r="AK133" s="74" t="s">
        <v>111</v>
      </c>
      <c r="AL133" s="73">
        <f t="shared" ca="1" si="393"/>
        <v>0</v>
      </c>
      <c r="AM133" s="64"/>
      <c r="AN133" s="74" t="s">
        <v>111</v>
      </c>
      <c r="AO133" s="73">
        <f t="shared" ca="1" si="394"/>
        <v>0</v>
      </c>
      <c r="AP133" s="64"/>
      <c r="AQ133" s="74" t="s">
        <v>111</v>
      </c>
      <c r="AR133" s="73">
        <f t="shared" ca="1" si="395"/>
        <v>0</v>
      </c>
      <c r="AS133" s="64"/>
      <c r="AT133" s="74" t="s">
        <v>111</v>
      </c>
      <c r="AU133" s="73">
        <f t="shared" ca="1" si="396"/>
        <v>0</v>
      </c>
      <c r="AV133" s="64"/>
      <c r="AW133" s="74" t="s">
        <v>111</v>
      </c>
      <c r="AX133" s="73">
        <f t="shared" ca="1" si="397"/>
        <v>0</v>
      </c>
      <c r="AY133" s="64"/>
      <c r="AZ133" s="74" t="s">
        <v>111</v>
      </c>
      <c r="BA133" s="73">
        <f t="shared" ca="1" si="398"/>
        <v>0</v>
      </c>
      <c r="BB133" s="64"/>
      <c r="BC133" s="74" t="s">
        <v>111</v>
      </c>
      <c r="BD133" s="73">
        <f t="shared" ca="1" si="399"/>
        <v>0</v>
      </c>
      <c r="BE133" s="64"/>
      <c r="BF133" s="74" t="s">
        <v>111</v>
      </c>
      <c r="BG133" s="73">
        <f t="shared" ca="1" si="400"/>
        <v>0</v>
      </c>
      <c r="BH133" s="64"/>
      <c r="BI133" s="74" t="s">
        <v>111</v>
      </c>
      <c r="BJ133" s="73">
        <f t="shared" ca="1" si="401"/>
        <v>0</v>
      </c>
      <c r="BK133" s="64"/>
      <c r="BL133" s="74" t="s">
        <v>111</v>
      </c>
      <c r="BM133" s="73">
        <f t="shared" ca="1" si="402"/>
        <v>0</v>
      </c>
      <c r="BN133" s="64"/>
      <c r="BO133" s="74" t="s">
        <v>111</v>
      </c>
      <c r="BP133" s="73">
        <f t="shared" ca="1" si="403"/>
        <v>0</v>
      </c>
      <c r="BQ133" s="64"/>
      <c r="BR133" s="74" t="s">
        <v>111</v>
      </c>
      <c r="BS133" s="73">
        <f t="shared" ca="1" si="404"/>
        <v>0</v>
      </c>
      <c r="BT133" s="64"/>
      <c r="BU133" s="74" t="s">
        <v>111</v>
      </c>
      <c r="BV133" s="73">
        <f t="shared" ca="1" si="405"/>
        <v>0</v>
      </c>
      <c r="BW133" s="64"/>
      <c r="BX133" s="74" t="s">
        <v>111</v>
      </c>
      <c r="BY133" s="73">
        <f t="shared" ca="1" si="406"/>
        <v>0</v>
      </c>
      <c r="BZ133" s="64"/>
      <c r="CA133" s="74" t="s">
        <v>111</v>
      </c>
      <c r="CB133" s="73">
        <f t="shared" ca="1" si="407"/>
        <v>0</v>
      </c>
      <c r="CC133" s="64"/>
      <c r="CD133" s="74" t="s">
        <v>111</v>
      </c>
      <c r="CE133" s="73">
        <f t="shared" ca="1" si="408"/>
        <v>0</v>
      </c>
      <c r="CF133" s="64"/>
      <c r="CG133" s="74" t="s">
        <v>1263</v>
      </c>
      <c r="CH133" s="73">
        <f t="shared" ca="1" si="409"/>
        <v>0</v>
      </c>
      <c r="CI133" s="64"/>
      <c r="CJ133" s="74" t="s">
        <v>111</v>
      </c>
      <c r="CK133" s="73">
        <f t="shared" ca="1" si="410"/>
        <v>0</v>
      </c>
      <c r="CL133" s="64"/>
      <c r="CM133" s="74" t="s">
        <v>111</v>
      </c>
      <c r="CN133" s="73">
        <f t="shared" ca="1" si="411"/>
        <v>0</v>
      </c>
      <c r="CO133" s="64"/>
      <c r="CP133" s="64"/>
    </row>
    <row r="134" spans="1:94">
      <c r="A134" s="49"/>
      <c r="B134" s="49"/>
      <c r="C134" s="49"/>
      <c r="D134" s="49"/>
      <c r="E134" s="65"/>
      <c r="F134" s="127">
        <f t="shared" si="412"/>
        <v>3</v>
      </c>
      <c r="G134" s="445">
        <f ca="1">VLOOKUP(H134,Equipos!$Q$1:$R$25,2,0)</f>
        <v>19</v>
      </c>
      <c r="H134" s="447" t="str">
        <f>Idiomas!$D$137</f>
        <v>CLASIFICADOS PARA DIECISEISAVOS</v>
      </c>
      <c r="I134" s="50"/>
      <c r="J134" s="845"/>
      <c r="K134" s="56" t="str">
        <f>Idiomas!$D$198&amp;"-"&amp;ROWS($L$130:L134)</f>
        <v>Dieciseisavofinalista-5</v>
      </c>
      <c r="L134" s="53"/>
      <c r="M134" s="55" t="str">
        <f ca="1">WORLDCUP!AA105</f>
        <v>2E</v>
      </c>
      <c r="N134" s="25"/>
      <c r="O134" s="25"/>
      <c r="P134" s="25"/>
      <c r="Q134" s="25"/>
      <c r="R134" s="110"/>
      <c r="S134" s="74" t="s">
        <v>1633</v>
      </c>
      <c r="T134" s="73">
        <f t="shared" ca="1" si="387"/>
        <v>0</v>
      </c>
      <c r="U134" s="64"/>
      <c r="V134" s="74" t="s">
        <v>77</v>
      </c>
      <c r="W134" s="73">
        <f t="shared" ca="1" si="388"/>
        <v>0</v>
      </c>
      <c r="X134" s="64"/>
      <c r="Y134" s="74" t="s">
        <v>1261</v>
      </c>
      <c r="Z134" s="73">
        <f t="shared" ca="1" si="389"/>
        <v>0</v>
      </c>
      <c r="AA134" s="64"/>
      <c r="AB134" s="74" t="s">
        <v>77</v>
      </c>
      <c r="AC134" s="73">
        <f t="shared" ca="1" si="390"/>
        <v>0</v>
      </c>
      <c r="AD134" s="64"/>
      <c r="AE134" s="74" t="s">
        <v>1633</v>
      </c>
      <c r="AF134" s="73">
        <f t="shared" ca="1" si="391"/>
        <v>0</v>
      </c>
      <c r="AG134" s="64"/>
      <c r="AH134" s="74" t="s">
        <v>1261</v>
      </c>
      <c r="AI134" s="73">
        <f t="shared" ca="1" si="392"/>
        <v>0</v>
      </c>
      <c r="AJ134" s="64"/>
      <c r="AK134" s="74" t="s">
        <v>1261</v>
      </c>
      <c r="AL134" s="73">
        <f t="shared" ca="1" si="393"/>
        <v>0</v>
      </c>
      <c r="AM134" s="64"/>
      <c r="AN134" s="74" t="s">
        <v>1261</v>
      </c>
      <c r="AO134" s="73">
        <f t="shared" ca="1" si="394"/>
        <v>0</v>
      </c>
      <c r="AP134" s="64"/>
      <c r="AQ134" s="74" t="s">
        <v>1261</v>
      </c>
      <c r="AR134" s="73">
        <f t="shared" ca="1" si="395"/>
        <v>0</v>
      </c>
      <c r="AS134" s="64"/>
      <c r="AT134" s="74" t="s">
        <v>1261</v>
      </c>
      <c r="AU134" s="73">
        <f t="shared" ca="1" si="396"/>
        <v>0</v>
      </c>
      <c r="AV134" s="64"/>
      <c r="AW134" s="74" t="s">
        <v>1261</v>
      </c>
      <c r="AX134" s="73">
        <f t="shared" ca="1" si="397"/>
        <v>0</v>
      </c>
      <c r="AY134" s="64"/>
      <c r="AZ134" s="74" t="s">
        <v>1261</v>
      </c>
      <c r="BA134" s="73">
        <f t="shared" ca="1" si="398"/>
        <v>0</v>
      </c>
      <c r="BB134" s="64"/>
      <c r="BC134" s="74" t="s">
        <v>1261</v>
      </c>
      <c r="BD134" s="73">
        <f t="shared" ca="1" si="399"/>
        <v>0</v>
      </c>
      <c r="BE134" s="64"/>
      <c r="BF134" s="74" t="s">
        <v>1633</v>
      </c>
      <c r="BG134" s="73">
        <f t="shared" ca="1" si="400"/>
        <v>0</v>
      </c>
      <c r="BH134" s="64"/>
      <c r="BI134" s="74" t="s">
        <v>77</v>
      </c>
      <c r="BJ134" s="73">
        <f t="shared" ca="1" si="401"/>
        <v>0</v>
      </c>
      <c r="BK134" s="64"/>
      <c r="BL134" s="74" t="s">
        <v>1261</v>
      </c>
      <c r="BM134" s="73">
        <f t="shared" ca="1" si="402"/>
        <v>0</v>
      </c>
      <c r="BN134" s="64"/>
      <c r="BO134" s="74" t="s">
        <v>1261</v>
      </c>
      <c r="BP134" s="73">
        <f t="shared" ca="1" si="403"/>
        <v>0</v>
      </c>
      <c r="BQ134" s="64"/>
      <c r="BR134" s="74" t="s">
        <v>1261</v>
      </c>
      <c r="BS134" s="73">
        <f t="shared" ca="1" si="404"/>
        <v>0</v>
      </c>
      <c r="BT134" s="64"/>
      <c r="BU134" s="74" t="s">
        <v>1261</v>
      </c>
      <c r="BV134" s="73">
        <f t="shared" ca="1" si="405"/>
        <v>0</v>
      </c>
      <c r="BW134" s="64"/>
      <c r="BX134" s="74" t="s">
        <v>1633</v>
      </c>
      <c r="BY134" s="73">
        <f t="shared" ca="1" si="406"/>
        <v>0</v>
      </c>
      <c r="BZ134" s="64"/>
      <c r="CA134" s="74" t="s">
        <v>1261</v>
      </c>
      <c r="CB134" s="73">
        <f t="shared" ca="1" si="407"/>
        <v>0</v>
      </c>
      <c r="CC134" s="64"/>
      <c r="CD134" s="74" t="s">
        <v>1261</v>
      </c>
      <c r="CE134" s="73">
        <f t="shared" ca="1" si="408"/>
        <v>0</v>
      </c>
      <c r="CF134" s="64"/>
      <c r="CG134" s="74" t="s">
        <v>1261</v>
      </c>
      <c r="CH134" s="73">
        <f t="shared" ca="1" si="409"/>
        <v>0</v>
      </c>
      <c r="CI134" s="64"/>
      <c r="CJ134" s="74" t="s">
        <v>1261</v>
      </c>
      <c r="CK134" s="73">
        <f t="shared" ca="1" si="410"/>
        <v>0</v>
      </c>
      <c r="CL134" s="64"/>
      <c r="CM134" s="74" t="s">
        <v>1261</v>
      </c>
      <c r="CN134" s="73">
        <f t="shared" ca="1" si="411"/>
        <v>0</v>
      </c>
      <c r="CO134" s="64"/>
      <c r="CP134" s="64"/>
    </row>
    <row r="135" spans="1:94">
      <c r="A135" s="49"/>
      <c r="B135" s="49"/>
      <c r="C135" s="49"/>
      <c r="D135" s="49"/>
      <c r="E135" s="65"/>
      <c r="F135" s="127">
        <f t="shared" si="412"/>
        <v>3</v>
      </c>
      <c r="G135" s="445">
        <f ca="1">VLOOKUP(H135,Equipos!$Q$1:$R$25,2,0)</f>
        <v>19</v>
      </c>
      <c r="H135" s="447" t="str">
        <f>Idiomas!$D$137</f>
        <v>CLASIFICADOS PARA DIECISEISAVOS</v>
      </c>
      <c r="I135" s="50"/>
      <c r="J135" s="845"/>
      <c r="K135" s="56" t="str">
        <f>Idiomas!$D$198&amp;"-"&amp;ROWS($L$130:L135)</f>
        <v>Dieciseisavofinalista-6</v>
      </c>
      <c r="L135" s="53"/>
      <c r="M135" s="55" t="str">
        <f ca="1">WORLDCUP!AA106</f>
        <v>1I</v>
      </c>
      <c r="N135" s="25"/>
      <c r="O135" s="25"/>
      <c r="P135" s="25"/>
      <c r="Q135" s="25"/>
      <c r="R135" s="110"/>
      <c r="S135" s="74" t="s">
        <v>74</v>
      </c>
      <c r="T135" s="73">
        <f t="shared" ca="1" si="387"/>
        <v>0</v>
      </c>
      <c r="U135" s="64"/>
      <c r="V135" s="74" t="s">
        <v>74</v>
      </c>
      <c r="W135" s="73">
        <f t="shared" ca="1" si="388"/>
        <v>0</v>
      </c>
      <c r="X135" s="64"/>
      <c r="Y135" s="74" t="s">
        <v>74</v>
      </c>
      <c r="Z135" s="73">
        <f t="shared" ca="1" si="389"/>
        <v>0</v>
      </c>
      <c r="AA135" s="64"/>
      <c r="AB135" s="74" t="s">
        <v>135</v>
      </c>
      <c r="AC135" s="73">
        <f t="shared" ca="1" si="390"/>
        <v>0</v>
      </c>
      <c r="AD135" s="64"/>
      <c r="AE135" s="74" t="s">
        <v>74</v>
      </c>
      <c r="AF135" s="73">
        <f t="shared" ca="1" si="391"/>
        <v>0</v>
      </c>
      <c r="AG135" s="64"/>
      <c r="AH135" s="74" t="s">
        <v>74</v>
      </c>
      <c r="AI135" s="73">
        <f t="shared" ca="1" si="392"/>
        <v>0</v>
      </c>
      <c r="AJ135" s="64"/>
      <c r="AK135" s="74" t="s">
        <v>74</v>
      </c>
      <c r="AL135" s="73">
        <f t="shared" ca="1" si="393"/>
        <v>0</v>
      </c>
      <c r="AM135" s="64"/>
      <c r="AN135" s="74" t="s">
        <v>74</v>
      </c>
      <c r="AO135" s="73">
        <f t="shared" ca="1" si="394"/>
        <v>0</v>
      </c>
      <c r="AP135" s="64"/>
      <c r="AQ135" s="74" t="s">
        <v>74</v>
      </c>
      <c r="AR135" s="73">
        <f t="shared" ca="1" si="395"/>
        <v>0</v>
      </c>
      <c r="AS135" s="64"/>
      <c r="AT135" s="74" t="s">
        <v>74</v>
      </c>
      <c r="AU135" s="73">
        <f t="shared" ca="1" si="396"/>
        <v>0</v>
      </c>
      <c r="AV135" s="64"/>
      <c r="AW135" s="74" t="s">
        <v>1757</v>
      </c>
      <c r="AX135" s="73">
        <f t="shared" ca="1" si="397"/>
        <v>0</v>
      </c>
      <c r="AY135" s="64"/>
      <c r="AZ135" s="74" t="s">
        <v>74</v>
      </c>
      <c r="BA135" s="73">
        <f t="shared" ca="1" si="398"/>
        <v>0</v>
      </c>
      <c r="BB135" s="64"/>
      <c r="BC135" s="74" t="s">
        <v>74</v>
      </c>
      <c r="BD135" s="73">
        <f t="shared" ca="1" si="399"/>
        <v>0</v>
      </c>
      <c r="BE135" s="64"/>
      <c r="BF135" s="74" t="s">
        <v>74</v>
      </c>
      <c r="BG135" s="73">
        <f t="shared" ca="1" si="400"/>
        <v>0</v>
      </c>
      <c r="BH135" s="64"/>
      <c r="BI135" s="74" t="s">
        <v>74</v>
      </c>
      <c r="BJ135" s="73">
        <f t="shared" ca="1" si="401"/>
        <v>0</v>
      </c>
      <c r="BK135" s="64"/>
      <c r="BL135" s="74" t="s">
        <v>74</v>
      </c>
      <c r="BM135" s="73">
        <f t="shared" ca="1" si="402"/>
        <v>0</v>
      </c>
      <c r="BN135" s="64"/>
      <c r="BO135" s="74" t="s">
        <v>74</v>
      </c>
      <c r="BP135" s="73">
        <f t="shared" ca="1" si="403"/>
        <v>0</v>
      </c>
      <c r="BQ135" s="64"/>
      <c r="BR135" s="74" t="s">
        <v>74</v>
      </c>
      <c r="BS135" s="73">
        <f t="shared" ca="1" si="404"/>
        <v>0</v>
      </c>
      <c r="BT135" s="64"/>
      <c r="BU135" s="74" t="s">
        <v>74</v>
      </c>
      <c r="BV135" s="73">
        <f t="shared" ca="1" si="405"/>
        <v>0</v>
      </c>
      <c r="BW135" s="64"/>
      <c r="BX135" s="74" t="s">
        <v>74</v>
      </c>
      <c r="BY135" s="73">
        <f t="shared" ca="1" si="406"/>
        <v>0</v>
      </c>
      <c r="BZ135" s="64"/>
      <c r="CA135" s="74" t="s">
        <v>74</v>
      </c>
      <c r="CB135" s="73">
        <f t="shared" ca="1" si="407"/>
        <v>0</v>
      </c>
      <c r="CC135" s="64"/>
      <c r="CD135" s="74" t="s">
        <v>74</v>
      </c>
      <c r="CE135" s="73">
        <f t="shared" ca="1" si="408"/>
        <v>0</v>
      </c>
      <c r="CF135" s="64"/>
      <c r="CG135" s="74" t="s">
        <v>74</v>
      </c>
      <c r="CH135" s="73">
        <f t="shared" ca="1" si="409"/>
        <v>0</v>
      </c>
      <c r="CI135" s="64"/>
      <c r="CJ135" s="74" t="s">
        <v>74</v>
      </c>
      <c r="CK135" s="73">
        <f t="shared" ca="1" si="410"/>
        <v>0</v>
      </c>
      <c r="CL135" s="64"/>
      <c r="CM135" s="74" t="s">
        <v>74</v>
      </c>
      <c r="CN135" s="73">
        <f t="shared" ca="1" si="411"/>
        <v>0</v>
      </c>
      <c r="CO135" s="64"/>
      <c r="CP135" s="64"/>
    </row>
    <row r="136" spans="1:94">
      <c r="A136" s="49"/>
      <c r="B136" s="49"/>
      <c r="C136" s="49"/>
      <c r="D136" s="49"/>
      <c r="E136" s="65"/>
      <c r="F136" s="127">
        <f t="shared" si="412"/>
        <v>3</v>
      </c>
      <c r="G136" s="445">
        <f ca="1">VLOOKUP(H136,Equipos!$Q$1:$R$25,2,0)</f>
        <v>19</v>
      </c>
      <c r="H136" s="447" t="str">
        <f>Idiomas!$D$137</f>
        <v>CLASIFICADOS PARA DIECISEISAVOS</v>
      </c>
      <c r="I136" s="50"/>
      <c r="J136" s="845"/>
      <c r="K136" s="56" t="str">
        <f>Idiomas!$D$198&amp;"-"&amp;ROWS($L$130:L136)</f>
        <v>Dieciseisavofinalista-7</v>
      </c>
      <c r="L136" s="53"/>
      <c r="M136" s="55" t="str">
        <f ca="1">WORLDCUP!AA107</f>
        <v>1A</v>
      </c>
      <c r="N136" s="25"/>
      <c r="O136" s="25"/>
      <c r="P136" s="25"/>
      <c r="Q136" s="25"/>
      <c r="R136" s="110"/>
      <c r="S136" s="74" t="s">
        <v>1265</v>
      </c>
      <c r="T136" s="73">
        <f t="shared" ca="1" si="387"/>
        <v>0</v>
      </c>
      <c r="U136" s="64"/>
      <c r="V136" s="74" t="s">
        <v>1265</v>
      </c>
      <c r="W136" s="73">
        <f t="shared" ca="1" si="388"/>
        <v>0</v>
      </c>
      <c r="X136" s="64"/>
      <c r="Y136" s="74" t="s">
        <v>1265</v>
      </c>
      <c r="Z136" s="73">
        <f t="shared" ca="1" si="389"/>
        <v>0</v>
      </c>
      <c r="AA136" s="64"/>
      <c r="AB136" s="74" t="s">
        <v>1260</v>
      </c>
      <c r="AC136" s="73">
        <f t="shared" ca="1" si="390"/>
        <v>0</v>
      </c>
      <c r="AD136" s="64"/>
      <c r="AE136" s="74" t="s">
        <v>1843</v>
      </c>
      <c r="AF136" s="73">
        <f t="shared" ca="1" si="391"/>
        <v>0</v>
      </c>
      <c r="AG136" s="64"/>
      <c r="AH136" s="74" t="s">
        <v>1265</v>
      </c>
      <c r="AI136" s="73">
        <f t="shared" ca="1" si="392"/>
        <v>0</v>
      </c>
      <c r="AJ136" s="64"/>
      <c r="AK136" s="74" t="s">
        <v>1265</v>
      </c>
      <c r="AL136" s="73">
        <f t="shared" ca="1" si="393"/>
        <v>0</v>
      </c>
      <c r="AM136" s="64"/>
      <c r="AN136" s="74" t="s">
        <v>1260</v>
      </c>
      <c r="AO136" s="73">
        <f t="shared" ca="1" si="394"/>
        <v>0</v>
      </c>
      <c r="AP136" s="64"/>
      <c r="AQ136" s="74" t="s">
        <v>1265</v>
      </c>
      <c r="AR136" s="73">
        <f t="shared" ca="1" si="395"/>
        <v>0</v>
      </c>
      <c r="AS136" s="64"/>
      <c r="AT136" s="74" t="s">
        <v>1265</v>
      </c>
      <c r="AU136" s="73">
        <f t="shared" ca="1" si="396"/>
        <v>0</v>
      </c>
      <c r="AV136" s="64"/>
      <c r="AW136" s="74" t="s">
        <v>1843</v>
      </c>
      <c r="AX136" s="73">
        <f t="shared" ca="1" si="397"/>
        <v>0</v>
      </c>
      <c r="AY136" s="64"/>
      <c r="AZ136" s="74" t="s">
        <v>1265</v>
      </c>
      <c r="BA136" s="73">
        <f t="shared" ca="1" si="398"/>
        <v>0</v>
      </c>
      <c r="BB136" s="64"/>
      <c r="BC136" s="74" t="s">
        <v>1265</v>
      </c>
      <c r="BD136" s="73">
        <f t="shared" ca="1" si="399"/>
        <v>0</v>
      </c>
      <c r="BE136" s="64"/>
      <c r="BF136" s="74" t="s">
        <v>1265</v>
      </c>
      <c r="BG136" s="73">
        <f t="shared" ca="1" si="400"/>
        <v>0</v>
      </c>
      <c r="BH136" s="64"/>
      <c r="BI136" s="74" t="s">
        <v>1265</v>
      </c>
      <c r="BJ136" s="73">
        <f t="shared" ca="1" si="401"/>
        <v>0</v>
      </c>
      <c r="BK136" s="64"/>
      <c r="BL136" s="74" t="s">
        <v>1265</v>
      </c>
      <c r="BM136" s="73">
        <f t="shared" ca="1" si="402"/>
        <v>0</v>
      </c>
      <c r="BN136" s="64"/>
      <c r="BO136" s="74" t="s">
        <v>1260</v>
      </c>
      <c r="BP136" s="73">
        <f t="shared" ca="1" si="403"/>
        <v>0</v>
      </c>
      <c r="BQ136" s="64"/>
      <c r="BR136" s="74" t="s">
        <v>1265</v>
      </c>
      <c r="BS136" s="73">
        <f t="shared" ca="1" si="404"/>
        <v>0</v>
      </c>
      <c r="BT136" s="64"/>
      <c r="BU136" s="74" t="s">
        <v>1265</v>
      </c>
      <c r="BV136" s="73">
        <f t="shared" ca="1" si="405"/>
        <v>0</v>
      </c>
      <c r="BW136" s="64"/>
      <c r="BX136" s="74" t="s">
        <v>1265</v>
      </c>
      <c r="BY136" s="73">
        <f t="shared" ca="1" si="406"/>
        <v>0</v>
      </c>
      <c r="BZ136" s="64"/>
      <c r="CA136" s="74" t="s">
        <v>1265</v>
      </c>
      <c r="CB136" s="73">
        <f t="shared" ca="1" si="407"/>
        <v>0</v>
      </c>
      <c r="CC136" s="64"/>
      <c r="CD136" s="74" t="s">
        <v>1260</v>
      </c>
      <c r="CE136" s="73">
        <f t="shared" ca="1" si="408"/>
        <v>0</v>
      </c>
      <c r="CF136" s="64"/>
      <c r="CG136" s="74" t="s">
        <v>1260</v>
      </c>
      <c r="CH136" s="73">
        <f t="shared" ca="1" si="409"/>
        <v>0</v>
      </c>
      <c r="CI136" s="64"/>
      <c r="CJ136" s="74" t="s">
        <v>1265</v>
      </c>
      <c r="CK136" s="73">
        <f t="shared" ca="1" si="410"/>
        <v>0</v>
      </c>
      <c r="CL136" s="64"/>
      <c r="CM136" s="74" t="s">
        <v>1265</v>
      </c>
      <c r="CN136" s="73">
        <f t="shared" ca="1" si="411"/>
        <v>0</v>
      </c>
      <c r="CO136" s="64"/>
      <c r="CP136" s="64"/>
    </row>
    <row r="137" spans="1:94">
      <c r="A137" s="49"/>
      <c r="B137" s="49"/>
      <c r="C137" s="49"/>
      <c r="D137" s="49"/>
      <c r="E137" s="65"/>
      <c r="F137" s="127">
        <f t="shared" si="412"/>
        <v>3</v>
      </c>
      <c r="G137" s="445">
        <f ca="1">VLOOKUP(H137,Equipos!$Q$1:$R$25,2,0)</f>
        <v>19</v>
      </c>
      <c r="H137" s="447" t="str">
        <f>Idiomas!$D$137</f>
        <v>CLASIFICADOS PARA DIECISEISAVOS</v>
      </c>
      <c r="I137" s="50"/>
      <c r="J137" s="845"/>
      <c r="K137" s="56" t="str">
        <f>Idiomas!$D$198&amp;"-"&amp;ROWS($L$130:L137)</f>
        <v>Dieciseisavofinalista-8</v>
      </c>
      <c r="L137" s="53"/>
      <c r="M137" s="55" t="str">
        <f ca="1">WORLDCUP!AA108</f>
        <v>1L</v>
      </c>
      <c r="N137" s="25"/>
      <c r="O137" s="25"/>
      <c r="P137" s="25"/>
      <c r="Q137" s="25"/>
      <c r="R137" s="110"/>
      <c r="S137" s="74" t="s">
        <v>76</v>
      </c>
      <c r="T137" s="73">
        <f t="shared" ca="1" si="387"/>
        <v>0</v>
      </c>
      <c r="U137" s="64"/>
      <c r="V137" s="74" t="s">
        <v>1551</v>
      </c>
      <c r="W137" s="73">
        <f t="shared" ca="1" si="388"/>
        <v>0</v>
      </c>
      <c r="X137" s="64"/>
      <c r="Y137" s="74" t="s">
        <v>76</v>
      </c>
      <c r="Z137" s="73">
        <f t="shared" ca="1" si="389"/>
        <v>0</v>
      </c>
      <c r="AA137" s="64"/>
      <c r="AB137" s="74" t="s">
        <v>76</v>
      </c>
      <c r="AC137" s="73">
        <f t="shared" ca="1" si="390"/>
        <v>0</v>
      </c>
      <c r="AD137" s="64"/>
      <c r="AE137" s="74" t="s">
        <v>76</v>
      </c>
      <c r="AF137" s="73">
        <f t="shared" ca="1" si="391"/>
        <v>0</v>
      </c>
      <c r="AG137" s="64"/>
      <c r="AH137" s="74" t="s">
        <v>76</v>
      </c>
      <c r="AI137" s="73">
        <f t="shared" ca="1" si="392"/>
        <v>0</v>
      </c>
      <c r="AJ137" s="64"/>
      <c r="AK137" s="74" t="s">
        <v>76</v>
      </c>
      <c r="AL137" s="73">
        <f t="shared" ca="1" si="393"/>
        <v>0</v>
      </c>
      <c r="AM137" s="64"/>
      <c r="AN137" s="74" t="s">
        <v>76</v>
      </c>
      <c r="AO137" s="73">
        <f t="shared" ca="1" si="394"/>
        <v>0</v>
      </c>
      <c r="AP137" s="64"/>
      <c r="AQ137" s="74" t="s">
        <v>76</v>
      </c>
      <c r="AR137" s="73">
        <f t="shared" ca="1" si="395"/>
        <v>0</v>
      </c>
      <c r="AS137" s="64"/>
      <c r="AT137" s="74" t="s">
        <v>76</v>
      </c>
      <c r="AU137" s="73">
        <f t="shared" ca="1" si="396"/>
        <v>0</v>
      </c>
      <c r="AV137" s="64"/>
      <c r="AW137" s="74" t="s">
        <v>76</v>
      </c>
      <c r="AX137" s="73">
        <f t="shared" ca="1" si="397"/>
        <v>0</v>
      </c>
      <c r="AY137" s="64"/>
      <c r="AZ137" s="74" t="s">
        <v>76</v>
      </c>
      <c r="BA137" s="73">
        <f t="shared" ca="1" si="398"/>
        <v>0</v>
      </c>
      <c r="BB137" s="64"/>
      <c r="BC137" s="74" t="s">
        <v>76</v>
      </c>
      <c r="BD137" s="73">
        <f t="shared" ca="1" si="399"/>
        <v>0</v>
      </c>
      <c r="BE137" s="64"/>
      <c r="BF137" s="74" t="s">
        <v>76</v>
      </c>
      <c r="BG137" s="73">
        <f t="shared" ca="1" si="400"/>
        <v>0</v>
      </c>
      <c r="BH137" s="64"/>
      <c r="BI137" s="74" t="s">
        <v>76</v>
      </c>
      <c r="BJ137" s="73">
        <f t="shared" ca="1" si="401"/>
        <v>0</v>
      </c>
      <c r="BK137" s="64"/>
      <c r="BL137" s="74" t="s">
        <v>78</v>
      </c>
      <c r="BM137" s="73">
        <f t="shared" ca="1" si="402"/>
        <v>0</v>
      </c>
      <c r="BN137" s="64"/>
      <c r="BO137" s="74" t="s">
        <v>76</v>
      </c>
      <c r="BP137" s="73">
        <f t="shared" ca="1" si="403"/>
        <v>0</v>
      </c>
      <c r="BQ137" s="64"/>
      <c r="BR137" s="74" t="s">
        <v>76</v>
      </c>
      <c r="BS137" s="73">
        <f t="shared" ca="1" si="404"/>
        <v>0</v>
      </c>
      <c r="BT137" s="64"/>
      <c r="BU137" s="74" t="s">
        <v>76</v>
      </c>
      <c r="BV137" s="73">
        <f t="shared" ca="1" si="405"/>
        <v>0</v>
      </c>
      <c r="BW137" s="64"/>
      <c r="BX137" s="74" t="s">
        <v>76</v>
      </c>
      <c r="BY137" s="73">
        <f t="shared" ca="1" si="406"/>
        <v>0</v>
      </c>
      <c r="BZ137" s="64"/>
      <c r="CA137" s="74" t="s">
        <v>76</v>
      </c>
      <c r="CB137" s="73">
        <f t="shared" ca="1" si="407"/>
        <v>0</v>
      </c>
      <c r="CC137" s="64"/>
      <c r="CD137" s="74" t="s">
        <v>76</v>
      </c>
      <c r="CE137" s="73">
        <f t="shared" ca="1" si="408"/>
        <v>0</v>
      </c>
      <c r="CF137" s="64"/>
      <c r="CG137" s="74" t="s">
        <v>76</v>
      </c>
      <c r="CH137" s="73">
        <f t="shared" ca="1" si="409"/>
        <v>0</v>
      </c>
      <c r="CI137" s="64"/>
      <c r="CJ137" s="74" t="s">
        <v>76</v>
      </c>
      <c r="CK137" s="73">
        <f t="shared" ca="1" si="410"/>
        <v>0</v>
      </c>
      <c r="CL137" s="64"/>
      <c r="CM137" s="74" t="s">
        <v>76</v>
      </c>
      <c r="CN137" s="73">
        <f t="shared" ca="1" si="411"/>
        <v>0</v>
      </c>
      <c r="CO137" s="64"/>
      <c r="CP137" s="64"/>
    </row>
    <row r="138" spans="1:94">
      <c r="A138" s="49"/>
      <c r="B138" s="49"/>
      <c r="C138" s="49"/>
      <c r="D138" s="49"/>
      <c r="E138" s="65"/>
      <c r="F138" s="127">
        <f t="shared" si="412"/>
        <v>3</v>
      </c>
      <c r="G138" s="445">
        <f ca="1">VLOOKUP(H138,Equipos!$Q$1:$R$25,2,0)</f>
        <v>19</v>
      </c>
      <c r="H138" s="447" t="str">
        <f>Idiomas!$D$137</f>
        <v>CLASIFICADOS PARA DIECISEISAVOS</v>
      </c>
      <c r="I138" s="50"/>
      <c r="J138" s="845"/>
      <c r="K138" s="56" t="str">
        <f>Idiomas!$D$198&amp;"-"&amp;ROWS($L$130:L138)</f>
        <v>Dieciseisavofinalista-9</v>
      </c>
      <c r="L138" s="53"/>
      <c r="M138" s="55" t="str">
        <f ca="1">WORLDCUP!AA109</f>
        <v>1G</v>
      </c>
      <c r="N138" s="25"/>
      <c r="O138" s="25"/>
      <c r="P138" s="25"/>
      <c r="Q138" s="25"/>
      <c r="R138" s="110"/>
      <c r="S138" s="74" t="s">
        <v>110</v>
      </c>
      <c r="T138" s="73">
        <f t="shared" ca="1" si="387"/>
        <v>0</v>
      </c>
      <c r="U138" s="64"/>
      <c r="V138" s="74" t="s">
        <v>1266</v>
      </c>
      <c r="W138" s="73">
        <f t="shared" ca="1" si="388"/>
        <v>0</v>
      </c>
      <c r="X138" s="64"/>
      <c r="Y138" s="74" t="s">
        <v>110</v>
      </c>
      <c r="Z138" s="73">
        <f t="shared" ca="1" si="389"/>
        <v>0</v>
      </c>
      <c r="AA138" s="64"/>
      <c r="AB138" s="74" t="s">
        <v>110</v>
      </c>
      <c r="AC138" s="73">
        <f t="shared" ca="1" si="390"/>
        <v>0</v>
      </c>
      <c r="AD138" s="64"/>
      <c r="AE138" s="74" t="s">
        <v>110</v>
      </c>
      <c r="AF138" s="73">
        <f t="shared" ca="1" si="391"/>
        <v>0</v>
      </c>
      <c r="AG138" s="64"/>
      <c r="AH138" s="74" t="s">
        <v>110</v>
      </c>
      <c r="AI138" s="73">
        <f t="shared" ca="1" si="392"/>
        <v>0</v>
      </c>
      <c r="AJ138" s="64"/>
      <c r="AK138" s="74" t="s">
        <v>110</v>
      </c>
      <c r="AL138" s="73">
        <f t="shared" ca="1" si="393"/>
        <v>0</v>
      </c>
      <c r="AM138" s="64"/>
      <c r="AN138" s="74" t="s">
        <v>110</v>
      </c>
      <c r="AO138" s="73">
        <f t="shared" ca="1" si="394"/>
        <v>0</v>
      </c>
      <c r="AP138" s="64"/>
      <c r="AQ138" s="74" t="s">
        <v>110</v>
      </c>
      <c r="AR138" s="73">
        <f t="shared" ca="1" si="395"/>
        <v>0</v>
      </c>
      <c r="AS138" s="64"/>
      <c r="AT138" s="74" t="s">
        <v>110</v>
      </c>
      <c r="AU138" s="73">
        <f t="shared" ca="1" si="396"/>
        <v>0</v>
      </c>
      <c r="AV138" s="64"/>
      <c r="AW138" s="74" t="s">
        <v>110</v>
      </c>
      <c r="AX138" s="73">
        <f t="shared" ca="1" si="397"/>
        <v>0</v>
      </c>
      <c r="AY138" s="64"/>
      <c r="AZ138" s="74" t="s">
        <v>110</v>
      </c>
      <c r="BA138" s="73">
        <f t="shared" ca="1" si="398"/>
        <v>0</v>
      </c>
      <c r="BB138" s="64"/>
      <c r="BC138" s="74" t="s">
        <v>110</v>
      </c>
      <c r="BD138" s="73">
        <f t="shared" ca="1" si="399"/>
        <v>0</v>
      </c>
      <c r="BE138" s="64"/>
      <c r="BF138" s="74" t="s">
        <v>110</v>
      </c>
      <c r="BG138" s="73">
        <f t="shared" ca="1" si="400"/>
        <v>0</v>
      </c>
      <c r="BH138" s="64"/>
      <c r="BI138" s="74" t="s">
        <v>110</v>
      </c>
      <c r="BJ138" s="73">
        <f t="shared" ca="1" si="401"/>
        <v>0</v>
      </c>
      <c r="BK138" s="64"/>
      <c r="BL138" s="74" t="s">
        <v>110</v>
      </c>
      <c r="BM138" s="73">
        <f t="shared" ca="1" si="402"/>
        <v>0</v>
      </c>
      <c r="BN138" s="64"/>
      <c r="BO138" s="74" t="s">
        <v>110</v>
      </c>
      <c r="BP138" s="73">
        <f t="shared" ca="1" si="403"/>
        <v>0</v>
      </c>
      <c r="BQ138" s="64"/>
      <c r="BR138" s="74" t="s">
        <v>110</v>
      </c>
      <c r="BS138" s="73">
        <f t="shared" ca="1" si="404"/>
        <v>0</v>
      </c>
      <c r="BT138" s="64"/>
      <c r="BU138" s="74" t="s">
        <v>110</v>
      </c>
      <c r="BV138" s="73">
        <f t="shared" ca="1" si="405"/>
        <v>0</v>
      </c>
      <c r="BW138" s="64"/>
      <c r="BX138" s="74" t="s">
        <v>110</v>
      </c>
      <c r="BY138" s="73">
        <f t="shared" ca="1" si="406"/>
        <v>0</v>
      </c>
      <c r="BZ138" s="64"/>
      <c r="CA138" s="74" t="s">
        <v>110</v>
      </c>
      <c r="CB138" s="73">
        <f t="shared" ca="1" si="407"/>
        <v>0</v>
      </c>
      <c r="CC138" s="64"/>
      <c r="CD138" s="74" t="s">
        <v>110</v>
      </c>
      <c r="CE138" s="73">
        <f t="shared" ca="1" si="408"/>
        <v>0</v>
      </c>
      <c r="CF138" s="64"/>
      <c r="CG138" s="74" t="s">
        <v>110</v>
      </c>
      <c r="CH138" s="73">
        <f t="shared" ca="1" si="409"/>
        <v>0</v>
      </c>
      <c r="CI138" s="64"/>
      <c r="CJ138" s="74" t="s">
        <v>110</v>
      </c>
      <c r="CK138" s="73">
        <f t="shared" ca="1" si="410"/>
        <v>0</v>
      </c>
      <c r="CL138" s="64"/>
      <c r="CM138" s="74" t="s">
        <v>110</v>
      </c>
      <c r="CN138" s="73">
        <f t="shared" ca="1" si="411"/>
        <v>0</v>
      </c>
      <c r="CO138" s="64"/>
      <c r="CP138" s="64"/>
    </row>
    <row r="139" spans="1:94">
      <c r="A139" s="49"/>
      <c r="B139" s="49"/>
      <c r="C139" s="49"/>
      <c r="D139" s="49"/>
      <c r="E139" s="65"/>
      <c r="F139" s="127">
        <f t="shared" si="412"/>
        <v>3</v>
      </c>
      <c r="G139" s="445">
        <f ca="1">VLOOKUP(H139,Equipos!$Q$1:$R$25,2,0)</f>
        <v>19</v>
      </c>
      <c r="H139" s="447" t="str">
        <f>Idiomas!$D$137</f>
        <v>CLASIFICADOS PARA DIECISEISAVOS</v>
      </c>
      <c r="I139" s="50"/>
      <c r="J139" s="845"/>
      <c r="K139" s="56" t="str">
        <f>Idiomas!$D$198&amp;"-"&amp;ROWS($L$130:L139)</f>
        <v>Dieciseisavofinalista-10</v>
      </c>
      <c r="L139" s="53"/>
      <c r="M139" s="55" t="str">
        <f ca="1">WORLDCUP!AA110</f>
        <v>1D</v>
      </c>
      <c r="N139" s="25"/>
      <c r="O139" s="25"/>
      <c r="P139" s="25"/>
      <c r="Q139" s="25"/>
      <c r="R139" s="110"/>
      <c r="S139" s="74" t="s">
        <v>1835</v>
      </c>
      <c r="T139" s="73">
        <f t="shared" ca="1" si="387"/>
        <v>0</v>
      </c>
      <c r="U139" s="64"/>
      <c r="V139" s="74" t="s">
        <v>1319</v>
      </c>
      <c r="W139" s="73">
        <f t="shared" ca="1" si="388"/>
        <v>0</v>
      </c>
      <c r="X139" s="64"/>
      <c r="Y139" s="74" t="s">
        <v>497</v>
      </c>
      <c r="Z139" s="73">
        <f t="shared" ca="1" si="389"/>
        <v>0</v>
      </c>
      <c r="AA139" s="64"/>
      <c r="AB139" s="74" t="s">
        <v>1835</v>
      </c>
      <c r="AC139" s="73">
        <f t="shared" ca="1" si="390"/>
        <v>0</v>
      </c>
      <c r="AD139" s="64"/>
      <c r="AE139" s="74" t="s">
        <v>1835</v>
      </c>
      <c r="AF139" s="73">
        <f t="shared" ca="1" si="391"/>
        <v>0</v>
      </c>
      <c r="AG139" s="64"/>
      <c r="AH139" s="74" t="s">
        <v>1835</v>
      </c>
      <c r="AI139" s="73">
        <f t="shared" ca="1" si="392"/>
        <v>0</v>
      </c>
      <c r="AJ139" s="64"/>
      <c r="AK139" s="74" t="s">
        <v>1835</v>
      </c>
      <c r="AL139" s="73">
        <f t="shared" ca="1" si="393"/>
        <v>0</v>
      </c>
      <c r="AM139" s="64"/>
      <c r="AN139" s="74" t="s">
        <v>1319</v>
      </c>
      <c r="AO139" s="73">
        <f t="shared" ca="1" si="394"/>
        <v>0</v>
      </c>
      <c r="AP139" s="64"/>
      <c r="AQ139" s="74" t="s">
        <v>1835</v>
      </c>
      <c r="AR139" s="73">
        <f t="shared" ca="1" si="395"/>
        <v>0</v>
      </c>
      <c r="AS139" s="64"/>
      <c r="AT139" s="74" t="s">
        <v>497</v>
      </c>
      <c r="AU139" s="73">
        <f t="shared" ca="1" si="396"/>
        <v>0</v>
      </c>
      <c r="AV139" s="64"/>
      <c r="AW139" s="74" t="s">
        <v>497</v>
      </c>
      <c r="AX139" s="73">
        <f t="shared" ca="1" si="397"/>
        <v>0</v>
      </c>
      <c r="AY139" s="64"/>
      <c r="AZ139" s="74" t="s">
        <v>497</v>
      </c>
      <c r="BA139" s="73">
        <f t="shared" ca="1" si="398"/>
        <v>0</v>
      </c>
      <c r="BB139" s="64"/>
      <c r="BC139" s="74" t="s">
        <v>1835</v>
      </c>
      <c r="BD139" s="73">
        <f t="shared" ca="1" si="399"/>
        <v>0</v>
      </c>
      <c r="BE139" s="64"/>
      <c r="BF139" s="74" t="s">
        <v>1835</v>
      </c>
      <c r="BG139" s="73">
        <f t="shared" ca="1" si="400"/>
        <v>0</v>
      </c>
      <c r="BH139" s="64"/>
      <c r="BI139" s="74" t="s">
        <v>1319</v>
      </c>
      <c r="BJ139" s="73">
        <f t="shared" ca="1" si="401"/>
        <v>0</v>
      </c>
      <c r="BK139" s="64"/>
      <c r="BL139" s="74" t="s">
        <v>1835</v>
      </c>
      <c r="BM139" s="73">
        <f t="shared" ca="1" si="402"/>
        <v>0</v>
      </c>
      <c r="BN139" s="64"/>
      <c r="BO139" s="74" t="s">
        <v>1257</v>
      </c>
      <c r="BP139" s="73">
        <f t="shared" ca="1" si="403"/>
        <v>0</v>
      </c>
      <c r="BQ139" s="64"/>
      <c r="BR139" s="74" t="s">
        <v>1835</v>
      </c>
      <c r="BS139" s="73">
        <f t="shared" ca="1" si="404"/>
        <v>0</v>
      </c>
      <c r="BT139" s="64"/>
      <c r="BU139" s="74" t="s">
        <v>1835</v>
      </c>
      <c r="BV139" s="73">
        <f t="shared" ca="1" si="405"/>
        <v>0</v>
      </c>
      <c r="BW139" s="64"/>
      <c r="BX139" s="74" t="s">
        <v>497</v>
      </c>
      <c r="BY139" s="73">
        <f t="shared" ca="1" si="406"/>
        <v>0</v>
      </c>
      <c r="BZ139" s="64"/>
      <c r="CA139" s="74" t="s">
        <v>497</v>
      </c>
      <c r="CB139" s="73">
        <f t="shared" ca="1" si="407"/>
        <v>0</v>
      </c>
      <c r="CC139" s="64"/>
      <c r="CD139" s="74" t="s">
        <v>1319</v>
      </c>
      <c r="CE139" s="73">
        <f t="shared" ca="1" si="408"/>
        <v>0</v>
      </c>
      <c r="CF139" s="64"/>
      <c r="CG139" s="74" t="s">
        <v>1835</v>
      </c>
      <c r="CH139" s="73">
        <f t="shared" ca="1" si="409"/>
        <v>0</v>
      </c>
      <c r="CI139" s="64"/>
      <c r="CJ139" s="74" t="s">
        <v>497</v>
      </c>
      <c r="CK139" s="73">
        <f t="shared" ca="1" si="410"/>
        <v>0</v>
      </c>
      <c r="CL139" s="64"/>
      <c r="CM139" s="74" t="s">
        <v>497</v>
      </c>
      <c r="CN139" s="73">
        <f t="shared" ca="1" si="411"/>
        <v>0</v>
      </c>
      <c r="CO139" s="64"/>
      <c r="CP139" s="64"/>
    </row>
    <row r="140" spans="1:94">
      <c r="A140" s="49"/>
      <c r="B140" s="49"/>
      <c r="C140" s="49"/>
      <c r="D140" s="49"/>
      <c r="E140" s="65"/>
      <c r="F140" s="127">
        <f t="shared" si="412"/>
        <v>3</v>
      </c>
      <c r="G140" s="445">
        <f ca="1">VLOOKUP(H140,Equipos!$Q$1:$R$25,2,0)</f>
        <v>19</v>
      </c>
      <c r="H140" s="447" t="str">
        <f>Idiomas!$D$137</f>
        <v>CLASIFICADOS PARA DIECISEISAVOS</v>
      </c>
      <c r="I140" s="50"/>
      <c r="J140" s="845"/>
      <c r="K140" s="56" t="str">
        <f>Idiomas!$D$198&amp;"-"&amp;ROWS($L$130:L140)</f>
        <v>Dieciseisavofinalista-11</v>
      </c>
      <c r="L140" s="53"/>
      <c r="M140" s="55" t="str">
        <f ca="1">WORLDCUP!AA111</f>
        <v>1H</v>
      </c>
      <c r="N140" s="25"/>
      <c r="O140" s="25"/>
      <c r="P140" s="25"/>
      <c r="Q140" s="25"/>
      <c r="R140" s="110"/>
      <c r="S140" s="74" t="s">
        <v>38</v>
      </c>
      <c r="T140" s="73">
        <f t="shared" ca="1" si="387"/>
        <v>0</v>
      </c>
      <c r="U140" s="64"/>
      <c r="V140" s="74" t="s">
        <v>1318</v>
      </c>
      <c r="W140" s="73">
        <f t="shared" ca="1" si="388"/>
        <v>0</v>
      </c>
      <c r="X140" s="64"/>
      <c r="Y140" s="74" t="s">
        <v>38</v>
      </c>
      <c r="Z140" s="73">
        <f t="shared" ca="1" si="389"/>
        <v>0</v>
      </c>
      <c r="AA140" s="64"/>
      <c r="AB140" s="74" t="s">
        <v>38</v>
      </c>
      <c r="AC140" s="73">
        <f t="shared" ca="1" si="390"/>
        <v>0</v>
      </c>
      <c r="AD140" s="64"/>
      <c r="AE140" s="74" t="s">
        <v>38</v>
      </c>
      <c r="AF140" s="73">
        <f t="shared" ca="1" si="391"/>
        <v>0</v>
      </c>
      <c r="AG140" s="64"/>
      <c r="AH140" s="74" t="s">
        <v>38</v>
      </c>
      <c r="AI140" s="73">
        <f t="shared" ca="1" si="392"/>
        <v>0</v>
      </c>
      <c r="AJ140" s="64"/>
      <c r="AK140" s="74" t="s">
        <v>38</v>
      </c>
      <c r="AL140" s="73">
        <f t="shared" ca="1" si="393"/>
        <v>0</v>
      </c>
      <c r="AM140" s="64"/>
      <c r="AN140" s="74" t="s">
        <v>38</v>
      </c>
      <c r="AO140" s="73">
        <f t="shared" ca="1" si="394"/>
        <v>0</v>
      </c>
      <c r="AP140" s="64"/>
      <c r="AQ140" s="74" t="s">
        <v>38</v>
      </c>
      <c r="AR140" s="73">
        <f t="shared" ca="1" si="395"/>
        <v>0</v>
      </c>
      <c r="AS140" s="64"/>
      <c r="AT140" s="74" t="s">
        <v>38</v>
      </c>
      <c r="AU140" s="73">
        <f t="shared" ca="1" si="396"/>
        <v>0</v>
      </c>
      <c r="AV140" s="64"/>
      <c r="AW140" s="74" t="s">
        <v>38</v>
      </c>
      <c r="AX140" s="73">
        <f t="shared" ca="1" si="397"/>
        <v>0</v>
      </c>
      <c r="AY140" s="64"/>
      <c r="AZ140" s="74" t="s">
        <v>38</v>
      </c>
      <c r="BA140" s="73">
        <f t="shared" ca="1" si="398"/>
        <v>0</v>
      </c>
      <c r="BB140" s="64"/>
      <c r="BC140" s="74" t="s">
        <v>1318</v>
      </c>
      <c r="BD140" s="73">
        <f t="shared" ca="1" si="399"/>
        <v>0</v>
      </c>
      <c r="BE140" s="64"/>
      <c r="BF140" s="74" t="s">
        <v>38</v>
      </c>
      <c r="BG140" s="73">
        <f t="shared" ca="1" si="400"/>
        <v>0</v>
      </c>
      <c r="BH140" s="64"/>
      <c r="BI140" s="74" t="s">
        <v>38</v>
      </c>
      <c r="BJ140" s="73">
        <f t="shared" ca="1" si="401"/>
        <v>0</v>
      </c>
      <c r="BK140" s="64"/>
      <c r="BL140" s="74" t="s">
        <v>38</v>
      </c>
      <c r="BM140" s="73">
        <f t="shared" ca="1" si="402"/>
        <v>0</v>
      </c>
      <c r="BN140" s="64"/>
      <c r="BO140" s="74" t="s">
        <v>38</v>
      </c>
      <c r="BP140" s="73">
        <f t="shared" ca="1" si="403"/>
        <v>0</v>
      </c>
      <c r="BQ140" s="64"/>
      <c r="BR140" s="74" t="s">
        <v>38</v>
      </c>
      <c r="BS140" s="73">
        <f t="shared" ca="1" si="404"/>
        <v>0</v>
      </c>
      <c r="BT140" s="64"/>
      <c r="BU140" s="74" t="s">
        <v>38</v>
      </c>
      <c r="BV140" s="73">
        <f t="shared" ca="1" si="405"/>
        <v>0</v>
      </c>
      <c r="BW140" s="64"/>
      <c r="BX140" s="74" t="s">
        <v>38</v>
      </c>
      <c r="BY140" s="73">
        <f t="shared" ca="1" si="406"/>
        <v>0</v>
      </c>
      <c r="BZ140" s="64"/>
      <c r="CA140" s="74" t="s">
        <v>38</v>
      </c>
      <c r="CB140" s="73">
        <f t="shared" ca="1" si="407"/>
        <v>0</v>
      </c>
      <c r="CC140" s="64"/>
      <c r="CD140" s="74" t="s">
        <v>38</v>
      </c>
      <c r="CE140" s="73">
        <f t="shared" ca="1" si="408"/>
        <v>0</v>
      </c>
      <c r="CF140" s="64"/>
      <c r="CG140" s="74" t="s">
        <v>38</v>
      </c>
      <c r="CH140" s="73">
        <f t="shared" ca="1" si="409"/>
        <v>0</v>
      </c>
      <c r="CI140" s="64"/>
      <c r="CJ140" s="74" t="s">
        <v>38</v>
      </c>
      <c r="CK140" s="73">
        <f t="shared" ca="1" si="410"/>
        <v>0</v>
      </c>
      <c r="CL140" s="64"/>
      <c r="CM140" s="74" t="s">
        <v>38</v>
      </c>
      <c r="CN140" s="73">
        <f t="shared" ca="1" si="411"/>
        <v>0</v>
      </c>
      <c r="CO140" s="64"/>
      <c r="CP140" s="64"/>
    </row>
    <row r="141" spans="1:94">
      <c r="A141" s="49"/>
      <c r="B141" s="49"/>
      <c r="C141" s="49"/>
      <c r="D141" s="49"/>
      <c r="E141" s="65"/>
      <c r="F141" s="127">
        <f t="shared" si="412"/>
        <v>3</v>
      </c>
      <c r="G141" s="445">
        <f ca="1">VLOOKUP(H141,Equipos!$Q$1:$R$25,2,0)</f>
        <v>19</v>
      </c>
      <c r="H141" s="447" t="str">
        <f>Idiomas!$D$137</f>
        <v>CLASIFICADOS PARA DIECISEISAVOS</v>
      </c>
      <c r="I141" s="50"/>
      <c r="J141" s="845"/>
      <c r="K141" s="56" t="str">
        <f>Idiomas!$D$198&amp;"-"&amp;ROWS($L$130:L141)</f>
        <v>Dieciseisavofinalista-12</v>
      </c>
      <c r="L141" s="53"/>
      <c r="M141" s="55" t="str">
        <f ca="1">WORLDCUP!AA112</f>
        <v>2K</v>
      </c>
      <c r="N141" s="25"/>
      <c r="O141" s="25"/>
      <c r="P141" s="25"/>
      <c r="Q141" s="25"/>
      <c r="R141" s="110"/>
      <c r="S141" s="74" t="s">
        <v>1320</v>
      </c>
      <c r="T141" s="73">
        <f t="shared" ca="1" si="387"/>
        <v>0</v>
      </c>
      <c r="U141" s="64"/>
      <c r="V141" s="74" t="s">
        <v>1320</v>
      </c>
      <c r="W141" s="73">
        <f t="shared" ca="1" si="388"/>
        <v>0</v>
      </c>
      <c r="X141" s="64"/>
      <c r="Y141" s="74" t="s">
        <v>1839</v>
      </c>
      <c r="Z141" s="73">
        <f t="shared" ca="1" si="389"/>
        <v>0</v>
      </c>
      <c r="AA141" s="64"/>
      <c r="AB141" s="74" t="s">
        <v>1320</v>
      </c>
      <c r="AC141" s="73">
        <f t="shared" ca="1" si="390"/>
        <v>0</v>
      </c>
      <c r="AD141" s="64"/>
      <c r="AE141" s="74" t="s">
        <v>1320</v>
      </c>
      <c r="AF141" s="73">
        <f t="shared" ca="1" si="391"/>
        <v>0</v>
      </c>
      <c r="AG141" s="64"/>
      <c r="AH141" s="74" t="s">
        <v>1320</v>
      </c>
      <c r="AI141" s="73">
        <f t="shared" ca="1" si="392"/>
        <v>0</v>
      </c>
      <c r="AJ141" s="64"/>
      <c r="AK141" s="74" t="s">
        <v>1320</v>
      </c>
      <c r="AL141" s="73">
        <f t="shared" ca="1" si="393"/>
        <v>0</v>
      </c>
      <c r="AM141" s="64"/>
      <c r="AN141" s="74" t="s">
        <v>1320</v>
      </c>
      <c r="AO141" s="73">
        <f t="shared" ca="1" si="394"/>
        <v>0</v>
      </c>
      <c r="AP141" s="64"/>
      <c r="AQ141" s="74" t="s">
        <v>1320</v>
      </c>
      <c r="AR141" s="73">
        <f t="shared" ca="1" si="395"/>
        <v>0</v>
      </c>
      <c r="AS141" s="64"/>
      <c r="AT141" s="74" t="s">
        <v>1320</v>
      </c>
      <c r="AU141" s="73">
        <f t="shared" ca="1" si="396"/>
        <v>0</v>
      </c>
      <c r="AV141" s="64"/>
      <c r="AW141" s="74" t="s">
        <v>1320</v>
      </c>
      <c r="AX141" s="73">
        <f t="shared" ca="1" si="397"/>
        <v>0</v>
      </c>
      <c r="AY141" s="64"/>
      <c r="AZ141" s="74" t="s">
        <v>1320</v>
      </c>
      <c r="BA141" s="73">
        <f t="shared" ca="1" si="398"/>
        <v>0</v>
      </c>
      <c r="BB141" s="64"/>
      <c r="BC141" s="74" t="s">
        <v>1320</v>
      </c>
      <c r="BD141" s="73">
        <f t="shared" ca="1" si="399"/>
        <v>0</v>
      </c>
      <c r="BE141" s="64"/>
      <c r="BF141" s="74" t="s">
        <v>1320</v>
      </c>
      <c r="BG141" s="73">
        <f t="shared" ca="1" si="400"/>
        <v>0</v>
      </c>
      <c r="BH141" s="64"/>
      <c r="BI141" s="74" t="s">
        <v>1320</v>
      </c>
      <c r="BJ141" s="73">
        <f t="shared" ca="1" si="401"/>
        <v>0</v>
      </c>
      <c r="BK141" s="64"/>
      <c r="BL141" s="74" t="s">
        <v>1320</v>
      </c>
      <c r="BM141" s="73">
        <f t="shared" ca="1" si="402"/>
        <v>0</v>
      </c>
      <c r="BN141" s="64"/>
      <c r="BO141" s="74" t="s">
        <v>1320</v>
      </c>
      <c r="BP141" s="73">
        <f t="shared" ca="1" si="403"/>
        <v>0</v>
      </c>
      <c r="BQ141" s="64"/>
      <c r="BR141" s="74" t="s">
        <v>1320</v>
      </c>
      <c r="BS141" s="73">
        <f t="shared" ca="1" si="404"/>
        <v>0</v>
      </c>
      <c r="BT141" s="64"/>
      <c r="BU141" s="74" t="s">
        <v>1320</v>
      </c>
      <c r="BV141" s="73">
        <f t="shared" ca="1" si="405"/>
        <v>0</v>
      </c>
      <c r="BW141" s="64"/>
      <c r="BX141" s="74" t="s">
        <v>1320</v>
      </c>
      <c r="BY141" s="73">
        <f t="shared" ca="1" si="406"/>
        <v>0</v>
      </c>
      <c r="BZ141" s="64"/>
      <c r="CA141" s="74" t="s">
        <v>79</v>
      </c>
      <c r="CB141" s="73">
        <f t="shared" ca="1" si="407"/>
        <v>0</v>
      </c>
      <c r="CC141" s="64"/>
      <c r="CD141" s="74" t="s">
        <v>1320</v>
      </c>
      <c r="CE141" s="73">
        <f t="shared" ca="1" si="408"/>
        <v>0</v>
      </c>
      <c r="CF141" s="64"/>
      <c r="CG141" s="74" t="s">
        <v>1320</v>
      </c>
      <c r="CH141" s="73">
        <f t="shared" ca="1" si="409"/>
        <v>0</v>
      </c>
      <c r="CI141" s="64"/>
      <c r="CJ141" s="74" t="s">
        <v>1320</v>
      </c>
      <c r="CK141" s="73">
        <f t="shared" ca="1" si="410"/>
        <v>0</v>
      </c>
      <c r="CL141" s="64"/>
      <c r="CM141" s="74" t="s">
        <v>1320</v>
      </c>
      <c r="CN141" s="73">
        <f t="shared" ca="1" si="411"/>
        <v>0</v>
      </c>
      <c r="CO141" s="64"/>
      <c r="CP141" s="64"/>
    </row>
    <row r="142" spans="1:94">
      <c r="A142" s="49"/>
      <c r="B142" s="49"/>
      <c r="C142" s="49"/>
      <c r="D142" s="49"/>
      <c r="E142" s="65"/>
      <c r="F142" s="127">
        <f t="shared" si="412"/>
        <v>3</v>
      </c>
      <c r="G142" s="445">
        <f ca="1">VLOOKUP(H142,Equipos!$Q$1:$R$25,2,0)</f>
        <v>19</v>
      </c>
      <c r="H142" s="447" t="str">
        <f>Idiomas!$D$137</f>
        <v>CLASIFICADOS PARA DIECISEISAVOS</v>
      </c>
      <c r="I142" s="50"/>
      <c r="J142" s="845"/>
      <c r="K142" s="56" t="str">
        <f>Idiomas!$D$198&amp;"-"&amp;ROWS($L$130:L142)</f>
        <v>Dieciseisavofinalista-13</v>
      </c>
      <c r="L142" s="53"/>
      <c r="M142" s="55" t="str">
        <f ca="1">WORLDCUP!AA113</f>
        <v>1B</v>
      </c>
      <c r="N142" s="25"/>
      <c r="O142" s="25"/>
      <c r="P142" s="25"/>
      <c r="Q142" s="25"/>
      <c r="R142" s="110"/>
      <c r="S142" s="74" t="s">
        <v>75</v>
      </c>
      <c r="T142" s="73">
        <f t="shared" ca="1" si="387"/>
        <v>0</v>
      </c>
      <c r="U142" s="64"/>
      <c r="V142" s="74" t="s">
        <v>1631</v>
      </c>
      <c r="W142" s="73">
        <f t="shared" ca="1" si="388"/>
        <v>0</v>
      </c>
      <c r="X142" s="64"/>
      <c r="Y142" s="74" t="s">
        <v>75</v>
      </c>
      <c r="Z142" s="73">
        <f t="shared" ca="1" si="389"/>
        <v>0</v>
      </c>
      <c r="AA142" s="64"/>
      <c r="AB142" s="74" t="s">
        <v>1259</v>
      </c>
      <c r="AC142" s="73">
        <f t="shared" ca="1" si="390"/>
        <v>0</v>
      </c>
      <c r="AD142" s="64"/>
      <c r="AE142" s="74" t="s">
        <v>1259</v>
      </c>
      <c r="AF142" s="73">
        <f t="shared" ca="1" si="391"/>
        <v>0</v>
      </c>
      <c r="AG142" s="64"/>
      <c r="AH142" s="74" t="s">
        <v>1259</v>
      </c>
      <c r="AI142" s="73">
        <f t="shared" ca="1" si="392"/>
        <v>0</v>
      </c>
      <c r="AJ142" s="64"/>
      <c r="AK142" s="74" t="s">
        <v>75</v>
      </c>
      <c r="AL142" s="73">
        <f t="shared" ca="1" si="393"/>
        <v>0</v>
      </c>
      <c r="AM142" s="64"/>
      <c r="AN142" s="74" t="s">
        <v>75</v>
      </c>
      <c r="AO142" s="73">
        <f t="shared" ca="1" si="394"/>
        <v>0</v>
      </c>
      <c r="AP142" s="64"/>
      <c r="AQ142" s="74" t="s">
        <v>75</v>
      </c>
      <c r="AR142" s="73">
        <f t="shared" ca="1" si="395"/>
        <v>0</v>
      </c>
      <c r="AS142" s="64"/>
      <c r="AT142" s="74" t="s">
        <v>75</v>
      </c>
      <c r="AU142" s="73">
        <f t="shared" ca="1" si="396"/>
        <v>0</v>
      </c>
      <c r="AV142" s="64"/>
      <c r="AW142" s="74" t="s">
        <v>75</v>
      </c>
      <c r="AX142" s="73">
        <f t="shared" ca="1" si="397"/>
        <v>0</v>
      </c>
      <c r="AY142" s="64"/>
      <c r="AZ142" s="74" t="s">
        <v>1631</v>
      </c>
      <c r="BA142" s="73">
        <f t="shared" ca="1" si="398"/>
        <v>0</v>
      </c>
      <c r="BB142" s="64"/>
      <c r="BC142" s="74" t="s">
        <v>75</v>
      </c>
      <c r="BD142" s="73">
        <f t="shared" ca="1" si="399"/>
        <v>0</v>
      </c>
      <c r="BE142" s="64"/>
      <c r="BF142" s="74" t="s">
        <v>75</v>
      </c>
      <c r="BG142" s="73">
        <f t="shared" ca="1" si="400"/>
        <v>0</v>
      </c>
      <c r="BH142" s="64"/>
      <c r="BI142" s="74" t="s">
        <v>75</v>
      </c>
      <c r="BJ142" s="73">
        <f t="shared" ca="1" si="401"/>
        <v>0</v>
      </c>
      <c r="BK142" s="64"/>
      <c r="BL142" s="74" t="s">
        <v>75</v>
      </c>
      <c r="BM142" s="73">
        <f t="shared" ca="1" si="402"/>
        <v>0</v>
      </c>
      <c r="BN142" s="64"/>
      <c r="BO142" s="74" t="s">
        <v>1259</v>
      </c>
      <c r="BP142" s="73">
        <f t="shared" ca="1" si="403"/>
        <v>0</v>
      </c>
      <c r="BQ142" s="64"/>
      <c r="BR142" s="74" t="s">
        <v>1259</v>
      </c>
      <c r="BS142" s="73">
        <f t="shared" ca="1" si="404"/>
        <v>0</v>
      </c>
      <c r="BT142" s="64"/>
      <c r="BU142" s="74" t="s">
        <v>75</v>
      </c>
      <c r="BV142" s="73">
        <f t="shared" ca="1" si="405"/>
        <v>0</v>
      </c>
      <c r="BW142" s="64"/>
      <c r="BX142" s="74" t="s">
        <v>75</v>
      </c>
      <c r="BY142" s="73">
        <f t="shared" ca="1" si="406"/>
        <v>0</v>
      </c>
      <c r="BZ142" s="64"/>
      <c r="CA142" s="74" t="s">
        <v>1259</v>
      </c>
      <c r="CB142" s="73">
        <f t="shared" ca="1" si="407"/>
        <v>0</v>
      </c>
      <c r="CC142" s="64"/>
      <c r="CD142" s="74" t="s">
        <v>75</v>
      </c>
      <c r="CE142" s="73">
        <f t="shared" ca="1" si="408"/>
        <v>0</v>
      </c>
      <c r="CF142" s="64"/>
      <c r="CG142" s="74" t="s">
        <v>1259</v>
      </c>
      <c r="CH142" s="73">
        <f t="shared" ca="1" si="409"/>
        <v>0</v>
      </c>
      <c r="CI142" s="64"/>
      <c r="CJ142" s="74" t="s">
        <v>75</v>
      </c>
      <c r="CK142" s="73">
        <f t="shared" ca="1" si="410"/>
        <v>0</v>
      </c>
      <c r="CL142" s="64"/>
      <c r="CM142" s="74" t="s">
        <v>75</v>
      </c>
      <c r="CN142" s="73">
        <f t="shared" ca="1" si="411"/>
        <v>0</v>
      </c>
      <c r="CO142" s="64"/>
      <c r="CP142" s="64"/>
    </row>
    <row r="143" spans="1:94">
      <c r="A143" s="49"/>
      <c r="B143" s="49"/>
      <c r="C143" s="49"/>
      <c r="D143" s="49"/>
      <c r="E143" s="65"/>
      <c r="F143" s="127">
        <f t="shared" si="412"/>
        <v>3</v>
      </c>
      <c r="G143" s="445">
        <f ca="1">VLOOKUP(H143,Equipos!$Q$1:$R$25,2,0)</f>
        <v>19</v>
      </c>
      <c r="H143" s="447" t="str">
        <f>Idiomas!$D$137</f>
        <v>CLASIFICADOS PARA DIECISEISAVOS</v>
      </c>
      <c r="I143" s="50"/>
      <c r="J143" s="845"/>
      <c r="K143" s="56" t="str">
        <f>Idiomas!$D$198&amp;"-"&amp;ROWS($L$130:L143)</f>
        <v>Dieciseisavofinalista-14</v>
      </c>
      <c r="L143" s="53"/>
      <c r="M143" s="55" t="str">
        <f ca="1">WORLDCUP!AA114</f>
        <v>2D</v>
      </c>
      <c r="N143" s="25"/>
      <c r="O143" s="25"/>
      <c r="P143" s="25"/>
      <c r="Q143" s="25"/>
      <c r="R143" s="110"/>
      <c r="S143" s="74" t="s">
        <v>497</v>
      </c>
      <c r="T143" s="73">
        <f t="shared" ca="1" si="387"/>
        <v>0</v>
      </c>
      <c r="U143" s="64"/>
      <c r="V143" s="74" t="s">
        <v>1257</v>
      </c>
      <c r="W143" s="73">
        <f t="shared" ca="1" si="388"/>
        <v>0</v>
      </c>
      <c r="X143" s="64"/>
      <c r="Y143" s="74" t="s">
        <v>1835</v>
      </c>
      <c r="Z143" s="73">
        <f t="shared" ca="1" si="389"/>
        <v>0</v>
      </c>
      <c r="AA143" s="64"/>
      <c r="AB143" s="74" t="s">
        <v>1319</v>
      </c>
      <c r="AC143" s="73">
        <f t="shared" ca="1" si="390"/>
        <v>0</v>
      </c>
      <c r="AD143" s="64"/>
      <c r="AE143" s="74" t="s">
        <v>497</v>
      </c>
      <c r="AF143" s="73">
        <f t="shared" ca="1" si="391"/>
        <v>0</v>
      </c>
      <c r="AG143" s="64"/>
      <c r="AH143" s="74" t="s">
        <v>497</v>
      </c>
      <c r="AI143" s="73">
        <f t="shared" ca="1" si="392"/>
        <v>0</v>
      </c>
      <c r="AJ143" s="64"/>
      <c r="AK143" s="74" t="s">
        <v>1319</v>
      </c>
      <c r="AL143" s="73">
        <f t="shared" ca="1" si="393"/>
        <v>0</v>
      </c>
      <c r="AM143" s="64"/>
      <c r="AN143" s="74" t="s">
        <v>1835</v>
      </c>
      <c r="AO143" s="73">
        <f t="shared" ca="1" si="394"/>
        <v>0</v>
      </c>
      <c r="AP143" s="64"/>
      <c r="AQ143" s="74" t="s">
        <v>1319</v>
      </c>
      <c r="AR143" s="73">
        <f t="shared" ca="1" si="395"/>
        <v>0</v>
      </c>
      <c r="AS143" s="64"/>
      <c r="AT143" s="74" t="s">
        <v>1835</v>
      </c>
      <c r="AU143" s="73">
        <f t="shared" ca="1" si="396"/>
        <v>0</v>
      </c>
      <c r="AV143" s="64"/>
      <c r="AW143" s="74" t="s">
        <v>1319</v>
      </c>
      <c r="AX143" s="73">
        <f t="shared" ca="1" si="397"/>
        <v>0</v>
      </c>
      <c r="AY143" s="64"/>
      <c r="AZ143" s="74" t="s">
        <v>1835</v>
      </c>
      <c r="BA143" s="73">
        <f t="shared" ca="1" si="398"/>
        <v>0</v>
      </c>
      <c r="BB143" s="64"/>
      <c r="BC143" s="74" t="s">
        <v>1319</v>
      </c>
      <c r="BD143" s="73">
        <f t="shared" ca="1" si="399"/>
        <v>0</v>
      </c>
      <c r="BE143" s="64"/>
      <c r="BF143" s="74" t="s">
        <v>497</v>
      </c>
      <c r="BG143" s="73">
        <f t="shared" ca="1" si="400"/>
        <v>0</v>
      </c>
      <c r="BH143" s="64"/>
      <c r="BI143" s="74" t="s">
        <v>1835</v>
      </c>
      <c r="BJ143" s="73">
        <f t="shared" ca="1" si="401"/>
        <v>0</v>
      </c>
      <c r="BK143" s="64"/>
      <c r="BL143" s="74" t="s">
        <v>497</v>
      </c>
      <c r="BM143" s="73">
        <f t="shared" ca="1" si="402"/>
        <v>0</v>
      </c>
      <c r="BN143" s="64"/>
      <c r="BO143" s="74" t="s">
        <v>497</v>
      </c>
      <c r="BP143" s="73">
        <f t="shared" ca="1" si="403"/>
        <v>0</v>
      </c>
      <c r="BQ143" s="64"/>
      <c r="BR143" s="74" t="s">
        <v>497</v>
      </c>
      <c r="BS143" s="73">
        <f t="shared" ca="1" si="404"/>
        <v>0</v>
      </c>
      <c r="BT143" s="64"/>
      <c r="BU143" s="74" t="s">
        <v>1319</v>
      </c>
      <c r="BV143" s="73">
        <f t="shared" ca="1" si="405"/>
        <v>0</v>
      </c>
      <c r="BW143" s="64"/>
      <c r="BX143" s="74" t="s">
        <v>1835</v>
      </c>
      <c r="BY143" s="73">
        <f t="shared" ca="1" si="406"/>
        <v>0</v>
      </c>
      <c r="BZ143" s="64"/>
      <c r="CA143" s="74" t="s">
        <v>1319</v>
      </c>
      <c r="CB143" s="73">
        <f t="shared" ca="1" si="407"/>
        <v>0</v>
      </c>
      <c r="CC143" s="64"/>
      <c r="CD143" s="74" t="s">
        <v>1835</v>
      </c>
      <c r="CE143" s="73">
        <f t="shared" ca="1" si="408"/>
        <v>0</v>
      </c>
      <c r="CF143" s="64"/>
      <c r="CG143" s="74" t="s">
        <v>497</v>
      </c>
      <c r="CH143" s="73">
        <f t="shared" ca="1" si="409"/>
        <v>0</v>
      </c>
      <c r="CI143" s="64"/>
      <c r="CJ143" s="74" t="s">
        <v>1835</v>
      </c>
      <c r="CK143" s="73">
        <f t="shared" ca="1" si="410"/>
        <v>0</v>
      </c>
      <c r="CL143" s="64"/>
      <c r="CM143" s="74" t="s">
        <v>1835</v>
      </c>
      <c r="CN143" s="73">
        <f t="shared" ca="1" si="411"/>
        <v>0</v>
      </c>
      <c r="CO143" s="64"/>
      <c r="CP143" s="64"/>
    </row>
    <row r="144" spans="1:94">
      <c r="A144" s="49"/>
      <c r="B144" s="49"/>
      <c r="C144" s="49"/>
      <c r="D144" s="49"/>
      <c r="E144" s="65"/>
      <c r="F144" s="127">
        <f t="shared" si="412"/>
        <v>3</v>
      </c>
      <c r="G144" s="445">
        <f ca="1">VLOOKUP(H144,Equipos!$Q$1:$R$25,2,0)</f>
        <v>19</v>
      </c>
      <c r="H144" s="447" t="str">
        <f>Idiomas!$D$137</f>
        <v>CLASIFICADOS PARA DIECISEISAVOS</v>
      </c>
      <c r="I144" s="50"/>
      <c r="J144" s="845"/>
      <c r="K144" s="56" t="str">
        <f>Idiomas!$D$198&amp;"-"&amp;ROWS($L$130:L144)</f>
        <v>Dieciseisavofinalista-15</v>
      </c>
      <c r="L144" s="53"/>
      <c r="M144" s="55" t="str">
        <f ca="1">WORLDCUP!AA115</f>
        <v>1J</v>
      </c>
      <c r="N144" s="25"/>
      <c r="O144" s="25"/>
      <c r="P144" s="25"/>
      <c r="Q144" s="25"/>
      <c r="R144" s="110"/>
      <c r="S144" s="74" t="s">
        <v>1256</v>
      </c>
      <c r="T144" s="73">
        <f t="shared" ca="1" si="387"/>
        <v>0</v>
      </c>
      <c r="U144" s="64"/>
      <c r="V144" s="74" t="s">
        <v>1256</v>
      </c>
      <c r="W144" s="73">
        <f t="shared" ca="1" si="388"/>
        <v>0</v>
      </c>
      <c r="X144" s="64"/>
      <c r="Y144" s="74" t="s">
        <v>1256</v>
      </c>
      <c r="Z144" s="73">
        <f t="shared" ca="1" si="389"/>
        <v>0</v>
      </c>
      <c r="AA144" s="64"/>
      <c r="AB144" s="74" t="s">
        <v>1256</v>
      </c>
      <c r="AC144" s="73">
        <f t="shared" ca="1" si="390"/>
        <v>0</v>
      </c>
      <c r="AD144" s="64"/>
      <c r="AE144" s="74" t="s">
        <v>80</v>
      </c>
      <c r="AF144" s="73">
        <f t="shared" ca="1" si="391"/>
        <v>0</v>
      </c>
      <c r="AG144" s="64"/>
      <c r="AH144" s="74" t="s">
        <v>1256</v>
      </c>
      <c r="AI144" s="73">
        <f t="shared" ca="1" si="392"/>
        <v>0</v>
      </c>
      <c r="AJ144" s="64"/>
      <c r="AK144" s="74" t="s">
        <v>1256</v>
      </c>
      <c r="AL144" s="73">
        <f t="shared" ca="1" si="393"/>
        <v>0</v>
      </c>
      <c r="AM144" s="64"/>
      <c r="AN144" s="74" t="s">
        <v>1256</v>
      </c>
      <c r="AO144" s="73">
        <f t="shared" ca="1" si="394"/>
        <v>0</v>
      </c>
      <c r="AP144" s="64"/>
      <c r="AQ144" s="74" t="s">
        <v>1256</v>
      </c>
      <c r="AR144" s="73">
        <f t="shared" ca="1" si="395"/>
        <v>0</v>
      </c>
      <c r="AS144" s="64"/>
      <c r="AT144" s="74" t="s">
        <v>1256</v>
      </c>
      <c r="AU144" s="73">
        <f t="shared" ca="1" si="396"/>
        <v>0</v>
      </c>
      <c r="AV144" s="64"/>
      <c r="AW144" s="74" t="s">
        <v>1256</v>
      </c>
      <c r="AX144" s="73">
        <f t="shared" ca="1" si="397"/>
        <v>0</v>
      </c>
      <c r="AY144" s="64"/>
      <c r="AZ144" s="74" t="s">
        <v>1256</v>
      </c>
      <c r="BA144" s="73">
        <f t="shared" ca="1" si="398"/>
        <v>0</v>
      </c>
      <c r="BB144" s="64"/>
      <c r="BC144" s="74" t="s">
        <v>1256</v>
      </c>
      <c r="BD144" s="73">
        <f t="shared" ca="1" si="399"/>
        <v>0</v>
      </c>
      <c r="BE144" s="64"/>
      <c r="BF144" s="74" t="s">
        <v>1256</v>
      </c>
      <c r="BG144" s="73">
        <f t="shared" ca="1" si="400"/>
        <v>0</v>
      </c>
      <c r="BH144" s="64"/>
      <c r="BI144" s="74" t="s">
        <v>1256</v>
      </c>
      <c r="BJ144" s="73">
        <f t="shared" ca="1" si="401"/>
        <v>0</v>
      </c>
      <c r="BK144" s="64"/>
      <c r="BL144" s="74" t="s">
        <v>1256</v>
      </c>
      <c r="BM144" s="73">
        <f t="shared" ca="1" si="402"/>
        <v>0</v>
      </c>
      <c r="BN144" s="64"/>
      <c r="BO144" s="74" t="s">
        <v>1256</v>
      </c>
      <c r="BP144" s="73">
        <f t="shared" ca="1" si="403"/>
        <v>0</v>
      </c>
      <c r="BQ144" s="64"/>
      <c r="BR144" s="74" t="s">
        <v>1256</v>
      </c>
      <c r="BS144" s="73">
        <f t="shared" ca="1" si="404"/>
        <v>0</v>
      </c>
      <c r="BT144" s="64"/>
      <c r="BU144" s="74" t="s">
        <v>1256</v>
      </c>
      <c r="BV144" s="73">
        <f t="shared" ca="1" si="405"/>
        <v>0</v>
      </c>
      <c r="BW144" s="64"/>
      <c r="BX144" s="74" t="s">
        <v>1256</v>
      </c>
      <c r="BY144" s="73">
        <f t="shared" ca="1" si="406"/>
        <v>0</v>
      </c>
      <c r="BZ144" s="64"/>
      <c r="CA144" s="74" t="s">
        <v>80</v>
      </c>
      <c r="CB144" s="73">
        <f t="shared" ca="1" si="407"/>
        <v>0</v>
      </c>
      <c r="CC144" s="64"/>
      <c r="CD144" s="74" t="s">
        <v>1256</v>
      </c>
      <c r="CE144" s="73">
        <f t="shared" ca="1" si="408"/>
        <v>0</v>
      </c>
      <c r="CF144" s="64"/>
      <c r="CG144" s="74" t="s">
        <v>1256</v>
      </c>
      <c r="CH144" s="73">
        <f t="shared" ca="1" si="409"/>
        <v>0</v>
      </c>
      <c r="CI144" s="64"/>
      <c r="CJ144" s="74" t="s">
        <v>1256</v>
      </c>
      <c r="CK144" s="73">
        <f t="shared" ca="1" si="410"/>
        <v>0</v>
      </c>
      <c r="CL144" s="64"/>
      <c r="CM144" s="74" t="s">
        <v>1256</v>
      </c>
      <c r="CN144" s="73">
        <f t="shared" ca="1" si="411"/>
        <v>0</v>
      </c>
      <c r="CO144" s="64"/>
      <c r="CP144" s="64"/>
    </row>
    <row r="145" spans="1:94">
      <c r="A145" s="49"/>
      <c r="B145" s="49"/>
      <c r="C145" s="49"/>
      <c r="D145" s="49"/>
      <c r="E145" s="65"/>
      <c r="F145" s="127">
        <f t="shared" si="412"/>
        <v>3</v>
      </c>
      <c r="G145" s="445">
        <f ca="1">VLOOKUP(H145,Equipos!$Q$1:$R$25,2,0)</f>
        <v>19</v>
      </c>
      <c r="H145" s="447" t="str">
        <f>Idiomas!$D$137</f>
        <v>CLASIFICADOS PARA DIECISEISAVOS</v>
      </c>
      <c r="I145" s="50"/>
      <c r="J145" s="845"/>
      <c r="K145" s="56" t="str">
        <f>Idiomas!$D$198&amp;"-"&amp;ROWS($L$130:L145)</f>
        <v>Dieciseisavofinalista-16</v>
      </c>
      <c r="L145" s="53"/>
      <c r="M145" s="55" t="str">
        <f ca="1">WORLDCUP!AA116</f>
        <v>1K</v>
      </c>
      <c r="N145" s="25"/>
      <c r="O145" s="25"/>
      <c r="P145" s="25"/>
      <c r="Q145" s="25"/>
      <c r="R145" s="110"/>
      <c r="S145" s="74" t="s">
        <v>79</v>
      </c>
      <c r="T145" s="73">
        <f t="shared" ca="1" si="387"/>
        <v>0</v>
      </c>
      <c r="U145" s="64"/>
      <c r="V145" s="74" t="s">
        <v>79</v>
      </c>
      <c r="W145" s="73">
        <f t="shared" ca="1" si="388"/>
        <v>0</v>
      </c>
      <c r="X145" s="64"/>
      <c r="Y145" s="74" t="s">
        <v>79</v>
      </c>
      <c r="Z145" s="73">
        <f t="shared" ca="1" si="389"/>
        <v>0</v>
      </c>
      <c r="AA145" s="64"/>
      <c r="AB145" s="74" t="s">
        <v>79</v>
      </c>
      <c r="AC145" s="73">
        <f t="shared" ca="1" si="390"/>
        <v>0</v>
      </c>
      <c r="AD145" s="64"/>
      <c r="AE145" s="74" t="s">
        <v>79</v>
      </c>
      <c r="AF145" s="73">
        <f t="shared" ca="1" si="391"/>
        <v>0</v>
      </c>
      <c r="AG145" s="64"/>
      <c r="AH145" s="74" t="s">
        <v>79</v>
      </c>
      <c r="AI145" s="73">
        <f t="shared" ca="1" si="392"/>
        <v>0</v>
      </c>
      <c r="AJ145" s="64"/>
      <c r="AK145" s="74" t="s">
        <v>79</v>
      </c>
      <c r="AL145" s="73">
        <f t="shared" ca="1" si="393"/>
        <v>0</v>
      </c>
      <c r="AM145" s="64"/>
      <c r="AN145" s="74" t="s">
        <v>79</v>
      </c>
      <c r="AO145" s="73">
        <f t="shared" ca="1" si="394"/>
        <v>0</v>
      </c>
      <c r="AP145" s="64"/>
      <c r="AQ145" s="74" t="s">
        <v>79</v>
      </c>
      <c r="AR145" s="73">
        <f t="shared" ca="1" si="395"/>
        <v>0</v>
      </c>
      <c r="AS145" s="64"/>
      <c r="AT145" s="74" t="s">
        <v>79</v>
      </c>
      <c r="AU145" s="73">
        <f t="shared" ca="1" si="396"/>
        <v>0</v>
      </c>
      <c r="AV145" s="64"/>
      <c r="AW145" s="74" t="s">
        <v>79</v>
      </c>
      <c r="AX145" s="73">
        <f t="shared" ca="1" si="397"/>
        <v>0</v>
      </c>
      <c r="AY145" s="64"/>
      <c r="AZ145" s="74" t="s">
        <v>79</v>
      </c>
      <c r="BA145" s="73">
        <f t="shared" ca="1" si="398"/>
        <v>0</v>
      </c>
      <c r="BB145" s="64"/>
      <c r="BC145" s="74" t="s">
        <v>79</v>
      </c>
      <c r="BD145" s="73">
        <f t="shared" ca="1" si="399"/>
        <v>0</v>
      </c>
      <c r="BE145" s="64"/>
      <c r="BF145" s="74" t="s">
        <v>79</v>
      </c>
      <c r="BG145" s="73">
        <f t="shared" ca="1" si="400"/>
        <v>0</v>
      </c>
      <c r="BH145" s="64"/>
      <c r="BI145" s="74" t="s">
        <v>79</v>
      </c>
      <c r="BJ145" s="73">
        <f t="shared" ca="1" si="401"/>
        <v>0</v>
      </c>
      <c r="BK145" s="64"/>
      <c r="BL145" s="74" t="s">
        <v>79</v>
      </c>
      <c r="BM145" s="73">
        <f t="shared" ca="1" si="402"/>
        <v>0</v>
      </c>
      <c r="BN145" s="64"/>
      <c r="BO145" s="74" t="s">
        <v>79</v>
      </c>
      <c r="BP145" s="73">
        <f t="shared" ca="1" si="403"/>
        <v>0</v>
      </c>
      <c r="BQ145" s="64"/>
      <c r="BR145" s="74" t="s">
        <v>79</v>
      </c>
      <c r="BS145" s="73">
        <f t="shared" ca="1" si="404"/>
        <v>0</v>
      </c>
      <c r="BT145" s="64"/>
      <c r="BU145" s="74" t="s">
        <v>79</v>
      </c>
      <c r="BV145" s="73">
        <f t="shared" ca="1" si="405"/>
        <v>0</v>
      </c>
      <c r="BW145" s="64"/>
      <c r="BX145" s="74" t="s">
        <v>79</v>
      </c>
      <c r="BY145" s="73">
        <f t="shared" ca="1" si="406"/>
        <v>0</v>
      </c>
      <c r="BZ145" s="64"/>
      <c r="CA145" s="74" t="s">
        <v>1320</v>
      </c>
      <c r="CB145" s="73">
        <f t="shared" ca="1" si="407"/>
        <v>0</v>
      </c>
      <c r="CC145" s="64"/>
      <c r="CD145" s="74" t="s">
        <v>79</v>
      </c>
      <c r="CE145" s="73">
        <f t="shared" ca="1" si="408"/>
        <v>0</v>
      </c>
      <c r="CF145" s="64"/>
      <c r="CG145" s="74" t="s">
        <v>79</v>
      </c>
      <c r="CH145" s="73">
        <f t="shared" ca="1" si="409"/>
        <v>0</v>
      </c>
      <c r="CI145" s="64"/>
      <c r="CJ145" s="74" t="s">
        <v>79</v>
      </c>
      <c r="CK145" s="73">
        <f t="shared" ca="1" si="410"/>
        <v>0</v>
      </c>
      <c r="CL145" s="64"/>
      <c r="CM145" s="74" t="s">
        <v>79</v>
      </c>
      <c r="CN145" s="73">
        <f t="shared" ca="1" si="411"/>
        <v>0</v>
      </c>
      <c r="CO145" s="64"/>
      <c r="CP145" s="64"/>
    </row>
    <row r="146" spans="1:94">
      <c r="A146" s="49"/>
      <c r="B146" s="49"/>
      <c r="C146" s="49"/>
      <c r="D146" s="49"/>
      <c r="E146" s="65"/>
      <c r="F146" s="127">
        <f t="shared" si="412"/>
        <v>3</v>
      </c>
      <c r="G146" s="445">
        <f ca="1">VLOOKUP(H146,Equipos!$Q$1:$R$25,2,0)</f>
        <v>19</v>
      </c>
      <c r="H146" s="447" t="str">
        <f>Idiomas!$D$137</f>
        <v>CLASIFICADOS PARA DIECISEISAVOS</v>
      </c>
      <c r="I146" s="50"/>
      <c r="J146" s="845"/>
      <c r="K146" s="56" t="str">
        <f>Idiomas!$D$198&amp;"-"&amp;ROWS($L$130:L146)</f>
        <v>Dieciseisavofinalista-17</v>
      </c>
      <c r="L146" s="53"/>
      <c r="M146" s="55" t="str">
        <f ca="1">WORLDCUP!AF101</f>
        <v>2B</v>
      </c>
      <c r="N146" s="25"/>
      <c r="O146" s="25"/>
      <c r="P146" s="25"/>
      <c r="Q146" s="25"/>
      <c r="R146" s="110"/>
      <c r="S146" s="74" t="s">
        <v>1259</v>
      </c>
      <c r="T146" s="73">
        <f t="shared" ca="1" si="387"/>
        <v>0</v>
      </c>
      <c r="U146" s="64"/>
      <c r="V146" s="74" t="s">
        <v>1259</v>
      </c>
      <c r="W146" s="73">
        <f t="shared" ca="1" si="388"/>
        <v>0</v>
      </c>
      <c r="X146" s="64"/>
      <c r="Y146" s="74" t="s">
        <v>1259</v>
      </c>
      <c r="Z146" s="73">
        <f t="shared" ca="1" si="389"/>
        <v>0</v>
      </c>
      <c r="AA146" s="64"/>
      <c r="AB146" s="74" t="s">
        <v>75</v>
      </c>
      <c r="AC146" s="73">
        <f t="shared" ca="1" si="390"/>
        <v>0</v>
      </c>
      <c r="AD146" s="64"/>
      <c r="AE146" s="74" t="s">
        <v>75</v>
      </c>
      <c r="AF146" s="73">
        <f t="shared" ca="1" si="391"/>
        <v>0</v>
      </c>
      <c r="AG146" s="64"/>
      <c r="AH146" s="74" t="s">
        <v>75</v>
      </c>
      <c r="AI146" s="73">
        <f t="shared" ca="1" si="392"/>
        <v>0</v>
      </c>
      <c r="AJ146" s="64"/>
      <c r="AK146" s="74" t="s">
        <v>1259</v>
      </c>
      <c r="AL146" s="73">
        <f t="shared" ca="1" si="393"/>
        <v>0</v>
      </c>
      <c r="AM146" s="64"/>
      <c r="AN146" s="74" t="s">
        <v>1841</v>
      </c>
      <c r="AO146" s="73">
        <f t="shared" ca="1" si="394"/>
        <v>0</v>
      </c>
      <c r="AP146" s="64"/>
      <c r="AQ146" s="74" t="s">
        <v>1841</v>
      </c>
      <c r="AR146" s="73">
        <f t="shared" ca="1" si="395"/>
        <v>0</v>
      </c>
      <c r="AS146" s="64"/>
      <c r="AT146" s="74" t="s">
        <v>1259</v>
      </c>
      <c r="AU146" s="73">
        <f t="shared" ca="1" si="396"/>
        <v>0</v>
      </c>
      <c r="AV146" s="64"/>
      <c r="AW146" s="74" t="s">
        <v>1259</v>
      </c>
      <c r="AX146" s="73">
        <f t="shared" ca="1" si="397"/>
        <v>0</v>
      </c>
      <c r="AY146" s="64"/>
      <c r="AZ146" s="74" t="s">
        <v>75</v>
      </c>
      <c r="BA146" s="73">
        <f t="shared" ca="1" si="398"/>
        <v>0</v>
      </c>
      <c r="BB146" s="64"/>
      <c r="BC146" s="74" t="s">
        <v>1841</v>
      </c>
      <c r="BD146" s="73">
        <f t="shared" ca="1" si="399"/>
        <v>0</v>
      </c>
      <c r="BE146" s="64"/>
      <c r="BF146" s="74" t="s">
        <v>1259</v>
      </c>
      <c r="BG146" s="73">
        <f t="shared" ca="1" si="400"/>
        <v>0</v>
      </c>
      <c r="BH146" s="64"/>
      <c r="BI146" s="74" t="s">
        <v>1841</v>
      </c>
      <c r="BJ146" s="73">
        <f t="shared" ca="1" si="401"/>
        <v>0</v>
      </c>
      <c r="BK146" s="64"/>
      <c r="BL146" s="74" t="s">
        <v>1259</v>
      </c>
      <c r="BM146" s="73">
        <f t="shared" ca="1" si="402"/>
        <v>0</v>
      </c>
      <c r="BN146" s="64"/>
      <c r="BO146" s="74" t="s">
        <v>75</v>
      </c>
      <c r="BP146" s="73">
        <f t="shared" ca="1" si="403"/>
        <v>0</v>
      </c>
      <c r="BQ146" s="64"/>
      <c r="BR146" s="74" t="s">
        <v>1841</v>
      </c>
      <c r="BS146" s="73">
        <f t="shared" ca="1" si="404"/>
        <v>0</v>
      </c>
      <c r="BT146" s="64"/>
      <c r="BU146" s="74" t="s">
        <v>1841</v>
      </c>
      <c r="BV146" s="73">
        <f t="shared" ca="1" si="405"/>
        <v>0</v>
      </c>
      <c r="BW146" s="64"/>
      <c r="BX146" s="74" t="s">
        <v>1259</v>
      </c>
      <c r="BY146" s="73">
        <f t="shared" ca="1" si="406"/>
        <v>0</v>
      </c>
      <c r="BZ146" s="64"/>
      <c r="CA146" s="74" t="s">
        <v>75</v>
      </c>
      <c r="CB146" s="73">
        <f t="shared" ca="1" si="407"/>
        <v>0</v>
      </c>
      <c r="CC146" s="64"/>
      <c r="CD146" s="74" t="s">
        <v>1259</v>
      </c>
      <c r="CE146" s="73">
        <f t="shared" ca="1" si="408"/>
        <v>0</v>
      </c>
      <c r="CF146" s="64"/>
      <c r="CG146" s="74" t="s">
        <v>75</v>
      </c>
      <c r="CH146" s="73">
        <f t="shared" ca="1" si="409"/>
        <v>0</v>
      </c>
      <c r="CI146" s="64"/>
      <c r="CJ146" s="74" t="s">
        <v>1259</v>
      </c>
      <c r="CK146" s="73">
        <f t="shared" ca="1" si="410"/>
        <v>0</v>
      </c>
      <c r="CL146" s="64"/>
      <c r="CM146" s="74" t="s">
        <v>1259</v>
      </c>
      <c r="CN146" s="73">
        <f t="shared" ca="1" si="411"/>
        <v>0</v>
      </c>
      <c r="CO146" s="64"/>
      <c r="CP146" s="64"/>
    </row>
    <row r="147" spans="1:94">
      <c r="A147" s="49"/>
      <c r="B147" s="49"/>
      <c r="C147" s="49"/>
      <c r="D147" s="49"/>
      <c r="E147" s="65"/>
      <c r="F147" s="127">
        <f t="shared" si="412"/>
        <v>3</v>
      </c>
      <c r="G147" s="445">
        <f ca="1">VLOOKUP(H147,Equipos!$Q$1:$R$25,2,0)</f>
        <v>19</v>
      </c>
      <c r="H147" s="447" t="str">
        <f>Idiomas!$D$137</f>
        <v>CLASIFICADOS PARA DIECISEISAVOS</v>
      </c>
      <c r="I147" s="50"/>
      <c r="J147" s="845"/>
      <c r="K147" s="56" t="str">
        <f>Idiomas!$D$198&amp;"-"&amp;ROWS($L$130:L147)</f>
        <v>Dieciseisavofinalista-18</v>
      </c>
      <c r="L147" s="53"/>
      <c r="M147" s="55" t="str">
        <f ca="1">WORLDCUP!AF102</f>
        <v>2F</v>
      </c>
      <c r="N147" s="25"/>
      <c r="O147" s="25"/>
      <c r="P147" s="25"/>
      <c r="Q147" s="25"/>
      <c r="R147" s="110"/>
      <c r="S147" s="74" t="s">
        <v>1263</v>
      </c>
      <c r="T147" s="73">
        <f t="shared" ca="1" si="387"/>
        <v>0</v>
      </c>
      <c r="U147" s="64"/>
      <c r="V147" s="74" t="s">
        <v>1833</v>
      </c>
      <c r="W147" s="73">
        <f t="shared" ca="1" si="388"/>
        <v>0</v>
      </c>
      <c r="X147" s="64"/>
      <c r="Y147" s="74" t="s">
        <v>111</v>
      </c>
      <c r="Z147" s="73">
        <f t="shared" ca="1" si="389"/>
        <v>0</v>
      </c>
      <c r="AA147" s="64"/>
      <c r="AB147" s="74" t="s">
        <v>1833</v>
      </c>
      <c r="AC147" s="73">
        <f t="shared" ca="1" si="390"/>
        <v>0</v>
      </c>
      <c r="AD147" s="64"/>
      <c r="AE147" s="74" t="s">
        <v>1263</v>
      </c>
      <c r="AF147" s="73">
        <f t="shared" ca="1" si="391"/>
        <v>0</v>
      </c>
      <c r="AG147" s="64"/>
      <c r="AH147" s="74" t="s">
        <v>1833</v>
      </c>
      <c r="AI147" s="73">
        <f t="shared" ca="1" si="392"/>
        <v>0</v>
      </c>
      <c r="AJ147" s="64"/>
      <c r="AK147" s="74" t="s">
        <v>1263</v>
      </c>
      <c r="AL147" s="73">
        <f t="shared" ca="1" si="393"/>
        <v>0</v>
      </c>
      <c r="AM147" s="64"/>
      <c r="AN147" s="74" t="s">
        <v>1263</v>
      </c>
      <c r="AO147" s="73">
        <f t="shared" ca="1" si="394"/>
        <v>0</v>
      </c>
      <c r="AP147" s="64"/>
      <c r="AQ147" s="74" t="s">
        <v>1833</v>
      </c>
      <c r="AR147" s="73">
        <f t="shared" ca="1" si="395"/>
        <v>0</v>
      </c>
      <c r="AS147" s="64"/>
      <c r="AT147" s="74" t="s">
        <v>1833</v>
      </c>
      <c r="AU147" s="73">
        <f t="shared" ca="1" si="396"/>
        <v>0</v>
      </c>
      <c r="AV147" s="64"/>
      <c r="AW147" s="74" t="s">
        <v>1263</v>
      </c>
      <c r="AX147" s="73">
        <f t="shared" ca="1" si="397"/>
        <v>0</v>
      </c>
      <c r="AY147" s="64"/>
      <c r="AZ147" s="74" t="s">
        <v>1833</v>
      </c>
      <c r="BA147" s="73">
        <f t="shared" ca="1" si="398"/>
        <v>0</v>
      </c>
      <c r="BB147" s="64"/>
      <c r="BC147" s="74" t="s">
        <v>1263</v>
      </c>
      <c r="BD147" s="73">
        <f t="shared" ca="1" si="399"/>
        <v>0</v>
      </c>
      <c r="BE147" s="64"/>
      <c r="BF147" s="74" t="s">
        <v>1833</v>
      </c>
      <c r="BG147" s="73">
        <f t="shared" ca="1" si="400"/>
        <v>0</v>
      </c>
      <c r="BH147" s="64"/>
      <c r="BI147" s="74" t="s">
        <v>1263</v>
      </c>
      <c r="BJ147" s="73">
        <f t="shared" ca="1" si="401"/>
        <v>0</v>
      </c>
      <c r="BK147" s="64"/>
      <c r="BL147" s="74" t="s">
        <v>1263</v>
      </c>
      <c r="BM147" s="73">
        <f t="shared" ca="1" si="402"/>
        <v>0</v>
      </c>
      <c r="BN147" s="64"/>
      <c r="BO147" s="74" t="s">
        <v>1263</v>
      </c>
      <c r="BP147" s="73">
        <f t="shared" ca="1" si="403"/>
        <v>0</v>
      </c>
      <c r="BQ147" s="64"/>
      <c r="BR147" s="74" t="s">
        <v>1263</v>
      </c>
      <c r="BS147" s="73">
        <f t="shared" ca="1" si="404"/>
        <v>0</v>
      </c>
      <c r="BT147" s="64"/>
      <c r="BU147" s="74" t="s">
        <v>1263</v>
      </c>
      <c r="BV147" s="73">
        <f t="shared" ca="1" si="405"/>
        <v>0</v>
      </c>
      <c r="BW147" s="64"/>
      <c r="BX147" s="74" t="s">
        <v>1263</v>
      </c>
      <c r="BY147" s="73">
        <f t="shared" ca="1" si="406"/>
        <v>0</v>
      </c>
      <c r="BZ147" s="64"/>
      <c r="CA147" s="74" t="s">
        <v>1833</v>
      </c>
      <c r="CB147" s="73">
        <f t="shared" ca="1" si="407"/>
        <v>0</v>
      </c>
      <c r="CC147" s="64"/>
      <c r="CD147" s="74" t="s">
        <v>1263</v>
      </c>
      <c r="CE147" s="73">
        <f t="shared" ca="1" si="408"/>
        <v>0</v>
      </c>
      <c r="CF147" s="64"/>
      <c r="CG147" s="74" t="s">
        <v>111</v>
      </c>
      <c r="CH147" s="73">
        <f t="shared" ca="1" si="409"/>
        <v>0</v>
      </c>
      <c r="CI147" s="64"/>
      <c r="CJ147" s="74" t="s">
        <v>1263</v>
      </c>
      <c r="CK147" s="73">
        <f t="shared" ca="1" si="410"/>
        <v>0</v>
      </c>
      <c r="CL147" s="64"/>
      <c r="CM147" s="74" t="s">
        <v>1263</v>
      </c>
      <c r="CN147" s="73">
        <f t="shared" ca="1" si="411"/>
        <v>0</v>
      </c>
      <c r="CO147" s="64"/>
      <c r="CP147" s="64"/>
    </row>
    <row r="148" spans="1:94">
      <c r="A148" s="49"/>
      <c r="B148" s="49"/>
      <c r="C148" s="49"/>
      <c r="D148" s="49"/>
      <c r="E148" s="65"/>
      <c r="F148" s="127">
        <f t="shared" si="412"/>
        <v>3</v>
      </c>
      <c r="G148" s="445">
        <f ca="1">VLOOKUP(H148,Equipos!$Q$1:$R$25,2,0)</f>
        <v>19</v>
      </c>
      <c r="H148" s="447" t="str">
        <f>Idiomas!$D$137</f>
        <v>CLASIFICADOS PARA DIECISEISAVOS</v>
      </c>
      <c r="I148" s="50"/>
      <c r="J148" s="845"/>
      <c r="K148" s="56" t="str">
        <f>Idiomas!$D$198&amp;"-"&amp;ROWS($L$130:L148)</f>
        <v>Dieciseisavofinalista-19</v>
      </c>
      <c r="L148" s="53"/>
      <c r="M148" s="55" t="str">
        <f ca="1">WORLDCUP!AF103</f>
        <v>3ABCDF</v>
      </c>
      <c r="N148" s="25"/>
      <c r="O148" s="25"/>
      <c r="P148" s="25"/>
      <c r="Q148" s="25"/>
      <c r="R148" s="110"/>
      <c r="S148" s="74" t="s">
        <v>1319</v>
      </c>
      <c r="T148" s="73">
        <f t="shared" ca="1" si="387"/>
        <v>0</v>
      </c>
      <c r="U148" s="64"/>
      <c r="V148" s="74" t="s">
        <v>111</v>
      </c>
      <c r="W148" s="73">
        <f t="shared" ca="1" si="388"/>
        <v>0</v>
      </c>
      <c r="X148" s="64"/>
      <c r="Y148" s="74" t="s">
        <v>1319</v>
      </c>
      <c r="Z148" s="73">
        <f t="shared" ca="1" si="389"/>
        <v>0</v>
      </c>
      <c r="AA148" s="64"/>
      <c r="AB148" s="74" t="s">
        <v>497</v>
      </c>
      <c r="AC148" s="73">
        <f t="shared" ca="1" si="390"/>
        <v>0</v>
      </c>
      <c r="AD148" s="64"/>
      <c r="AE148" s="74" t="s">
        <v>134</v>
      </c>
      <c r="AF148" s="73">
        <f t="shared" ca="1" si="391"/>
        <v>0</v>
      </c>
      <c r="AG148" s="64"/>
      <c r="AH148" s="74" t="s">
        <v>134</v>
      </c>
      <c r="AI148" s="73">
        <f t="shared" ca="1" si="392"/>
        <v>0</v>
      </c>
      <c r="AJ148" s="64"/>
      <c r="AK148" s="74" t="s">
        <v>497</v>
      </c>
      <c r="AL148" s="73">
        <f t="shared" ca="1" si="393"/>
        <v>0</v>
      </c>
      <c r="AM148" s="64"/>
      <c r="AN148" s="74" t="s">
        <v>497</v>
      </c>
      <c r="AO148" s="73">
        <f t="shared" ca="1" si="394"/>
        <v>0</v>
      </c>
      <c r="AP148" s="64"/>
      <c r="AQ148" s="74" t="s">
        <v>497</v>
      </c>
      <c r="AR148" s="73">
        <f t="shared" ca="1" si="395"/>
        <v>0</v>
      </c>
      <c r="AS148" s="64"/>
      <c r="AT148" s="74" t="s">
        <v>1263</v>
      </c>
      <c r="AU148" s="73">
        <f t="shared" ca="1" si="396"/>
        <v>0</v>
      </c>
      <c r="AV148" s="64"/>
      <c r="AW148" s="74" t="s">
        <v>1835</v>
      </c>
      <c r="AX148" s="73">
        <f t="shared" ca="1" si="397"/>
        <v>0</v>
      </c>
      <c r="AY148" s="64"/>
      <c r="AZ148" s="74" t="s">
        <v>1263</v>
      </c>
      <c r="BA148" s="73">
        <f t="shared" ca="1" si="398"/>
        <v>0</v>
      </c>
      <c r="BB148" s="64"/>
      <c r="BC148" s="74" t="s">
        <v>1257</v>
      </c>
      <c r="BD148" s="73">
        <f t="shared" ca="1" si="399"/>
        <v>0</v>
      </c>
      <c r="BE148" s="64"/>
      <c r="BF148" s="74" t="s">
        <v>134</v>
      </c>
      <c r="BG148" s="73">
        <f t="shared" ca="1" si="400"/>
        <v>0</v>
      </c>
      <c r="BH148" s="64"/>
      <c r="BI148" s="74" t="s">
        <v>134</v>
      </c>
      <c r="BJ148" s="73">
        <f t="shared" ca="1" si="401"/>
        <v>0</v>
      </c>
      <c r="BK148" s="64"/>
      <c r="BL148" s="74" t="s">
        <v>134</v>
      </c>
      <c r="BM148" s="73">
        <f t="shared" ca="1" si="402"/>
        <v>0</v>
      </c>
      <c r="BN148" s="64"/>
      <c r="BO148" s="74" t="s">
        <v>134</v>
      </c>
      <c r="BP148" s="73">
        <f t="shared" ca="1" si="403"/>
        <v>0</v>
      </c>
      <c r="BQ148" s="64"/>
      <c r="BR148" s="74" t="s">
        <v>1319</v>
      </c>
      <c r="BS148" s="73">
        <f t="shared" ca="1" si="404"/>
        <v>0</v>
      </c>
      <c r="BT148" s="64"/>
      <c r="BU148" s="74" t="s">
        <v>497</v>
      </c>
      <c r="BV148" s="73">
        <f t="shared" ca="1" si="405"/>
        <v>0</v>
      </c>
      <c r="BW148" s="64"/>
      <c r="BX148" s="74" t="s">
        <v>1319</v>
      </c>
      <c r="BY148" s="73">
        <f t="shared" ca="1" si="406"/>
        <v>0</v>
      </c>
      <c r="BZ148" s="64"/>
      <c r="CA148" s="74" t="s">
        <v>1257</v>
      </c>
      <c r="CB148" s="73">
        <f t="shared" ca="1" si="407"/>
        <v>0</v>
      </c>
      <c r="CC148" s="64"/>
      <c r="CD148" s="74" t="s">
        <v>497</v>
      </c>
      <c r="CE148" s="73">
        <f t="shared" ca="1" si="408"/>
        <v>0</v>
      </c>
      <c r="CF148" s="64"/>
      <c r="CG148" s="74" t="s">
        <v>1728</v>
      </c>
      <c r="CH148" s="73">
        <f t="shared" ca="1" si="409"/>
        <v>0</v>
      </c>
      <c r="CI148" s="64"/>
      <c r="CJ148" s="74" t="s">
        <v>1257</v>
      </c>
      <c r="CK148" s="73">
        <f t="shared" ca="1" si="410"/>
        <v>0</v>
      </c>
      <c r="CL148" s="64"/>
      <c r="CM148" s="74" t="s">
        <v>134</v>
      </c>
      <c r="CN148" s="73">
        <f t="shared" ca="1" si="411"/>
        <v>0</v>
      </c>
      <c r="CO148" s="64"/>
      <c r="CP148" s="64"/>
    </row>
    <row r="149" spans="1:94">
      <c r="A149" s="49"/>
      <c r="B149" s="49"/>
      <c r="C149" s="49"/>
      <c r="D149" s="49"/>
      <c r="E149" s="65"/>
      <c r="F149" s="127">
        <f t="shared" si="412"/>
        <v>3</v>
      </c>
      <c r="G149" s="445">
        <f ca="1">VLOOKUP(H149,Equipos!$Q$1:$R$25,2,0)</f>
        <v>19</v>
      </c>
      <c r="H149" s="447" t="str">
        <f>Idiomas!$D$137</f>
        <v>CLASIFICADOS PARA DIECISEISAVOS</v>
      </c>
      <c r="I149" s="50"/>
      <c r="J149" s="845"/>
      <c r="K149" s="56" t="str">
        <f>Idiomas!$D$198&amp;"-"&amp;ROWS($L$130:L149)</f>
        <v>Dieciseisavofinalista-20</v>
      </c>
      <c r="L149" s="53"/>
      <c r="M149" s="55" t="str">
        <f ca="1">WORLDCUP!AF104</f>
        <v>2C</v>
      </c>
      <c r="N149" s="25"/>
      <c r="O149" s="25"/>
      <c r="P149" s="25"/>
      <c r="Q149" s="25"/>
      <c r="R149" s="110"/>
      <c r="S149" s="74" t="s">
        <v>1321</v>
      </c>
      <c r="T149" s="73">
        <f t="shared" ca="1" si="387"/>
        <v>0</v>
      </c>
      <c r="U149" s="64"/>
      <c r="V149" s="74" t="s">
        <v>134</v>
      </c>
      <c r="W149" s="73">
        <f t="shared" ca="1" si="388"/>
        <v>0</v>
      </c>
      <c r="X149" s="64"/>
      <c r="Y149" s="74" t="s">
        <v>1321</v>
      </c>
      <c r="Z149" s="73">
        <f t="shared" ca="1" si="389"/>
        <v>0</v>
      </c>
      <c r="AA149" s="64"/>
      <c r="AB149" s="74" t="s">
        <v>1321</v>
      </c>
      <c r="AC149" s="73">
        <f t="shared" ca="1" si="390"/>
        <v>0</v>
      </c>
      <c r="AD149" s="64"/>
      <c r="AE149" s="74" t="s">
        <v>1321</v>
      </c>
      <c r="AF149" s="73">
        <f t="shared" ca="1" si="391"/>
        <v>0</v>
      </c>
      <c r="AG149" s="64"/>
      <c r="AH149" s="74" t="s">
        <v>1321</v>
      </c>
      <c r="AI149" s="73">
        <f t="shared" ca="1" si="392"/>
        <v>0</v>
      </c>
      <c r="AJ149" s="64"/>
      <c r="AK149" s="74" t="s">
        <v>1321</v>
      </c>
      <c r="AL149" s="73">
        <f t="shared" ca="1" si="393"/>
        <v>0</v>
      </c>
      <c r="AM149" s="64"/>
      <c r="AN149" s="74" t="s">
        <v>1321</v>
      </c>
      <c r="AO149" s="73">
        <f t="shared" ca="1" si="394"/>
        <v>0</v>
      </c>
      <c r="AP149" s="64"/>
      <c r="AQ149" s="74" t="s">
        <v>134</v>
      </c>
      <c r="AR149" s="73">
        <f t="shared" ca="1" si="395"/>
        <v>0</v>
      </c>
      <c r="AS149" s="64"/>
      <c r="AT149" s="74" t="s">
        <v>1321</v>
      </c>
      <c r="AU149" s="73">
        <f t="shared" ca="1" si="396"/>
        <v>0</v>
      </c>
      <c r="AV149" s="64"/>
      <c r="AW149" s="74" t="s">
        <v>1321</v>
      </c>
      <c r="AX149" s="73">
        <f t="shared" ca="1" si="397"/>
        <v>0</v>
      </c>
      <c r="AY149" s="64"/>
      <c r="AZ149" s="74" t="s">
        <v>1321</v>
      </c>
      <c r="BA149" s="73">
        <f t="shared" ca="1" si="398"/>
        <v>0</v>
      </c>
      <c r="BB149" s="64"/>
      <c r="BC149" s="74" t="s">
        <v>134</v>
      </c>
      <c r="BD149" s="73">
        <f t="shared" ca="1" si="399"/>
        <v>0</v>
      </c>
      <c r="BE149" s="64"/>
      <c r="BF149" s="74" t="s">
        <v>1258</v>
      </c>
      <c r="BG149" s="73">
        <f t="shared" ca="1" si="400"/>
        <v>0</v>
      </c>
      <c r="BH149" s="64"/>
      <c r="BI149" s="74" t="s">
        <v>1321</v>
      </c>
      <c r="BJ149" s="73">
        <f t="shared" ca="1" si="401"/>
        <v>0</v>
      </c>
      <c r="BK149" s="64"/>
      <c r="BL149" s="74" t="s">
        <v>1321</v>
      </c>
      <c r="BM149" s="73">
        <f t="shared" ca="1" si="402"/>
        <v>0</v>
      </c>
      <c r="BN149" s="64"/>
      <c r="BO149" s="74" t="s">
        <v>1321</v>
      </c>
      <c r="BP149" s="73">
        <f t="shared" ca="1" si="403"/>
        <v>0</v>
      </c>
      <c r="BQ149" s="64"/>
      <c r="BR149" s="74" t="s">
        <v>1321</v>
      </c>
      <c r="BS149" s="73">
        <f t="shared" ca="1" si="404"/>
        <v>0</v>
      </c>
      <c r="BT149" s="64"/>
      <c r="BU149" s="74" t="s">
        <v>1321</v>
      </c>
      <c r="BV149" s="73">
        <f t="shared" ca="1" si="405"/>
        <v>0</v>
      </c>
      <c r="BW149" s="64"/>
      <c r="BX149" s="74" t="s">
        <v>134</v>
      </c>
      <c r="BY149" s="73">
        <f t="shared" ca="1" si="406"/>
        <v>0</v>
      </c>
      <c r="BZ149" s="64"/>
      <c r="CA149" s="74" t="s">
        <v>1258</v>
      </c>
      <c r="CB149" s="73">
        <f t="shared" ca="1" si="407"/>
        <v>0</v>
      </c>
      <c r="CC149" s="64"/>
      <c r="CD149" s="74" t="s">
        <v>1321</v>
      </c>
      <c r="CE149" s="73">
        <f t="shared" ca="1" si="408"/>
        <v>0</v>
      </c>
      <c r="CF149" s="64"/>
      <c r="CG149" s="74" t="s">
        <v>1258</v>
      </c>
      <c r="CH149" s="73">
        <f t="shared" ca="1" si="409"/>
        <v>0</v>
      </c>
      <c r="CI149" s="64"/>
      <c r="CJ149" s="74" t="s">
        <v>1321</v>
      </c>
      <c r="CK149" s="73">
        <f t="shared" ca="1" si="410"/>
        <v>0</v>
      </c>
      <c r="CL149" s="64"/>
      <c r="CM149" s="74" t="s">
        <v>1321</v>
      </c>
      <c r="CN149" s="73">
        <f t="shared" ca="1" si="411"/>
        <v>0</v>
      </c>
      <c r="CO149" s="64"/>
      <c r="CP149" s="64"/>
    </row>
    <row r="150" spans="1:94">
      <c r="A150" s="49"/>
      <c r="B150" s="49"/>
      <c r="C150" s="49"/>
      <c r="D150" s="49"/>
      <c r="E150" s="65"/>
      <c r="F150" s="127">
        <f t="shared" si="412"/>
        <v>3</v>
      </c>
      <c r="G150" s="445">
        <f ca="1">VLOOKUP(H150,Equipos!$Q$1:$R$25,2,0)</f>
        <v>19</v>
      </c>
      <c r="H150" s="447" t="str">
        <f>Idiomas!$D$137</f>
        <v>CLASIFICADOS PARA DIECISEISAVOS</v>
      </c>
      <c r="I150" s="50"/>
      <c r="J150" s="845"/>
      <c r="K150" s="56" t="str">
        <f>Idiomas!$D$198&amp;"-"&amp;ROWS($L$130:L150)</f>
        <v>Dieciseisavofinalista-21</v>
      </c>
      <c r="L150" s="53"/>
      <c r="M150" s="55" t="str">
        <f ca="1">WORLDCUP!AF105</f>
        <v>2I</v>
      </c>
      <c r="N150" s="25"/>
      <c r="O150" s="25"/>
      <c r="P150" s="25"/>
      <c r="Q150" s="25"/>
      <c r="R150" s="110"/>
      <c r="S150" s="74" t="s">
        <v>135</v>
      </c>
      <c r="T150" s="73">
        <f t="shared" ca="1" si="387"/>
        <v>0</v>
      </c>
      <c r="U150" s="64"/>
      <c r="V150" s="74" t="s">
        <v>135</v>
      </c>
      <c r="W150" s="73">
        <f t="shared" ca="1" si="388"/>
        <v>0</v>
      </c>
      <c r="X150" s="64"/>
      <c r="Y150" s="74" t="s">
        <v>135</v>
      </c>
      <c r="Z150" s="73">
        <f t="shared" ca="1" si="389"/>
        <v>0</v>
      </c>
      <c r="AA150" s="64"/>
      <c r="AB150" s="74" t="s">
        <v>74</v>
      </c>
      <c r="AC150" s="73">
        <f t="shared" ca="1" si="390"/>
        <v>0</v>
      </c>
      <c r="AD150" s="64"/>
      <c r="AE150" s="74" t="s">
        <v>1634</v>
      </c>
      <c r="AF150" s="73">
        <f t="shared" ca="1" si="391"/>
        <v>0</v>
      </c>
      <c r="AG150" s="64"/>
      <c r="AH150" s="74" t="s">
        <v>135</v>
      </c>
      <c r="AI150" s="73">
        <f t="shared" ca="1" si="392"/>
        <v>0</v>
      </c>
      <c r="AJ150" s="64"/>
      <c r="AK150" s="74" t="s">
        <v>135</v>
      </c>
      <c r="AL150" s="73">
        <f t="shared" ca="1" si="393"/>
        <v>0</v>
      </c>
      <c r="AM150" s="64"/>
      <c r="AN150" s="74" t="s">
        <v>135</v>
      </c>
      <c r="AO150" s="73">
        <f t="shared" ca="1" si="394"/>
        <v>0</v>
      </c>
      <c r="AP150" s="64"/>
      <c r="AQ150" s="74" t="s">
        <v>135</v>
      </c>
      <c r="AR150" s="73">
        <f t="shared" ca="1" si="395"/>
        <v>0</v>
      </c>
      <c r="AS150" s="64"/>
      <c r="AT150" s="74" t="s">
        <v>135</v>
      </c>
      <c r="AU150" s="73">
        <f t="shared" ca="1" si="396"/>
        <v>0</v>
      </c>
      <c r="AV150" s="64"/>
      <c r="AW150" s="74" t="s">
        <v>74</v>
      </c>
      <c r="AX150" s="73">
        <f t="shared" ca="1" si="397"/>
        <v>0</v>
      </c>
      <c r="AY150" s="64"/>
      <c r="AZ150" s="74" t="s">
        <v>135</v>
      </c>
      <c r="BA150" s="73">
        <f t="shared" ca="1" si="398"/>
        <v>0</v>
      </c>
      <c r="BB150" s="64"/>
      <c r="BC150" s="74" t="s">
        <v>135</v>
      </c>
      <c r="BD150" s="73">
        <f t="shared" ca="1" si="399"/>
        <v>0</v>
      </c>
      <c r="BE150" s="64"/>
      <c r="BF150" s="74" t="s">
        <v>135</v>
      </c>
      <c r="BG150" s="73">
        <f t="shared" ca="1" si="400"/>
        <v>0</v>
      </c>
      <c r="BH150" s="64"/>
      <c r="BI150" s="74" t="s">
        <v>135</v>
      </c>
      <c r="BJ150" s="73">
        <f t="shared" ca="1" si="401"/>
        <v>0</v>
      </c>
      <c r="BK150" s="64"/>
      <c r="BL150" s="74" t="s">
        <v>135</v>
      </c>
      <c r="BM150" s="73">
        <f t="shared" ca="1" si="402"/>
        <v>0</v>
      </c>
      <c r="BN150" s="64"/>
      <c r="BO150" s="74" t="s">
        <v>1634</v>
      </c>
      <c r="BP150" s="73">
        <f t="shared" ca="1" si="403"/>
        <v>0</v>
      </c>
      <c r="BQ150" s="64"/>
      <c r="BR150" s="74" t="s">
        <v>135</v>
      </c>
      <c r="BS150" s="73">
        <f t="shared" ca="1" si="404"/>
        <v>0</v>
      </c>
      <c r="BT150" s="64"/>
      <c r="BU150" s="74" t="s">
        <v>1634</v>
      </c>
      <c r="BV150" s="73">
        <f t="shared" ca="1" si="405"/>
        <v>0</v>
      </c>
      <c r="BW150" s="64"/>
      <c r="BX150" s="74" t="s">
        <v>135</v>
      </c>
      <c r="BY150" s="73">
        <f t="shared" ca="1" si="406"/>
        <v>0</v>
      </c>
      <c r="BZ150" s="64"/>
      <c r="CA150" s="74" t="s">
        <v>135</v>
      </c>
      <c r="CB150" s="73">
        <f t="shared" ca="1" si="407"/>
        <v>0</v>
      </c>
      <c r="CC150" s="64"/>
      <c r="CD150" s="74" t="s">
        <v>135</v>
      </c>
      <c r="CE150" s="73">
        <f t="shared" ca="1" si="408"/>
        <v>0</v>
      </c>
      <c r="CF150" s="64"/>
      <c r="CG150" s="74" t="s">
        <v>135</v>
      </c>
      <c r="CH150" s="73">
        <f t="shared" ca="1" si="409"/>
        <v>0</v>
      </c>
      <c r="CI150" s="64"/>
      <c r="CJ150" s="74" t="s">
        <v>135</v>
      </c>
      <c r="CK150" s="73">
        <f t="shared" ca="1" si="410"/>
        <v>0</v>
      </c>
      <c r="CL150" s="64"/>
      <c r="CM150" s="74" t="s">
        <v>135</v>
      </c>
      <c r="CN150" s="73">
        <f t="shared" ca="1" si="411"/>
        <v>0</v>
      </c>
      <c r="CO150" s="64"/>
      <c r="CP150" s="64"/>
    </row>
    <row r="151" spans="1:94">
      <c r="A151" s="49"/>
      <c r="B151" s="49"/>
      <c r="C151" s="49"/>
      <c r="D151" s="49"/>
      <c r="E151" s="65"/>
      <c r="F151" s="127">
        <f t="shared" si="412"/>
        <v>3</v>
      </c>
      <c r="G151" s="445">
        <f ca="1">VLOOKUP(H151,Equipos!$Q$1:$R$25,2,0)</f>
        <v>19</v>
      </c>
      <c r="H151" s="447" t="str">
        <f>Idiomas!$D$137</f>
        <v>CLASIFICADOS PARA DIECISEISAVOS</v>
      </c>
      <c r="I151" s="50"/>
      <c r="J151" s="845"/>
      <c r="K151" s="56" t="str">
        <f>Idiomas!$D$198&amp;"-"&amp;ROWS($L$130:L151)</f>
        <v>Dieciseisavofinalista-22</v>
      </c>
      <c r="L151" s="53"/>
      <c r="M151" s="55" t="str">
        <f ca="1">WORLDCUP!AF106</f>
        <v>3CDFGH</v>
      </c>
      <c r="N151" s="25"/>
      <c r="O151" s="25"/>
      <c r="P151" s="25"/>
      <c r="Q151" s="25"/>
      <c r="R151" s="110"/>
      <c r="S151" s="74" t="s">
        <v>1833</v>
      </c>
      <c r="T151" s="73">
        <f t="shared" ca="1" si="387"/>
        <v>0</v>
      </c>
      <c r="U151" s="64"/>
      <c r="V151" s="74" t="s">
        <v>1550</v>
      </c>
      <c r="W151" s="73">
        <f t="shared" ca="1" si="388"/>
        <v>0</v>
      </c>
      <c r="X151" s="64"/>
      <c r="Y151" s="74" t="s">
        <v>1552</v>
      </c>
      <c r="Z151" s="73">
        <f t="shared" ca="1" si="389"/>
        <v>0</v>
      </c>
      <c r="AA151" s="64"/>
      <c r="AB151" s="74" t="s">
        <v>111</v>
      </c>
      <c r="AC151" s="73">
        <f t="shared" ca="1" si="390"/>
        <v>0</v>
      </c>
      <c r="AD151" s="64"/>
      <c r="AE151" s="74" t="s">
        <v>1319</v>
      </c>
      <c r="AF151" s="73">
        <f t="shared" ca="1" si="391"/>
        <v>0</v>
      </c>
      <c r="AG151" s="64"/>
      <c r="AH151" s="74" t="s">
        <v>1319</v>
      </c>
      <c r="AI151" s="73">
        <f t="shared" ca="1" si="392"/>
        <v>0</v>
      </c>
      <c r="AJ151" s="64"/>
      <c r="AK151" s="74" t="s">
        <v>1833</v>
      </c>
      <c r="AL151" s="73">
        <f t="shared" ca="1" si="393"/>
        <v>0</v>
      </c>
      <c r="AM151" s="64"/>
      <c r="AN151" s="74" t="s">
        <v>1833</v>
      </c>
      <c r="AO151" s="73">
        <f t="shared" ca="1" si="394"/>
        <v>0</v>
      </c>
      <c r="AP151" s="64"/>
      <c r="AQ151" s="74" t="s">
        <v>1263</v>
      </c>
      <c r="AR151" s="73">
        <f t="shared" ca="1" si="395"/>
        <v>0</v>
      </c>
      <c r="AS151" s="64"/>
      <c r="AT151" s="74" t="s">
        <v>1262</v>
      </c>
      <c r="AU151" s="73">
        <f t="shared" ca="1" si="396"/>
        <v>0</v>
      </c>
      <c r="AV151" s="64"/>
      <c r="AW151" s="74" t="s">
        <v>1262</v>
      </c>
      <c r="AX151" s="73">
        <f t="shared" ca="1" si="397"/>
        <v>0</v>
      </c>
      <c r="AY151" s="64"/>
      <c r="AZ151" s="74" t="s">
        <v>1262</v>
      </c>
      <c r="BA151" s="73">
        <f t="shared" ca="1" si="398"/>
        <v>0</v>
      </c>
      <c r="BB151" s="64"/>
      <c r="BC151" s="74" t="s">
        <v>1833</v>
      </c>
      <c r="BD151" s="73">
        <f t="shared" ca="1" si="399"/>
        <v>0</v>
      </c>
      <c r="BE151" s="64"/>
      <c r="BF151" s="74" t="s">
        <v>1262</v>
      </c>
      <c r="BG151" s="73">
        <f t="shared" ca="1" si="400"/>
        <v>0</v>
      </c>
      <c r="BH151" s="64"/>
      <c r="BI151" s="74" t="s">
        <v>497</v>
      </c>
      <c r="BJ151" s="73">
        <f t="shared" ca="1" si="401"/>
        <v>0</v>
      </c>
      <c r="BK151" s="64"/>
      <c r="BL151" s="74" t="s">
        <v>1833</v>
      </c>
      <c r="BM151" s="73">
        <f t="shared" ca="1" si="402"/>
        <v>0</v>
      </c>
      <c r="BN151" s="64"/>
      <c r="BO151" s="74" t="s">
        <v>1833</v>
      </c>
      <c r="BP151" s="73">
        <f t="shared" ca="1" si="403"/>
        <v>0</v>
      </c>
      <c r="BQ151" s="64"/>
      <c r="BR151" s="74" t="s">
        <v>1833</v>
      </c>
      <c r="BS151" s="73">
        <f t="shared" ca="1" si="404"/>
        <v>0</v>
      </c>
      <c r="BT151" s="64"/>
      <c r="BU151" s="74" t="s">
        <v>1833</v>
      </c>
      <c r="BV151" s="73">
        <f t="shared" ca="1" si="405"/>
        <v>0</v>
      </c>
      <c r="BW151" s="64"/>
      <c r="BX151" s="74" t="s">
        <v>1833</v>
      </c>
      <c r="BY151" s="73">
        <f t="shared" ca="1" si="406"/>
        <v>0</v>
      </c>
      <c r="BZ151" s="64"/>
      <c r="CA151" s="74" t="s">
        <v>1263</v>
      </c>
      <c r="CB151" s="73">
        <f t="shared" ca="1" si="407"/>
        <v>0</v>
      </c>
      <c r="CC151" s="64"/>
      <c r="CD151" s="74" t="s">
        <v>1632</v>
      </c>
      <c r="CE151" s="73">
        <f t="shared" ca="1" si="408"/>
        <v>0</v>
      </c>
      <c r="CF151" s="64"/>
      <c r="CG151" s="74" t="s">
        <v>1319</v>
      </c>
      <c r="CH151" s="73">
        <f t="shared" ca="1" si="409"/>
        <v>0</v>
      </c>
      <c r="CI151" s="64"/>
      <c r="CJ151" s="74" t="s">
        <v>1833</v>
      </c>
      <c r="CK151" s="73">
        <f t="shared" ca="1" si="410"/>
        <v>0</v>
      </c>
      <c r="CL151" s="64"/>
      <c r="CM151" s="74" t="s">
        <v>1319</v>
      </c>
      <c r="CN151" s="73">
        <f t="shared" ca="1" si="411"/>
        <v>0</v>
      </c>
      <c r="CO151" s="64"/>
      <c r="CP151" s="64"/>
    </row>
    <row r="152" spans="1:94">
      <c r="A152" s="49"/>
      <c r="B152" s="49"/>
      <c r="C152" s="49"/>
      <c r="D152" s="49"/>
      <c r="E152" s="65"/>
      <c r="F152" s="127">
        <f t="shared" si="412"/>
        <v>3</v>
      </c>
      <c r="G152" s="445">
        <f ca="1">VLOOKUP(H152,Equipos!$Q$1:$R$25,2,0)</f>
        <v>19</v>
      </c>
      <c r="H152" s="447" t="str">
        <f>Idiomas!$D$137</f>
        <v>CLASIFICADOS PARA DIECISEISAVOS</v>
      </c>
      <c r="I152" s="50"/>
      <c r="J152" s="845"/>
      <c r="K152" s="56" t="str">
        <f>Idiomas!$D$198&amp;"-"&amp;ROWS($L$130:L152)</f>
        <v>Dieciseisavofinalista-23</v>
      </c>
      <c r="L152" s="53"/>
      <c r="M152" s="55" t="str">
        <f ca="1">WORLDCUP!AF107</f>
        <v>3CEFHI</v>
      </c>
      <c r="N152" s="25"/>
      <c r="O152" s="25"/>
      <c r="P152" s="25"/>
      <c r="Q152" s="25"/>
      <c r="R152" s="110"/>
      <c r="S152" s="74" t="s">
        <v>134</v>
      </c>
      <c r="T152" s="73">
        <f t="shared" ca="1" si="387"/>
        <v>0</v>
      </c>
      <c r="U152" s="64"/>
      <c r="V152" s="74" t="s">
        <v>1726</v>
      </c>
      <c r="W152" s="73">
        <f t="shared" ca="1" si="388"/>
        <v>0</v>
      </c>
      <c r="X152" s="64"/>
      <c r="Y152" s="74" t="s">
        <v>1633</v>
      </c>
      <c r="Z152" s="73">
        <f t="shared" ca="1" si="389"/>
        <v>0</v>
      </c>
      <c r="AA152" s="64"/>
      <c r="AB152" s="74" t="s">
        <v>1632</v>
      </c>
      <c r="AC152" s="73">
        <f t="shared" ca="1" si="390"/>
        <v>0</v>
      </c>
      <c r="AD152" s="64"/>
      <c r="AE152" s="74" t="s">
        <v>1261</v>
      </c>
      <c r="AF152" s="73">
        <f t="shared" ca="1" si="391"/>
        <v>0</v>
      </c>
      <c r="AG152" s="64"/>
      <c r="AH152" s="74" t="s">
        <v>1632</v>
      </c>
      <c r="AI152" s="73">
        <f t="shared" ca="1" si="392"/>
        <v>0</v>
      </c>
      <c r="AJ152" s="64"/>
      <c r="AK152" s="74" t="s">
        <v>1633</v>
      </c>
      <c r="AL152" s="73">
        <f t="shared" ca="1" si="393"/>
        <v>0</v>
      </c>
      <c r="AM152" s="64"/>
      <c r="AN152" s="74" t="s">
        <v>134</v>
      </c>
      <c r="AO152" s="73">
        <f t="shared" ca="1" si="394"/>
        <v>0</v>
      </c>
      <c r="AP152" s="64"/>
      <c r="AQ152" s="74" t="s">
        <v>1321</v>
      </c>
      <c r="AR152" s="73">
        <f t="shared" ca="1" si="395"/>
        <v>0</v>
      </c>
      <c r="AS152" s="64"/>
      <c r="AT152" s="74" t="s">
        <v>1633</v>
      </c>
      <c r="AU152" s="73">
        <f t="shared" ca="1" si="396"/>
        <v>0</v>
      </c>
      <c r="AV152" s="64"/>
      <c r="AW152" s="74" t="s">
        <v>1833</v>
      </c>
      <c r="AX152" s="73">
        <f t="shared" ca="1" si="397"/>
        <v>0</v>
      </c>
      <c r="AY152" s="64"/>
      <c r="AZ152" s="74" t="s">
        <v>1633</v>
      </c>
      <c r="BA152" s="73">
        <f t="shared" ca="1" si="398"/>
        <v>0</v>
      </c>
      <c r="BB152" s="64"/>
      <c r="BC152" s="74" t="s">
        <v>1632</v>
      </c>
      <c r="BD152" s="73">
        <f t="shared" ca="1" si="399"/>
        <v>0</v>
      </c>
      <c r="BE152" s="64"/>
      <c r="BF152" s="74" t="s">
        <v>1261</v>
      </c>
      <c r="BG152" s="73">
        <f t="shared" ca="1" si="400"/>
        <v>0</v>
      </c>
      <c r="BH152" s="64"/>
      <c r="BI152" s="74" t="s">
        <v>1261</v>
      </c>
      <c r="BJ152" s="73">
        <f t="shared" ca="1" si="401"/>
        <v>0</v>
      </c>
      <c r="BK152" s="64"/>
      <c r="BL152" s="74" t="s">
        <v>1633</v>
      </c>
      <c r="BM152" s="73">
        <f t="shared" ca="1" si="402"/>
        <v>0</v>
      </c>
      <c r="BN152" s="64"/>
      <c r="BO152" s="74" t="s">
        <v>1633</v>
      </c>
      <c r="BP152" s="73">
        <f t="shared" ca="1" si="403"/>
        <v>0</v>
      </c>
      <c r="BQ152" s="64"/>
      <c r="BR152" s="74" t="s">
        <v>134</v>
      </c>
      <c r="BS152" s="73">
        <f t="shared" ca="1" si="404"/>
        <v>0</v>
      </c>
      <c r="BT152" s="64"/>
      <c r="BU152" s="74" t="s">
        <v>134</v>
      </c>
      <c r="BV152" s="73">
        <f t="shared" ca="1" si="405"/>
        <v>0</v>
      </c>
      <c r="BW152" s="64"/>
      <c r="BX152" s="74" t="s">
        <v>1321</v>
      </c>
      <c r="BY152" s="73">
        <f t="shared" ca="1" si="406"/>
        <v>0</v>
      </c>
      <c r="BZ152" s="64"/>
      <c r="CA152" s="74" t="s">
        <v>1632</v>
      </c>
      <c r="CB152" s="73">
        <f t="shared" ca="1" si="407"/>
        <v>0</v>
      </c>
      <c r="CC152" s="64"/>
      <c r="CD152" s="74" t="s">
        <v>1633</v>
      </c>
      <c r="CE152" s="73">
        <f t="shared" ca="1" si="408"/>
        <v>0</v>
      </c>
      <c r="CF152" s="64"/>
      <c r="CG152" s="74" t="s">
        <v>1632</v>
      </c>
      <c r="CH152" s="73">
        <f t="shared" ca="1" si="409"/>
        <v>0</v>
      </c>
      <c r="CI152" s="64"/>
      <c r="CJ152" s="74" t="s">
        <v>1632</v>
      </c>
      <c r="CK152" s="73">
        <f t="shared" ca="1" si="410"/>
        <v>0</v>
      </c>
      <c r="CL152" s="64"/>
      <c r="CM152" s="74" t="s">
        <v>1633</v>
      </c>
      <c r="CN152" s="73">
        <f t="shared" ca="1" si="411"/>
        <v>0</v>
      </c>
      <c r="CO152" s="64"/>
      <c r="CP152" s="64"/>
    </row>
    <row r="153" spans="1:94">
      <c r="A153" s="49"/>
      <c r="B153" s="49"/>
      <c r="C153" s="49"/>
      <c r="D153" s="49"/>
      <c r="E153" s="65"/>
      <c r="F153" s="127">
        <f t="shared" si="412"/>
        <v>3</v>
      </c>
      <c r="G153" s="445">
        <f ca="1">VLOOKUP(H153,Equipos!$Q$1:$R$25,2,0)</f>
        <v>19</v>
      </c>
      <c r="H153" s="447" t="str">
        <f>Idiomas!$D$137</f>
        <v>CLASIFICADOS PARA DIECISEISAVOS</v>
      </c>
      <c r="I153" s="50"/>
      <c r="J153" s="845"/>
      <c r="K153" s="56" t="str">
        <f>Idiomas!$D$198&amp;"-"&amp;ROWS($L$130:L153)</f>
        <v>Dieciseisavofinalista-24</v>
      </c>
      <c r="L153" s="53"/>
      <c r="M153" s="55" t="str">
        <f ca="1">WORLDCUP!AF108</f>
        <v>3EHIJK</v>
      </c>
      <c r="N153" s="25"/>
      <c r="O153" s="25"/>
      <c r="P153" s="25"/>
      <c r="Q153" s="25"/>
      <c r="R153" s="110"/>
      <c r="S153" s="74" t="s">
        <v>1757</v>
      </c>
      <c r="T153" s="73">
        <f t="shared" ca="1" si="387"/>
        <v>0</v>
      </c>
      <c r="U153" s="64"/>
      <c r="V153" s="74" t="s">
        <v>1267</v>
      </c>
      <c r="W153" s="73">
        <f t="shared" ca="1" si="388"/>
        <v>0</v>
      </c>
      <c r="X153" s="64"/>
      <c r="Y153" s="74" t="s">
        <v>1320</v>
      </c>
      <c r="Z153" s="73">
        <f t="shared" ca="1" si="389"/>
        <v>0</v>
      </c>
      <c r="AA153" s="64"/>
      <c r="AB153" s="74" t="s">
        <v>1267</v>
      </c>
      <c r="AC153" s="73">
        <f t="shared" ca="1" si="390"/>
        <v>0</v>
      </c>
      <c r="AD153" s="64"/>
      <c r="AE153" s="74" t="s">
        <v>135</v>
      </c>
      <c r="AF153" s="73">
        <f t="shared" ca="1" si="391"/>
        <v>0</v>
      </c>
      <c r="AG153" s="64"/>
      <c r="AH153" s="74" t="s">
        <v>1634</v>
      </c>
      <c r="AI153" s="73">
        <f t="shared" ca="1" si="392"/>
        <v>0</v>
      </c>
      <c r="AJ153" s="64"/>
      <c r="AK153" s="74" t="s">
        <v>1558</v>
      </c>
      <c r="AL153" s="73">
        <f t="shared" ca="1" si="393"/>
        <v>0</v>
      </c>
      <c r="AM153" s="64"/>
      <c r="AN153" s="74" t="s">
        <v>1634</v>
      </c>
      <c r="AO153" s="73">
        <f t="shared" ca="1" si="394"/>
        <v>0</v>
      </c>
      <c r="AP153" s="64"/>
      <c r="AQ153" s="74" t="s">
        <v>1634</v>
      </c>
      <c r="AR153" s="73">
        <f t="shared" ca="1" si="395"/>
        <v>0</v>
      </c>
      <c r="AS153" s="64"/>
      <c r="AT153" s="74" t="s">
        <v>1634</v>
      </c>
      <c r="AU153" s="73">
        <f t="shared" ca="1" si="396"/>
        <v>0</v>
      </c>
      <c r="AV153" s="64"/>
      <c r="AW153" s="74" t="s">
        <v>1839</v>
      </c>
      <c r="AX153" s="73">
        <f t="shared" ca="1" si="397"/>
        <v>0</v>
      </c>
      <c r="AY153" s="64"/>
      <c r="AZ153" s="74" t="s">
        <v>1634</v>
      </c>
      <c r="BA153" s="73">
        <f t="shared" ca="1" si="398"/>
        <v>0</v>
      </c>
      <c r="BB153" s="64"/>
      <c r="BC153" s="74" t="s">
        <v>1634</v>
      </c>
      <c r="BD153" s="73">
        <f t="shared" ca="1" si="399"/>
        <v>0</v>
      </c>
      <c r="BE153" s="64"/>
      <c r="BF153" s="74" t="s">
        <v>1267</v>
      </c>
      <c r="BG153" s="73">
        <f t="shared" ca="1" si="400"/>
        <v>0</v>
      </c>
      <c r="BH153" s="64"/>
      <c r="BI153" s="74" t="s">
        <v>1634</v>
      </c>
      <c r="BJ153" s="73">
        <f t="shared" ca="1" si="401"/>
        <v>0</v>
      </c>
      <c r="BK153" s="64"/>
      <c r="BL153" s="74" t="s">
        <v>1634</v>
      </c>
      <c r="BM153" s="73">
        <f t="shared" ca="1" si="402"/>
        <v>0</v>
      </c>
      <c r="BN153" s="64"/>
      <c r="BO153" s="74" t="s">
        <v>1839</v>
      </c>
      <c r="BP153" s="73">
        <f t="shared" ca="1" si="403"/>
        <v>0</v>
      </c>
      <c r="BQ153" s="64"/>
      <c r="BR153" s="74" t="s">
        <v>1634</v>
      </c>
      <c r="BS153" s="73">
        <f t="shared" ca="1" si="404"/>
        <v>0</v>
      </c>
      <c r="BT153" s="64"/>
      <c r="BU153" s="74" t="s">
        <v>135</v>
      </c>
      <c r="BV153" s="73">
        <f t="shared" ca="1" si="405"/>
        <v>0</v>
      </c>
      <c r="BW153" s="64"/>
      <c r="BX153" s="74" t="s">
        <v>1634</v>
      </c>
      <c r="BY153" s="73">
        <f t="shared" ca="1" si="406"/>
        <v>0</v>
      </c>
      <c r="BZ153" s="64"/>
      <c r="CA153" s="74" t="s">
        <v>1634</v>
      </c>
      <c r="CB153" s="73">
        <f t="shared" ca="1" si="407"/>
        <v>0</v>
      </c>
      <c r="CC153" s="64"/>
      <c r="CD153" s="74" t="s">
        <v>1634</v>
      </c>
      <c r="CE153" s="73">
        <f t="shared" ca="1" si="408"/>
        <v>0</v>
      </c>
      <c r="CF153" s="64"/>
      <c r="CG153" s="74" t="s">
        <v>1633</v>
      </c>
      <c r="CH153" s="73">
        <f t="shared" ca="1" si="409"/>
        <v>0</v>
      </c>
      <c r="CI153" s="64"/>
      <c r="CJ153" s="74" t="s">
        <v>1634</v>
      </c>
      <c r="CK153" s="73">
        <f t="shared" ca="1" si="410"/>
        <v>0</v>
      </c>
      <c r="CL153" s="64"/>
      <c r="CM153" s="74" t="s">
        <v>1634</v>
      </c>
      <c r="CN153" s="73">
        <f t="shared" ca="1" si="411"/>
        <v>0</v>
      </c>
      <c r="CO153" s="64"/>
      <c r="CP153" s="64"/>
    </row>
    <row r="154" spans="1:94">
      <c r="A154" s="49"/>
      <c r="B154" s="49"/>
      <c r="C154" s="49"/>
      <c r="D154" s="49"/>
      <c r="E154" s="65"/>
      <c r="F154" s="127">
        <f t="shared" si="412"/>
        <v>3</v>
      </c>
      <c r="G154" s="445">
        <f ca="1">VLOOKUP(H154,Equipos!$Q$1:$R$25,2,0)</f>
        <v>19</v>
      </c>
      <c r="H154" s="447" t="str">
        <f>Idiomas!$D$137</f>
        <v>CLASIFICADOS PARA DIECISEISAVOS</v>
      </c>
      <c r="I154" s="50"/>
      <c r="J154" s="845"/>
      <c r="K154" s="56" t="str">
        <f>Idiomas!$D$198&amp;"-"&amp;ROWS($L$130:L154)</f>
        <v>Dieciseisavofinalista-25</v>
      </c>
      <c r="L154" s="53"/>
      <c r="M154" s="55" t="str">
        <f ca="1">WORLDCUP!AF109</f>
        <v>3AEHIJ</v>
      </c>
      <c r="N154" s="25"/>
      <c r="O154" s="25"/>
      <c r="P154" s="25"/>
      <c r="Q154" s="25"/>
      <c r="R154" s="110"/>
      <c r="S154" s="74" t="s">
        <v>1261</v>
      </c>
      <c r="T154" s="73">
        <f t="shared" ca="1" si="387"/>
        <v>0</v>
      </c>
      <c r="U154" s="64"/>
      <c r="V154" s="74" t="s">
        <v>1632</v>
      </c>
      <c r="W154" s="73">
        <f t="shared" ca="1" si="388"/>
        <v>0</v>
      </c>
      <c r="X154" s="64"/>
      <c r="Y154" s="74" t="s">
        <v>1843</v>
      </c>
      <c r="Z154" s="73">
        <f t="shared" ca="1" si="389"/>
        <v>0</v>
      </c>
      <c r="AA154" s="64"/>
      <c r="AB154" s="74" t="s">
        <v>1265</v>
      </c>
      <c r="AC154" s="73">
        <f t="shared" ca="1" si="390"/>
        <v>0</v>
      </c>
      <c r="AD154" s="64"/>
      <c r="AE154" s="74" t="s">
        <v>1632</v>
      </c>
      <c r="AF154" s="73">
        <f t="shared" ca="1" si="391"/>
        <v>0</v>
      </c>
      <c r="AG154" s="64"/>
      <c r="AH154" s="74" t="s">
        <v>1260</v>
      </c>
      <c r="AI154" s="73">
        <f t="shared" ca="1" si="392"/>
        <v>0</v>
      </c>
      <c r="AJ154" s="64"/>
      <c r="AK154" s="74" t="s">
        <v>1843</v>
      </c>
      <c r="AL154" s="73">
        <f t="shared" ca="1" si="393"/>
        <v>0</v>
      </c>
      <c r="AM154" s="64"/>
      <c r="AN154" s="74" t="s">
        <v>1843</v>
      </c>
      <c r="AO154" s="73">
        <f t="shared" ca="1" si="394"/>
        <v>0</v>
      </c>
      <c r="AP154" s="64"/>
      <c r="AQ154" s="74" t="s">
        <v>1260</v>
      </c>
      <c r="AR154" s="73">
        <f t="shared" ca="1" si="395"/>
        <v>0</v>
      </c>
      <c r="AS154" s="64"/>
      <c r="AT154" s="74" t="s">
        <v>1843</v>
      </c>
      <c r="AU154" s="73">
        <f t="shared" ca="1" si="396"/>
        <v>0</v>
      </c>
      <c r="AV154" s="64"/>
      <c r="AW154" s="74" t="s">
        <v>1630</v>
      </c>
      <c r="AX154" s="73">
        <f t="shared" ca="1" si="397"/>
        <v>0</v>
      </c>
      <c r="AY154" s="64"/>
      <c r="AZ154" s="74" t="s">
        <v>1632</v>
      </c>
      <c r="BA154" s="73">
        <f t="shared" ca="1" si="398"/>
        <v>0</v>
      </c>
      <c r="BB154" s="64"/>
      <c r="BC154" s="74" t="s">
        <v>1260</v>
      </c>
      <c r="BD154" s="73">
        <f t="shared" ca="1" si="399"/>
        <v>0</v>
      </c>
      <c r="BE154" s="64"/>
      <c r="BF154" s="74" t="s">
        <v>1843</v>
      </c>
      <c r="BG154" s="73">
        <f t="shared" ca="1" si="400"/>
        <v>0</v>
      </c>
      <c r="BH154" s="64"/>
      <c r="BI154" s="74" t="s">
        <v>1558</v>
      </c>
      <c r="BJ154" s="73">
        <f t="shared" ca="1" si="401"/>
        <v>0</v>
      </c>
      <c r="BK154" s="64"/>
      <c r="BL154" s="74" t="s">
        <v>1630</v>
      </c>
      <c r="BM154" s="73">
        <f t="shared" ca="1" si="402"/>
        <v>0</v>
      </c>
      <c r="BN154" s="64"/>
      <c r="BO154" s="74" t="s">
        <v>135</v>
      </c>
      <c r="BP154" s="73">
        <f t="shared" ca="1" si="403"/>
        <v>0</v>
      </c>
      <c r="BQ154" s="64"/>
      <c r="BR154" s="74" t="s">
        <v>1260</v>
      </c>
      <c r="BS154" s="73">
        <f t="shared" ca="1" si="404"/>
        <v>0</v>
      </c>
      <c r="BT154" s="64"/>
      <c r="BU154" s="74" t="s">
        <v>1260</v>
      </c>
      <c r="BV154" s="73">
        <f t="shared" ca="1" si="405"/>
        <v>0</v>
      </c>
      <c r="BW154" s="64"/>
      <c r="BX154" s="74" t="s">
        <v>1843</v>
      </c>
      <c r="BY154" s="73">
        <f t="shared" ca="1" si="406"/>
        <v>0</v>
      </c>
      <c r="BZ154" s="64"/>
      <c r="CA154" s="74" t="s">
        <v>1630</v>
      </c>
      <c r="CB154" s="73">
        <f t="shared" ca="1" si="407"/>
        <v>0</v>
      </c>
      <c r="CC154" s="64"/>
      <c r="CD154" s="74" t="s">
        <v>1843</v>
      </c>
      <c r="CE154" s="73">
        <f t="shared" ca="1" si="408"/>
        <v>0</v>
      </c>
      <c r="CF154" s="64"/>
      <c r="CG154" s="74" t="s">
        <v>1558</v>
      </c>
      <c r="CH154" s="73">
        <f t="shared" ca="1" si="409"/>
        <v>0</v>
      </c>
      <c r="CI154" s="64"/>
      <c r="CJ154" s="74" t="s">
        <v>1260</v>
      </c>
      <c r="CK154" s="73">
        <f t="shared" ca="1" si="410"/>
        <v>0</v>
      </c>
      <c r="CL154" s="64"/>
      <c r="CM154" s="74" t="s">
        <v>1260</v>
      </c>
      <c r="CN154" s="73">
        <f t="shared" ca="1" si="411"/>
        <v>0</v>
      </c>
      <c r="CO154" s="64"/>
      <c r="CP154" s="64"/>
    </row>
    <row r="155" spans="1:94">
      <c r="A155" s="49"/>
      <c r="B155" s="49"/>
      <c r="C155" s="49"/>
      <c r="D155" s="49"/>
      <c r="E155" s="65"/>
      <c r="F155" s="127">
        <f t="shared" si="412"/>
        <v>3</v>
      </c>
      <c r="G155" s="445">
        <f ca="1">VLOOKUP(H155,Equipos!$Q$1:$R$25,2,0)</f>
        <v>19</v>
      </c>
      <c r="H155" s="447" t="str">
        <f>Idiomas!$D$137</f>
        <v>CLASIFICADOS PARA DIECISEISAVOS</v>
      </c>
      <c r="I155" s="50"/>
      <c r="J155" s="845"/>
      <c r="K155" s="56" t="str">
        <f>Idiomas!$D$198&amp;"-"&amp;ROWS($L$130:L155)</f>
        <v>Dieciseisavofinalista-26</v>
      </c>
      <c r="L155" s="53"/>
      <c r="M155" s="55" t="str">
        <f ca="1">WORLDCUP!AF110</f>
        <v>3BEFIJ</v>
      </c>
      <c r="N155" s="25"/>
      <c r="O155" s="25"/>
      <c r="P155" s="25"/>
      <c r="Q155" s="25"/>
      <c r="R155" s="110"/>
      <c r="S155" s="74" t="s">
        <v>1631</v>
      </c>
      <c r="T155" s="73">
        <f t="shared" ca="1" si="387"/>
        <v>0</v>
      </c>
      <c r="U155" s="64"/>
      <c r="V155" s="74" t="s">
        <v>1841</v>
      </c>
      <c r="W155" s="73">
        <f t="shared" ca="1" si="388"/>
        <v>0</v>
      </c>
      <c r="X155" s="64"/>
      <c r="Y155" s="74" t="s">
        <v>1841</v>
      </c>
      <c r="Z155" s="73">
        <f t="shared" ca="1" si="389"/>
        <v>0</v>
      </c>
      <c r="AA155" s="64"/>
      <c r="AB155" s="74" t="s">
        <v>1841</v>
      </c>
      <c r="AC155" s="73">
        <f t="shared" ca="1" si="390"/>
        <v>0</v>
      </c>
      <c r="AD155" s="64"/>
      <c r="AE155" s="74" t="s">
        <v>1841</v>
      </c>
      <c r="AF155" s="73">
        <f t="shared" ca="1" si="391"/>
        <v>0</v>
      </c>
      <c r="AG155" s="64"/>
      <c r="AH155" s="74" t="s">
        <v>1263</v>
      </c>
      <c r="AI155" s="73">
        <f t="shared" ca="1" si="392"/>
        <v>0</v>
      </c>
      <c r="AJ155" s="64"/>
      <c r="AK155" s="74" t="s">
        <v>1841</v>
      </c>
      <c r="AL155" s="73">
        <f t="shared" ca="1" si="393"/>
        <v>0</v>
      </c>
      <c r="AM155" s="64"/>
      <c r="AN155" s="74" t="s">
        <v>1259</v>
      </c>
      <c r="AO155" s="73">
        <f t="shared" ca="1" si="394"/>
        <v>0</v>
      </c>
      <c r="AP155" s="64"/>
      <c r="AQ155" s="74" t="s">
        <v>1259</v>
      </c>
      <c r="AR155" s="73">
        <f t="shared" ca="1" si="395"/>
        <v>0</v>
      </c>
      <c r="AS155" s="64"/>
      <c r="AT155" s="74" t="s">
        <v>1841</v>
      </c>
      <c r="AU155" s="73">
        <f t="shared" ca="1" si="396"/>
        <v>0</v>
      </c>
      <c r="AV155" s="64"/>
      <c r="AW155" s="74" t="s">
        <v>1841</v>
      </c>
      <c r="AX155" s="73">
        <f t="shared" ca="1" si="397"/>
        <v>0</v>
      </c>
      <c r="AY155" s="64"/>
      <c r="AZ155" s="74" t="s">
        <v>1841</v>
      </c>
      <c r="BA155" s="73">
        <f t="shared" ca="1" si="398"/>
        <v>0</v>
      </c>
      <c r="BB155" s="64"/>
      <c r="BC155" s="74" t="s">
        <v>1631</v>
      </c>
      <c r="BD155" s="73">
        <f t="shared" ca="1" si="399"/>
        <v>0</v>
      </c>
      <c r="BE155" s="64"/>
      <c r="BF155" s="74" t="s">
        <v>1634</v>
      </c>
      <c r="BG155" s="73">
        <f t="shared" ca="1" si="400"/>
        <v>0</v>
      </c>
      <c r="BH155" s="64"/>
      <c r="BI155" s="74" t="s">
        <v>1259</v>
      </c>
      <c r="BJ155" s="73">
        <f t="shared" ca="1" si="401"/>
        <v>0</v>
      </c>
      <c r="BK155" s="64"/>
      <c r="BL155" s="74" t="s">
        <v>1841</v>
      </c>
      <c r="BM155" s="73">
        <f t="shared" ca="1" si="402"/>
        <v>0</v>
      </c>
      <c r="BN155" s="64"/>
      <c r="BO155" s="74" t="s">
        <v>1631</v>
      </c>
      <c r="BP155" s="73">
        <f t="shared" ca="1" si="403"/>
        <v>0</v>
      </c>
      <c r="BQ155" s="64"/>
      <c r="BR155" s="74" t="s">
        <v>75</v>
      </c>
      <c r="BS155" s="73">
        <f t="shared" ca="1" si="404"/>
        <v>0</v>
      </c>
      <c r="BT155" s="64"/>
      <c r="BU155" s="74" t="s">
        <v>1259</v>
      </c>
      <c r="BV155" s="73">
        <f t="shared" ca="1" si="405"/>
        <v>0</v>
      </c>
      <c r="BW155" s="64"/>
      <c r="BX155" s="74" t="s">
        <v>1261</v>
      </c>
      <c r="BY155" s="73">
        <f t="shared" ca="1" si="406"/>
        <v>0</v>
      </c>
      <c r="BZ155" s="64"/>
      <c r="CA155" s="74" t="s">
        <v>1631</v>
      </c>
      <c r="CB155" s="73">
        <f t="shared" ca="1" si="407"/>
        <v>0</v>
      </c>
      <c r="CC155" s="64"/>
      <c r="CD155" s="74" t="s">
        <v>1841</v>
      </c>
      <c r="CE155" s="73">
        <f t="shared" ca="1" si="408"/>
        <v>0</v>
      </c>
      <c r="CF155" s="64"/>
      <c r="CG155" s="74" t="s">
        <v>1631</v>
      </c>
      <c r="CH155" s="73">
        <f t="shared" ca="1" si="409"/>
        <v>0</v>
      </c>
      <c r="CI155" s="64"/>
      <c r="CJ155" s="74" t="s">
        <v>1841</v>
      </c>
      <c r="CK155" s="73">
        <f t="shared" ca="1" si="410"/>
        <v>0</v>
      </c>
      <c r="CL155" s="64"/>
      <c r="CM155" s="74" t="s">
        <v>1841</v>
      </c>
      <c r="CN155" s="73">
        <f t="shared" ca="1" si="411"/>
        <v>0</v>
      </c>
      <c r="CO155" s="64"/>
      <c r="CP155" s="64"/>
    </row>
    <row r="156" spans="1:94">
      <c r="A156" s="49"/>
      <c r="B156" s="49"/>
      <c r="C156" s="49"/>
      <c r="D156" s="49"/>
      <c r="E156" s="65"/>
      <c r="F156" s="127">
        <f t="shared" si="412"/>
        <v>3</v>
      </c>
      <c r="G156" s="445">
        <f ca="1">VLOOKUP(H156,Equipos!$Q$1:$R$25,2,0)</f>
        <v>19</v>
      </c>
      <c r="H156" s="447" t="str">
        <f>Idiomas!$D$137</f>
        <v>CLASIFICADOS PARA DIECISEISAVOS</v>
      </c>
      <c r="I156" s="50"/>
      <c r="J156" s="845"/>
      <c r="K156" s="56" t="str">
        <f>Idiomas!$D$198&amp;"-"&amp;ROWS($L$130:L156)</f>
        <v>Dieciseisavofinalista-27</v>
      </c>
      <c r="L156" s="53"/>
      <c r="M156" s="55" t="str">
        <f ca="1">WORLDCUP!AF111</f>
        <v>2J</v>
      </c>
      <c r="N156" s="25"/>
      <c r="O156" s="25"/>
      <c r="P156" s="25"/>
      <c r="Q156" s="25"/>
      <c r="R156" s="110"/>
      <c r="S156" s="74" t="s">
        <v>80</v>
      </c>
      <c r="T156" s="73">
        <f t="shared" ca="1" si="387"/>
        <v>0</v>
      </c>
      <c r="U156" s="64"/>
      <c r="V156" s="74" t="s">
        <v>80</v>
      </c>
      <c r="W156" s="73">
        <f t="shared" ca="1" si="388"/>
        <v>0</v>
      </c>
      <c r="X156" s="64"/>
      <c r="Y156" s="74" t="s">
        <v>80</v>
      </c>
      <c r="Z156" s="73">
        <f t="shared" ca="1" si="389"/>
        <v>0</v>
      </c>
      <c r="AA156" s="64"/>
      <c r="AB156" s="74" t="s">
        <v>1558</v>
      </c>
      <c r="AC156" s="73">
        <f t="shared" ca="1" si="390"/>
        <v>0</v>
      </c>
      <c r="AD156" s="64"/>
      <c r="AE156" s="74" t="s">
        <v>1256</v>
      </c>
      <c r="AF156" s="73">
        <f t="shared" ca="1" si="391"/>
        <v>0</v>
      </c>
      <c r="AG156" s="64"/>
      <c r="AH156" s="74" t="s">
        <v>80</v>
      </c>
      <c r="AI156" s="73">
        <f t="shared" ca="1" si="392"/>
        <v>0</v>
      </c>
      <c r="AJ156" s="64"/>
      <c r="AK156" s="74" t="s">
        <v>80</v>
      </c>
      <c r="AL156" s="73">
        <f t="shared" ca="1" si="393"/>
        <v>0</v>
      </c>
      <c r="AM156" s="64"/>
      <c r="AN156" s="74" t="s">
        <v>80</v>
      </c>
      <c r="AO156" s="73">
        <f t="shared" ca="1" si="394"/>
        <v>0</v>
      </c>
      <c r="AP156" s="64"/>
      <c r="AQ156" s="74" t="s">
        <v>80</v>
      </c>
      <c r="AR156" s="73">
        <f t="shared" ca="1" si="395"/>
        <v>0</v>
      </c>
      <c r="AS156" s="64"/>
      <c r="AT156" s="74" t="s">
        <v>1558</v>
      </c>
      <c r="AU156" s="73">
        <f t="shared" ca="1" si="396"/>
        <v>0</v>
      </c>
      <c r="AV156" s="64"/>
      <c r="AW156" s="74" t="s">
        <v>1558</v>
      </c>
      <c r="AX156" s="73">
        <f t="shared" ca="1" si="397"/>
        <v>0</v>
      </c>
      <c r="AY156" s="64"/>
      <c r="AZ156" s="74" t="s">
        <v>1558</v>
      </c>
      <c r="BA156" s="73">
        <f t="shared" ca="1" si="398"/>
        <v>0</v>
      </c>
      <c r="BB156" s="64"/>
      <c r="BC156" s="74" t="s">
        <v>1558</v>
      </c>
      <c r="BD156" s="73">
        <f t="shared" ca="1" si="399"/>
        <v>0</v>
      </c>
      <c r="BE156" s="64"/>
      <c r="BF156" s="74" t="s">
        <v>1558</v>
      </c>
      <c r="BG156" s="73">
        <f t="shared" ca="1" si="400"/>
        <v>0</v>
      </c>
      <c r="BH156" s="64"/>
      <c r="BI156" s="74" t="s">
        <v>80</v>
      </c>
      <c r="BJ156" s="73">
        <f t="shared" ca="1" si="401"/>
        <v>0</v>
      </c>
      <c r="BK156" s="64"/>
      <c r="BL156" s="74" t="s">
        <v>1558</v>
      </c>
      <c r="BM156" s="73">
        <f t="shared" ca="1" si="402"/>
        <v>0</v>
      </c>
      <c r="BN156" s="64"/>
      <c r="BO156" s="74" t="s">
        <v>80</v>
      </c>
      <c r="BP156" s="73">
        <f t="shared" ca="1" si="403"/>
        <v>0</v>
      </c>
      <c r="BQ156" s="64"/>
      <c r="BR156" s="74" t="s">
        <v>80</v>
      </c>
      <c r="BS156" s="73">
        <f t="shared" ca="1" si="404"/>
        <v>0</v>
      </c>
      <c r="BT156" s="64"/>
      <c r="BU156" s="74" t="s">
        <v>80</v>
      </c>
      <c r="BV156" s="73">
        <f t="shared" ca="1" si="405"/>
        <v>0</v>
      </c>
      <c r="BW156" s="64"/>
      <c r="BX156" s="74" t="s">
        <v>80</v>
      </c>
      <c r="BY156" s="73">
        <f t="shared" ca="1" si="406"/>
        <v>0</v>
      </c>
      <c r="BZ156" s="64"/>
      <c r="CA156" s="74" t="s">
        <v>1264</v>
      </c>
      <c r="CB156" s="73">
        <f t="shared" ca="1" si="407"/>
        <v>0</v>
      </c>
      <c r="CC156" s="64"/>
      <c r="CD156" s="74" t="s">
        <v>80</v>
      </c>
      <c r="CE156" s="73">
        <f t="shared" ca="1" si="408"/>
        <v>0</v>
      </c>
      <c r="CF156" s="64"/>
      <c r="CG156" s="74" t="s">
        <v>80</v>
      </c>
      <c r="CH156" s="73">
        <f t="shared" ca="1" si="409"/>
        <v>0</v>
      </c>
      <c r="CI156" s="64"/>
      <c r="CJ156" s="74" t="s">
        <v>80</v>
      </c>
      <c r="CK156" s="73">
        <f t="shared" ca="1" si="410"/>
        <v>0</v>
      </c>
      <c r="CL156" s="64"/>
      <c r="CM156" s="74" t="s">
        <v>80</v>
      </c>
      <c r="CN156" s="73">
        <f t="shared" ca="1" si="411"/>
        <v>0</v>
      </c>
      <c r="CO156" s="64"/>
      <c r="CP156" s="64"/>
    </row>
    <row r="157" spans="1:94">
      <c r="A157" s="49"/>
      <c r="B157" s="49"/>
      <c r="C157" s="49"/>
      <c r="D157" s="49"/>
      <c r="E157" s="65"/>
      <c r="F157" s="127">
        <f t="shared" si="412"/>
        <v>3</v>
      </c>
      <c r="G157" s="445">
        <f ca="1">VLOOKUP(H157,Equipos!$Q$1:$R$25,2,0)</f>
        <v>19</v>
      </c>
      <c r="H157" s="447" t="str">
        <f>Idiomas!$D$137</f>
        <v>CLASIFICADOS PARA DIECISEISAVOS</v>
      </c>
      <c r="I157" s="50"/>
      <c r="J157" s="845"/>
      <c r="K157" s="56" t="str">
        <f>Idiomas!$D$198&amp;"-"&amp;ROWS($L$130:L157)</f>
        <v>Dieciseisavofinalista-28</v>
      </c>
      <c r="L157" s="53"/>
      <c r="M157" s="55" t="str">
        <f ca="1">WORLDCUP!AF112</f>
        <v>2L</v>
      </c>
      <c r="N157" s="25"/>
      <c r="O157" s="25"/>
      <c r="P157" s="25"/>
      <c r="Q157" s="25"/>
      <c r="R157" s="110"/>
      <c r="S157" s="74" t="s">
        <v>1551</v>
      </c>
      <c r="T157" s="73">
        <f t="shared" ca="1" si="387"/>
        <v>0</v>
      </c>
      <c r="U157" s="64"/>
      <c r="V157" s="74" t="s">
        <v>76</v>
      </c>
      <c r="W157" s="73">
        <f t="shared" ca="1" si="388"/>
        <v>0</v>
      </c>
      <c r="X157" s="64"/>
      <c r="Y157" s="74" t="s">
        <v>78</v>
      </c>
      <c r="Z157" s="73">
        <f t="shared" ca="1" si="389"/>
        <v>0</v>
      </c>
      <c r="AA157" s="64"/>
      <c r="AB157" s="74" t="s">
        <v>78</v>
      </c>
      <c r="AC157" s="73">
        <f t="shared" ca="1" si="390"/>
        <v>0</v>
      </c>
      <c r="AD157" s="64"/>
      <c r="AE157" s="74" t="s">
        <v>78</v>
      </c>
      <c r="AF157" s="73">
        <f t="shared" ca="1" si="391"/>
        <v>0</v>
      </c>
      <c r="AG157" s="64"/>
      <c r="AH157" s="74" t="s">
        <v>78</v>
      </c>
      <c r="AI157" s="73">
        <f t="shared" ca="1" si="392"/>
        <v>0</v>
      </c>
      <c r="AJ157" s="64"/>
      <c r="AK157" s="74" t="s">
        <v>78</v>
      </c>
      <c r="AL157" s="73">
        <f t="shared" ca="1" si="393"/>
        <v>0</v>
      </c>
      <c r="AM157" s="64"/>
      <c r="AN157" s="74" t="s">
        <v>78</v>
      </c>
      <c r="AO157" s="73">
        <f t="shared" ca="1" si="394"/>
        <v>0</v>
      </c>
      <c r="AP157" s="64"/>
      <c r="AQ157" s="74" t="s">
        <v>78</v>
      </c>
      <c r="AR157" s="73">
        <f t="shared" ca="1" si="395"/>
        <v>0</v>
      </c>
      <c r="AS157" s="64"/>
      <c r="AT157" s="74" t="s">
        <v>78</v>
      </c>
      <c r="AU157" s="73">
        <f t="shared" ca="1" si="396"/>
        <v>0</v>
      </c>
      <c r="AV157" s="64"/>
      <c r="AW157" s="74" t="s">
        <v>78</v>
      </c>
      <c r="AX157" s="73">
        <f t="shared" ca="1" si="397"/>
        <v>0</v>
      </c>
      <c r="AY157" s="64"/>
      <c r="AZ157" s="74" t="s">
        <v>78</v>
      </c>
      <c r="BA157" s="73">
        <f t="shared" ca="1" si="398"/>
        <v>0</v>
      </c>
      <c r="BB157" s="64"/>
      <c r="BC157" s="74" t="s">
        <v>78</v>
      </c>
      <c r="BD157" s="73">
        <f t="shared" ca="1" si="399"/>
        <v>0</v>
      </c>
      <c r="BE157" s="64"/>
      <c r="BF157" s="74" t="s">
        <v>78</v>
      </c>
      <c r="BG157" s="73">
        <f t="shared" ca="1" si="400"/>
        <v>0</v>
      </c>
      <c r="BH157" s="64"/>
      <c r="BI157" s="74" t="s">
        <v>78</v>
      </c>
      <c r="BJ157" s="73">
        <f t="shared" ca="1" si="401"/>
        <v>0</v>
      </c>
      <c r="BK157" s="64"/>
      <c r="BL157" s="74" t="s">
        <v>76</v>
      </c>
      <c r="BM157" s="73">
        <f t="shared" ca="1" si="402"/>
        <v>0</v>
      </c>
      <c r="BN157" s="64"/>
      <c r="BO157" s="74" t="s">
        <v>78</v>
      </c>
      <c r="BP157" s="73">
        <f t="shared" ca="1" si="403"/>
        <v>0</v>
      </c>
      <c r="BQ157" s="64"/>
      <c r="BR157" s="74" t="s">
        <v>78</v>
      </c>
      <c r="BS157" s="73">
        <f t="shared" ca="1" si="404"/>
        <v>0</v>
      </c>
      <c r="BT157" s="64"/>
      <c r="BU157" s="74" t="s">
        <v>78</v>
      </c>
      <c r="BV157" s="73">
        <f t="shared" ca="1" si="405"/>
        <v>0</v>
      </c>
      <c r="BW157" s="64"/>
      <c r="BX157" s="74" t="s">
        <v>78</v>
      </c>
      <c r="BY157" s="73">
        <f t="shared" ca="1" si="406"/>
        <v>0</v>
      </c>
      <c r="BZ157" s="64"/>
      <c r="CA157" s="74" t="s">
        <v>78</v>
      </c>
      <c r="CB157" s="73">
        <f t="shared" ca="1" si="407"/>
        <v>0</v>
      </c>
      <c r="CC157" s="64"/>
      <c r="CD157" s="74" t="s">
        <v>1551</v>
      </c>
      <c r="CE157" s="73">
        <f t="shared" ca="1" si="408"/>
        <v>0</v>
      </c>
      <c r="CF157" s="64"/>
      <c r="CG157" s="74" t="s">
        <v>78</v>
      </c>
      <c r="CH157" s="73">
        <f t="shared" ca="1" si="409"/>
        <v>0</v>
      </c>
      <c r="CI157" s="64"/>
      <c r="CJ157" s="74" t="s">
        <v>78</v>
      </c>
      <c r="CK157" s="73">
        <f t="shared" ca="1" si="410"/>
        <v>0</v>
      </c>
      <c r="CL157" s="64"/>
      <c r="CM157" s="74" t="s">
        <v>78</v>
      </c>
      <c r="CN157" s="73">
        <f t="shared" ca="1" si="411"/>
        <v>0</v>
      </c>
      <c r="CO157" s="64"/>
      <c r="CP157" s="64"/>
    </row>
    <row r="158" spans="1:94">
      <c r="A158" s="49"/>
      <c r="B158" s="49"/>
      <c r="C158" s="49"/>
      <c r="D158" s="49"/>
      <c r="E158" s="65"/>
      <c r="F158" s="127">
        <f t="shared" si="412"/>
        <v>3</v>
      </c>
      <c r="G158" s="445">
        <f ca="1">VLOOKUP(H158,Equipos!$Q$1:$R$25,2,0)</f>
        <v>19</v>
      </c>
      <c r="H158" s="447" t="str">
        <f>Idiomas!$D$137</f>
        <v>CLASIFICADOS PARA DIECISEISAVOS</v>
      </c>
      <c r="I158" s="50"/>
      <c r="J158" s="845"/>
      <c r="K158" s="56" t="str">
        <f>Idiomas!$D$198&amp;"-"&amp;ROWS($L$130:L158)</f>
        <v>Dieciseisavofinalista-29</v>
      </c>
      <c r="L158" s="53"/>
      <c r="M158" s="55" t="str">
        <f ca="1">WORLDCUP!AF113</f>
        <v>3EFGIJ</v>
      </c>
      <c r="N158" s="25"/>
      <c r="O158" s="25"/>
      <c r="P158" s="25"/>
      <c r="Q158" s="25"/>
      <c r="R158" s="110"/>
      <c r="S158" s="74" t="s">
        <v>1550</v>
      </c>
      <c r="T158" s="73">
        <f t="shared" ca="1" si="387"/>
        <v>0</v>
      </c>
      <c r="U158" s="64"/>
      <c r="V158" s="74" t="s">
        <v>1558</v>
      </c>
      <c r="W158" s="73">
        <f t="shared" ca="1" si="388"/>
        <v>0</v>
      </c>
      <c r="X158" s="64"/>
      <c r="Y158" s="74" t="s">
        <v>1558</v>
      </c>
      <c r="Z158" s="73">
        <f t="shared" ca="1" si="389"/>
        <v>0</v>
      </c>
      <c r="AA158" s="64"/>
      <c r="AB158" s="74" t="s">
        <v>80</v>
      </c>
      <c r="AC158" s="73">
        <f t="shared" ca="1" si="390"/>
        <v>0</v>
      </c>
      <c r="AD158" s="64"/>
      <c r="AE158" s="74" t="s">
        <v>1558</v>
      </c>
      <c r="AF158" s="73">
        <f t="shared" ca="1" si="391"/>
        <v>0</v>
      </c>
      <c r="AG158" s="64"/>
      <c r="AH158" s="74" t="s">
        <v>1262</v>
      </c>
      <c r="AI158" s="73">
        <f t="shared" ca="1" si="392"/>
        <v>0</v>
      </c>
      <c r="AJ158" s="64"/>
      <c r="AK158" s="74" t="s">
        <v>1262</v>
      </c>
      <c r="AL158" s="73">
        <f t="shared" ca="1" si="393"/>
        <v>0</v>
      </c>
      <c r="AM158" s="64"/>
      <c r="AN158" s="74" t="s">
        <v>1633</v>
      </c>
      <c r="AO158" s="73">
        <f t="shared" ca="1" si="394"/>
        <v>0</v>
      </c>
      <c r="AP158" s="64"/>
      <c r="AQ158" s="74" t="s">
        <v>1558</v>
      </c>
      <c r="AR158" s="73">
        <f t="shared" ca="1" si="395"/>
        <v>0</v>
      </c>
      <c r="AS158" s="64"/>
      <c r="AT158" s="74" t="s">
        <v>80</v>
      </c>
      <c r="AU158" s="73">
        <f t="shared" ca="1" si="396"/>
        <v>0</v>
      </c>
      <c r="AV158" s="64"/>
      <c r="AW158" s="74" t="s">
        <v>80</v>
      </c>
      <c r="AX158" s="73">
        <f t="shared" ca="1" si="397"/>
        <v>0</v>
      </c>
      <c r="AY158" s="64"/>
      <c r="AZ158" s="74" t="s">
        <v>1264</v>
      </c>
      <c r="BA158" s="73">
        <f t="shared" ca="1" si="398"/>
        <v>0</v>
      </c>
      <c r="BB158" s="64"/>
      <c r="BC158" s="74" t="s">
        <v>80</v>
      </c>
      <c r="BD158" s="73">
        <f t="shared" ca="1" si="399"/>
        <v>0</v>
      </c>
      <c r="BE158" s="64"/>
      <c r="BF158" s="74" t="s">
        <v>80</v>
      </c>
      <c r="BG158" s="73">
        <f t="shared" ca="1" si="400"/>
        <v>0</v>
      </c>
      <c r="BH158" s="64"/>
      <c r="BI158" s="74" t="s">
        <v>1262</v>
      </c>
      <c r="BJ158" s="73">
        <f t="shared" ca="1" si="401"/>
        <v>0</v>
      </c>
      <c r="BK158" s="64"/>
      <c r="BL158" s="74" t="s">
        <v>80</v>
      </c>
      <c r="BM158" s="73">
        <f t="shared" ca="1" si="402"/>
        <v>0</v>
      </c>
      <c r="BN158" s="64"/>
      <c r="BO158" s="74" t="s">
        <v>1262</v>
      </c>
      <c r="BP158" s="73">
        <f t="shared" ca="1" si="403"/>
        <v>0</v>
      </c>
      <c r="BQ158" s="64"/>
      <c r="BR158" s="74" t="s">
        <v>1633</v>
      </c>
      <c r="BS158" s="73">
        <f t="shared" ca="1" si="404"/>
        <v>0</v>
      </c>
      <c r="BT158" s="64"/>
      <c r="BU158" s="74" t="s">
        <v>1262</v>
      </c>
      <c r="BV158" s="73">
        <f t="shared" ca="1" si="405"/>
        <v>0</v>
      </c>
      <c r="BW158" s="64"/>
      <c r="BX158" s="74" t="s">
        <v>1262</v>
      </c>
      <c r="BY158" s="73">
        <f t="shared" ca="1" si="406"/>
        <v>0</v>
      </c>
      <c r="BZ158" s="64"/>
      <c r="CA158" s="74" t="s">
        <v>1256</v>
      </c>
      <c r="CB158" s="73">
        <f t="shared" ca="1" si="407"/>
        <v>0</v>
      </c>
      <c r="CC158" s="64"/>
      <c r="CD158" s="74" t="s">
        <v>1266</v>
      </c>
      <c r="CE158" s="73">
        <f t="shared" ca="1" si="408"/>
        <v>0</v>
      </c>
      <c r="CF158" s="64"/>
      <c r="CG158" s="74" t="s">
        <v>1262</v>
      </c>
      <c r="CH158" s="73">
        <f t="shared" ca="1" si="409"/>
        <v>0</v>
      </c>
      <c r="CI158" s="64"/>
      <c r="CJ158" s="74" t="s">
        <v>1558</v>
      </c>
      <c r="CK158" s="73">
        <f t="shared" ca="1" si="410"/>
        <v>0</v>
      </c>
      <c r="CL158" s="64"/>
      <c r="CM158" s="74" t="s">
        <v>1558</v>
      </c>
      <c r="CN158" s="73">
        <f t="shared" ca="1" si="411"/>
        <v>0</v>
      </c>
      <c r="CO158" s="64"/>
      <c r="CP158" s="64"/>
    </row>
    <row r="159" spans="1:94">
      <c r="A159" s="49"/>
      <c r="B159" s="49"/>
      <c r="C159" s="49"/>
      <c r="D159" s="49"/>
      <c r="E159" s="65"/>
      <c r="F159" s="127">
        <f t="shared" si="412"/>
        <v>3</v>
      </c>
      <c r="G159" s="445">
        <f ca="1">VLOOKUP(H159,Equipos!$Q$1:$R$25,2,0)</f>
        <v>19</v>
      </c>
      <c r="H159" s="447" t="str">
        <f>Idiomas!$D$137</f>
        <v>CLASIFICADOS PARA DIECISEISAVOS</v>
      </c>
      <c r="I159" s="50"/>
      <c r="J159" s="845"/>
      <c r="K159" s="56" t="str">
        <f>Idiomas!$D$198&amp;"-"&amp;ROWS($L$130:L159)</f>
        <v>Dieciseisavofinalista-30</v>
      </c>
      <c r="L159" s="53"/>
      <c r="M159" s="55" t="str">
        <f ca="1">WORLDCUP!AF114</f>
        <v>2G</v>
      </c>
      <c r="N159" s="25"/>
      <c r="O159" s="25"/>
      <c r="P159" s="25"/>
      <c r="Q159" s="25"/>
      <c r="R159" s="110"/>
      <c r="S159" s="74" t="s">
        <v>1266</v>
      </c>
      <c r="T159" s="73">
        <f t="shared" ca="1" si="387"/>
        <v>0</v>
      </c>
      <c r="U159" s="64"/>
      <c r="V159" s="74" t="s">
        <v>110</v>
      </c>
      <c r="W159" s="73">
        <f t="shared" ca="1" si="388"/>
        <v>0</v>
      </c>
      <c r="X159" s="64"/>
      <c r="Y159" s="74" t="s">
        <v>1262</v>
      </c>
      <c r="Z159" s="73">
        <f t="shared" ca="1" si="389"/>
        <v>0</v>
      </c>
      <c r="AA159" s="64"/>
      <c r="AB159" s="74" t="s">
        <v>1550</v>
      </c>
      <c r="AC159" s="73">
        <f t="shared" ca="1" si="390"/>
        <v>0</v>
      </c>
      <c r="AD159" s="64"/>
      <c r="AE159" s="74" t="s">
        <v>1550</v>
      </c>
      <c r="AF159" s="73">
        <f t="shared" ca="1" si="391"/>
        <v>0</v>
      </c>
      <c r="AG159" s="64"/>
      <c r="AH159" s="74" t="s">
        <v>1550</v>
      </c>
      <c r="AI159" s="73">
        <f t="shared" ca="1" si="392"/>
        <v>0</v>
      </c>
      <c r="AJ159" s="64"/>
      <c r="AK159" s="74" t="s">
        <v>1550</v>
      </c>
      <c r="AL159" s="73">
        <f t="shared" ca="1" si="393"/>
        <v>0</v>
      </c>
      <c r="AM159" s="64"/>
      <c r="AN159" s="74" t="s">
        <v>1550</v>
      </c>
      <c r="AO159" s="73">
        <f t="shared" ca="1" si="394"/>
        <v>0</v>
      </c>
      <c r="AP159" s="64"/>
      <c r="AQ159" s="74" t="s">
        <v>1550</v>
      </c>
      <c r="AR159" s="73">
        <f t="shared" ca="1" si="395"/>
        <v>0</v>
      </c>
      <c r="AS159" s="64"/>
      <c r="AT159" s="74" t="s">
        <v>1550</v>
      </c>
      <c r="AU159" s="73">
        <f t="shared" ca="1" si="396"/>
        <v>0</v>
      </c>
      <c r="AV159" s="64"/>
      <c r="AW159" s="74" t="s">
        <v>1266</v>
      </c>
      <c r="AX159" s="73">
        <f t="shared" ca="1" si="397"/>
        <v>0</v>
      </c>
      <c r="AY159" s="64"/>
      <c r="AZ159" s="74" t="s">
        <v>1550</v>
      </c>
      <c r="BA159" s="73">
        <f t="shared" ca="1" si="398"/>
        <v>0</v>
      </c>
      <c r="BB159" s="64"/>
      <c r="BC159" s="74" t="s">
        <v>1266</v>
      </c>
      <c r="BD159" s="73">
        <f t="shared" ca="1" si="399"/>
        <v>0</v>
      </c>
      <c r="BE159" s="64"/>
      <c r="BF159" s="74" t="s">
        <v>1550</v>
      </c>
      <c r="BG159" s="73">
        <f t="shared" ca="1" si="400"/>
        <v>0</v>
      </c>
      <c r="BH159" s="64"/>
      <c r="BI159" s="74" t="s">
        <v>1550</v>
      </c>
      <c r="BJ159" s="73">
        <f t="shared" ca="1" si="401"/>
        <v>0</v>
      </c>
      <c r="BK159" s="64"/>
      <c r="BL159" s="74" t="s">
        <v>1550</v>
      </c>
      <c r="BM159" s="73">
        <f t="shared" ca="1" si="402"/>
        <v>0</v>
      </c>
      <c r="BN159" s="64"/>
      <c r="BO159" s="74" t="s">
        <v>1550</v>
      </c>
      <c r="BP159" s="73">
        <f t="shared" ca="1" si="403"/>
        <v>0</v>
      </c>
      <c r="BQ159" s="64"/>
      <c r="BR159" s="74" t="s">
        <v>1550</v>
      </c>
      <c r="BS159" s="73">
        <f t="shared" ca="1" si="404"/>
        <v>0</v>
      </c>
      <c r="BT159" s="64"/>
      <c r="BU159" s="74" t="s">
        <v>1550</v>
      </c>
      <c r="BV159" s="73">
        <f t="shared" ca="1" si="405"/>
        <v>0</v>
      </c>
      <c r="BW159" s="64"/>
      <c r="BX159" s="74" t="s">
        <v>1550</v>
      </c>
      <c r="BY159" s="73">
        <f t="shared" ca="1" si="406"/>
        <v>0</v>
      </c>
      <c r="BZ159" s="64"/>
      <c r="CA159" s="74" t="s">
        <v>1266</v>
      </c>
      <c r="CB159" s="73">
        <f t="shared" ca="1" si="407"/>
        <v>0</v>
      </c>
      <c r="CC159" s="64"/>
      <c r="CD159" s="74" t="s">
        <v>1550</v>
      </c>
      <c r="CE159" s="73">
        <f t="shared" ca="1" si="408"/>
        <v>0</v>
      </c>
      <c r="CF159" s="64"/>
      <c r="CG159" s="74" t="s">
        <v>1266</v>
      </c>
      <c r="CH159" s="73">
        <f t="shared" ca="1" si="409"/>
        <v>0</v>
      </c>
      <c r="CI159" s="64"/>
      <c r="CJ159" s="74" t="s">
        <v>1262</v>
      </c>
      <c r="CK159" s="73">
        <f t="shared" ca="1" si="410"/>
        <v>0</v>
      </c>
      <c r="CL159" s="64"/>
      <c r="CM159" s="74" t="s">
        <v>1550</v>
      </c>
      <c r="CN159" s="73">
        <f t="shared" ca="1" si="411"/>
        <v>0</v>
      </c>
      <c r="CO159" s="64"/>
      <c r="CP159" s="64"/>
    </row>
    <row r="160" spans="1:94">
      <c r="A160" s="49"/>
      <c r="B160" s="49"/>
      <c r="C160" s="49"/>
      <c r="D160" s="49"/>
      <c r="E160" s="65"/>
      <c r="F160" s="127">
        <f t="shared" si="412"/>
        <v>3</v>
      </c>
      <c r="G160" s="445">
        <f ca="1">VLOOKUP(H160,Equipos!$Q$1:$R$25,2,0)</f>
        <v>19</v>
      </c>
      <c r="H160" s="447" t="str">
        <f>Idiomas!$D$137</f>
        <v>CLASIFICADOS PARA DIECISEISAVOS</v>
      </c>
      <c r="I160" s="50"/>
      <c r="J160" s="845"/>
      <c r="K160" s="56" t="str">
        <f>Idiomas!$D$198&amp;"-"&amp;ROWS($L$130:L160)</f>
        <v>Dieciseisavofinalista-31</v>
      </c>
      <c r="L160" s="53"/>
      <c r="M160" s="55" t="str">
        <f ca="1">WORLDCUP!AF115</f>
        <v>2H</v>
      </c>
      <c r="N160" s="25"/>
      <c r="O160" s="25"/>
      <c r="P160" s="25"/>
      <c r="Q160" s="25"/>
      <c r="R160" s="110"/>
      <c r="S160" s="74" t="s">
        <v>1318</v>
      </c>
      <c r="T160" s="73">
        <f t="shared" ca="1" si="387"/>
        <v>0</v>
      </c>
      <c r="U160" s="64"/>
      <c r="V160" s="74" t="s">
        <v>38</v>
      </c>
      <c r="W160" s="73">
        <f t="shared" ca="1" si="388"/>
        <v>0</v>
      </c>
      <c r="X160" s="64"/>
      <c r="Y160" s="74" t="s">
        <v>1318</v>
      </c>
      <c r="Z160" s="73">
        <f t="shared" ca="1" si="389"/>
        <v>0</v>
      </c>
      <c r="AA160" s="64"/>
      <c r="AB160" s="74" t="s">
        <v>1318</v>
      </c>
      <c r="AC160" s="73">
        <f t="shared" ca="1" si="390"/>
        <v>0</v>
      </c>
      <c r="AD160" s="64"/>
      <c r="AE160" s="74" t="s">
        <v>1318</v>
      </c>
      <c r="AF160" s="73">
        <f t="shared" ca="1" si="391"/>
        <v>0</v>
      </c>
      <c r="AG160" s="64"/>
      <c r="AH160" s="74" t="s">
        <v>1318</v>
      </c>
      <c r="AI160" s="73">
        <f t="shared" ca="1" si="392"/>
        <v>0</v>
      </c>
      <c r="AJ160" s="64"/>
      <c r="AK160" s="74" t="s">
        <v>1318</v>
      </c>
      <c r="AL160" s="73">
        <f t="shared" ca="1" si="393"/>
        <v>0</v>
      </c>
      <c r="AM160" s="64"/>
      <c r="AN160" s="74" t="s">
        <v>1318</v>
      </c>
      <c r="AO160" s="73">
        <f t="shared" ca="1" si="394"/>
        <v>0</v>
      </c>
      <c r="AP160" s="64"/>
      <c r="AQ160" s="74" t="s">
        <v>1318</v>
      </c>
      <c r="AR160" s="73">
        <f t="shared" ca="1" si="395"/>
        <v>0</v>
      </c>
      <c r="AS160" s="64"/>
      <c r="AT160" s="74" t="s">
        <v>1318</v>
      </c>
      <c r="AU160" s="73">
        <f t="shared" ca="1" si="396"/>
        <v>0</v>
      </c>
      <c r="AV160" s="64"/>
      <c r="AW160" s="74" t="s">
        <v>1318</v>
      </c>
      <c r="AX160" s="73">
        <f t="shared" ca="1" si="397"/>
        <v>0</v>
      </c>
      <c r="AY160" s="64"/>
      <c r="AZ160" s="74" t="s">
        <v>1318</v>
      </c>
      <c r="BA160" s="73">
        <f t="shared" ca="1" si="398"/>
        <v>0</v>
      </c>
      <c r="BB160" s="64"/>
      <c r="BC160" s="74" t="s">
        <v>38</v>
      </c>
      <c r="BD160" s="73">
        <f t="shared" ca="1" si="399"/>
        <v>0</v>
      </c>
      <c r="BE160" s="64"/>
      <c r="BF160" s="74" t="s">
        <v>1318</v>
      </c>
      <c r="BG160" s="73">
        <f t="shared" ca="1" si="400"/>
        <v>0</v>
      </c>
      <c r="BH160" s="64"/>
      <c r="BI160" s="74" t="s">
        <v>1318</v>
      </c>
      <c r="BJ160" s="73">
        <f t="shared" ca="1" si="401"/>
        <v>0</v>
      </c>
      <c r="BK160" s="64"/>
      <c r="BL160" s="74" t="s">
        <v>1318</v>
      </c>
      <c r="BM160" s="73">
        <f t="shared" ca="1" si="402"/>
        <v>0</v>
      </c>
      <c r="BN160" s="64"/>
      <c r="BO160" s="74" t="s">
        <v>1318</v>
      </c>
      <c r="BP160" s="73">
        <f t="shared" ca="1" si="403"/>
        <v>0</v>
      </c>
      <c r="BQ160" s="64"/>
      <c r="BR160" s="74" t="s">
        <v>1318</v>
      </c>
      <c r="BS160" s="73">
        <f t="shared" ca="1" si="404"/>
        <v>0</v>
      </c>
      <c r="BT160" s="64"/>
      <c r="BU160" s="74" t="s">
        <v>1318</v>
      </c>
      <c r="BV160" s="73">
        <f t="shared" ca="1" si="405"/>
        <v>0</v>
      </c>
      <c r="BW160" s="64"/>
      <c r="BX160" s="74" t="s">
        <v>1318</v>
      </c>
      <c r="BY160" s="73">
        <f t="shared" ca="1" si="406"/>
        <v>0</v>
      </c>
      <c r="BZ160" s="64"/>
      <c r="CA160" s="74" t="s">
        <v>1318</v>
      </c>
      <c r="CB160" s="73">
        <f t="shared" ca="1" si="407"/>
        <v>0</v>
      </c>
      <c r="CC160" s="64"/>
      <c r="CD160" s="74" t="s">
        <v>1318</v>
      </c>
      <c r="CE160" s="73">
        <f t="shared" ca="1" si="408"/>
        <v>0</v>
      </c>
      <c r="CF160" s="64"/>
      <c r="CG160" s="74" t="s">
        <v>1318</v>
      </c>
      <c r="CH160" s="73">
        <f t="shared" ca="1" si="409"/>
        <v>0</v>
      </c>
      <c r="CI160" s="64"/>
      <c r="CJ160" s="74" t="s">
        <v>1318</v>
      </c>
      <c r="CK160" s="73">
        <f t="shared" ca="1" si="410"/>
        <v>0</v>
      </c>
      <c r="CL160" s="64"/>
      <c r="CM160" s="74" t="s">
        <v>1318</v>
      </c>
      <c r="CN160" s="73">
        <f t="shared" ca="1" si="411"/>
        <v>0</v>
      </c>
      <c r="CO160" s="64"/>
      <c r="CP160" s="64"/>
    </row>
    <row r="161" spans="1:94">
      <c r="A161" s="49"/>
      <c r="B161" s="49"/>
      <c r="C161" s="49"/>
      <c r="D161" s="49"/>
      <c r="E161" s="65"/>
      <c r="F161" s="127">
        <f t="shared" si="412"/>
        <v>3</v>
      </c>
      <c r="G161" s="445">
        <f ca="1">VLOOKUP(H161,Equipos!$Q$1:$R$25,2,0)</f>
        <v>19</v>
      </c>
      <c r="H161" s="447" t="str">
        <f>Idiomas!$D$137</f>
        <v>CLASIFICADOS PARA DIECISEISAVOS</v>
      </c>
      <c r="I161" s="50"/>
      <c r="J161" s="845"/>
      <c r="K161" s="115" t="str">
        <f>Idiomas!$D$198&amp;"-"&amp;ROWS($L$130:L161)</f>
        <v>Dieciseisavofinalista-32</v>
      </c>
      <c r="L161" s="115"/>
      <c r="M161" s="116" t="str">
        <f ca="1">WORLDCUP!AF116</f>
        <v>3DEIJL</v>
      </c>
      <c r="N161" s="25"/>
      <c r="O161" s="25"/>
      <c r="P161" s="25"/>
      <c r="Q161" s="25"/>
      <c r="R161" s="110"/>
      <c r="S161" s="80" t="s">
        <v>78</v>
      </c>
      <c r="T161" s="81">
        <f t="shared" ca="1" si="387"/>
        <v>0</v>
      </c>
      <c r="U161" s="64"/>
      <c r="V161" s="80" t="s">
        <v>78</v>
      </c>
      <c r="W161" s="81">
        <f t="shared" ca="1" si="388"/>
        <v>0</v>
      </c>
      <c r="X161" s="64"/>
      <c r="Y161" s="80" t="s">
        <v>1634</v>
      </c>
      <c r="Z161" s="81">
        <f t="shared" ca="1" si="389"/>
        <v>0</v>
      </c>
      <c r="AA161" s="64"/>
      <c r="AB161" s="80" t="s">
        <v>1633</v>
      </c>
      <c r="AC161" s="81">
        <f t="shared" ca="1" si="390"/>
        <v>0</v>
      </c>
      <c r="AD161" s="64"/>
      <c r="AE161" s="80" t="s">
        <v>1551</v>
      </c>
      <c r="AF161" s="81">
        <f t="shared" ca="1" si="391"/>
        <v>0</v>
      </c>
      <c r="AG161" s="64"/>
      <c r="AH161" s="80" t="s">
        <v>1551</v>
      </c>
      <c r="AI161" s="81">
        <f t="shared" ca="1" si="392"/>
        <v>0</v>
      </c>
      <c r="AJ161" s="64"/>
      <c r="AK161" s="80" t="s">
        <v>1634</v>
      </c>
      <c r="AL161" s="81">
        <f t="shared" ca="1" si="393"/>
        <v>0</v>
      </c>
      <c r="AM161" s="64"/>
      <c r="AN161" s="80" t="s">
        <v>1551</v>
      </c>
      <c r="AO161" s="81">
        <f t="shared" ca="1" si="394"/>
        <v>0</v>
      </c>
      <c r="AP161" s="64"/>
      <c r="AQ161" s="80" t="s">
        <v>1633</v>
      </c>
      <c r="AR161" s="81">
        <f t="shared" ca="1" si="395"/>
        <v>0</v>
      </c>
      <c r="AS161" s="64"/>
      <c r="AT161" s="80" t="s">
        <v>1551</v>
      </c>
      <c r="AU161" s="81">
        <f t="shared" ca="1" si="396"/>
        <v>0</v>
      </c>
      <c r="AV161" s="64"/>
      <c r="AW161" s="80" t="s">
        <v>1730</v>
      </c>
      <c r="AX161" s="81">
        <f t="shared" ca="1" si="397"/>
        <v>0</v>
      </c>
      <c r="AY161" s="64"/>
      <c r="AZ161" s="80" t="s">
        <v>1551</v>
      </c>
      <c r="BA161" s="81">
        <f t="shared" ca="1" si="398"/>
        <v>0</v>
      </c>
      <c r="BB161" s="64"/>
      <c r="BC161" s="80" t="s">
        <v>1551</v>
      </c>
      <c r="BD161" s="81">
        <f t="shared" ca="1" si="399"/>
        <v>0</v>
      </c>
      <c r="BE161" s="64"/>
      <c r="BF161" s="80" t="s">
        <v>1551</v>
      </c>
      <c r="BG161" s="81">
        <f t="shared" ca="1" si="400"/>
        <v>0</v>
      </c>
      <c r="BH161" s="64"/>
      <c r="BI161" s="80" t="s">
        <v>1551</v>
      </c>
      <c r="BJ161" s="81">
        <f t="shared" ca="1" si="401"/>
        <v>0</v>
      </c>
      <c r="BK161" s="64"/>
      <c r="BL161" s="80" t="s">
        <v>1551</v>
      </c>
      <c r="BM161" s="81">
        <f t="shared" ca="1" si="402"/>
        <v>0</v>
      </c>
      <c r="BN161" s="64"/>
      <c r="BO161" s="80" t="s">
        <v>1551</v>
      </c>
      <c r="BP161" s="81">
        <f t="shared" ca="1" si="403"/>
        <v>0</v>
      </c>
      <c r="BQ161" s="64"/>
      <c r="BR161" s="80" t="s">
        <v>1551</v>
      </c>
      <c r="BS161" s="81">
        <f t="shared" ca="1" si="404"/>
        <v>0</v>
      </c>
      <c r="BT161" s="64"/>
      <c r="BU161" s="80" t="s">
        <v>1633</v>
      </c>
      <c r="BV161" s="81">
        <f t="shared" ca="1" si="405"/>
        <v>0</v>
      </c>
      <c r="BW161" s="64"/>
      <c r="BX161" s="80" t="s">
        <v>1551</v>
      </c>
      <c r="BY161" s="81">
        <f t="shared" ca="1" si="406"/>
        <v>0</v>
      </c>
      <c r="BZ161" s="64"/>
      <c r="CA161" s="80" t="s">
        <v>1730</v>
      </c>
      <c r="CB161" s="81">
        <f t="shared" ca="1" si="407"/>
        <v>0</v>
      </c>
      <c r="CC161" s="64"/>
      <c r="CD161" s="80" t="s">
        <v>78</v>
      </c>
      <c r="CE161" s="81">
        <f t="shared" ca="1" si="408"/>
        <v>0</v>
      </c>
      <c r="CF161" s="64"/>
      <c r="CG161" s="80" t="s">
        <v>1730</v>
      </c>
      <c r="CH161" s="81">
        <f t="shared" ca="1" si="409"/>
        <v>0</v>
      </c>
      <c r="CI161" s="64"/>
      <c r="CJ161" s="80" t="s">
        <v>1633</v>
      </c>
      <c r="CK161" s="81">
        <f t="shared" ca="1" si="410"/>
        <v>0</v>
      </c>
      <c r="CL161" s="64"/>
      <c r="CM161" s="80" t="s">
        <v>1551</v>
      </c>
      <c r="CN161" s="81">
        <f t="shared" ca="1" si="411"/>
        <v>0</v>
      </c>
      <c r="CO161" s="64"/>
      <c r="CP161" s="64"/>
    </row>
    <row r="162" spans="1:94">
      <c r="A162" s="49"/>
      <c r="B162" s="49"/>
      <c r="C162" s="49"/>
      <c r="D162" s="49"/>
      <c r="E162" s="65"/>
      <c r="F162" s="127"/>
      <c r="G162" s="445"/>
      <c r="H162" s="65"/>
      <c r="I162" s="50"/>
      <c r="J162" s="94"/>
      <c r="K162" s="434" t="str">
        <f>Idiomas!D457</f>
        <v>Equipos 1/16</v>
      </c>
      <c r="L162" s="435"/>
      <c r="M162" s="434" t="str">
        <f ca="1">"Max: "&amp;$D$15*COUNT(T130:T161)</f>
        <v>Max: 96</v>
      </c>
      <c r="N162" s="25"/>
      <c r="O162" s="25"/>
      <c r="P162" s="25"/>
      <c r="Q162" s="25"/>
      <c r="R162" s="49"/>
      <c r="S162" s="84"/>
      <c r="T162" s="71">
        <f ca="1">SUM(T130:T161)</f>
        <v>0</v>
      </c>
      <c r="U162" s="65"/>
      <c r="V162" s="84"/>
      <c r="W162" s="71">
        <f t="shared" ref="W162" ca="1" si="413">SUM(W130:W161)</f>
        <v>0</v>
      </c>
      <c r="X162" s="65"/>
      <c r="Y162" s="84"/>
      <c r="Z162" s="71">
        <f t="shared" ref="Z162" ca="1" si="414">SUM(Z130:Z161)</f>
        <v>0</v>
      </c>
      <c r="AA162" s="65"/>
      <c r="AB162" s="84"/>
      <c r="AC162" s="71">
        <f t="shared" ref="AC162" ca="1" si="415">SUM(AC130:AC161)</f>
        <v>0</v>
      </c>
      <c r="AD162" s="65"/>
      <c r="AE162" s="84"/>
      <c r="AF162" s="71">
        <f t="shared" ref="AF162" ca="1" si="416">SUM(AF130:AF161)</f>
        <v>0</v>
      </c>
      <c r="AG162" s="65"/>
      <c r="AH162" s="84"/>
      <c r="AI162" s="71">
        <f t="shared" ref="AI162" ca="1" si="417">SUM(AI130:AI161)</f>
        <v>0</v>
      </c>
      <c r="AJ162" s="65"/>
      <c r="AK162" s="84"/>
      <c r="AL162" s="71">
        <f t="shared" ref="AL162" ca="1" si="418">SUM(AL130:AL161)</f>
        <v>0</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9</v>
      </c>
      <c r="G164" s="407">
        <f ca="1">VLOOKUP(H164,Equipos!$Q$1:$R$25,2,0)</f>
        <v>20</v>
      </c>
      <c r="H164" s="446" t="str">
        <f>Idiomas!$D$260</f>
        <v>Dieciseisavos de final</v>
      </c>
      <c r="I164" s="43">
        <v>1</v>
      </c>
      <c r="J164" s="845"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
        <v>1955</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
        <v>1999</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
        <v>2035</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
        <v>2073</v>
      </c>
      <c r="AC164" s="77">
        <f t="shared" ref="AC164"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
        <v>2106</v>
      </c>
      <c r="AF164" s="77">
        <f t="shared" ref="AF164"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
        <v>2073</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
        <v>2169</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
        <v>2192</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
        <v>2214</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
        <v>2235</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
        <v>2251</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
        <v>2281</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
        <v>2214</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
        <v>2334</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
        <v>2360</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
        <v>2169</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
        <v>2549</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
        <v>2408</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
        <v>2426</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
        <v>2235</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
        <v>2456</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
        <v>2493</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
        <v>2523</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
        <v>2569</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
        <v>2587</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461">SUM($D$16:$D$18)*I165</f>
        <v>9</v>
      </c>
      <c r="G165" s="407">
        <f ca="1">VLOOKUP(H165,Equipos!$Q$1:$R$25,2,0)</f>
        <v>20</v>
      </c>
      <c r="H165" s="446" t="str">
        <f>Idiomas!$D$260</f>
        <v>Dieciseisavos de final</v>
      </c>
      <c r="I165" s="43">
        <v>1</v>
      </c>
      <c r="J165" s="845"/>
      <c r="K165" s="56" t="str">
        <f ca="1">CONCATENATE(WORLDCUP!AA102,"-",WORLDCUP!AF102)</f>
        <v>1C-2F</v>
      </c>
      <c r="L165" s="53" t="str">
        <f>IF(OR(WORLDCUP!AC102="",WORLDCUP!AD102=""),"PD",IF(WORLDCUP!AC102&gt;WORLDCUP!AD102,1,IF(WORLDCUP!AC102&lt;WORLDCUP!AD102,2,0)))</f>
        <v>PD</v>
      </c>
      <c r="M165" s="55" t="str">
        <f t="shared" ref="M165:M179" si="462">IF(L165="PD","-",N165&amp;"-"&amp;O165)</f>
        <v>-</v>
      </c>
      <c r="N165" s="25">
        <f>WORLDCUP!AC102</f>
        <v>0</v>
      </c>
      <c r="O165" s="25">
        <f>WORLDCUP!AD102</f>
        <v>0</v>
      </c>
      <c r="P165" s="25">
        <f t="shared" ref="P165:P179" si="463">N165-O165</f>
        <v>0</v>
      </c>
      <c r="Q165" s="25">
        <f t="shared" ref="Q165:Q179" si="464">A165-B165</f>
        <v>0</v>
      </c>
      <c r="R165" s="110"/>
      <c r="S165" s="76" t="s">
        <v>1956</v>
      </c>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t="s">
        <v>2000</v>
      </c>
      <c r="W165" s="77">
        <f t="shared" ca="1" si="437"/>
        <v>0</v>
      </c>
      <c r="X165" s="110"/>
      <c r="Y165" s="74" t="s">
        <v>2036</v>
      </c>
      <c r="Z165" s="77">
        <f t="shared" ca="1" si="437"/>
        <v>0</v>
      </c>
      <c r="AA165" s="110"/>
      <c r="AB165" s="80" t="s">
        <v>2074</v>
      </c>
      <c r="AC165" s="77">
        <f t="shared" ca="1" si="437"/>
        <v>0</v>
      </c>
      <c r="AD165" s="110"/>
      <c r="AE165" s="74" t="s">
        <v>2107</v>
      </c>
      <c r="AF165" s="77">
        <f t="shared" ca="1" si="437"/>
        <v>0</v>
      </c>
      <c r="AG165" s="110"/>
      <c r="AH165" s="74" t="s">
        <v>2143</v>
      </c>
      <c r="AI165" s="77">
        <f t="shared" ca="1" si="437"/>
        <v>0</v>
      </c>
      <c r="AJ165" s="110"/>
      <c r="AK165" s="74" t="s">
        <v>1956</v>
      </c>
      <c r="AL165" s="77">
        <f t="shared" ca="1" si="437"/>
        <v>0</v>
      </c>
      <c r="AM165" s="110"/>
      <c r="AN165" s="74" t="s">
        <v>2107</v>
      </c>
      <c r="AO165" s="77">
        <f t="shared" ca="1" si="437"/>
        <v>0</v>
      </c>
      <c r="AP165" s="110"/>
      <c r="AQ165" s="74" t="s">
        <v>2215</v>
      </c>
      <c r="AR165" s="77">
        <f t="shared" ca="1" si="437"/>
        <v>0</v>
      </c>
      <c r="AS165" s="110"/>
      <c r="AT165" s="74" t="s">
        <v>2143</v>
      </c>
      <c r="AU165" s="77">
        <f t="shared" ca="1" si="437"/>
        <v>0</v>
      </c>
      <c r="AV165" s="110"/>
      <c r="AW165" s="74" t="s">
        <v>2107</v>
      </c>
      <c r="AX165" s="77">
        <f t="shared" ca="1" si="437"/>
        <v>0</v>
      </c>
      <c r="AY165" s="110"/>
      <c r="AZ165" s="74" t="s">
        <v>2215</v>
      </c>
      <c r="BA165" s="77">
        <f t="shared" ca="1" si="437"/>
        <v>0</v>
      </c>
      <c r="BB165" s="110"/>
      <c r="BC165" s="74" t="s">
        <v>1956</v>
      </c>
      <c r="BD165" s="77">
        <f t="shared" ca="1" si="437"/>
        <v>0</v>
      </c>
      <c r="BE165" s="110"/>
      <c r="BF165" s="74" t="s">
        <v>2335</v>
      </c>
      <c r="BG165" s="77">
        <f t="shared" ca="1" si="437"/>
        <v>0</v>
      </c>
      <c r="BH165" s="110"/>
      <c r="BI165" s="74" t="s">
        <v>2107</v>
      </c>
      <c r="BJ165" s="77">
        <f t="shared" ca="1" si="437"/>
        <v>0</v>
      </c>
      <c r="BK165" s="110"/>
      <c r="BL165" s="708" t="s">
        <v>1956</v>
      </c>
      <c r="BM165" s="77">
        <f t="shared" ca="1" si="437"/>
        <v>0</v>
      </c>
      <c r="BN165" s="110"/>
      <c r="BO165" s="74" t="s">
        <v>2107</v>
      </c>
      <c r="BP165" s="77">
        <f t="shared" ca="1" si="437"/>
        <v>0</v>
      </c>
      <c r="BQ165" s="110"/>
      <c r="BR165" s="74" t="s">
        <v>1956</v>
      </c>
      <c r="BS165" s="77">
        <f t="shared" ca="1" si="437"/>
        <v>0</v>
      </c>
      <c r="BT165" s="110"/>
      <c r="BU165" s="74" t="s">
        <v>2107</v>
      </c>
      <c r="BV165" s="77">
        <f t="shared" ca="1" si="437"/>
        <v>0</v>
      </c>
      <c r="BW165" s="110"/>
      <c r="BX165" s="74" t="s">
        <v>2107</v>
      </c>
      <c r="BY165" s="77">
        <f t="shared" ca="1" si="437"/>
        <v>0</v>
      </c>
      <c r="BZ165" s="110"/>
      <c r="CA165" s="74" t="s">
        <v>2457</v>
      </c>
      <c r="CB165" s="77">
        <f t="shared" ca="1" si="437"/>
        <v>0</v>
      </c>
      <c r="CC165" s="110"/>
      <c r="CD165" s="74" t="s">
        <v>2494</v>
      </c>
      <c r="CE165" s="77">
        <f t="shared" ca="1" si="437"/>
        <v>0</v>
      </c>
      <c r="CF165" s="110"/>
      <c r="CG165" s="74" t="s">
        <v>2524</v>
      </c>
      <c r="CH165" s="77">
        <f t="shared" ca="1" si="437"/>
        <v>0</v>
      </c>
      <c r="CI165" s="110"/>
      <c r="CJ165" s="74" t="s">
        <v>2570</v>
      </c>
      <c r="CK165" s="77">
        <f t="shared" ca="1" si="459"/>
        <v>0</v>
      </c>
      <c r="CL165" s="110"/>
      <c r="CM165" s="74" t="s">
        <v>1956</v>
      </c>
      <c r="CN165" s="77">
        <f t="shared" ca="1" si="459"/>
        <v>0</v>
      </c>
      <c r="CO165" s="110"/>
      <c r="CP165" s="110"/>
    </row>
    <row r="166" spans="1:94">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461"/>
        <v>9</v>
      </c>
      <c r="G166" s="407">
        <f ca="1">VLOOKUP(H166,Equipos!$Q$1:$R$25,2,0)</f>
        <v>20</v>
      </c>
      <c r="H166" s="446" t="str">
        <f>Idiomas!$D$260</f>
        <v>Dieciseisavos de final</v>
      </c>
      <c r="I166" s="43">
        <v>1</v>
      </c>
      <c r="J166" s="845"/>
      <c r="K166" s="56" t="str">
        <f ca="1">CONCATENATE(WORLDCUP!AA103,"-",WORLDCUP!AF103)</f>
        <v>1E-3ABCDF</v>
      </c>
      <c r="L166" s="53" t="str">
        <f>IF(OR(WORLDCUP!AC103="",WORLDCUP!AD103=""),"PD",IF(WORLDCUP!AC103&gt;WORLDCUP!AD103,1,IF(WORLDCUP!AC103&lt;WORLDCUP!AD103,2,0)))</f>
        <v>PD</v>
      </c>
      <c r="M166" s="55" t="str">
        <f t="shared" si="462"/>
        <v>-</v>
      </c>
      <c r="N166" s="25">
        <f>WORLDCUP!AC103</f>
        <v>0</v>
      </c>
      <c r="O166" s="25">
        <f>WORLDCUP!AD103</f>
        <v>0</v>
      </c>
      <c r="P166" s="25">
        <f t="shared" si="463"/>
        <v>0</v>
      </c>
      <c r="Q166" s="25">
        <f t="shared" si="464"/>
        <v>0</v>
      </c>
      <c r="R166" s="110"/>
      <c r="S166" s="74" t="s">
        <v>1957</v>
      </c>
      <c r="T166" s="77">
        <f t="shared" ca="1" si="465"/>
        <v>0</v>
      </c>
      <c r="U166" s="110"/>
      <c r="V166" s="74" t="s">
        <v>2001</v>
      </c>
      <c r="W166" s="77">
        <f t="shared" ca="1" si="437"/>
        <v>0</v>
      </c>
      <c r="X166" s="110"/>
      <c r="Y166" s="74" t="s">
        <v>2037</v>
      </c>
      <c r="Z166" s="77">
        <f t="shared" ca="1" si="437"/>
        <v>0</v>
      </c>
      <c r="AA166" s="110"/>
      <c r="AB166" s="80" t="s">
        <v>2075</v>
      </c>
      <c r="AC166" s="77">
        <f t="shared" ca="1" si="437"/>
        <v>0</v>
      </c>
      <c r="AD166" s="110"/>
      <c r="AE166" s="74" t="s">
        <v>2108</v>
      </c>
      <c r="AF166" s="77">
        <f t="shared" ca="1" si="437"/>
        <v>0</v>
      </c>
      <c r="AG166" s="110"/>
      <c r="AH166" s="74" t="s">
        <v>2108</v>
      </c>
      <c r="AI166" s="77">
        <f t="shared" ca="1" si="437"/>
        <v>0</v>
      </c>
      <c r="AJ166" s="110"/>
      <c r="AK166" s="74" t="s">
        <v>2170</v>
      </c>
      <c r="AL166" s="77">
        <f t="shared" ca="1" si="437"/>
        <v>0</v>
      </c>
      <c r="AM166" s="110"/>
      <c r="AN166" s="74" t="s">
        <v>2193</v>
      </c>
      <c r="AO166" s="77">
        <f t="shared" ca="1" si="437"/>
        <v>0</v>
      </c>
      <c r="AP166" s="110"/>
      <c r="AQ166" s="74" t="s">
        <v>2170</v>
      </c>
      <c r="AR166" s="77">
        <f t="shared" ca="1" si="437"/>
        <v>0</v>
      </c>
      <c r="AS166" s="110"/>
      <c r="AT166" s="74" t="s">
        <v>2236</v>
      </c>
      <c r="AU166" s="77">
        <f t="shared" ca="1" si="437"/>
        <v>0</v>
      </c>
      <c r="AV166" s="110"/>
      <c r="AW166" s="74" t="s">
        <v>2252</v>
      </c>
      <c r="AX166" s="77">
        <f t="shared" ca="1" si="437"/>
        <v>0</v>
      </c>
      <c r="AY166" s="110"/>
      <c r="AZ166" s="74" t="s">
        <v>2282</v>
      </c>
      <c r="BA166" s="77">
        <f t="shared" ca="1" si="437"/>
        <v>0</v>
      </c>
      <c r="BB166" s="110"/>
      <c r="BC166" s="74" t="s">
        <v>2302</v>
      </c>
      <c r="BD166" s="77">
        <f t="shared" ca="1" si="437"/>
        <v>0</v>
      </c>
      <c r="BE166" s="110"/>
      <c r="BF166" s="74" t="s">
        <v>2108</v>
      </c>
      <c r="BG166" s="77">
        <f t="shared" ca="1" si="437"/>
        <v>0</v>
      </c>
      <c r="BH166" s="110"/>
      <c r="BI166" s="74" t="s">
        <v>2361</v>
      </c>
      <c r="BJ166" s="77">
        <f t="shared" ca="1" si="437"/>
        <v>0</v>
      </c>
      <c r="BK166" s="110"/>
      <c r="BL166" s="74" t="s">
        <v>2384</v>
      </c>
      <c r="BM166" s="77">
        <f t="shared" ca="1" si="437"/>
        <v>0</v>
      </c>
      <c r="BN166" s="110"/>
      <c r="BO166" s="74" t="s">
        <v>2550</v>
      </c>
      <c r="BP166" s="77">
        <f t="shared" ca="1" si="437"/>
        <v>0</v>
      </c>
      <c r="BQ166" s="110"/>
      <c r="BR166" s="74" t="s">
        <v>1957</v>
      </c>
      <c r="BS166" s="77">
        <f t="shared" ca="1" si="437"/>
        <v>0</v>
      </c>
      <c r="BT166" s="110"/>
      <c r="BU166" s="74" t="s">
        <v>2170</v>
      </c>
      <c r="BV166" s="77">
        <f t="shared" ca="1" si="437"/>
        <v>0</v>
      </c>
      <c r="BW166" s="110"/>
      <c r="BX166" s="74" t="s">
        <v>2440</v>
      </c>
      <c r="BY166" s="77">
        <f t="shared" ca="1" si="437"/>
        <v>0</v>
      </c>
      <c r="BZ166" s="110"/>
      <c r="CA166" s="74" t="s">
        <v>2458</v>
      </c>
      <c r="CB166" s="77">
        <f t="shared" ca="1" si="437"/>
        <v>0</v>
      </c>
      <c r="CC166" s="110"/>
      <c r="CD166" s="74" t="s">
        <v>2495</v>
      </c>
      <c r="CE166" s="77">
        <f t="shared" ca="1" si="437"/>
        <v>0</v>
      </c>
      <c r="CF166" s="110"/>
      <c r="CG166" s="74" t="s">
        <v>2525</v>
      </c>
      <c r="CH166" s="77">
        <f t="shared" ca="1" si="437"/>
        <v>0</v>
      </c>
      <c r="CI166" s="110"/>
      <c r="CJ166" s="74" t="s">
        <v>2458</v>
      </c>
      <c r="CK166" s="77">
        <f t="shared" ca="1" si="459"/>
        <v>0</v>
      </c>
      <c r="CL166" s="110"/>
      <c r="CM166" s="74" t="s">
        <v>2384</v>
      </c>
      <c r="CN166" s="77">
        <f t="shared" ca="1" si="459"/>
        <v>0</v>
      </c>
      <c r="CO166" s="110"/>
      <c r="CP166" s="110"/>
    </row>
    <row r="167" spans="1:94">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461"/>
        <v>9</v>
      </c>
      <c r="G167" s="407">
        <f ca="1">VLOOKUP(H167,Equipos!$Q$1:$R$25,2,0)</f>
        <v>20</v>
      </c>
      <c r="H167" s="446" t="str">
        <f>Idiomas!$D$260</f>
        <v>Dieciseisavos de final</v>
      </c>
      <c r="I167" s="43">
        <v>1</v>
      </c>
      <c r="J167" s="845"/>
      <c r="K167" s="56" t="str">
        <f ca="1">CONCATENATE(WORLDCUP!AA104,"-",WORLDCUP!AF104)</f>
        <v>1F-2C</v>
      </c>
      <c r="L167" s="53" t="str">
        <f>IF(OR(WORLDCUP!AC104="",WORLDCUP!AD104=""),"PD",IF(WORLDCUP!AC104&gt;WORLDCUP!AD104,1,IF(WORLDCUP!AC104&lt;WORLDCUP!AD104,2,0)))</f>
        <v>PD</v>
      </c>
      <c r="M167" s="55" t="str">
        <f t="shared" si="462"/>
        <v>-</v>
      </c>
      <c r="N167" s="25">
        <f>WORLDCUP!AC104</f>
        <v>0</v>
      </c>
      <c r="O167" s="25">
        <f>WORLDCUP!AD104</f>
        <v>0</v>
      </c>
      <c r="P167" s="25">
        <f t="shared" si="463"/>
        <v>0</v>
      </c>
      <c r="Q167" s="25">
        <f t="shared" si="464"/>
        <v>0</v>
      </c>
      <c r="R167" s="110"/>
      <c r="S167" s="74" t="s">
        <v>1958</v>
      </c>
      <c r="T167" s="77">
        <f t="shared" ca="1" si="465"/>
        <v>0</v>
      </c>
      <c r="U167" s="110"/>
      <c r="V167" s="74" t="s">
        <v>2002</v>
      </c>
      <c r="W167" s="77">
        <f t="shared" ca="1" si="437"/>
        <v>0</v>
      </c>
      <c r="X167" s="110"/>
      <c r="Y167" s="74" t="s">
        <v>2038</v>
      </c>
      <c r="Z167" s="77">
        <f t="shared" ca="1" si="437"/>
        <v>0</v>
      </c>
      <c r="AA167" s="110"/>
      <c r="AB167" s="80" t="s">
        <v>2076</v>
      </c>
      <c r="AC167" s="77">
        <f t="shared" ca="1" si="437"/>
        <v>0</v>
      </c>
      <c r="AD167" s="110"/>
      <c r="AE167" s="74" t="s">
        <v>1958</v>
      </c>
      <c r="AF167" s="77">
        <f t="shared" ca="1" si="437"/>
        <v>0</v>
      </c>
      <c r="AG167" s="110"/>
      <c r="AH167" s="74" t="s">
        <v>2144</v>
      </c>
      <c r="AI167" s="77">
        <f t="shared" ca="1" si="437"/>
        <v>0</v>
      </c>
      <c r="AJ167" s="110"/>
      <c r="AK167" s="74" t="s">
        <v>2144</v>
      </c>
      <c r="AL167" s="77">
        <f t="shared" ca="1" si="437"/>
        <v>0</v>
      </c>
      <c r="AM167" s="110"/>
      <c r="AN167" s="74" t="s">
        <v>2144</v>
      </c>
      <c r="AO167" s="77">
        <f t="shared" ca="1" si="437"/>
        <v>0</v>
      </c>
      <c r="AP167" s="110"/>
      <c r="AQ167" s="74" t="s">
        <v>2216</v>
      </c>
      <c r="AR167" s="77">
        <f t="shared" ca="1" si="437"/>
        <v>0</v>
      </c>
      <c r="AS167" s="110"/>
      <c r="AT167" s="74" t="s">
        <v>2144</v>
      </c>
      <c r="AU167" s="77">
        <f t="shared" ca="1" si="437"/>
        <v>0</v>
      </c>
      <c r="AV167" s="110"/>
      <c r="AW167" s="74" t="s">
        <v>2144</v>
      </c>
      <c r="AX167" s="77">
        <f t="shared" ca="1" si="437"/>
        <v>0</v>
      </c>
      <c r="AY167" s="110"/>
      <c r="AZ167" s="74" t="s">
        <v>2283</v>
      </c>
      <c r="BA167" s="77">
        <f t="shared" ca="1" si="437"/>
        <v>0</v>
      </c>
      <c r="BB167" s="110"/>
      <c r="BC167" s="74" t="s">
        <v>2303</v>
      </c>
      <c r="BD167" s="77">
        <f t="shared" ca="1" si="437"/>
        <v>0</v>
      </c>
      <c r="BE167" s="110"/>
      <c r="BF167" s="74" t="s">
        <v>2336</v>
      </c>
      <c r="BG167" s="77">
        <f t="shared" ca="1" si="437"/>
        <v>0</v>
      </c>
      <c r="BH167" s="110"/>
      <c r="BI167" s="74" t="s">
        <v>2283</v>
      </c>
      <c r="BJ167" s="77">
        <f t="shared" ca="1" si="437"/>
        <v>0</v>
      </c>
      <c r="BK167" s="110"/>
      <c r="BL167" s="74" t="s">
        <v>1958</v>
      </c>
      <c r="BM167" s="77">
        <f t="shared" ca="1" si="437"/>
        <v>0</v>
      </c>
      <c r="BN167" s="110"/>
      <c r="BO167" s="74" t="s">
        <v>2144</v>
      </c>
      <c r="BP167" s="77">
        <f t="shared" ca="1" si="437"/>
        <v>0</v>
      </c>
      <c r="BQ167" s="110"/>
      <c r="BR167" s="74" t="s">
        <v>2409</v>
      </c>
      <c r="BS167" s="77">
        <f t="shared" ca="1" si="437"/>
        <v>0</v>
      </c>
      <c r="BT167" s="110"/>
      <c r="BU167" s="74" t="s">
        <v>2427</v>
      </c>
      <c r="BV167" s="77">
        <f t="shared" ca="1" si="437"/>
        <v>0</v>
      </c>
      <c r="BW167" s="110"/>
      <c r="BX167" s="74" t="s">
        <v>2441</v>
      </c>
      <c r="BY167" s="77">
        <f t="shared" ca="1" si="437"/>
        <v>0</v>
      </c>
      <c r="BZ167" s="110"/>
      <c r="CA167" s="74" t="s">
        <v>2459</v>
      </c>
      <c r="CB167" s="77">
        <f t="shared" ca="1" si="437"/>
        <v>0</v>
      </c>
      <c r="CC167" s="110"/>
      <c r="CD167" s="74" t="s">
        <v>1958</v>
      </c>
      <c r="CE167" s="77">
        <f t="shared" ca="1" si="437"/>
        <v>0</v>
      </c>
      <c r="CF167" s="110"/>
      <c r="CG167" s="74" t="s">
        <v>2526</v>
      </c>
      <c r="CH167" s="77">
        <f t="shared" ca="1" si="437"/>
        <v>0</v>
      </c>
      <c r="CI167" s="110"/>
      <c r="CJ167" s="74" t="s">
        <v>2427</v>
      </c>
      <c r="CK167" s="77">
        <f t="shared" ca="1" si="459"/>
        <v>0</v>
      </c>
      <c r="CL167" s="110"/>
      <c r="CM167" s="74" t="s">
        <v>2144</v>
      </c>
      <c r="CN167" s="77">
        <f t="shared" ca="1" si="459"/>
        <v>0</v>
      </c>
      <c r="CO167" s="110"/>
      <c r="CP167" s="110"/>
    </row>
    <row r="168" spans="1:94">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461"/>
        <v>9</v>
      </c>
      <c r="G168" s="407">
        <f ca="1">VLOOKUP(H168,Equipos!$Q$1:$R$25,2,0)</f>
        <v>20</v>
      </c>
      <c r="H168" s="446" t="str">
        <f>Idiomas!$D$260</f>
        <v>Dieciseisavos de final</v>
      </c>
      <c r="I168" s="43">
        <v>1</v>
      </c>
      <c r="J168" s="845"/>
      <c r="K168" s="56" t="str">
        <f ca="1">CONCATENATE(WORLDCUP!AA105,"-",WORLDCUP!AF105)</f>
        <v>2E-2I</v>
      </c>
      <c r="L168" s="53" t="str">
        <f>IF(OR(WORLDCUP!AC105="",WORLDCUP!AD105=""),"PD",IF(WORLDCUP!AC105&gt;WORLDCUP!AD105,1,IF(WORLDCUP!AC105&lt;WORLDCUP!AD105,2,0)))</f>
        <v>PD</v>
      </c>
      <c r="M168" s="55" t="str">
        <f t="shared" si="462"/>
        <v>-</v>
      </c>
      <c r="N168" s="25">
        <f>WORLDCUP!AC105</f>
        <v>0</v>
      </c>
      <c r="O168" s="25">
        <f>WORLDCUP!AD105</f>
        <v>0</v>
      </c>
      <c r="P168" s="25">
        <f t="shared" si="463"/>
        <v>0</v>
      </c>
      <c r="Q168" s="25">
        <f t="shared" si="464"/>
        <v>0</v>
      </c>
      <c r="R168" s="110"/>
      <c r="S168" s="74" t="s">
        <v>1959</v>
      </c>
      <c r="T168" s="77">
        <f t="shared" ca="1" si="465"/>
        <v>0</v>
      </c>
      <c r="U168" s="110"/>
      <c r="V168" s="74" t="s">
        <v>2003</v>
      </c>
      <c r="W168" s="77">
        <f t="shared" ca="1" si="437"/>
        <v>0</v>
      </c>
      <c r="X168" s="110"/>
      <c r="Y168" s="74" t="s">
        <v>2039</v>
      </c>
      <c r="Z168" s="77">
        <f t="shared" ca="1" si="437"/>
        <v>0</v>
      </c>
      <c r="AA168" s="110"/>
      <c r="AB168" s="80" t="s">
        <v>2077</v>
      </c>
      <c r="AC168" s="77">
        <f t="shared" ca="1" si="437"/>
        <v>0</v>
      </c>
      <c r="AD168" s="110"/>
      <c r="AE168" s="74" t="s">
        <v>2109</v>
      </c>
      <c r="AF168" s="77">
        <f t="shared" ca="1" si="437"/>
        <v>0</v>
      </c>
      <c r="AG168" s="110"/>
      <c r="AH168" s="74" t="s">
        <v>2145</v>
      </c>
      <c r="AI168" s="77">
        <f t="shared" ca="1" si="437"/>
        <v>0</v>
      </c>
      <c r="AJ168" s="110"/>
      <c r="AK168" s="74" t="s">
        <v>2171</v>
      </c>
      <c r="AL168" s="77">
        <f t="shared" ca="1" si="437"/>
        <v>0</v>
      </c>
      <c r="AM168" s="110"/>
      <c r="AN168" s="74" t="s">
        <v>2171</v>
      </c>
      <c r="AO168" s="77">
        <f t="shared" ca="1" si="437"/>
        <v>0</v>
      </c>
      <c r="AP168" s="110"/>
      <c r="AQ168" s="74" t="s">
        <v>2217</v>
      </c>
      <c r="AR168" s="77">
        <f t="shared" ca="1" si="437"/>
        <v>0</v>
      </c>
      <c r="AS168" s="110"/>
      <c r="AT168" s="74" t="s">
        <v>2171</v>
      </c>
      <c r="AU168" s="77">
        <f t="shared" ca="1" si="437"/>
        <v>0</v>
      </c>
      <c r="AV168" s="110"/>
      <c r="AW168" s="74" t="s">
        <v>2253</v>
      </c>
      <c r="AX168" s="77">
        <f t="shared" ca="1" si="437"/>
        <v>0</v>
      </c>
      <c r="AY168" s="110"/>
      <c r="AZ168" s="74" t="s">
        <v>2145</v>
      </c>
      <c r="BA168" s="77">
        <f t="shared" ca="1" si="437"/>
        <v>0</v>
      </c>
      <c r="BB168" s="110"/>
      <c r="BC168" s="74" t="s">
        <v>2304</v>
      </c>
      <c r="BD168" s="77">
        <f t="shared" ca="1" si="437"/>
        <v>0</v>
      </c>
      <c r="BE168" s="110"/>
      <c r="BF168" s="74" t="s">
        <v>2337</v>
      </c>
      <c r="BG168" s="77">
        <f t="shared" ca="1" si="437"/>
        <v>0</v>
      </c>
      <c r="BH168" s="110"/>
      <c r="BI168" s="74" t="s">
        <v>2362</v>
      </c>
      <c r="BJ168" s="77">
        <f t="shared" ca="1" si="437"/>
        <v>0</v>
      </c>
      <c r="BK168" s="110"/>
      <c r="BL168" s="74" t="s">
        <v>2171</v>
      </c>
      <c r="BM168" s="77">
        <f t="shared" ca="1" si="437"/>
        <v>0</v>
      </c>
      <c r="BN168" s="110"/>
      <c r="BO168" s="74" t="s">
        <v>2551</v>
      </c>
      <c r="BP168" s="77">
        <f t="shared" ca="1" si="437"/>
        <v>0</v>
      </c>
      <c r="BQ168" s="110"/>
      <c r="BR168" s="74" t="s">
        <v>2171</v>
      </c>
      <c r="BS168" s="77">
        <f t="shared" ca="1" si="437"/>
        <v>0</v>
      </c>
      <c r="BT168" s="110"/>
      <c r="BU168" s="74" t="s">
        <v>2428</v>
      </c>
      <c r="BV168" s="77">
        <f t="shared" ca="1" si="437"/>
        <v>0</v>
      </c>
      <c r="BW168" s="110"/>
      <c r="BX168" s="74" t="s">
        <v>2442</v>
      </c>
      <c r="BY168" s="77">
        <f t="shared" ca="1" si="437"/>
        <v>0</v>
      </c>
      <c r="BZ168" s="110"/>
      <c r="CA168" s="74" t="s">
        <v>2460</v>
      </c>
      <c r="CB168" s="77">
        <f t="shared" ca="1" si="437"/>
        <v>0</v>
      </c>
      <c r="CC168" s="110"/>
      <c r="CD168" s="74" t="s">
        <v>2496</v>
      </c>
      <c r="CE168" s="77">
        <f t="shared" ca="1" si="437"/>
        <v>0</v>
      </c>
      <c r="CF168" s="110"/>
      <c r="CG168" s="74" t="s">
        <v>2171</v>
      </c>
      <c r="CH168" s="77">
        <f t="shared" ca="1" si="437"/>
        <v>0</v>
      </c>
      <c r="CI168" s="110"/>
      <c r="CJ168" s="74" t="s">
        <v>2145</v>
      </c>
      <c r="CK168" s="77">
        <f t="shared" ca="1" si="459"/>
        <v>0</v>
      </c>
      <c r="CL168" s="110"/>
      <c r="CM168" s="74" t="s">
        <v>2145</v>
      </c>
      <c r="CN168" s="77">
        <f t="shared" ca="1" si="459"/>
        <v>0</v>
      </c>
      <c r="CO168" s="110"/>
      <c r="CP168" s="110"/>
    </row>
    <row r="169" spans="1:94">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461"/>
        <v>9</v>
      </c>
      <c r="G169" s="407">
        <f ca="1">VLOOKUP(H169,Equipos!$Q$1:$R$25,2,0)</f>
        <v>20</v>
      </c>
      <c r="H169" s="446" t="str">
        <f>Idiomas!$D$260</f>
        <v>Dieciseisavos de final</v>
      </c>
      <c r="I169" s="43">
        <v>1</v>
      </c>
      <c r="J169" s="845"/>
      <c r="K169" s="56" t="str">
        <f ca="1">CONCATENATE(WORLDCUP!AA106,"-",WORLDCUP!AF106)</f>
        <v>1I-3CDFGH</v>
      </c>
      <c r="L169" s="53" t="str">
        <f>IF(OR(WORLDCUP!AC106="",WORLDCUP!AD106=""),"PD",IF(WORLDCUP!AC106&gt;WORLDCUP!AD106,1,IF(WORLDCUP!AC106&lt;WORLDCUP!AD106,2,0)))</f>
        <v>PD</v>
      </c>
      <c r="M169" s="55" t="str">
        <f t="shared" si="462"/>
        <v>-</v>
      </c>
      <c r="N169" s="25">
        <f>WORLDCUP!AC106</f>
        <v>0</v>
      </c>
      <c r="O169" s="25">
        <f>WORLDCUP!AD106</f>
        <v>0</v>
      </c>
      <c r="P169" s="25">
        <f t="shared" si="463"/>
        <v>0</v>
      </c>
      <c r="Q169" s="25">
        <f t="shared" si="464"/>
        <v>0</v>
      </c>
      <c r="R169" s="110"/>
      <c r="S169" s="74" t="s">
        <v>1960</v>
      </c>
      <c r="T169" s="77">
        <f t="shared" ca="1" si="465"/>
        <v>0</v>
      </c>
      <c r="U169" s="110"/>
      <c r="V169" s="74" t="s">
        <v>2004</v>
      </c>
      <c r="W169" s="77">
        <f t="shared" ca="1" si="437"/>
        <v>0</v>
      </c>
      <c r="X169" s="110"/>
      <c r="Y169" s="74" t="s">
        <v>2040</v>
      </c>
      <c r="Z169" s="77">
        <f t="shared" ca="1" si="437"/>
        <v>0</v>
      </c>
      <c r="AA169" s="110"/>
      <c r="AB169" s="80" t="s">
        <v>2078</v>
      </c>
      <c r="AC169" s="77">
        <f t="shared" ca="1" si="437"/>
        <v>0</v>
      </c>
      <c r="AD169" s="110"/>
      <c r="AE169" s="74" t="s">
        <v>2110</v>
      </c>
      <c r="AF169" s="77">
        <f t="shared" ca="1" si="437"/>
        <v>0</v>
      </c>
      <c r="AG169" s="110"/>
      <c r="AH169" s="74" t="s">
        <v>2146</v>
      </c>
      <c r="AI169" s="77">
        <f t="shared" ca="1" si="437"/>
        <v>0</v>
      </c>
      <c r="AJ169" s="110"/>
      <c r="AK169" s="74" t="s">
        <v>2172</v>
      </c>
      <c r="AL169" s="77">
        <f t="shared" ca="1" si="437"/>
        <v>0</v>
      </c>
      <c r="AM169" s="110"/>
      <c r="AN169" s="74" t="s">
        <v>1960</v>
      </c>
      <c r="AO169" s="77">
        <f t="shared" ca="1" si="437"/>
        <v>0</v>
      </c>
      <c r="AP169" s="110"/>
      <c r="AQ169" s="74" t="s">
        <v>2218</v>
      </c>
      <c r="AR169" s="77">
        <f t="shared" ca="1" si="437"/>
        <v>0</v>
      </c>
      <c r="AS169" s="110"/>
      <c r="AT169" s="74" t="s">
        <v>2237</v>
      </c>
      <c r="AU169" s="77">
        <f t="shared" ca="1" si="437"/>
        <v>0</v>
      </c>
      <c r="AV169" s="110"/>
      <c r="AW169" s="74" t="s">
        <v>2254</v>
      </c>
      <c r="AX169" s="77">
        <f t="shared" ca="1" si="437"/>
        <v>0</v>
      </c>
      <c r="AY169" s="110"/>
      <c r="AZ169" s="74" t="s">
        <v>2237</v>
      </c>
      <c r="BA169" s="77">
        <f t="shared" ca="1" si="437"/>
        <v>0</v>
      </c>
      <c r="BB169" s="110"/>
      <c r="BC169" s="74" t="s">
        <v>2305</v>
      </c>
      <c r="BD169" s="77">
        <f t="shared" ca="1" si="437"/>
        <v>0</v>
      </c>
      <c r="BE169" s="110"/>
      <c r="BF169" s="74" t="s">
        <v>2338</v>
      </c>
      <c r="BG169" s="77">
        <f t="shared" ca="1" si="437"/>
        <v>0</v>
      </c>
      <c r="BH169" s="110"/>
      <c r="BI169" s="74" t="s">
        <v>2363</v>
      </c>
      <c r="BJ169" s="77">
        <f t="shared" ca="1" si="437"/>
        <v>0</v>
      </c>
      <c r="BK169" s="110"/>
      <c r="BL169" s="74" t="s">
        <v>2385</v>
      </c>
      <c r="BM169" s="77">
        <f t="shared" ca="1" si="437"/>
        <v>0</v>
      </c>
      <c r="BN169" s="110"/>
      <c r="BO169" s="74" t="s">
        <v>2552</v>
      </c>
      <c r="BP169" s="77">
        <f t="shared" ca="1" si="437"/>
        <v>0</v>
      </c>
      <c r="BQ169" s="110"/>
      <c r="BR169" s="74" t="s">
        <v>2410</v>
      </c>
      <c r="BS169" s="77">
        <f t="shared" ca="1" si="437"/>
        <v>0</v>
      </c>
      <c r="BT169" s="110"/>
      <c r="BU169" s="74" t="s">
        <v>1960</v>
      </c>
      <c r="BV169" s="77">
        <f t="shared" ca="1" si="437"/>
        <v>0</v>
      </c>
      <c r="BW169" s="110"/>
      <c r="BX169" s="74" t="s">
        <v>2172</v>
      </c>
      <c r="BY169" s="77">
        <f t="shared" ca="1" si="437"/>
        <v>0</v>
      </c>
      <c r="BZ169" s="110"/>
      <c r="CA169" s="74" t="s">
        <v>2461</v>
      </c>
      <c r="CB169" s="77">
        <f t="shared" ca="1" si="437"/>
        <v>0</v>
      </c>
      <c r="CC169" s="110"/>
      <c r="CD169" s="74" t="s">
        <v>2497</v>
      </c>
      <c r="CE169" s="77">
        <f t="shared" ca="1" si="437"/>
        <v>0</v>
      </c>
      <c r="CF169" s="110"/>
      <c r="CG169" s="74" t="s">
        <v>2146</v>
      </c>
      <c r="CH169" s="77">
        <f t="shared" ca="1" si="437"/>
        <v>0</v>
      </c>
      <c r="CI169" s="110"/>
      <c r="CJ169" s="74" t="s">
        <v>2410</v>
      </c>
      <c r="CK169" s="77">
        <f t="shared" ca="1" si="459"/>
        <v>0</v>
      </c>
      <c r="CL169" s="110"/>
      <c r="CM169" s="74" t="s">
        <v>2588</v>
      </c>
      <c r="CN169" s="77">
        <f t="shared" ca="1" si="459"/>
        <v>0</v>
      </c>
      <c r="CO169" s="110"/>
      <c r="CP169" s="110"/>
    </row>
    <row r="170" spans="1:94">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461"/>
        <v>9</v>
      </c>
      <c r="G170" s="407">
        <f ca="1">VLOOKUP(H170,Equipos!$Q$1:$R$25,2,0)</f>
        <v>20</v>
      </c>
      <c r="H170" s="446" t="str">
        <f>Idiomas!$D$260</f>
        <v>Dieciseisavos de final</v>
      </c>
      <c r="I170" s="43">
        <v>1</v>
      </c>
      <c r="J170" s="845"/>
      <c r="K170" s="56" t="str">
        <f ca="1">CONCATENATE(WORLDCUP!AA107,"-",WORLDCUP!AF107)</f>
        <v>1A-3CEFHI</v>
      </c>
      <c r="L170" s="53" t="str">
        <f>IF(OR(WORLDCUP!AC107="",WORLDCUP!AD107=""),"PD",IF(WORLDCUP!AC107&gt;WORLDCUP!AD107,1,IF(WORLDCUP!AC107&lt;WORLDCUP!AD107,2,0)))</f>
        <v>PD</v>
      </c>
      <c r="M170" s="55" t="str">
        <f t="shared" si="462"/>
        <v>-</v>
      </c>
      <c r="N170" s="25">
        <f>WORLDCUP!AC107</f>
        <v>0</v>
      </c>
      <c r="O170" s="25">
        <f>WORLDCUP!AD107</f>
        <v>0</v>
      </c>
      <c r="P170" s="25">
        <f t="shared" si="463"/>
        <v>0</v>
      </c>
      <c r="Q170" s="25">
        <f t="shared" si="464"/>
        <v>0</v>
      </c>
      <c r="R170" s="110"/>
      <c r="S170" s="74" t="s">
        <v>1961</v>
      </c>
      <c r="T170" s="77">
        <f t="shared" ca="1" si="465"/>
        <v>0</v>
      </c>
      <c r="U170" s="110"/>
      <c r="V170" s="74" t="s">
        <v>2005</v>
      </c>
      <c r="W170" s="77">
        <f t="shared" ca="1" si="437"/>
        <v>0</v>
      </c>
      <c r="X170" s="110"/>
      <c r="Y170" s="74" t="s">
        <v>2041</v>
      </c>
      <c r="Z170" s="77">
        <f t="shared" ca="1" si="437"/>
        <v>0</v>
      </c>
      <c r="AA170" s="110"/>
      <c r="AB170" s="80" t="s">
        <v>2079</v>
      </c>
      <c r="AC170" s="77">
        <f t="shared" ca="1" si="437"/>
        <v>0</v>
      </c>
      <c r="AD170" s="110"/>
      <c r="AE170" s="74" t="s">
        <v>2111</v>
      </c>
      <c r="AF170" s="77">
        <f t="shared" ca="1" si="437"/>
        <v>0</v>
      </c>
      <c r="AG170" s="110"/>
      <c r="AH170" s="74" t="s">
        <v>2147</v>
      </c>
      <c r="AI170" s="77">
        <f t="shared" ca="1" si="437"/>
        <v>0</v>
      </c>
      <c r="AJ170" s="110"/>
      <c r="AK170" s="74" t="s">
        <v>2173</v>
      </c>
      <c r="AL170" s="77">
        <f t="shared" ca="1" si="437"/>
        <v>0</v>
      </c>
      <c r="AM170" s="110"/>
      <c r="AN170" s="74" t="s">
        <v>2194</v>
      </c>
      <c r="AO170" s="77">
        <f t="shared" ca="1" si="437"/>
        <v>0</v>
      </c>
      <c r="AP170" s="110"/>
      <c r="AQ170" s="74" t="s">
        <v>2219</v>
      </c>
      <c r="AR170" s="77">
        <f t="shared" ca="1" si="437"/>
        <v>0</v>
      </c>
      <c r="AS170" s="110"/>
      <c r="AT170" s="74" t="s">
        <v>2238</v>
      </c>
      <c r="AU170" s="77">
        <f t="shared" ca="1" si="437"/>
        <v>0</v>
      </c>
      <c r="AV170" s="110"/>
      <c r="AW170" s="74" t="s">
        <v>2255</v>
      </c>
      <c r="AX170" s="77">
        <f t="shared" ca="1" si="437"/>
        <v>0</v>
      </c>
      <c r="AY170" s="110"/>
      <c r="AZ170" s="74" t="s">
        <v>2238</v>
      </c>
      <c r="BA170" s="77">
        <f t="shared" ca="1" si="437"/>
        <v>0</v>
      </c>
      <c r="BB170" s="110"/>
      <c r="BC170" s="74" t="s">
        <v>2306</v>
      </c>
      <c r="BD170" s="77">
        <f t="shared" ca="1" si="437"/>
        <v>0</v>
      </c>
      <c r="BE170" s="110"/>
      <c r="BF170" s="74" t="s">
        <v>2339</v>
      </c>
      <c r="BG170" s="77">
        <f t="shared" ca="1" si="437"/>
        <v>0</v>
      </c>
      <c r="BH170" s="110"/>
      <c r="BI170" s="74" t="s">
        <v>2364</v>
      </c>
      <c r="BJ170" s="77">
        <f t="shared" ca="1" si="437"/>
        <v>0</v>
      </c>
      <c r="BK170" s="110"/>
      <c r="BL170" s="74" t="s">
        <v>2386</v>
      </c>
      <c r="BM170" s="77">
        <f t="shared" ca="1" si="437"/>
        <v>0</v>
      </c>
      <c r="BN170" s="110"/>
      <c r="BO170" s="74" t="s">
        <v>2553</v>
      </c>
      <c r="BP170" s="77">
        <f t="shared" ca="1" si="437"/>
        <v>0</v>
      </c>
      <c r="BQ170" s="110"/>
      <c r="BR170" s="74" t="s">
        <v>2411</v>
      </c>
      <c r="BS170" s="77">
        <f t="shared" ca="1" si="437"/>
        <v>0</v>
      </c>
      <c r="BT170" s="110"/>
      <c r="BU170" s="74" t="s">
        <v>2411</v>
      </c>
      <c r="BV170" s="77">
        <f t="shared" ca="1" si="437"/>
        <v>0</v>
      </c>
      <c r="BW170" s="110"/>
      <c r="BX170" s="74" t="s">
        <v>2443</v>
      </c>
      <c r="BY170" s="77">
        <f t="shared" ca="1" si="437"/>
        <v>0</v>
      </c>
      <c r="BZ170" s="110"/>
      <c r="CA170" s="74" t="s">
        <v>2462</v>
      </c>
      <c r="CB170" s="77">
        <f t="shared" ca="1" si="437"/>
        <v>0</v>
      </c>
      <c r="CC170" s="110"/>
      <c r="CD170" s="74" t="s">
        <v>2498</v>
      </c>
      <c r="CE170" s="77">
        <f t="shared" ca="1" si="437"/>
        <v>0</v>
      </c>
      <c r="CF170" s="110"/>
      <c r="CG170" s="74" t="s">
        <v>2079</v>
      </c>
      <c r="CH170" s="77">
        <f t="shared" ca="1" si="437"/>
        <v>0</v>
      </c>
      <c r="CI170" s="110"/>
      <c r="CJ170" s="74" t="s">
        <v>2306</v>
      </c>
      <c r="CK170" s="77">
        <f t="shared" ca="1" si="459"/>
        <v>0</v>
      </c>
      <c r="CL170" s="110"/>
      <c r="CM170" s="74" t="s">
        <v>2589</v>
      </c>
      <c r="CN170" s="77">
        <f t="shared" ca="1" si="459"/>
        <v>0</v>
      </c>
      <c r="CO170" s="110"/>
      <c r="CP170" s="110"/>
    </row>
    <row r="171" spans="1:94">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461"/>
        <v>9</v>
      </c>
      <c r="G171" s="407">
        <f ca="1">VLOOKUP(H171,Equipos!$Q$1:$R$25,2,0)</f>
        <v>20</v>
      </c>
      <c r="H171" s="446" t="str">
        <f>Idiomas!$D$260</f>
        <v>Dieciseisavos de final</v>
      </c>
      <c r="I171" s="43">
        <v>1</v>
      </c>
      <c r="J171" s="845"/>
      <c r="K171" s="56" t="str">
        <f ca="1">CONCATENATE(WORLDCUP!AA108,"-",WORLDCUP!AF108)</f>
        <v>1L-3EHIJK</v>
      </c>
      <c r="L171" s="53" t="str">
        <f>IF(OR(WORLDCUP!AC108="",WORLDCUP!AD108=""),"PD",IF(WORLDCUP!AC108&gt;WORLDCUP!AD108,1,IF(WORLDCUP!AC108&lt;WORLDCUP!AD108,2,0)))</f>
        <v>PD</v>
      </c>
      <c r="M171" s="55" t="str">
        <f t="shared" si="462"/>
        <v>-</v>
      </c>
      <c r="N171" s="25">
        <f>WORLDCUP!AC108</f>
        <v>0</v>
      </c>
      <c r="O171" s="25">
        <f>WORLDCUP!AD108</f>
        <v>0</v>
      </c>
      <c r="P171" s="25">
        <f t="shared" si="463"/>
        <v>0</v>
      </c>
      <c r="Q171" s="25">
        <f t="shared" si="464"/>
        <v>0</v>
      </c>
      <c r="R171" s="110"/>
      <c r="S171" s="74" t="s">
        <v>1962</v>
      </c>
      <c r="T171" s="77">
        <f t="shared" ca="1" si="465"/>
        <v>0</v>
      </c>
      <c r="U171" s="110"/>
      <c r="V171" s="74" t="s">
        <v>2006</v>
      </c>
      <c r="W171" s="77">
        <f t="shared" ca="1" si="437"/>
        <v>0</v>
      </c>
      <c r="X171" s="110"/>
      <c r="Y171" s="74" t="s">
        <v>2042</v>
      </c>
      <c r="Z171" s="77">
        <f t="shared" ca="1" si="437"/>
        <v>0</v>
      </c>
      <c r="AA171" s="110"/>
      <c r="AB171" s="80" t="s">
        <v>2080</v>
      </c>
      <c r="AC171" s="77">
        <f t="shared" ca="1" si="437"/>
        <v>0</v>
      </c>
      <c r="AD171" s="110"/>
      <c r="AE171" s="74" t="s">
        <v>2112</v>
      </c>
      <c r="AF171" s="77">
        <f t="shared" ca="1" si="437"/>
        <v>0</v>
      </c>
      <c r="AG171" s="110"/>
      <c r="AH171" s="74" t="s">
        <v>2148</v>
      </c>
      <c r="AI171" s="77">
        <f t="shared" ca="1" si="437"/>
        <v>0</v>
      </c>
      <c r="AJ171" s="110"/>
      <c r="AK171" s="74" t="s">
        <v>2174</v>
      </c>
      <c r="AL171" s="77">
        <f t="shared" ca="1" si="437"/>
        <v>0</v>
      </c>
      <c r="AM171" s="110"/>
      <c r="AN171" s="74" t="s">
        <v>2195</v>
      </c>
      <c r="AO171" s="77">
        <f t="shared" ca="1" si="437"/>
        <v>0</v>
      </c>
      <c r="AP171" s="110"/>
      <c r="AQ171" s="74" t="s">
        <v>2148</v>
      </c>
      <c r="AR171" s="77">
        <f t="shared" ca="1" si="437"/>
        <v>0</v>
      </c>
      <c r="AS171" s="110"/>
      <c r="AT171" s="74" t="s">
        <v>2148</v>
      </c>
      <c r="AU171" s="77">
        <f t="shared" ca="1" si="437"/>
        <v>0</v>
      </c>
      <c r="AV171" s="110"/>
      <c r="AW171" s="74" t="s">
        <v>2256</v>
      </c>
      <c r="AX171" s="77">
        <f t="shared" ca="1" si="437"/>
        <v>0</v>
      </c>
      <c r="AY171" s="110"/>
      <c r="AZ171" s="74" t="s">
        <v>2195</v>
      </c>
      <c r="BA171" s="77">
        <f t="shared" ca="1" si="437"/>
        <v>0</v>
      </c>
      <c r="BB171" s="110"/>
      <c r="BC171" s="74" t="s">
        <v>2307</v>
      </c>
      <c r="BD171" s="77">
        <f t="shared" ca="1" si="437"/>
        <v>0</v>
      </c>
      <c r="BE171" s="110"/>
      <c r="BF171" s="74" t="s">
        <v>2340</v>
      </c>
      <c r="BG171" s="77">
        <f t="shared" ca="1" si="437"/>
        <v>0</v>
      </c>
      <c r="BH171" s="110"/>
      <c r="BI171" s="74" t="s">
        <v>2307</v>
      </c>
      <c r="BJ171" s="77">
        <f t="shared" ca="1" si="437"/>
        <v>0</v>
      </c>
      <c r="BK171" s="110"/>
      <c r="BL171" s="74" t="s">
        <v>2387</v>
      </c>
      <c r="BM171" s="77">
        <f t="shared" ca="1" si="437"/>
        <v>0</v>
      </c>
      <c r="BN171" s="110"/>
      <c r="BO171" s="74" t="s">
        <v>2554</v>
      </c>
      <c r="BP171" s="77">
        <f t="shared" ca="1" si="437"/>
        <v>0</v>
      </c>
      <c r="BQ171" s="110"/>
      <c r="BR171" s="74" t="s">
        <v>2412</v>
      </c>
      <c r="BS171" s="77">
        <f t="shared" ca="1" si="437"/>
        <v>0</v>
      </c>
      <c r="BT171" s="110"/>
      <c r="BU171" s="74" t="s">
        <v>2429</v>
      </c>
      <c r="BV171" s="77">
        <f t="shared" ca="1" si="437"/>
        <v>0</v>
      </c>
      <c r="BW171" s="110"/>
      <c r="BX171" s="74" t="s">
        <v>2195</v>
      </c>
      <c r="BY171" s="77">
        <f t="shared" ca="1" si="437"/>
        <v>0</v>
      </c>
      <c r="BZ171" s="110"/>
      <c r="CA171" s="74" t="s">
        <v>2463</v>
      </c>
      <c r="CB171" s="77">
        <f t="shared" ca="1" si="437"/>
        <v>0</v>
      </c>
      <c r="CC171" s="110"/>
      <c r="CD171" s="74" t="s">
        <v>2148</v>
      </c>
      <c r="CE171" s="77">
        <f t="shared" ca="1" si="437"/>
        <v>0</v>
      </c>
      <c r="CF171" s="110"/>
      <c r="CG171" s="74" t="s">
        <v>2527</v>
      </c>
      <c r="CH171" s="77">
        <f t="shared" ca="1" si="437"/>
        <v>0</v>
      </c>
      <c r="CI171" s="110"/>
      <c r="CJ171" s="74" t="s">
        <v>2148</v>
      </c>
      <c r="CK171" s="77">
        <f t="shared" ca="1" si="459"/>
        <v>0</v>
      </c>
      <c r="CL171" s="110"/>
      <c r="CM171" s="74" t="s">
        <v>2590</v>
      </c>
      <c r="CN171" s="77">
        <f t="shared" ca="1" si="459"/>
        <v>0</v>
      </c>
      <c r="CO171" s="110"/>
      <c r="CP171" s="110"/>
    </row>
    <row r="172" spans="1:94">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461"/>
        <v>9</v>
      </c>
      <c r="G172" s="407">
        <f ca="1">VLOOKUP(H172,Equipos!$Q$1:$R$25,2,0)</f>
        <v>20</v>
      </c>
      <c r="H172" s="446" t="str">
        <f>Idiomas!$D$260</f>
        <v>Dieciseisavos de final</v>
      </c>
      <c r="I172" s="43">
        <v>1</v>
      </c>
      <c r="J172" s="845"/>
      <c r="K172" s="56" t="str">
        <f ca="1">CONCATENATE(WORLDCUP!AA109,"-",WORLDCUP!AF109)</f>
        <v>1G-3AEHIJ</v>
      </c>
      <c r="L172" s="53" t="str">
        <f>IF(OR(WORLDCUP!AC109="",WORLDCUP!AD109=""),"PD",IF(WORLDCUP!AC109&gt;WORLDCUP!AD109,1,IF(WORLDCUP!AC109&lt;WORLDCUP!AD109,2,0)))</f>
        <v>PD</v>
      </c>
      <c r="M172" s="55" t="str">
        <f t="shared" si="462"/>
        <v>-</v>
      </c>
      <c r="N172" s="25">
        <f>WORLDCUP!AC109</f>
        <v>0</v>
      </c>
      <c r="O172" s="25">
        <f>WORLDCUP!AD109</f>
        <v>0</v>
      </c>
      <c r="P172" s="25">
        <f t="shared" si="463"/>
        <v>0</v>
      </c>
      <c r="Q172" s="25">
        <f t="shared" si="464"/>
        <v>0</v>
      </c>
      <c r="R172" s="110"/>
      <c r="S172" s="74" t="s">
        <v>1963</v>
      </c>
      <c r="T172" s="77">
        <f t="shared" ca="1" si="465"/>
        <v>0</v>
      </c>
      <c r="U172" s="110"/>
      <c r="V172" s="74" t="s">
        <v>2007</v>
      </c>
      <c r="W172" s="77">
        <f t="shared" ca="1" si="437"/>
        <v>0</v>
      </c>
      <c r="X172" s="110"/>
      <c r="Y172" s="74" t="s">
        <v>2043</v>
      </c>
      <c r="Z172" s="77">
        <f t="shared" ca="1" si="437"/>
        <v>0</v>
      </c>
      <c r="AA172" s="110"/>
      <c r="AB172" s="80" t="s">
        <v>2081</v>
      </c>
      <c r="AC172" s="77">
        <f t="shared" ca="1" si="437"/>
        <v>0</v>
      </c>
      <c r="AD172" s="110"/>
      <c r="AE172" s="74" t="s">
        <v>2113</v>
      </c>
      <c r="AF172" s="77">
        <f t="shared" ca="1" si="437"/>
        <v>0</v>
      </c>
      <c r="AG172" s="110"/>
      <c r="AH172" s="74" t="s">
        <v>2149</v>
      </c>
      <c r="AI172" s="77">
        <f t="shared" ca="1" si="437"/>
        <v>0</v>
      </c>
      <c r="AJ172" s="110"/>
      <c r="AK172" s="74" t="s">
        <v>2043</v>
      </c>
      <c r="AL172" s="77">
        <f t="shared" ca="1" si="437"/>
        <v>0</v>
      </c>
      <c r="AM172" s="110"/>
      <c r="AN172" s="74" t="s">
        <v>2043</v>
      </c>
      <c r="AO172" s="77">
        <f t="shared" ca="1" si="437"/>
        <v>0</v>
      </c>
      <c r="AP172" s="110"/>
      <c r="AQ172" s="74" t="s">
        <v>2220</v>
      </c>
      <c r="AR172" s="77">
        <f t="shared" ca="1" si="437"/>
        <v>0</v>
      </c>
      <c r="AS172" s="110"/>
      <c r="AT172" s="74" t="s">
        <v>2043</v>
      </c>
      <c r="AU172" s="77">
        <f t="shared" ca="1" si="437"/>
        <v>0</v>
      </c>
      <c r="AV172" s="110"/>
      <c r="AW172" s="74" t="s">
        <v>2257</v>
      </c>
      <c r="AX172" s="77">
        <f t="shared" ca="1" si="437"/>
        <v>0</v>
      </c>
      <c r="AY172" s="110"/>
      <c r="AZ172" s="74" t="s">
        <v>2284</v>
      </c>
      <c r="BA172" s="77">
        <f t="shared" ca="1" si="437"/>
        <v>0</v>
      </c>
      <c r="BB172" s="110"/>
      <c r="BC172" s="74" t="s">
        <v>2308</v>
      </c>
      <c r="BD172" s="77">
        <f t="shared" ca="1" si="437"/>
        <v>0</v>
      </c>
      <c r="BE172" s="110"/>
      <c r="BF172" s="74" t="s">
        <v>2043</v>
      </c>
      <c r="BG172" s="77">
        <f t="shared" ca="1" si="437"/>
        <v>0</v>
      </c>
      <c r="BH172" s="110"/>
      <c r="BI172" s="74" t="s">
        <v>2365</v>
      </c>
      <c r="BJ172" s="77">
        <f t="shared" ca="1" si="437"/>
        <v>0</v>
      </c>
      <c r="BK172" s="110"/>
      <c r="BL172" s="74" t="s">
        <v>2388</v>
      </c>
      <c r="BM172" s="77">
        <f t="shared" ca="1" si="437"/>
        <v>0</v>
      </c>
      <c r="BN172" s="110"/>
      <c r="BO172" s="74" t="s">
        <v>2555</v>
      </c>
      <c r="BP172" s="77">
        <f t="shared" ca="1" si="437"/>
        <v>0</v>
      </c>
      <c r="BQ172" s="110"/>
      <c r="BR172" s="74" t="s">
        <v>2413</v>
      </c>
      <c r="BS172" s="77">
        <f t="shared" ca="1" si="437"/>
        <v>0</v>
      </c>
      <c r="BT172" s="110"/>
      <c r="BU172" s="74" t="s">
        <v>2430</v>
      </c>
      <c r="BV172" s="77">
        <f t="shared" ca="1" si="437"/>
        <v>0</v>
      </c>
      <c r="BW172" s="110"/>
      <c r="BX172" s="74" t="s">
        <v>2444</v>
      </c>
      <c r="BY172" s="77">
        <f t="shared" ca="1" si="437"/>
        <v>0</v>
      </c>
      <c r="BZ172" s="110"/>
      <c r="CA172" s="74" t="s">
        <v>2464</v>
      </c>
      <c r="CB172" s="77">
        <f t="shared" ca="1" si="437"/>
        <v>0</v>
      </c>
      <c r="CC172" s="110"/>
      <c r="CD172" s="74" t="s">
        <v>2499</v>
      </c>
      <c r="CE172" s="77">
        <f t="shared" ca="1" si="437"/>
        <v>0</v>
      </c>
      <c r="CF172" s="110"/>
      <c r="CG172" s="74" t="s">
        <v>2528</v>
      </c>
      <c r="CH172" s="77">
        <f t="shared" ca="1" si="437"/>
        <v>0</v>
      </c>
      <c r="CI172" s="110"/>
      <c r="CJ172" s="74" t="s">
        <v>2430</v>
      </c>
      <c r="CK172" s="77">
        <f t="shared" ca="1" si="459"/>
        <v>0</v>
      </c>
      <c r="CL172" s="110"/>
      <c r="CM172" s="74" t="s">
        <v>2430</v>
      </c>
      <c r="CN172" s="77">
        <f t="shared" ca="1" si="459"/>
        <v>0</v>
      </c>
      <c r="CO172" s="110"/>
      <c r="CP172" s="110"/>
    </row>
    <row r="173" spans="1:94">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461"/>
        <v>9</v>
      </c>
      <c r="G173" s="407">
        <f ca="1">VLOOKUP(H173,Equipos!$Q$1:$R$25,2,0)</f>
        <v>20</v>
      </c>
      <c r="H173" s="446" t="str">
        <f>Idiomas!$D$260</f>
        <v>Dieciseisavos de final</v>
      </c>
      <c r="I173" s="43">
        <v>1</v>
      </c>
      <c r="J173" s="845"/>
      <c r="K173" s="56" t="str">
        <f ca="1">CONCATENATE(WORLDCUP!AA110,"-",WORLDCUP!AF110)</f>
        <v>1D-3BEFIJ</v>
      </c>
      <c r="L173" s="53" t="str">
        <f>IF(OR(WORLDCUP!AC110="",WORLDCUP!AD110=""),"PD",IF(WORLDCUP!AC110&gt;WORLDCUP!AD110,1,IF(WORLDCUP!AC110&lt;WORLDCUP!AD110,2,0)))</f>
        <v>PD</v>
      </c>
      <c r="M173" s="55" t="str">
        <f t="shared" si="462"/>
        <v>-</v>
      </c>
      <c r="N173" s="25">
        <f>WORLDCUP!AC110</f>
        <v>0</v>
      </c>
      <c r="O173" s="25">
        <f>WORLDCUP!AD110</f>
        <v>0</v>
      </c>
      <c r="P173" s="25">
        <f t="shared" si="463"/>
        <v>0</v>
      </c>
      <c r="Q173" s="25">
        <f t="shared" si="464"/>
        <v>0</v>
      </c>
      <c r="R173" s="110"/>
      <c r="S173" s="74" t="s">
        <v>1964</v>
      </c>
      <c r="T173" s="77">
        <f t="shared" ca="1" si="465"/>
        <v>0</v>
      </c>
      <c r="U173" s="110"/>
      <c r="V173" s="74" t="s">
        <v>2008</v>
      </c>
      <c r="W173" s="77">
        <f t="shared" ca="1" si="437"/>
        <v>0</v>
      </c>
      <c r="X173" s="110"/>
      <c r="Y173" s="74" t="s">
        <v>2044</v>
      </c>
      <c r="Z173" s="77">
        <f t="shared" ca="1" si="437"/>
        <v>0</v>
      </c>
      <c r="AA173" s="110"/>
      <c r="AB173" s="74" t="s">
        <v>2082</v>
      </c>
      <c r="AC173" s="77">
        <f t="shared" ca="1" si="437"/>
        <v>0</v>
      </c>
      <c r="AD173" s="110"/>
      <c r="AE173" s="74" t="s">
        <v>2114</v>
      </c>
      <c r="AF173" s="77">
        <f t="shared" ca="1" si="437"/>
        <v>0</v>
      </c>
      <c r="AG173" s="110"/>
      <c r="AH173" s="74" t="s">
        <v>2150</v>
      </c>
      <c r="AI173" s="77">
        <f t="shared" ca="1" si="437"/>
        <v>0</v>
      </c>
      <c r="AJ173" s="110"/>
      <c r="AK173" s="74" t="s">
        <v>2114</v>
      </c>
      <c r="AL173" s="77">
        <f t="shared" ca="1" si="437"/>
        <v>0</v>
      </c>
      <c r="AM173" s="110"/>
      <c r="AN173" s="74" t="s">
        <v>2196</v>
      </c>
      <c r="AO173" s="77">
        <f t="shared" ca="1" si="437"/>
        <v>0</v>
      </c>
      <c r="AP173" s="110"/>
      <c r="AQ173" s="74" t="s">
        <v>2221</v>
      </c>
      <c r="AR173" s="77">
        <f t="shared" ca="1" si="437"/>
        <v>0</v>
      </c>
      <c r="AS173" s="110"/>
      <c r="AT173" s="74" t="s">
        <v>2239</v>
      </c>
      <c r="AU173" s="77">
        <f t="shared" ca="1" si="437"/>
        <v>0</v>
      </c>
      <c r="AV173" s="110"/>
      <c r="AW173" s="74" t="s">
        <v>2258</v>
      </c>
      <c r="AX173" s="77">
        <f t="shared" ca="1" si="437"/>
        <v>0</v>
      </c>
      <c r="AY173" s="110"/>
      <c r="AZ173" s="74" t="s">
        <v>2258</v>
      </c>
      <c r="BA173" s="77">
        <f t="shared" ca="1" si="437"/>
        <v>0</v>
      </c>
      <c r="BB173" s="110"/>
      <c r="BC173" s="74" t="s">
        <v>2309</v>
      </c>
      <c r="BD173" s="77">
        <f t="shared" ca="1" si="437"/>
        <v>0</v>
      </c>
      <c r="BE173" s="110"/>
      <c r="BF173" s="74" t="s">
        <v>2341</v>
      </c>
      <c r="BG173" s="77">
        <f t="shared" ca="1" si="437"/>
        <v>0</v>
      </c>
      <c r="BH173" s="110"/>
      <c r="BI173" s="74" t="s">
        <v>2366</v>
      </c>
      <c r="BJ173" s="77">
        <f t="shared" ca="1" si="437"/>
        <v>0</v>
      </c>
      <c r="BK173" s="110"/>
      <c r="BL173" s="74" t="s">
        <v>2389</v>
      </c>
      <c r="BM173" s="77">
        <f t="shared" ca="1" si="437"/>
        <v>0</v>
      </c>
      <c r="BN173" s="110"/>
      <c r="BO173" s="74" t="s">
        <v>2556</v>
      </c>
      <c r="BP173" s="77">
        <f t="shared" ca="1" si="437"/>
        <v>0</v>
      </c>
      <c r="BQ173" s="110"/>
      <c r="BR173" s="74" t="s">
        <v>2414</v>
      </c>
      <c r="BS173" s="77">
        <f t="shared" ca="1" si="437"/>
        <v>0</v>
      </c>
      <c r="BT173" s="110"/>
      <c r="BU173" s="74" t="s">
        <v>2431</v>
      </c>
      <c r="BV173" s="77">
        <f t="shared" ca="1" si="437"/>
        <v>0</v>
      </c>
      <c r="BW173" s="110"/>
      <c r="BX173" s="74" t="s">
        <v>2445</v>
      </c>
      <c r="BY173" s="77">
        <f t="shared" ca="1" si="437"/>
        <v>0</v>
      </c>
      <c r="BZ173" s="110"/>
      <c r="CA173" s="74" t="s">
        <v>2465</v>
      </c>
      <c r="CB173" s="77">
        <f t="shared" ca="1" si="437"/>
        <v>0</v>
      </c>
      <c r="CC173" s="110"/>
      <c r="CD173" s="74" t="s">
        <v>2500</v>
      </c>
      <c r="CE173" s="77">
        <f t="shared" ca="1" si="437"/>
        <v>0</v>
      </c>
      <c r="CF173" s="110"/>
      <c r="CG173" s="74" t="s">
        <v>2529</v>
      </c>
      <c r="CH173" s="77">
        <f t="shared" ca="1" si="437"/>
        <v>0</v>
      </c>
      <c r="CI173" s="110"/>
      <c r="CJ173" s="74" t="s">
        <v>2571</v>
      </c>
      <c r="CK173" s="77">
        <f t="shared" ca="1" si="459"/>
        <v>0</v>
      </c>
      <c r="CL173" s="110"/>
      <c r="CM173" s="74" t="s">
        <v>2258</v>
      </c>
      <c r="CN173" s="77">
        <f t="shared" ca="1" si="459"/>
        <v>0</v>
      </c>
      <c r="CO173" s="110"/>
      <c r="CP173" s="110"/>
    </row>
    <row r="174" spans="1:94">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461"/>
        <v>9</v>
      </c>
      <c r="G174" s="407">
        <f ca="1">VLOOKUP(H174,Equipos!$Q$1:$R$25,2,0)</f>
        <v>20</v>
      </c>
      <c r="H174" s="446" t="str">
        <f>Idiomas!$D$260</f>
        <v>Dieciseisavos de final</v>
      </c>
      <c r="I174" s="43">
        <v>1</v>
      </c>
      <c r="J174" s="845"/>
      <c r="K174" s="56" t="str">
        <f ca="1">CONCATENATE(WORLDCUP!AA111,"-",WORLDCUP!AF111)</f>
        <v>1H-2J</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t="s">
        <v>1965</v>
      </c>
      <c r="T174" s="77">
        <f t="shared" ca="1" si="465"/>
        <v>0</v>
      </c>
      <c r="U174" s="110"/>
      <c r="V174" s="74" t="s">
        <v>2009</v>
      </c>
      <c r="W174" s="77">
        <f t="shared" ca="1" si="437"/>
        <v>0</v>
      </c>
      <c r="X174" s="110"/>
      <c r="Y174" s="74" t="s">
        <v>1965</v>
      </c>
      <c r="Z174" s="77">
        <f t="shared" ca="1" si="437"/>
        <v>0</v>
      </c>
      <c r="AA174" s="110"/>
      <c r="AB174" s="74" t="s">
        <v>2083</v>
      </c>
      <c r="AC174" s="77">
        <f t="shared" ca="1" si="437"/>
        <v>0</v>
      </c>
      <c r="AD174" s="110"/>
      <c r="AE174" s="74" t="s">
        <v>2115</v>
      </c>
      <c r="AF174" s="77">
        <f t="shared" ca="1" si="437"/>
        <v>0</v>
      </c>
      <c r="AG174" s="110"/>
      <c r="AH174" s="74" t="s">
        <v>1965</v>
      </c>
      <c r="AI174" s="77">
        <f t="shared" ca="1" si="437"/>
        <v>0</v>
      </c>
      <c r="AJ174" s="110"/>
      <c r="AK174" s="74" t="s">
        <v>1965</v>
      </c>
      <c r="AL174" s="77">
        <f t="shared" ca="1" si="437"/>
        <v>0</v>
      </c>
      <c r="AM174" s="110"/>
      <c r="AN174" s="74" t="s">
        <v>2197</v>
      </c>
      <c r="AO174" s="77">
        <f t="shared" ca="1" si="437"/>
        <v>0</v>
      </c>
      <c r="AP174" s="110"/>
      <c r="AQ174" s="74" t="s">
        <v>2197</v>
      </c>
      <c r="AR174" s="77">
        <f t="shared" ca="1" si="437"/>
        <v>0</v>
      </c>
      <c r="AS174" s="110"/>
      <c r="AT174" s="74" t="s">
        <v>2083</v>
      </c>
      <c r="AU174" s="77">
        <f t="shared" ca="1" si="437"/>
        <v>0</v>
      </c>
      <c r="AV174" s="110"/>
      <c r="AW174" s="74" t="s">
        <v>2259</v>
      </c>
      <c r="AX174" s="77">
        <f t="shared" ca="1" si="437"/>
        <v>0</v>
      </c>
      <c r="AY174" s="110"/>
      <c r="AZ174" s="74" t="s">
        <v>2285</v>
      </c>
      <c r="BA174" s="77">
        <f t="shared" ca="1" si="437"/>
        <v>0</v>
      </c>
      <c r="BB174" s="110"/>
      <c r="BC174" s="74" t="s">
        <v>2310</v>
      </c>
      <c r="BD174" s="77">
        <f t="shared" ca="1" si="437"/>
        <v>0</v>
      </c>
      <c r="BE174" s="110"/>
      <c r="BF174" s="74" t="s">
        <v>2342</v>
      </c>
      <c r="BG174" s="77">
        <f t="shared" ca="1" si="437"/>
        <v>0</v>
      </c>
      <c r="BH174" s="110"/>
      <c r="BI174" s="74" t="s">
        <v>2197</v>
      </c>
      <c r="BJ174" s="77">
        <f t="shared" ca="1" si="437"/>
        <v>0</v>
      </c>
      <c r="BK174" s="110"/>
      <c r="BL174" s="74" t="s">
        <v>2083</v>
      </c>
      <c r="BM174" s="77">
        <f t="shared" ca="1" si="437"/>
        <v>0</v>
      </c>
      <c r="BN174" s="110"/>
      <c r="BO174" s="74" t="s">
        <v>1965</v>
      </c>
      <c r="BP174" s="77">
        <f t="shared" ca="1" si="437"/>
        <v>0</v>
      </c>
      <c r="BQ174" s="110"/>
      <c r="BR174" s="74" t="s">
        <v>1965</v>
      </c>
      <c r="BS174" s="77">
        <f t="shared" ca="1" si="437"/>
        <v>0</v>
      </c>
      <c r="BT174" s="110"/>
      <c r="BU174" s="74" t="s">
        <v>1965</v>
      </c>
      <c r="BV174" s="77">
        <f t="shared" ca="1" si="437"/>
        <v>0</v>
      </c>
      <c r="BW174" s="110"/>
      <c r="BX174" s="74" t="s">
        <v>2446</v>
      </c>
      <c r="BY174" s="77">
        <f t="shared" ca="1" si="437"/>
        <v>0</v>
      </c>
      <c r="BZ174" s="110"/>
      <c r="CA174" s="74" t="s">
        <v>2466</v>
      </c>
      <c r="CB174" s="77">
        <f t="shared" ca="1" si="437"/>
        <v>0</v>
      </c>
      <c r="CC174" s="110"/>
      <c r="CD174" s="74" t="s">
        <v>2197</v>
      </c>
      <c r="CE174" s="77">
        <f t="shared" ca="1" si="437"/>
        <v>0</v>
      </c>
      <c r="CF174" s="110"/>
      <c r="CG174" s="74" t="s">
        <v>2530</v>
      </c>
      <c r="CH174" s="77">
        <f t="shared" ca="1" si="437"/>
        <v>0</v>
      </c>
      <c r="CI174" s="110"/>
      <c r="CJ174" s="74" t="s">
        <v>2446</v>
      </c>
      <c r="CK174" s="77">
        <f t="shared" ca="1" si="459"/>
        <v>0</v>
      </c>
      <c r="CL174" s="110"/>
      <c r="CM174" s="74" t="s">
        <v>2591</v>
      </c>
      <c r="CN174" s="77">
        <f t="shared" ca="1" si="459"/>
        <v>0</v>
      </c>
      <c r="CO174" s="110"/>
      <c r="CP174" s="110"/>
    </row>
    <row r="175" spans="1:94">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461"/>
        <v>9</v>
      </c>
      <c r="G175" s="407">
        <f ca="1">VLOOKUP(H175,Equipos!$Q$1:$R$25,2,0)</f>
        <v>20</v>
      </c>
      <c r="H175" s="446" t="str">
        <f>Idiomas!$D$260</f>
        <v>Dieciseisavos de final</v>
      </c>
      <c r="I175" s="43">
        <v>1</v>
      </c>
      <c r="J175" s="845"/>
      <c r="K175" s="56" t="str">
        <f ca="1">CONCATENATE(WORLDCUP!AA112,"-",WORLDCUP!AF112)</f>
        <v>2K-2L</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t="s">
        <v>1966</v>
      </c>
      <c r="T175" s="77">
        <f t="shared" ca="1" si="465"/>
        <v>0</v>
      </c>
      <c r="U175" s="110"/>
      <c r="V175" s="74" t="s">
        <v>2010</v>
      </c>
      <c r="W175" s="77">
        <f t="shared" ca="1" si="437"/>
        <v>0</v>
      </c>
      <c r="X175" s="110"/>
      <c r="Y175" s="74" t="s">
        <v>2045</v>
      </c>
      <c r="Z175" s="77">
        <f t="shared" ca="1" si="437"/>
        <v>0</v>
      </c>
      <c r="AA175" s="110"/>
      <c r="AB175" s="74" t="s">
        <v>2084</v>
      </c>
      <c r="AC175" s="77">
        <f t="shared" ca="1" si="437"/>
        <v>0</v>
      </c>
      <c r="AD175" s="110"/>
      <c r="AE175" s="74" t="s">
        <v>2116</v>
      </c>
      <c r="AF175" s="77">
        <f t="shared" ca="1" si="437"/>
        <v>0</v>
      </c>
      <c r="AG175" s="110"/>
      <c r="AH175" s="74" t="s">
        <v>2084</v>
      </c>
      <c r="AI175" s="77">
        <f t="shared" ca="1" si="437"/>
        <v>0</v>
      </c>
      <c r="AJ175" s="110"/>
      <c r="AK175" s="74" t="s">
        <v>2084</v>
      </c>
      <c r="AL175" s="77">
        <f t="shared" ca="1" si="437"/>
        <v>0</v>
      </c>
      <c r="AM175" s="110"/>
      <c r="AN175" s="74" t="s">
        <v>2084</v>
      </c>
      <c r="AO175" s="77">
        <f t="shared" ca="1" si="437"/>
        <v>0</v>
      </c>
      <c r="AP175" s="110"/>
      <c r="AQ175" s="74" t="s">
        <v>2222</v>
      </c>
      <c r="AR175" s="77">
        <f t="shared" ca="1" si="437"/>
        <v>0</v>
      </c>
      <c r="AS175" s="110"/>
      <c r="AT175" s="74" t="s">
        <v>2240</v>
      </c>
      <c r="AU175" s="77">
        <f t="shared" ca="1" si="437"/>
        <v>0</v>
      </c>
      <c r="AV175" s="110"/>
      <c r="AW175" s="74" t="s">
        <v>2084</v>
      </c>
      <c r="AX175" s="77">
        <f t="shared" ca="1" si="437"/>
        <v>0</v>
      </c>
      <c r="AY175" s="110"/>
      <c r="AZ175" s="74" t="s">
        <v>2116</v>
      </c>
      <c r="BA175" s="77">
        <f t="shared" ca="1" si="437"/>
        <v>0</v>
      </c>
      <c r="BB175" s="110"/>
      <c r="BC175" s="74" t="s">
        <v>2311</v>
      </c>
      <c r="BD175" s="77">
        <f t="shared" ca="1" si="437"/>
        <v>0</v>
      </c>
      <c r="BE175" s="110"/>
      <c r="BF175" s="74" t="s">
        <v>2343</v>
      </c>
      <c r="BG175" s="77">
        <f t="shared" ca="1" si="437"/>
        <v>0</v>
      </c>
      <c r="BH175" s="110"/>
      <c r="BI175" s="74" t="s">
        <v>2311</v>
      </c>
      <c r="BJ175" s="77">
        <f t="shared" ca="1" si="437"/>
        <v>0</v>
      </c>
      <c r="BK175" s="110"/>
      <c r="BL175" s="74" t="s">
        <v>2390</v>
      </c>
      <c r="BM175" s="77">
        <f t="shared" ca="1" si="437"/>
        <v>0</v>
      </c>
      <c r="BN175" s="110"/>
      <c r="BO175" s="74" t="s">
        <v>2557</v>
      </c>
      <c r="BP175" s="77">
        <f t="shared" ca="1" si="437"/>
        <v>0</v>
      </c>
      <c r="BQ175" s="110"/>
      <c r="BR175" s="74" t="s">
        <v>2240</v>
      </c>
      <c r="BS175" s="77">
        <f t="shared" ca="1" si="437"/>
        <v>0</v>
      </c>
      <c r="BT175" s="110"/>
      <c r="BU175" s="74" t="s">
        <v>2084</v>
      </c>
      <c r="BV175" s="77">
        <f t="shared" ca="1" si="437"/>
        <v>0</v>
      </c>
      <c r="BW175" s="110"/>
      <c r="BX175" s="74" t="s">
        <v>2084</v>
      </c>
      <c r="BY175" s="77">
        <f t="shared" ca="1" si="437"/>
        <v>0</v>
      </c>
      <c r="BZ175" s="110"/>
      <c r="CA175" s="74" t="s">
        <v>2467</v>
      </c>
      <c r="CB175" s="77">
        <f t="shared" ca="1" si="437"/>
        <v>0</v>
      </c>
      <c r="CC175" s="110"/>
      <c r="CD175" s="74" t="s">
        <v>2501</v>
      </c>
      <c r="CE175" s="77">
        <f t="shared" ca="1" si="437"/>
        <v>0</v>
      </c>
      <c r="CF175" s="110"/>
      <c r="CG175" s="74" t="s">
        <v>2084</v>
      </c>
      <c r="CH175" s="77">
        <f t="shared" ca="1" si="437"/>
        <v>0</v>
      </c>
      <c r="CI175" s="110"/>
      <c r="CJ175" s="74" t="s">
        <v>2084</v>
      </c>
      <c r="CK175" s="77">
        <f t="shared" ca="1" si="459"/>
        <v>0</v>
      </c>
      <c r="CL175" s="110"/>
      <c r="CM175" s="74" t="s">
        <v>2311</v>
      </c>
      <c r="CN175" s="77">
        <f t="shared" ca="1" si="459"/>
        <v>0</v>
      </c>
      <c r="CO175" s="110"/>
      <c r="CP175" s="110"/>
    </row>
    <row r="176" spans="1:94">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461"/>
        <v>9</v>
      </c>
      <c r="G176" s="407">
        <f ca="1">VLOOKUP(H176,Equipos!$Q$1:$R$25,2,0)</f>
        <v>20</v>
      </c>
      <c r="H176" s="446" t="str">
        <f>Idiomas!$D$260</f>
        <v>Dieciseisavos de final</v>
      </c>
      <c r="I176" s="43">
        <v>1</v>
      </c>
      <c r="J176" s="845"/>
      <c r="K176" s="56" t="str">
        <f ca="1">CONCATENATE(WORLDCUP!AA113,"-",WORLDCUP!AF113)</f>
        <v>1B-3EFGIJ</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t="s">
        <v>1967</v>
      </c>
      <c r="T176" s="77">
        <f t="shared" ca="1" si="465"/>
        <v>0</v>
      </c>
      <c r="U176" s="110"/>
      <c r="V176" s="74" t="s">
        <v>2011</v>
      </c>
      <c r="W176" s="77">
        <f t="shared" ca="1" si="437"/>
        <v>0</v>
      </c>
      <c r="X176" s="110"/>
      <c r="Y176" s="74" t="s">
        <v>2046</v>
      </c>
      <c r="Z176" s="77">
        <f t="shared" ca="1" si="437"/>
        <v>0</v>
      </c>
      <c r="AA176" s="110"/>
      <c r="AB176" s="74" t="s">
        <v>2085</v>
      </c>
      <c r="AC176" s="77">
        <f t="shared" ca="1" si="437"/>
        <v>0</v>
      </c>
      <c r="AD176" s="110"/>
      <c r="AE176" s="74" t="s">
        <v>2117</v>
      </c>
      <c r="AF176" s="77">
        <f t="shared" ca="1" si="437"/>
        <v>0</v>
      </c>
      <c r="AG176" s="110"/>
      <c r="AH176" s="74" t="s">
        <v>2151</v>
      </c>
      <c r="AI176" s="77">
        <f t="shared" ca="1" si="437"/>
        <v>0</v>
      </c>
      <c r="AJ176" s="110"/>
      <c r="AK176" s="74" t="s">
        <v>2175</v>
      </c>
      <c r="AL176" s="77">
        <f t="shared" ca="1" si="437"/>
        <v>0</v>
      </c>
      <c r="AM176" s="110"/>
      <c r="AN176" s="74" t="s">
        <v>2198</v>
      </c>
      <c r="AO176" s="77">
        <f t="shared" ca="1" si="437"/>
        <v>0</v>
      </c>
      <c r="AP176" s="110"/>
      <c r="AQ176" s="74" t="s">
        <v>2223</v>
      </c>
      <c r="AR176" s="77">
        <f t="shared" ca="1" si="437"/>
        <v>0</v>
      </c>
      <c r="AS176" s="110"/>
      <c r="AT176" s="74" t="s">
        <v>2241</v>
      </c>
      <c r="AU176" s="77">
        <f t="shared" ca="1" si="437"/>
        <v>0</v>
      </c>
      <c r="AV176" s="110"/>
      <c r="AW176" s="74" t="s">
        <v>2260</v>
      </c>
      <c r="AX176" s="77">
        <f t="shared" ca="1" si="437"/>
        <v>0</v>
      </c>
      <c r="AY176" s="110"/>
      <c r="AZ176" s="74" t="s">
        <v>2286</v>
      </c>
      <c r="BA176" s="77">
        <f t="shared" ca="1" si="437"/>
        <v>0</v>
      </c>
      <c r="BB176" s="110"/>
      <c r="BC176" s="74" t="s">
        <v>2312</v>
      </c>
      <c r="BD176" s="77">
        <f t="shared" ca="1" si="437"/>
        <v>0</v>
      </c>
      <c r="BE176" s="110"/>
      <c r="BF176" s="74" t="s">
        <v>2344</v>
      </c>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t="s">
        <v>2367</v>
      </c>
      <c r="BJ176" s="77">
        <f t="shared" ca="1" si="466"/>
        <v>0</v>
      </c>
      <c r="BK176" s="110"/>
      <c r="BL176" s="74" t="s">
        <v>2241</v>
      </c>
      <c r="BM176" s="77">
        <f t="shared" ca="1" si="466"/>
        <v>0</v>
      </c>
      <c r="BN176" s="110"/>
      <c r="BO176" s="74" t="s">
        <v>2558</v>
      </c>
      <c r="BP176" s="77">
        <f t="shared" ca="1" si="466"/>
        <v>0</v>
      </c>
      <c r="BQ176" s="110"/>
      <c r="BR176" s="74" t="s">
        <v>2415</v>
      </c>
      <c r="BS176" s="77">
        <f t="shared" ca="1" si="466"/>
        <v>0</v>
      </c>
      <c r="BT176" s="110"/>
      <c r="BU176" s="74" t="s">
        <v>2432</v>
      </c>
      <c r="BV176" s="77">
        <f t="shared" ca="1" si="466"/>
        <v>0</v>
      </c>
      <c r="BW176" s="110"/>
      <c r="BX176" s="74" t="s">
        <v>2367</v>
      </c>
      <c r="BY176" s="77">
        <f t="shared" ca="1" si="466"/>
        <v>0</v>
      </c>
      <c r="BZ176" s="110"/>
      <c r="CA176" s="74" t="s">
        <v>2468</v>
      </c>
      <c r="CB176" s="77">
        <f t="shared" ca="1" si="466"/>
        <v>0</v>
      </c>
      <c r="CC176" s="110"/>
      <c r="CD176" s="74" t="s">
        <v>2502</v>
      </c>
      <c r="CE176" s="77">
        <f t="shared" ca="1" si="466"/>
        <v>0</v>
      </c>
      <c r="CF176" s="110"/>
      <c r="CG176" s="74" t="s">
        <v>2151</v>
      </c>
      <c r="CH176" s="77">
        <f t="shared" ca="1" si="466"/>
        <v>0</v>
      </c>
      <c r="CI176" s="110"/>
      <c r="CJ176" s="74" t="s">
        <v>2572</v>
      </c>
      <c r="CK176" s="77">
        <f t="shared" ca="1" si="466"/>
        <v>0</v>
      </c>
      <c r="CL176" s="110"/>
      <c r="CM176" s="74" t="s">
        <v>2592</v>
      </c>
      <c r="CN176" s="77">
        <f t="shared" ca="1" si="466"/>
        <v>0</v>
      </c>
      <c r="CO176" s="110"/>
      <c r="CP176" s="110"/>
    </row>
    <row r="177" spans="1:94">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461"/>
        <v>9</v>
      </c>
      <c r="G177" s="407">
        <f ca="1">VLOOKUP(H177,Equipos!$Q$1:$R$25,2,0)</f>
        <v>20</v>
      </c>
      <c r="H177" s="446" t="str">
        <f>Idiomas!$D$260</f>
        <v>Dieciseisavos de final</v>
      </c>
      <c r="I177" s="43">
        <v>1</v>
      </c>
      <c r="J177" s="845"/>
      <c r="K177" s="56" t="str">
        <f ca="1">CONCATENATE(WORLDCUP!AA114,"-",WORLDCUP!AF114)</f>
        <v>2D-2G</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t="s">
        <v>1968</v>
      </c>
      <c r="T177" s="77">
        <f t="shared" ca="1" si="465"/>
        <v>0</v>
      </c>
      <c r="U177" s="110"/>
      <c r="V177" s="74" t="s">
        <v>2012</v>
      </c>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2047</v>
      </c>
      <c r="Z177" s="77">
        <f t="shared" ca="1" si="467"/>
        <v>0</v>
      </c>
      <c r="AA177" s="110"/>
      <c r="AB177" s="74" t="s">
        <v>2086</v>
      </c>
      <c r="AC177" s="77">
        <f t="shared" ca="1" si="467"/>
        <v>0</v>
      </c>
      <c r="AD177" s="110"/>
      <c r="AE177" s="74" t="s">
        <v>2118</v>
      </c>
      <c r="AF177" s="77">
        <f t="shared" ca="1" si="467"/>
        <v>0</v>
      </c>
      <c r="AG177" s="110"/>
      <c r="AH177" s="74" t="s">
        <v>2152</v>
      </c>
      <c r="AI177" s="77">
        <f t="shared" ca="1" si="467"/>
        <v>0</v>
      </c>
      <c r="AJ177" s="110"/>
      <c r="AK177" s="74" t="s">
        <v>2176</v>
      </c>
      <c r="AL177" s="77">
        <f t="shared" ca="1" si="467"/>
        <v>0</v>
      </c>
      <c r="AM177" s="110"/>
      <c r="AN177" s="74" t="s">
        <v>2199</v>
      </c>
      <c r="AO177" s="77">
        <f t="shared" ca="1" si="467"/>
        <v>0</v>
      </c>
      <c r="AP177" s="110"/>
      <c r="AQ177" s="74" t="s">
        <v>2224</v>
      </c>
      <c r="AR177" s="77">
        <f t="shared" ca="1" si="467"/>
        <v>0</v>
      </c>
      <c r="AS177" s="110"/>
      <c r="AT177" s="74" t="s">
        <v>2242</v>
      </c>
      <c r="AU177" s="77">
        <f t="shared" ca="1" si="467"/>
        <v>0</v>
      </c>
      <c r="AV177" s="110"/>
      <c r="AW177" s="74" t="s">
        <v>2261</v>
      </c>
      <c r="AX177" s="77">
        <f t="shared" ca="1" si="467"/>
        <v>0</v>
      </c>
      <c r="AY177" s="110"/>
      <c r="AZ177" s="74" t="s">
        <v>2287</v>
      </c>
      <c r="BA177" s="77">
        <f t="shared" ca="1" si="467"/>
        <v>0</v>
      </c>
      <c r="BB177" s="110"/>
      <c r="BC177" s="74" t="s">
        <v>2313</v>
      </c>
      <c r="BD177" s="77">
        <f t="shared" ca="1" si="467"/>
        <v>0</v>
      </c>
      <c r="BE177" s="110"/>
      <c r="BF177" s="74" t="s">
        <v>2345</v>
      </c>
      <c r="BG177" s="77">
        <f t="shared" ca="1" si="467"/>
        <v>0</v>
      </c>
      <c r="BH177" s="110"/>
      <c r="BI177" s="74" t="s">
        <v>2199</v>
      </c>
      <c r="BJ177" s="77">
        <f t="shared" ca="1" si="467"/>
        <v>0</v>
      </c>
      <c r="BK177" s="110"/>
      <c r="BL177" s="74" t="s">
        <v>2118</v>
      </c>
      <c r="BM177" s="77">
        <f t="shared" ca="1" si="467"/>
        <v>0</v>
      </c>
      <c r="BN177" s="110"/>
      <c r="BO177" s="74" t="s">
        <v>2118</v>
      </c>
      <c r="BP177" s="77">
        <f t="shared" ca="1" si="467"/>
        <v>0</v>
      </c>
      <c r="BQ177" s="110"/>
      <c r="BR177" s="74" t="s">
        <v>2152</v>
      </c>
      <c r="BS177" s="77">
        <f t="shared" ca="1" si="467"/>
        <v>0</v>
      </c>
      <c r="BT177" s="110"/>
      <c r="BU177" s="74" t="s">
        <v>2224</v>
      </c>
      <c r="BV177" s="77">
        <f t="shared" ca="1" si="467"/>
        <v>0</v>
      </c>
      <c r="BW177" s="110"/>
      <c r="BX177" s="74" t="s">
        <v>2242</v>
      </c>
      <c r="BY177" s="77">
        <f t="shared" ca="1" si="467"/>
        <v>0</v>
      </c>
      <c r="BZ177" s="110"/>
      <c r="CA177" s="74" t="s">
        <v>2469</v>
      </c>
      <c r="CB177" s="77">
        <f t="shared" ca="1" si="467"/>
        <v>0</v>
      </c>
      <c r="CC177" s="110"/>
      <c r="CD177" s="74" t="s">
        <v>2503</v>
      </c>
      <c r="CE177" s="77">
        <f t="shared" ca="1" si="467"/>
        <v>0</v>
      </c>
      <c r="CF177" s="110"/>
      <c r="CG177" s="74" t="s">
        <v>2531</v>
      </c>
      <c r="CH177" s="77">
        <f t="shared" ca="1" si="467"/>
        <v>0</v>
      </c>
      <c r="CI177" s="110"/>
      <c r="CJ177" s="74" t="s">
        <v>2573</v>
      </c>
      <c r="CK177" s="77">
        <f t="shared" ca="1" si="466"/>
        <v>0</v>
      </c>
      <c r="CL177" s="110"/>
      <c r="CM177" s="74" t="s">
        <v>2242</v>
      </c>
      <c r="CN177" s="77">
        <f t="shared" ca="1" si="466"/>
        <v>0</v>
      </c>
      <c r="CO177" s="110"/>
      <c r="CP177" s="110"/>
    </row>
    <row r="178" spans="1:94">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461"/>
        <v>9</v>
      </c>
      <c r="G178" s="407">
        <f ca="1">VLOOKUP(H178,Equipos!$Q$1:$R$25,2,0)</f>
        <v>20</v>
      </c>
      <c r="H178" s="446" t="str">
        <f>Idiomas!$D$260</f>
        <v>Dieciseisavos de final</v>
      </c>
      <c r="I178" s="43">
        <v>1</v>
      </c>
      <c r="J178" s="845"/>
      <c r="K178" s="56" t="str">
        <f ca="1">CONCATENATE(WORLDCUP!AA115,"-",WORLDCUP!AF115)</f>
        <v>1J-2H</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t="s">
        <v>1969</v>
      </c>
      <c r="T178" s="77">
        <f t="shared" ca="1" si="465"/>
        <v>0</v>
      </c>
      <c r="U178" s="110"/>
      <c r="V178" s="74" t="s">
        <v>2013</v>
      </c>
      <c r="W178" s="77">
        <f t="shared" ca="1" si="467"/>
        <v>0</v>
      </c>
      <c r="X178" s="110"/>
      <c r="Y178" s="74" t="s">
        <v>1969</v>
      </c>
      <c r="Z178" s="77">
        <f t="shared" ca="1" si="467"/>
        <v>0</v>
      </c>
      <c r="AA178" s="110"/>
      <c r="AB178" s="74" t="s">
        <v>1969</v>
      </c>
      <c r="AC178" s="77">
        <f t="shared" ca="1" si="467"/>
        <v>0</v>
      </c>
      <c r="AD178" s="110"/>
      <c r="AE178" s="74" t="s">
        <v>2119</v>
      </c>
      <c r="AF178" s="77">
        <f t="shared" ca="1" si="467"/>
        <v>0</v>
      </c>
      <c r="AG178" s="110"/>
      <c r="AH178" s="74" t="s">
        <v>2153</v>
      </c>
      <c r="AI178" s="77">
        <f t="shared" ca="1" si="467"/>
        <v>0</v>
      </c>
      <c r="AJ178" s="110"/>
      <c r="AK178" s="74" t="s">
        <v>2153</v>
      </c>
      <c r="AL178" s="77">
        <f t="shared" ca="1" si="467"/>
        <v>0</v>
      </c>
      <c r="AM178" s="110"/>
      <c r="AN178" s="74" t="s">
        <v>2153</v>
      </c>
      <c r="AO178" s="77">
        <f t="shared" ca="1" si="467"/>
        <v>0</v>
      </c>
      <c r="AP178" s="110"/>
      <c r="AQ178" s="74" t="s">
        <v>2225</v>
      </c>
      <c r="AR178" s="77">
        <f t="shared" ca="1" si="467"/>
        <v>0</v>
      </c>
      <c r="AS178" s="110"/>
      <c r="AT178" s="74" t="s">
        <v>2153</v>
      </c>
      <c r="AU178" s="77">
        <f t="shared" ca="1" si="467"/>
        <v>0</v>
      </c>
      <c r="AV178" s="110"/>
      <c r="AW178" s="74" t="s">
        <v>2153</v>
      </c>
      <c r="AX178" s="77">
        <f t="shared" ca="1" si="467"/>
        <v>0</v>
      </c>
      <c r="AY178" s="110"/>
      <c r="AZ178" s="74" t="s">
        <v>2288</v>
      </c>
      <c r="BA178" s="77">
        <f t="shared" ca="1" si="467"/>
        <v>0</v>
      </c>
      <c r="BB178" s="110"/>
      <c r="BC178" s="74" t="s">
        <v>2314</v>
      </c>
      <c r="BD178" s="77">
        <f t="shared" ca="1" si="467"/>
        <v>0</v>
      </c>
      <c r="BE178" s="110"/>
      <c r="BF178" s="74" t="s">
        <v>2346</v>
      </c>
      <c r="BG178" s="77">
        <f t="shared" ca="1" si="467"/>
        <v>0</v>
      </c>
      <c r="BH178" s="110"/>
      <c r="BI178" s="74" t="s">
        <v>2225</v>
      </c>
      <c r="BJ178" s="77">
        <f t="shared" ca="1" si="467"/>
        <v>0</v>
      </c>
      <c r="BK178" s="110"/>
      <c r="BL178" s="74" t="s">
        <v>1969</v>
      </c>
      <c r="BM178" s="77">
        <f t="shared" ca="1" si="467"/>
        <v>0</v>
      </c>
      <c r="BN178" s="110"/>
      <c r="BO178" s="74" t="s">
        <v>2225</v>
      </c>
      <c r="BP178" s="77">
        <f t="shared" ca="1" si="467"/>
        <v>0</v>
      </c>
      <c r="BQ178" s="110"/>
      <c r="BR178" s="74" t="s">
        <v>2225</v>
      </c>
      <c r="BS178" s="77">
        <f t="shared" ca="1" si="467"/>
        <v>0</v>
      </c>
      <c r="BT178" s="110"/>
      <c r="BU178" s="74" t="s">
        <v>2153</v>
      </c>
      <c r="BV178" s="77">
        <f t="shared" ca="1" si="467"/>
        <v>0</v>
      </c>
      <c r="BW178" s="110"/>
      <c r="BX178" s="74" t="s">
        <v>2153</v>
      </c>
      <c r="BY178" s="77">
        <f t="shared" ca="1" si="467"/>
        <v>0</v>
      </c>
      <c r="BZ178" s="110"/>
      <c r="CA178" s="74" t="s">
        <v>2470</v>
      </c>
      <c r="CB178" s="77">
        <f t="shared" ca="1" si="467"/>
        <v>0</v>
      </c>
      <c r="CC178" s="110"/>
      <c r="CD178" s="74" t="s">
        <v>2288</v>
      </c>
      <c r="CE178" s="77">
        <f t="shared" ca="1" si="467"/>
        <v>0</v>
      </c>
      <c r="CF178" s="110"/>
      <c r="CG178" s="74" t="s">
        <v>2225</v>
      </c>
      <c r="CH178" s="77">
        <f t="shared" ca="1" si="467"/>
        <v>0</v>
      </c>
      <c r="CI178" s="110"/>
      <c r="CJ178" s="74" t="s">
        <v>2153</v>
      </c>
      <c r="CK178" s="77">
        <f t="shared" ca="1" si="466"/>
        <v>0</v>
      </c>
      <c r="CL178" s="110"/>
      <c r="CM178" s="74" t="s">
        <v>1969</v>
      </c>
      <c r="CN178" s="77">
        <f t="shared" ca="1" si="466"/>
        <v>0</v>
      </c>
      <c r="CO178" s="110"/>
      <c r="CP178" s="110"/>
    </row>
    <row r="179" spans="1:94">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461"/>
        <v>9</v>
      </c>
      <c r="G179" s="407">
        <f ca="1">VLOOKUP(H179,Equipos!$Q$1:$R$25,2,0)</f>
        <v>20</v>
      </c>
      <c r="H179" s="446" t="str">
        <f>Idiomas!$D$260</f>
        <v>Dieciseisavos de final</v>
      </c>
      <c r="I179" s="43">
        <v>1</v>
      </c>
      <c r="J179" s="845"/>
      <c r="K179" s="115" t="str">
        <f ca="1">CONCATENATE(WORLDCUP!AA116,"-",WORLDCUP!AF116)</f>
        <v>1K-3DEIJL</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t="s">
        <v>1970</v>
      </c>
      <c r="T179" s="81">
        <f t="shared" ca="1" si="465"/>
        <v>0</v>
      </c>
      <c r="U179" s="110"/>
      <c r="V179" s="80" t="s">
        <v>2014</v>
      </c>
      <c r="W179" s="81">
        <f t="shared" ca="1" si="467"/>
        <v>0</v>
      </c>
      <c r="X179" s="110"/>
      <c r="Y179" s="80" t="s">
        <v>2048</v>
      </c>
      <c r="Z179" s="81">
        <f t="shared" ca="1" si="467"/>
        <v>0</v>
      </c>
      <c r="AA179" s="110"/>
      <c r="AB179" s="80" t="s">
        <v>2087</v>
      </c>
      <c r="AC179" s="81">
        <f t="shared" ca="1" si="467"/>
        <v>0</v>
      </c>
      <c r="AD179" s="110"/>
      <c r="AE179" s="80" t="s">
        <v>2120</v>
      </c>
      <c r="AF179" s="81">
        <f t="shared" ca="1" si="467"/>
        <v>0</v>
      </c>
      <c r="AG179" s="110"/>
      <c r="AH179" s="80" t="s">
        <v>2154</v>
      </c>
      <c r="AI179" s="81">
        <f t="shared" ca="1" si="467"/>
        <v>0</v>
      </c>
      <c r="AJ179" s="110"/>
      <c r="AK179" s="80" t="s">
        <v>2177</v>
      </c>
      <c r="AL179" s="81">
        <f t="shared" ca="1" si="467"/>
        <v>0</v>
      </c>
      <c r="AM179" s="110"/>
      <c r="AN179" s="80" t="s">
        <v>2200</v>
      </c>
      <c r="AO179" s="81">
        <f t="shared" ca="1" si="467"/>
        <v>0</v>
      </c>
      <c r="AP179" s="110"/>
      <c r="AQ179" s="80" t="s">
        <v>2226</v>
      </c>
      <c r="AR179" s="81">
        <f t="shared" ca="1" si="467"/>
        <v>0</v>
      </c>
      <c r="AS179" s="110"/>
      <c r="AT179" s="80" t="s">
        <v>2120</v>
      </c>
      <c r="AU179" s="81">
        <f t="shared" ca="1" si="467"/>
        <v>0</v>
      </c>
      <c r="AV179" s="110"/>
      <c r="AW179" s="80" t="s">
        <v>2262</v>
      </c>
      <c r="AX179" s="81">
        <f t="shared" ca="1" si="467"/>
        <v>0</v>
      </c>
      <c r="AY179" s="110"/>
      <c r="AZ179" s="80" t="s">
        <v>2120</v>
      </c>
      <c r="BA179" s="81">
        <f t="shared" ca="1" si="467"/>
        <v>0</v>
      </c>
      <c r="BB179" s="110"/>
      <c r="BC179" s="80" t="s">
        <v>2120</v>
      </c>
      <c r="BD179" s="81">
        <f t="shared" ca="1" si="467"/>
        <v>0</v>
      </c>
      <c r="BE179" s="110"/>
      <c r="BF179" s="80" t="s">
        <v>2347</v>
      </c>
      <c r="BG179" s="81">
        <f t="shared" ca="1" si="467"/>
        <v>0</v>
      </c>
      <c r="BH179" s="110"/>
      <c r="BI179" s="80" t="s">
        <v>2154</v>
      </c>
      <c r="BJ179" s="81">
        <f t="shared" ca="1" si="467"/>
        <v>0</v>
      </c>
      <c r="BK179" s="110"/>
      <c r="BL179" s="80" t="s">
        <v>2120</v>
      </c>
      <c r="BM179" s="81">
        <f t="shared" ca="1" si="467"/>
        <v>0</v>
      </c>
      <c r="BN179" s="110"/>
      <c r="BO179" s="80" t="s">
        <v>2154</v>
      </c>
      <c r="BP179" s="81">
        <f t="shared" ca="1" si="467"/>
        <v>0</v>
      </c>
      <c r="BQ179" s="110"/>
      <c r="BR179" s="80" t="s">
        <v>2120</v>
      </c>
      <c r="BS179" s="81">
        <f t="shared" ca="1" si="467"/>
        <v>0</v>
      </c>
      <c r="BT179" s="110"/>
      <c r="BU179" s="80" t="s">
        <v>2433</v>
      </c>
      <c r="BV179" s="81">
        <f t="shared" ca="1" si="467"/>
        <v>0</v>
      </c>
      <c r="BW179" s="110"/>
      <c r="BX179" s="80" t="s">
        <v>2200</v>
      </c>
      <c r="BY179" s="81">
        <f t="shared" ca="1" si="467"/>
        <v>0</v>
      </c>
      <c r="BZ179" s="110"/>
      <c r="CA179" s="80" t="s">
        <v>2471</v>
      </c>
      <c r="CB179" s="81">
        <f t="shared" ca="1" si="467"/>
        <v>0</v>
      </c>
      <c r="CC179" s="110"/>
      <c r="CD179" s="80" t="s">
        <v>2504</v>
      </c>
      <c r="CE179" s="81">
        <f t="shared" ca="1" si="467"/>
        <v>0</v>
      </c>
      <c r="CF179" s="110"/>
      <c r="CG179" s="80" t="s">
        <v>2262</v>
      </c>
      <c r="CH179" s="81">
        <f t="shared" ca="1" si="467"/>
        <v>0</v>
      </c>
      <c r="CI179" s="110"/>
      <c r="CJ179" s="80" t="s">
        <v>2087</v>
      </c>
      <c r="CK179" s="81">
        <f t="shared" ca="1" si="466"/>
        <v>0</v>
      </c>
      <c r="CL179" s="110"/>
      <c r="CM179" s="80" t="s">
        <v>2200</v>
      </c>
      <c r="CN179" s="81">
        <f t="shared" ca="1" si="466"/>
        <v>0</v>
      </c>
      <c r="CO179" s="110"/>
      <c r="CP179" s="110"/>
    </row>
    <row r="180" spans="1:94">
      <c r="A180" s="25"/>
      <c r="B180" s="25"/>
      <c r="C180" s="25"/>
      <c r="D180" s="25"/>
      <c r="E180" s="25"/>
      <c r="F180" s="407"/>
      <c r="G180" s="407"/>
      <c r="H180" s="446"/>
      <c r="I180" s="50"/>
      <c r="J180" s="94"/>
      <c r="K180" s="434" t="str">
        <f>Idiomas!D458</f>
        <v>Partidos 1/16</v>
      </c>
      <c r="L180" s="435"/>
      <c r="M180" s="434" t="str">
        <f>"Max: "&amp;SUM($D$16:$D$18)*SUM($I$164:$I$179)</f>
        <v>Max: 144</v>
      </c>
      <c r="N180" s="25"/>
      <c r="O180" s="25"/>
      <c r="P180" s="25"/>
      <c r="Q180" s="25"/>
      <c r="R180" s="49"/>
      <c r="S180" s="84"/>
      <c r="T180" s="71">
        <f ca="1">SUM(T164:T179)</f>
        <v>0</v>
      </c>
      <c r="U180" s="65"/>
      <c r="V180" s="84"/>
      <c r="W180" s="71">
        <f t="shared" ref="W180" ca="1" si="468">SUM(W164:W179)</f>
        <v>0</v>
      </c>
      <c r="X180" s="65"/>
      <c r="Y180" s="84"/>
      <c r="Z180" s="71">
        <f t="shared" ref="Z180" ca="1" si="469">SUM(Z164:Z179)</f>
        <v>0</v>
      </c>
      <c r="AA180" s="65"/>
      <c r="AB180" s="84"/>
      <c r="AC180" s="71">
        <f t="shared" ref="AC180" ca="1" si="470">SUM(AC164:AC179)</f>
        <v>0</v>
      </c>
      <c r="AD180" s="65"/>
      <c r="AE180" s="84"/>
      <c r="AF180" s="71">
        <f t="shared" ref="AF180" ca="1" si="471">SUM(AF164:AF179)</f>
        <v>0</v>
      </c>
      <c r="AG180" s="65"/>
      <c r="AH180" s="84"/>
      <c r="AI180" s="71">
        <f t="shared" ref="AI180" ca="1" si="472">SUM(AI164:AI179)</f>
        <v>0</v>
      </c>
      <c r="AJ180" s="65"/>
      <c r="AK180" s="84"/>
      <c r="AL180" s="71">
        <f t="shared" ref="AL180" ca="1" si="473">SUM(AL164:AL179)</f>
        <v>0</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4</v>
      </c>
      <c r="G182" s="407">
        <f ca="1">VLOOKUP(H182,Equipos!$Q$1:$R$25,2,0)</f>
        <v>20</v>
      </c>
      <c r="H182" s="446" t="str">
        <f>Idiomas!$D$260</f>
        <v>Dieciseisavos de final</v>
      </c>
      <c r="I182" s="50"/>
      <c r="J182" s="845" t="s">
        <v>88</v>
      </c>
      <c r="K182" s="53" t="str">
        <f>Idiomas!$D$199&amp;"-"&amp;ROWS($L$182:L182)</f>
        <v>Octavofinalista-1</v>
      </c>
      <c r="L182" s="53"/>
      <c r="M182" s="55" t="str">
        <f>WORLDCUP!AA120</f>
        <v>W73</v>
      </c>
      <c r="N182" s="25"/>
      <c r="O182" s="25"/>
      <c r="P182" s="25"/>
      <c r="Q182" s="25"/>
      <c r="R182" s="110"/>
      <c r="S182" s="76" t="s">
        <v>1259</v>
      </c>
      <c r="T182" s="77">
        <f t="shared" ref="T182:T197" si="492">COUNTIF($M$182:$M$197,S182)*$D$19</f>
        <v>0</v>
      </c>
      <c r="U182" s="64"/>
      <c r="V182" s="76" t="s">
        <v>1259</v>
      </c>
      <c r="W182" s="77">
        <f t="shared" ref="W182:W197" si="493">COUNTIF($M$182:$M$197,V182)*$D$19</f>
        <v>0</v>
      </c>
      <c r="X182" s="64"/>
      <c r="Y182" s="76" t="s">
        <v>1259</v>
      </c>
      <c r="Z182" s="77">
        <f t="shared" ref="Z182:Z197" si="494">COUNTIF($M$182:$M$197,Y182)*$D$19</f>
        <v>0</v>
      </c>
      <c r="AA182" s="64"/>
      <c r="AB182" s="76" t="s">
        <v>75</v>
      </c>
      <c r="AC182" s="77">
        <f t="shared" ref="AC182:AC197" si="495">COUNTIF($M$182:$M$197,AB182)*$D$19</f>
        <v>0</v>
      </c>
      <c r="AD182" s="64"/>
      <c r="AE182" s="76" t="s">
        <v>75</v>
      </c>
      <c r="AF182" s="77">
        <f t="shared" ref="AF182:AF197" si="496">COUNTIF($M$182:$M$197,AE182)*$D$19</f>
        <v>0</v>
      </c>
      <c r="AG182" s="64"/>
      <c r="AH182" s="76" t="s">
        <v>75</v>
      </c>
      <c r="AI182" s="77">
        <f t="shared" ref="AI182:AI197" si="497">COUNTIF($M$182:$M$197,AH182)*$D$19</f>
        <v>0</v>
      </c>
      <c r="AJ182" s="64"/>
      <c r="AK182" s="76" t="s">
        <v>1260</v>
      </c>
      <c r="AL182" s="77">
        <f t="shared" ref="AL182:AL197" si="498">COUNTIF($M$182:$M$197,AK182)*$D$19</f>
        <v>0</v>
      </c>
      <c r="AM182" s="64"/>
      <c r="AN182" s="76" t="s">
        <v>1265</v>
      </c>
      <c r="AO182" s="77">
        <f t="shared" ref="AO182:AO197" si="499">COUNTIF($M$182:$M$197,AN182)*$D$19</f>
        <v>0</v>
      </c>
      <c r="AP182" s="64"/>
      <c r="AQ182" s="76" t="s">
        <v>1843</v>
      </c>
      <c r="AR182" s="77">
        <f t="shared" ref="AR182:AR197" si="500">COUNTIF($M$182:$M$197,AQ182)*$D$19</f>
        <v>0</v>
      </c>
      <c r="AS182" s="64"/>
      <c r="AT182" s="76" t="s">
        <v>1259</v>
      </c>
      <c r="AU182" s="77">
        <f t="shared" ref="AU182:AU197" si="501">COUNTIF($M$182:$M$197,AT182)*$D$19</f>
        <v>0</v>
      </c>
      <c r="AV182" s="64"/>
      <c r="AW182" s="76" t="s">
        <v>1259</v>
      </c>
      <c r="AX182" s="77">
        <f t="shared" ref="AX182:AX197" si="502">COUNTIF($M$182:$M$197,AW182)*$D$19</f>
        <v>0</v>
      </c>
      <c r="AY182" s="64"/>
      <c r="AZ182" s="76" t="s">
        <v>1260</v>
      </c>
      <c r="BA182" s="77">
        <f t="shared" ref="BA182:BA197" si="503">COUNTIF($M$182:$M$197,AZ182)*$D$19</f>
        <v>0</v>
      </c>
      <c r="BB182" s="64"/>
      <c r="BC182" s="76" t="s">
        <v>1843</v>
      </c>
      <c r="BD182" s="77">
        <f t="shared" ref="BD182:BD197" si="504">COUNTIF($M$182:$M$197,BC182)*$D$19</f>
        <v>0</v>
      </c>
      <c r="BE182" s="64"/>
      <c r="BF182" s="76" t="s">
        <v>1259</v>
      </c>
      <c r="BG182" s="77">
        <f t="shared" ref="BG182:BG197" si="505">COUNTIF($M$182:$M$197,BF182)*$D$19</f>
        <v>0</v>
      </c>
      <c r="BH182" s="64"/>
      <c r="BI182" s="76" t="s">
        <v>1260</v>
      </c>
      <c r="BJ182" s="77">
        <f t="shared" ref="BJ182:BJ197" si="506">COUNTIF($M$182:$M$197,BI182)*$D$19</f>
        <v>0</v>
      </c>
      <c r="BK182" s="64"/>
      <c r="BL182" s="76" t="s">
        <v>1260</v>
      </c>
      <c r="BM182" s="77">
        <f t="shared" ref="BM182:BM197" si="507">COUNTIF($M$182:$M$197,BL182)*$D$19</f>
        <v>0</v>
      </c>
      <c r="BN182" s="64"/>
      <c r="BO182" s="76" t="s">
        <v>75</v>
      </c>
      <c r="BP182" s="77">
        <f t="shared" ref="BP182:BP197" si="508">COUNTIF($M$182:$M$197,BO182)*$D$19</f>
        <v>0</v>
      </c>
      <c r="BQ182" s="64"/>
      <c r="BR182" s="76" t="s">
        <v>1841</v>
      </c>
      <c r="BS182" s="77">
        <f t="shared" ref="BS182:BS197" si="509">COUNTIF($M$182:$M$197,BR182)*$D$19</f>
        <v>0</v>
      </c>
      <c r="BT182" s="64"/>
      <c r="BU182" s="76" t="s">
        <v>1843</v>
      </c>
      <c r="BV182" s="77">
        <f t="shared" ref="BV182:BV197" si="510">COUNTIF($M$182:$M$197,BU182)*$D$19</f>
        <v>0</v>
      </c>
      <c r="BW182" s="64"/>
      <c r="BX182" s="76" t="s">
        <v>1259</v>
      </c>
      <c r="BY182" s="77">
        <f t="shared" ref="BY182:BY197" si="511">COUNTIF($M$182:$M$197,BX182)*$D$19</f>
        <v>0</v>
      </c>
      <c r="BZ182" s="64"/>
      <c r="CA182" s="76" t="s">
        <v>1843</v>
      </c>
      <c r="CB182" s="77">
        <f t="shared" ref="CB182:CB197" si="512">COUNTIF($M$182:$M$197,CA182)*$D$19</f>
        <v>0</v>
      </c>
      <c r="CC182" s="64"/>
      <c r="CD182" s="76" t="s">
        <v>1265</v>
      </c>
      <c r="CE182" s="77">
        <f t="shared" ref="CE182:CE197" si="513">COUNTIF($M$182:$M$197,CD182)*$D$19</f>
        <v>0</v>
      </c>
      <c r="CF182" s="64"/>
      <c r="CG182" s="76" t="s">
        <v>75</v>
      </c>
      <c r="CH182" s="77">
        <f t="shared" ref="CH182:CH197" si="514">COUNTIF($M$182:$M$197,CG182)*$D$19</f>
        <v>0</v>
      </c>
      <c r="CI182" s="64"/>
      <c r="CJ182" s="76" t="s">
        <v>1843</v>
      </c>
      <c r="CK182" s="77">
        <f t="shared" ref="CK182:CK197" si="515">COUNTIF($M$182:$M$197,CJ182)*$D$19</f>
        <v>0</v>
      </c>
      <c r="CL182" s="64"/>
      <c r="CM182" s="76" t="s">
        <v>1259</v>
      </c>
      <c r="CN182" s="77">
        <f t="shared" ref="CN182:CN197" si="516">COUNTIF($M$182:$M$197,CM182)*$D$19</f>
        <v>0</v>
      </c>
      <c r="CO182" s="64"/>
      <c r="CP182" s="64"/>
    </row>
    <row r="183" spans="1:94">
      <c r="A183" s="25"/>
      <c r="B183" s="25"/>
      <c r="C183" s="25"/>
      <c r="D183" s="25"/>
      <c r="E183" s="25"/>
      <c r="F183" s="407">
        <f t="shared" ref="F183:F197" si="517">$D$19</f>
        <v>4</v>
      </c>
      <c r="G183" s="407">
        <f ca="1">VLOOKUP(H183,Equipos!$Q$1:$R$25,2,0)</f>
        <v>20</v>
      </c>
      <c r="H183" s="446" t="str">
        <f>Idiomas!$D$260</f>
        <v>Dieciseisavos de final</v>
      </c>
      <c r="I183" s="50"/>
      <c r="J183" s="845"/>
      <c r="K183" s="56" t="str">
        <f>Idiomas!$D$199&amp;"-"&amp;ROWS($L$182:L183)</f>
        <v>Octavofinalista-2</v>
      </c>
      <c r="L183" s="53"/>
      <c r="M183" s="55" t="str">
        <f>WORLDCUP!AA121</f>
        <v>W74</v>
      </c>
      <c r="N183" s="25"/>
      <c r="O183" s="25"/>
      <c r="P183" s="25"/>
      <c r="Q183" s="25"/>
      <c r="R183" s="110"/>
      <c r="S183" s="74" t="s">
        <v>77</v>
      </c>
      <c r="T183" s="73">
        <f t="shared" si="492"/>
        <v>0</v>
      </c>
      <c r="U183" s="64"/>
      <c r="V183" s="74" t="s">
        <v>1261</v>
      </c>
      <c r="W183" s="73">
        <f t="shared" si="493"/>
        <v>0</v>
      </c>
      <c r="X183" s="64"/>
      <c r="Y183" s="74" t="s">
        <v>1319</v>
      </c>
      <c r="Z183" s="73">
        <f t="shared" si="494"/>
        <v>0</v>
      </c>
      <c r="AA183" s="64"/>
      <c r="AB183" s="74" t="s">
        <v>1261</v>
      </c>
      <c r="AC183" s="73">
        <f t="shared" si="495"/>
        <v>0</v>
      </c>
      <c r="AD183" s="64"/>
      <c r="AE183" s="74" t="s">
        <v>77</v>
      </c>
      <c r="AF183" s="73">
        <f t="shared" si="496"/>
        <v>0</v>
      </c>
      <c r="AG183" s="64"/>
      <c r="AH183" s="74" t="s">
        <v>77</v>
      </c>
      <c r="AI183" s="73">
        <f t="shared" si="497"/>
        <v>0</v>
      </c>
      <c r="AJ183" s="64"/>
      <c r="AK183" s="74" t="s">
        <v>77</v>
      </c>
      <c r="AL183" s="73">
        <f t="shared" si="498"/>
        <v>0</v>
      </c>
      <c r="AM183" s="64"/>
      <c r="AN183" s="74" t="s">
        <v>77</v>
      </c>
      <c r="AO183" s="73">
        <f t="shared" si="499"/>
        <v>0</v>
      </c>
      <c r="AP183" s="64"/>
      <c r="AQ183" s="74" t="s">
        <v>77</v>
      </c>
      <c r="AR183" s="73">
        <f t="shared" si="500"/>
        <v>0</v>
      </c>
      <c r="AS183" s="64"/>
      <c r="AT183" s="74" t="s">
        <v>77</v>
      </c>
      <c r="AU183" s="73">
        <f t="shared" si="501"/>
        <v>0</v>
      </c>
      <c r="AV183" s="64"/>
      <c r="AW183" s="74" t="s">
        <v>77</v>
      </c>
      <c r="AX183" s="73">
        <f t="shared" si="502"/>
        <v>0</v>
      </c>
      <c r="AY183" s="64"/>
      <c r="AZ183" s="74" t="s">
        <v>77</v>
      </c>
      <c r="BA183" s="73">
        <f t="shared" si="503"/>
        <v>0</v>
      </c>
      <c r="BB183" s="64"/>
      <c r="BC183" s="74" t="s">
        <v>77</v>
      </c>
      <c r="BD183" s="73">
        <f t="shared" si="504"/>
        <v>0</v>
      </c>
      <c r="BE183" s="64"/>
      <c r="BF183" s="74" t="s">
        <v>77</v>
      </c>
      <c r="BG183" s="73">
        <f t="shared" si="505"/>
        <v>0</v>
      </c>
      <c r="BH183" s="64"/>
      <c r="BI183" s="74" t="s">
        <v>1633</v>
      </c>
      <c r="BJ183" s="73">
        <f t="shared" si="506"/>
        <v>0</v>
      </c>
      <c r="BK183" s="64"/>
      <c r="BL183" s="74" t="s">
        <v>77</v>
      </c>
      <c r="BM183" s="73">
        <f t="shared" si="507"/>
        <v>0</v>
      </c>
      <c r="BN183" s="64"/>
      <c r="BO183" s="74" t="s">
        <v>77</v>
      </c>
      <c r="BP183" s="73">
        <f t="shared" si="508"/>
        <v>0</v>
      </c>
      <c r="BQ183" s="64"/>
      <c r="BR183" s="74" t="s">
        <v>77</v>
      </c>
      <c r="BS183" s="73">
        <f t="shared" si="509"/>
        <v>0</v>
      </c>
      <c r="BT183" s="64"/>
      <c r="BU183" s="74" t="s">
        <v>77</v>
      </c>
      <c r="BV183" s="73">
        <f t="shared" si="510"/>
        <v>0</v>
      </c>
      <c r="BW183" s="64"/>
      <c r="BX183" s="74" t="s">
        <v>77</v>
      </c>
      <c r="BY183" s="73">
        <f t="shared" si="511"/>
        <v>0</v>
      </c>
      <c r="BZ183" s="64"/>
      <c r="CA183" s="74" t="s">
        <v>77</v>
      </c>
      <c r="CB183" s="73">
        <f t="shared" si="512"/>
        <v>0</v>
      </c>
      <c r="CC183" s="64"/>
      <c r="CD183" s="74" t="s">
        <v>77</v>
      </c>
      <c r="CE183" s="73">
        <f t="shared" si="513"/>
        <v>0</v>
      </c>
      <c r="CF183" s="64"/>
      <c r="CG183" s="74" t="s">
        <v>77</v>
      </c>
      <c r="CH183" s="73">
        <f t="shared" si="514"/>
        <v>0</v>
      </c>
      <c r="CI183" s="64"/>
      <c r="CJ183" s="74" t="s">
        <v>77</v>
      </c>
      <c r="CK183" s="73">
        <f t="shared" si="515"/>
        <v>0</v>
      </c>
      <c r="CL183" s="64"/>
      <c r="CM183" s="74" t="s">
        <v>77</v>
      </c>
      <c r="CN183" s="73">
        <f t="shared" si="516"/>
        <v>0</v>
      </c>
      <c r="CO183" s="64"/>
      <c r="CP183" s="64"/>
    </row>
    <row r="184" spans="1:94">
      <c r="A184" s="25"/>
      <c r="B184" s="25"/>
      <c r="C184" s="25"/>
      <c r="D184" s="25"/>
      <c r="E184" s="25"/>
      <c r="F184" s="407">
        <f t="shared" si="517"/>
        <v>4</v>
      </c>
      <c r="G184" s="407">
        <f ca="1">VLOOKUP(H184,Equipos!$Q$1:$R$25,2,0)</f>
        <v>20</v>
      </c>
      <c r="H184" s="446" t="str">
        <f>Idiomas!$D$260</f>
        <v>Dieciseisavos de final</v>
      </c>
      <c r="I184" s="50"/>
      <c r="J184" s="845"/>
      <c r="K184" s="56" t="str">
        <f>Idiomas!$D$199&amp;"-"&amp;ROWS($L$182:L184)</f>
        <v>Octavofinalista-3</v>
      </c>
      <c r="L184" s="53"/>
      <c r="M184" s="55" t="str">
        <f>WORLDCUP!AA122</f>
        <v>W76</v>
      </c>
      <c r="N184" s="25"/>
      <c r="O184" s="25"/>
      <c r="P184" s="25"/>
      <c r="Q184" s="25"/>
      <c r="R184" s="110"/>
      <c r="S184" s="74" t="s">
        <v>1258</v>
      </c>
      <c r="T184" s="73">
        <f t="shared" si="492"/>
        <v>0</v>
      </c>
      <c r="U184" s="64"/>
      <c r="V184" s="74" t="s">
        <v>1258</v>
      </c>
      <c r="W184" s="73">
        <f t="shared" si="493"/>
        <v>0</v>
      </c>
      <c r="X184" s="64"/>
      <c r="Y184" s="74" t="s">
        <v>1258</v>
      </c>
      <c r="Z184" s="73">
        <f t="shared" si="494"/>
        <v>0</v>
      </c>
      <c r="AA184" s="64"/>
      <c r="AB184" s="74" t="s">
        <v>1258</v>
      </c>
      <c r="AC184" s="73">
        <f t="shared" si="495"/>
        <v>0</v>
      </c>
      <c r="AD184" s="64"/>
      <c r="AE184" s="74" t="s">
        <v>1258</v>
      </c>
      <c r="AF184" s="73">
        <f t="shared" si="496"/>
        <v>0</v>
      </c>
      <c r="AG184" s="64"/>
      <c r="AH184" s="74" t="s">
        <v>1258</v>
      </c>
      <c r="AI184" s="73">
        <f t="shared" si="497"/>
        <v>0</v>
      </c>
      <c r="AJ184" s="64"/>
      <c r="AK184" s="74" t="s">
        <v>1258</v>
      </c>
      <c r="AL184" s="73">
        <f t="shared" si="498"/>
        <v>0</v>
      </c>
      <c r="AM184" s="64"/>
      <c r="AN184" s="74" t="s">
        <v>1258</v>
      </c>
      <c r="AO184" s="73">
        <f t="shared" si="499"/>
        <v>0</v>
      </c>
      <c r="AP184" s="64"/>
      <c r="AQ184" s="74" t="s">
        <v>1258</v>
      </c>
      <c r="AR184" s="73">
        <f t="shared" si="500"/>
        <v>0</v>
      </c>
      <c r="AS184" s="64"/>
      <c r="AT184" s="74" t="s">
        <v>1258</v>
      </c>
      <c r="AU184" s="73">
        <f t="shared" si="501"/>
        <v>0</v>
      </c>
      <c r="AV184" s="64"/>
      <c r="AW184" s="74" t="s">
        <v>1258</v>
      </c>
      <c r="AX184" s="73">
        <f t="shared" si="502"/>
        <v>0</v>
      </c>
      <c r="AY184" s="64"/>
      <c r="AZ184" s="74" t="s">
        <v>1258</v>
      </c>
      <c r="BA184" s="73">
        <f t="shared" si="503"/>
        <v>0</v>
      </c>
      <c r="BB184" s="64"/>
      <c r="BC184" s="74" t="s">
        <v>1258</v>
      </c>
      <c r="BD184" s="73">
        <f t="shared" si="504"/>
        <v>0</v>
      </c>
      <c r="BE184" s="64"/>
      <c r="BF184" s="74" t="s">
        <v>1321</v>
      </c>
      <c r="BG184" s="73">
        <f t="shared" si="505"/>
        <v>0</v>
      </c>
      <c r="BH184" s="64"/>
      <c r="BI184" s="74" t="s">
        <v>1258</v>
      </c>
      <c r="BJ184" s="73">
        <f t="shared" si="506"/>
        <v>0</v>
      </c>
      <c r="BK184" s="64"/>
      <c r="BL184" s="74" t="s">
        <v>1258</v>
      </c>
      <c r="BM184" s="73">
        <f t="shared" si="507"/>
        <v>0</v>
      </c>
      <c r="BN184" s="64"/>
      <c r="BO184" s="74" t="s">
        <v>1258</v>
      </c>
      <c r="BP184" s="73">
        <f t="shared" si="508"/>
        <v>0</v>
      </c>
      <c r="BQ184" s="64"/>
      <c r="BR184" s="74" t="s">
        <v>1258</v>
      </c>
      <c r="BS184" s="73">
        <f t="shared" si="509"/>
        <v>0</v>
      </c>
      <c r="BT184" s="64"/>
      <c r="BU184" s="74" t="s">
        <v>1258</v>
      </c>
      <c r="BV184" s="73">
        <f t="shared" si="510"/>
        <v>0</v>
      </c>
      <c r="BW184" s="64"/>
      <c r="BX184" s="74" t="s">
        <v>1258</v>
      </c>
      <c r="BY184" s="73">
        <f t="shared" si="511"/>
        <v>0</v>
      </c>
      <c r="BZ184" s="64"/>
      <c r="CA184" s="74" t="s">
        <v>1833</v>
      </c>
      <c r="CB184" s="73">
        <f t="shared" si="512"/>
        <v>0</v>
      </c>
      <c r="CC184" s="64"/>
      <c r="CD184" s="74" t="s">
        <v>1258</v>
      </c>
      <c r="CE184" s="73">
        <f t="shared" si="513"/>
        <v>0</v>
      </c>
      <c r="CF184" s="64"/>
      <c r="CG184" s="74" t="s">
        <v>1321</v>
      </c>
      <c r="CH184" s="73">
        <f t="shared" si="514"/>
        <v>0</v>
      </c>
      <c r="CI184" s="64"/>
      <c r="CJ184" s="74" t="s">
        <v>1258</v>
      </c>
      <c r="CK184" s="73">
        <f t="shared" si="515"/>
        <v>0</v>
      </c>
      <c r="CL184" s="64"/>
      <c r="CM184" s="74" t="s">
        <v>1258</v>
      </c>
      <c r="CN184" s="73">
        <f t="shared" si="516"/>
        <v>0</v>
      </c>
      <c r="CO184" s="64"/>
      <c r="CP184" s="64"/>
    </row>
    <row r="185" spans="1:94">
      <c r="A185" s="25"/>
      <c r="B185" s="25"/>
      <c r="C185" s="25"/>
      <c r="D185" s="25"/>
      <c r="E185" s="25"/>
      <c r="F185" s="407">
        <f t="shared" si="517"/>
        <v>4</v>
      </c>
      <c r="G185" s="407">
        <f ca="1">VLOOKUP(H185,Equipos!$Q$1:$R$25,2,0)</f>
        <v>20</v>
      </c>
      <c r="H185" s="446" t="str">
        <f>Idiomas!$D$260</f>
        <v>Dieciseisavos de final</v>
      </c>
      <c r="I185" s="50"/>
      <c r="J185" s="845"/>
      <c r="K185" s="56" t="str">
        <f>Idiomas!$D$199&amp;"-"&amp;ROWS($L$182:L185)</f>
        <v>Octavofinalista-4</v>
      </c>
      <c r="L185" s="53"/>
      <c r="M185" s="55" t="str">
        <f>WORLDCUP!AA123</f>
        <v>W79</v>
      </c>
      <c r="N185" s="25"/>
      <c r="O185" s="25"/>
      <c r="P185" s="25"/>
      <c r="Q185" s="25"/>
      <c r="R185" s="110"/>
      <c r="S185" s="74" t="s">
        <v>1265</v>
      </c>
      <c r="T185" s="73">
        <f t="shared" si="492"/>
        <v>0</v>
      </c>
      <c r="U185" s="64"/>
      <c r="V185" s="74" t="s">
        <v>1265</v>
      </c>
      <c r="W185" s="73">
        <f t="shared" si="493"/>
        <v>0</v>
      </c>
      <c r="X185" s="64"/>
      <c r="Y185" s="74" t="s">
        <v>1265</v>
      </c>
      <c r="Z185" s="73">
        <f t="shared" si="494"/>
        <v>0</v>
      </c>
      <c r="AA185" s="64"/>
      <c r="AB185" s="74" t="s">
        <v>1260</v>
      </c>
      <c r="AC185" s="73">
        <f t="shared" si="495"/>
        <v>0</v>
      </c>
      <c r="AD185" s="64"/>
      <c r="AE185" s="74" t="s">
        <v>1261</v>
      </c>
      <c r="AF185" s="73">
        <f t="shared" si="496"/>
        <v>0</v>
      </c>
      <c r="AG185" s="64"/>
      <c r="AH185" s="74" t="s">
        <v>1265</v>
      </c>
      <c r="AI185" s="73">
        <f t="shared" si="497"/>
        <v>0</v>
      </c>
      <c r="AJ185" s="64"/>
      <c r="AK185" s="74" t="s">
        <v>1265</v>
      </c>
      <c r="AL185" s="73">
        <f t="shared" si="498"/>
        <v>0</v>
      </c>
      <c r="AM185" s="64"/>
      <c r="AN185" s="74" t="s">
        <v>1260</v>
      </c>
      <c r="AO185" s="73">
        <f t="shared" si="499"/>
        <v>0</v>
      </c>
      <c r="AP185" s="64"/>
      <c r="AQ185" s="74" t="s">
        <v>1321</v>
      </c>
      <c r="AR185" s="73">
        <f t="shared" si="500"/>
        <v>0</v>
      </c>
      <c r="AS185" s="64"/>
      <c r="AT185" s="74" t="s">
        <v>1265</v>
      </c>
      <c r="AU185" s="73">
        <f t="shared" si="501"/>
        <v>0</v>
      </c>
      <c r="AV185" s="64"/>
      <c r="AW185" s="74" t="s">
        <v>1843</v>
      </c>
      <c r="AX185" s="73">
        <f t="shared" si="502"/>
        <v>0</v>
      </c>
      <c r="AY185" s="64"/>
      <c r="AZ185" s="74" t="s">
        <v>1265</v>
      </c>
      <c r="BA185" s="73">
        <f t="shared" si="503"/>
        <v>0</v>
      </c>
      <c r="BB185" s="64"/>
      <c r="BC185" s="74" t="s">
        <v>1265</v>
      </c>
      <c r="BD185" s="73">
        <f t="shared" si="504"/>
        <v>0</v>
      </c>
      <c r="BE185" s="64"/>
      <c r="BF185" s="74" t="s">
        <v>1265</v>
      </c>
      <c r="BG185" s="73">
        <f t="shared" si="505"/>
        <v>0</v>
      </c>
      <c r="BH185" s="64"/>
      <c r="BI185" s="74" t="s">
        <v>1261</v>
      </c>
      <c r="BJ185" s="73">
        <f t="shared" si="506"/>
        <v>0</v>
      </c>
      <c r="BK185" s="64"/>
      <c r="BL185" s="74" t="s">
        <v>1633</v>
      </c>
      <c r="BM185" s="73">
        <f t="shared" si="507"/>
        <v>0</v>
      </c>
      <c r="BN185" s="64"/>
      <c r="BO185" s="74" t="s">
        <v>1260</v>
      </c>
      <c r="BP185" s="73">
        <f t="shared" si="508"/>
        <v>0</v>
      </c>
      <c r="BQ185" s="64"/>
      <c r="BR185" s="74" t="s">
        <v>1265</v>
      </c>
      <c r="BS185" s="73">
        <f t="shared" si="509"/>
        <v>0</v>
      </c>
      <c r="BT185" s="64"/>
      <c r="BU185" s="74" t="s">
        <v>1265</v>
      </c>
      <c r="BV185" s="73">
        <f t="shared" si="510"/>
        <v>0</v>
      </c>
      <c r="BW185" s="64"/>
      <c r="BX185" s="74" t="s">
        <v>1265</v>
      </c>
      <c r="BY185" s="73">
        <f t="shared" si="511"/>
        <v>0</v>
      </c>
      <c r="BZ185" s="64"/>
      <c r="CA185" s="74" t="s">
        <v>1265</v>
      </c>
      <c r="CB185" s="73">
        <f t="shared" si="512"/>
        <v>0</v>
      </c>
      <c r="CC185" s="64"/>
      <c r="CD185" s="74" t="s">
        <v>1260</v>
      </c>
      <c r="CE185" s="73">
        <f t="shared" si="513"/>
        <v>0</v>
      </c>
      <c r="CF185" s="64"/>
      <c r="CG185" s="74" t="s">
        <v>1260</v>
      </c>
      <c r="CH185" s="73">
        <f t="shared" si="514"/>
        <v>0</v>
      </c>
      <c r="CI185" s="64"/>
      <c r="CJ185" s="74" t="s">
        <v>1265</v>
      </c>
      <c r="CK185" s="73">
        <f t="shared" si="515"/>
        <v>0</v>
      </c>
      <c r="CL185" s="64"/>
      <c r="CM185" s="74" t="s">
        <v>1265</v>
      </c>
      <c r="CN185" s="73">
        <f t="shared" si="516"/>
        <v>0</v>
      </c>
      <c r="CO185" s="64"/>
      <c r="CP185" s="64"/>
    </row>
    <row r="186" spans="1:94">
      <c r="A186" s="25"/>
      <c r="B186" s="25"/>
      <c r="C186" s="25"/>
      <c r="D186" s="25"/>
      <c r="E186" s="25"/>
      <c r="F186" s="407">
        <f t="shared" si="517"/>
        <v>4</v>
      </c>
      <c r="G186" s="407">
        <f ca="1">VLOOKUP(H186,Equipos!$Q$1:$R$25,2,0)</f>
        <v>20</v>
      </c>
      <c r="H186" s="446" t="str">
        <f>Idiomas!$D$260</f>
        <v>Dieciseisavos de final</v>
      </c>
      <c r="I186" s="50"/>
      <c r="J186" s="845"/>
      <c r="K186" s="56" t="str">
        <f>Idiomas!$D$199&amp;"-"&amp;ROWS($L$182:L186)</f>
        <v>Octavofinalista-5</v>
      </c>
      <c r="L186" s="53"/>
      <c r="M186" s="55" t="str">
        <f>WORLDCUP!AA124</f>
        <v>W83</v>
      </c>
      <c r="N186" s="25"/>
      <c r="O186" s="25"/>
      <c r="P186" s="25"/>
      <c r="Q186" s="25"/>
      <c r="R186" s="110"/>
      <c r="S186" s="74" t="s">
        <v>1320</v>
      </c>
      <c r="T186" s="73">
        <f t="shared" si="492"/>
        <v>0</v>
      </c>
      <c r="U186" s="64"/>
      <c r="V186" s="74" t="s">
        <v>1320</v>
      </c>
      <c r="W186" s="73">
        <f t="shared" si="493"/>
        <v>0</v>
      </c>
      <c r="X186" s="64"/>
      <c r="Y186" s="74" t="s">
        <v>78</v>
      </c>
      <c r="Z186" s="73">
        <f t="shared" si="494"/>
        <v>0</v>
      </c>
      <c r="AA186" s="64"/>
      <c r="AB186" s="74" t="s">
        <v>1320</v>
      </c>
      <c r="AC186" s="73">
        <f t="shared" si="495"/>
        <v>0</v>
      </c>
      <c r="AD186" s="64"/>
      <c r="AE186" s="74" t="s">
        <v>1320</v>
      </c>
      <c r="AF186" s="73">
        <f t="shared" si="496"/>
        <v>0</v>
      </c>
      <c r="AG186" s="64"/>
      <c r="AH186" s="74" t="s">
        <v>1320</v>
      </c>
      <c r="AI186" s="73">
        <f t="shared" si="497"/>
        <v>0</v>
      </c>
      <c r="AJ186" s="64"/>
      <c r="AK186" s="74" t="s">
        <v>1320</v>
      </c>
      <c r="AL186" s="73">
        <f t="shared" si="498"/>
        <v>0</v>
      </c>
      <c r="AM186" s="64"/>
      <c r="AN186" s="74" t="s">
        <v>1320</v>
      </c>
      <c r="AO186" s="73">
        <f t="shared" si="499"/>
        <v>0</v>
      </c>
      <c r="AP186" s="64"/>
      <c r="AQ186" s="74" t="s">
        <v>1320</v>
      </c>
      <c r="AR186" s="73">
        <f t="shared" si="500"/>
        <v>0</v>
      </c>
      <c r="AS186" s="64"/>
      <c r="AT186" s="74" t="s">
        <v>1320</v>
      </c>
      <c r="AU186" s="73">
        <f t="shared" si="501"/>
        <v>0</v>
      </c>
      <c r="AV186" s="64"/>
      <c r="AW186" s="74" t="s">
        <v>1320</v>
      </c>
      <c r="AX186" s="73">
        <f t="shared" si="502"/>
        <v>0</v>
      </c>
      <c r="AY186" s="64"/>
      <c r="AZ186" s="74" t="s">
        <v>1320</v>
      </c>
      <c r="BA186" s="73">
        <f t="shared" si="503"/>
        <v>0</v>
      </c>
      <c r="BB186" s="64"/>
      <c r="BC186" s="74" t="s">
        <v>78</v>
      </c>
      <c r="BD186" s="73">
        <f t="shared" si="504"/>
        <v>0</v>
      </c>
      <c r="BE186" s="64"/>
      <c r="BF186" s="74" t="s">
        <v>78</v>
      </c>
      <c r="BG186" s="73">
        <f t="shared" si="505"/>
        <v>0</v>
      </c>
      <c r="BH186" s="64"/>
      <c r="BI186" s="74" t="s">
        <v>78</v>
      </c>
      <c r="BJ186" s="73">
        <f t="shared" si="506"/>
        <v>0</v>
      </c>
      <c r="BK186" s="64"/>
      <c r="BL186" s="74" t="s">
        <v>76</v>
      </c>
      <c r="BM186" s="73">
        <f t="shared" si="507"/>
        <v>0</v>
      </c>
      <c r="BN186" s="64"/>
      <c r="BO186" s="74" t="s">
        <v>78</v>
      </c>
      <c r="BP186" s="73">
        <f t="shared" si="508"/>
        <v>0</v>
      </c>
      <c r="BQ186" s="64"/>
      <c r="BR186" s="74" t="s">
        <v>1320</v>
      </c>
      <c r="BS186" s="73">
        <f t="shared" si="509"/>
        <v>0</v>
      </c>
      <c r="BT186" s="64"/>
      <c r="BU186" s="74" t="s">
        <v>1320</v>
      </c>
      <c r="BV186" s="73">
        <f t="shared" si="510"/>
        <v>0</v>
      </c>
      <c r="BW186" s="64"/>
      <c r="BX186" s="74" t="s">
        <v>1320</v>
      </c>
      <c r="BY186" s="73">
        <f t="shared" si="511"/>
        <v>0</v>
      </c>
      <c r="BZ186" s="64"/>
      <c r="CA186" s="74" t="s">
        <v>79</v>
      </c>
      <c r="CB186" s="73">
        <f t="shared" si="512"/>
        <v>0</v>
      </c>
      <c r="CC186" s="64"/>
      <c r="CD186" s="74" t="s">
        <v>1320</v>
      </c>
      <c r="CE186" s="73">
        <f t="shared" si="513"/>
        <v>0</v>
      </c>
      <c r="CF186" s="64"/>
      <c r="CG186" s="74" t="s">
        <v>1320</v>
      </c>
      <c r="CH186" s="73">
        <f t="shared" si="514"/>
        <v>0</v>
      </c>
      <c r="CI186" s="64"/>
      <c r="CJ186" s="74" t="s">
        <v>1320</v>
      </c>
      <c r="CK186" s="73">
        <f t="shared" si="515"/>
        <v>0</v>
      </c>
      <c r="CL186" s="64"/>
      <c r="CM186" s="74" t="s">
        <v>78</v>
      </c>
      <c r="CN186" s="73">
        <f t="shared" si="516"/>
        <v>0</v>
      </c>
      <c r="CO186" s="64"/>
      <c r="CP186" s="64"/>
    </row>
    <row r="187" spans="1:94">
      <c r="A187" s="25"/>
      <c r="B187" s="25"/>
      <c r="C187" s="25"/>
      <c r="D187" s="25"/>
      <c r="E187" s="25"/>
      <c r="F187" s="407">
        <f t="shared" si="517"/>
        <v>4</v>
      </c>
      <c r="G187" s="407">
        <f ca="1">VLOOKUP(H187,Equipos!$Q$1:$R$25,2,0)</f>
        <v>20</v>
      </c>
      <c r="H187" s="446" t="str">
        <f>Idiomas!$D$260</f>
        <v>Dieciseisavos de final</v>
      </c>
      <c r="I187" s="50"/>
      <c r="J187" s="845"/>
      <c r="K187" s="56" t="str">
        <f>Idiomas!$D$199&amp;"-"&amp;ROWS($L$182:L187)</f>
        <v>Octavofinalista-6</v>
      </c>
      <c r="L187" s="53"/>
      <c r="M187" s="55" t="str">
        <f>WORLDCUP!AA125</f>
        <v>W81</v>
      </c>
      <c r="N187" s="25"/>
      <c r="O187" s="25"/>
      <c r="P187" s="25"/>
      <c r="Q187" s="25"/>
      <c r="R187" s="110"/>
      <c r="S187" s="74" t="s">
        <v>1835</v>
      </c>
      <c r="T187" s="73">
        <f t="shared" si="492"/>
        <v>0</v>
      </c>
      <c r="U187" s="64"/>
      <c r="V187" s="74" t="s">
        <v>1319</v>
      </c>
      <c r="W187" s="73">
        <f t="shared" si="493"/>
        <v>0</v>
      </c>
      <c r="X187" s="64"/>
      <c r="Y187" s="74" t="s">
        <v>497</v>
      </c>
      <c r="Z187" s="73">
        <f t="shared" si="494"/>
        <v>0</v>
      </c>
      <c r="AA187" s="64"/>
      <c r="AB187" s="76" t="s">
        <v>1835</v>
      </c>
      <c r="AC187" s="73">
        <f t="shared" si="495"/>
        <v>0</v>
      </c>
      <c r="AD187" s="64"/>
      <c r="AE187" s="74" t="s">
        <v>1835</v>
      </c>
      <c r="AF187" s="73">
        <f t="shared" si="496"/>
        <v>0</v>
      </c>
      <c r="AG187" s="64"/>
      <c r="AH187" s="74" t="s">
        <v>1835</v>
      </c>
      <c r="AI187" s="73">
        <f t="shared" si="497"/>
        <v>0</v>
      </c>
      <c r="AJ187" s="64"/>
      <c r="AK187" s="74" t="s">
        <v>1835</v>
      </c>
      <c r="AL187" s="73">
        <f t="shared" si="498"/>
        <v>0</v>
      </c>
      <c r="AM187" s="64"/>
      <c r="AN187" s="74" t="s">
        <v>1319</v>
      </c>
      <c r="AO187" s="73">
        <f t="shared" si="499"/>
        <v>0</v>
      </c>
      <c r="AP187" s="64"/>
      <c r="AQ187" s="74" t="s">
        <v>1835</v>
      </c>
      <c r="AR187" s="73">
        <f t="shared" si="500"/>
        <v>0</v>
      </c>
      <c r="AS187" s="64"/>
      <c r="AT187" s="74" t="s">
        <v>497</v>
      </c>
      <c r="AU187" s="73">
        <f t="shared" si="501"/>
        <v>0</v>
      </c>
      <c r="AV187" s="64"/>
      <c r="AW187" s="74" t="s">
        <v>497</v>
      </c>
      <c r="AX187" s="73">
        <f t="shared" si="502"/>
        <v>0</v>
      </c>
      <c r="AY187" s="64"/>
      <c r="AZ187" s="74" t="s">
        <v>497</v>
      </c>
      <c r="BA187" s="73">
        <f t="shared" si="503"/>
        <v>0</v>
      </c>
      <c r="BB187" s="64"/>
      <c r="BC187" s="74" t="s">
        <v>1835</v>
      </c>
      <c r="BD187" s="73">
        <f t="shared" si="504"/>
        <v>0</v>
      </c>
      <c r="BE187" s="64"/>
      <c r="BF187" s="74" t="s">
        <v>1835</v>
      </c>
      <c r="BG187" s="73">
        <f t="shared" si="505"/>
        <v>0</v>
      </c>
      <c r="BH187" s="64"/>
      <c r="BI187" s="74" t="s">
        <v>1319</v>
      </c>
      <c r="BJ187" s="73">
        <f t="shared" si="506"/>
        <v>0</v>
      </c>
      <c r="BK187" s="64"/>
      <c r="BL187" s="74" t="s">
        <v>1835</v>
      </c>
      <c r="BM187" s="73">
        <f t="shared" si="507"/>
        <v>0</v>
      </c>
      <c r="BN187" s="64"/>
      <c r="BO187" s="74" t="s">
        <v>1257</v>
      </c>
      <c r="BP187" s="73">
        <f t="shared" si="508"/>
        <v>0</v>
      </c>
      <c r="BQ187" s="64"/>
      <c r="BR187" s="74" t="s">
        <v>1835</v>
      </c>
      <c r="BS187" s="73">
        <f t="shared" si="509"/>
        <v>0</v>
      </c>
      <c r="BT187" s="64"/>
      <c r="BU187" s="74" t="s">
        <v>1835</v>
      </c>
      <c r="BV187" s="73">
        <f t="shared" si="510"/>
        <v>0</v>
      </c>
      <c r="BW187" s="64"/>
      <c r="BX187" s="74" t="s">
        <v>1261</v>
      </c>
      <c r="BY187" s="73">
        <f t="shared" si="511"/>
        <v>0</v>
      </c>
      <c r="BZ187" s="64"/>
      <c r="CA187" s="74" t="s">
        <v>497</v>
      </c>
      <c r="CB187" s="73">
        <f t="shared" si="512"/>
        <v>0</v>
      </c>
      <c r="CC187" s="64"/>
      <c r="CD187" s="74" t="s">
        <v>1319</v>
      </c>
      <c r="CE187" s="73">
        <f t="shared" si="513"/>
        <v>0</v>
      </c>
      <c r="CF187" s="64"/>
      <c r="CG187" s="74" t="s">
        <v>1835</v>
      </c>
      <c r="CH187" s="73">
        <f t="shared" si="514"/>
        <v>0</v>
      </c>
      <c r="CI187" s="64"/>
      <c r="CJ187" s="74" t="s">
        <v>497</v>
      </c>
      <c r="CK187" s="73">
        <f t="shared" si="515"/>
        <v>0</v>
      </c>
      <c r="CL187" s="64"/>
      <c r="CM187" s="74" t="s">
        <v>497</v>
      </c>
      <c r="CN187" s="73">
        <f t="shared" si="516"/>
        <v>0</v>
      </c>
      <c r="CO187" s="64"/>
      <c r="CP187" s="64"/>
    </row>
    <row r="188" spans="1:94">
      <c r="A188" s="25"/>
      <c r="B188" s="25"/>
      <c r="C188" s="25"/>
      <c r="D188" s="25"/>
      <c r="E188" s="25"/>
      <c r="F188" s="407">
        <f t="shared" si="517"/>
        <v>4</v>
      </c>
      <c r="G188" s="407">
        <f ca="1">VLOOKUP(H188,Equipos!$Q$1:$R$25,2,0)</f>
        <v>20</v>
      </c>
      <c r="H188" s="446" t="str">
        <f>Idiomas!$D$260</f>
        <v>Dieciseisavos de final</v>
      </c>
      <c r="I188" s="50"/>
      <c r="J188" s="845"/>
      <c r="K188" s="56" t="str">
        <f>Idiomas!$D$199&amp;"-"&amp;ROWS($L$182:L188)</f>
        <v>Octavofinalista-7</v>
      </c>
      <c r="L188" s="53"/>
      <c r="M188" s="55" t="str">
        <f>WORLDCUP!AA126</f>
        <v>W86</v>
      </c>
      <c r="N188" s="25"/>
      <c r="O188" s="25"/>
      <c r="P188" s="25"/>
      <c r="Q188" s="25"/>
      <c r="R188" s="110"/>
      <c r="S188" s="74" t="s">
        <v>1256</v>
      </c>
      <c r="T188" s="73">
        <f t="shared" si="492"/>
        <v>0</v>
      </c>
      <c r="U188" s="64"/>
      <c r="V188" s="74" t="s">
        <v>1256</v>
      </c>
      <c r="W188" s="73">
        <f t="shared" si="493"/>
        <v>0</v>
      </c>
      <c r="X188" s="64"/>
      <c r="Y188" s="74" t="s">
        <v>1256</v>
      </c>
      <c r="Z188" s="73">
        <f t="shared" si="494"/>
        <v>0</v>
      </c>
      <c r="AA188" s="64"/>
      <c r="AB188" s="74" t="s">
        <v>1256</v>
      </c>
      <c r="AC188" s="73">
        <f t="shared" si="495"/>
        <v>0</v>
      </c>
      <c r="AD188" s="64"/>
      <c r="AE188" s="74" t="s">
        <v>1318</v>
      </c>
      <c r="AF188" s="73">
        <f t="shared" si="496"/>
        <v>0</v>
      </c>
      <c r="AG188" s="64"/>
      <c r="AH188" s="74" t="s">
        <v>1256</v>
      </c>
      <c r="AI188" s="73">
        <f t="shared" si="497"/>
        <v>0</v>
      </c>
      <c r="AJ188" s="64"/>
      <c r="AK188" s="74" t="s">
        <v>1256</v>
      </c>
      <c r="AL188" s="73">
        <f t="shared" si="498"/>
        <v>0</v>
      </c>
      <c r="AM188" s="64"/>
      <c r="AN188" s="74" t="s">
        <v>1256</v>
      </c>
      <c r="AO188" s="73">
        <f t="shared" si="499"/>
        <v>0</v>
      </c>
      <c r="AP188" s="64"/>
      <c r="AQ188" s="74" t="s">
        <v>1256</v>
      </c>
      <c r="AR188" s="73">
        <f t="shared" si="500"/>
        <v>0</v>
      </c>
      <c r="AS188" s="64"/>
      <c r="AT188" s="74" t="s">
        <v>1256</v>
      </c>
      <c r="AU188" s="73">
        <f t="shared" si="501"/>
        <v>0</v>
      </c>
      <c r="AV188" s="64"/>
      <c r="AW188" s="74" t="s">
        <v>1256</v>
      </c>
      <c r="AX188" s="73">
        <f t="shared" si="502"/>
        <v>0</v>
      </c>
      <c r="AY188" s="64"/>
      <c r="AZ188" s="74" t="s">
        <v>1256</v>
      </c>
      <c r="BA188" s="73">
        <f t="shared" si="503"/>
        <v>0</v>
      </c>
      <c r="BB188" s="64"/>
      <c r="BC188" s="74" t="s">
        <v>38</v>
      </c>
      <c r="BD188" s="73">
        <f t="shared" si="504"/>
        <v>0</v>
      </c>
      <c r="BE188" s="64"/>
      <c r="BF188" s="74" t="s">
        <v>1318</v>
      </c>
      <c r="BG188" s="73">
        <f t="shared" si="505"/>
        <v>0</v>
      </c>
      <c r="BH188" s="64"/>
      <c r="BI188" s="74" t="s">
        <v>1256</v>
      </c>
      <c r="BJ188" s="73">
        <f t="shared" si="506"/>
        <v>0</v>
      </c>
      <c r="BK188" s="64"/>
      <c r="BL188" s="74" t="s">
        <v>1256</v>
      </c>
      <c r="BM188" s="73">
        <f t="shared" si="507"/>
        <v>0</v>
      </c>
      <c r="BN188" s="64"/>
      <c r="BO188" s="74" t="s">
        <v>1256</v>
      </c>
      <c r="BP188" s="73">
        <f t="shared" si="508"/>
        <v>0</v>
      </c>
      <c r="BQ188" s="64"/>
      <c r="BR188" s="74" t="s">
        <v>1256</v>
      </c>
      <c r="BS188" s="73">
        <f t="shared" si="509"/>
        <v>0</v>
      </c>
      <c r="BT188" s="64"/>
      <c r="BU188" s="74" t="s">
        <v>1256</v>
      </c>
      <c r="BV188" s="73">
        <f t="shared" si="510"/>
        <v>0</v>
      </c>
      <c r="BW188" s="64"/>
      <c r="BX188" s="74" t="s">
        <v>1256</v>
      </c>
      <c r="BY188" s="73">
        <f t="shared" si="511"/>
        <v>0</v>
      </c>
      <c r="BZ188" s="64"/>
      <c r="CA188" s="74" t="s">
        <v>1318</v>
      </c>
      <c r="CB188" s="73">
        <f t="shared" si="512"/>
        <v>0</v>
      </c>
      <c r="CC188" s="64"/>
      <c r="CD188" s="74" t="s">
        <v>1256</v>
      </c>
      <c r="CE188" s="73">
        <f t="shared" si="513"/>
        <v>0</v>
      </c>
      <c r="CF188" s="64"/>
      <c r="CG188" s="74" t="s">
        <v>1256</v>
      </c>
      <c r="CH188" s="73">
        <f t="shared" si="514"/>
        <v>0</v>
      </c>
      <c r="CI188" s="64"/>
      <c r="CJ188" s="74" t="s">
        <v>1256</v>
      </c>
      <c r="CK188" s="73">
        <f t="shared" si="515"/>
        <v>0</v>
      </c>
      <c r="CL188" s="64"/>
      <c r="CM188" s="74" t="s">
        <v>1256</v>
      </c>
      <c r="CN188" s="73">
        <f t="shared" si="516"/>
        <v>0</v>
      </c>
      <c r="CO188" s="64"/>
      <c r="CP188" s="64"/>
    </row>
    <row r="189" spans="1:94">
      <c r="A189" s="25"/>
      <c r="B189" s="25"/>
      <c r="C189" s="25"/>
      <c r="D189" s="25"/>
      <c r="E189" s="25"/>
      <c r="F189" s="407">
        <f t="shared" si="517"/>
        <v>4</v>
      </c>
      <c r="G189" s="407">
        <f ca="1">VLOOKUP(H189,Equipos!$Q$1:$R$25,2,0)</f>
        <v>20</v>
      </c>
      <c r="H189" s="446" t="str">
        <f>Idiomas!$D$260</f>
        <v>Dieciseisavos de final</v>
      </c>
      <c r="I189" s="50"/>
      <c r="J189" s="845"/>
      <c r="K189" s="56" t="str">
        <f>Idiomas!$D$199&amp;"-"&amp;ROWS($L$182:L189)</f>
        <v>Octavofinalista-8</v>
      </c>
      <c r="L189" s="53"/>
      <c r="M189" s="55" t="str">
        <f>WORLDCUP!AA127</f>
        <v>W85</v>
      </c>
      <c r="N189" s="25"/>
      <c r="O189" s="25"/>
      <c r="P189" s="25"/>
      <c r="Q189" s="25"/>
      <c r="R189" s="110"/>
      <c r="S189" s="74" t="s">
        <v>75</v>
      </c>
      <c r="T189" s="73">
        <f t="shared" si="492"/>
        <v>0</v>
      </c>
      <c r="U189" s="64"/>
      <c r="V189" s="74" t="s">
        <v>1558</v>
      </c>
      <c r="W189" s="73">
        <f t="shared" si="493"/>
        <v>0</v>
      </c>
      <c r="X189" s="64"/>
      <c r="Y189" s="74" t="s">
        <v>75</v>
      </c>
      <c r="Z189" s="73">
        <f t="shared" si="494"/>
        <v>0</v>
      </c>
      <c r="AA189" s="64"/>
      <c r="AB189" s="74" t="s">
        <v>1259</v>
      </c>
      <c r="AC189" s="73">
        <f t="shared" si="495"/>
        <v>0</v>
      </c>
      <c r="AD189" s="64"/>
      <c r="AE189" s="74" t="s">
        <v>1558</v>
      </c>
      <c r="AF189" s="73">
        <f t="shared" si="496"/>
        <v>0</v>
      </c>
      <c r="AG189" s="64"/>
      <c r="AH189" s="74" t="s">
        <v>1259</v>
      </c>
      <c r="AI189" s="73">
        <f t="shared" si="497"/>
        <v>0</v>
      </c>
      <c r="AJ189" s="64"/>
      <c r="AK189" s="74" t="s">
        <v>75</v>
      </c>
      <c r="AL189" s="73">
        <f t="shared" si="498"/>
        <v>0</v>
      </c>
      <c r="AM189" s="64"/>
      <c r="AN189" s="74" t="s">
        <v>75</v>
      </c>
      <c r="AO189" s="73">
        <f t="shared" si="499"/>
        <v>0</v>
      </c>
      <c r="AP189" s="64"/>
      <c r="AQ189" s="74" t="s">
        <v>75</v>
      </c>
      <c r="AR189" s="73">
        <f t="shared" si="500"/>
        <v>0</v>
      </c>
      <c r="AS189" s="64"/>
      <c r="AT189" s="74" t="s">
        <v>75</v>
      </c>
      <c r="AU189" s="73">
        <f t="shared" si="501"/>
        <v>0</v>
      </c>
      <c r="AV189" s="64"/>
      <c r="AW189" s="74" t="s">
        <v>75</v>
      </c>
      <c r="AX189" s="73">
        <f t="shared" si="502"/>
        <v>0</v>
      </c>
      <c r="AY189" s="64"/>
      <c r="AZ189" s="74" t="s">
        <v>1631</v>
      </c>
      <c r="BA189" s="73">
        <f t="shared" si="503"/>
        <v>0</v>
      </c>
      <c r="BB189" s="64"/>
      <c r="BC189" s="74" t="s">
        <v>75</v>
      </c>
      <c r="BD189" s="73">
        <f t="shared" si="504"/>
        <v>0</v>
      </c>
      <c r="BE189" s="64"/>
      <c r="BF189" s="74" t="s">
        <v>75</v>
      </c>
      <c r="BG189" s="73">
        <f t="shared" si="505"/>
        <v>0</v>
      </c>
      <c r="BH189" s="64"/>
      <c r="BI189" s="74" t="s">
        <v>75</v>
      </c>
      <c r="BJ189" s="73">
        <f t="shared" si="506"/>
        <v>0</v>
      </c>
      <c r="BK189" s="64"/>
      <c r="BL189" s="74" t="s">
        <v>75</v>
      </c>
      <c r="BM189" s="73">
        <f t="shared" si="507"/>
        <v>0</v>
      </c>
      <c r="BN189" s="64"/>
      <c r="BO189" s="74" t="s">
        <v>1259</v>
      </c>
      <c r="BP189" s="73">
        <f t="shared" si="508"/>
        <v>0</v>
      </c>
      <c r="BQ189" s="64"/>
      <c r="BR189" s="74" t="s">
        <v>1259</v>
      </c>
      <c r="BS189" s="73">
        <f t="shared" si="509"/>
        <v>0</v>
      </c>
      <c r="BT189" s="64"/>
      <c r="BU189" s="74" t="s">
        <v>75</v>
      </c>
      <c r="BV189" s="73">
        <f t="shared" si="510"/>
        <v>0</v>
      </c>
      <c r="BW189" s="64"/>
      <c r="BX189" s="74" t="s">
        <v>75</v>
      </c>
      <c r="BY189" s="73">
        <f t="shared" si="511"/>
        <v>0</v>
      </c>
      <c r="BZ189" s="64"/>
      <c r="CA189" s="74" t="s">
        <v>1259</v>
      </c>
      <c r="CB189" s="73">
        <f t="shared" si="512"/>
        <v>0</v>
      </c>
      <c r="CC189" s="64"/>
      <c r="CD189" s="74" t="s">
        <v>75</v>
      </c>
      <c r="CE189" s="73">
        <f t="shared" si="513"/>
        <v>0</v>
      </c>
      <c r="CF189" s="64"/>
      <c r="CG189" s="74" t="s">
        <v>1259</v>
      </c>
      <c r="CH189" s="73">
        <f t="shared" si="514"/>
        <v>0</v>
      </c>
      <c r="CI189" s="64"/>
      <c r="CJ189" s="74" t="s">
        <v>75</v>
      </c>
      <c r="CK189" s="73">
        <f t="shared" si="515"/>
        <v>0</v>
      </c>
      <c r="CL189" s="64"/>
      <c r="CM189" s="74" t="s">
        <v>75</v>
      </c>
      <c r="CN189" s="73">
        <f t="shared" si="516"/>
        <v>0</v>
      </c>
      <c r="CO189" s="64"/>
      <c r="CP189" s="64"/>
    </row>
    <row r="190" spans="1:94">
      <c r="A190" s="25"/>
      <c r="B190" s="25"/>
      <c r="C190" s="25"/>
      <c r="D190" s="25"/>
      <c r="E190" s="25"/>
      <c r="F190" s="407">
        <f t="shared" si="517"/>
        <v>4</v>
      </c>
      <c r="G190" s="407">
        <f ca="1">VLOOKUP(H190,Equipos!$Q$1:$R$25,2,0)</f>
        <v>20</v>
      </c>
      <c r="H190" s="446" t="str">
        <f>Idiomas!$D$260</f>
        <v>Dieciseisavos de final</v>
      </c>
      <c r="I190" s="50"/>
      <c r="J190" s="845"/>
      <c r="K190" s="56" t="str">
        <f>Idiomas!$D$199&amp;"-"&amp;ROWS($L$182:L190)</f>
        <v>Octavofinalista-9</v>
      </c>
      <c r="L190" s="53"/>
      <c r="M190" s="55" t="str">
        <f>WORLDCUP!AF120</f>
        <v>W75</v>
      </c>
      <c r="N190" s="25"/>
      <c r="O190" s="25"/>
      <c r="P190" s="25"/>
      <c r="Q190" s="25"/>
      <c r="R190" s="110"/>
      <c r="S190" s="74" t="s">
        <v>1321</v>
      </c>
      <c r="T190" s="73">
        <f t="shared" si="492"/>
        <v>0</v>
      </c>
      <c r="U190" s="64"/>
      <c r="V190" s="74" t="s">
        <v>1263</v>
      </c>
      <c r="W190" s="73">
        <f t="shared" si="493"/>
        <v>0</v>
      </c>
      <c r="X190" s="64"/>
      <c r="Y190" s="74" t="s">
        <v>1263</v>
      </c>
      <c r="Z190" s="73">
        <f t="shared" si="494"/>
        <v>0</v>
      </c>
      <c r="AA190" s="64"/>
      <c r="AB190" s="74" t="s">
        <v>1263</v>
      </c>
      <c r="AC190" s="73">
        <f t="shared" si="495"/>
        <v>0</v>
      </c>
      <c r="AD190" s="64"/>
      <c r="AE190" s="74" t="s">
        <v>111</v>
      </c>
      <c r="AF190" s="73">
        <f t="shared" si="496"/>
        <v>0</v>
      </c>
      <c r="AG190" s="64"/>
      <c r="AH190" s="74" t="s">
        <v>111</v>
      </c>
      <c r="AI190" s="73">
        <f t="shared" si="497"/>
        <v>0</v>
      </c>
      <c r="AJ190" s="64"/>
      <c r="AK190" s="74" t="s">
        <v>111</v>
      </c>
      <c r="AL190" s="73">
        <f t="shared" si="498"/>
        <v>0</v>
      </c>
      <c r="AM190" s="64"/>
      <c r="AN190" s="74" t="s">
        <v>111</v>
      </c>
      <c r="AO190" s="73">
        <f t="shared" si="499"/>
        <v>0</v>
      </c>
      <c r="AP190" s="64"/>
      <c r="AQ190" s="74" t="s">
        <v>111</v>
      </c>
      <c r="AR190" s="73">
        <f t="shared" si="500"/>
        <v>0</v>
      </c>
      <c r="AS190" s="64"/>
      <c r="AT190" s="74" t="s">
        <v>111</v>
      </c>
      <c r="AU190" s="73">
        <f t="shared" si="501"/>
        <v>0</v>
      </c>
      <c r="AV190" s="64"/>
      <c r="AW190" s="74" t="s">
        <v>111</v>
      </c>
      <c r="AX190" s="73">
        <f t="shared" si="502"/>
        <v>0</v>
      </c>
      <c r="AY190" s="64"/>
      <c r="AZ190" s="74" t="s">
        <v>111</v>
      </c>
      <c r="BA190" s="73">
        <f t="shared" si="503"/>
        <v>0</v>
      </c>
      <c r="BB190" s="64"/>
      <c r="BC190" s="74" t="s">
        <v>111</v>
      </c>
      <c r="BD190" s="73">
        <f t="shared" si="504"/>
        <v>0</v>
      </c>
      <c r="BE190" s="64"/>
      <c r="BF190" s="74" t="s">
        <v>1258</v>
      </c>
      <c r="BG190" s="73">
        <f t="shared" si="505"/>
        <v>0</v>
      </c>
      <c r="BH190" s="64"/>
      <c r="BI190" s="74" t="s">
        <v>111</v>
      </c>
      <c r="BJ190" s="73">
        <f t="shared" si="506"/>
        <v>0</v>
      </c>
      <c r="BK190" s="64"/>
      <c r="BL190" s="74" t="s">
        <v>1321</v>
      </c>
      <c r="BM190" s="73">
        <f t="shared" si="507"/>
        <v>0</v>
      </c>
      <c r="BN190" s="64"/>
      <c r="BO190" s="74" t="s">
        <v>111</v>
      </c>
      <c r="BP190" s="73">
        <f t="shared" si="508"/>
        <v>0</v>
      </c>
      <c r="BQ190" s="64"/>
      <c r="BR190" s="74" t="s">
        <v>111</v>
      </c>
      <c r="BS190" s="73">
        <f t="shared" si="509"/>
        <v>0</v>
      </c>
      <c r="BT190" s="64"/>
      <c r="BU190" s="74" t="s">
        <v>111</v>
      </c>
      <c r="BV190" s="73">
        <f t="shared" si="510"/>
        <v>0</v>
      </c>
      <c r="BW190" s="64"/>
      <c r="BX190" s="74" t="s">
        <v>111</v>
      </c>
      <c r="BY190" s="73">
        <f t="shared" si="511"/>
        <v>0</v>
      </c>
      <c r="BZ190" s="64"/>
      <c r="CA190" s="74" t="s">
        <v>111</v>
      </c>
      <c r="CB190" s="73">
        <f t="shared" si="512"/>
        <v>0</v>
      </c>
      <c r="CC190" s="64"/>
      <c r="CD190" s="74" t="s">
        <v>1321</v>
      </c>
      <c r="CE190" s="73">
        <f t="shared" si="513"/>
        <v>0</v>
      </c>
      <c r="CF190" s="64"/>
      <c r="CG190" s="74" t="s">
        <v>1258</v>
      </c>
      <c r="CH190" s="73">
        <f t="shared" si="514"/>
        <v>0</v>
      </c>
      <c r="CI190" s="64"/>
      <c r="CJ190" s="74" t="s">
        <v>111</v>
      </c>
      <c r="CK190" s="73">
        <f t="shared" si="515"/>
        <v>0</v>
      </c>
      <c r="CL190" s="64"/>
      <c r="CM190" s="74" t="s">
        <v>111</v>
      </c>
      <c r="CN190" s="73">
        <f t="shared" si="516"/>
        <v>0</v>
      </c>
      <c r="CO190" s="64"/>
      <c r="CP190" s="64"/>
    </row>
    <row r="191" spans="1:94">
      <c r="A191" s="25"/>
      <c r="B191" s="25"/>
      <c r="C191" s="25"/>
      <c r="D191" s="25"/>
      <c r="E191" s="25"/>
      <c r="F191" s="407">
        <f t="shared" si="517"/>
        <v>4</v>
      </c>
      <c r="G191" s="407">
        <f ca="1">VLOOKUP(H191,Equipos!$Q$1:$R$25,2,0)</f>
        <v>20</v>
      </c>
      <c r="H191" s="446" t="str">
        <f>Idiomas!$D$260</f>
        <v>Dieciseisavos de final</v>
      </c>
      <c r="I191" s="50"/>
      <c r="J191" s="845"/>
      <c r="K191" s="56" t="str">
        <f>Idiomas!$D$199&amp;"-"&amp;ROWS($L$182:L191)</f>
        <v>Octavofinalista-10</v>
      </c>
      <c r="L191" s="53"/>
      <c r="M191" s="55" t="str">
        <f>WORLDCUP!AF121</f>
        <v>W77</v>
      </c>
      <c r="N191" s="25"/>
      <c r="O191" s="25"/>
      <c r="P191" s="25"/>
      <c r="Q191" s="25"/>
      <c r="R191" s="110"/>
      <c r="S191" s="74" t="s">
        <v>74</v>
      </c>
      <c r="T191" s="73">
        <f t="shared" si="492"/>
        <v>0</v>
      </c>
      <c r="U191" s="64"/>
      <c r="V191" s="74" t="s">
        <v>74</v>
      </c>
      <c r="W191" s="73">
        <f t="shared" si="493"/>
        <v>0</v>
      </c>
      <c r="X191" s="64"/>
      <c r="Y191" s="74" t="s">
        <v>74</v>
      </c>
      <c r="Z191" s="73">
        <f t="shared" si="494"/>
        <v>0</v>
      </c>
      <c r="AA191" s="64"/>
      <c r="AB191" s="74" t="s">
        <v>135</v>
      </c>
      <c r="AC191" s="73">
        <f t="shared" si="495"/>
        <v>0</v>
      </c>
      <c r="AD191" s="64"/>
      <c r="AE191" s="74" t="s">
        <v>74</v>
      </c>
      <c r="AF191" s="73">
        <f t="shared" si="496"/>
        <v>0</v>
      </c>
      <c r="AG191" s="64"/>
      <c r="AH191" s="74" t="s">
        <v>74</v>
      </c>
      <c r="AI191" s="73">
        <f t="shared" si="497"/>
        <v>0</v>
      </c>
      <c r="AJ191" s="64"/>
      <c r="AK191" s="74" t="s">
        <v>74</v>
      </c>
      <c r="AL191" s="73">
        <f t="shared" si="498"/>
        <v>0</v>
      </c>
      <c r="AM191" s="64"/>
      <c r="AN191" s="74" t="s">
        <v>74</v>
      </c>
      <c r="AO191" s="73">
        <f t="shared" si="499"/>
        <v>0</v>
      </c>
      <c r="AP191" s="64"/>
      <c r="AQ191" s="74" t="s">
        <v>74</v>
      </c>
      <c r="AR191" s="73">
        <f t="shared" si="500"/>
        <v>0</v>
      </c>
      <c r="AS191" s="64"/>
      <c r="AT191" s="74" t="s">
        <v>74</v>
      </c>
      <c r="AU191" s="73">
        <f t="shared" si="501"/>
        <v>0</v>
      </c>
      <c r="AV191" s="64"/>
      <c r="AW191" s="74" t="s">
        <v>1757</v>
      </c>
      <c r="AX191" s="73">
        <f t="shared" si="502"/>
        <v>0</v>
      </c>
      <c r="AY191" s="64"/>
      <c r="AZ191" s="74" t="s">
        <v>74</v>
      </c>
      <c r="BA191" s="73">
        <f t="shared" si="503"/>
        <v>0</v>
      </c>
      <c r="BB191" s="64"/>
      <c r="BC191" s="74" t="s">
        <v>74</v>
      </c>
      <c r="BD191" s="73">
        <f t="shared" si="504"/>
        <v>0</v>
      </c>
      <c r="BE191" s="64"/>
      <c r="BF191" s="74" t="s">
        <v>74</v>
      </c>
      <c r="BG191" s="73">
        <f t="shared" si="505"/>
        <v>0</v>
      </c>
      <c r="BH191" s="64"/>
      <c r="BI191" s="74" t="s">
        <v>74</v>
      </c>
      <c r="BJ191" s="73">
        <f t="shared" si="506"/>
        <v>0</v>
      </c>
      <c r="BK191" s="64"/>
      <c r="BL191" s="74" t="s">
        <v>74</v>
      </c>
      <c r="BM191" s="73">
        <f t="shared" si="507"/>
        <v>0</v>
      </c>
      <c r="BN191" s="64"/>
      <c r="BO191" s="74" t="s">
        <v>74</v>
      </c>
      <c r="BP191" s="73">
        <f t="shared" si="508"/>
        <v>0</v>
      </c>
      <c r="BQ191" s="64"/>
      <c r="BR191" s="74" t="s">
        <v>74</v>
      </c>
      <c r="BS191" s="73">
        <f t="shared" si="509"/>
        <v>0</v>
      </c>
      <c r="BT191" s="64"/>
      <c r="BU191" s="74" t="s">
        <v>74</v>
      </c>
      <c r="BV191" s="73">
        <f t="shared" si="510"/>
        <v>0</v>
      </c>
      <c r="BW191" s="64"/>
      <c r="BX191" s="74" t="s">
        <v>74</v>
      </c>
      <c r="BY191" s="73">
        <f t="shared" si="511"/>
        <v>0</v>
      </c>
      <c r="BZ191" s="64"/>
      <c r="CA191" s="74" t="s">
        <v>74</v>
      </c>
      <c r="CB191" s="73">
        <f t="shared" si="512"/>
        <v>0</v>
      </c>
      <c r="CC191" s="64"/>
      <c r="CD191" s="74" t="s">
        <v>74</v>
      </c>
      <c r="CE191" s="73">
        <f t="shared" si="513"/>
        <v>0</v>
      </c>
      <c r="CF191" s="64"/>
      <c r="CG191" s="74" t="s">
        <v>74</v>
      </c>
      <c r="CH191" s="73">
        <f t="shared" si="514"/>
        <v>0</v>
      </c>
      <c r="CI191" s="64"/>
      <c r="CJ191" s="74" t="s">
        <v>74</v>
      </c>
      <c r="CK191" s="73">
        <f t="shared" si="515"/>
        <v>0</v>
      </c>
      <c r="CL191" s="64"/>
      <c r="CM191" s="74" t="s">
        <v>74</v>
      </c>
      <c r="CN191" s="73">
        <f t="shared" si="516"/>
        <v>0</v>
      </c>
      <c r="CO191" s="64"/>
      <c r="CP191" s="64"/>
    </row>
    <row r="192" spans="1:94">
      <c r="A192" s="25"/>
      <c r="B192" s="25"/>
      <c r="C192" s="25"/>
      <c r="D192" s="25"/>
      <c r="E192" s="25"/>
      <c r="F192" s="407">
        <f t="shared" si="517"/>
        <v>4</v>
      </c>
      <c r="G192" s="407">
        <f ca="1">VLOOKUP(H192,Equipos!$Q$1:$R$25,2,0)</f>
        <v>20</v>
      </c>
      <c r="H192" s="446" t="str">
        <f>Idiomas!$D$260</f>
        <v>Dieciseisavos de final</v>
      </c>
      <c r="I192" s="50"/>
      <c r="J192" s="845"/>
      <c r="K192" s="56" t="str">
        <f>Idiomas!$D$199&amp;"-"&amp;ROWS($L$182:L192)</f>
        <v>Octavofinalista-11</v>
      </c>
      <c r="L192" s="53"/>
      <c r="M192" s="55" t="str">
        <f>WORLDCUP!AF122</f>
        <v>W78</v>
      </c>
      <c r="N192" s="25"/>
      <c r="O192" s="25"/>
      <c r="P192" s="25"/>
      <c r="Q192" s="25"/>
      <c r="R192" s="110"/>
      <c r="S192" s="74" t="s">
        <v>1633</v>
      </c>
      <c r="T192" s="73">
        <f t="shared" si="492"/>
        <v>0</v>
      </c>
      <c r="U192" s="64"/>
      <c r="V192" s="74" t="s">
        <v>77</v>
      </c>
      <c r="W192" s="73">
        <f t="shared" si="493"/>
        <v>0</v>
      </c>
      <c r="X192" s="64"/>
      <c r="Y192" s="74" t="s">
        <v>135</v>
      </c>
      <c r="Z192" s="73">
        <f t="shared" si="494"/>
        <v>0</v>
      </c>
      <c r="AA192" s="64"/>
      <c r="AB192" s="74" t="s">
        <v>74</v>
      </c>
      <c r="AC192" s="73">
        <f t="shared" si="495"/>
        <v>0</v>
      </c>
      <c r="AD192" s="64"/>
      <c r="AE192" s="74" t="s">
        <v>1634</v>
      </c>
      <c r="AF192" s="73">
        <f t="shared" si="496"/>
        <v>0</v>
      </c>
      <c r="AG192" s="64"/>
      <c r="AH192" s="74" t="s">
        <v>135</v>
      </c>
      <c r="AI192" s="73">
        <f t="shared" si="497"/>
        <v>0</v>
      </c>
      <c r="AJ192" s="64"/>
      <c r="AK192" s="74" t="s">
        <v>1261</v>
      </c>
      <c r="AL192" s="73">
        <f t="shared" si="498"/>
        <v>0</v>
      </c>
      <c r="AM192" s="64"/>
      <c r="AN192" s="74" t="s">
        <v>1261</v>
      </c>
      <c r="AO192" s="73">
        <f t="shared" si="499"/>
        <v>0</v>
      </c>
      <c r="AP192" s="64"/>
      <c r="AQ192" s="74" t="s">
        <v>135</v>
      </c>
      <c r="AR192" s="73">
        <f t="shared" si="500"/>
        <v>0</v>
      </c>
      <c r="AS192" s="64"/>
      <c r="AT192" s="74" t="s">
        <v>1261</v>
      </c>
      <c r="AU192" s="73">
        <f t="shared" si="501"/>
        <v>0</v>
      </c>
      <c r="AV192" s="64"/>
      <c r="AW192" s="74" t="s">
        <v>74</v>
      </c>
      <c r="AX192" s="73">
        <f t="shared" si="502"/>
        <v>0</v>
      </c>
      <c r="AY192" s="64"/>
      <c r="AZ192" s="74" t="s">
        <v>135</v>
      </c>
      <c r="BA192" s="73">
        <f t="shared" si="503"/>
        <v>0</v>
      </c>
      <c r="BB192" s="64"/>
      <c r="BC192" s="74" t="s">
        <v>135</v>
      </c>
      <c r="BD192" s="73">
        <f t="shared" si="504"/>
        <v>0</v>
      </c>
      <c r="BE192" s="64"/>
      <c r="BF192" s="74" t="s">
        <v>135</v>
      </c>
      <c r="BG192" s="73">
        <f t="shared" si="505"/>
        <v>0</v>
      </c>
      <c r="BH192" s="64"/>
      <c r="BI192" s="74" t="s">
        <v>77</v>
      </c>
      <c r="BJ192" s="73">
        <f t="shared" si="506"/>
        <v>0</v>
      </c>
      <c r="BK192" s="64"/>
      <c r="BL192" s="74" t="s">
        <v>1261</v>
      </c>
      <c r="BM192" s="73">
        <f t="shared" si="507"/>
        <v>0</v>
      </c>
      <c r="BN192" s="64"/>
      <c r="BO192" s="74" t="s">
        <v>1634</v>
      </c>
      <c r="BP192" s="73">
        <f t="shared" si="508"/>
        <v>0</v>
      </c>
      <c r="BQ192" s="64"/>
      <c r="BR192" s="74" t="s">
        <v>1261</v>
      </c>
      <c r="BS192" s="73">
        <f t="shared" si="509"/>
        <v>0</v>
      </c>
      <c r="BT192" s="64"/>
      <c r="BU192" s="74" t="s">
        <v>1261</v>
      </c>
      <c r="BV192" s="73">
        <f t="shared" si="510"/>
        <v>0</v>
      </c>
      <c r="BW192" s="64"/>
      <c r="BX192" s="74" t="s">
        <v>135</v>
      </c>
      <c r="BY192" s="73">
        <f t="shared" si="511"/>
        <v>0</v>
      </c>
      <c r="BZ192" s="64"/>
      <c r="CA192" s="74" t="s">
        <v>1261</v>
      </c>
      <c r="CB192" s="73">
        <f t="shared" si="512"/>
        <v>0</v>
      </c>
      <c r="CC192" s="64"/>
      <c r="CD192" s="74" t="s">
        <v>135</v>
      </c>
      <c r="CE192" s="73">
        <f t="shared" si="513"/>
        <v>0</v>
      </c>
      <c r="CF192" s="64"/>
      <c r="CG192" s="74" t="s">
        <v>1261</v>
      </c>
      <c r="CH192" s="73">
        <f t="shared" si="514"/>
        <v>0</v>
      </c>
      <c r="CI192" s="64"/>
      <c r="CJ192" s="74" t="s">
        <v>135</v>
      </c>
      <c r="CK192" s="73">
        <f t="shared" si="515"/>
        <v>0</v>
      </c>
      <c r="CL192" s="64"/>
      <c r="CM192" s="74" t="s">
        <v>135</v>
      </c>
      <c r="CN192" s="73">
        <f t="shared" si="516"/>
        <v>0</v>
      </c>
      <c r="CO192" s="64"/>
      <c r="CP192" s="64"/>
    </row>
    <row r="193" spans="1:94">
      <c r="A193" s="25"/>
      <c r="B193" s="25"/>
      <c r="C193" s="25"/>
      <c r="D193" s="25"/>
      <c r="E193" s="25"/>
      <c r="F193" s="407">
        <f t="shared" si="517"/>
        <v>4</v>
      </c>
      <c r="G193" s="407">
        <f ca="1">VLOOKUP(H193,Equipos!$Q$1:$R$25,2,0)</f>
        <v>20</v>
      </c>
      <c r="H193" s="446" t="str">
        <f>Idiomas!$D$260</f>
        <v>Dieciseisavos de final</v>
      </c>
      <c r="I193" s="50"/>
      <c r="J193" s="845"/>
      <c r="K193" s="56" t="str">
        <f>Idiomas!$D$199&amp;"-"&amp;ROWS($L$182:L193)</f>
        <v>Octavofinalista-12</v>
      </c>
      <c r="L193" s="53"/>
      <c r="M193" s="55" t="str">
        <f>WORLDCUP!AF123</f>
        <v>W80</v>
      </c>
      <c r="N193" s="25"/>
      <c r="O193" s="25"/>
      <c r="P193" s="25"/>
      <c r="Q193" s="25"/>
      <c r="R193" s="110"/>
      <c r="S193" s="74" t="s">
        <v>76</v>
      </c>
      <c r="T193" s="73">
        <f t="shared" si="492"/>
        <v>0</v>
      </c>
      <c r="U193" s="64"/>
      <c r="V193" s="74" t="s">
        <v>1551</v>
      </c>
      <c r="W193" s="73">
        <f t="shared" si="493"/>
        <v>0</v>
      </c>
      <c r="X193" s="64"/>
      <c r="Y193" s="74" t="s">
        <v>76</v>
      </c>
      <c r="Z193" s="73">
        <f t="shared" si="494"/>
        <v>0</v>
      </c>
      <c r="AA193" s="64"/>
      <c r="AB193" s="74" t="s">
        <v>76</v>
      </c>
      <c r="AC193" s="73">
        <f t="shared" si="495"/>
        <v>0</v>
      </c>
      <c r="AD193" s="64"/>
      <c r="AE193" s="74" t="s">
        <v>76</v>
      </c>
      <c r="AF193" s="73">
        <f t="shared" si="496"/>
        <v>0</v>
      </c>
      <c r="AG193" s="64"/>
      <c r="AH193" s="74" t="s">
        <v>76</v>
      </c>
      <c r="AI193" s="73">
        <f t="shared" si="497"/>
        <v>0</v>
      </c>
      <c r="AJ193" s="64"/>
      <c r="AK193" s="74" t="s">
        <v>76</v>
      </c>
      <c r="AL193" s="73">
        <f t="shared" si="498"/>
        <v>0</v>
      </c>
      <c r="AM193" s="64"/>
      <c r="AN193" s="74" t="s">
        <v>76</v>
      </c>
      <c r="AO193" s="73">
        <f t="shared" si="499"/>
        <v>0</v>
      </c>
      <c r="AP193" s="64"/>
      <c r="AQ193" s="74" t="s">
        <v>76</v>
      </c>
      <c r="AR193" s="73">
        <f t="shared" si="500"/>
        <v>0</v>
      </c>
      <c r="AS193" s="64"/>
      <c r="AT193" s="74" t="s">
        <v>76</v>
      </c>
      <c r="AU193" s="73">
        <f t="shared" si="501"/>
        <v>0</v>
      </c>
      <c r="AV193" s="64"/>
      <c r="AW193" s="74" t="s">
        <v>76</v>
      </c>
      <c r="AX193" s="73">
        <f t="shared" si="502"/>
        <v>0</v>
      </c>
      <c r="AY193" s="64"/>
      <c r="AZ193" s="74" t="s">
        <v>76</v>
      </c>
      <c r="BA193" s="73">
        <f t="shared" si="503"/>
        <v>0</v>
      </c>
      <c r="BB193" s="64"/>
      <c r="BC193" s="74" t="s">
        <v>76</v>
      </c>
      <c r="BD193" s="73">
        <f t="shared" si="504"/>
        <v>0</v>
      </c>
      <c r="BE193" s="64"/>
      <c r="BF193" s="74" t="s">
        <v>76</v>
      </c>
      <c r="BG193" s="73">
        <f t="shared" si="505"/>
        <v>0</v>
      </c>
      <c r="BH193" s="64"/>
      <c r="BI193" s="74" t="s">
        <v>76</v>
      </c>
      <c r="BJ193" s="73">
        <f t="shared" si="506"/>
        <v>0</v>
      </c>
      <c r="BK193" s="64"/>
      <c r="BL193" s="74" t="s">
        <v>1634</v>
      </c>
      <c r="BM193" s="73">
        <f t="shared" si="507"/>
        <v>0</v>
      </c>
      <c r="BN193" s="64"/>
      <c r="BO193" s="74" t="s">
        <v>76</v>
      </c>
      <c r="BP193" s="73">
        <f t="shared" si="508"/>
        <v>0</v>
      </c>
      <c r="BQ193" s="64"/>
      <c r="BR193" s="74" t="s">
        <v>76</v>
      </c>
      <c r="BS193" s="73">
        <f t="shared" si="509"/>
        <v>0</v>
      </c>
      <c r="BT193" s="64"/>
      <c r="BU193" s="74" t="s">
        <v>76</v>
      </c>
      <c r="BV193" s="73">
        <f t="shared" si="510"/>
        <v>0</v>
      </c>
      <c r="BW193" s="64"/>
      <c r="BX193" s="74" t="s">
        <v>76</v>
      </c>
      <c r="BY193" s="73">
        <f t="shared" si="511"/>
        <v>0</v>
      </c>
      <c r="BZ193" s="64"/>
      <c r="CA193" s="74" t="s">
        <v>76</v>
      </c>
      <c r="CB193" s="73">
        <f t="shared" si="512"/>
        <v>0</v>
      </c>
      <c r="CC193" s="64"/>
      <c r="CD193" s="74" t="s">
        <v>76</v>
      </c>
      <c r="CE193" s="73">
        <f t="shared" si="513"/>
        <v>0</v>
      </c>
      <c r="CF193" s="64"/>
      <c r="CG193" s="74" t="s">
        <v>76</v>
      </c>
      <c r="CH193" s="73">
        <f t="shared" si="514"/>
        <v>0</v>
      </c>
      <c r="CI193" s="64"/>
      <c r="CJ193" s="74" t="s">
        <v>76</v>
      </c>
      <c r="CK193" s="73">
        <f t="shared" si="515"/>
        <v>0</v>
      </c>
      <c r="CL193" s="64"/>
      <c r="CM193" s="74" t="s">
        <v>76</v>
      </c>
      <c r="CN193" s="73">
        <f t="shared" si="516"/>
        <v>0</v>
      </c>
      <c r="CO193" s="64"/>
      <c r="CP193" s="64"/>
    </row>
    <row r="194" spans="1:94">
      <c r="A194" s="25"/>
      <c r="B194" s="25"/>
      <c r="C194" s="25"/>
      <c r="D194" s="25"/>
      <c r="E194" s="25"/>
      <c r="F194" s="407">
        <f t="shared" si="517"/>
        <v>4</v>
      </c>
      <c r="G194" s="407">
        <f ca="1">VLOOKUP(H194,Equipos!$Q$1:$R$25,2,0)</f>
        <v>20</v>
      </c>
      <c r="H194" s="446" t="str">
        <f>Idiomas!$D$260</f>
        <v>Dieciseisavos de final</v>
      </c>
      <c r="I194" s="50"/>
      <c r="J194" s="845"/>
      <c r="K194" s="56" t="str">
        <f>Idiomas!$D$199&amp;"-"&amp;ROWS($L$182:L194)</f>
        <v>Octavofinalista-13</v>
      </c>
      <c r="L194" s="53"/>
      <c r="M194" s="55" t="str">
        <f>WORLDCUP!AF124</f>
        <v>W84</v>
      </c>
      <c r="N194" s="25"/>
      <c r="O194" s="25"/>
      <c r="P194" s="25"/>
      <c r="Q194" s="25"/>
      <c r="R194" s="110"/>
      <c r="S194" s="74" t="s">
        <v>38</v>
      </c>
      <c r="T194" s="73">
        <f t="shared" si="492"/>
        <v>0</v>
      </c>
      <c r="U194" s="64"/>
      <c r="V194" s="74" t="s">
        <v>1318</v>
      </c>
      <c r="W194" s="73">
        <f t="shared" si="493"/>
        <v>0</v>
      </c>
      <c r="X194" s="64"/>
      <c r="Y194" s="74" t="s">
        <v>38</v>
      </c>
      <c r="Z194" s="73">
        <f t="shared" si="494"/>
        <v>0</v>
      </c>
      <c r="AA194" s="64"/>
      <c r="AB194" s="74" t="s">
        <v>38</v>
      </c>
      <c r="AC194" s="73">
        <f t="shared" si="495"/>
        <v>0</v>
      </c>
      <c r="AD194" s="64"/>
      <c r="AE194" s="74" t="s">
        <v>38</v>
      </c>
      <c r="AF194" s="73">
        <f t="shared" si="496"/>
        <v>0</v>
      </c>
      <c r="AG194" s="64"/>
      <c r="AH194" s="74" t="s">
        <v>38</v>
      </c>
      <c r="AI194" s="73">
        <f t="shared" si="497"/>
        <v>0</v>
      </c>
      <c r="AJ194" s="64"/>
      <c r="AK194" s="74" t="s">
        <v>38</v>
      </c>
      <c r="AL194" s="73">
        <f t="shared" si="498"/>
        <v>0</v>
      </c>
      <c r="AM194" s="64"/>
      <c r="AN194" s="74" t="s">
        <v>38</v>
      </c>
      <c r="AO194" s="73">
        <f t="shared" si="499"/>
        <v>0</v>
      </c>
      <c r="AP194" s="64"/>
      <c r="AQ194" s="74" t="s">
        <v>38</v>
      </c>
      <c r="AR194" s="73">
        <f t="shared" si="500"/>
        <v>0</v>
      </c>
      <c r="AS194" s="64"/>
      <c r="AT194" s="74" t="s">
        <v>38</v>
      </c>
      <c r="AU194" s="73">
        <f t="shared" si="501"/>
        <v>0</v>
      </c>
      <c r="AV194" s="64"/>
      <c r="AW194" s="74" t="s">
        <v>38</v>
      </c>
      <c r="AX194" s="73">
        <f t="shared" si="502"/>
        <v>0</v>
      </c>
      <c r="AY194" s="64"/>
      <c r="AZ194" s="74" t="s">
        <v>38</v>
      </c>
      <c r="BA194" s="73">
        <f t="shared" si="503"/>
        <v>0</v>
      </c>
      <c r="BB194" s="64"/>
      <c r="BC194" s="74" t="s">
        <v>1318</v>
      </c>
      <c r="BD194" s="73">
        <f t="shared" si="504"/>
        <v>0</v>
      </c>
      <c r="BE194" s="64"/>
      <c r="BF194" s="74" t="s">
        <v>38</v>
      </c>
      <c r="BG194" s="73">
        <f t="shared" si="505"/>
        <v>0</v>
      </c>
      <c r="BH194" s="64"/>
      <c r="BI194" s="74" t="s">
        <v>38</v>
      </c>
      <c r="BJ194" s="73">
        <f t="shared" si="506"/>
        <v>0</v>
      </c>
      <c r="BK194" s="64"/>
      <c r="BL194" s="74" t="s">
        <v>38</v>
      </c>
      <c r="BM194" s="73">
        <f t="shared" si="507"/>
        <v>0</v>
      </c>
      <c r="BN194" s="64"/>
      <c r="BO194" s="74" t="s">
        <v>38</v>
      </c>
      <c r="BP194" s="73">
        <f t="shared" si="508"/>
        <v>0</v>
      </c>
      <c r="BQ194" s="64"/>
      <c r="BR194" s="74" t="s">
        <v>38</v>
      </c>
      <c r="BS194" s="73">
        <f t="shared" si="509"/>
        <v>0</v>
      </c>
      <c r="BT194" s="64"/>
      <c r="BU194" s="74" t="s">
        <v>38</v>
      </c>
      <c r="BV194" s="73">
        <f t="shared" si="510"/>
        <v>0</v>
      </c>
      <c r="BW194" s="64"/>
      <c r="BX194" s="74" t="s">
        <v>38</v>
      </c>
      <c r="BY194" s="73">
        <f t="shared" si="511"/>
        <v>0</v>
      </c>
      <c r="BZ194" s="64"/>
      <c r="CA194" s="74" t="s">
        <v>38</v>
      </c>
      <c r="CB194" s="73">
        <f t="shared" si="512"/>
        <v>0</v>
      </c>
      <c r="CC194" s="64"/>
      <c r="CD194" s="74" t="s">
        <v>38</v>
      </c>
      <c r="CE194" s="73">
        <f t="shared" si="513"/>
        <v>0</v>
      </c>
      <c r="CF194" s="64"/>
      <c r="CG194" s="74" t="s">
        <v>38</v>
      </c>
      <c r="CH194" s="73">
        <f t="shared" si="514"/>
        <v>0</v>
      </c>
      <c r="CI194" s="64"/>
      <c r="CJ194" s="74" t="s">
        <v>38</v>
      </c>
      <c r="CK194" s="73">
        <f t="shared" si="515"/>
        <v>0</v>
      </c>
      <c r="CL194" s="64"/>
      <c r="CM194" s="74" t="s">
        <v>38</v>
      </c>
      <c r="CN194" s="73">
        <f t="shared" si="516"/>
        <v>0</v>
      </c>
      <c r="CO194" s="64"/>
      <c r="CP194" s="64"/>
    </row>
    <row r="195" spans="1:94">
      <c r="A195" s="25"/>
      <c r="B195" s="25"/>
      <c r="C195" s="25"/>
      <c r="D195" s="25"/>
      <c r="E195" s="25"/>
      <c r="F195" s="407">
        <f t="shared" si="517"/>
        <v>4</v>
      </c>
      <c r="G195" s="407">
        <f ca="1">VLOOKUP(H195,Equipos!$Q$1:$R$25,2,0)</f>
        <v>20</v>
      </c>
      <c r="H195" s="446" t="str">
        <f>Idiomas!$D$260</f>
        <v>Dieciseisavos de final</v>
      </c>
      <c r="I195" s="50"/>
      <c r="J195" s="845"/>
      <c r="K195" s="56" t="str">
        <f>Idiomas!$D$199&amp;"-"&amp;ROWS($L$182:L195)</f>
        <v>Octavofinalista-14</v>
      </c>
      <c r="L195" s="53"/>
      <c r="M195" s="55" t="str">
        <f>WORLDCUP!AF125</f>
        <v>W82</v>
      </c>
      <c r="N195" s="25"/>
      <c r="O195" s="25"/>
      <c r="P195" s="25"/>
      <c r="Q195" s="25"/>
      <c r="R195" s="110"/>
      <c r="S195" s="74" t="s">
        <v>110</v>
      </c>
      <c r="T195" s="73">
        <f t="shared" si="492"/>
        <v>0</v>
      </c>
      <c r="U195" s="64"/>
      <c r="V195" s="74" t="s">
        <v>1632</v>
      </c>
      <c r="W195" s="73">
        <f t="shared" si="493"/>
        <v>0</v>
      </c>
      <c r="X195" s="64"/>
      <c r="Y195" s="74" t="s">
        <v>110</v>
      </c>
      <c r="Z195" s="73">
        <f t="shared" si="494"/>
        <v>0</v>
      </c>
      <c r="AA195" s="64"/>
      <c r="AB195" s="74" t="s">
        <v>110</v>
      </c>
      <c r="AC195" s="73">
        <f t="shared" si="495"/>
        <v>0</v>
      </c>
      <c r="AD195" s="64"/>
      <c r="AE195" s="74" t="s">
        <v>110</v>
      </c>
      <c r="AF195" s="73">
        <f t="shared" si="496"/>
        <v>0</v>
      </c>
      <c r="AG195" s="64"/>
      <c r="AH195" s="74" t="s">
        <v>110</v>
      </c>
      <c r="AI195" s="73">
        <f t="shared" si="497"/>
        <v>0</v>
      </c>
      <c r="AJ195" s="64"/>
      <c r="AK195" s="74" t="s">
        <v>110</v>
      </c>
      <c r="AL195" s="73">
        <f t="shared" si="498"/>
        <v>0</v>
      </c>
      <c r="AM195" s="64"/>
      <c r="AN195" s="74" t="s">
        <v>110</v>
      </c>
      <c r="AO195" s="73">
        <f t="shared" si="499"/>
        <v>0</v>
      </c>
      <c r="AP195" s="64"/>
      <c r="AQ195" s="74" t="s">
        <v>110</v>
      </c>
      <c r="AR195" s="73">
        <f t="shared" si="500"/>
        <v>0</v>
      </c>
      <c r="AS195" s="64"/>
      <c r="AT195" s="74" t="s">
        <v>110</v>
      </c>
      <c r="AU195" s="73">
        <f t="shared" si="501"/>
        <v>0</v>
      </c>
      <c r="AV195" s="64"/>
      <c r="AW195" s="74" t="s">
        <v>110</v>
      </c>
      <c r="AX195" s="73">
        <f t="shared" si="502"/>
        <v>0</v>
      </c>
      <c r="AY195" s="64"/>
      <c r="AZ195" s="74" t="s">
        <v>110</v>
      </c>
      <c r="BA195" s="73">
        <f t="shared" si="503"/>
        <v>0</v>
      </c>
      <c r="BB195" s="64"/>
      <c r="BC195" s="74" t="s">
        <v>110</v>
      </c>
      <c r="BD195" s="73">
        <f t="shared" si="504"/>
        <v>0</v>
      </c>
      <c r="BE195" s="64"/>
      <c r="BF195" s="74" t="s">
        <v>110</v>
      </c>
      <c r="BG195" s="73">
        <f t="shared" si="505"/>
        <v>0</v>
      </c>
      <c r="BH195" s="64"/>
      <c r="BI195" s="74" t="s">
        <v>110</v>
      </c>
      <c r="BJ195" s="73">
        <f t="shared" si="506"/>
        <v>0</v>
      </c>
      <c r="BK195" s="64"/>
      <c r="BL195" s="74" t="s">
        <v>110</v>
      </c>
      <c r="BM195" s="73">
        <f t="shared" si="507"/>
        <v>0</v>
      </c>
      <c r="BN195" s="64"/>
      <c r="BO195" s="74" t="s">
        <v>135</v>
      </c>
      <c r="BP195" s="73">
        <f t="shared" si="508"/>
        <v>0</v>
      </c>
      <c r="BQ195" s="64"/>
      <c r="BR195" s="74" t="s">
        <v>110</v>
      </c>
      <c r="BS195" s="73">
        <f t="shared" si="509"/>
        <v>0</v>
      </c>
      <c r="BT195" s="64"/>
      <c r="BU195" s="74" t="s">
        <v>110</v>
      </c>
      <c r="BV195" s="73">
        <f t="shared" si="510"/>
        <v>0</v>
      </c>
      <c r="BW195" s="64"/>
      <c r="BX195" s="74" t="s">
        <v>110</v>
      </c>
      <c r="BY195" s="73">
        <f t="shared" si="511"/>
        <v>0</v>
      </c>
      <c r="BZ195" s="64"/>
      <c r="CA195" s="74" t="s">
        <v>1630</v>
      </c>
      <c r="CB195" s="73">
        <f t="shared" si="512"/>
        <v>0</v>
      </c>
      <c r="CC195" s="64"/>
      <c r="CD195" s="74" t="s">
        <v>110</v>
      </c>
      <c r="CE195" s="73">
        <f t="shared" si="513"/>
        <v>0</v>
      </c>
      <c r="CF195" s="64"/>
      <c r="CG195" s="74" t="s">
        <v>110</v>
      </c>
      <c r="CH195" s="73">
        <f t="shared" si="514"/>
        <v>0</v>
      </c>
      <c r="CI195" s="64"/>
      <c r="CJ195" s="74" t="s">
        <v>110</v>
      </c>
      <c r="CK195" s="73">
        <f t="shared" si="515"/>
        <v>0</v>
      </c>
      <c r="CL195" s="64"/>
      <c r="CM195" s="74" t="s">
        <v>110</v>
      </c>
      <c r="CN195" s="73">
        <f t="shared" si="516"/>
        <v>0</v>
      </c>
      <c r="CO195" s="64"/>
      <c r="CP195" s="64"/>
    </row>
    <row r="196" spans="1:94">
      <c r="A196" s="25"/>
      <c r="B196" s="25"/>
      <c r="C196" s="25"/>
      <c r="D196" s="25"/>
      <c r="E196" s="25"/>
      <c r="F196" s="407">
        <f t="shared" si="517"/>
        <v>4</v>
      </c>
      <c r="G196" s="407">
        <f ca="1">VLOOKUP(H196,Equipos!$Q$1:$R$25,2,0)</f>
        <v>20</v>
      </c>
      <c r="H196" s="446" t="str">
        <f>Idiomas!$D$260</f>
        <v>Dieciseisavos de final</v>
      </c>
      <c r="I196" s="50"/>
      <c r="J196" s="845"/>
      <c r="K196" s="56" t="str">
        <f>Idiomas!$D$199&amp;"-"&amp;ROWS($L$182:L196)</f>
        <v>Octavofinalista-15</v>
      </c>
      <c r="L196" s="53"/>
      <c r="M196" s="55" t="str">
        <f>WORLDCUP!AF126</f>
        <v>W88</v>
      </c>
      <c r="N196" s="25"/>
      <c r="O196" s="25"/>
      <c r="P196" s="25"/>
      <c r="Q196" s="25"/>
      <c r="R196" s="110"/>
      <c r="S196" s="74" t="s">
        <v>497</v>
      </c>
      <c r="T196" s="73">
        <f t="shared" si="492"/>
        <v>0</v>
      </c>
      <c r="U196" s="64"/>
      <c r="V196" s="74" t="s">
        <v>110</v>
      </c>
      <c r="W196" s="73">
        <f t="shared" si="493"/>
        <v>0</v>
      </c>
      <c r="X196" s="64"/>
      <c r="Y196" s="74" t="s">
        <v>1835</v>
      </c>
      <c r="Z196" s="73">
        <f t="shared" si="494"/>
        <v>0</v>
      </c>
      <c r="AA196" s="64"/>
      <c r="AB196" s="74" t="s">
        <v>1319</v>
      </c>
      <c r="AC196" s="73">
        <f t="shared" si="495"/>
        <v>0</v>
      </c>
      <c r="AD196" s="64"/>
      <c r="AE196" s="74" t="s">
        <v>1550</v>
      </c>
      <c r="AF196" s="73">
        <f t="shared" si="496"/>
        <v>0</v>
      </c>
      <c r="AG196" s="64"/>
      <c r="AH196" s="74" t="s">
        <v>497</v>
      </c>
      <c r="AI196" s="73">
        <f t="shared" si="497"/>
        <v>0</v>
      </c>
      <c r="AJ196" s="64"/>
      <c r="AK196" s="74" t="s">
        <v>1319</v>
      </c>
      <c r="AL196" s="73">
        <f t="shared" si="498"/>
        <v>0</v>
      </c>
      <c r="AM196" s="64"/>
      <c r="AN196" s="74" t="s">
        <v>1835</v>
      </c>
      <c r="AO196" s="73">
        <f t="shared" si="499"/>
        <v>0</v>
      </c>
      <c r="AP196" s="64"/>
      <c r="AQ196" s="74" t="s">
        <v>1319</v>
      </c>
      <c r="AR196" s="73">
        <f t="shared" si="500"/>
        <v>0</v>
      </c>
      <c r="AS196" s="64"/>
      <c r="AT196" s="74" t="s">
        <v>1835</v>
      </c>
      <c r="AU196" s="73">
        <f t="shared" si="501"/>
        <v>0</v>
      </c>
      <c r="AV196" s="64"/>
      <c r="AW196" s="74" t="s">
        <v>1319</v>
      </c>
      <c r="AX196" s="73">
        <f t="shared" si="502"/>
        <v>0</v>
      </c>
      <c r="AY196" s="64"/>
      <c r="AZ196" s="74" t="s">
        <v>1550</v>
      </c>
      <c r="BA196" s="73">
        <f t="shared" si="503"/>
        <v>0</v>
      </c>
      <c r="BB196" s="64"/>
      <c r="BC196" s="74" t="s">
        <v>1319</v>
      </c>
      <c r="BD196" s="73">
        <f t="shared" si="504"/>
        <v>0</v>
      </c>
      <c r="BE196" s="64"/>
      <c r="BF196" s="74" t="s">
        <v>497</v>
      </c>
      <c r="BG196" s="73">
        <f t="shared" si="505"/>
        <v>0</v>
      </c>
      <c r="BH196" s="64"/>
      <c r="BI196" s="74" t="s">
        <v>1835</v>
      </c>
      <c r="BJ196" s="73">
        <f t="shared" si="506"/>
        <v>0</v>
      </c>
      <c r="BK196" s="64"/>
      <c r="BL196" s="74" t="s">
        <v>1550</v>
      </c>
      <c r="BM196" s="73">
        <f t="shared" si="507"/>
        <v>0</v>
      </c>
      <c r="BN196" s="64"/>
      <c r="BO196" s="74" t="s">
        <v>1550</v>
      </c>
      <c r="BP196" s="73">
        <f t="shared" si="508"/>
        <v>0</v>
      </c>
      <c r="BQ196" s="64"/>
      <c r="BR196" s="74" t="s">
        <v>497</v>
      </c>
      <c r="BS196" s="73">
        <f t="shared" si="509"/>
        <v>0</v>
      </c>
      <c r="BT196" s="64"/>
      <c r="BU196" s="74" t="s">
        <v>1319</v>
      </c>
      <c r="BV196" s="73">
        <f t="shared" si="510"/>
        <v>0</v>
      </c>
      <c r="BW196" s="64"/>
      <c r="BX196" s="74" t="s">
        <v>1835</v>
      </c>
      <c r="BY196" s="73">
        <f t="shared" si="511"/>
        <v>0</v>
      </c>
      <c r="BZ196" s="64"/>
      <c r="CA196" s="74" t="s">
        <v>1319</v>
      </c>
      <c r="CB196" s="73">
        <f t="shared" si="512"/>
        <v>0</v>
      </c>
      <c r="CC196" s="64"/>
      <c r="CD196" s="74" t="s">
        <v>1835</v>
      </c>
      <c r="CE196" s="73">
        <f t="shared" si="513"/>
        <v>0</v>
      </c>
      <c r="CF196" s="64"/>
      <c r="CG196" s="74" t="s">
        <v>497</v>
      </c>
      <c r="CH196" s="73">
        <f t="shared" si="514"/>
        <v>0</v>
      </c>
      <c r="CI196" s="64"/>
      <c r="CJ196" s="74" t="s">
        <v>1835</v>
      </c>
      <c r="CK196" s="73">
        <f t="shared" si="515"/>
        <v>0</v>
      </c>
      <c r="CL196" s="64"/>
      <c r="CM196" s="74" t="s">
        <v>1835</v>
      </c>
      <c r="CN196" s="73">
        <f t="shared" si="516"/>
        <v>0</v>
      </c>
      <c r="CO196" s="64"/>
      <c r="CP196" s="64"/>
    </row>
    <row r="197" spans="1:94">
      <c r="A197" s="25"/>
      <c r="B197" s="25"/>
      <c r="C197" s="25"/>
      <c r="D197" s="25"/>
      <c r="E197" s="25"/>
      <c r="F197" s="407">
        <f t="shared" si="517"/>
        <v>4</v>
      </c>
      <c r="G197" s="407">
        <f ca="1">VLOOKUP(H197,Equipos!$Q$1:$R$25,2,0)</f>
        <v>20</v>
      </c>
      <c r="H197" s="446" t="str">
        <f>Idiomas!$D$260</f>
        <v>Dieciseisavos de final</v>
      </c>
      <c r="I197" s="50"/>
      <c r="J197" s="845"/>
      <c r="K197" s="115" t="str">
        <f>Idiomas!$D$199&amp;"-"&amp;ROWS($L$182:L197)</f>
        <v>Octavofinalista-16</v>
      </c>
      <c r="L197" s="115"/>
      <c r="M197" s="116" t="str">
        <f>WORLDCUP!AF127</f>
        <v>W87</v>
      </c>
      <c r="N197" s="25"/>
      <c r="O197" s="25"/>
      <c r="P197" s="25"/>
      <c r="Q197" s="25"/>
      <c r="R197" s="110"/>
      <c r="S197" s="80" t="s">
        <v>79</v>
      </c>
      <c r="T197" s="81">
        <f t="shared" si="492"/>
        <v>0</v>
      </c>
      <c r="U197" s="64"/>
      <c r="V197" s="80" t="s">
        <v>79</v>
      </c>
      <c r="W197" s="81">
        <f t="shared" si="493"/>
        <v>0</v>
      </c>
      <c r="X197" s="64"/>
      <c r="Y197" s="80" t="s">
        <v>79</v>
      </c>
      <c r="Z197" s="81">
        <f t="shared" si="494"/>
        <v>0</v>
      </c>
      <c r="AA197" s="64"/>
      <c r="AB197" s="80" t="s">
        <v>79</v>
      </c>
      <c r="AC197" s="81">
        <f t="shared" si="495"/>
        <v>0</v>
      </c>
      <c r="AD197" s="64"/>
      <c r="AE197" s="80" t="s">
        <v>79</v>
      </c>
      <c r="AF197" s="81">
        <f t="shared" si="496"/>
        <v>0</v>
      </c>
      <c r="AG197" s="64"/>
      <c r="AH197" s="80" t="s">
        <v>79</v>
      </c>
      <c r="AI197" s="81">
        <f t="shared" si="497"/>
        <v>0</v>
      </c>
      <c r="AJ197" s="64"/>
      <c r="AK197" s="80" t="s">
        <v>79</v>
      </c>
      <c r="AL197" s="81">
        <f t="shared" si="498"/>
        <v>0</v>
      </c>
      <c r="AM197" s="64"/>
      <c r="AN197" s="80" t="s">
        <v>79</v>
      </c>
      <c r="AO197" s="81">
        <f t="shared" si="499"/>
        <v>0</v>
      </c>
      <c r="AP197" s="64"/>
      <c r="AQ197" s="80" t="s">
        <v>79</v>
      </c>
      <c r="AR197" s="81">
        <f t="shared" si="500"/>
        <v>0</v>
      </c>
      <c r="AS197" s="64"/>
      <c r="AT197" s="80" t="s">
        <v>79</v>
      </c>
      <c r="AU197" s="81">
        <f t="shared" si="501"/>
        <v>0</v>
      </c>
      <c r="AV197" s="64"/>
      <c r="AW197" s="80" t="s">
        <v>79</v>
      </c>
      <c r="AX197" s="81">
        <f t="shared" si="502"/>
        <v>0</v>
      </c>
      <c r="AY197" s="64"/>
      <c r="AZ197" s="80" t="s">
        <v>79</v>
      </c>
      <c r="BA197" s="81">
        <f t="shared" si="503"/>
        <v>0</v>
      </c>
      <c r="BB197" s="64"/>
      <c r="BC197" s="80" t="s">
        <v>79</v>
      </c>
      <c r="BD197" s="81">
        <f t="shared" si="504"/>
        <v>0</v>
      </c>
      <c r="BE197" s="64"/>
      <c r="BF197" s="80" t="s">
        <v>79</v>
      </c>
      <c r="BG197" s="81">
        <f t="shared" si="505"/>
        <v>0</v>
      </c>
      <c r="BH197" s="64"/>
      <c r="BI197" s="80" t="s">
        <v>79</v>
      </c>
      <c r="BJ197" s="81">
        <f t="shared" si="506"/>
        <v>0</v>
      </c>
      <c r="BK197" s="64"/>
      <c r="BL197" s="80" t="s">
        <v>79</v>
      </c>
      <c r="BM197" s="81">
        <f t="shared" si="507"/>
        <v>0</v>
      </c>
      <c r="BN197" s="64"/>
      <c r="BO197" s="80" t="s">
        <v>79</v>
      </c>
      <c r="BP197" s="81">
        <f t="shared" si="508"/>
        <v>0</v>
      </c>
      <c r="BQ197" s="64"/>
      <c r="BR197" s="80" t="s">
        <v>79</v>
      </c>
      <c r="BS197" s="81">
        <f t="shared" si="509"/>
        <v>0</v>
      </c>
      <c r="BT197" s="64"/>
      <c r="BU197" s="80" t="s">
        <v>79</v>
      </c>
      <c r="BV197" s="81">
        <f t="shared" si="510"/>
        <v>0</v>
      </c>
      <c r="BW197" s="64"/>
      <c r="BX197" s="80" t="s">
        <v>79</v>
      </c>
      <c r="BY197" s="81">
        <f t="shared" si="511"/>
        <v>0</v>
      </c>
      <c r="BZ197" s="64"/>
      <c r="CA197" s="80" t="s">
        <v>1320</v>
      </c>
      <c r="CB197" s="81">
        <f t="shared" si="512"/>
        <v>0</v>
      </c>
      <c r="CC197" s="64"/>
      <c r="CD197" s="80" t="s">
        <v>79</v>
      </c>
      <c r="CE197" s="81">
        <f t="shared" si="513"/>
        <v>0</v>
      </c>
      <c r="CF197" s="64"/>
      <c r="CG197" s="80" t="s">
        <v>79</v>
      </c>
      <c r="CH197" s="81">
        <f t="shared" si="514"/>
        <v>0</v>
      </c>
      <c r="CI197" s="64"/>
      <c r="CJ197" s="80" t="s">
        <v>79</v>
      </c>
      <c r="CK197" s="81">
        <f t="shared" si="515"/>
        <v>0</v>
      </c>
      <c r="CL197" s="64"/>
      <c r="CM197" s="80" t="s">
        <v>79</v>
      </c>
      <c r="CN197" s="81">
        <f t="shared" si="516"/>
        <v>0</v>
      </c>
      <c r="CO197" s="64"/>
      <c r="CP197" s="64"/>
    </row>
    <row r="198" spans="1:94">
      <c r="A198" s="25"/>
      <c r="B198" s="25"/>
      <c r="C198" s="25"/>
      <c r="D198" s="25"/>
      <c r="E198" s="25"/>
      <c r="F198" s="407"/>
      <c r="G198" s="407"/>
      <c r="H198" s="65"/>
      <c r="I198" s="50"/>
      <c r="J198" s="94"/>
      <c r="K198" s="434" t="str">
        <f>Idiomas!D459</f>
        <v>Equipos 1/8</v>
      </c>
      <c r="L198" s="435"/>
      <c r="M198" s="434" t="str">
        <f>"Max: "&amp;$D$19*COUNT(T182:T197)</f>
        <v>Max: 64</v>
      </c>
      <c r="N198" s="25"/>
      <c r="O198" s="25"/>
      <c r="P198" s="25"/>
      <c r="Q198" s="25"/>
      <c r="R198" s="49"/>
      <c r="S198" s="84"/>
      <c r="T198" s="71">
        <f>SUM(T182:T197)</f>
        <v>0</v>
      </c>
      <c r="U198" s="65"/>
      <c r="V198" s="84"/>
      <c r="W198" s="71">
        <f t="shared" ref="W198" si="518">SUM(W182:W197)</f>
        <v>0</v>
      </c>
      <c r="X198" s="65"/>
      <c r="Y198" s="84"/>
      <c r="Z198" s="71">
        <f t="shared" ref="Z198" si="519">SUM(Z182:Z197)</f>
        <v>0</v>
      </c>
      <c r="AA198" s="65"/>
      <c r="AB198" s="84"/>
      <c r="AC198" s="71">
        <f t="shared" ref="AC198" si="520">SUM(AC182:AC197)</f>
        <v>0</v>
      </c>
      <c r="AD198" s="65"/>
      <c r="AE198" s="84"/>
      <c r="AF198" s="71">
        <f t="shared" ref="AF198" si="521">SUM(AF182:AF197)</f>
        <v>0</v>
      </c>
      <c r="AG198" s="65"/>
      <c r="AH198" s="84"/>
      <c r="AI198" s="71">
        <f t="shared" ref="AI198" si="522">SUM(AI182:AI197)</f>
        <v>0</v>
      </c>
      <c r="AJ198" s="65"/>
      <c r="AK198" s="84"/>
      <c r="AL198" s="71">
        <f t="shared" ref="AL198" si="523">SUM(AL182:AL197)</f>
        <v>0</v>
      </c>
      <c r="AM198" s="65"/>
      <c r="AN198" s="84"/>
      <c r="AO198" s="71">
        <f t="shared" ref="AO198" si="524">SUM(AO182:AO197)</f>
        <v>0</v>
      </c>
      <c r="AP198" s="65"/>
      <c r="AQ198" s="84"/>
      <c r="AR198" s="71">
        <f t="shared" ref="AR198" si="525">SUM(AR182:AR197)</f>
        <v>0</v>
      </c>
      <c r="AS198" s="65"/>
      <c r="AT198" s="84"/>
      <c r="AU198" s="71">
        <f t="shared" ref="AU198" si="526">SUM(AU182:AU197)</f>
        <v>0</v>
      </c>
      <c r="AV198" s="65"/>
      <c r="AW198" s="84"/>
      <c r="AX198" s="71">
        <f t="shared" ref="AX198" si="527">SUM(AX182:AX197)</f>
        <v>0</v>
      </c>
      <c r="AY198" s="65"/>
      <c r="AZ198" s="84"/>
      <c r="BA198" s="71">
        <f t="shared" ref="BA198" si="528">SUM(BA182:BA197)</f>
        <v>0</v>
      </c>
      <c r="BB198" s="65"/>
      <c r="BC198" s="84"/>
      <c r="BD198" s="71">
        <f t="shared" ref="BD198" si="529">SUM(BD182:BD197)</f>
        <v>0</v>
      </c>
      <c r="BE198" s="65"/>
      <c r="BF198" s="84"/>
      <c r="BG198" s="71">
        <f t="shared" ref="BG198" si="530">SUM(BG182:BG197)</f>
        <v>0</v>
      </c>
      <c r="BH198" s="65"/>
      <c r="BI198" s="84"/>
      <c r="BJ198" s="71">
        <f t="shared" ref="BJ198" si="531">SUM(BJ182:BJ197)</f>
        <v>0</v>
      </c>
      <c r="BK198" s="65"/>
      <c r="BL198" s="84"/>
      <c r="BM198" s="71">
        <f t="shared" ref="BM198" si="532">SUM(BM182:BM197)</f>
        <v>0</v>
      </c>
      <c r="BN198" s="65"/>
      <c r="BO198" s="84"/>
      <c r="BP198" s="71">
        <f t="shared" ref="BP198" si="533">SUM(BP182:BP197)</f>
        <v>0</v>
      </c>
      <c r="BQ198" s="65"/>
      <c r="BR198" s="84"/>
      <c r="BS198" s="71">
        <f t="shared" ref="BS198" si="534">SUM(BS182:BS197)</f>
        <v>0</v>
      </c>
      <c r="BT198" s="65"/>
      <c r="BU198" s="84"/>
      <c r="BV198" s="71">
        <f t="shared" ref="BV198" si="535">SUM(BV182:BV197)</f>
        <v>0</v>
      </c>
      <c r="BW198" s="65"/>
      <c r="BX198" s="84"/>
      <c r="BY198" s="71">
        <f t="shared" ref="BY198" si="536">SUM(BY182:BY197)</f>
        <v>0</v>
      </c>
      <c r="BZ198" s="65"/>
      <c r="CA198" s="84"/>
      <c r="CB198" s="71">
        <f t="shared" ref="CB198" si="537">SUM(CB182:CB197)</f>
        <v>0</v>
      </c>
      <c r="CC198" s="65"/>
      <c r="CD198" s="84"/>
      <c r="CE198" s="71">
        <f t="shared" ref="CE198" si="538">SUM(CE182:CE197)</f>
        <v>0</v>
      </c>
      <c r="CF198" s="65"/>
      <c r="CG198" s="84"/>
      <c r="CH198" s="71">
        <f t="shared" ref="CH198" si="539">SUM(CH182:CH197)</f>
        <v>0</v>
      </c>
      <c r="CI198" s="65"/>
      <c r="CJ198" s="84"/>
      <c r="CK198" s="71">
        <f t="shared" ref="CK198" si="540">SUM(CK182:CK197)</f>
        <v>0</v>
      </c>
      <c r="CL198" s="65"/>
      <c r="CM198" s="84"/>
      <c r="CN198" s="71">
        <f t="shared" ref="CN198" si="541">SUM(CN182:CN197)</f>
        <v>0</v>
      </c>
      <c r="CO198" s="65"/>
      <c r="CP198" s="65"/>
    </row>
    <row r="199" spans="1:94">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12</v>
      </c>
      <c r="G200" s="407">
        <f ca="1">VLOOKUP(H200,Equipos!$Q$1:$R$25,2,0)</f>
        <v>21</v>
      </c>
      <c r="H200" s="65" t="str">
        <f>Idiomas!$D$261</f>
        <v>Octavos de final</v>
      </c>
      <c r="I200" s="43">
        <v>1</v>
      </c>
      <c r="J200" s="845" t="s">
        <v>88</v>
      </c>
      <c r="K200" s="53" t="str">
        <f>CONCATENATE(WORLDCUP!AA120,"-",WORLDCUP!AF120)</f>
        <v>W73-W75</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
        <v>1971</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2015</v>
      </c>
      <c r="W200" s="85">
        <f t="shared" ref="W200:CH207"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2049</v>
      </c>
      <c r="Z200" s="85">
        <f t="shared" ref="Z200"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
        <v>2088</v>
      </c>
      <c r="AC200" s="85">
        <f t="shared" ref="AC200"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
        <v>2121</v>
      </c>
      <c r="AF200" s="85">
        <f t="shared" ref="AF200"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
        <v>2121</v>
      </c>
      <c r="AI200" s="85">
        <f t="shared" ref="AI200"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
        <v>2178</v>
      </c>
      <c r="AL200" s="85">
        <f t="shared" ref="AL200"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
        <v>2201</v>
      </c>
      <c r="AO200" s="85">
        <f t="shared" ref="AO200"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
        <v>2227</v>
      </c>
      <c r="AR200" s="85">
        <f t="shared" ref="AR200"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
        <v>2243</v>
      </c>
      <c r="AU200" s="85">
        <f t="shared" ref="AU200"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
        <v>2263</v>
      </c>
      <c r="AX200" s="85">
        <f t="shared" ref="AX200"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
        <v>2289</v>
      </c>
      <c r="BA200" s="85">
        <f t="shared" ref="BA200"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
        <v>2315</v>
      </c>
      <c r="BD200" s="85">
        <f t="shared" ref="BD200"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
        <v>2348</v>
      </c>
      <c r="BG200" s="85">
        <f t="shared" ref="BG200"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
        <v>2368</v>
      </c>
      <c r="BJ200" s="85">
        <f t="shared" ref="BJ200"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
        <v>2391</v>
      </c>
      <c r="BM200" s="85">
        <f t="shared" ref="BM200"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
        <v>2559</v>
      </c>
      <c r="BP200" s="85">
        <f t="shared" ref="BP200"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
        <v>2416</v>
      </c>
      <c r="BS200" s="85">
        <f t="shared" ref="BS200"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
        <v>2227</v>
      </c>
      <c r="BV200" s="85">
        <f t="shared" ref="BV200"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
        <v>2263</v>
      </c>
      <c r="BY200" s="85">
        <f t="shared" ref="BY200"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
        <v>2472</v>
      </c>
      <c r="CB200" s="85">
        <f t="shared" ref="CB200"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
        <v>2505</v>
      </c>
      <c r="CE200" s="85">
        <f t="shared" ref="CE200"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
        <v>2532</v>
      </c>
      <c r="CH200" s="85">
        <f t="shared" ref="CH200"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
        <v>2472</v>
      </c>
      <c r="CK200" s="85">
        <f t="shared" ref="CK200:CN207"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
        <v>2243</v>
      </c>
      <c r="CN200" s="85">
        <f t="shared" ref="CN200"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12</v>
      </c>
      <c r="G201" s="407">
        <f ca="1">VLOOKUP(H201,Equipos!$Q$1:$R$25,2,0)</f>
        <v>21</v>
      </c>
      <c r="H201" s="65" t="str">
        <f>Idiomas!$D$261</f>
        <v>Octavos de final</v>
      </c>
      <c r="I201" s="43">
        <v>1</v>
      </c>
      <c r="J201" s="845"/>
      <c r="K201" s="56" t="str">
        <f>CONCATENATE(WORLDCUP!AA121,"-",WORLDCUP!AF121)</f>
        <v>W74-W77</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t="s">
        <v>1972</v>
      </c>
      <c r="T201" s="73">
        <f t="shared" ref="T201:T207"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2016</v>
      </c>
      <c r="W201" s="73">
        <f t="shared" si="545"/>
        <v>0</v>
      </c>
      <c r="X201" s="110"/>
      <c r="Y201" s="80" t="s">
        <v>2050</v>
      </c>
      <c r="Z201" s="73">
        <f t="shared" si="545"/>
        <v>0</v>
      </c>
      <c r="AA201" s="110"/>
      <c r="AB201" s="80" t="s">
        <v>2089</v>
      </c>
      <c r="AC201" s="73">
        <f t="shared" si="545"/>
        <v>0</v>
      </c>
      <c r="AD201" s="110"/>
      <c r="AE201" s="80" t="s">
        <v>1972</v>
      </c>
      <c r="AF201" s="73">
        <f t="shared" si="545"/>
        <v>0</v>
      </c>
      <c r="AG201" s="110"/>
      <c r="AH201" s="80" t="s">
        <v>1972</v>
      </c>
      <c r="AI201" s="73">
        <f t="shared" si="545"/>
        <v>0</v>
      </c>
      <c r="AJ201" s="110"/>
      <c r="AK201" s="80" t="s">
        <v>1972</v>
      </c>
      <c r="AL201" s="73">
        <f t="shared" si="545"/>
        <v>0</v>
      </c>
      <c r="AM201" s="110"/>
      <c r="AN201" s="80" t="s">
        <v>1972</v>
      </c>
      <c r="AO201" s="73">
        <f t="shared" si="545"/>
        <v>0</v>
      </c>
      <c r="AP201" s="110"/>
      <c r="AQ201" s="80" t="s">
        <v>2228</v>
      </c>
      <c r="AR201" s="73">
        <f t="shared" si="545"/>
        <v>0</v>
      </c>
      <c r="AS201" s="110"/>
      <c r="AT201" s="80" t="s">
        <v>1972</v>
      </c>
      <c r="AU201" s="73">
        <f t="shared" si="545"/>
        <v>0</v>
      </c>
      <c r="AV201" s="110"/>
      <c r="AW201" s="80" t="s">
        <v>2264</v>
      </c>
      <c r="AX201" s="73">
        <f t="shared" si="545"/>
        <v>0</v>
      </c>
      <c r="AY201" s="110"/>
      <c r="AZ201" s="80" t="s">
        <v>2290</v>
      </c>
      <c r="BA201" s="73">
        <f t="shared" si="545"/>
        <v>0</v>
      </c>
      <c r="BB201" s="110"/>
      <c r="BC201" s="80" t="s">
        <v>2316</v>
      </c>
      <c r="BD201" s="73">
        <f t="shared" si="545"/>
        <v>0</v>
      </c>
      <c r="BE201" s="110"/>
      <c r="BF201" s="80" t="s">
        <v>1972</v>
      </c>
      <c r="BG201" s="73">
        <f t="shared" si="545"/>
        <v>0</v>
      </c>
      <c r="BH201" s="110"/>
      <c r="BI201" s="80" t="s">
        <v>2369</v>
      </c>
      <c r="BJ201" s="73">
        <f t="shared" si="545"/>
        <v>0</v>
      </c>
      <c r="BK201" s="110"/>
      <c r="BL201" s="80" t="s">
        <v>2392</v>
      </c>
      <c r="BM201" s="73">
        <f t="shared" si="545"/>
        <v>0</v>
      </c>
      <c r="BN201" s="110"/>
      <c r="BO201" s="80" t="s">
        <v>1972</v>
      </c>
      <c r="BP201" s="73">
        <f t="shared" si="545"/>
        <v>0</v>
      </c>
      <c r="BQ201" s="110"/>
      <c r="BR201" s="80" t="s">
        <v>2417</v>
      </c>
      <c r="BS201" s="73">
        <f t="shared" si="545"/>
        <v>0</v>
      </c>
      <c r="BT201" s="110"/>
      <c r="BU201" s="80" t="s">
        <v>2290</v>
      </c>
      <c r="BV201" s="73">
        <f t="shared" si="545"/>
        <v>0</v>
      </c>
      <c r="BW201" s="110"/>
      <c r="BX201" s="80" t="s">
        <v>2447</v>
      </c>
      <c r="BY201" s="73">
        <f t="shared" si="545"/>
        <v>0</v>
      </c>
      <c r="BZ201" s="110"/>
      <c r="CA201" s="80" t="s">
        <v>2473</v>
      </c>
      <c r="CB201" s="73">
        <f t="shared" si="545"/>
        <v>0</v>
      </c>
      <c r="CC201" s="110"/>
      <c r="CD201" s="80" t="s">
        <v>2506</v>
      </c>
      <c r="CE201" s="73">
        <f t="shared" si="545"/>
        <v>0</v>
      </c>
      <c r="CF201" s="110"/>
      <c r="CG201" s="80" t="s">
        <v>2447</v>
      </c>
      <c r="CH201" s="73">
        <f t="shared" si="545"/>
        <v>0</v>
      </c>
      <c r="CI201" s="110"/>
      <c r="CJ201" s="80" t="s">
        <v>2290</v>
      </c>
      <c r="CK201" s="73">
        <f t="shared" si="567"/>
        <v>0</v>
      </c>
      <c r="CL201" s="110"/>
      <c r="CM201" s="80" t="s">
        <v>1972</v>
      </c>
      <c r="CN201" s="73">
        <f t="shared" si="567"/>
        <v>0</v>
      </c>
      <c r="CO201" s="110"/>
      <c r="CP201" s="110"/>
    </row>
    <row r="202" spans="1:94">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569"/>
        <v>12</v>
      </c>
      <c r="G202" s="407">
        <f ca="1">VLOOKUP(H202,Equipos!$Q$1:$R$25,2,0)</f>
        <v>21</v>
      </c>
      <c r="H202" s="65" t="str">
        <f>Idiomas!$D$261</f>
        <v>Octavos de final</v>
      </c>
      <c r="I202" s="43">
        <v>1</v>
      </c>
      <c r="J202" s="845"/>
      <c r="K202" s="56" t="str">
        <f>CONCATENATE(WORLDCUP!AA122,"-",WORLDCUP!AF122)</f>
        <v>W76-W78</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t="s">
        <v>1973</v>
      </c>
      <c r="T202" s="73">
        <f t="shared" si="570"/>
        <v>0</v>
      </c>
      <c r="U202" s="110"/>
      <c r="V202" s="74" t="s">
        <v>2017</v>
      </c>
      <c r="W202" s="73">
        <f t="shared" si="545"/>
        <v>0</v>
      </c>
      <c r="X202" s="110"/>
      <c r="Y202" s="80" t="s">
        <v>2051</v>
      </c>
      <c r="Z202" s="73">
        <f t="shared" si="545"/>
        <v>0</v>
      </c>
      <c r="AA202" s="110"/>
      <c r="AB202" s="80" t="s">
        <v>2090</v>
      </c>
      <c r="AC202" s="73">
        <f t="shared" si="545"/>
        <v>0</v>
      </c>
      <c r="AD202" s="110"/>
      <c r="AE202" s="80" t="s">
        <v>2122</v>
      </c>
      <c r="AF202" s="73">
        <f t="shared" si="545"/>
        <v>0</v>
      </c>
      <c r="AG202" s="110"/>
      <c r="AH202" s="80" t="s">
        <v>2155</v>
      </c>
      <c r="AI202" s="73">
        <f t="shared" si="545"/>
        <v>0</v>
      </c>
      <c r="AJ202" s="110"/>
      <c r="AK202" s="80" t="s">
        <v>2179</v>
      </c>
      <c r="AL202" s="73">
        <f t="shared" si="545"/>
        <v>0</v>
      </c>
      <c r="AM202" s="110"/>
      <c r="AN202" s="80" t="s">
        <v>2202</v>
      </c>
      <c r="AO202" s="73">
        <f t="shared" si="545"/>
        <v>0</v>
      </c>
      <c r="AP202" s="110"/>
      <c r="AQ202" s="80" t="s">
        <v>2155</v>
      </c>
      <c r="AR202" s="73">
        <f t="shared" si="545"/>
        <v>0</v>
      </c>
      <c r="AS202" s="110"/>
      <c r="AT202" s="80" t="s">
        <v>2202</v>
      </c>
      <c r="AU202" s="73">
        <f t="shared" si="545"/>
        <v>0</v>
      </c>
      <c r="AV202" s="110"/>
      <c r="AW202" s="80" t="s">
        <v>2265</v>
      </c>
      <c r="AX202" s="73">
        <f t="shared" si="545"/>
        <v>0</v>
      </c>
      <c r="AY202" s="110"/>
      <c r="AZ202" s="80" t="s">
        <v>2155</v>
      </c>
      <c r="BA202" s="73">
        <f t="shared" si="545"/>
        <v>0</v>
      </c>
      <c r="BB202" s="110"/>
      <c r="BC202" s="80" t="s">
        <v>2155</v>
      </c>
      <c r="BD202" s="73">
        <f t="shared" si="545"/>
        <v>0</v>
      </c>
      <c r="BE202" s="110"/>
      <c r="BF202" s="80" t="s">
        <v>2349</v>
      </c>
      <c r="BG202" s="73">
        <f t="shared" si="545"/>
        <v>0</v>
      </c>
      <c r="BH202" s="110"/>
      <c r="BI202" s="80" t="s">
        <v>2370</v>
      </c>
      <c r="BJ202" s="73">
        <f t="shared" si="545"/>
        <v>0</v>
      </c>
      <c r="BK202" s="110"/>
      <c r="BL202" s="80" t="s">
        <v>2393</v>
      </c>
      <c r="BM202" s="73">
        <f t="shared" si="545"/>
        <v>0</v>
      </c>
      <c r="BN202" s="110"/>
      <c r="BO202" s="80" t="s">
        <v>2560</v>
      </c>
      <c r="BP202" s="73">
        <f t="shared" si="545"/>
        <v>0</v>
      </c>
      <c r="BQ202" s="110"/>
      <c r="BR202" s="80" t="s">
        <v>2179</v>
      </c>
      <c r="BS202" s="73">
        <f t="shared" si="545"/>
        <v>0</v>
      </c>
      <c r="BT202" s="110"/>
      <c r="BU202" s="80" t="s">
        <v>2179</v>
      </c>
      <c r="BV202" s="73">
        <f t="shared" si="545"/>
        <v>0</v>
      </c>
      <c r="BW202" s="110"/>
      <c r="BX202" s="80" t="s">
        <v>2155</v>
      </c>
      <c r="BY202" s="73">
        <f t="shared" si="545"/>
        <v>0</v>
      </c>
      <c r="BZ202" s="110"/>
      <c r="CA202" s="80" t="s">
        <v>2474</v>
      </c>
      <c r="CB202" s="73">
        <f t="shared" si="545"/>
        <v>0</v>
      </c>
      <c r="CC202" s="110"/>
      <c r="CD202" s="80" t="s">
        <v>2507</v>
      </c>
      <c r="CE202" s="73">
        <f t="shared" si="545"/>
        <v>0</v>
      </c>
      <c r="CF202" s="110"/>
      <c r="CG202" s="80" t="s">
        <v>2533</v>
      </c>
      <c r="CH202" s="73">
        <f t="shared" si="545"/>
        <v>0</v>
      </c>
      <c r="CI202" s="110"/>
      <c r="CJ202" s="80" t="s">
        <v>2574</v>
      </c>
      <c r="CK202" s="73">
        <f t="shared" si="567"/>
        <v>0</v>
      </c>
      <c r="CL202" s="110"/>
      <c r="CM202" s="80" t="s">
        <v>2593</v>
      </c>
      <c r="CN202" s="73">
        <f t="shared" si="567"/>
        <v>0</v>
      </c>
      <c r="CO202" s="110"/>
      <c r="CP202" s="110"/>
    </row>
    <row r="203" spans="1:94">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569"/>
        <v>12</v>
      </c>
      <c r="G203" s="407">
        <f ca="1">VLOOKUP(H203,Equipos!$Q$1:$R$25,2,0)</f>
        <v>21</v>
      </c>
      <c r="H203" s="65" t="str">
        <f>Idiomas!$D$261</f>
        <v>Octavos de final</v>
      </c>
      <c r="I203" s="43">
        <v>1</v>
      </c>
      <c r="J203" s="845"/>
      <c r="K203" s="56" t="str">
        <f>CONCATENATE(WORLDCUP!AA123,"-",WORLDCUP!AF123)</f>
        <v>W79-W80</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t="s">
        <v>1974</v>
      </c>
      <c r="T203" s="73">
        <f t="shared" si="570"/>
        <v>0</v>
      </c>
      <c r="U203" s="110"/>
      <c r="V203" s="74" t="s">
        <v>2018</v>
      </c>
      <c r="W203" s="73">
        <f t="shared" si="545"/>
        <v>0</v>
      </c>
      <c r="X203" s="110"/>
      <c r="Y203" s="80" t="s">
        <v>2052</v>
      </c>
      <c r="Z203" s="73">
        <f t="shared" si="545"/>
        <v>0</v>
      </c>
      <c r="AA203" s="110"/>
      <c r="AB203" s="80" t="s">
        <v>2091</v>
      </c>
      <c r="AC203" s="73">
        <f t="shared" si="545"/>
        <v>0</v>
      </c>
      <c r="AD203" s="110"/>
      <c r="AE203" s="80" t="s">
        <v>2123</v>
      </c>
      <c r="AF203" s="73">
        <f t="shared" si="545"/>
        <v>0</v>
      </c>
      <c r="AG203" s="110"/>
      <c r="AH203" s="80" t="s">
        <v>2156</v>
      </c>
      <c r="AI203" s="73">
        <f t="shared" si="545"/>
        <v>0</v>
      </c>
      <c r="AJ203" s="110"/>
      <c r="AK203" s="80" t="s">
        <v>2180</v>
      </c>
      <c r="AL203" s="73">
        <f t="shared" si="545"/>
        <v>0</v>
      </c>
      <c r="AM203" s="110"/>
      <c r="AN203" s="80" t="s">
        <v>2091</v>
      </c>
      <c r="AO203" s="73">
        <f t="shared" si="545"/>
        <v>0</v>
      </c>
      <c r="AP203" s="110"/>
      <c r="AQ203" s="80" t="s">
        <v>2229</v>
      </c>
      <c r="AR203" s="73">
        <f t="shared" si="545"/>
        <v>0</v>
      </c>
      <c r="AS203" s="110"/>
      <c r="AT203" s="80" t="s">
        <v>2156</v>
      </c>
      <c r="AU203" s="73">
        <f t="shared" si="545"/>
        <v>0</v>
      </c>
      <c r="AV203" s="110"/>
      <c r="AW203" s="80" t="s">
        <v>2266</v>
      </c>
      <c r="AX203" s="73">
        <f t="shared" si="545"/>
        <v>0</v>
      </c>
      <c r="AY203" s="110"/>
      <c r="AZ203" s="80" t="s">
        <v>2052</v>
      </c>
      <c r="BA203" s="73">
        <f t="shared" si="545"/>
        <v>0</v>
      </c>
      <c r="BB203" s="110"/>
      <c r="BC203" s="80" t="s">
        <v>2180</v>
      </c>
      <c r="BD203" s="73">
        <f t="shared" si="545"/>
        <v>0</v>
      </c>
      <c r="BE203" s="110"/>
      <c r="BF203" s="80" t="s">
        <v>2180</v>
      </c>
      <c r="BG203" s="73">
        <f t="shared" si="545"/>
        <v>0</v>
      </c>
      <c r="BH203" s="110"/>
      <c r="BI203" s="80" t="s">
        <v>2371</v>
      </c>
      <c r="BJ203" s="73">
        <f t="shared" si="545"/>
        <v>0</v>
      </c>
      <c r="BK203" s="110"/>
      <c r="BL203" s="80" t="s">
        <v>2394</v>
      </c>
      <c r="BM203" s="73">
        <f t="shared" si="545"/>
        <v>0</v>
      </c>
      <c r="BN203" s="110"/>
      <c r="BO203" s="80" t="s">
        <v>2091</v>
      </c>
      <c r="BP203" s="73">
        <f t="shared" si="545"/>
        <v>0</v>
      </c>
      <c r="BQ203" s="110"/>
      <c r="BR203" s="80" t="s">
        <v>2180</v>
      </c>
      <c r="BS203" s="73">
        <f t="shared" si="545"/>
        <v>0</v>
      </c>
      <c r="BT203" s="110"/>
      <c r="BU203" s="80" t="s">
        <v>2052</v>
      </c>
      <c r="BV203" s="73">
        <f t="shared" si="545"/>
        <v>0</v>
      </c>
      <c r="BW203" s="110"/>
      <c r="BX203" s="80" t="s">
        <v>2052</v>
      </c>
      <c r="BY203" s="73">
        <f t="shared" si="545"/>
        <v>0</v>
      </c>
      <c r="BZ203" s="110"/>
      <c r="CA203" s="80" t="s">
        <v>2156</v>
      </c>
      <c r="CB203" s="73">
        <f t="shared" si="545"/>
        <v>0</v>
      </c>
      <c r="CC203" s="110"/>
      <c r="CD203" s="80" t="s">
        <v>2508</v>
      </c>
      <c r="CE203" s="73">
        <f t="shared" si="545"/>
        <v>0</v>
      </c>
      <c r="CF203" s="110"/>
      <c r="CG203" s="80" t="s">
        <v>2534</v>
      </c>
      <c r="CH203" s="73">
        <f t="shared" si="545"/>
        <v>0</v>
      </c>
      <c r="CI203" s="110"/>
      <c r="CJ203" s="80" t="s">
        <v>2180</v>
      </c>
      <c r="CK203" s="73">
        <f t="shared" si="567"/>
        <v>0</v>
      </c>
      <c r="CL203" s="110"/>
      <c r="CM203" s="80" t="s">
        <v>2156</v>
      </c>
      <c r="CN203" s="73">
        <f t="shared"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12</v>
      </c>
      <c r="G204" s="407">
        <f ca="1">VLOOKUP(H204,Equipos!$Q$1:$R$25,2,0)</f>
        <v>21</v>
      </c>
      <c r="H204" s="65" t="str">
        <f>Idiomas!$D$261</f>
        <v>Octavos de final</v>
      </c>
      <c r="I204" s="43">
        <v>1</v>
      </c>
      <c r="J204" s="845"/>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t="s">
        <v>1975</v>
      </c>
      <c r="T204" s="73">
        <f t="shared" si="570"/>
        <v>0</v>
      </c>
      <c r="U204" s="110"/>
      <c r="V204" s="74" t="s">
        <v>2019</v>
      </c>
      <c r="W204" s="73">
        <f t="shared" si="545"/>
        <v>0</v>
      </c>
      <c r="X204" s="110"/>
      <c r="Y204" s="80" t="s">
        <v>2053</v>
      </c>
      <c r="Z204" s="73">
        <f t="shared" si="545"/>
        <v>0</v>
      </c>
      <c r="AA204" s="110"/>
      <c r="AB204" s="80" t="s">
        <v>1975</v>
      </c>
      <c r="AC204" s="73">
        <f t="shared" si="545"/>
        <v>0</v>
      </c>
      <c r="AD204" s="110"/>
      <c r="AE204" s="80" t="s">
        <v>2124</v>
      </c>
      <c r="AF204" s="73">
        <f t="shared" si="545"/>
        <v>0</v>
      </c>
      <c r="AG204" s="110"/>
      <c r="AH204" s="80" t="s">
        <v>1975</v>
      </c>
      <c r="AI204" s="73">
        <f t="shared" si="545"/>
        <v>0</v>
      </c>
      <c r="AJ204" s="110"/>
      <c r="AK204" s="80" t="s">
        <v>1975</v>
      </c>
      <c r="AL204" s="73">
        <f t="shared" si="545"/>
        <v>0</v>
      </c>
      <c r="AM204" s="110"/>
      <c r="AN204" s="80" t="s">
        <v>2203</v>
      </c>
      <c r="AO204" s="73">
        <f t="shared" si="545"/>
        <v>0</v>
      </c>
      <c r="AP204" s="110"/>
      <c r="AQ204" s="80" t="s">
        <v>1975</v>
      </c>
      <c r="AR204" s="73">
        <f t="shared" si="545"/>
        <v>0</v>
      </c>
      <c r="AS204" s="110"/>
      <c r="AT204" s="80" t="s">
        <v>2244</v>
      </c>
      <c r="AU204" s="73">
        <f t="shared" si="545"/>
        <v>0</v>
      </c>
      <c r="AV204" s="110"/>
      <c r="AW204" s="80" t="s">
        <v>2203</v>
      </c>
      <c r="AX204" s="73">
        <f t="shared" si="545"/>
        <v>0</v>
      </c>
      <c r="AY204" s="110"/>
      <c r="AZ204" s="80" t="s">
        <v>2291</v>
      </c>
      <c r="BA204" s="73">
        <f t="shared" si="545"/>
        <v>0</v>
      </c>
      <c r="BB204" s="110"/>
      <c r="BC204" s="80" t="s">
        <v>2317</v>
      </c>
      <c r="BD204" s="73">
        <f t="shared" si="545"/>
        <v>0</v>
      </c>
      <c r="BE204" s="110"/>
      <c r="BF204" s="80" t="s">
        <v>2350</v>
      </c>
      <c r="BG204" s="73">
        <f t="shared" si="545"/>
        <v>0</v>
      </c>
      <c r="BH204" s="110"/>
      <c r="BI204" s="80" t="s">
        <v>2372</v>
      </c>
      <c r="BJ204" s="73">
        <f t="shared" si="545"/>
        <v>0</v>
      </c>
      <c r="BK204" s="110"/>
      <c r="BL204" s="80" t="s">
        <v>2395</v>
      </c>
      <c r="BM204" s="73">
        <f t="shared" si="545"/>
        <v>0</v>
      </c>
      <c r="BN204" s="110"/>
      <c r="BO204" s="80" t="s">
        <v>2350</v>
      </c>
      <c r="BP204" s="73">
        <f t="shared" si="545"/>
        <v>0</v>
      </c>
      <c r="BQ204" s="110"/>
      <c r="BR204" s="80" t="s">
        <v>2418</v>
      </c>
      <c r="BS204" s="73">
        <f t="shared" si="545"/>
        <v>0</v>
      </c>
      <c r="BT204" s="110"/>
      <c r="BU204" s="80" t="s">
        <v>2244</v>
      </c>
      <c r="BV204" s="73">
        <f t="shared" si="545"/>
        <v>0</v>
      </c>
      <c r="BW204" s="110"/>
      <c r="BX204" s="80" t="s">
        <v>2448</v>
      </c>
      <c r="BY204" s="73">
        <f t="shared" si="545"/>
        <v>0</v>
      </c>
      <c r="BZ204" s="110"/>
      <c r="CA204" s="80" t="s">
        <v>2475</v>
      </c>
      <c r="CB204" s="73">
        <f t="shared" si="545"/>
        <v>0</v>
      </c>
      <c r="CC204" s="110"/>
      <c r="CD204" s="80" t="s">
        <v>2203</v>
      </c>
      <c r="CE204" s="73">
        <f t="shared" si="545"/>
        <v>0</v>
      </c>
      <c r="CF204" s="110"/>
      <c r="CG204" s="80" t="s">
        <v>2535</v>
      </c>
      <c r="CH204" s="73">
        <f t="shared" si="545"/>
        <v>0</v>
      </c>
      <c r="CI204" s="110"/>
      <c r="CJ204" s="80" t="s">
        <v>2203</v>
      </c>
      <c r="CK204" s="73">
        <f t="shared" si="567"/>
        <v>0</v>
      </c>
      <c r="CL204" s="110"/>
      <c r="CM204" s="80" t="s">
        <v>2372</v>
      </c>
      <c r="CN204" s="73">
        <f t="shared" si="567"/>
        <v>0</v>
      </c>
      <c r="CO204" s="110"/>
      <c r="CP204" s="110"/>
    </row>
    <row r="205" spans="1:94">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569"/>
        <v>12</v>
      </c>
      <c r="G205" s="407">
        <f ca="1">VLOOKUP(H205,Equipos!$Q$1:$R$25,2,0)</f>
        <v>21</v>
      </c>
      <c r="H205" s="65" t="str">
        <f>Idiomas!$D$261</f>
        <v>Octavos de final</v>
      </c>
      <c r="I205" s="43">
        <v>1</v>
      </c>
      <c r="J205" s="845"/>
      <c r="K205" s="56" t="str">
        <f>CONCATENATE(WORLDCUP!AA125,"-",WORLDCUP!AF125)</f>
        <v>W81-W82</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t="s">
        <v>1976</v>
      </c>
      <c r="T205" s="73">
        <f t="shared" si="570"/>
        <v>0</v>
      </c>
      <c r="U205" s="110"/>
      <c r="V205" s="74" t="s">
        <v>2020</v>
      </c>
      <c r="W205" s="73">
        <f t="shared" si="545"/>
        <v>0</v>
      </c>
      <c r="X205" s="110"/>
      <c r="Y205" s="80" t="s">
        <v>2054</v>
      </c>
      <c r="Z205" s="73">
        <f t="shared" si="545"/>
        <v>0</v>
      </c>
      <c r="AA205" s="110"/>
      <c r="AB205" s="80" t="s">
        <v>2092</v>
      </c>
      <c r="AC205" s="73">
        <f t="shared" si="545"/>
        <v>0</v>
      </c>
      <c r="AD205" s="110"/>
      <c r="AE205" s="80" t="s">
        <v>2125</v>
      </c>
      <c r="AF205" s="73">
        <f t="shared" si="545"/>
        <v>0</v>
      </c>
      <c r="AG205" s="110"/>
      <c r="AH205" s="80" t="s">
        <v>2125</v>
      </c>
      <c r="AI205" s="73">
        <f t="shared" si="545"/>
        <v>0</v>
      </c>
      <c r="AJ205" s="110"/>
      <c r="AK205" s="80" t="s">
        <v>2181</v>
      </c>
      <c r="AL205" s="73">
        <f t="shared" si="545"/>
        <v>0</v>
      </c>
      <c r="AM205" s="110"/>
      <c r="AN205" s="80" t="s">
        <v>2204</v>
      </c>
      <c r="AO205" s="73">
        <f t="shared" si="545"/>
        <v>0</v>
      </c>
      <c r="AP205" s="110"/>
      <c r="AQ205" s="80" t="s">
        <v>2092</v>
      </c>
      <c r="AR205" s="73">
        <f t="shared" si="545"/>
        <v>0</v>
      </c>
      <c r="AS205" s="110"/>
      <c r="AT205" s="80" t="s">
        <v>2245</v>
      </c>
      <c r="AU205" s="73">
        <f t="shared" si="545"/>
        <v>0</v>
      </c>
      <c r="AV205" s="110"/>
      <c r="AW205" s="80" t="s">
        <v>2245</v>
      </c>
      <c r="AX205" s="73">
        <f t="shared" si="545"/>
        <v>0</v>
      </c>
      <c r="AY205" s="110"/>
      <c r="AZ205" s="80" t="s">
        <v>2245</v>
      </c>
      <c r="BA205" s="73">
        <f t="shared" si="545"/>
        <v>0</v>
      </c>
      <c r="BB205" s="110"/>
      <c r="BC205" s="80" t="s">
        <v>2181</v>
      </c>
      <c r="BD205" s="73">
        <f t="shared" si="545"/>
        <v>0</v>
      </c>
      <c r="BE205" s="110"/>
      <c r="BF205" s="80" t="s">
        <v>2351</v>
      </c>
      <c r="BG205" s="73">
        <f t="shared" si="545"/>
        <v>0</v>
      </c>
      <c r="BH205" s="110"/>
      <c r="BI205" s="80" t="s">
        <v>2373</v>
      </c>
      <c r="BJ205" s="73">
        <f t="shared" si="545"/>
        <v>0</v>
      </c>
      <c r="BK205" s="110"/>
      <c r="BL205" s="80" t="s">
        <v>2396</v>
      </c>
      <c r="BM205" s="73">
        <f t="shared" si="545"/>
        <v>0</v>
      </c>
      <c r="BN205" s="110"/>
      <c r="BO205" s="80" t="s">
        <v>2561</v>
      </c>
      <c r="BP205" s="73">
        <f t="shared" si="545"/>
        <v>0</v>
      </c>
      <c r="BQ205" s="110"/>
      <c r="BR205" s="80" t="s">
        <v>2092</v>
      </c>
      <c r="BS205" s="73">
        <f t="shared" si="545"/>
        <v>0</v>
      </c>
      <c r="BT205" s="110"/>
      <c r="BU205" s="80" t="s">
        <v>2434</v>
      </c>
      <c r="BV205" s="73">
        <f t="shared" si="545"/>
        <v>0</v>
      </c>
      <c r="BW205" s="110"/>
      <c r="BX205" s="80" t="s">
        <v>2449</v>
      </c>
      <c r="BY205" s="73">
        <f t="shared" si="545"/>
        <v>0</v>
      </c>
      <c r="BZ205" s="110"/>
      <c r="CA205" s="80" t="s">
        <v>2476</v>
      </c>
      <c r="CB205" s="73">
        <f t="shared" si="545"/>
        <v>0</v>
      </c>
      <c r="CC205" s="110"/>
      <c r="CD205" s="80" t="s">
        <v>2509</v>
      </c>
      <c r="CE205" s="73">
        <f t="shared" si="545"/>
        <v>0</v>
      </c>
      <c r="CF205" s="110"/>
      <c r="CG205" s="80" t="s">
        <v>2536</v>
      </c>
      <c r="CH205" s="73">
        <f t="shared" si="545"/>
        <v>0</v>
      </c>
      <c r="CI205" s="110"/>
      <c r="CJ205" s="80" t="s">
        <v>2575</v>
      </c>
      <c r="CK205" s="73">
        <f t="shared" si="567"/>
        <v>0</v>
      </c>
      <c r="CL205" s="110"/>
      <c r="CM205" s="80" t="s">
        <v>2245</v>
      </c>
      <c r="CN205" s="73">
        <f t="shared"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12</v>
      </c>
      <c r="G206" s="407">
        <f ca="1">VLOOKUP(H206,Equipos!$Q$1:$R$25,2,0)</f>
        <v>21</v>
      </c>
      <c r="H206" s="65" t="str">
        <f>Idiomas!$D$261</f>
        <v>Octavos de final</v>
      </c>
      <c r="I206" s="43">
        <v>1</v>
      </c>
      <c r="J206" s="845"/>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t="s">
        <v>1977</v>
      </c>
      <c r="T206" s="73">
        <f t="shared" si="570"/>
        <v>0</v>
      </c>
      <c r="U206" s="110"/>
      <c r="V206" s="74" t="s">
        <v>2021</v>
      </c>
      <c r="W206" s="73">
        <f t="shared" si="545"/>
        <v>0</v>
      </c>
      <c r="X206" s="110"/>
      <c r="Y206" s="80" t="s">
        <v>2055</v>
      </c>
      <c r="Z206" s="73">
        <f t="shared" si="545"/>
        <v>0</v>
      </c>
      <c r="AA206" s="110"/>
      <c r="AB206" s="80" t="s">
        <v>2093</v>
      </c>
      <c r="AC206" s="73">
        <f t="shared" si="545"/>
        <v>0</v>
      </c>
      <c r="AD206" s="110"/>
      <c r="AE206" s="80" t="s">
        <v>2126</v>
      </c>
      <c r="AF206" s="73">
        <f t="shared" si="545"/>
        <v>0</v>
      </c>
      <c r="AG206" s="110"/>
      <c r="AH206" s="80" t="s">
        <v>2157</v>
      </c>
      <c r="AI206" s="73">
        <f t="shared" si="545"/>
        <v>0</v>
      </c>
      <c r="AJ206" s="110"/>
      <c r="AK206" s="80" t="s">
        <v>2182</v>
      </c>
      <c r="AL206" s="73">
        <f t="shared" si="545"/>
        <v>0</v>
      </c>
      <c r="AM206" s="110"/>
      <c r="AN206" s="80" t="s">
        <v>2055</v>
      </c>
      <c r="AO206" s="73">
        <f t="shared" si="545"/>
        <v>0</v>
      </c>
      <c r="AP206" s="110"/>
      <c r="AQ206" s="80" t="s">
        <v>2182</v>
      </c>
      <c r="AR206" s="73">
        <f t="shared" si="545"/>
        <v>0</v>
      </c>
      <c r="AS206" s="110"/>
      <c r="AT206" s="80" t="s">
        <v>2055</v>
      </c>
      <c r="AU206" s="73">
        <f t="shared" si="545"/>
        <v>0</v>
      </c>
      <c r="AV206" s="110"/>
      <c r="AW206" s="80" t="s">
        <v>2267</v>
      </c>
      <c r="AX206" s="73">
        <f t="shared" si="545"/>
        <v>0</v>
      </c>
      <c r="AY206" s="110"/>
      <c r="AZ206" s="80" t="s">
        <v>2292</v>
      </c>
      <c r="BA206" s="73">
        <f t="shared" si="545"/>
        <v>0</v>
      </c>
      <c r="BB206" s="110"/>
      <c r="BC206" s="80" t="s">
        <v>2318</v>
      </c>
      <c r="BD206" s="73">
        <f t="shared" si="545"/>
        <v>0</v>
      </c>
      <c r="BE206" s="110"/>
      <c r="BF206" s="80" t="s">
        <v>2352</v>
      </c>
      <c r="BG206" s="73">
        <f t="shared" si="545"/>
        <v>0</v>
      </c>
      <c r="BH206" s="110"/>
      <c r="BI206" s="80" t="s">
        <v>2055</v>
      </c>
      <c r="BJ206" s="73">
        <f t="shared" si="545"/>
        <v>0</v>
      </c>
      <c r="BK206" s="110"/>
      <c r="BL206" s="80" t="s">
        <v>2397</v>
      </c>
      <c r="BM206" s="73">
        <f t="shared" si="545"/>
        <v>0</v>
      </c>
      <c r="BN206" s="110"/>
      <c r="BO206" s="80" t="s">
        <v>2562</v>
      </c>
      <c r="BP206" s="73">
        <f t="shared" si="545"/>
        <v>0</v>
      </c>
      <c r="BQ206" s="110"/>
      <c r="BR206" s="80" t="s">
        <v>2157</v>
      </c>
      <c r="BS206" s="73">
        <f t="shared" si="545"/>
        <v>0</v>
      </c>
      <c r="BT206" s="110"/>
      <c r="BU206" s="80" t="s">
        <v>2182</v>
      </c>
      <c r="BV206" s="73">
        <f t="shared" si="545"/>
        <v>0</v>
      </c>
      <c r="BW206" s="110"/>
      <c r="BX206" s="80" t="s">
        <v>2450</v>
      </c>
      <c r="BY206" s="73">
        <f t="shared" si="545"/>
        <v>0</v>
      </c>
      <c r="BZ206" s="110"/>
      <c r="CA206" s="80" t="s">
        <v>2477</v>
      </c>
      <c r="CB206" s="73">
        <f t="shared" si="545"/>
        <v>0</v>
      </c>
      <c r="CC206" s="110"/>
      <c r="CD206" s="80" t="s">
        <v>2510</v>
      </c>
      <c r="CE206" s="73">
        <f t="shared" si="545"/>
        <v>0</v>
      </c>
      <c r="CF206" s="110"/>
      <c r="CG206" s="80" t="s">
        <v>1977</v>
      </c>
      <c r="CH206" s="73">
        <f t="shared" si="545"/>
        <v>0</v>
      </c>
      <c r="CI206" s="110"/>
      <c r="CJ206" s="80" t="s">
        <v>2576</v>
      </c>
      <c r="CK206" s="73">
        <f t="shared" si="567"/>
        <v>0</v>
      </c>
      <c r="CL206" s="110"/>
      <c r="CM206" s="80" t="s">
        <v>2055</v>
      </c>
      <c r="CN206" s="73">
        <f t="shared"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12</v>
      </c>
      <c r="G207" s="407">
        <f ca="1">VLOOKUP(H207,Equipos!$Q$1:$R$25,2,0)</f>
        <v>21</v>
      </c>
      <c r="H207" s="65" t="str">
        <f>Idiomas!$D$261</f>
        <v>Octavos de final</v>
      </c>
      <c r="I207" s="43">
        <v>1</v>
      </c>
      <c r="J207" s="845"/>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t="s">
        <v>1978</v>
      </c>
      <c r="T207" s="85">
        <f t="shared" si="570"/>
        <v>0</v>
      </c>
      <c r="U207" s="110"/>
      <c r="V207" s="74" t="s">
        <v>2022</v>
      </c>
      <c r="W207" s="85">
        <f t="shared" si="545"/>
        <v>0</v>
      </c>
      <c r="X207" s="110"/>
      <c r="Y207" s="80" t="s">
        <v>2056</v>
      </c>
      <c r="Z207" s="85">
        <f t="shared" si="545"/>
        <v>0</v>
      </c>
      <c r="AA207" s="110"/>
      <c r="AB207" s="80" t="s">
        <v>2094</v>
      </c>
      <c r="AC207" s="85">
        <f t="shared" si="545"/>
        <v>0</v>
      </c>
      <c r="AD207" s="110"/>
      <c r="AE207" s="80" t="s">
        <v>2127</v>
      </c>
      <c r="AF207" s="85">
        <f t="shared" si="545"/>
        <v>0</v>
      </c>
      <c r="AG207" s="110"/>
      <c r="AH207" s="80" t="s">
        <v>2158</v>
      </c>
      <c r="AI207" s="85">
        <f t="shared" si="545"/>
        <v>0</v>
      </c>
      <c r="AJ207" s="110"/>
      <c r="AK207" s="80" t="s">
        <v>2183</v>
      </c>
      <c r="AL207" s="85">
        <f t="shared" si="545"/>
        <v>0</v>
      </c>
      <c r="AM207" s="110"/>
      <c r="AN207" s="80" t="s">
        <v>1978</v>
      </c>
      <c r="AO207" s="85">
        <f t="shared" si="545"/>
        <v>0</v>
      </c>
      <c r="AP207" s="110"/>
      <c r="AQ207" s="80" t="s">
        <v>1978</v>
      </c>
      <c r="AR207" s="85">
        <f t="shared" si="545"/>
        <v>0</v>
      </c>
      <c r="AS207" s="110"/>
      <c r="AT207" s="80" t="s">
        <v>2183</v>
      </c>
      <c r="AU207" s="85">
        <f t="shared" si="545"/>
        <v>0</v>
      </c>
      <c r="AV207" s="110"/>
      <c r="AW207" s="80" t="s">
        <v>1978</v>
      </c>
      <c r="AX207" s="85">
        <f t="shared" si="545"/>
        <v>0</v>
      </c>
      <c r="AY207" s="110"/>
      <c r="AZ207" s="80" t="s">
        <v>2293</v>
      </c>
      <c r="BA207" s="85">
        <f t="shared" si="545"/>
        <v>0</v>
      </c>
      <c r="BB207" s="110"/>
      <c r="BC207" s="80" t="s">
        <v>2319</v>
      </c>
      <c r="BD207" s="85">
        <f t="shared" si="545"/>
        <v>0</v>
      </c>
      <c r="BE207" s="110"/>
      <c r="BF207" s="80" t="s">
        <v>2056</v>
      </c>
      <c r="BG207" s="85">
        <f t="shared" si="545"/>
        <v>0</v>
      </c>
      <c r="BH207" s="110"/>
      <c r="BI207" s="80" t="s">
        <v>2056</v>
      </c>
      <c r="BJ207" s="85">
        <f t="shared" si="545"/>
        <v>0</v>
      </c>
      <c r="BK207" s="110"/>
      <c r="BL207" s="80" t="s">
        <v>2183</v>
      </c>
      <c r="BM207" s="85">
        <f t="shared" si="545"/>
        <v>0</v>
      </c>
      <c r="BN207" s="110"/>
      <c r="BO207" s="80" t="s">
        <v>2158</v>
      </c>
      <c r="BP207" s="85">
        <f t="shared" si="545"/>
        <v>0</v>
      </c>
      <c r="BQ207" s="110"/>
      <c r="BR207" s="80" t="s">
        <v>2158</v>
      </c>
      <c r="BS207" s="85">
        <f t="shared" si="545"/>
        <v>0</v>
      </c>
      <c r="BT207" s="110"/>
      <c r="BU207" s="80" t="s">
        <v>2056</v>
      </c>
      <c r="BV207" s="85">
        <f t="shared" si="545"/>
        <v>0</v>
      </c>
      <c r="BW207" s="110"/>
      <c r="BX207" s="80" t="s">
        <v>2183</v>
      </c>
      <c r="BY207" s="85">
        <f t="shared" si="545"/>
        <v>0</v>
      </c>
      <c r="BZ207" s="110"/>
      <c r="CA207" s="80" t="s">
        <v>2478</v>
      </c>
      <c r="CB207" s="85">
        <f t="shared" si="545"/>
        <v>0</v>
      </c>
      <c r="CC207" s="110"/>
      <c r="CD207" s="80" t="s">
        <v>2056</v>
      </c>
      <c r="CE207" s="85">
        <f t="shared" si="545"/>
        <v>0</v>
      </c>
      <c r="CF207" s="110"/>
      <c r="CG207" s="80" t="s">
        <v>2158</v>
      </c>
      <c r="CH207" s="85">
        <f t="shared" si="545"/>
        <v>0</v>
      </c>
      <c r="CI207" s="110"/>
      <c r="CJ207" s="80" t="s">
        <v>2056</v>
      </c>
      <c r="CK207" s="85">
        <f t="shared" si="567"/>
        <v>0</v>
      </c>
      <c r="CL207" s="110"/>
      <c r="CM207" s="80" t="s">
        <v>2056</v>
      </c>
      <c r="CN207" s="85">
        <f t="shared" si="567"/>
        <v>0</v>
      </c>
      <c r="CO207" s="110"/>
      <c r="CP207" s="110"/>
    </row>
    <row r="208" spans="1:94">
      <c r="A208" s="25"/>
      <c r="B208" s="25"/>
      <c r="C208" s="25"/>
      <c r="D208" s="25"/>
      <c r="E208" s="25"/>
      <c r="F208" s="407"/>
      <c r="G208" s="407"/>
      <c r="H208" s="65"/>
      <c r="I208" s="50"/>
      <c r="J208" s="94"/>
      <c r="K208" s="434" t="str">
        <f>Idiomas!D460</f>
        <v>Partidos 1/8</v>
      </c>
      <c r="L208" s="435"/>
      <c r="M208" s="434" t="str">
        <f>"Max: "&amp;SUM($D$20:$D$22)*SUM($I$200:$I$207)</f>
        <v>Max: 96</v>
      </c>
      <c r="N208" s="25"/>
      <c r="O208" s="25"/>
      <c r="P208" s="25"/>
      <c r="Q208" s="25"/>
      <c r="R208" s="49"/>
      <c r="S208" s="84"/>
      <c r="T208" s="71">
        <f>SUM(T200:T207)</f>
        <v>0</v>
      </c>
      <c r="U208" s="49"/>
      <c r="V208" s="84"/>
      <c r="W208" s="71">
        <f t="shared" ref="W208" si="571">SUM(W200:W207)</f>
        <v>0</v>
      </c>
      <c r="X208" s="49"/>
      <c r="Y208" s="84"/>
      <c r="Z208" s="71">
        <f t="shared" ref="Z208" si="572">SUM(Z200:Z207)</f>
        <v>0</v>
      </c>
      <c r="AA208" s="49"/>
      <c r="AB208" s="84"/>
      <c r="AC208" s="71">
        <f t="shared" ref="AC208" si="573">SUM(AC200:AC207)</f>
        <v>0</v>
      </c>
      <c r="AD208" s="49"/>
      <c r="AE208" s="84"/>
      <c r="AF208" s="71">
        <f t="shared" ref="AF208" si="574">SUM(AF200:AF207)</f>
        <v>0</v>
      </c>
      <c r="AG208" s="49"/>
      <c r="AH208" s="84"/>
      <c r="AI208" s="71">
        <f t="shared" ref="AI208" si="575">SUM(AI200:AI207)</f>
        <v>0</v>
      </c>
      <c r="AJ208" s="49"/>
      <c r="AK208" s="84"/>
      <c r="AL208" s="71">
        <f t="shared" ref="AL208" si="576">SUM(AL200:AL207)</f>
        <v>0</v>
      </c>
      <c r="AM208" s="49"/>
      <c r="AN208" s="84"/>
      <c r="AO208" s="71">
        <f t="shared" ref="AO208" si="577">SUM(AO200:AO207)</f>
        <v>0</v>
      </c>
      <c r="AP208" s="49"/>
      <c r="AQ208" s="84"/>
      <c r="AR208" s="71">
        <f t="shared" ref="AR208" si="578">SUM(AR200:AR207)</f>
        <v>0</v>
      </c>
      <c r="AS208" s="49"/>
      <c r="AT208" s="84"/>
      <c r="AU208" s="71">
        <f t="shared" ref="AU208" si="579">SUM(AU200:AU207)</f>
        <v>0</v>
      </c>
      <c r="AV208" s="49"/>
      <c r="AW208" s="84"/>
      <c r="AX208" s="71">
        <f t="shared" ref="AX208" si="580">SUM(AX200:AX207)</f>
        <v>0</v>
      </c>
      <c r="AY208" s="49"/>
      <c r="AZ208" s="84"/>
      <c r="BA208" s="71">
        <f t="shared" ref="BA208" si="581">SUM(BA200:BA207)</f>
        <v>0</v>
      </c>
      <c r="BB208" s="49"/>
      <c r="BC208" s="84"/>
      <c r="BD208" s="71">
        <f t="shared" ref="BD208" si="582">SUM(BD200:BD207)</f>
        <v>0</v>
      </c>
      <c r="BE208" s="49"/>
      <c r="BF208" s="84"/>
      <c r="BG208" s="71">
        <f t="shared" ref="BG208" si="583">SUM(BG200:BG207)</f>
        <v>0</v>
      </c>
      <c r="BH208" s="49"/>
      <c r="BI208" s="84"/>
      <c r="BJ208" s="71">
        <f t="shared" ref="BJ208" si="584">SUM(BJ200:BJ207)</f>
        <v>0</v>
      </c>
      <c r="BK208" s="49"/>
      <c r="BL208" s="84"/>
      <c r="BM208" s="71">
        <f t="shared" ref="BM208" si="585">SUM(BM200:BM207)</f>
        <v>0</v>
      </c>
      <c r="BN208" s="49"/>
      <c r="BO208" s="84"/>
      <c r="BP208" s="71">
        <f t="shared" ref="BP208" si="586">SUM(BP200:BP207)</f>
        <v>0</v>
      </c>
      <c r="BQ208" s="49"/>
      <c r="BR208" s="84"/>
      <c r="BS208" s="71">
        <f t="shared" ref="BS208" si="587">SUM(BS200:BS207)</f>
        <v>0</v>
      </c>
      <c r="BT208" s="49"/>
      <c r="BU208" s="84"/>
      <c r="BV208" s="71">
        <f t="shared" ref="BV208" si="588">SUM(BV200:BV207)</f>
        <v>0</v>
      </c>
      <c r="BW208" s="49"/>
      <c r="BX208" s="84"/>
      <c r="BY208" s="71">
        <f t="shared" ref="BY208" si="589">SUM(BY200:BY207)</f>
        <v>0</v>
      </c>
      <c r="BZ208" s="49"/>
      <c r="CA208" s="84"/>
      <c r="CB208" s="71">
        <f t="shared" ref="CB208" si="590">SUM(CB200:CB207)</f>
        <v>0</v>
      </c>
      <c r="CC208" s="49"/>
      <c r="CD208" s="84"/>
      <c r="CE208" s="71">
        <f t="shared" ref="CE208" si="591">SUM(CE200:CE207)</f>
        <v>0</v>
      </c>
      <c r="CF208" s="49"/>
      <c r="CG208" s="84"/>
      <c r="CH208" s="71">
        <f t="shared" ref="CH208" si="592">SUM(CH200:CH207)</f>
        <v>0</v>
      </c>
      <c r="CI208" s="49"/>
      <c r="CJ208" s="84"/>
      <c r="CK208" s="71">
        <f t="shared" ref="CK208" si="593">SUM(CK200:CK207)</f>
        <v>0</v>
      </c>
      <c r="CL208" s="49"/>
      <c r="CM208" s="84"/>
      <c r="CN208" s="71">
        <f t="shared" ref="CN208" si="594">SUM(CN200:CN207)</f>
        <v>0</v>
      </c>
      <c r="CO208" s="49"/>
      <c r="CP208" s="49"/>
    </row>
    <row r="209" spans="1:94">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5</v>
      </c>
      <c r="G210" s="407">
        <f ca="1">VLOOKUP(H210,Equipos!$Q$1:$R$25,2,0)</f>
        <v>21</v>
      </c>
      <c r="H210" s="65" t="str">
        <f>Idiomas!$D$261</f>
        <v>Octavos de final</v>
      </c>
      <c r="I210" s="50"/>
      <c r="J210" s="845" t="s">
        <v>34</v>
      </c>
      <c r="K210" s="53" t="str">
        <f>Idiomas!$D$200&amp;"-"&amp;ROWS($L$210:L210)</f>
        <v>Cuartofinalista-1</v>
      </c>
      <c r="L210" s="53"/>
      <c r="M210" s="55" t="str">
        <f>WORLDCUP!AA131</f>
        <v>W89</v>
      </c>
      <c r="N210" s="25"/>
      <c r="O210" s="25"/>
      <c r="P210" s="25"/>
      <c r="Q210" s="25"/>
      <c r="R210" s="110"/>
      <c r="S210" s="76" t="s">
        <v>74</v>
      </c>
      <c r="T210" s="77">
        <f t="shared" ref="T210:T217" si="595">COUNTIF($M$210:$M$217,S210)*$D$23</f>
        <v>0</v>
      </c>
      <c r="U210" s="110"/>
      <c r="V210" s="76" t="s">
        <v>74</v>
      </c>
      <c r="W210" s="77">
        <f t="shared" ref="W210:W217" si="596">COUNTIF($M$210:$M$217,V210)*$D$23</f>
        <v>0</v>
      </c>
      <c r="X210" s="110"/>
      <c r="Y210" s="76" t="s">
        <v>74</v>
      </c>
      <c r="Z210" s="77">
        <f t="shared" ref="Z210:Z217" si="597">COUNTIF($M$210:$M$217,Y210)*$D$23</f>
        <v>0</v>
      </c>
      <c r="AA210" s="110"/>
      <c r="AB210" s="76" t="s">
        <v>135</v>
      </c>
      <c r="AC210" s="77">
        <f t="shared" ref="AC210:AC217" si="598">COUNTIF($M$210:$M$217,AB210)*$D$23</f>
        <v>0</v>
      </c>
      <c r="AD210" s="110"/>
      <c r="AE210" s="76" t="s">
        <v>74</v>
      </c>
      <c r="AF210" s="77">
        <f t="shared" ref="AF210:AF217" si="599">COUNTIF($M$210:$M$217,AE210)*$D$23</f>
        <v>0</v>
      </c>
      <c r="AG210" s="110"/>
      <c r="AH210" s="76" t="s">
        <v>74</v>
      </c>
      <c r="AI210" s="77">
        <f t="shared" ref="AI210:AI217" si="600">COUNTIF($M$210:$M$217,AH210)*$D$23</f>
        <v>0</v>
      </c>
      <c r="AJ210" s="110"/>
      <c r="AK210" s="76" t="s">
        <v>74</v>
      </c>
      <c r="AL210" s="77">
        <f t="shared" ref="AL210:AL217" si="601">COUNTIF($M$210:$M$217,AK210)*$D$23</f>
        <v>0</v>
      </c>
      <c r="AM210" s="110"/>
      <c r="AN210" s="76" t="s">
        <v>74</v>
      </c>
      <c r="AO210" s="77">
        <f t="shared" ref="AO210:AO217" si="602">COUNTIF($M$210:$M$217,AN210)*$D$23</f>
        <v>0</v>
      </c>
      <c r="AP210" s="110"/>
      <c r="AQ210" s="76" t="s">
        <v>74</v>
      </c>
      <c r="AR210" s="77">
        <f t="shared" ref="AR210:AR217" si="603">COUNTIF($M$210:$M$217,AQ210)*$D$23</f>
        <v>0</v>
      </c>
      <c r="AS210" s="110"/>
      <c r="AT210" s="76" t="s">
        <v>74</v>
      </c>
      <c r="AU210" s="77">
        <f t="shared" ref="AU210:AU217" si="604">COUNTIF($M$210:$M$217,AT210)*$D$23</f>
        <v>0</v>
      </c>
      <c r="AV210" s="110"/>
      <c r="AW210" s="76" t="s">
        <v>1757</v>
      </c>
      <c r="AX210" s="77">
        <f t="shared" ref="AX210:AX217" si="605">COUNTIF($M$210:$M$217,AW210)*$D$23</f>
        <v>0</v>
      </c>
      <c r="AY210" s="110"/>
      <c r="AZ210" s="76" t="s">
        <v>74</v>
      </c>
      <c r="BA210" s="77">
        <f t="shared" ref="BA210:BA217" si="606">COUNTIF($M$210:$M$217,AZ210)*$D$23</f>
        <v>0</v>
      </c>
      <c r="BB210" s="110"/>
      <c r="BC210" s="76" t="s">
        <v>74</v>
      </c>
      <c r="BD210" s="77">
        <f t="shared" ref="BD210:BD217" si="607">COUNTIF($M$210:$M$217,BC210)*$D$23</f>
        <v>0</v>
      </c>
      <c r="BE210" s="110"/>
      <c r="BF210" s="76" t="s">
        <v>74</v>
      </c>
      <c r="BG210" s="77">
        <f t="shared" ref="BG210:BG217" si="608">COUNTIF($M$210:$M$217,BF210)*$D$23</f>
        <v>0</v>
      </c>
      <c r="BH210" s="110"/>
      <c r="BI210" s="76" t="s">
        <v>74</v>
      </c>
      <c r="BJ210" s="77">
        <f t="shared" ref="BJ210:BJ217" si="609">COUNTIF($M$210:$M$217,BI210)*$D$23</f>
        <v>0</v>
      </c>
      <c r="BK210" s="110"/>
      <c r="BL210" s="76" t="s">
        <v>77</v>
      </c>
      <c r="BM210" s="77">
        <f t="shared" ref="BM210:BM217" si="610">COUNTIF($M$210:$M$217,BL210)*$D$23</f>
        <v>0</v>
      </c>
      <c r="BN210" s="110"/>
      <c r="BO210" s="76" t="s">
        <v>74</v>
      </c>
      <c r="BP210" s="77">
        <f t="shared" ref="BP210:BP217" si="611">COUNTIF($M$210:$M$217,BO210)*$D$23</f>
        <v>0</v>
      </c>
      <c r="BQ210" s="110"/>
      <c r="BR210" s="76" t="s">
        <v>74</v>
      </c>
      <c r="BS210" s="77">
        <f t="shared" ref="BS210:BS217" si="612">COUNTIF($M$210:$M$217,BR210)*$D$23</f>
        <v>0</v>
      </c>
      <c r="BT210" s="110"/>
      <c r="BU210" s="76" t="s">
        <v>74</v>
      </c>
      <c r="BV210" s="77">
        <f t="shared" ref="BV210:BV217" si="613">COUNTIF($M$210:$M$217,BU210)*$D$23</f>
        <v>0</v>
      </c>
      <c r="BW210" s="110"/>
      <c r="BX210" s="76" t="s">
        <v>74</v>
      </c>
      <c r="BY210" s="77">
        <f t="shared" ref="BY210:BY217" si="614">COUNTIF($M$210:$M$217,BX210)*$D$23</f>
        <v>0</v>
      </c>
      <c r="BZ210" s="110"/>
      <c r="CA210" s="76" t="s">
        <v>77</v>
      </c>
      <c r="CB210" s="77">
        <f t="shared" ref="CB210:CB217" si="615">COUNTIF($M$210:$M$217,CA210)*$D$23</f>
        <v>0</v>
      </c>
      <c r="CC210" s="110"/>
      <c r="CD210" s="76" t="s">
        <v>74</v>
      </c>
      <c r="CE210" s="77">
        <f t="shared" ref="CE210:CE217" si="616">COUNTIF($M$210:$M$217,CD210)*$D$23</f>
        <v>0</v>
      </c>
      <c r="CF210" s="110"/>
      <c r="CG210" s="76" t="s">
        <v>74</v>
      </c>
      <c r="CH210" s="77">
        <f t="shared" ref="CH210:CH217" si="617">COUNTIF($M$210:$M$217,CG210)*$D$23</f>
        <v>0</v>
      </c>
      <c r="CI210" s="110"/>
      <c r="CJ210" s="76" t="s">
        <v>74</v>
      </c>
      <c r="CK210" s="77">
        <f t="shared" ref="CK210:CK217" si="618">COUNTIF($M$210:$M$217,CJ210)*$D$23</f>
        <v>0</v>
      </c>
      <c r="CL210" s="110"/>
      <c r="CM210" s="76" t="s">
        <v>74</v>
      </c>
      <c r="CN210" s="77">
        <f t="shared" ref="CN210:CN217" si="619">COUNTIF($M$210:$M$217,CM210)*$D$23</f>
        <v>0</v>
      </c>
      <c r="CO210" s="110"/>
      <c r="CP210" s="110"/>
    </row>
    <row r="211" spans="1:94">
      <c r="A211" s="25"/>
      <c r="B211" s="25"/>
      <c r="C211" s="25"/>
      <c r="D211" s="25"/>
      <c r="E211" s="25"/>
      <c r="F211" s="407">
        <f t="shared" ref="F211:F217" si="620">+$D$23</f>
        <v>5</v>
      </c>
      <c r="G211" s="407">
        <f ca="1">VLOOKUP(H211,Equipos!$Q$1:$R$25,2,0)</f>
        <v>21</v>
      </c>
      <c r="H211" s="65" t="str">
        <f>Idiomas!$D$261</f>
        <v>Octavos de final</v>
      </c>
      <c r="I211" s="50"/>
      <c r="J211" s="845"/>
      <c r="K211" s="56" t="str">
        <f>Idiomas!$D$200&amp;"-"&amp;ROWS($L$210:L211)</f>
        <v>Cuartofinalista-2</v>
      </c>
      <c r="L211" s="53"/>
      <c r="M211" s="55" t="str">
        <f>WORLDCUP!AA132</f>
        <v>W93</v>
      </c>
      <c r="N211" s="25"/>
      <c r="O211" s="25"/>
      <c r="P211" s="25"/>
      <c r="Q211" s="25"/>
      <c r="R211" s="110"/>
      <c r="S211" s="74" t="s">
        <v>38</v>
      </c>
      <c r="T211" s="73">
        <f t="shared" si="595"/>
        <v>0</v>
      </c>
      <c r="U211" s="110"/>
      <c r="V211" s="74" t="s">
        <v>1318</v>
      </c>
      <c r="W211" s="73">
        <f t="shared" si="596"/>
        <v>0</v>
      </c>
      <c r="X211" s="110"/>
      <c r="Y211" s="74" t="s">
        <v>38</v>
      </c>
      <c r="Z211" s="73">
        <f t="shared" si="597"/>
        <v>0</v>
      </c>
      <c r="AA211" s="110"/>
      <c r="AB211" s="74" t="s">
        <v>38</v>
      </c>
      <c r="AC211" s="73">
        <f t="shared" si="598"/>
        <v>0</v>
      </c>
      <c r="AD211" s="110"/>
      <c r="AE211" s="74" t="s">
        <v>1320</v>
      </c>
      <c r="AF211" s="73">
        <f t="shared" si="599"/>
        <v>0</v>
      </c>
      <c r="AG211" s="110"/>
      <c r="AH211" s="74" t="s">
        <v>38</v>
      </c>
      <c r="AI211" s="73">
        <f t="shared" si="600"/>
        <v>0</v>
      </c>
      <c r="AJ211" s="110"/>
      <c r="AK211" s="74" t="s">
        <v>38</v>
      </c>
      <c r="AL211" s="73">
        <f t="shared" si="601"/>
        <v>0</v>
      </c>
      <c r="AM211" s="110"/>
      <c r="AN211" s="74" t="s">
        <v>38</v>
      </c>
      <c r="AO211" s="73">
        <f t="shared" si="602"/>
        <v>0</v>
      </c>
      <c r="AP211" s="110"/>
      <c r="AQ211" s="74" t="s">
        <v>38</v>
      </c>
      <c r="AR211" s="73">
        <f t="shared" si="603"/>
        <v>0</v>
      </c>
      <c r="AS211" s="110"/>
      <c r="AT211" s="74" t="s">
        <v>38</v>
      </c>
      <c r="AU211" s="73">
        <f t="shared" si="604"/>
        <v>0</v>
      </c>
      <c r="AV211" s="110"/>
      <c r="AW211" s="74" t="s">
        <v>38</v>
      </c>
      <c r="AX211" s="73">
        <f t="shared" si="605"/>
        <v>0</v>
      </c>
      <c r="AY211" s="110"/>
      <c r="AZ211" s="74" t="s">
        <v>38</v>
      </c>
      <c r="BA211" s="73">
        <f t="shared" si="606"/>
        <v>0</v>
      </c>
      <c r="BB211" s="110"/>
      <c r="BC211" s="74" t="s">
        <v>78</v>
      </c>
      <c r="BD211" s="73">
        <f t="shared" si="607"/>
        <v>0</v>
      </c>
      <c r="BE211" s="110"/>
      <c r="BF211" s="74" t="s">
        <v>38</v>
      </c>
      <c r="BG211" s="73">
        <f t="shared" si="608"/>
        <v>0</v>
      </c>
      <c r="BH211" s="110"/>
      <c r="BI211" s="74" t="s">
        <v>38</v>
      </c>
      <c r="BJ211" s="73">
        <f t="shared" si="609"/>
        <v>0</v>
      </c>
      <c r="BK211" s="110"/>
      <c r="BL211" s="74" t="s">
        <v>38</v>
      </c>
      <c r="BM211" s="73">
        <f t="shared" si="610"/>
        <v>0</v>
      </c>
      <c r="BN211" s="110"/>
      <c r="BO211" s="74" t="s">
        <v>38</v>
      </c>
      <c r="BP211" s="73">
        <f t="shared" si="611"/>
        <v>0</v>
      </c>
      <c r="BQ211" s="110"/>
      <c r="BR211" s="74" t="s">
        <v>38</v>
      </c>
      <c r="BS211" s="73">
        <f t="shared" si="612"/>
        <v>0</v>
      </c>
      <c r="BT211" s="110"/>
      <c r="BU211" s="74" t="s">
        <v>38</v>
      </c>
      <c r="BV211" s="73">
        <f t="shared" si="613"/>
        <v>0</v>
      </c>
      <c r="BW211" s="110"/>
      <c r="BX211" s="74" t="s">
        <v>38</v>
      </c>
      <c r="BY211" s="73">
        <f t="shared" si="614"/>
        <v>0</v>
      </c>
      <c r="BZ211" s="110"/>
      <c r="CA211" s="74" t="s">
        <v>38</v>
      </c>
      <c r="CB211" s="73">
        <f t="shared" si="615"/>
        <v>0</v>
      </c>
      <c r="CC211" s="110"/>
      <c r="CD211" s="74" t="s">
        <v>38</v>
      </c>
      <c r="CE211" s="73">
        <f t="shared" si="616"/>
        <v>0</v>
      </c>
      <c r="CF211" s="110"/>
      <c r="CG211" s="74" t="s">
        <v>38</v>
      </c>
      <c r="CH211" s="73">
        <f t="shared" si="617"/>
        <v>0</v>
      </c>
      <c r="CI211" s="110"/>
      <c r="CJ211" s="74" t="s">
        <v>38</v>
      </c>
      <c r="CK211" s="73">
        <f t="shared" si="618"/>
        <v>0</v>
      </c>
      <c r="CL211" s="110"/>
      <c r="CM211" s="74" t="s">
        <v>38</v>
      </c>
      <c r="CN211" s="73">
        <f t="shared" si="619"/>
        <v>0</v>
      </c>
      <c r="CO211" s="110"/>
      <c r="CP211" s="110"/>
    </row>
    <row r="212" spans="1:94">
      <c r="A212" s="25"/>
      <c r="B212" s="25"/>
      <c r="C212" s="25"/>
      <c r="D212" s="25"/>
      <c r="E212" s="25"/>
      <c r="F212" s="407">
        <f t="shared" si="620"/>
        <v>5</v>
      </c>
      <c r="G212" s="407">
        <f ca="1">VLOOKUP(H212,Equipos!$Q$1:$R$25,2,0)</f>
        <v>21</v>
      </c>
      <c r="H212" s="65" t="str">
        <f>Idiomas!$D$261</f>
        <v>Octavos de final</v>
      </c>
      <c r="I212" s="50"/>
      <c r="J212" s="845"/>
      <c r="K212" s="56" t="str">
        <f>Idiomas!$D$200&amp;"-"&amp;ROWS($L$210:L212)</f>
        <v>Cuartofinalista-3</v>
      </c>
      <c r="L212" s="53"/>
      <c r="M212" s="55" t="str">
        <f>WORLDCUP!AA133</f>
        <v>W91</v>
      </c>
      <c r="N212" s="25"/>
      <c r="O212" s="25"/>
      <c r="P212" s="25"/>
      <c r="Q212" s="25"/>
      <c r="R212" s="110"/>
      <c r="S212" s="74" t="s">
        <v>1258</v>
      </c>
      <c r="T212" s="73">
        <f t="shared" si="595"/>
        <v>0</v>
      </c>
      <c r="U212" s="110"/>
      <c r="V212" s="74" t="s">
        <v>1258</v>
      </c>
      <c r="W212" s="73">
        <f t="shared" si="596"/>
        <v>0</v>
      </c>
      <c r="X212" s="110"/>
      <c r="Y212" s="74" t="s">
        <v>1258</v>
      </c>
      <c r="Z212" s="73">
        <f t="shared" si="597"/>
        <v>0</v>
      </c>
      <c r="AA212" s="110"/>
      <c r="AB212" s="74" t="s">
        <v>74</v>
      </c>
      <c r="AC212" s="73">
        <f t="shared" si="598"/>
        <v>0</v>
      </c>
      <c r="AD212" s="110"/>
      <c r="AE212" s="74" t="s">
        <v>1258</v>
      </c>
      <c r="AF212" s="73">
        <f t="shared" si="599"/>
        <v>0</v>
      </c>
      <c r="AG212" s="110"/>
      <c r="AH212" s="74" t="s">
        <v>1258</v>
      </c>
      <c r="AI212" s="73">
        <f t="shared" si="600"/>
        <v>0</v>
      </c>
      <c r="AJ212" s="110"/>
      <c r="AK212" s="74" t="s">
        <v>1258</v>
      </c>
      <c r="AL212" s="73">
        <f t="shared" si="601"/>
        <v>0</v>
      </c>
      <c r="AM212" s="110"/>
      <c r="AN212" s="74" t="s">
        <v>1258</v>
      </c>
      <c r="AO212" s="73">
        <f t="shared" si="602"/>
        <v>0</v>
      </c>
      <c r="AP212" s="110"/>
      <c r="AQ212" s="74" t="s">
        <v>1258</v>
      </c>
      <c r="AR212" s="73">
        <f t="shared" si="603"/>
        <v>0</v>
      </c>
      <c r="AS212" s="110"/>
      <c r="AT212" s="74" t="s">
        <v>1258</v>
      </c>
      <c r="AU212" s="73">
        <f t="shared" si="604"/>
        <v>0</v>
      </c>
      <c r="AV212" s="110"/>
      <c r="AW212" s="74" t="s">
        <v>74</v>
      </c>
      <c r="AX212" s="73">
        <f t="shared" si="605"/>
        <v>0</v>
      </c>
      <c r="AY212" s="110"/>
      <c r="AZ212" s="74" t="s">
        <v>1258</v>
      </c>
      <c r="BA212" s="73">
        <f t="shared" si="606"/>
        <v>0</v>
      </c>
      <c r="BB212" s="110"/>
      <c r="BC212" s="74" t="s">
        <v>1258</v>
      </c>
      <c r="BD212" s="73">
        <f t="shared" si="607"/>
        <v>0</v>
      </c>
      <c r="BE212" s="110"/>
      <c r="BF212" s="74" t="s">
        <v>135</v>
      </c>
      <c r="BG212" s="73">
        <f t="shared" si="608"/>
        <v>0</v>
      </c>
      <c r="BH212" s="110"/>
      <c r="BI212" s="74" t="s">
        <v>1258</v>
      </c>
      <c r="BJ212" s="73">
        <f t="shared" si="609"/>
        <v>0</v>
      </c>
      <c r="BK212" s="110"/>
      <c r="BL212" s="74" t="s">
        <v>1258</v>
      </c>
      <c r="BM212" s="73">
        <f t="shared" si="610"/>
        <v>0</v>
      </c>
      <c r="BN212" s="110"/>
      <c r="BO212" s="74" t="s">
        <v>1258</v>
      </c>
      <c r="BP212" s="73">
        <f t="shared" si="611"/>
        <v>0</v>
      </c>
      <c r="BQ212" s="110"/>
      <c r="BR212" s="74" t="s">
        <v>1258</v>
      </c>
      <c r="BS212" s="73">
        <f t="shared" si="612"/>
        <v>0</v>
      </c>
      <c r="BT212" s="110"/>
      <c r="BU212" s="74" t="s">
        <v>1258</v>
      </c>
      <c r="BV212" s="73">
        <f t="shared" si="613"/>
        <v>0</v>
      </c>
      <c r="BW212" s="110"/>
      <c r="BX212" s="74" t="s">
        <v>1258</v>
      </c>
      <c r="BY212" s="73">
        <f t="shared" si="614"/>
        <v>0</v>
      </c>
      <c r="BZ212" s="110"/>
      <c r="CA212" s="74" t="s">
        <v>1261</v>
      </c>
      <c r="CB212" s="73">
        <f t="shared" si="615"/>
        <v>0</v>
      </c>
      <c r="CC212" s="110"/>
      <c r="CD212" s="74" t="s">
        <v>135</v>
      </c>
      <c r="CE212" s="73">
        <f t="shared" si="616"/>
        <v>0</v>
      </c>
      <c r="CF212" s="110"/>
      <c r="CG212" s="74" t="s">
        <v>1321</v>
      </c>
      <c r="CH212" s="73">
        <f t="shared" si="617"/>
        <v>0</v>
      </c>
      <c r="CI212" s="110"/>
      <c r="CJ212" s="74" t="s">
        <v>1258</v>
      </c>
      <c r="CK212" s="73">
        <f t="shared" si="618"/>
        <v>0</v>
      </c>
      <c r="CL212" s="110"/>
      <c r="CM212" s="74" t="s">
        <v>1258</v>
      </c>
      <c r="CN212" s="73">
        <f t="shared" si="619"/>
        <v>0</v>
      </c>
      <c r="CO212" s="110"/>
      <c r="CP212" s="110"/>
    </row>
    <row r="213" spans="1:94">
      <c r="A213" s="25"/>
      <c r="B213" s="25"/>
      <c r="C213" s="25"/>
      <c r="D213" s="25"/>
      <c r="E213" s="25"/>
      <c r="F213" s="407">
        <f t="shared" si="620"/>
        <v>5</v>
      </c>
      <c r="G213" s="407">
        <f ca="1">VLOOKUP(H213,Equipos!$Q$1:$R$25,2,0)</f>
        <v>21</v>
      </c>
      <c r="H213" s="65" t="str">
        <f>Idiomas!$D$261</f>
        <v>Octavos de final</v>
      </c>
      <c r="I213" s="50"/>
      <c r="J213" s="845"/>
      <c r="K213" s="56" t="str">
        <f>Idiomas!$D$200&amp;"-"&amp;ROWS($L$210:L213)</f>
        <v>Cuartofinalista-4</v>
      </c>
      <c r="L213" s="53"/>
      <c r="M213" s="55" t="str">
        <f>WORLDCUP!AA134</f>
        <v>W95</v>
      </c>
      <c r="N213" s="25"/>
      <c r="O213" s="25"/>
      <c r="P213" s="25"/>
      <c r="Q213" s="25"/>
      <c r="R213" s="110"/>
      <c r="S213" s="74" t="s">
        <v>1256</v>
      </c>
      <c r="T213" s="73">
        <f t="shared" si="595"/>
        <v>0</v>
      </c>
      <c r="U213" s="110"/>
      <c r="V213" s="74" t="s">
        <v>1256</v>
      </c>
      <c r="W213" s="73">
        <f t="shared" si="596"/>
        <v>0</v>
      </c>
      <c r="X213" s="110"/>
      <c r="Y213" s="74" t="s">
        <v>1256</v>
      </c>
      <c r="Z213" s="73">
        <f t="shared" si="597"/>
        <v>0</v>
      </c>
      <c r="AA213" s="110"/>
      <c r="AB213" s="74" t="s">
        <v>1256</v>
      </c>
      <c r="AC213" s="73">
        <f t="shared" si="598"/>
        <v>0</v>
      </c>
      <c r="AD213" s="110"/>
      <c r="AE213" s="74" t="s">
        <v>1550</v>
      </c>
      <c r="AF213" s="73">
        <f t="shared" si="599"/>
        <v>0</v>
      </c>
      <c r="AG213" s="110"/>
      <c r="AH213" s="74" t="s">
        <v>1256</v>
      </c>
      <c r="AI213" s="73">
        <f t="shared" si="600"/>
        <v>0</v>
      </c>
      <c r="AJ213" s="110"/>
      <c r="AK213" s="74" t="s">
        <v>1256</v>
      </c>
      <c r="AL213" s="73">
        <f t="shared" si="601"/>
        <v>0</v>
      </c>
      <c r="AM213" s="110"/>
      <c r="AN213" s="74" t="s">
        <v>1256</v>
      </c>
      <c r="AO213" s="73">
        <f t="shared" si="602"/>
        <v>0</v>
      </c>
      <c r="AP213" s="110"/>
      <c r="AQ213" s="74" t="s">
        <v>1256</v>
      </c>
      <c r="AR213" s="73">
        <f t="shared" si="603"/>
        <v>0</v>
      </c>
      <c r="AS213" s="110"/>
      <c r="AT213" s="74" t="s">
        <v>1256</v>
      </c>
      <c r="AU213" s="73">
        <f t="shared" si="604"/>
        <v>0</v>
      </c>
      <c r="AV213" s="110"/>
      <c r="AW213" s="74" t="s">
        <v>1256</v>
      </c>
      <c r="AX213" s="73">
        <f t="shared" si="605"/>
        <v>0</v>
      </c>
      <c r="AY213" s="110"/>
      <c r="AZ213" s="74" t="s">
        <v>1256</v>
      </c>
      <c r="BA213" s="73">
        <f t="shared" si="606"/>
        <v>0</v>
      </c>
      <c r="BB213" s="110"/>
      <c r="BC213" s="74" t="s">
        <v>38</v>
      </c>
      <c r="BD213" s="73">
        <f t="shared" si="607"/>
        <v>0</v>
      </c>
      <c r="BE213" s="110"/>
      <c r="BF213" s="74" t="s">
        <v>1318</v>
      </c>
      <c r="BG213" s="73">
        <f t="shared" si="608"/>
        <v>0</v>
      </c>
      <c r="BH213" s="110"/>
      <c r="BI213" s="74" t="s">
        <v>1256</v>
      </c>
      <c r="BJ213" s="73">
        <f t="shared" si="609"/>
        <v>0</v>
      </c>
      <c r="BK213" s="110"/>
      <c r="BL213" s="74" t="s">
        <v>1256</v>
      </c>
      <c r="BM213" s="73">
        <f t="shared" si="610"/>
        <v>0</v>
      </c>
      <c r="BN213" s="110"/>
      <c r="BO213" s="74" t="s">
        <v>1256</v>
      </c>
      <c r="BP213" s="73">
        <f t="shared" si="611"/>
        <v>0</v>
      </c>
      <c r="BQ213" s="110"/>
      <c r="BR213" s="74" t="s">
        <v>1256</v>
      </c>
      <c r="BS213" s="73">
        <f t="shared" si="612"/>
        <v>0</v>
      </c>
      <c r="BT213" s="110"/>
      <c r="BU213" s="74" t="s">
        <v>1256</v>
      </c>
      <c r="BV213" s="73">
        <f t="shared" si="613"/>
        <v>0</v>
      </c>
      <c r="BW213" s="110"/>
      <c r="BX213" s="74" t="s">
        <v>1256</v>
      </c>
      <c r="BY213" s="73">
        <f t="shared" si="614"/>
        <v>0</v>
      </c>
      <c r="BZ213" s="110"/>
      <c r="CA213" s="74" t="s">
        <v>1318</v>
      </c>
      <c r="CB213" s="73">
        <f t="shared" si="615"/>
        <v>0</v>
      </c>
      <c r="CC213" s="110"/>
      <c r="CD213" s="74" t="s">
        <v>1256</v>
      </c>
      <c r="CE213" s="73">
        <f t="shared" si="616"/>
        <v>0</v>
      </c>
      <c r="CF213" s="110"/>
      <c r="CG213" s="74" t="s">
        <v>1256</v>
      </c>
      <c r="CH213" s="73">
        <f t="shared" si="617"/>
        <v>0</v>
      </c>
      <c r="CI213" s="110"/>
      <c r="CJ213" s="74" t="s">
        <v>1256</v>
      </c>
      <c r="CK213" s="73">
        <f t="shared" si="618"/>
        <v>0</v>
      </c>
      <c r="CL213" s="110"/>
      <c r="CM213" s="74" t="s">
        <v>1256</v>
      </c>
      <c r="CN213" s="73">
        <f t="shared" si="619"/>
        <v>0</v>
      </c>
      <c r="CO213" s="110"/>
      <c r="CP213" s="110"/>
    </row>
    <row r="214" spans="1:94">
      <c r="A214" s="25"/>
      <c r="B214" s="25"/>
      <c r="C214" s="89"/>
      <c r="D214" s="25"/>
      <c r="E214" s="25"/>
      <c r="F214" s="407">
        <f t="shared" si="620"/>
        <v>5</v>
      </c>
      <c r="G214" s="407">
        <f ca="1">VLOOKUP(H214,Equipos!$Q$1:$R$25,2,0)</f>
        <v>21</v>
      </c>
      <c r="H214" s="65" t="str">
        <f>Idiomas!$D$261</f>
        <v>Octavos de final</v>
      </c>
      <c r="I214" s="50"/>
      <c r="J214" s="845"/>
      <c r="K214" s="56" t="str">
        <f>Idiomas!$D$200&amp;"-"&amp;ROWS($L$210:L214)</f>
        <v>Cuartofinalista-5</v>
      </c>
      <c r="L214" s="53"/>
      <c r="M214" s="55" t="str">
        <f>WORLDCUP!AF131</f>
        <v>W90</v>
      </c>
      <c r="N214" s="25"/>
      <c r="O214" s="25"/>
      <c r="P214" s="25"/>
      <c r="Q214" s="25"/>
      <c r="R214" s="110"/>
      <c r="S214" s="74" t="s">
        <v>1321</v>
      </c>
      <c r="T214" s="73">
        <f t="shared" si="595"/>
        <v>0</v>
      </c>
      <c r="U214" s="110"/>
      <c r="V214" s="74" t="s">
        <v>1263</v>
      </c>
      <c r="W214" s="73">
        <f t="shared" si="596"/>
        <v>0</v>
      </c>
      <c r="X214" s="110"/>
      <c r="Y214" s="74" t="s">
        <v>1263</v>
      </c>
      <c r="Z214" s="73">
        <f t="shared" si="597"/>
        <v>0</v>
      </c>
      <c r="AA214" s="110"/>
      <c r="AB214" s="74" t="s">
        <v>1263</v>
      </c>
      <c r="AC214" s="73">
        <f t="shared" si="598"/>
        <v>0</v>
      </c>
      <c r="AD214" s="110"/>
      <c r="AE214" s="74" t="s">
        <v>111</v>
      </c>
      <c r="AF214" s="73">
        <f t="shared" si="599"/>
        <v>0</v>
      </c>
      <c r="AG214" s="110"/>
      <c r="AH214" s="74" t="s">
        <v>111</v>
      </c>
      <c r="AI214" s="73">
        <f t="shared" si="600"/>
        <v>0</v>
      </c>
      <c r="AJ214" s="110"/>
      <c r="AK214" s="74" t="s">
        <v>111</v>
      </c>
      <c r="AL214" s="73">
        <f t="shared" si="601"/>
        <v>0</v>
      </c>
      <c r="AM214" s="110"/>
      <c r="AN214" s="74" t="s">
        <v>111</v>
      </c>
      <c r="AO214" s="73">
        <f t="shared" si="602"/>
        <v>0</v>
      </c>
      <c r="AP214" s="110"/>
      <c r="AQ214" s="74" t="s">
        <v>111</v>
      </c>
      <c r="AR214" s="73">
        <f t="shared" si="603"/>
        <v>0</v>
      </c>
      <c r="AS214" s="110"/>
      <c r="AT214" s="74" t="s">
        <v>111</v>
      </c>
      <c r="AU214" s="73">
        <f t="shared" si="604"/>
        <v>0</v>
      </c>
      <c r="AV214" s="110"/>
      <c r="AW214" s="74" t="s">
        <v>111</v>
      </c>
      <c r="AX214" s="73">
        <f t="shared" si="605"/>
        <v>0</v>
      </c>
      <c r="AY214" s="110"/>
      <c r="AZ214" s="74" t="s">
        <v>111</v>
      </c>
      <c r="BA214" s="73">
        <f t="shared" si="606"/>
        <v>0</v>
      </c>
      <c r="BB214" s="110"/>
      <c r="BC214" s="74" t="s">
        <v>111</v>
      </c>
      <c r="BD214" s="73">
        <f t="shared" si="607"/>
        <v>0</v>
      </c>
      <c r="BE214" s="110"/>
      <c r="BF214" s="74" t="s">
        <v>1258</v>
      </c>
      <c r="BG214" s="73">
        <f t="shared" si="608"/>
        <v>0</v>
      </c>
      <c r="BH214" s="110"/>
      <c r="BI214" s="74" t="s">
        <v>111</v>
      </c>
      <c r="BJ214" s="73">
        <f t="shared" si="609"/>
        <v>0</v>
      </c>
      <c r="BK214" s="110"/>
      <c r="BL214" s="74" t="s">
        <v>1321</v>
      </c>
      <c r="BM214" s="73">
        <f t="shared" si="610"/>
        <v>0</v>
      </c>
      <c r="BN214" s="110"/>
      <c r="BO214" s="74" t="s">
        <v>111</v>
      </c>
      <c r="BP214" s="73">
        <f t="shared" si="611"/>
        <v>0</v>
      </c>
      <c r="BQ214" s="110"/>
      <c r="BR214" s="74" t="s">
        <v>111</v>
      </c>
      <c r="BS214" s="73">
        <f t="shared" si="612"/>
        <v>0</v>
      </c>
      <c r="BT214" s="110"/>
      <c r="BU214" s="74" t="s">
        <v>111</v>
      </c>
      <c r="BV214" s="73">
        <f t="shared" si="613"/>
        <v>0</v>
      </c>
      <c r="BW214" s="110"/>
      <c r="BX214" s="74" t="s">
        <v>111</v>
      </c>
      <c r="BY214" s="73">
        <f t="shared" si="614"/>
        <v>0</v>
      </c>
      <c r="BZ214" s="110"/>
      <c r="CA214" s="74" t="s">
        <v>111</v>
      </c>
      <c r="CB214" s="73">
        <f t="shared" si="615"/>
        <v>0</v>
      </c>
      <c r="CC214" s="110"/>
      <c r="CD214" s="74" t="s">
        <v>1321</v>
      </c>
      <c r="CE214" s="73">
        <f t="shared" si="616"/>
        <v>0</v>
      </c>
      <c r="CF214" s="110"/>
      <c r="CG214" s="74" t="s">
        <v>1258</v>
      </c>
      <c r="CH214" s="73">
        <f t="shared" si="617"/>
        <v>0</v>
      </c>
      <c r="CI214" s="110"/>
      <c r="CJ214" s="74" t="s">
        <v>111</v>
      </c>
      <c r="CK214" s="73">
        <f t="shared" si="618"/>
        <v>0</v>
      </c>
      <c r="CL214" s="110"/>
      <c r="CM214" s="74" t="s">
        <v>111</v>
      </c>
      <c r="CN214" s="73">
        <f t="shared" si="619"/>
        <v>0</v>
      </c>
      <c r="CO214" s="110"/>
      <c r="CP214" s="110"/>
    </row>
    <row r="215" spans="1:94">
      <c r="A215" s="25"/>
      <c r="B215" s="25"/>
      <c r="C215" s="89"/>
      <c r="D215" s="25"/>
      <c r="E215" s="25"/>
      <c r="F215" s="407">
        <f t="shared" si="620"/>
        <v>5</v>
      </c>
      <c r="G215" s="407">
        <f ca="1">VLOOKUP(H215,Equipos!$Q$1:$R$25,2,0)</f>
        <v>21</v>
      </c>
      <c r="H215" s="65" t="str">
        <f>Idiomas!$D$261</f>
        <v>Octavos de final</v>
      </c>
      <c r="I215" s="50"/>
      <c r="J215" s="845"/>
      <c r="K215" s="56" t="str">
        <f>Idiomas!$D$200&amp;"-"&amp;ROWS($L$210:L215)</f>
        <v>Cuartofinalista-6</v>
      </c>
      <c r="L215" s="53"/>
      <c r="M215" s="55" t="str">
        <f>WORLDCUP!AF132</f>
        <v>W94</v>
      </c>
      <c r="N215" s="25"/>
      <c r="O215" s="25"/>
      <c r="P215" s="25"/>
      <c r="Q215" s="25"/>
      <c r="R215" s="110"/>
      <c r="S215" s="74" t="s">
        <v>1835</v>
      </c>
      <c r="T215" s="73">
        <f t="shared" si="595"/>
        <v>0</v>
      </c>
      <c r="U215" s="110"/>
      <c r="V215" s="74" t="s">
        <v>1319</v>
      </c>
      <c r="W215" s="73">
        <f t="shared" si="596"/>
        <v>0</v>
      </c>
      <c r="X215" s="110"/>
      <c r="Y215" s="74" t="s">
        <v>110</v>
      </c>
      <c r="Z215" s="73">
        <f t="shared" si="597"/>
        <v>0</v>
      </c>
      <c r="AA215" s="110"/>
      <c r="AB215" s="74" t="s">
        <v>110</v>
      </c>
      <c r="AC215" s="73">
        <f t="shared" si="598"/>
        <v>0</v>
      </c>
      <c r="AD215" s="110"/>
      <c r="AE215" s="74" t="s">
        <v>1835</v>
      </c>
      <c r="AF215" s="73">
        <f t="shared" si="599"/>
        <v>0</v>
      </c>
      <c r="AG215" s="110"/>
      <c r="AH215" s="74" t="s">
        <v>1835</v>
      </c>
      <c r="AI215" s="73">
        <f t="shared" si="600"/>
        <v>0</v>
      </c>
      <c r="AJ215" s="110"/>
      <c r="AK215" s="74" t="s">
        <v>110</v>
      </c>
      <c r="AL215" s="73">
        <f t="shared" si="601"/>
        <v>0</v>
      </c>
      <c r="AM215" s="110"/>
      <c r="AN215" s="74" t="s">
        <v>1319</v>
      </c>
      <c r="AO215" s="73">
        <f t="shared" si="602"/>
        <v>0</v>
      </c>
      <c r="AP215" s="110"/>
      <c r="AQ215" s="74" t="s">
        <v>110</v>
      </c>
      <c r="AR215" s="73">
        <f t="shared" si="603"/>
        <v>0</v>
      </c>
      <c r="AS215" s="110"/>
      <c r="AT215" s="74" t="s">
        <v>110</v>
      </c>
      <c r="AU215" s="73">
        <f t="shared" si="604"/>
        <v>0</v>
      </c>
      <c r="AV215" s="110"/>
      <c r="AW215" s="74" t="s">
        <v>110</v>
      </c>
      <c r="AX215" s="73">
        <f t="shared" si="605"/>
        <v>0</v>
      </c>
      <c r="AY215" s="110"/>
      <c r="AZ215" s="74" t="s">
        <v>110</v>
      </c>
      <c r="BA215" s="73">
        <f t="shared" si="606"/>
        <v>0</v>
      </c>
      <c r="BB215" s="110"/>
      <c r="BC215" s="74" t="s">
        <v>110</v>
      </c>
      <c r="BD215" s="73">
        <f t="shared" si="607"/>
        <v>0</v>
      </c>
      <c r="BE215" s="110"/>
      <c r="BF215" s="74" t="s">
        <v>110</v>
      </c>
      <c r="BG215" s="73">
        <f t="shared" si="608"/>
        <v>0</v>
      </c>
      <c r="BH215" s="110"/>
      <c r="BI215" s="74" t="s">
        <v>110</v>
      </c>
      <c r="BJ215" s="73">
        <f t="shared" si="609"/>
        <v>0</v>
      </c>
      <c r="BK215" s="110"/>
      <c r="BL215" s="74" t="s">
        <v>1835</v>
      </c>
      <c r="BM215" s="73">
        <f t="shared" si="610"/>
        <v>0</v>
      </c>
      <c r="BN215" s="110"/>
      <c r="BO215" s="74" t="s">
        <v>135</v>
      </c>
      <c r="BP215" s="73">
        <f t="shared" si="611"/>
        <v>0</v>
      </c>
      <c r="BQ215" s="110"/>
      <c r="BR215" s="74" t="s">
        <v>110</v>
      </c>
      <c r="BS215" s="73">
        <f t="shared" si="612"/>
        <v>0</v>
      </c>
      <c r="BT215" s="110"/>
      <c r="BU215" s="74" t="s">
        <v>110</v>
      </c>
      <c r="BV215" s="73">
        <f t="shared" si="613"/>
        <v>0</v>
      </c>
      <c r="BW215" s="110"/>
      <c r="BX215" s="74" t="s">
        <v>110</v>
      </c>
      <c r="BY215" s="73">
        <f t="shared" si="614"/>
        <v>0</v>
      </c>
      <c r="BZ215" s="110"/>
      <c r="CA215" s="74" t="s">
        <v>1630</v>
      </c>
      <c r="CB215" s="73">
        <f t="shared" si="615"/>
        <v>0</v>
      </c>
      <c r="CC215" s="110"/>
      <c r="CD215" s="74" t="s">
        <v>1319</v>
      </c>
      <c r="CE215" s="73">
        <f t="shared" si="616"/>
        <v>0</v>
      </c>
      <c r="CF215" s="110"/>
      <c r="CG215" s="74" t="s">
        <v>1835</v>
      </c>
      <c r="CH215" s="73">
        <f t="shared" si="617"/>
        <v>0</v>
      </c>
      <c r="CI215" s="110"/>
      <c r="CJ215" s="74" t="s">
        <v>497</v>
      </c>
      <c r="CK215" s="73">
        <f t="shared" si="618"/>
        <v>0</v>
      </c>
      <c r="CL215" s="110"/>
      <c r="CM215" s="74" t="s">
        <v>110</v>
      </c>
      <c r="CN215" s="73">
        <f t="shared" si="619"/>
        <v>0</v>
      </c>
      <c r="CO215" s="110"/>
      <c r="CP215" s="110"/>
    </row>
    <row r="216" spans="1:94">
      <c r="A216" s="25"/>
      <c r="B216" s="25"/>
      <c r="C216" s="25"/>
      <c r="D216" s="25"/>
      <c r="E216" s="25"/>
      <c r="F216" s="407">
        <f t="shared" si="620"/>
        <v>5</v>
      </c>
      <c r="G216" s="407">
        <f ca="1">VLOOKUP(H216,Equipos!$Q$1:$R$25,2,0)</f>
        <v>21</v>
      </c>
      <c r="H216" s="65" t="str">
        <f>Idiomas!$D$261</f>
        <v>Octavos de final</v>
      </c>
      <c r="I216" s="50"/>
      <c r="J216" s="845"/>
      <c r="K216" s="56" t="str">
        <f>Idiomas!$D$200&amp;"-"&amp;ROWS($L$210:L216)</f>
        <v>Cuartofinalista-7</v>
      </c>
      <c r="L216" s="53"/>
      <c r="M216" s="55" t="str">
        <f>WORLDCUP!AF133</f>
        <v>W92</v>
      </c>
      <c r="N216" s="25"/>
      <c r="O216" s="25"/>
      <c r="P216" s="25"/>
      <c r="Q216" s="25"/>
      <c r="R216" s="110"/>
      <c r="S216" s="74" t="s">
        <v>76</v>
      </c>
      <c r="T216" s="73">
        <f t="shared" si="595"/>
        <v>0</v>
      </c>
      <c r="U216" s="110"/>
      <c r="V216" s="74" t="s">
        <v>1551</v>
      </c>
      <c r="W216" s="73">
        <f t="shared" si="596"/>
        <v>0</v>
      </c>
      <c r="X216" s="110"/>
      <c r="Y216" s="74" t="s">
        <v>76</v>
      </c>
      <c r="Z216" s="73">
        <f t="shared" si="597"/>
        <v>0</v>
      </c>
      <c r="AA216" s="110"/>
      <c r="AB216" s="74" t="s">
        <v>76</v>
      </c>
      <c r="AC216" s="73">
        <f t="shared" si="598"/>
        <v>0</v>
      </c>
      <c r="AD216" s="110"/>
      <c r="AE216" s="74" t="s">
        <v>76</v>
      </c>
      <c r="AF216" s="73">
        <f t="shared" si="599"/>
        <v>0</v>
      </c>
      <c r="AG216" s="110"/>
      <c r="AH216" s="74" t="s">
        <v>76</v>
      </c>
      <c r="AI216" s="73">
        <f t="shared" si="600"/>
        <v>0</v>
      </c>
      <c r="AJ216" s="110"/>
      <c r="AK216" s="74" t="s">
        <v>76</v>
      </c>
      <c r="AL216" s="73">
        <f t="shared" si="601"/>
        <v>0</v>
      </c>
      <c r="AM216" s="110"/>
      <c r="AN216" s="74" t="s">
        <v>76</v>
      </c>
      <c r="AO216" s="73">
        <f t="shared" si="602"/>
        <v>0</v>
      </c>
      <c r="AP216" s="110"/>
      <c r="AQ216" s="74" t="s">
        <v>76</v>
      </c>
      <c r="AR216" s="73">
        <f t="shared" si="603"/>
        <v>0</v>
      </c>
      <c r="AS216" s="110"/>
      <c r="AT216" s="74" t="s">
        <v>76</v>
      </c>
      <c r="AU216" s="73">
        <f t="shared" si="604"/>
        <v>0</v>
      </c>
      <c r="AV216" s="110"/>
      <c r="AW216" s="74" t="s">
        <v>76</v>
      </c>
      <c r="AX216" s="73">
        <f t="shared" si="605"/>
        <v>0</v>
      </c>
      <c r="AY216" s="110"/>
      <c r="AZ216" s="74" t="s">
        <v>76</v>
      </c>
      <c r="BA216" s="73">
        <f t="shared" si="606"/>
        <v>0</v>
      </c>
      <c r="BB216" s="110"/>
      <c r="BC216" s="74" t="s">
        <v>76</v>
      </c>
      <c r="BD216" s="73">
        <f t="shared" si="607"/>
        <v>0</v>
      </c>
      <c r="BE216" s="110"/>
      <c r="BF216" s="74" t="s">
        <v>76</v>
      </c>
      <c r="BG216" s="73">
        <f t="shared" si="608"/>
        <v>0</v>
      </c>
      <c r="BH216" s="110"/>
      <c r="BI216" s="74" t="s">
        <v>76</v>
      </c>
      <c r="BJ216" s="73">
        <f t="shared" si="609"/>
        <v>0</v>
      </c>
      <c r="BK216" s="110"/>
      <c r="BL216" s="74" t="s">
        <v>1633</v>
      </c>
      <c r="BM216" s="73">
        <f t="shared" si="610"/>
        <v>0</v>
      </c>
      <c r="BN216" s="110"/>
      <c r="BO216" s="74" t="s">
        <v>76</v>
      </c>
      <c r="BP216" s="73">
        <f t="shared" si="611"/>
        <v>0</v>
      </c>
      <c r="BQ216" s="110"/>
      <c r="BR216" s="74" t="s">
        <v>76</v>
      </c>
      <c r="BS216" s="73">
        <f t="shared" si="612"/>
        <v>0</v>
      </c>
      <c r="BT216" s="110"/>
      <c r="BU216" s="74" t="s">
        <v>76</v>
      </c>
      <c r="BV216" s="73">
        <f t="shared" si="613"/>
        <v>0</v>
      </c>
      <c r="BW216" s="110"/>
      <c r="BX216" s="74" t="s">
        <v>76</v>
      </c>
      <c r="BY216" s="73">
        <f t="shared" si="614"/>
        <v>0</v>
      </c>
      <c r="BZ216" s="110"/>
      <c r="CA216" s="74" t="s">
        <v>76</v>
      </c>
      <c r="CB216" s="73">
        <f t="shared" si="615"/>
        <v>0</v>
      </c>
      <c r="CC216" s="110"/>
      <c r="CD216" s="74" t="s">
        <v>76</v>
      </c>
      <c r="CE216" s="73">
        <f t="shared" si="616"/>
        <v>0</v>
      </c>
      <c r="CF216" s="110"/>
      <c r="CG216" s="74" t="s">
        <v>76</v>
      </c>
      <c r="CH216" s="73">
        <f t="shared" si="617"/>
        <v>0</v>
      </c>
      <c r="CI216" s="110"/>
      <c r="CJ216" s="74" t="s">
        <v>76</v>
      </c>
      <c r="CK216" s="73">
        <f t="shared" si="618"/>
        <v>0</v>
      </c>
      <c r="CL216" s="110"/>
      <c r="CM216" s="74" t="s">
        <v>76</v>
      </c>
      <c r="CN216" s="73">
        <f t="shared" si="619"/>
        <v>0</v>
      </c>
      <c r="CO216" s="110"/>
      <c r="CP216" s="110"/>
    </row>
    <row r="217" spans="1:94">
      <c r="A217" s="25"/>
      <c r="B217" s="25"/>
      <c r="C217" s="25"/>
      <c r="D217" s="25"/>
      <c r="E217" s="25"/>
      <c r="F217" s="407">
        <f t="shared" si="620"/>
        <v>5</v>
      </c>
      <c r="G217" s="407">
        <f ca="1">VLOOKUP(H217,Equipos!$Q$1:$R$25,2,0)</f>
        <v>21</v>
      </c>
      <c r="H217" s="65" t="str">
        <f>Idiomas!$D$261</f>
        <v>Octavos de final</v>
      </c>
      <c r="I217" s="50"/>
      <c r="J217" s="845"/>
      <c r="K217" s="115" t="str">
        <f>Idiomas!$D$200&amp;"-"&amp;ROWS($L$210:L217)</f>
        <v>Cuartofinalista-8</v>
      </c>
      <c r="L217" s="115"/>
      <c r="M217" s="116" t="str">
        <f>WORLDCUP!AF134</f>
        <v>W96</v>
      </c>
      <c r="N217" s="25"/>
      <c r="O217" s="25"/>
      <c r="P217" s="25"/>
      <c r="Q217" s="25"/>
      <c r="R217" s="110"/>
      <c r="S217" s="80" t="s">
        <v>79</v>
      </c>
      <c r="T217" s="81">
        <f t="shared" si="595"/>
        <v>0</v>
      </c>
      <c r="U217" s="110"/>
      <c r="V217" s="80" t="s">
        <v>79</v>
      </c>
      <c r="W217" s="81">
        <f t="shared" si="596"/>
        <v>0</v>
      </c>
      <c r="X217" s="110"/>
      <c r="Y217" s="80" t="s">
        <v>79</v>
      </c>
      <c r="Z217" s="81">
        <f t="shared" si="597"/>
        <v>0</v>
      </c>
      <c r="AA217" s="110"/>
      <c r="AB217" s="80" t="s">
        <v>79</v>
      </c>
      <c r="AC217" s="81">
        <f t="shared" si="598"/>
        <v>0</v>
      </c>
      <c r="AD217" s="110"/>
      <c r="AE217" s="80" t="s">
        <v>79</v>
      </c>
      <c r="AF217" s="81">
        <f t="shared" si="599"/>
        <v>0</v>
      </c>
      <c r="AG217" s="110"/>
      <c r="AH217" s="80" t="s">
        <v>79</v>
      </c>
      <c r="AI217" s="81">
        <f t="shared" si="600"/>
        <v>0</v>
      </c>
      <c r="AJ217" s="110"/>
      <c r="AK217" s="80" t="s">
        <v>79</v>
      </c>
      <c r="AL217" s="81">
        <f t="shared" si="601"/>
        <v>0</v>
      </c>
      <c r="AM217" s="110"/>
      <c r="AN217" s="80" t="s">
        <v>79</v>
      </c>
      <c r="AO217" s="81">
        <f t="shared" si="602"/>
        <v>0</v>
      </c>
      <c r="AP217" s="110"/>
      <c r="AQ217" s="80" t="s">
        <v>79</v>
      </c>
      <c r="AR217" s="81">
        <f t="shared" si="603"/>
        <v>0</v>
      </c>
      <c r="AS217" s="110"/>
      <c r="AT217" s="80" t="s">
        <v>79</v>
      </c>
      <c r="AU217" s="81">
        <f t="shared" si="604"/>
        <v>0</v>
      </c>
      <c r="AV217" s="110"/>
      <c r="AW217" s="80" t="s">
        <v>79</v>
      </c>
      <c r="AX217" s="81">
        <f t="shared" si="605"/>
        <v>0</v>
      </c>
      <c r="AY217" s="110"/>
      <c r="AZ217" s="80" t="s">
        <v>79</v>
      </c>
      <c r="BA217" s="81">
        <f t="shared" si="606"/>
        <v>0</v>
      </c>
      <c r="BB217" s="110"/>
      <c r="BC217" s="80" t="s">
        <v>79</v>
      </c>
      <c r="BD217" s="81">
        <f t="shared" si="607"/>
        <v>0</v>
      </c>
      <c r="BE217" s="110"/>
      <c r="BF217" s="80" t="s">
        <v>79</v>
      </c>
      <c r="BG217" s="81">
        <f t="shared" si="608"/>
        <v>0</v>
      </c>
      <c r="BH217" s="110"/>
      <c r="BI217" s="80" t="s">
        <v>79</v>
      </c>
      <c r="BJ217" s="81">
        <f t="shared" si="609"/>
        <v>0</v>
      </c>
      <c r="BK217" s="110"/>
      <c r="BL217" s="80" t="s">
        <v>79</v>
      </c>
      <c r="BM217" s="81">
        <f t="shared" si="610"/>
        <v>0</v>
      </c>
      <c r="BN217" s="110"/>
      <c r="BO217" s="80" t="s">
        <v>79</v>
      </c>
      <c r="BP217" s="81">
        <f t="shared" si="611"/>
        <v>0</v>
      </c>
      <c r="BQ217" s="110"/>
      <c r="BR217" s="80" t="s">
        <v>79</v>
      </c>
      <c r="BS217" s="81">
        <f t="shared" si="612"/>
        <v>0</v>
      </c>
      <c r="BT217" s="110"/>
      <c r="BU217" s="80" t="s">
        <v>79</v>
      </c>
      <c r="BV217" s="81">
        <f t="shared" si="613"/>
        <v>0</v>
      </c>
      <c r="BW217" s="110"/>
      <c r="BX217" s="80" t="s">
        <v>79</v>
      </c>
      <c r="BY217" s="81">
        <f t="shared" si="614"/>
        <v>0</v>
      </c>
      <c r="BZ217" s="110"/>
      <c r="CA217" s="80" t="s">
        <v>1320</v>
      </c>
      <c r="CB217" s="81">
        <f t="shared" si="615"/>
        <v>0</v>
      </c>
      <c r="CC217" s="110"/>
      <c r="CD217" s="80" t="s">
        <v>79</v>
      </c>
      <c r="CE217" s="81">
        <f t="shared" si="616"/>
        <v>0</v>
      </c>
      <c r="CF217" s="110"/>
      <c r="CG217" s="80" t="s">
        <v>79</v>
      </c>
      <c r="CH217" s="81">
        <f t="shared" si="617"/>
        <v>0</v>
      </c>
      <c r="CI217" s="110"/>
      <c r="CJ217" s="80" t="s">
        <v>79</v>
      </c>
      <c r="CK217" s="81">
        <f t="shared" si="618"/>
        <v>0</v>
      </c>
      <c r="CL217" s="110"/>
      <c r="CM217" s="80" t="s">
        <v>79</v>
      </c>
      <c r="CN217" s="81">
        <f t="shared" si="619"/>
        <v>0</v>
      </c>
      <c r="CO217" s="110"/>
      <c r="CP217" s="110"/>
    </row>
    <row r="218" spans="1:94">
      <c r="A218" s="25"/>
      <c r="B218" s="25"/>
      <c r="C218" s="25" t="s">
        <v>1930</v>
      </c>
      <c r="D218" s="25"/>
      <c r="E218" s="25"/>
      <c r="F218" s="407"/>
      <c r="G218" s="407"/>
      <c r="H218" s="65"/>
      <c r="I218" s="50"/>
      <c r="J218" s="94"/>
      <c r="K218" s="434" t="str">
        <f>Idiomas!D461</f>
        <v>Equipos 1/4</v>
      </c>
      <c r="L218" s="435"/>
      <c r="M218" s="434" t="str">
        <f>"Max: "&amp;$D$23*COUNT(T210:T217)</f>
        <v>Max: 40</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15</v>
      </c>
      <c r="G220" s="407">
        <f ca="1">VLOOKUP(H220,Equipos!$Q$1:$R$25,2,0)</f>
        <v>22</v>
      </c>
      <c r="H220" s="65" t="str">
        <f>Idiomas!$D$262</f>
        <v>Cuartos de final</v>
      </c>
      <c r="I220" s="43">
        <v>1</v>
      </c>
      <c r="J220" s="845"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
        <v>1979</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2023</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2057</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
        <v>2095</v>
      </c>
      <c r="AC220" s="77">
        <f t="shared" ref="AC220" si="64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
        <v>2128</v>
      </c>
      <c r="AF220" s="77">
        <f t="shared" ref="AF220" si="65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
        <v>2159</v>
      </c>
      <c r="AI220" s="77">
        <f t="shared" ref="AI220" si="651">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
        <v>2159</v>
      </c>
      <c r="AL220" s="77">
        <f t="shared" ref="AL220" si="652">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
        <v>2159</v>
      </c>
      <c r="AO220" s="77">
        <f t="shared" ref="AO220" si="653">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
        <v>2128</v>
      </c>
      <c r="AR220" s="77">
        <f t="shared" ref="AR220" si="654">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
        <v>2159</v>
      </c>
      <c r="AU220" s="77">
        <f t="shared" ref="AU220" si="655">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
        <v>2268</v>
      </c>
      <c r="AX220" s="77">
        <f t="shared" ref="AX220" si="656">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
        <v>2294</v>
      </c>
      <c r="BA220" s="77">
        <f t="shared" ref="BA220" si="657">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
        <v>2320</v>
      </c>
      <c r="BD220" s="77">
        <f t="shared" ref="BD220" si="658">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
        <v>2187</v>
      </c>
      <c r="BG220" s="77">
        <f t="shared" ref="BG220" si="659">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
        <v>2159</v>
      </c>
      <c r="BJ220" s="77">
        <f t="shared" ref="BJ220" si="660">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
        <v>2398</v>
      </c>
      <c r="BM220" s="77">
        <f t="shared" ref="BM220" si="661">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
        <v>2159</v>
      </c>
      <c r="BP220" s="77">
        <f t="shared" ref="BP220" si="662">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
        <v>2159</v>
      </c>
      <c r="BS220" s="77">
        <f t="shared" ref="BS220" si="663">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
        <v>2320</v>
      </c>
      <c r="BV220" s="77">
        <f t="shared" ref="BV220" si="664">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
        <v>2159</v>
      </c>
      <c r="BY220" s="77">
        <f t="shared" ref="BY220" si="665">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
        <v>2479</v>
      </c>
      <c r="CB220" s="77">
        <f t="shared" ref="CB220" si="666">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
        <v>2511</v>
      </c>
      <c r="CE220" s="77">
        <f t="shared" ref="CE220" si="667">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
        <v>2436</v>
      </c>
      <c r="CH220" s="77">
        <f t="shared" ref="CH220" si="668">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
        <v>2577</v>
      </c>
      <c r="CK220" s="77">
        <f t="shared" ref="CK220:CN223" si="669">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
        <v>2159</v>
      </c>
      <c r="CN220" s="77">
        <f t="shared" ref="CN220" si="670">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71">SUM($D$24:$D$26)*I221</f>
        <v>15</v>
      </c>
      <c r="G221" s="407">
        <f ca="1">VLOOKUP(H221,Equipos!$Q$1:$R$25,2,0)</f>
        <v>22</v>
      </c>
      <c r="H221" s="65" t="str">
        <f>Idiomas!$D$262</f>
        <v>Cuartos de final</v>
      </c>
      <c r="I221" s="43">
        <v>1</v>
      </c>
      <c r="J221" s="845"/>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t="s">
        <v>1980</v>
      </c>
      <c r="T221" s="77">
        <f t="shared" ref="T221:T223" si="67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2024</v>
      </c>
      <c r="W221" s="77">
        <f t="shared" si="647"/>
        <v>0</v>
      </c>
      <c r="X221" s="110"/>
      <c r="Y221" s="74" t="s">
        <v>2058</v>
      </c>
      <c r="Z221" s="77">
        <f t="shared" si="647"/>
        <v>0</v>
      </c>
      <c r="AA221" s="110"/>
      <c r="AB221" s="74" t="s">
        <v>2096</v>
      </c>
      <c r="AC221" s="77">
        <f t="shared" si="647"/>
        <v>0</v>
      </c>
      <c r="AD221" s="110"/>
      <c r="AE221" s="74" t="s">
        <v>2129</v>
      </c>
      <c r="AF221" s="77">
        <f t="shared" si="647"/>
        <v>0</v>
      </c>
      <c r="AG221" s="110"/>
      <c r="AH221" s="74" t="s">
        <v>2160</v>
      </c>
      <c r="AI221" s="77">
        <f t="shared" si="647"/>
        <v>0</v>
      </c>
      <c r="AJ221" s="110"/>
      <c r="AK221" s="74" t="s">
        <v>2184</v>
      </c>
      <c r="AL221" s="77">
        <f t="shared" si="647"/>
        <v>0</v>
      </c>
      <c r="AM221" s="110"/>
      <c r="AN221" s="74" t="s">
        <v>2205</v>
      </c>
      <c r="AO221" s="77">
        <f t="shared" si="647"/>
        <v>0</v>
      </c>
      <c r="AP221" s="110"/>
      <c r="AQ221" s="74" t="s">
        <v>2058</v>
      </c>
      <c r="AR221" s="77">
        <f t="shared" si="647"/>
        <v>0</v>
      </c>
      <c r="AS221" s="110"/>
      <c r="AT221" s="74" t="s">
        <v>2058</v>
      </c>
      <c r="AU221" s="77">
        <f t="shared" si="647"/>
        <v>0</v>
      </c>
      <c r="AV221" s="110"/>
      <c r="AW221" s="74" t="s">
        <v>2269</v>
      </c>
      <c r="AX221" s="77">
        <f t="shared" si="647"/>
        <v>0</v>
      </c>
      <c r="AY221" s="110"/>
      <c r="AZ221" s="74" t="s">
        <v>2184</v>
      </c>
      <c r="BA221" s="77">
        <f t="shared" si="647"/>
        <v>0</v>
      </c>
      <c r="BB221" s="110"/>
      <c r="BC221" s="74" t="s">
        <v>2321</v>
      </c>
      <c r="BD221" s="77">
        <f t="shared" si="647"/>
        <v>0</v>
      </c>
      <c r="BE221" s="110"/>
      <c r="BF221" s="74" t="s">
        <v>2096</v>
      </c>
      <c r="BG221" s="77">
        <f t="shared" si="647"/>
        <v>0</v>
      </c>
      <c r="BH221" s="110"/>
      <c r="BI221" s="74" t="s">
        <v>2096</v>
      </c>
      <c r="BJ221" s="77">
        <f t="shared" si="647"/>
        <v>0</v>
      </c>
      <c r="BK221" s="110"/>
      <c r="BL221" s="74" t="s">
        <v>1980</v>
      </c>
      <c r="BM221" s="77">
        <f t="shared" si="647"/>
        <v>0</v>
      </c>
      <c r="BN221" s="110"/>
      <c r="BO221" s="74" t="s">
        <v>2563</v>
      </c>
      <c r="BP221" s="77">
        <f t="shared" si="647"/>
        <v>0</v>
      </c>
      <c r="BQ221" s="110"/>
      <c r="BR221" s="74" t="s">
        <v>2058</v>
      </c>
      <c r="BS221" s="77">
        <f t="shared" si="647"/>
        <v>0</v>
      </c>
      <c r="BT221" s="110"/>
      <c r="BU221" s="74" t="s">
        <v>2184</v>
      </c>
      <c r="BV221" s="77">
        <f t="shared" si="647"/>
        <v>0</v>
      </c>
      <c r="BW221" s="110"/>
      <c r="BX221" s="74" t="s">
        <v>2269</v>
      </c>
      <c r="BY221" s="77">
        <f t="shared" si="647"/>
        <v>0</v>
      </c>
      <c r="BZ221" s="110"/>
      <c r="CA221" s="74" t="s">
        <v>2480</v>
      </c>
      <c r="CB221" s="77">
        <f t="shared" si="647"/>
        <v>0</v>
      </c>
      <c r="CC221" s="110"/>
      <c r="CD221" s="74" t="s">
        <v>2512</v>
      </c>
      <c r="CE221" s="77">
        <f t="shared" si="647"/>
        <v>0</v>
      </c>
      <c r="CF221" s="110"/>
      <c r="CG221" s="74" t="s">
        <v>2537</v>
      </c>
      <c r="CH221" s="77">
        <f t="shared" si="647"/>
        <v>0</v>
      </c>
      <c r="CI221" s="110"/>
      <c r="CJ221" s="74" t="s">
        <v>2578</v>
      </c>
      <c r="CK221" s="77">
        <f t="shared" si="669"/>
        <v>0</v>
      </c>
      <c r="CL221" s="110"/>
      <c r="CM221" s="74" t="s">
        <v>2058</v>
      </c>
      <c r="CN221" s="77">
        <f t="shared" si="669"/>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71"/>
        <v>15</v>
      </c>
      <c r="G222" s="407">
        <f ca="1">VLOOKUP(H222,Equipos!$Q$1:$R$25,2,0)</f>
        <v>22</v>
      </c>
      <c r="H222" s="65" t="str">
        <f>Idiomas!$D$262</f>
        <v>Cuartos de final</v>
      </c>
      <c r="I222" s="43">
        <v>1</v>
      </c>
      <c r="J222" s="845"/>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t="s">
        <v>1981</v>
      </c>
      <c r="T222" s="77">
        <f t="shared" si="672"/>
        <v>0</v>
      </c>
      <c r="U222" s="110"/>
      <c r="V222" s="74" t="s">
        <v>2025</v>
      </c>
      <c r="W222" s="77">
        <f t="shared" si="647"/>
        <v>0</v>
      </c>
      <c r="X222" s="110"/>
      <c r="Y222" s="74" t="s">
        <v>2059</v>
      </c>
      <c r="Z222" s="77">
        <f t="shared" si="647"/>
        <v>0</v>
      </c>
      <c r="AA222" s="110"/>
      <c r="AB222" s="74" t="s">
        <v>2097</v>
      </c>
      <c r="AC222" s="77">
        <f t="shared" si="647"/>
        <v>0</v>
      </c>
      <c r="AD222" s="110"/>
      <c r="AE222" s="74" t="s">
        <v>2130</v>
      </c>
      <c r="AF222" s="77">
        <f t="shared" si="647"/>
        <v>0</v>
      </c>
      <c r="AG222" s="110"/>
      <c r="AH222" s="74" t="s">
        <v>2130</v>
      </c>
      <c r="AI222" s="77">
        <f t="shared" si="647"/>
        <v>0</v>
      </c>
      <c r="AJ222" s="110"/>
      <c r="AK222" s="74" t="s">
        <v>2130</v>
      </c>
      <c r="AL222" s="77">
        <f t="shared" si="647"/>
        <v>0</v>
      </c>
      <c r="AM222" s="110"/>
      <c r="AN222" s="74" t="s">
        <v>2206</v>
      </c>
      <c r="AO222" s="77">
        <f t="shared" si="647"/>
        <v>0</v>
      </c>
      <c r="AP222" s="110"/>
      <c r="AQ222" s="74" t="s">
        <v>2059</v>
      </c>
      <c r="AR222" s="77">
        <f t="shared" si="647"/>
        <v>0</v>
      </c>
      <c r="AS222" s="110"/>
      <c r="AT222" s="74" t="s">
        <v>2246</v>
      </c>
      <c r="AU222" s="77">
        <f t="shared" si="647"/>
        <v>0</v>
      </c>
      <c r="AV222" s="110"/>
      <c r="AW222" s="74" t="s">
        <v>2270</v>
      </c>
      <c r="AX222" s="77">
        <f t="shared" si="647"/>
        <v>0</v>
      </c>
      <c r="AY222" s="110"/>
      <c r="AZ222" s="74" t="s">
        <v>2246</v>
      </c>
      <c r="BA222" s="77">
        <f t="shared" si="647"/>
        <v>0</v>
      </c>
      <c r="BB222" s="110"/>
      <c r="BC222" s="74" t="s">
        <v>2130</v>
      </c>
      <c r="BD222" s="77">
        <f t="shared" si="647"/>
        <v>0</v>
      </c>
      <c r="BE222" s="110"/>
      <c r="BF222" s="74" t="s">
        <v>2353</v>
      </c>
      <c r="BG222" s="77">
        <f t="shared" si="647"/>
        <v>0</v>
      </c>
      <c r="BH222" s="110"/>
      <c r="BI222" s="74" t="s">
        <v>2130</v>
      </c>
      <c r="BJ222" s="77">
        <f t="shared" si="647"/>
        <v>0</v>
      </c>
      <c r="BK222" s="110"/>
      <c r="BL222" s="74" t="s">
        <v>2399</v>
      </c>
      <c r="BM222" s="77">
        <f t="shared" si="647"/>
        <v>0</v>
      </c>
      <c r="BN222" s="110"/>
      <c r="BO222" s="74" t="s">
        <v>2059</v>
      </c>
      <c r="BP222" s="77">
        <f t="shared" si="647"/>
        <v>0</v>
      </c>
      <c r="BQ222" s="110"/>
      <c r="BR222" s="74" t="s">
        <v>2130</v>
      </c>
      <c r="BS222" s="77">
        <f t="shared" si="647"/>
        <v>0</v>
      </c>
      <c r="BT222" s="110"/>
      <c r="BU222" s="74" t="s">
        <v>2130</v>
      </c>
      <c r="BV222" s="77">
        <f t="shared" si="647"/>
        <v>0</v>
      </c>
      <c r="BW222" s="110"/>
      <c r="BX222" s="74" t="s">
        <v>2130</v>
      </c>
      <c r="BY222" s="77">
        <f t="shared" si="647"/>
        <v>0</v>
      </c>
      <c r="BZ222" s="110"/>
      <c r="CA222" s="74" t="s">
        <v>2481</v>
      </c>
      <c r="CB222" s="77">
        <f t="shared" si="647"/>
        <v>0</v>
      </c>
      <c r="CC222" s="110"/>
      <c r="CD222" s="74" t="s">
        <v>2513</v>
      </c>
      <c r="CE222" s="77">
        <f t="shared" si="647"/>
        <v>0</v>
      </c>
      <c r="CF222" s="110"/>
      <c r="CG222" s="74" t="s">
        <v>2538</v>
      </c>
      <c r="CH222" s="77">
        <f t="shared" si="647"/>
        <v>0</v>
      </c>
      <c r="CI222" s="110"/>
      <c r="CJ222" s="74" t="s">
        <v>2206</v>
      </c>
      <c r="CK222" s="77">
        <f t="shared" si="669"/>
        <v>0</v>
      </c>
      <c r="CL222" s="110"/>
      <c r="CM222" s="74" t="s">
        <v>2130</v>
      </c>
      <c r="CN222" s="77">
        <f t="shared" si="669"/>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71"/>
        <v>15</v>
      </c>
      <c r="G223" s="407">
        <f ca="1">VLOOKUP(H223,Equipos!$Q$1:$R$25,2,0)</f>
        <v>22</v>
      </c>
      <c r="H223" s="65" t="str">
        <f>Idiomas!$D$262</f>
        <v>Cuartos de final</v>
      </c>
      <c r="I223" s="43">
        <v>1</v>
      </c>
      <c r="J223" s="845"/>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t="s">
        <v>1982</v>
      </c>
      <c r="T223" s="81">
        <f t="shared" si="672"/>
        <v>0</v>
      </c>
      <c r="U223" s="110"/>
      <c r="V223" s="80" t="s">
        <v>2026</v>
      </c>
      <c r="W223" s="81">
        <f t="shared" si="647"/>
        <v>0</v>
      </c>
      <c r="X223" s="110"/>
      <c r="Y223" s="80" t="s">
        <v>2060</v>
      </c>
      <c r="Z223" s="81">
        <f t="shared" si="647"/>
        <v>0</v>
      </c>
      <c r="AA223" s="110"/>
      <c r="AB223" s="80" t="s">
        <v>2098</v>
      </c>
      <c r="AC223" s="81">
        <f t="shared" si="647"/>
        <v>0</v>
      </c>
      <c r="AD223" s="110"/>
      <c r="AE223" s="80" t="s">
        <v>2131</v>
      </c>
      <c r="AF223" s="81">
        <f t="shared" si="647"/>
        <v>0</v>
      </c>
      <c r="AG223" s="110"/>
      <c r="AH223" s="80" t="s">
        <v>2161</v>
      </c>
      <c r="AI223" s="81">
        <f t="shared" si="647"/>
        <v>0</v>
      </c>
      <c r="AJ223" s="110"/>
      <c r="AK223" s="80" t="s">
        <v>2185</v>
      </c>
      <c r="AL223" s="81">
        <f t="shared" si="647"/>
        <v>0</v>
      </c>
      <c r="AM223" s="110"/>
      <c r="AN223" s="80" t="s">
        <v>2161</v>
      </c>
      <c r="AO223" s="81">
        <f t="shared" si="647"/>
        <v>0</v>
      </c>
      <c r="AP223" s="110"/>
      <c r="AQ223" s="80" t="s">
        <v>2185</v>
      </c>
      <c r="AR223" s="81">
        <f t="shared" si="647"/>
        <v>0</v>
      </c>
      <c r="AS223" s="110"/>
      <c r="AT223" s="80" t="s">
        <v>2185</v>
      </c>
      <c r="AU223" s="81">
        <f t="shared" si="647"/>
        <v>0</v>
      </c>
      <c r="AV223" s="110"/>
      <c r="AW223" s="80" t="s">
        <v>2060</v>
      </c>
      <c r="AX223" s="81">
        <f t="shared" si="647"/>
        <v>0</v>
      </c>
      <c r="AY223" s="110"/>
      <c r="AZ223" s="80" t="s">
        <v>1982</v>
      </c>
      <c r="BA223" s="81">
        <f t="shared" si="647"/>
        <v>0</v>
      </c>
      <c r="BB223" s="110"/>
      <c r="BC223" s="80" t="s">
        <v>2322</v>
      </c>
      <c r="BD223" s="81">
        <f t="shared" si="647"/>
        <v>0</v>
      </c>
      <c r="BE223" s="110"/>
      <c r="BF223" s="80" t="s">
        <v>2354</v>
      </c>
      <c r="BG223" s="81">
        <f t="shared" si="647"/>
        <v>0</v>
      </c>
      <c r="BH223" s="110"/>
      <c r="BI223" s="80" t="s">
        <v>2098</v>
      </c>
      <c r="BJ223" s="81">
        <f t="shared" si="647"/>
        <v>0</v>
      </c>
      <c r="BK223" s="110"/>
      <c r="BL223" s="80" t="s">
        <v>1982</v>
      </c>
      <c r="BM223" s="81">
        <f t="shared" si="647"/>
        <v>0</v>
      </c>
      <c r="BN223" s="110"/>
      <c r="BO223" s="80" t="s">
        <v>2161</v>
      </c>
      <c r="BP223" s="81">
        <f t="shared" si="647"/>
        <v>0</v>
      </c>
      <c r="BQ223" s="110"/>
      <c r="BR223" s="80" t="s">
        <v>2098</v>
      </c>
      <c r="BS223" s="81">
        <f t="shared" si="647"/>
        <v>0</v>
      </c>
      <c r="BT223" s="110"/>
      <c r="BU223" s="80" t="s">
        <v>2161</v>
      </c>
      <c r="BV223" s="81">
        <f t="shared" si="647"/>
        <v>0</v>
      </c>
      <c r="BW223" s="110"/>
      <c r="BX223" s="80" t="s">
        <v>2161</v>
      </c>
      <c r="BY223" s="81">
        <f t="shared" si="647"/>
        <v>0</v>
      </c>
      <c r="BZ223" s="110"/>
      <c r="CA223" s="80" t="s">
        <v>2482</v>
      </c>
      <c r="CB223" s="81">
        <f t="shared" si="647"/>
        <v>0</v>
      </c>
      <c r="CC223" s="110"/>
      <c r="CD223" s="80" t="s">
        <v>2098</v>
      </c>
      <c r="CE223" s="81">
        <f t="shared" si="647"/>
        <v>0</v>
      </c>
      <c r="CF223" s="110"/>
      <c r="CG223" s="80" t="s">
        <v>2539</v>
      </c>
      <c r="CH223" s="81">
        <f t="shared" si="647"/>
        <v>0</v>
      </c>
      <c r="CI223" s="110"/>
      <c r="CJ223" s="80" t="s">
        <v>2539</v>
      </c>
      <c r="CK223" s="81">
        <f t="shared" si="669"/>
        <v>0</v>
      </c>
      <c r="CL223" s="110"/>
      <c r="CM223" s="80" t="s">
        <v>2594</v>
      </c>
      <c r="CN223" s="81">
        <f t="shared" si="669"/>
        <v>0</v>
      </c>
      <c r="CO223" s="110"/>
      <c r="CP223" s="110"/>
    </row>
    <row r="224" spans="1:94">
      <c r="A224" s="25"/>
      <c r="B224" s="25"/>
      <c r="C224" s="25"/>
      <c r="D224" s="25"/>
      <c r="E224" s="25"/>
      <c r="F224" s="407"/>
      <c r="G224" s="407"/>
      <c r="H224" s="65"/>
      <c r="I224" s="50"/>
      <c r="J224" s="94"/>
      <c r="K224" s="434" t="str">
        <f>Idiomas!D462</f>
        <v>Partidos 1/4</v>
      </c>
      <c r="L224" s="435"/>
      <c r="M224" s="434" t="str">
        <f>"Max: "&amp;SUM($D$24:$D$26)*SUM($I$220:$I$223)</f>
        <v>Max: 60</v>
      </c>
      <c r="N224" s="25"/>
      <c r="O224" s="25"/>
      <c r="P224" s="25"/>
      <c r="Q224" s="25"/>
      <c r="R224" s="49"/>
      <c r="S224" s="84"/>
      <c r="T224" s="71">
        <f>SUM(T220:T223)</f>
        <v>0</v>
      </c>
      <c r="U224" s="65"/>
      <c r="V224" s="84"/>
      <c r="W224" s="71">
        <f t="shared" ref="W224" si="673">SUM(W220:W223)</f>
        <v>0</v>
      </c>
      <c r="X224" s="65"/>
      <c r="Y224" s="84"/>
      <c r="Z224" s="71">
        <f t="shared" ref="Z224" si="674">SUM(Z220:Z223)</f>
        <v>0</v>
      </c>
      <c r="AA224" s="65"/>
      <c r="AB224" s="84"/>
      <c r="AC224" s="71">
        <f t="shared" ref="AC224" si="675">SUM(AC220:AC223)</f>
        <v>0</v>
      </c>
      <c r="AD224" s="65"/>
      <c r="AE224" s="84"/>
      <c r="AF224" s="71">
        <f t="shared" ref="AF224" si="676">SUM(AF220:AF223)</f>
        <v>0</v>
      </c>
      <c r="AG224" s="65"/>
      <c r="AH224" s="84"/>
      <c r="AI224" s="71">
        <f t="shared" ref="AI224" si="677">SUM(AI220:AI223)</f>
        <v>0</v>
      </c>
      <c r="AJ224" s="65"/>
      <c r="AK224" s="84"/>
      <c r="AL224" s="71">
        <f t="shared" ref="AL224" si="678">SUM(AL220:AL223)</f>
        <v>0</v>
      </c>
      <c r="AM224" s="65"/>
      <c r="AN224" s="84"/>
      <c r="AO224" s="71">
        <f t="shared" ref="AO224" si="679">SUM(AO220:AO223)</f>
        <v>0</v>
      </c>
      <c r="AP224" s="65"/>
      <c r="AQ224" s="84"/>
      <c r="AR224" s="71">
        <f t="shared" ref="AR224" si="680">SUM(AR220:AR223)</f>
        <v>0</v>
      </c>
      <c r="AS224" s="65"/>
      <c r="AT224" s="84"/>
      <c r="AU224" s="71">
        <f t="shared" ref="AU224" si="681">SUM(AU220:AU223)</f>
        <v>0</v>
      </c>
      <c r="AV224" s="65"/>
      <c r="AW224" s="84"/>
      <c r="AX224" s="71">
        <f t="shared" ref="AX224" si="682">SUM(AX220:AX223)</f>
        <v>0</v>
      </c>
      <c r="AY224" s="65"/>
      <c r="AZ224" s="84"/>
      <c r="BA224" s="71">
        <f t="shared" ref="BA224" si="683">SUM(BA220:BA223)</f>
        <v>0</v>
      </c>
      <c r="BB224" s="65"/>
      <c r="BC224" s="84"/>
      <c r="BD224" s="71">
        <f t="shared" ref="BD224" si="684">SUM(BD220:BD223)</f>
        <v>0</v>
      </c>
      <c r="BE224" s="65"/>
      <c r="BF224" s="84"/>
      <c r="BG224" s="71">
        <f t="shared" ref="BG224" si="685">SUM(BG220:BG223)</f>
        <v>0</v>
      </c>
      <c r="BH224" s="65"/>
      <c r="BI224" s="84"/>
      <c r="BJ224" s="71">
        <f t="shared" ref="BJ224" si="686">SUM(BJ220:BJ223)</f>
        <v>0</v>
      </c>
      <c r="BK224" s="65"/>
      <c r="BL224" s="84"/>
      <c r="BM224" s="71">
        <f t="shared" ref="BM224" si="687">SUM(BM220:BM223)</f>
        <v>0</v>
      </c>
      <c r="BN224" s="65"/>
      <c r="BO224" s="84"/>
      <c r="BP224" s="71">
        <f t="shared" ref="BP224" si="688">SUM(BP220:BP223)</f>
        <v>0</v>
      </c>
      <c r="BQ224" s="65"/>
      <c r="BR224" s="84"/>
      <c r="BS224" s="71">
        <f t="shared" ref="BS224" si="689">SUM(BS220:BS223)</f>
        <v>0</v>
      </c>
      <c r="BT224" s="65"/>
      <c r="BU224" s="84"/>
      <c r="BV224" s="71">
        <f t="shared" ref="BV224" si="690">SUM(BV220:BV223)</f>
        <v>0</v>
      </c>
      <c r="BW224" s="65"/>
      <c r="BX224" s="84"/>
      <c r="BY224" s="71">
        <f t="shared" ref="BY224" si="691">SUM(BY220:BY223)</f>
        <v>0</v>
      </c>
      <c r="BZ224" s="65"/>
      <c r="CA224" s="84"/>
      <c r="CB224" s="71">
        <f t="shared" ref="CB224" si="692">SUM(CB220:CB223)</f>
        <v>0</v>
      </c>
      <c r="CC224" s="65"/>
      <c r="CD224" s="84"/>
      <c r="CE224" s="71">
        <f t="shared" ref="CE224" si="693">SUM(CE220:CE223)</f>
        <v>0</v>
      </c>
      <c r="CF224" s="65"/>
      <c r="CG224" s="84"/>
      <c r="CH224" s="71">
        <f t="shared" ref="CH224" si="694">SUM(CH220:CH223)</f>
        <v>0</v>
      </c>
      <c r="CI224" s="65"/>
      <c r="CJ224" s="84"/>
      <c r="CK224" s="71">
        <f t="shared" ref="CK224" si="695">SUM(CK220:CK223)</f>
        <v>0</v>
      </c>
      <c r="CL224" s="65"/>
      <c r="CM224" s="84"/>
      <c r="CN224" s="71">
        <f t="shared" ref="CN224" si="696">SUM(CN220:CN223)</f>
        <v>0</v>
      </c>
      <c r="CO224" s="65"/>
      <c r="CP224" s="65"/>
    </row>
    <row r="225" spans="1:94">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7</v>
      </c>
      <c r="G226" s="407">
        <f ca="1">VLOOKUP(H226,Equipos!$Q$1:$R$25,2,0)</f>
        <v>22</v>
      </c>
      <c r="H226" s="65" t="str">
        <f>Idiomas!$D$262</f>
        <v>Cuartos de final</v>
      </c>
      <c r="I226" s="50"/>
      <c r="J226" s="845" t="s">
        <v>35</v>
      </c>
      <c r="K226" s="53" t="str">
        <f>Idiomas!$D$201&amp;"-"&amp;ROWS($L$226:L226)</f>
        <v>Semifinalista-1</v>
      </c>
      <c r="L226" s="53"/>
      <c r="M226" s="55" t="str">
        <f>WORLDCUP!AA138</f>
        <v>W97</v>
      </c>
      <c r="N226" s="25"/>
      <c r="O226" s="25"/>
      <c r="P226" s="25"/>
      <c r="Q226" s="25"/>
      <c r="R226" s="110"/>
      <c r="S226" s="76" t="s">
        <v>1321</v>
      </c>
      <c r="T226" s="77">
        <f>COUNTIF($M$226:$M$229,S226)*$D$27</f>
        <v>0</v>
      </c>
      <c r="U226" s="64"/>
      <c r="V226" s="76" t="s">
        <v>74</v>
      </c>
      <c r="W226" s="77">
        <f t="shared" ref="W226" si="697">COUNTIF($M$226:$M$229,V226)*$D$27</f>
        <v>0</v>
      </c>
      <c r="X226" s="64"/>
      <c r="Y226" s="76" t="s">
        <v>1263</v>
      </c>
      <c r="Z226" s="77">
        <f t="shared" ref="Z226" si="698">COUNTIF($M$226:$M$229,Y226)*$D$27</f>
        <v>0</v>
      </c>
      <c r="AA226" s="64"/>
      <c r="AB226" s="76" t="s">
        <v>135</v>
      </c>
      <c r="AC226" s="77">
        <f t="shared" ref="AC226" si="699">COUNTIF($M$226:$M$229,AB226)*$D$27</f>
        <v>0</v>
      </c>
      <c r="AD226" s="64"/>
      <c r="AE226" s="76" t="s">
        <v>74</v>
      </c>
      <c r="AF226" s="77">
        <f t="shared" ref="AF226" si="700">COUNTIF($M$226:$M$229,AE226)*$D$27</f>
        <v>0</v>
      </c>
      <c r="AG226" s="64"/>
      <c r="AH226" s="76" t="s">
        <v>74</v>
      </c>
      <c r="AI226" s="77">
        <f t="shared" ref="AI226" si="701">COUNTIF($M$226:$M$229,AH226)*$D$27</f>
        <v>0</v>
      </c>
      <c r="AJ226" s="64"/>
      <c r="AK226" s="76" t="s">
        <v>74</v>
      </c>
      <c r="AL226" s="77">
        <f t="shared" ref="AL226" si="702">COUNTIF($M$226:$M$229,AK226)*$D$27</f>
        <v>0</v>
      </c>
      <c r="AM226" s="64"/>
      <c r="AN226" s="76" t="s">
        <v>74</v>
      </c>
      <c r="AO226" s="77">
        <f t="shared" ref="AO226" si="703">COUNTIF($M$226:$M$229,AN226)*$D$27</f>
        <v>0</v>
      </c>
      <c r="AP226" s="64"/>
      <c r="AQ226" s="76" t="s">
        <v>74</v>
      </c>
      <c r="AR226" s="77">
        <f t="shared" ref="AR226" si="704">COUNTIF($M$226:$M$229,AQ226)*$D$27</f>
        <v>0</v>
      </c>
      <c r="AS226" s="64"/>
      <c r="AT226" s="76" t="s">
        <v>74</v>
      </c>
      <c r="AU226" s="77">
        <f t="shared" ref="AU226" si="705">COUNTIF($M$226:$M$229,AT226)*$D$27</f>
        <v>0</v>
      </c>
      <c r="AV226" s="64"/>
      <c r="AW226" s="76" t="s">
        <v>111</v>
      </c>
      <c r="AX226" s="77">
        <f t="shared" ref="AX226" si="706">COUNTIF($M$226:$M$229,AW226)*$D$27</f>
        <v>0</v>
      </c>
      <c r="AY226" s="64"/>
      <c r="AZ226" s="76" t="s">
        <v>74</v>
      </c>
      <c r="BA226" s="77">
        <f t="shared" ref="BA226" si="707">COUNTIF($M$226:$M$229,AZ226)*$D$27</f>
        <v>0</v>
      </c>
      <c r="BB226" s="64"/>
      <c r="BC226" s="76" t="s">
        <v>74</v>
      </c>
      <c r="BD226" s="77">
        <f t="shared" ref="BD226" si="708">COUNTIF($M$226:$M$229,BC226)*$D$27</f>
        <v>0</v>
      </c>
      <c r="BE226" s="64"/>
      <c r="BF226" s="76" t="s">
        <v>1258</v>
      </c>
      <c r="BG226" s="77">
        <f t="shared" ref="BG226" si="709">COUNTIF($M$226:$M$229,BF226)*$D$27</f>
        <v>0</v>
      </c>
      <c r="BH226" s="64"/>
      <c r="BI226" s="76" t="s">
        <v>74</v>
      </c>
      <c r="BJ226" s="77">
        <f t="shared" ref="BJ226" si="710">COUNTIF($M$226:$M$229,BI226)*$D$27</f>
        <v>0</v>
      </c>
      <c r="BK226" s="64"/>
      <c r="BL226" s="76" t="s">
        <v>1321</v>
      </c>
      <c r="BM226" s="77">
        <f t="shared" ref="BM226" si="711">COUNTIF($M$226:$M$229,BL226)*$D$27</f>
        <v>0</v>
      </c>
      <c r="BN226" s="64"/>
      <c r="BO226" s="76" t="s">
        <v>74</v>
      </c>
      <c r="BP226" s="77">
        <f t="shared" ref="BP226" si="712">COUNTIF($M$226:$M$229,BO226)*$D$27</f>
        <v>0</v>
      </c>
      <c r="BQ226" s="64"/>
      <c r="BR226" s="76" t="s">
        <v>74</v>
      </c>
      <c r="BS226" s="77">
        <f t="shared" ref="BS226" si="713">COUNTIF($M$226:$M$229,BR226)*$D$27</f>
        <v>0</v>
      </c>
      <c r="BT226" s="64"/>
      <c r="BU226" s="76" t="s">
        <v>74</v>
      </c>
      <c r="BV226" s="77">
        <f t="shared" ref="BV226" si="714">COUNTIF($M$226:$M$229,BU226)*$D$27</f>
        <v>0</v>
      </c>
      <c r="BW226" s="64"/>
      <c r="BX226" s="76" t="s">
        <v>74</v>
      </c>
      <c r="BY226" s="77">
        <f t="shared" ref="BY226" si="715">COUNTIF($M$226:$M$229,BX226)*$D$27</f>
        <v>0</v>
      </c>
      <c r="BZ226" s="64"/>
      <c r="CA226" s="76" t="s">
        <v>77</v>
      </c>
      <c r="CB226" s="77">
        <f t="shared" ref="CB226" si="716">COUNTIF($M$226:$M$229,CA226)*$D$27</f>
        <v>0</v>
      </c>
      <c r="CC226" s="64"/>
      <c r="CD226" s="76" t="s">
        <v>74</v>
      </c>
      <c r="CE226" s="77">
        <f t="shared" ref="CE226" si="717">COUNTIF($M$226:$M$229,CD226)*$D$27</f>
        <v>0</v>
      </c>
      <c r="CF226" s="64"/>
      <c r="CG226" s="76" t="s">
        <v>74</v>
      </c>
      <c r="CH226" s="77">
        <f t="shared" ref="CH226" si="718">COUNTIF($M$226:$M$229,CG226)*$D$27</f>
        <v>0</v>
      </c>
      <c r="CI226" s="64"/>
      <c r="CJ226" s="76" t="s">
        <v>111</v>
      </c>
      <c r="CK226" s="77">
        <f t="shared" ref="CK226" si="719">COUNTIF($M$226:$M$229,CJ226)*$D$27</f>
        <v>0</v>
      </c>
      <c r="CL226" s="64"/>
      <c r="CM226" s="76" t="s">
        <v>74</v>
      </c>
      <c r="CN226" s="77">
        <f t="shared" ref="CN226" si="720">COUNTIF($M$226:$M$229,CM226)*$D$27</f>
        <v>0</v>
      </c>
      <c r="CO226" s="64"/>
      <c r="CP226" s="64"/>
    </row>
    <row r="227" spans="1:94">
      <c r="A227" s="25"/>
      <c r="B227" s="25"/>
      <c r="C227" s="25"/>
      <c r="D227" s="25"/>
      <c r="E227" s="25"/>
      <c r="F227" s="407">
        <f t="shared" ref="F227:F229" si="721">$D$27</f>
        <v>7</v>
      </c>
      <c r="G227" s="407">
        <f ca="1">VLOOKUP(H227,Equipos!$Q$1:$R$25,2,0)</f>
        <v>22</v>
      </c>
      <c r="H227" s="65" t="str">
        <f>Idiomas!$D$262</f>
        <v>Cuartos de final</v>
      </c>
      <c r="I227" s="50"/>
      <c r="J227" s="845"/>
      <c r="K227" s="56" t="str">
        <f>Idiomas!$D$201&amp;"-"&amp;ROWS($L$226:L227)</f>
        <v>Semifinalista-2</v>
      </c>
      <c r="L227" s="53"/>
      <c r="M227" s="55" t="str">
        <f>WORLDCUP!AA139</f>
        <v>W99</v>
      </c>
      <c r="N227" s="25"/>
      <c r="O227" s="25"/>
      <c r="P227" s="25"/>
      <c r="Q227" s="25"/>
      <c r="R227" s="110"/>
      <c r="S227" s="74" t="s">
        <v>76</v>
      </c>
      <c r="T227" s="73">
        <f>COUNTIF($M$226:$M$229,S227)*$D$27</f>
        <v>0</v>
      </c>
      <c r="U227" s="64"/>
      <c r="V227" s="74" t="s">
        <v>1258</v>
      </c>
      <c r="W227" s="73">
        <f t="shared" ref="W227" si="722">COUNTIF($M$226:$M$229,V227)*$D$27</f>
        <v>0</v>
      </c>
      <c r="X227" s="64"/>
      <c r="Y227" s="74" t="s">
        <v>76</v>
      </c>
      <c r="Z227" s="73">
        <f t="shared" ref="Z227" si="723">COUNTIF($M$226:$M$229,Y227)*$D$27</f>
        <v>0</v>
      </c>
      <c r="AA227" s="64"/>
      <c r="AB227" s="74" t="s">
        <v>74</v>
      </c>
      <c r="AC227" s="73">
        <f t="shared" ref="AC227" si="724">COUNTIF($M$226:$M$229,AB227)*$D$27</f>
        <v>0</v>
      </c>
      <c r="AD227" s="64"/>
      <c r="AE227" s="74" t="s">
        <v>1258</v>
      </c>
      <c r="AF227" s="73">
        <f t="shared" ref="AF227" si="725">COUNTIF($M$226:$M$229,AE227)*$D$27</f>
        <v>0</v>
      </c>
      <c r="AG227" s="64"/>
      <c r="AH227" s="74" t="s">
        <v>1258</v>
      </c>
      <c r="AI227" s="73">
        <f t="shared" ref="AI227" si="726">COUNTIF($M$226:$M$229,AH227)*$D$27</f>
        <v>0</v>
      </c>
      <c r="AJ227" s="64"/>
      <c r="AK227" s="74" t="s">
        <v>1258</v>
      </c>
      <c r="AL227" s="73">
        <f t="shared" ref="AL227" si="727">COUNTIF($M$226:$M$229,AK227)*$D$27</f>
        <v>0</v>
      </c>
      <c r="AM227" s="64"/>
      <c r="AN227" s="74" t="s">
        <v>1258</v>
      </c>
      <c r="AO227" s="73">
        <f t="shared" ref="AO227" si="728">COUNTIF($M$226:$M$229,AN227)*$D$27</f>
        <v>0</v>
      </c>
      <c r="AP227" s="64"/>
      <c r="AQ227" s="74" t="s">
        <v>76</v>
      </c>
      <c r="AR227" s="73">
        <f t="shared" ref="AR227" si="729">COUNTIF($M$226:$M$229,AQ227)*$D$27</f>
        <v>0</v>
      </c>
      <c r="AS227" s="64"/>
      <c r="AT227" s="74" t="s">
        <v>76</v>
      </c>
      <c r="AU227" s="73">
        <f t="shared" ref="AU227" si="730">COUNTIF($M$226:$M$229,AT227)*$D$27</f>
        <v>0</v>
      </c>
      <c r="AV227" s="64"/>
      <c r="AW227" s="74" t="s">
        <v>74</v>
      </c>
      <c r="AX227" s="73">
        <f t="shared" ref="AX227" si="731">COUNTIF($M$226:$M$229,AW227)*$D$27</f>
        <v>0</v>
      </c>
      <c r="AY227" s="64"/>
      <c r="AZ227" s="74" t="s">
        <v>76</v>
      </c>
      <c r="BA227" s="73">
        <f t="shared" ref="BA227" si="732">COUNTIF($M$226:$M$229,AZ227)*$D$27</f>
        <v>0</v>
      </c>
      <c r="BB227" s="64"/>
      <c r="BC227" s="74" t="s">
        <v>1258</v>
      </c>
      <c r="BD227" s="73">
        <f t="shared" ref="BD227" si="733">COUNTIF($M$226:$M$229,BC227)*$D$27</f>
        <v>0</v>
      </c>
      <c r="BE227" s="64"/>
      <c r="BF227" s="74" t="s">
        <v>135</v>
      </c>
      <c r="BG227" s="73">
        <f t="shared" ref="BG227" si="734">COUNTIF($M$226:$M$229,BF227)*$D$27</f>
        <v>0</v>
      </c>
      <c r="BH227" s="64"/>
      <c r="BI227" s="74" t="s">
        <v>1258</v>
      </c>
      <c r="BJ227" s="73">
        <f t="shared" ref="BJ227" si="735">COUNTIF($M$226:$M$229,BI227)*$D$27</f>
        <v>0</v>
      </c>
      <c r="BK227" s="64"/>
      <c r="BL227" s="74" t="s">
        <v>1258</v>
      </c>
      <c r="BM227" s="73">
        <f t="shared" ref="BM227" si="736">COUNTIF($M$226:$M$229,BL227)*$D$27</f>
        <v>0</v>
      </c>
      <c r="BN227" s="64"/>
      <c r="BO227" s="74" t="s">
        <v>76</v>
      </c>
      <c r="BP227" s="73">
        <f t="shared" ref="BP227" si="737">COUNTIF($M$226:$M$229,BO227)*$D$27</f>
        <v>0</v>
      </c>
      <c r="BQ227" s="64"/>
      <c r="BR227" s="74" t="s">
        <v>1258</v>
      </c>
      <c r="BS227" s="73">
        <f t="shared" ref="BS227" si="738">COUNTIF($M$226:$M$229,BR227)*$D$27</f>
        <v>0</v>
      </c>
      <c r="BT227" s="64"/>
      <c r="BU227" s="74" t="s">
        <v>1258</v>
      </c>
      <c r="BV227" s="73">
        <f t="shared" ref="BV227" si="739">COUNTIF($M$226:$M$229,BU227)*$D$27</f>
        <v>0</v>
      </c>
      <c r="BW227" s="64"/>
      <c r="BX227" s="74" t="s">
        <v>1258</v>
      </c>
      <c r="BY227" s="73">
        <f t="shared" ref="BY227" si="740">COUNTIF($M$226:$M$229,BX227)*$D$27</f>
        <v>0</v>
      </c>
      <c r="BZ227" s="64"/>
      <c r="CA227" s="74" t="s">
        <v>76</v>
      </c>
      <c r="CB227" s="73">
        <f t="shared" ref="CB227" si="741">COUNTIF($M$226:$M$229,CA227)*$D$27</f>
        <v>0</v>
      </c>
      <c r="CC227" s="64"/>
      <c r="CD227" s="74" t="s">
        <v>76</v>
      </c>
      <c r="CE227" s="73">
        <f t="shared" ref="CE227" si="742">COUNTIF($M$226:$M$229,CD227)*$D$27</f>
        <v>0</v>
      </c>
      <c r="CF227" s="64"/>
      <c r="CG227" s="74" t="s">
        <v>76</v>
      </c>
      <c r="CH227" s="73">
        <f t="shared" ref="CH227" si="743">COUNTIF($M$226:$M$229,CG227)*$D$27</f>
        <v>0</v>
      </c>
      <c r="CI227" s="64"/>
      <c r="CJ227" s="74" t="s">
        <v>1258</v>
      </c>
      <c r="CK227" s="73">
        <f t="shared" ref="CK227" si="744">COUNTIF($M$226:$M$229,CJ227)*$D$27</f>
        <v>0</v>
      </c>
      <c r="CL227" s="64"/>
      <c r="CM227" s="74" t="s">
        <v>1258</v>
      </c>
      <c r="CN227" s="73">
        <f t="shared" ref="CN227" si="745">COUNTIF($M$226:$M$229,CM227)*$D$27</f>
        <v>0</v>
      </c>
      <c r="CO227" s="64"/>
      <c r="CP227" s="64"/>
    </row>
    <row r="228" spans="1:94">
      <c r="A228" s="25"/>
      <c r="B228" s="25"/>
      <c r="C228" s="25"/>
      <c r="D228" s="25"/>
      <c r="E228" s="25"/>
      <c r="F228" s="407">
        <f t="shared" si="721"/>
        <v>7</v>
      </c>
      <c r="G228" s="407">
        <f ca="1">VLOOKUP(H228,Equipos!$Q$1:$R$25,2,0)</f>
        <v>22</v>
      </c>
      <c r="H228" s="65" t="str">
        <f>Idiomas!$D$262</f>
        <v>Cuartos de final</v>
      </c>
      <c r="I228" s="50"/>
      <c r="J228" s="845"/>
      <c r="K228" s="56" t="str">
        <f>Idiomas!$D$201&amp;"-"&amp;ROWS($L$226:L228)</f>
        <v>Semifinalista-3</v>
      </c>
      <c r="L228" s="53"/>
      <c r="M228" s="55" t="str">
        <f>WORLDCUP!AF138</f>
        <v>W98</v>
      </c>
      <c r="N228" s="25"/>
      <c r="O228" s="25"/>
      <c r="P228" s="25"/>
      <c r="Q228" s="25"/>
      <c r="R228" s="110"/>
      <c r="S228" s="74" t="s">
        <v>38</v>
      </c>
      <c r="T228" s="73">
        <f>COUNTIF($M$226:$M$229,S228)*$D$27</f>
        <v>0</v>
      </c>
      <c r="U228" s="64"/>
      <c r="V228" s="74" t="s">
        <v>1318</v>
      </c>
      <c r="W228" s="73">
        <f t="shared" ref="W228" si="746">COUNTIF($M$226:$M$229,V228)*$D$27</f>
        <v>0</v>
      </c>
      <c r="X228" s="64"/>
      <c r="Y228" s="74" t="s">
        <v>38</v>
      </c>
      <c r="Z228" s="73">
        <f t="shared" ref="Z228" si="747">COUNTIF($M$226:$M$229,Y228)*$D$27</f>
        <v>0</v>
      </c>
      <c r="AA228" s="64"/>
      <c r="AB228" s="74" t="s">
        <v>38</v>
      </c>
      <c r="AC228" s="73">
        <f t="shared" ref="AC228" si="748">COUNTIF($M$226:$M$229,AB228)*$D$27</f>
        <v>0</v>
      </c>
      <c r="AD228" s="64"/>
      <c r="AE228" s="74" t="s">
        <v>1835</v>
      </c>
      <c r="AF228" s="73">
        <f t="shared" ref="AF228" si="749">COUNTIF($M$226:$M$229,AE228)*$D$27</f>
        <v>0</v>
      </c>
      <c r="AG228" s="64"/>
      <c r="AH228" s="74" t="s">
        <v>38</v>
      </c>
      <c r="AI228" s="73">
        <f t="shared" ref="AI228" si="750">COUNTIF($M$226:$M$229,AH228)*$D$27</f>
        <v>0</v>
      </c>
      <c r="AJ228" s="64"/>
      <c r="AK228" s="74" t="s">
        <v>38</v>
      </c>
      <c r="AL228" s="73">
        <f t="shared" ref="AL228" si="751">COUNTIF($M$226:$M$229,AK228)*$D$27</f>
        <v>0</v>
      </c>
      <c r="AM228" s="64"/>
      <c r="AN228" s="74" t="s">
        <v>38</v>
      </c>
      <c r="AO228" s="73">
        <f t="shared" ref="AO228" si="752">COUNTIF($M$226:$M$229,AN228)*$D$27</f>
        <v>0</v>
      </c>
      <c r="AP228" s="64"/>
      <c r="AQ228" s="74" t="s">
        <v>38</v>
      </c>
      <c r="AR228" s="73">
        <f t="shared" ref="AR228" si="753">COUNTIF($M$226:$M$229,AQ228)*$D$27</f>
        <v>0</v>
      </c>
      <c r="AS228" s="64"/>
      <c r="AT228" s="74" t="s">
        <v>38</v>
      </c>
      <c r="AU228" s="73">
        <f t="shared" ref="AU228" si="754">COUNTIF($M$226:$M$229,AT228)*$D$27</f>
        <v>0</v>
      </c>
      <c r="AV228" s="64"/>
      <c r="AW228" s="74" t="s">
        <v>38</v>
      </c>
      <c r="AX228" s="73">
        <f t="shared" ref="AX228" si="755">COUNTIF($M$226:$M$229,AW228)*$D$27</f>
        <v>0</v>
      </c>
      <c r="AY228" s="64"/>
      <c r="AZ228" s="74" t="s">
        <v>38</v>
      </c>
      <c r="BA228" s="73">
        <f t="shared" ref="BA228" si="756">COUNTIF($M$226:$M$229,AZ228)*$D$27</f>
        <v>0</v>
      </c>
      <c r="BB228" s="64"/>
      <c r="BC228" s="74" t="s">
        <v>78</v>
      </c>
      <c r="BD228" s="73">
        <f t="shared" ref="BD228" si="757">COUNTIF($M$226:$M$229,BC228)*$D$27</f>
        <v>0</v>
      </c>
      <c r="BE228" s="64"/>
      <c r="BF228" s="74" t="s">
        <v>38</v>
      </c>
      <c r="BG228" s="73">
        <f t="shared" ref="BG228" si="758">COUNTIF($M$226:$M$229,BF228)*$D$27</f>
        <v>0</v>
      </c>
      <c r="BH228" s="64"/>
      <c r="BI228" s="74" t="s">
        <v>38</v>
      </c>
      <c r="BJ228" s="73">
        <f t="shared" ref="BJ228" si="759">COUNTIF($M$226:$M$229,BI228)*$D$27</f>
        <v>0</v>
      </c>
      <c r="BK228" s="64"/>
      <c r="BL228" s="74" t="s">
        <v>38</v>
      </c>
      <c r="BM228" s="73">
        <f t="shared" ref="BM228" si="760">COUNTIF($M$226:$M$229,BL228)*$D$27</f>
        <v>0</v>
      </c>
      <c r="BN228" s="64"/>
      <c r="BO228" s="74" t="s">
        <v>38</v>
      </c>
      <c r="BP228" s="73">
        <f t="shared" ref="BP228" si="761">COUNTIF($M$226:$M$229,BO228)*$D$27</f>
        <v>0</v>
      </c>
      <c r="BQ228" s="64"/>
      <c r="BR228" s="74" t="s">
        <v>38</v>
      </c>
      <c r="BS228" s="73">
        <f t="shared" ref="BS228" si="762">COUNTIF($M$226:$M$229,BR228)*$D$27</f>
        <v>0</v>
      </c>
      <c r="BT228" s="64"/>
      <c r="BU228" s="74" t="s">
        <v>38</v>
      </c>
      <c r="BV228" s="73">
        <f t="shared" ref="BV228" si="763">COUNTIF($M$226:$M$229,BU228)*$D$27</f>
        <v>0</v>
      </c>
      <c r="BW228" s="64"/>
      <c r="BX228" s="74" t="s">
        <v>38</v>
      </c>
      <c r="BY228" s="73">
        <f t="shared" ref="BY228" si="764">COUNTIF($M$226:$M$229,BX228)*$D$27</f>
        <v>0</v>
      </c>
      <c r="BZ228" s="64"/>
      <c r="CA228" s="74" t="s">
        <v>38</v>
      </c>
      <c r="CB228" s="73">
        <f t="shared" ref="CB228" si="765">COUNTIF($M$226:$M$229,CA228)*$D$27</f>
        <v>0</v>
      </c>
      <c r="CC228" s="64"/>
      <c r="CD228" s="74" t="s">
        <v>38</v>
      </c>
      <c r="CE228" s="73">
        <f t="shared" ref="CE228" si="766">COUNTIF($M$226:$M$229,CD228)*$D$27</f>
        <v>0</v>
      </c>
      <c r="CF228" s="64"/>
      <c r="CG228" s="74" t="s">
        <v>38</v>
      </c>
      <c r="CH228" s="73">
        <f t="shared" ref="CH228" si="767">COUNTIF($M$226:$M$229,CG228)*$D$27</f>
        <v>0</v>
      </c>
      <c r="CI228" s="64"/>
      <c r="CJ228" s="74" t="s">
        <v>38</v>
      </c>
      <c r="CK228" s="73">
        <f t="shared" ref="CK228" si="768">COUNTIF($M$226:$M$229,CJ228)*$D$27</f>
        <v>0</v>
      </c>
      <c r="CL228" s="64"/>
      <c r="CM228" s="74" t="s">
        <v>38</v>
      </c>
      <c r="CN228" s="73">
        <f t="shared" ref="CN228" si="769">COUNTIF($M$226:$M$229,CM228)*$D$27</f>
        <v>0</v>
      </c>
      <c r="CO228" s="64"/>
      <c r="CP228" s="64"/>
    </row>
    <row r="229" spans="1:94">
      <c r="A229" s="25"/>
      <c r="B229" s="25"/>
      <c r="C229" s="25"/>
      <c r="D229" s="25"/>
      <c r="E229" s="25"/>
      <c r="F229" s="407">
        <f t="shared" si="721"/>
        <v>7</v>
      </c>
      <c r="G229" s="407">
        <f ca="1">VLOOKUP(H229,Equipos!$Q$1:$R$25,2,0)</f>
        <v>22</v>
      </c>
      <c r="H229" s="65" t="str">
        <f>Idiomas!$D$262</f>
        <v>Cuartos de final</v>
      </c>
      <c r="I229" s="50"/>
      <c r="J229" s="845"/>
      <c r="K229" s="56" t="str">
        <f>Idiomas!$D$201&amp;"-"&amp;ROWS($L$226:L229)</f>
        <v>Semifinalista-4</v>
      </c>
      <c r="L229" s="53"/>
      <c r="M229" s="55" t="str">
        <f>WORLDCUP!AF139</f>
        <v>W100</v>
      </c>
      <c r="N229" s="25"/>
      <c r="O229" s="25"/>
      <c r="P229" s="25"/>
      <c r="Q229" s="25"/>
      <c r="R229" s="110"/>
      <c r="S229" s="80" t="s">
        <v>79</v>
      </c>
      <c r="T229" s="81">
        <f>COUNTIF($M$226:$M$229,S229)*$D$27</f>
        <v>0</v>
      </c>
      <c r="U229" s="64"/>
      <c r="V229" s="80" t="s">
        <v>1256</v>
      </c>
      <c r="W229" s="81">
        <f t="shared" ref="W229" si="770">COUNTIF($M$226:$M$229,V229)*$D$27</f>
        <v>0</v>
      </c>
      <c r="X229" s="64"/>
      <c r="Y229" s="80" t="s">
        <v>79</v>
      </c>
      <c r="Z229" s="81">
        <f t="shared" ref="Z229" si="771">COUNTIF($M$226:$M$229,Y229)*$D$27</f>
        <v>0</v>
      </c>
      <c r="AA229" s="64"/>
      <c r="AB229" s="80" t="s">
        <v>79</v>
      </c>
      <c r="AC229" s="81">
        <f t="shared" ref="AC229" si="772">COUNTIF($M$226:$M$229,AB229)*$D$27</f>
        <v>0</v>
      </c>
      <c r="AD229" s="64"/>
      <c r="AE229" s="80" t="s">
        <v>79</v>
      </c>
      <c r="AF229" s="81">
        <f t="shared" ref="AF229" si="773">COUNTIF($M$226:$M$229,AE229)*$D$27</f>
        <v>0</v>
      </c>
      <c r="AG229" s="64"/>
      <c r="AH229" s="80" t="s">
        <v>79</v>
      </c>
      <c r="AI229" s="81">
        <f t="shared" ref="AI229" si="774">COUNTIF($M$226:$M$229,AH229)*$D$27</f>
        <v>0</v>
      </c>
      <c r="AJ229" s="64"/>
      <c r="AK229" s="80" t="s">
        <v>1256</v>
      </c>
      <c r="AL229" s="81">
        <f t="shared" ref="AL229" si="775">COUNTIF($M$226:$M$229,AK229)*$D$27</f>
        <v>0</v>
      </c>
      <c r="AM229" s="64"/>
      <c r="AN229" s="80" t="s">
        <v>79</v>
      </c>
      <c r="AO229" s="81">
        <f t="shared" ref="AO229" si="776">COUNTIF($M$226:$M$229,AN229)*$D$27</f>
        <v>0</v>
      </c>
      <c r="AP229" s="64"/>
      <c r="AQ229" s="80" t="s">
        <v>1256</v>
      </c>
      <c r="AR229" s="81">
        <f t="shared" ref="AR229" si="777">COUNTIF($M$226:$M$229,AQ229)*$D$27</f>
        <v>0</v>
      </c>
      <c r="AS229" s="64"/>
      <c r="AT229" s="80" t="s">
        <v>1256</v>
      </c>
      <c r="AU229" s="81">
        <f t="shared" ref="AU229" si="778">COUNTIF($M$226:$M$229,AT229)*$D$27</f>
        <v>0</v>
      </c>
      <c r="AV229" s="64"/>
      <c r="AW229" s="80" t="s">
        <v>1256</v>
      </c>
      <c r="AX229" s="81">
        <f t="shared" ref="AX229" si="779">COUNTIF($M$226:$M$229,AW229)*$D$27</f>
        <v>0</v>
      </c>
      <c r="AY229" s="64"/>
      <c r="AZ229" s="80" t="s">
        <v>79</v>
      </c>
      <c r="BA229" s="81">
        <f t="shared" ref="BA229" si="780">COUNTIF($M$226:$M$229,AZ229)*$D$27</f>
        <v>0</v>
      </c>
      <c r="BB229" s="64"/>
      <c r="BC229" s="80" t="s">
        <v>79</v>
      </c>
      <c r="BD229" s="81">
        <f t="shared" ref="BD229" si="781">COUNTIF($M$226:$M$229,BC229)*$D$27</f>
        <v>0</v>
      </c>
      <c r="BE229" s="64"/>
      <c r="BF229" s="80" t="s">
        <v>79</v>
      </c>
      <c r="BG229" s="81">
        <f t="shared" ref="BG229" si="782">COUNTIF($M$226:$M$229,BF229)*$D$27</f>
        <v>0</v>
      </c>
      <c r="BH229" s="64"/>
      <c r="BI229" s="80" t="s">
        <v>1256</v>
      </c>
      <c r="BJ229" s="81">
        <f t="shared" ref="BJ229" si="783">COUNTIF($M$226:$M$229,BI229)*$D$27</f>
        <v>0</v>
      </c>
      <c r="BK229" s="64"/>
      <c r="BL229" s="80" t="s">
        <v>79</v>
      </c>
      <c r="BM229" s="81">
        <f t="shared" ref="BM229" si="784">COUNTIF($M$226:$M$229,BL229)*$D$27</f>
        <v>0</v>
      </c>
      <c r="BN229" s="64"/>
      <c r="BO229" s="80" t="s">
        <v>79</v>
      </c>
      <c r="BP229" s="81">
        <f t="shared" ref="BP229" si="785">COUNTIF($M$226:$M$229,BO229)*$D$27</f>
        <v>0</v>
      </c>
      <c r="BQ229" s="64"/>
      <c r="BR229" s="80" t="s">
        <v>79</v>
      </c>
      <c r="BS229" s="81">
        <f t="shared" ref="BS229" si="786">COUNTIF($M$226:$M$229,BR229)*$D$27</f>
        <v>0</v>
      </c>
      <c r="BT229" s="64"/>
      <c r="BU229" s="80" t="s">
        <v>79</v>
      </c>
      <c r="BV229" s="81">
        <f t="shared" ref="BV229" si="787">COUNTIF($M$226:$M$229,BU229)*$D$27</f>
        <v>0</v>
      </c>
      <c r="BW229" s="64"/>
      <c r="BX229" s="80" t="s">
        <v>79</v>
      </c>
      <c r="BY229" s="81">
        <f t="shared" ref="BY229" si="788">COUNTIF($M$226:$M$229,BX229)*$D$27</f>
        <v>0</v>
      </c>
      <c r="BZ229" s="64"/>
      <c r="CA229" s="80" t="s">
        <v>1320</v>
      </c>
      <c r="CB229" s="81">
        <f t="shared" ref="CB229" si="789">COUNTIF($M$226:$M$229,CA229)*$D$27</f>
        <v>0</v>
      </c>
      <c r="CC229" s="64"/>
      <c r="CD229" s="80" t="s">
        <v>79</v>
      </c>
      <c r="CE229" s="81">
        <f t="shared" ref="CE229" si="790">COUNTIF($M$226:$M$229,CD229)*$D$27</f>
        <v>0</v>
      </c>
      <c r="CF229" s="64"/>
      <c r="CG229" s="80" t="s">
        <v>1256</v>
      </c>
      <c r="CH229" s="81">
        <f t="shared" ref="CH229" si="791">COUNTIF($M$226:$M$229,CG229)*$D$27</f>
        <v>0</v>
      </c>
      <c r="CI229" s="64"/>
      <c r="CJ229" s="80" t="s">
        <v>1256</v>
      </c>
      <c r="CK229" s="81">
        <f t="shared" ref="CK229" si="792">COUNTIF($M$226:$M$229,CJ229)*$D$27</f>
        <v>0</v>
      </c>
      <c r="CL229" s="64"/>
      <c r="CM229" s="80" t="s">
        <v>1256</v>
      </c>
      <c r="CN229" s="81">
        <f t="shared" ref="CN229" si="793">COUNTIF($M$226:$M$229,CM229)*$D$27</f>
        <v>0</v>
      </c>
      <c r="CO229" s="64"/>
      <c r="CP229" s="64"/>
    </row>
    <row r="230" spans="1:94">
      <c r="A230" s="25"/>
      <c r="B230" s="25"/>
      <c r="C230" s="25"/>
      <c r="D230" s="25"/>
      <c r="E230" s="25"/>
      <c r="F230" s="407"/>
      <c r="G230" s="407"/>
      <c r="H230" s="65"/>
      <c r="I230" s="50"/>
      <c r="J230" s="94"/>
      <c r="K230" s="434" t="str">
        <f>Idiomas!D463</f>
        <v>Equipos 1/2</v>
      </c>
      <c r="L230" s="435"/>
      <c r="M230" s="434" t="str">
        <f>"Max: "&amp;$D$27*COUNT(T226:T229)</f>
        <v>Max: 28</v>
      </c>
      <c r="N230" s="25"/>
      <c r="O230" s="25"/>
      <c r="P230" s="25"/>
      <c r="Q230" s="25"/>
      <c r="R230" s="49"/>
      <c r="S230" s="84"/>
      <c r="T230" s="71">
        <f>SUM(T226:T229)</f>
        <v>0</v>
      </c>
      <c r="U230" s="65"/>
      <c r="V230" s="84"/>
      <c r="W230" s="71">
        <f t="shared" ref="W230" si="794">SUM(W226:W229)</f>
        <v>0</v>
      </c>
      <c r="X230" s="65"/>
      <c r="Y230" s="84"/>
      <c r="Z230" s="71">
        <f t="shared" ref="Z230" si="795">SUM(Z226:Z229)</f>
        <v>0</v>
      </c>
      <c r="AA230" s="65"/>
      <c r="AB230" s="84"/>
      <c r="AC230" s="71">
        <f t="shared" ref="AC230" si="796">SUM(AC226:AC229)</f>
        <v>0</v>
      </c>
      <c r="AD230" s="65"/>
      <c r="AE230" s="84"/>
      <c r="AF230" s="71">
        <f t="shared" ref="AF230" si="797">SUM(AF226:AF229)</f>
        <v>0</v>
      </c>
      <c r="AG230" s="65"/>
      <c r="AH230" s="84"/>
      <c r="AI230" s="71">
        <f t="shared" ref="AI230" si="798">SUM(AI226:AI229)</f>
        <v>0</v>
      </c>
      <c r="AJ230" s="65"/>
      <c r="AK230" s="84"/>
      <c r="AL230" s="71">
        <f t="shared" ref="AL230" si="799">SUM(AL226:AL229)</f>
        <v>0</v>
      </c>
      <c r="AM230" s="65"/>
      <c r="AN230" s="84"/>
      <c r="AO230" s="71">
        <f t="shared" ref="AO230" si="800">SUM(AO226:AO229)</f>
        <v>0</v>
      </c>
      <c r="AP230" s="65"/>
      <c r="AQ230" s="84"/>
      <c r="AR230" s="71">
        <f t="shared" ref="AR230" si="801">SUM(AR226:AR229)</f>
        <v>0</v>
      </c>
      <c r="AS230" s="65"/>
      <c r="AT230" s="84"/>
      <c r="AU230" s="71">
        <f t="shared" ref="AU230" si="802">SUM(AU226:AU229)</f>
        <v>0</v>
      </c>
      <c r="AV230" s="65"/>
      <c r="AW230" s="84"/>
      <c r="AX230" s="71">
        <f t="shared" ref="AX230" si="803">SUM(AX226:AX229)</f>
        <v>0</v>
      </c>
      <c r="AY230" s="65"/>
      <c r="AZ230" s="84"/>
      <c r="BA230" s="71">
        <f t="shared" ref="BA230" si="804">SUM(BA226:BA229)</f>
        <v>0</v>
      </c>
      <c r="BB230" s="65"/>
      <c r="BC230" s="84"/>
      <c r="BD230" s="71">
        <f t="shared" ref="BD230" si="805">SUM(BD226:BD229)</f>
        <v>0</v>
      </c>
      <c r="BE230" s="65"/>
      <c r="BF230" s="84"/>
      <c r="BG230" s="71">
        <f t="shared" ref="BG230" si="806">SUM(BG226:BG229)</f>
        <v>0</v>
      </c>
      <c r="BH230" s="65"/>
      <c r="BI230" s="84"/>
      <c r="BJ230" s="71">
        <f t="shared" ref="BJ230" si="807">SUM(BJ226:BJ229)</f>
        <v>0</v>
      </c>
      <c r="BK230" s="65"/>
      <c r="BL230" s="84"/>
      <c r="BM230" s="71">
        <f t="shared" ref="BM230" si="808">SUM(BM226:BM229)</f>
        <v>0</v>
      </c>
      <c r="BN230" s="65"/>
      <c r="BO230" s="84"/>
      <c r="BP230" s="71">
        <f t="shared" ref="BP230" si="809">SUM(BP226:BP229)</f>
        <v>0</v>
      </c>
      <c r="BQ230" s="65"/>
      <c r="BR230" s="84"/>
      <c r="BS230" s="71">
        <f t="shared" ref="BS230" si="810">SUM(BS226:BS229)</f>
        <v>0</v>
      </c>
      <c r="BT230" s="65"/>
      <c r="BU230" s="84"/>
      <c r="BV230" s="71">
        <f t="shared" ref="BV230" si="811">SUM(BV226:BV229)</f>
        <v>0</v>
      </c>
      <c r="BW230" s="65"/>
      <c r="BX230" s="84"/>
      <c r="BY230" s="71">
        <f t="shared" ref="BY230" si="812">SUM(BY226:BY229)</f>
        <v>0</v>
      </c>
      <c r="BZ230" s="65"/>
      <c r="CA230" s="84"/>
      <c r="CB230" s="71">
        <f t="shared" ref="CB230" si="813">SUM(CB226:CB229)</f>
        <v>0</v>
      </c>
      <c r="CC230" s="65"/>
      <c r="CD230" s="84"/>
      <c r="CE230" s="71">
        <f t="shared" ref="CE230" si="814">SUM(CE226:CE229)</f>
        <v>0</v>
      </c>
      <c r="CF230" s="65"/>
      <c r="CG230" s="84"/>
      <c r="CH230" s="71">
        <f t="shared" ref="CH230" si="815">SUM(CH226:CH229)</f>
        <v>0</v>
      </c>
      <c r="CI230" s="65"/>
      <c r="CJ230" s="84"/>
      <c r="CK230" s="71">
        <f t="shared" ref="CK230" si="816">SUM(CK226:CK229)</f>
        <v>0</v>
      </c>
      <c r="CL230" s="65"/>
      <c r="CM230" s="84"/>
      <c r="CN230" s="71">
        <f t="shared" ref="CN230" si="817">SUM(CN226:CN229)</f>
        <v>0</v>
      </c>
      <c r="CO230" s="65"/>
      <c r="CP230" s="65"/>
    </row>
    <row r="231" spans="1:94">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18</v>
      </c>
      <c r="G232" s="407">
        <f ca="1">VLOOKUP(H232,Equipos!$Q$1:$R$25,2,0)</f>
        <v>23</v>
      </c>
      <c r="H232" s="65" t="str">
        <f>Idiomas!$D$263</f>
        <v>Semifinales</v>
      </c>
      <c r="I232" s="43">
        <v>1</v>
      </c>
      <c r="J232" s="846" t="s">
        <v>35</v>
      </c>
      <c r="K232" s="53" t="str">
        <f>CONCATENATE(WORLDCUP!AA138,"-",WORLDCUP!AF138)</f>
        <v>W97-W98</v>
      </c>
      <c r="L232" s="53" t="str">
        <f>IF(OR(WORLDCUP!AC138="",WORLDCUP!AD138=""),"PD",IF(WORLDCUP!AC138&gt;WORLDCUP!AD138,1,IF(WORLDCUP!AC138&lt;WORLDCUP!AD138,2,0)))</f>
        <v>PD</v>
      </c>
      <c r="M232" s="55" t="str">
        <f t="shared" ref="M232:M233" si="818">IF(L232="PD","-",N232&amp;"-"&amp;O232)</f>
        <v>-</v>
      </c>
      <c r="N232" s="25">
        <f>WORLDCUP!AC138</f>
        <v>0</v>
      </c>
      <c r="O232" s="25">
        <f>WORLDCUP!AD138</f>
        <v>0</v>
      </c>
      <c r="P232" s="25">
        <f>+N232-O232</f>
        <v>0</v>
      </c>
      <c r="Q232" s="25">
        <f>+A232-B232</f>
        <v>0</v>
      </c>
      <c r="R232" s="110"/>
      <c r="S232" s="76" t="s">
        <v>1983</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2027</v>
      </c>
      <c r="W232" s="77">
        <f t="shared" ref="W232" si="81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2061</v>
      </c>
      <c r="Z232" s="77">
        <f t="shared" ref="Z232" si="82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
        <v>2099</v>
      </c>
      <c r="AC232" s="77">
        <f t="shared" ref="AC232" si="82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
        <v>2132</v>
      </c>
      <c r="AF232" s="77">
        <f t="shared" ref="AF232" si="82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
        <v>2162</v>
      </c>
      <c r="AI232" s="77">
        <f t="shared" ref="AI232" si="82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
        <v>2162</v>
      </c>
      <c r="AL232" s="77">
        <f t="shared" ref="AL232" si="82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
        <v>2162</v>
      </c>
      <c r="AO232" s="77">
        <f t="shared" ref="AO232" si="82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
        <v>2230</v>
      </c>
      <c r="AR232" s="77">
        <f t="shared" ref="AR232" si="82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
        <v>2162</v>
      </c>
      <c r="AU232" s="77">
        <f t="shared" ref="AU232" si="82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
        <v>2271</v>
      </c>
      <c r="AX232" s="77">
        <f t="shared" ref="AX232" si="82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
        <v>2295</v>
      </c>
      <c r="BA232" s="77">
        <f t="shared" ref="BA232" si="82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
        <v>2323</v>
      </c>
      <c r="BD232" s="77">
        <f t="shared" ref="BD232" si="83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
        <v>2355</v>
      </c>
      <c r="BG232" s="77">
        <f t="shared" ref="BG232" si="83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
        <v>2374</v>
      </c>
      <c r="BJ232" s="77">
        <f t="shared" ref="BJ232" si="83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
        <v>2400</v>
      </c>
      <c r="BM232" s="77">
        <f t="shared" ref="BM232" si="83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
        <v>2564</v>
      </c>
      <c r="BP232" s="77">
        <f t="shared" ref="BP232" si="83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
        <v>2419</v>
      </c>
      <c r="BS232" s="77">
        <f t="shared" ref="BS232" si="83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
        <v>2435</v>
      </c>
      <c r="BV232" s="77">
        <f t="shared" ref="BV232" si="83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
        <v>2374</v>
      </c>
      <c r="BY232" s="77">
        <f t="shared" ref="BY232" si="83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
        <v>2483</v>
      </c>
      <c r="CB232" s="77">
        <f t="shared" ref="CB232" si="83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
        <v>2230</v>
      </c>
      <c r="CE232" s="77">
        <f t="shared" ref="CE232" si="83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
        <v>2540</v>
      </c>
      <c r="CH232" s="77">
        <f t="shared" ref="CH232" si="84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
        <v>2579</v>
      </c>
      <c r="CK232" s="77">
        <f t="shared" ref="CK232" si="84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
        <v>2564</v>
      </c>
      <c r="CN232" s="77">
        <f t="shared" ref="CN232" si="84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18</v>
      </c>
      <c r="G233" s="407">
        <f ca="1">VLOOKUP(H233,Equipos!$Q$1:$R$25,2,0)</f>
        <v>23</v>
      </c>
      <c r="H233" s="65" t="str">
        <f>Idiomas!$D$263</f>
        <v>Semifinales</v>
      </c>
      <c r="I233" s="43">
        <v>1</v>
      </c>
      <c r="J233" s="846"/>
      <c r="K233" s="56" t="str">
        <f>CONCATENATE(WORLDCUP!AA139,"-",WORLDCUP!AF139)</f>
        <v>W99-W100</v>
      </c>
      <c r="L233" s="53" t="str">
        <f>IF(OR(WORLDCUP!AC139="",WORLDCUP!AD139=""),"PD",IF(WORLDCUP!AC139&gt;WORLDCUP!AD139,1,IF(WORLDCUP!AC139&lt;WORLDCUP!AD139,2,0)))</f>
        <v>PD</v>
      </c>
      <c r="M233" s="55" t="str">
        <f t="shared" si="818"/>
        <v>-</v>
      </c>
      <c r="N233" s="25">
        <f>WORLDCUP!AC139</f>
        <v>0</v>
      </c>
      <c r="O233" s="25">
        <f>WORLDCUP!AD139</f>
        <v>0</v>
      </c>
      <c r="P233" s="25">
        <f>+N233-O233</f>
        <v>0</v>
      </c>
      <c r="Q233" s="25">
        <f>+A233-B233</f>
        <v>0</v>
      </c>
      <c r="R233" s="110"/>
      <c r="S233" s="80" t="s">
        <v>1984</v>
      </c>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2028</v>
      </c>
      <c r="W233" s="81">
        <f t="shared" ref="W233" si="84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2062</v>
      </c>
      <c r="Z233" s="81">
        <f t="shared" ref="Z233" si="84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t="s">
        <v>2100</v>
      </c>
      <c r="AC233" s="81">
        <f t="shared" ref="AC233" si="84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t="s">
        <v>2133</v>
      </c>
      <c r="AF233" s="81">
        <f t="shared" ref="AF233" si="84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t="s">
        <v>2163</v>
      </c>
      <c r="AI233" s="81">
        <f t="shared" ref="AI233" si="847">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t="s">
        <v>2186</v>
      </c>
      <c r="AL233" s="81">
        <f t="shared" ref="AL233" si="848">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t="s">
        <v>2207</v>
      </c>
      <c r="AO233" s="81">
        <f t="shared" ref="AO233" si="849">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t="s">
        <v>2231</v>
      </c>
      <c r="AR233" s="81">
        <f t="shared" ref="AR233" si="850">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t="s">
        <v>2247</v>
      </c>
      <c r="AU233" s="81">
        <f t="shared" ref="AU233" si="851">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t="s">
        <v>2272</v>
      </c>
      <c r="AX233" s="81">
        <f t="shared" ref="AX233" si="852">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t="s">
        <v>2062</v>
      </c>
      <c r="BA233" s="81">
        <f t="shared" ref="BA233" si="853">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t="s">
        <v>2324</v>
      </c>
      <c r="BD233" s="81">
        <f t="shared" ref="BD233" si="854">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t="s">
        <v>2101</v>
      </c>
      <c r="BG233" s="81">
        <f t="shared" ref="BG233" si="855">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t="s">
        <v>2375</v>
      </c>
      <c r="BJ233" s="81">
        <f t="shared" ref="BJ233" si="856">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t="s">
        <v>2401</v>
      </c>
      <c r="BM233" s="81">
        <f t="shared" ref="BM233" si="857">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t="s">
        <v>2514</v>
      </c>
      <c r="BP233" s="81">
        <f t="shared" ref="BP233" si="858">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t="s">
        <v>2207</v>
      </c>
      <c r="BS233" s="81">
        <f t="shared" ref="BS233" si="859">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t="s">
        <v>2163</v>
      </c>
      <c r="BV233" s="81">
        <f t="shared" ref="BV233" si="860">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t="s">
        <v>2207</v>
      </c>
      <c r="BY233" s="81">
        <f t="shared" ref="BY233" si="861">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t="s">
        <v>2484</v>
      </c>
      <c r="CB233" s="81">
        <f t="shared" ref="CB233" si="862">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t="s">
        <v>2514</v>
      </c>
      <c r="CE233" s="81">
        <f t="shared" ref="CE233" si="863">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t="s">
        <v>2541</v>
      </c>
      <c r="CH233" s="81">
        <f t="shared" ref="CH233" si="864">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t="s">
        <v>2580</v>
      </c>
      <c r="CK233" s="81">
        <f t="shared" ref="CK233" si="865">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t="s">
        <v>2595</v>
      </c>
      <c r="CN233" s="81">
        <f t="shared" ref="CN233" si="866">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Partidos 1/2</v>
      </c>
      <c r="L234" s="435"/>
      <c r="M234" s="434" t="str">
        <f>"Max: "&amp;SUM($D$28:$D$30)*SUM($I$232:$I$233)</f>
        <v>Max: 36</v>
      </c>
      <c r="N234" s="25"/>
      <c r="O234" s="25"/>
      <c r="P234" s="25"/>
      <c r="Q234" s="25"/>
      <c r="R234" s="17"/>
      <c r="S234" s="84"/>
      <c r="T234" s="71">
        <f>SUM(T232:T233)</f>
        <v>0</v>
      </c>
      <c r="U234" s="49"/>
      <c r="V234" s="84"/>
      <c r="W234" s="71">
        <f t="shared" ref="W234" si="867">SUM(W232:W233)</f>
        <v>0</v>
      </c>
      <c r="X234" s="49"/>
      <c r="Y234" s="84"/>
      <c r="Z234" s="71">
        <f t="shared" ref="Z234" si="868">SUM(Z232:Z233)</f>
        <v>0</v>
      </c>
      <c r="AA234" s="49"/>
      <c r="AB234" s="84"/>
      <c r="AC234" s="71">
        <f t="shared" ref="AC234" si="869">SUM(AC232:AC233)</f>
        <v>0</v>
      </c>
      <c r="AD234" s="111"/>
      <c r="AE234" s="84"/>
      <c r="AF234" s="71">
        <f t="shared" ref="AF234" si="870">SUM(AF232:AF233)</f>
        <v>0</v>
      </c>
      <c r="AG234" s="49"/>
      <c r="AH234" s="84"/>
      <c r="AI234" s="71">
        <f t="shared" ref="AI234" si="871">SUM(AI232:AI233)</f>
        <v>0</v>
      </c>
      <c r="AJ234" s="49"/>
      <c r="AK234" s="84"/>
      <c r="AL234" s="71">
        <f t="shared" ref="AL234" si="872">SUM(AL232:AL233)</f>
        <v>0</v>
      </c>
      <c r="AM234" s="49"/>
      <c r="AN234" s="84"/>
      <c r="AO234" s="71">
        <f t="shared" ref="AO234" si="873">SUM(AO232:AO233)</f>
        <v>0</v>
      </c>
      <c r="AP234" s="49"/>
      <c r="AQ234" s="84"/>
      <c r="AR234" s="71">
        <f t="shared" ref="AR234" si="874">SUM(AR232:AR233)</f>
        <v>0</v>
      </c>
      <c r="AS234" s="49"/>
      <c r="AT234" s="84"/>
      <c r="AU234" s="71">
        <f t="shared" ref="AU234" si="875">SUM(AU232:AU233)</f>
        <v>0</v>
      </c>
      <c r="AV234" s="49"/>
      <c r="AW234" s="84"/>
      <c r="AX234" s="71">
        <f t="shared" ref="AX234" si="876">SUM(AX232:AX233)</f>
        <v>0</v>
      </c>
      <c r="AY234" s="49"/>
      <c r="AZ234" s="84"/>
      <c r="BA234" s="71">
        <f t="shared" ref="BA234" si="877">SUM(BA232:BA233)</f>
        <v>0</v>
      </c>
      <c r="BB234" s="49"/>
      <c r="BC234" s="84"/>
      <c r="BD234" s="71">
        <f t="shared" ref="BD234" si="878">SUM(BD232:BD233)</f>
        <v>0</v>
      </c>
      <c r="BE234" s="49"/>
      <c r="BF234" s="84"/>
      <c r="BG234" s="71">
        <f t="shared" ref="BG234" si="879">SUM(BG232:BG233)</f>
        <v>0</v>
      </c>
      <c r="BH234" s="49"/>
      <c r="BI234" s="84"/>
      <c r="BJ234" s="71">
        <f t="shared" ref="BJ234" si="880">SUM(BJ232:BJ233)</f>
        <v>0</v>
      </c>
      <c r="BK234" s="49"/>
      <c r="BL234" s="84"/>
      <c r="BM234" s="71">
        <f t="shared" ref="BM234" si="881">SUM(BM232:BM233)</f>
        <v>0</v>
      </c>
      <c r="BN234" s="49"/>
      <c r="BO234" s="84"/>
      <c r="BP234" s="71">
        <f t="shared" ref="BP234" si="882">SUM(BP232:BP233)</f>
        <v>0</v>
      </c>
      <c r="BQ234" s="49"/>
      <c r="BR234" s="84"/>
      <c r="BS234" s="71">
        <f t="shared" ref="BS234" si="883">SUM(BS232:BS233)</f>
        <v>0</v>
      </c>
      <c r="BT234" s="49"/>
      <c r="BU234" s="84"/>
      <c r="BV234" s="71">
        <f t="shared" ref="BV234" si="884">SUM(BV232:BV233)</f>
        <v>0</v>
      </c>
      <c r="BW234" s="49"/>
      <c r="BX234" s="84"/>
      <c r="BY234" s="71">
        <f t="shared" ref="BY234" si="885">SUM(BY232:BY233)</f>
        <v>0</v>
      </c>
      <c r="BZ234" s="49"/>
      <c r="CA234" s="84"/>
      <c r="CB234" s="71">
        <f t="shared" ref="CB234" si="886">SUM(CB232:CB233)</f>
        <v>0</v>
      </c>
      <c r="CC234" s="49"/>
      <c r="CD234" s="84"/>
      <c r="CE234" s="71">
        <f t="shared" ref="CE234" si="887">SUM(CE232:CE233)</f>
        <v>0</v>
      </c>
      <c r="CF234" s="49"/>
      <c r="CG234" s="84"/>
      <c r="CH234" s="71">
        <f t="shared" ref="CH234" si="888">SUM(CH232:CH233)</f>
        <v>0</v>
      </c>
      <c r="CI234" s="49"/>
      <c r="CJ234" s="84"/>
      <c r="CK234" s="71">
        <f t="shared" ref="CK234" si="889">SUM(CK232:CK233)</f>
        <v>0</v>
      </c>
      <c r="CL234" s="49"/>
      <c r="CM234" s="84"/>
      <c r="CN234" s="71">
        <f t="shared" ref="CN234" si="890">SUM(CN232:CN233)</f>
        <v>0</v>
      </c>
      <c r="CO234" s="49"/>
      <c r="CP234" s="49"/>
    </row>
    <row r="235" spans="1:94">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5</v>
      </c>
      <c r="G236" s="407">
        <f ca="1">VLOOKUP(H236,Equipos!$Q$1:$R$25,2,0)</f>
        <v>23</v>
      </c>
      <c r="H236" s="65" t="str">
        <f>Idiomas!$D$263</f>
        <v>Semifinales</v>
      </c>
      <c r="I236" s="50"/>
      <c r="J236" s="846" t="s">
        <v>493</v>
      </c>
      <c r="K236" s="53" t="str">
        <f>Idiomas!D202&amp;"-"&amp;ROWS($L$236:L236)</f>
        <v>3º y 4º puesto-1</v>
      </c>
      <c r="L236" s="53"/>
      <c r="M236" s="55" t="str">
        <f>WORLDCUP!AA143</f>
        <v>L101</v>
      </c>
      <c r="N236" s="25"/>
      <c r="O236" s="25"/>
      <c r="P236" s="25"/>
      <c r="Q236" s="25"/>
      <c r="R236" s="17"/>
      <c r="S236" s="76" t="s">
        <v>1321</v>
      </c>
      <c r="T236" s="77">
        <f>COUNTIF($M$236:$M$237,S236)*$D$31</f>
        <v>0</v>
      </c>
      <c r="U236" s="110"/>
      <c r="V236" s="76" t="s">
        <v>1318</v>
      </c>
      <c r="W236" s="77">
        <f t="shared" ref="W236" si="891">COUNTIF($M$236:$M$237,V236)*$D$31</f>
        <v>0</v>
      </c>
      <c r="X236" s="110"/>
      <c r="Y236" s="76" t="s">
        <v>1263</v>
      </c>
      <c r="Z236" s="77">
        <f t="shared" ref="Z236" si="892">COUNTIF($M$236:$M$237,Y236)*$D$31</f>
        <v>0</v>
      </c>
      <c r="AA236" s="110"/>
      <c r="AB236" s="76" t="s">
        <v>135</v>
      </c>
      <c r="AC236" s="77">
        <f t="shared" ref="AC236" si="893">COUNTIF($M$236:$M$237,AB236)*$D$31</f>
        <v>0</v>
      </c>
      <c r="AD236" s="110"/>
      <c r="AE236" s="76" t="s">
        <v>1835</v>
      </c>
      <c r="AF236" s="77">
        <f t="shared" ref="AF236" si="894">COUNTIF($M$236:$M$237,AE236)*$D$31</f>
        <v>0</v>
      </c>
      <c r="AG236" s="110"/>
      <c r="AH236" s="76" t="s">
        <v>74</v>
      </c>
      <c r="AI236" s="77">
        <f t="shared" ref="AI236" si="895">COUNTIF($M$236:$M$237,AH236)*$D$31</f>
        <v>0</v>
      </c>
      <c r="AJ236" s="110"/>
      <c r="AK236" s="76" t="s">
        <v>74</v>
      </c>
      <c r="AL236" s="77">
        <f t="shared" ref="AL236" si="896">COUNTIF($M$236:$M$237,AK236)*$D$31</f>
        <v>0</v>
      </c>
      <c r="AM236" s="110"/>
      <c r="AN236" s="76" t="s">
        <v>74</v>
      </c>
      <c r="AO236" s="77">
        <f t="shared" ref="AO236" si="897">COUNTIF($M$236:$M$237,AN236)*$D$31</f>
        <v>0</v>
      </c>
      <c r="AP236" s="110"/>
      <c r="AQ236" s="76" t="s">
        <v>74</v>
      </c>
      <c r="AR236" s="77">
        <f t="shared" ref="AR236" si="898">COUNTIF($M$236:$M$237,AQ236)*$D$31</f>
        <v>0</v>
      </c>
      <c r="AS236" s="110"/>
      <c r="AT236" s="76" t="s">
        <v>74</v>
      </c>
      <c r="AU236" s="77">
        <f t="shared" ref="AU236" si="899">COUNTIF($M$236:$M$237,AT236)*$D$31</f>
        <v>0</v>
      </c>
      <c r="AV236" s="110"/>
      <c r="AW236" s="76" t="s">
        <v>111</v>
      </c>
      <c r="AX236" s="77">
        <f t="shared" ref="AX236" si="900">COUNTIF($M$236:$M$237,AW236)*$D$31</f>
        <v>0</v>
      </c>
      <c r="AY236" s="110"/>
      <c r="AZ236" s="76" t="s">
        <v>38</v>
      </c>
      <c r="BA236" s="77">
        <f t="shared" ref="BA236" si="901">COUNTIF($M$236:$M$237,AZ236)*$D$31</f>
        <v>0</v>
      </c>
      <c r="BB236" s="110"/>
      <c r="BC236" s="76" t="s">
        <v>78</v>
      </c>
      <c r="BD236" s="77">
        <f t="shared" ref="BD236" si="902">COUNTIF($M$236:$M$237,BC236)*$D$31</f>
        <v>0</v>
      </c>
      <c r="BE236" s="110"/>
      <c r="BF236" s="76" t="s">
        <v>38</v>
      </c>
      <c r="BG236" s="77">
        <f t="shared" ref="BG236" si="903">COUNTIF($M$236:$M$237,BF236)*$D$31</f>
        <v>0</v>
      </c>
      <c r="BH236" s="110"/>
      <c r="BI236" s="76" t="s">
        <v>38</v>
      </c>
      <c r="BJ236" s="77">
        <f t="shared" ref="BJ236" si="904">COUNTIF($M$236:$M$237,BI236)*$D$31</f>
        <v>0</v>
      </c>
      <c r="BK236" s="110"/>
      <c r="BL236" s="76" t="s">
        <v>1321</v>
      </c>
      <c r="BM236" s="77">
        <f t="shared" ref="BM236" si="905">COUNTIF($M$236:$M$237,BL236)*$D$31</f>
        <v>0</v>
      </c>
      <c r="BN236" s="110"/>
      <c r="BO236" s="76" t="s">
        <v>38</v>
      </c>
      <c r="BP236" s="77">
        <f t="shared" ref="BP236" si="906">COUNTIF($M$236:$M$237,BO236)*$D$31</f>
        <v>0</v>
      </c>
      <c r="BQ236" s="110"/>
      <c r="BR236" s="76" t="s">
        <v>74</v>
      </c>
      <c r="BS236" s="77">
        <f t="shared" ref="BS236" si="907">COUNTIF($M$236:$M$237,BR236)*$D$31</f>
        <v>0</v>
      </c>
      <c r="BT236" s="110"/>
      <c r="BU236" s="76" t="s">
        <v>74</v>
      </c>
      <c r="BV236" s="77">
        <f t="shared" ref="BV236" si="908">COUNTIF($M$236:$M$237,BU236)*$D$31</f>
        <v>0</v>
      </c>
      <c r="BW236" s="110"/>
      <c r="BX236" s="76" t="s">
        <v>38</v>
      </c>
      <c r="BY236" s="77">
        <f t="shared" ref="BY236" si="909">COUNTIF($M$236:$M$237,BX236)*$D$31</f>
        <v>0</v>
      </c>
      <c r="BZ236" s="110"/>
      <c r="CA236" s="76" t="s">
        <v>38</v>
      </c>
      <c r="CB236" s="77">
        <f t="shared" ref="CB236" si="910">COUNTIF($M$236:$M$237,CA236)*$D$31</f>
        <v>0</v>
      </c>
      <c r="CC236" s="110"/>
      <c r="CD236" s="76" t="s">
        <v>38</v>
      </c>
      <c r="CE236" s="77">
        <f t="shared" ref="CE236" si="911">COUNTIF($M$236:$M$237,CD236)*$D$31</f>
        <v>0</v>
      </c>
      <c r="CF236" s="110"/>
      <c r="CG236" s="76" t="s">
        <v>74</v>
      </c>
      <c r="CH236" s="77">
        <f t="shared" ref="CH236" si="912">COUNTIF($M$236:$M$237,CG236)*$D$31</f>
        <v>0</v>
      </c>
      <c r="CI236" s="110"/>
      <c r="CJ236" s="76" t="s">
        <v>38</v>
      </c>
      <c r="CK236" s="77">
        <f t="shared" ref="CK236" si="913">COUNTIF($M$236:$M$237,CJ236)*$D$31</f>
        <v>0</v>
      </c>
      <c r="CL236" s="110"/>
      <c r="CM236" s="76" t="s">
        <v>38</v>
      </c>
      <c r="CN236" s="77">
        <f t="shared" ref="CN236" si="914">COUNTIF($M$236:$M$237,CM236)*$D$31</f>
        <v>0</v>
      </c>
      <c r="CO236" s="110"/>
      <c r="CP236" s="110"/>
    </row>
    <row r="237" spans="1:94">
      <c r="A237" s="25"/>
      <c r="B237" s="25"/>
      <c r="C237" s="25"/>
      <c r="D237" s="25"/>
      <c r="E237" s="25"/>
      <c r="F237" s="407">
        <f>$D$31</f>
        <v>5</v>
      </c>
      <c r="G237" s="407">
        <f ca="1">VLOOKUP(H237,Equipos!$Q$1:$R$25,2,0)</f>
        <v>23</v>
      </c>
      <c r="H237" s="65" t="str">
        <f>Idiomas!$D$263</f>
        <v>Semifinales</v>
      </c>
      <c r="I237" s="50"/>
      <c r="J237" s="846"/>
      <c r="K237" s="115" t="str">
        <f>Idiomas!D203&amp;"-"&amp;ROWS($L$236:L237)</f>
        <v>Finalista-2</v>
      </c>
      <c r="L237" s="115"/>
      <c r="M237" s="116" t="str">
        <f>WORLDCUP!AF143</f>
        <v>L102</v>
      </c>
      <c r="N237" s="25"/>
      <c r="O237" s="25"/>
      <c r="P237" s="25"/>
      <c r="Q237" s="25"/>
      <c r="R237" s="17"/>
      <c r="S237" s="80" t="s">
        <v>76</v>
      </c>
      <c r="T237" s="81">
        <f>COUNTIF($M$236:$M$237,S237)*$D$31</f>
        <v>0</v>
      </c>
      <c r="U237" s="110"/>
      <c r="V237" s="80" t="s">
        <v>1256</v>
      </c>
      <c r="W237" s="81">
        <f t="shared" ref="W237" si="915">COUNTIF($M$236:$M$237,V237)*$D$31</f>
        <v>0</v>
      </c>
      <c r="X237" s="110"/>
      <c r="Y237" s="80" t="s">
        <v>76</v>
      </c>
      <c r="Z237" s="81">
        <f t="shared" ref="Z237" si="916">COUNTIF($M$236:$M$237,Y237)*$D$31</f>
        <v>0</v>
      </c>
      <c r="AA237" s="110"/>
      <c r="AB237" s="80" t="s">
        <v>79</v>
      </c>
      <c r="AC237" s="81">
        <f t="shared" ref="AC237" si="917">COUNTIF($M$236:$M$237,AB237)*$D$31</f>
        <v>0</v>
      </c>
      <c r="AD237" s="110"/>
      <c r="AE237" s="80" t="s">
        <v>1258</v>
      </c>
      <c r="AF237" s="81">
        <f t="shared" ref="AF237" si="918">COUNTIF($M$236:$M$237,AE237)*$D$31</f>
        <v>0</v>
      </c>
      <c r="AG237" s="110"/>
      <c r="AH237" s="80" t="s">
        <v>1258</v>
      </c>
      <c r="AI237" s="81">
        <f t="shared" ref="AI237" si="919">COUNTIF($M$236:$M$237,AH237)*$D$31</f>
        <v>0</v>
      </c>
      <c r="AJ237" s="110"/>
      <c r="AK237" s="80" t="s">
        <v>1258</v>
      </c>
      <c r="AL237" s="81">
        <f t="shared" ref="AL237" si="920">COUNTIF($M$236:$M$237,AK237)*$D$31</f>
        <v>0</v>
      </c>
      <c r="AM237" s="110"/>
      <c r="AN237" s="80" t="s">
        <v>1258</v>
      </c>
      <c r="AO237" s="81">
        <f t="shared" ref="AO237" si="921">COUNTIF($M$236:$M$237,AN237)*$D$31</f>
        <v>0</v>
      </c>
      <c r="AP237" s="110"/>
      <c r="AQ237" s="80" t="s">
        <v>76</v>
      </c>
      <c r="AR237" s="81">
        <f t="shared" ref="AR237" si="922">COUNTIF($M$236:$M$237,AQ237)*$D$31</f>
        <v>0</v>
      </c>
      <c r="AS237" s="110"/>
      <c r="AT237" s="80" t="s">
        <v>76</v>
      </c>
      <c r="AU237" s="81">
        <f t="shared" ref="AU237" si="923">COUNTIF($M$236:$M$237,AT237)*$D$31</f>
        <v>0</v>
      </c>
      <c r="AV237" s="110"/>
      <c r="AW237" s="80" t="s">
        <v>1256</v>
      </c>
      <c r="AX237" s="81">
        <f t="shared" ref="AX237" si="924">COUNTIF($M$236:$M$237,AW237)*$D$31</f>
        <v>0</v>
      </c>
      <c r="AY237" s="110"/>
      <c r="AZ237" s="80" t="s">
        <v>76</v>
      </c>
      <c r="BA237" s="81">
        <f t="shared" ref="BA237" si="925">COUNTIF($M$236:$M$237,AZ237)*$D$31</f>
        <v>0</v>
      </c>
      <c r="BB237" s="110"/>
      <c r="BC237" s="80" t="s">
        <v>1258</v>
      </c>
      <c r="BD237" s="81">
        <f t="shared" ref="BD237" si="926">COUNTIF($M$236:$M$237,BC237)*$D$31</f>
        <v>0</v>
      </c>
      <c r="BE237" s="110"/>
      <c r="BF237" s="80" t="s">
        <v>135</v>
      </c>
      <c r="BG237" s="81">
        <f t="shared" ref="BG237" si="927">COUNTIF($M$236:$M$237,BF237)*$D$31</f>
        <v>0</v>
      </c>
      <c r="BH237" s="110"/>
      <c r="BI237" s="80" t="s">
        <v>1256</v>
      </c>
      <c r="BJ237" s="81">
        <f t="shared" ref="BJ237" si="928">COUNTIF($M$236:$M$237,BI237)*$D$31</f>
        <v>0</v>
      </c>
      <c r="BK237" s="110"/>
      <c r="BL237" s="80" t="s">
        <v>1258</v>
      </c>
      <c r="BM237" s="81">
        <f t="shared" ref="BM237" si="929">COUNTIF($M$236:$M$237,BL237)*$D$31</f>
        <v>0</v>
      </c>
      <c r="BN237" s="110"/>
      <c r="BO237" s="80" t="s">
        <v>76</v>
      </c>
      <c r="BP237" s="81">
        <f t="shared" ref="BP237" si="930">COUNTIF($M$236:$M$237,BO237)*$D$31</f>
        <v>0</v>
      </c>
      <c r="BQ237" s="110"/>
      <c r="BR237" s="80" t="s">
        <v>1258</v>
      </c>
      <c r="BS237" s="81">
        <f t="shared" ref="BS237" si="931">COUNTIF($M$236:$M$237,BR237)*$D$31</f>
        <v>0</v>
      </c>
      <c r="BT237" s="110"/>
      <c r="BU237" s="80" t="s">
        <v>1258</v>
      </c>
      <c r="BV237" s="81">
        <f t="shared" ref="BV237" si="932">COUNTIF($M$236:$M$237,BU237)*$D$31</f>
        <v>0</v>
      </c>
      <c r="BW237" s="110"/>
      <c r="BX237" s="80" t="s">
        <v>1258</v>
      </c>
      <c r="BY237" s="81">
        <f t="shared" ref="BY237" si="933">COUNTIF($M$236:$M$237,BX237)*$D$31</f>
        <v>0</v>
      </c>
      <c r="BZ237" s="110"/>
      <c r="CA237" s="80" t="s">
        <v>1320</v>
      </c>
      <c r="CB237" s="81">
        <f t="shared" ref="CB237" si="934">COUNTIF($M$236:$M$237,CA237)*$D$31</f>
        <v>0</v>
      </c>
      <c r="CC237" s="110"/>
      <c r="CD237" s="80" t="s">
        <v>76</v>
      </c>
      <c r="CE237" s="81">
        <f t="shared" ref="CE237" si="935">COUNTIF($M$236:$M$237,CD237)*$D$31</f>
        <v>0</v>
      </c>
      <c r="CF237" s="110"/>
      <c r="CG237" s="80" t="s">
        <v>76</v>
      </c>
      <c r="CH237" s="81">
        <f t="shared" ref="CH237" si="936">COUNTIF($M$236:$M$237,CG237)*$D$31</f>
        <v>0</v>
      </c>
      <c r="CI237" s="110"/>
      <c r="CJ237" s="80" t="s">
        <v>1258</v>
      </c>
      <c r="CK237" s="81">
        <f t="shared" ref="CK237" si="937">COUNTIF($M$236:$M$237,CJ237)*$D$31</f>
        <v>0</v>
      </c>
      <c r="CL237" s="110"/>
      <c r="CM237" s="80" t="s">
        <v>1256</v>
      </c>
      <c r="CN237" s="81">
        <f t="shared" ref="CN237" si="938">COUNTIF($M$236:$M$237,CM237)*$D$31</f>
        <v>0</v>
      </c>
      <c r="CO237" s="110"/>
      <c r="CP237" s="110"/>
    </row>
    <row r="238" spans="1:94">
      <c r="A238" s="25"/>
      <c r="B238" s="25"/>
      <c r="C238" s="25"/>
      <c r="D238" s="25"/>
      <c r="E238" s="25"/>
      <c r="F238" s="407"/>
      <c r="G238" s="407"/>
      <c r="H238" s="65"/>
      <c r="I238" s="50"/>
      <c r="J238" s="94"/>
      <c r="K238" s="434" t="str">
        <f>Idiomas!D465</f>
        <v>Equipos 3-4</v>
      </c>
      <c r="L238" s="435"/>
      <c r="M238" s="434" t="str">
        <f>"Max: "&amp;$D$31*COUNT(T236:T237)</f>
        <v>Max: 10</v>
      </c>
      <c r="N238" s="25"/>
      <c r="O238" s="25"/>
      <c r="P238" s="25"/>
      <c r="Q238" s="25"/>
      <c r="R238" s="17"/>
      <c r="S238" s="84"/>
      <c r="T238" s="71">
        <f>SUM(T236:T237)</f>
        <v>0</v>
      </c>
      <c r="U238" s="49"/>
      <c r="V238" s="84"/>
      <c r="W238" s="71">
        <f t="shared" ref="W238" si="939">SUM(W236:W237)</f>
        <v>0</v>
      </c>
      <c r="X238" s="49"/>
      <c r="Y238" s="84"/>
      <c r="Z238" s="71">
        <f t="shared" ref="Z238" si="940">SUM(Z236:Z237)</f>
        <v>0</v>
      </c>
      <c r="AA238" s="49"/>
      <c r="AB238" s="84"/>
      <c r="AC238" s="71">
        <f t="shared" ref="AC238" si="941">SUM(AC236:AC237)</f>
        <v>0</v>
      </c>
      <c r="AD238" s="49"/>
      <c r="AE238" s="84"/>
      <c r="AF238" s="71">
        <f t="shared" ref="AF238" si="942">SUM(AF236:AF237)</f>
        <v>0</v>
      </c>
      <c r="AG238" s="49"/>
      <c r="AH238" s="84"/>
      <c r="AI238" s="71">
        <f t="shared" ref="AI238" si="943">SUM(AI236:AI237)</f>
        <v>0</v>
      </c>
      <c r="AJ238" s="49"/>
      <c r="AK238" s="84"/>
      <c r="AL238" s="71">
        <f t="shared" ref="AL238" si="944">SUM(AL236:AL237)</f>
        <v>0</v>
      </c>
      <c r="AM238" s="49"/>
      <c r="AN238" s="84"/>
      <c r="AO238" s="71">
        <f t="shared" ref="AO238" si="945">SUM(AO236:AO237)</f>
        <v>0</v>
      </c>
      <c r="AP238" s="49"/>
      <c r="AQ238" s="84"/>
      <c r="AR238" s="71">
        <f t="shared" ref="AR238" si="946">SUM(AR236:AR237)</f>
        <v>0</v>
      </c>
      <c r="AS238" s="49"/>
      <c r="AT238" s="84"/>
      <c r="AU238" s="71">
        <f t="shared" ref="AU238" si="947">SUM(AU236:AU237)</f>
        <v>0</v>
      </c>
      <c r="AV238" s="49"/>
      <c r="AW238" s="84"/>
      <c r="AX238" s="71">
        <f t="shared" ref="AX238" si="948">SUM(AX236:AX237)</f>
        <v>0</v>
      </c>
      <c r="AY238" s="49"/>
      <c r="AZ238" s="84"/>
      <c r="BA238" s="71">
        <f t="shared" ref="BA238" si="949">SUM(BA236:BA237)</f>
        <v>0</v>
      </c>
      <c r="BB238" s="49"/>
      <c r="BC238" s="84"/>
      <c r="BD238" s="71">
        <f t="shared" ref="BD238" si="950">SUM(BD236:BD237)</f>
        <v>0</v>
      </c>
      <c r="BE238" s="49"/>
      <c r="BF238" s="84"/>
      <c r="BG238" s="71">
        <f t="shared" ref="BG238" si="951">SUM(BG236:BG237)</f>
        <v>0</v>
      </c>
      <c r="BH238" s="49"/>
      <c r="BI238" s="84"/>
      <c r="BJ238" s="71">
        <f t="shared" ref="BJ238" si="952">SUM(BJ236:BJ237)</f>
        <v>0</v>
      </c>
      <c r="BK238" s="49"/>
      <c r="BL238" s="84"/>
      <c r="BM238" s="71">
        <f t="shared" ref="BM238" si="953">SUM(BM236:BM237)</f>
        <v>0</v>
      </c>
      <c r="BN238" s="49"/>
      <c r="BO238" s="84"/>
      <c r="BP238" s="71">
        <f t="shared" ref="BP238" si="954">SUM(BP236:BP237)</f>
        <v>0</v>
      </c>
      <c r="BQ238" s="49"/>
      <c r="BR238" s="84"/>
      <c r="BS238" s="71">
        <f t="shared" ref="BS238" si="955">SUM(BS236:BS237)</f>
        <v>0</v>
      </c>
      <c r="BT238" s="49"/>
      <c r="BU238" s="84"/>
      <c r="BV238" s="71">
        <f t="shared" ref="BV238" si="956">SUM(BV236:BV237)</f>
        <v>0</v>
      </c>
      <c r="BW238" s="49"/>
      <c r="BX238" s="84"/>
      <c r="BY238" s="71">
        <f t="shared" ref="BY238" si="957">SUM(BY236:BY237)</f>
        <v>0</v>
      </c>
      <c r="BZ238" s="49"/>
      <c r="CA238" s="84"/>
      <c r="CB238" s="71">
        <f t="shared" ref="CB238" si="958">SUM(CB236:CB237)</f>
        <v>0</v>
      </c>
      <c r="CC238" s="49"/>
      <c r="CD238" s="84"/>
      <c r="CE238" s="71">
        <f t="shared" ref="CE238" si="959">SUM(CE236:CE237)</f>
        <v>0</v>
      </c>
      <c r="CF238" s="49"/>
      <c r="CG238" s="84"/>
      <c r="CH238" s="71">
        <f t="shared" ref="CH238" si="960">SUM(CH236:CH237)</f>
        <v>0</v>
      </c>
      <c r="CI238" s="49"/>
      <c r="CJ238" s="84"/>
      <c r="CK238" s="71">
        <f t="shared" ref="CK238" si="961">SUM(CK236:CK237)</f>
        <v>0</v>
      </c>
      <c r="CL238" s="49"/>
      <c r="CM238" s="84"/>
      <c r="CN238" s="71">
        <f t="shared" ref="CN238" si="962">SUM(CN236:CN237)</f>
        <v>0</v>
      </c>
      <c r="CO238" s="49"/>
      <c r="CP238" s="49"/>
    </row>
    <row r="239" spans="1:94">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10</v>
      </c>
      <c r="G240" s="407">
        <f ca="1">VLOOKUP(H240,Equipos!$Q$1:$R$25,2,0)</f>
        <v>23</v>
      </c>
      <c r="H240" s="65" t="str">
        <f>Idiomas!$D$263</f>
        <v>Semifinales</v>
      </c>
      <c r="I240" s="50"/>
      <c r="J240" s="846" t="s">
        <v>4</v>
      </c>
      <c r="K240" s="53" t="str">
        <f>Idiomas!$D$203&amp;"-"&amp;ROWS($L$240:L240)</f>
        <v>Finalista-1</v>
      </c>
      <c r="L240" s="53"/>
      <c r="M240" s="55" t="str">
        <f>WORLDCUP!AA147</f>
        <v>W101</v>
      </c>
      <c r="N240" s="25"/>
      <c r="O240" s="25"/>
      <c r="P240" s="25"/>
      <c r="Q240" s="25"/>
      <c r="R240" s="17"/>
      <c r="S240" s="76" t="s">
        <v>38</v>
      </c>
      <c r="T240" s="77">
        <f>COUNTIF($M$240:$M$241,S240)*$D$32</f>
        <v>0</v>
      </c>
      <c r="U240" s="110"/>
      <c r="V240" s="76" t="s">
        <v>74</v>
      </c>
      <c r="W240" s="77">
        <f t="shared" ref="W240" si="963">COUNTIF($M$240:$M$241,V240)*$D$32</f>
        <v>0</v>
      </c>
      <c r="X240" s="110"/>
      <c r="Y240" s="76" t="s">
        <v>38</v>
      </c>
      <c r="Z240" s="77">
        <f t="shared" ref="Z240" si="964">COUNTIF($M$240:$M$241,Y240)*$D$32</f>
        <v>0</v>
      </c>
      <c r="AA240" s="110"/>
      <c r="AB240" s="76" t="s">
        <v>38</v>
      </c>
      <c r="AC240" s="77">
        <f t="shared" ref="AC240" si="965">COUNTIF($M$240:$M$241,AB240)*$D$32</f>
        <v>0</v>
      </c>
      <c r="AD240" s="110"/>
      <c r="AE240" s="76" t="s">
        <v>74</v>
      </c>
      <c r="AF240" s="77">
        <f t="shared" ref="AF240" si="966">COUNTIF($M$240:$M$241,AE240)*$D$32</f>
        <v>0</v>
      </c>
      <c r="AG240" s="110"/>
      <c r="AH240" s="76" t="s">
        <v>38</v>
      </c>
      <c r="AI240" s="77">
        <f t="shared" ref="AI240" si="967">COUNTIF($M$240:$M$241,AH240)*$D$32</f>
        <v>0</v>
      </c>
      <c r="AJ240" s="110"/>
      <c r="AK240" s="76" t="s">
        <v>38</v>
      </c>
      <c r="AL240" s="77">
        <f t="shared" ref="AL240" si="968">COUNTIF($M$240:$M$241,AK240)*$D$32</f>
        <v>0</v>
      </c>
      <c r="AM240" s="110"/>
      <c r="AN240" s="76" t="s">
        <v>38</v>
      </c>
      <c r="AO240" s="77">
        <f t="shared" ref="AO240" si="969">COUNTIF($M$240:$M$241,AN240)*$D$32</f>
        <v>0</v>
      </c>
      <c r="AP240" s="110"/>
      <c r="AQ240" s="76" t="s">
        <v>38</v>
      </c>
      <c r="AR240" s="77">
        <f t="shared" ref="AR240" si="970">COUNTIF($M$240:$M$241,AQ240)*$D$32</f>
        <v>0</v>
      </c>
      <c r="AS240" s="110"/>
      <c r="AT240" s="76" t="s">
        <v>38</v>
      </c>
      <c r="AU240" s="77">
        <f t="shared" ref="AU240" si="971">COUNTIF($M$240:$M$241,AT240)*$D$32</f>
        <v>0</v>
      </c>
      <c r="AV240" s="110"/>
      <c r="AW240" s="76" t="s">
        <v>38</v>
      </c>
      <c r="AX240" s="77">
        <f t="shared" ref="AX240" si="972">COUNTIF($M$240:$M$241,AW240)*$D$32</f>
        <v>0</v>
      </c>
      <c r="AY240" s="110"/>
      <c r="AZ240" s="76" t="s">
        <v>74</v>
      </c>
      <c r="BA240" s="77">
        <f t="shared" ref="BA240" si="973">COUNTIF($M$240:$M$241,AZ240)*$D$32</f>
        <v>0</v>
      </c>
      <c r="BB240" s="110"/>
      <c r="BC240" s="76" t="s">
        <v>74</v>
      </c>
      <c r="BD240" s="77">
        <f t="shared" ref="BD240" si="974">COUNTIF($M$240:$M$241,BC240)*$D$32</f>
        <v>0</v>
      </c>
      <c r="BE240" s="110"/>
      <c r="BF240" s="76" t="s">
        <v>1258</v>
      </c>
      <c r="BG240" s="77">
        <f t="shared" ref="BG240" si="975">COUNTIF($M$240:$M$241,BF240)*$D$32</f>
        <v>0</v>
      </c>
      <c r="BH240" s="110"/>
      <c r="BI240" s="76" t="s">
        <v>74</v>
      </c>
      <c r="BJ240" s="77">
        <f t="shared" ref="BJ240" si="976">COUNTIF($M$240:$M$241,BI240)*$D$32</f>
        <v>0</v>
      </c>
      <c r="BK240" s="110"/>
      <c r="BL240" s="76" t="s">
        <v>38</v>
      </c>
      <c r="BM240" s="77">
        <f t="shared" ref="BM240" si="977">COUNTIF($M$240:$M$241,BL240)*$D$32</f>
        <v>0</v>
      </c>
      <c r="BN240" s="110"/>
      <c r="BO240" s="76" t="s">
        <v>74</v>
      </c>
      <c r="BP240" s="77">
        <f t="shared" ref="BP240" si="978">COUNTIF($M$240:$M$241,BO240)*$D$32</f>
        <v>0</v>
      </c>
      <c r="BQ240" s="110"/>
      <c r="BR240" s="76" t="s">
        <v>38</v>
      </c>
      <c r="BS240" s="77">
        <f t="shared" ref="BS240" si="979">COUNTIF($M$240:$M$241,BR240)*$D$32</f>
        <v>0</v>
      </c>
      <c r="BT240" s="110"/>
      <c r="BU240" s="76" t="s">
        <v>38</v>
      </c>
      <c r="BV240" s="77">
        <f t="shared" ref="BV240" si="980">COUNTIF($M$240:$M$241,BU240)*$D$32</f>
        <v>0</v>
      </c>
      <c r="BW240" s="110"/>
      <c r="BX240" s="76" t="s">
        <v>74</v>
      </c>
      <c r="BY240" s="77">
        <f t="shared" ref="BY240" si="981">COUNTIF($M$240:$M$241,BX240)*$D$32</f>
        <v>0</v>
      </c>
      <c r="BZ240" s="110"/>
      <c r="CA240" s="76" t="s">
        <v>77</v>
      </c>
      <c r="CB240" s="77">
        <f t="shared" ref="CB240" si="982">COUNTIF($M$240:$M$241,CA240)*$D$32</f>
        <v>0</v>
      </c>
      <c r="CC240" s="110"/>
      <c r="CD240" s="76" t="s">
        <v>74</v>
      </c>
      <c r="CE240" s="77">
        <f t="shared" ref="CE240" si="983">COUNTIF($M$240:$M$241,CD240)*$D$32</f>
        <v>0</v>
      </c>
      <c r="CF240" s="110"/>
      <c r="CG240" s="76" t="s">
        <v>38</v>
      </c>
      <c r="CH240" s="77">
        <f t="shared" ref="CH240" si="984">COUNTIF($M$240:$M$241,CG240)*$D$32</f>
        <v>0</v>
      </c>
      <c r="CI240" s="110"/>
      <c r="CJ240" s="76" t="s">
        <v>111</v>
      </c>
      <c r="CK240" s="77">
        <f t="shared" ref="CK240" si="985">COUNTIF($M$240:$M$241,CJ240)*$D$32</f>
        <v>0</v>
      </c>
      <c r="CL240" s="110"/>
      <c r="CM240" s="76" t="s">
        <v>74</v>
      </c>
      <c r="CN240" s="77">
        <f t="shared" ref="CN240" si="986">COUNTIF($M$240:$M$241,CM240)*$D$32</f>
        <v>0</v>
      </c>
      <c r="CO240" s="110"/>
      <c r="CP240" s="110"/>
    </row>
    <row r="241" spans="1:94">
      <c r="A241" s="25"/>
      <c r="B241" s="25"/>
      <c r="C241" s="25"/>
      <c r="D241" s="25"/>
      <c r="E241" s="25"/>
      <c r="F241" s="407">
        <f>$D$32</f>
        <v>10</v>
      </c>
      <c r="G241" s="407">
        <f ca="1">VLOOKUP(H241,Equipos!$Q$1:$R$25,2,0)</f>
        <v>23</v>
      </c>
      <c r="H241" s="65" t="str">
        <f>Idiomas!$D$263</f>
        <v>Semifinales</v>
      </c>
      <c r="I241" s="50"/>
      <c r="J241" s="846"/>
      <c r="K241" s="115" t="str">
        <f>Idiomas!$D$203&amp;"-"&amp;ROWS($L$240:L241)</f>
        <v>Finalista-2</v>
      </c>
      <c r="L241" s="115"/>
      <c r="M241" s="116" t="str">
        <f>WORLDCUP!AF147</f>
        <v>W102</v>
      </c>
      <c r="N241" s="25"/>
      <c r="O241" s="25"/>
      <c r="P241" s="25"/>
      <c r="Q241" s="25"/>
      <c r="R241" s="17"/>
      <c r="S241" s="80" t="s">
        <v>79</v>
      </c>
      <c r="T241" s="81">
        <f>COUNTIF($M$240:$M$241,S241)*$D$32</f>
        <v>0</v>
      </c>
      <c r="U241" s="110"/>
      <c r="V241" s="80" t="s">
        <v>1258</v>
      </c>
      <c r="W241" s="81">
        <f t="shared" ref="W241" si="987">COUNTIF($M$240:$M$241,V241)*$D$32</f>
        <v>0</v>
      </c>
      <c r="X241" s="110"/>
      <c r="Y241" s="80" t="s">
        <v>79</v>
      </c>
      <c r="Z241" s="81">
        <f t="shared" ref="Z241" si="988">COUNTIF($M$240:$M$241,Y241)*$D$32</f>
        <v>0</v>
      </c>
      <c r="AA241" s="110"/>
      <c r="AB241" s="80" t="s">
        <v>74</v>
      </c>
      <c r="AC241" s="81">
        <f t="shared" ref="AC241" si="989">COUNTIF($M$240:$M$241,AB241)*$D$32</f>
        <v>0</v>
      </c>
      <c r="AD241" s="110"/>
      <c r="AE241" s="80" t="s">
        <v>79</v>
      </c>
      <c r="AF241" s="81">
        <f t="shared" ref="AF241" si="990">COUNTIF($M$240:$M$241,AE241)*$D$32</f>
        <v>0</v>
      </c>
      <c r="AG241" s="110"/>
      <c r="AH241" s="80" t="s">
        <v>79</v>
      </c>
      <c r="AI241" s="81">
        <f t="shared" ref="AI241" si="991">COUNTIF($M$240:$M$241,AH241)*$D$32</f>
        <v>0</v>
      </c>
      <c r="AJ241" s="110"/>
      <c r="AK241" s="80" t="s">
        <v>1256</v>
      </c>
      <c r="AL241" s="81">
        <f t="shared" ref="AL241" si="992">COUNTIF($M$240:$M$241,AK241)*$D$32</f>
        <v>0</v>
      </c>
      <c r="AM241" s="110"/>
      <c r="AN241" s="80" t="s">
        <v>79</v>
      </c>
      <c r="AO241" s="81">
        <f t="shared" ref="AO241" si="993">COUNTIF($M$240:$M$241,AN241)*$D$32</f>
        <v>0</v>
      </c>
      <c r="AP241" s="110"/>
      <c r="AQ241" s="80" t="s">
        <v>1256</v>
      </c>
      <c r="AR241" s="81">
        <f t="shared" ref="AR241" si="994">COUNTIF($M$240:$M$241,AQ241)*$D$32</f>
        <v>0</v>
      </c>
      <c r="AS241" s="110"/>
      <c r="AT241" s="80" t="s">
        <v>1256</v>
      </c>
      <c r="AU241" s="81">
        <f t="shared" ref="AU241" si="995">COUNTIF($M$240:$M$241,AT241)*$D$32</f>
        <v>0</v>
      </c>
      <c r="AV241" s="110"/>
      <c r="AW241" s="80" t="s">
        <v>74</v>
      </c>
      <c r="AX241" s="81">
        <f t="shared" ref="AX241" si="996">COUNTIF($M$240:$M$241,AW241)*$D$32</f>
        <v>0</v>
      </c>
      <c r="AY241" s="110"/>
      <c r="AZ241" s="80" t="s">
        <v>79</v>
      </c>
      <c r="BA241" s="81">
        <f t="shared" ref="BA241" si="997">COUNTIF($M$240:$M$241,AZ241)*$D$32</f>
        <v>0</v>
      </c>
      <c r="BB241" s="110"/>
      <c r="BC241" s="80" t="s">
        <v>79</v>
      </c>
      <c r="BD241" s="81">
        <f t="shared" ref="BD241" si="998">COUNTIF($M$240:$M$241,BC241)*$D$32</f>
        <v>0</v>
      </c>
      <c r="BE241" s="110"/>
      <c r="BF241" s="80" t="s">
        <v>79</v>
      </c>
      <c r="BG241" s="81">
        <f t="shared" ref="BG241" si="999">COUNTIF($M$240:$M$241,BF241)*$D$32</f>
        <v>0</v>
      </c>
      <c r="BH241" s="110"/>
      <c r="BI241" s="80" t="s">
        <v>1258</v>
      </c>
      <c r="BJ241" s="81">
        <f t="shared" ref="BJ241" si="1000">COUNTIF($M$240:$M$241,BI241)*$D$32</f>
        <v>0</v>
      </c>
      <c r="BK241" s="110"/>
      <c r="BL241" s="80" t="s">
        <v>79</v>
      </c>
      <c r="BM241" s="81">
        <f t="shared" ref="BM241" si="1001">COUNTIF($M$240:$M$241,BL241)*$D$32</f>
        <v>0</v>
      </c>
      <c r="BN241" s="110"/>
      <c r="BO241" s="80" t="s">
        <v>79</v>
      </c>
      <c r="BP241" s="81">
        <f t="shared" ref="BP241" si="1002">COUNTIF($M$240:$M$241,BO241)*$D$32</f>
        <v>0</v>
      </c>
      <c r="BQ241" s="110"/>
      <c r="BR241" s="80" t="s">
        <v>79</v>
      </c>
      <c r="BS241" s="81">
        <f t="shared" ref="BS241" si="1003">COUNTIF($M$240:$M$241,BR241)*$D$32</f>
        <v>0</v>
      </c>
      <c r="BT241" s="110"/>
      <c r="BU241" s="80" t="s">
        <v>79</v>
      </c>
      <c r="BV241" s="81">
        <f t="shared" ref="BV241" si="1004">COUNTIF($M$240:$M$241,BU241)*$D$32</f>
        <v>0</v>
      </c>
      <c r="BW241" s="110"/>
      <c r="BX241" s="80" t="s">
        <v>79</v>
      </c>
      <c r="BY241" s="81">
        <f t="shared" ref="BY241" si="1005">COUNTIF($M$240:$M$241,BX241)*$D$32</f>
        <v>0</v>
      </c>
      <c r="BZ241" s="110"/>
      <c r="CA241" s="80" t="s">
        <v>76</v>
      </c>
      <c r="CB241" s="81">
        <f t="shared" ref="CB241" si="1006">COUNTIF($M$240:$M$241,CA241)*$D$32</f>
        <v>0</v>
      </c>
      <c r="CC241" s="110"/>
      <c r="CD241" s="80" t="s">
        <v>79</v>
      </c>
      <c r="CE241" s="81">
        <f t="shared" ref="CE241" si="1007">COUNTIF($M$240:$M$241,CD241)*$D$32</f>
        <v>0</v>
      </c>
      <c r="CF241" s="110"/>
      <c r="CG241" s="80" t="s">
        <v>1256</v>
      </c>
      <c r="CH241" s="81">
        <f t="shared" ref="CH241" si="1008">COUNTIF($M$240:$M$241,CG241)*$D$32</f>
        <v>0</v>
      </c>
      <c r="CI241" s="110"/>
      <c r="CJ241" s="80" t="s">
        <v>1256</v>
      </c>
      <c r="CK241" s="81">
        <f t="shared" ref="CK241" si="1009">COUNTIF($M$240:$M$241,CJ241)*$D$32</f>
        <v>0</v>
      </c>
      <c r="CL241" s="110"/>
      <c r="CM241" s="80" t="s">
        <v>1258</v>
      </c>
      <c r="CN241" s="81">
        <f t="shared" ref="CN241" si="1010">COUNTIF($M$240:$M$241,CM241)*$D$32</f>
        <v>0</v>
      </c>
      <c r="CO241" s="110"/>
      <c r="CP241" s="110"/>
    </row>
    <row r="242" spans="1:94">
      <c r="A242" s="25"/>
      <c r="B242" s="25"/>
      <c r="C242" s="25"/>
      <c r="D242" s="25"/>
      <c r="E242" s="25"/>
      <c r="F242" s="407"/>
      <c r="G242" s="407"/>
      <c r="H242" s="65"/>
      <c r="I242" s="50"/>
      <c r="J242" s="94"/>
      <c r="K242" s="434" t="str">
        <f>Idiomas!D466</f>
        <v>Equipos Final</v>
      </c>
      <c r="L242" s="435"/>
      <c r="M242" s="434" t="str">
        <f>"Max: "&amp;$D$32*COUNT(T240:T241)</f>
        <v>Max: 20</v>
      </c>
      <c r="N242" s="25"/>
      <c r="O242" s="25"/>
      <c r="P242" s="25"/>
      <c r="Q242" s="25"/>
      <c r="R242" s="17"/>
      <c r="S242" s="84"/>
      <c r="T242" s="71">
        <f>SUM(T240:T241)</f>
        <v>0</v>
      </c>
      <c r="U242" s="49"/>
      <c r="V242" s="84"/>
      <c r="W242" s="71">
        <f t="shared" ref="W242" si="1011">SUM(W240:W241)</f>
        <v>0</v>
      </c>
      <c r="X242" s="49"/>
      <c r="Y242" s="84"/>
      <c r="Z242" s="71">
        <f t="shared" ref="Z242" si="1012">SUM(Z240:Z241)</f>
        <v>0</v>
      </c>
      <c r="AA242" s="49"/>
      <c r="AB242" s="84"/>
      <c r="AC242" s="71">
        <f t="shared" ref="AC242" si="1013">SUM(AC240:AC241)</f>
        <v>0</v>
      </c>
      <c r="AD242" s="49"/>
      <c r="AE242" s="84"/>
      <c r="AF242" s="71">
        <f t="shared" ref="AF242" si="1014">SUM(AF240:AF241)</f>
        <v>0</v>
      </c>
      <c r="AG242" s="49"/>
      <c r="AH242" s="84"/>
      <c r="AI242" s="71">
        <f t="shared" ref="AI242" si="1015">SUM(AI240:AI241)</f>
        <v>0</v>
      </c>
      <c r="AJ242" s="49"/>
      <c r="AK242" s="84"/>
      <c r="AL242" s="71">
        <f t="shared" ref="AL242" si="1016">SUM(AL240:AL241)</f>
        <v>0</v>
      </c>
      <c r="AM242" s="49"/>
      <c r="AN242" s="84"/>
      <c r="AO242" s="71">
        <f t="shared" ref="AO242" si="1017">SUM(AO240:AO241)</f>
        <v>0</v>
      </c>
      <c r="AP242" s="49"/>
      <c r="AQ242" s="84"/>
      <c r="AR242" s="71">
        <f t="shared" ref="AR242" si="1018">SUM(AR240:AR241)</f>
        <v>0</v>
      </c>
      <c r="AS242" s="49"/>
      <c r="AT242" s="84"/>
      <c r="AU242" s="71">
        <f t="shared" ref="AU242" si="1019">SUM(AU240:AU241)</f>
        <v>0</v>
      </c>
      <c r="AV242" s="49"/>
      <c r="AW242" s="84"/>
      <c r="AX242" s="71">
        <f t="shared" ref="AX242" si="1020">SUM(AX240:AX241)</f>
        <v>0</v>
      </c>
      <c r="AY242" s="49"/>
      <c r="AZ242" s="84"/>
      <c r="BA242" s="71">
        <f t="shared" ref="BA242" si="1021">SUM(BA240:BA241)</f>
        <v>0</v>
      </c>
      <c r="BB242" s="49"/>
      <c r="BC242" s="84"/>
      <c r="BD242" s="71">
        <f t="shared" ref="BD242" si="1022">SUM(BD240:BD241)</f>
        <v>0</v>
      </c>
      <c r="BE242" s="49"/>
      <c r="BF242" s="84"/>
      <c r="BG242" s="71">
        <f t="shared" ref="BG242" si="1023">SUM(BG240:BG241)</f>
        <v>0</v>
      </c>
      <c r="BH242" s="49"/>
      <c r="BI242" s="84"/>
      <c r="BJ242" s="71">
        <f t="shared" ref="BJ242" si="1024">SUM(BJ240:BJ241)</f>
        <v>0</v>
      </c>
      <c r="BK242" s="49"/>
      <c r="BL242" s="84"/>
      <c r="BM242" s="71">
        <f t="shared" ref="BM242" si="1025">SUM(BM240:BM241)</f>
        <v>0</v>
      </c>
      <c r="BN242" s="49"/>
      <c r="BO242" s="84"/>
      <c r="BP242" s="71">
        <f t="shared" ref="BP242" si="1026">SUM(BP240:BP241)</f>
        <v>0</v>
      </c>
      <c r="BQ242" s="49"/>
      <c r="BR242" s="84"/>
      <c r="BS242" s="71">
        <f t="shared" ref="BS242" si="1027">SUM(BS240:BS241)</f>
        <v>0</v>
      </c>
      <c r="BT242" s="49"/>
      <c r="BU242" s="84"/>
      <c r="BV242" s="71">
        <f t="shared" ref="BV242" si="1028">SUM(BV240:BV241)</f>
        <v>0</v>
      </c>
      <c r="BW242" s="49"/>
      <c r="BX242" s="84"/>
      <c r="BY242" s="71">
        <f t="shared" ref="BY242" si="1029">SUM(BY240:BY241)</f>
        <v>0</v>
      </c>
      <c r="BZ242" s="49"/>
      <c r="CA242" s="84"/>
      <c r="CB242" s="71">
        <f t="shared" ref="CB242" si="1030">SUM(CB240:CB241)</f>
        <v>0</v>
      </c>
      <c r="CC242" s="49"/>
      <c r="CD242" s="84"/>
      <c r="CE242" s="71">
        <f t="shared" ref="CE242" si="1031">SUM(CE240:CE241)</f>
        <v>0</v>
      </c>
      <c r="CF242" s="49"/>
      <c r="CG242" s="84"/>
      <c r="CH242" s="71">
        <f t="shared" ref="CH242" si="1032">SUM(CH240:CH241)</f>
        <v>0</v>
      </c>
      <c r="CI242" s="49"/>
      <c r="CJ242" s="84"/>
      <c r="CK242" s="71">
        <f t="shared" ref="CK242" si="1033">SUM(CK240:CK241)</f>
        <v>0</v>
      </c>
      <c r="CL242" s="49"/>
      <c r="CM242" s="84"/>
      <c r="CN242" s="71">
        <f t="shared" ref="CN242" si="1034">SUM(CN240:CN241)</f>
        <v>0</v>
      </c>
      <c r="CO242" s="49"/>
      <c r="CP242" s="49"/>
    </row>
    <row r="243" spans="1:94">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25">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18</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1985</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2029</v>
      </c>
      <c r="W244" s="85">
        <f t="shared" ref="W244" si="103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2063</v>
      </c>
      <c r="Z244" s="85">
        <f t="shared" ref="Z244" si="103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
        <v>2101</v>
      </c>
      <c r="AC244" s="85">
        <f t="shared" ref="AC244" si="103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
        <v>2134</v>
      </c>
      <c r="AF244" s="85">
        <f t="shared" ref="AF244" si="103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
        <v>2164</v>
      </c>
      <c r="AI244" s="85">
        <f t="shared" ref="AI244" si="1039">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
        <v>2187</v>
      </c>
      <c r="AL244" s="85">
        <f t="shared" ref="AL244" si="1040">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
        <v>2187</v>
      </c>
      <c r="AO244" s="85">
        <f t="shared" ref="AO244" si="1041">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
        <v>2232</v>
      </c>
      <c r="AR244" s="85">
        <f t="shared" ref="AR244" si="1042">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
        <v>2232</v>
      </c>
      <c r="AU244" s="85">
        <f t="shared" ref="AU244" si="1043">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
        <v>2273</v>
      </c>
      <c r="AX244" s="85">
        <f t="shared" ref="AX244" si="1044">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
        <v>2296</v>
      </c>
      <c r="BA244" s="85">
        <f t="shared" ref="BA244" si="1045">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
        <v>2325</v>
      </c>
      <c r="BD244" s="85">
        <f t="shared" ref="BD244" si="1046">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
        <v>2356</v>
      </c>
      <c r="BG244" s="85">
        <f t="shared" ref="BG244" si="1047">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
        <v>2188</v>
      </c>
      <c r="BJ244" s="85">
        <f t="shared" ref="BJ244" si="1048">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
        <v>2402</v>
      </c>
      <c r="BM244" s="85">
        <f t="shared" ref="BM244" si="1049">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
        <v>2565</v>
      </c>
      <c r="BP244" s="85">
        <f t="shared" ref="BP244" si="1050">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
        <v>2030</v>
      </c>
      <c r="BS244" s="85">
        <f t="shared" ref="BS244" si="1051">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
        <v>2436</v>
      </c>
      <c r="BV244" s="85">
        <f t="shared" ref="BV244" si="1052">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
        <v>2451</v>
      </c>
      <c r="BY244" s="85">
        <f t="shared" ref="BY244" si="1053">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
        <v>2485</v>
      </c>
      <c r="CB244" s="85">
        <f t="shared" ref="CB244" si="1054">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
        <v>2515</v>
      </c>
      <c r="CE244" s="85">
        <f t="shared" ref="CE244" si="1055">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
        <v>2232</v>
      </c>
      <c r="CH244" s="85">
        <f t="shared" ref="CH244" si="1056">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
        <v>2581</v>
      </c>
      <c r="CK244" s="85">
        <f t="shared" ref="CK244" si="1057">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
        <v>2596</v>
      </c>
      <c r="CN244" s="85">
        <f t="shared" ref="CN244" si="1058">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Partido 3-4</v>
      </c>
      <c r="L245" s="435"/>
      <c r="M245" s="434" t="str">
        <f>"Max: "&amp;SUM($D$33:$D$35)*$I$244</f>
        <v>Max: 18</v>
      </c>
      <c r="N245" s="25"/>
      <c r="O245" s="25"/>
      <c r="P245" s="25"/>
      <c r="Q245" s="25"/>
      <c r="R245" s="17"/>
      <c r="S245" s="84"/>
      <c r="T245" s="83">
        <f>T244</f>
        <v>0</v>
      </c>
      <c r="U245" s="110"/>
      <c r="V245" s="84"/>
      <c r="W245" s="83">
        <f t="shared" ref="W245" si="1059">W244</f>
        <v>0</v>
      </c>
      <c r="X245" s="110"/>
      <c r="Y245" s="84"/>
      <c r="Z245" s="83">
        <f t="shared" ref="Z245" si="1060">Z244</f>
        <v>0</v>
      </c>
      <c r="AA245" s="110"/>
      <c r="AB245" s="82"/>
      <c r="AC245" s="83">
        <f t="shared" ref="AC245" si="1061">AC244</f>
        <v>0</v>
      </c>
      <c r="AD245" s="110"/>
      <c r="AE245" s="84"/>
      <c r="AF245" s="83">
        <f t="shared" ref="AF245" si="1062">AF244</f>
        <v>0</v>
      </c>
      <c r="AG245" s="110"/>
      <c r="AH245" s="84"/>
      <c r="AI245" s="83">
        <f t="shared" ref="AI245" si="1063">AI244</f>
        <v>0</v>
      </c>
      <c r="AJ245" s="110"/>
      <c r="AK245" s="84"/>
      <c r="AL245" s="83">
        <f t="shared" ref="AL245" si="1064">AL244</f>
        <v>0</v>
      </c>
      <c r="AM245" s="110"/>
      <c r="AN245" s="84"/>
      <c r="AO245" s="83">
        <f t="shared" ref="AO245" si="1065">AO244</f>
        <v>0</v>
      </c>
      <c r="AP245" s="110"/>
      <c r="AQ245" s="84"/>
      <c r="AR245" s="83">
        <f t="shared" ref="AR245" si="1066">AR244</f>
        <v>0</v>
      </c>
      <c r="AS245" s="110"/>
      <c r="AT245" s="84"/>
      <c r="AU245" s="83">
        <f t="shared" ref="AU245" si="1067">AU244</f>
        <v>0</v>
      </c>
      <c r="AV245" s="110"/>
      <c r="AW245" s="84"/>
      <c r="AX245" s="83">
        <f t="shared" ref="AX245" si="1068">AX244</f>
        <v>0</v>
      </c>
      <c r="AY245" s="110"/>
      <c r="AZ245" s="84"/>
      <c r="BA245" s="83">
        <f t="shared" ref="BA245" si="1069">BA244</f>
        <v>0</v>
      </c>
      <c r="BB245" s="110"/>
      <c r="BC245" s="84"/>
      <c r="BD245" s="83">
        <f t="shared" ref="BD245" si="1070">BD244</f>
        <v>0</v>
      </c>
      <c r="BE245" s="110"/>
      <c r="BF245" s="84"/>
      <c r="BG245" s="83">
        <f t="shared" ref="BG245" si="1071">BG244</f>
        <v>0</v>
      </c>
      <c r="BH245" s="110"/>
      <c r="BI245" s="84"/>
      <c r="BJ245" s="83">
        <f t="shared" ref="BJ245" si="1072">BJ244</f>
        <v>0</v>
      </c>
      <c r="BK245" s="110"/>
      <c r="BL245" s="84"/>
      <c r="BM245" s="83">
        <f t="shared" ref="BM245" si="1073">BM244</f>
        <v>0</v>
      </c>
      <c r="BN245" s="110"/>
      <c r="BO245" s="84"/>
      <c r="BP245" s="83">
        <f t="shared" ref="BP245" si="1074">BP244</f>
        <v>0</v>
      </c>
      <c r="BQ245" s="110"/>
      <c r="BR245" s="84"/>
      <c r="BS245" s="83">
        <f t="shared" ref="BS245" si="1075">BS244</f>
        <v>0</v>
      </c>
      <c r="BT245" s="110"/>
      <c r="BU245" s="84"/>
      <c r="BV245" s="83">
        <f t="shared" ref="BV245" si="1076">BV244</f>
        <v>0</v>
      </c>
      <c r="BW245" s="110"/>
      <c r="BX245" s="84"/>
      <c r="BY245" s="83">
        <f t="shared" ref="BY245" si="1077">BY244</f>
        <v>0</v>
      </c>
      <c r="BZ245" s="110"/>
      <c r="CA245" s="84"/>
      <c r="CB245" s="83">
        <f t="shared" ref="CB245" si="1078">CB244</f>
        <v>0</v>
      </c>
      <c r="CC245" s="110"/>
      <c r="CD245" s="84"/>
      <c r="CE245" s="83">
        <f t="shared" ref="CE245" si="1079">CE244</f>
        <v>0</v>
      </c>
      <c r="CF245" s="110"/>
      <c r="CG245" s="84"/>
      <c r="CH245" s="83">
        <f t="shared" ref="CH245" si="1080">CH244</f>
        <v>0</v>
      </c>
      <c r="CI245" s="110"/>
      <c r="CJ245" s="84"/>
      <c r="CK245" s="83">
        <f t="shared" ref="CK245" si="1081">CK244</f>
        <v>0</v>
      </c>
      <c r="CL245" s="110"/>
      <c r="CM245" s="84"/>
      <c r="CN245" s="83">
        <f t="shared" ref="CN245" si="1082">CN244</f>
        <v>0</v>
      </c>
      <c r="CO245" s="110"/>
      <c r="CP245" s="110"/>
    </row>
    <row r="246" spans="1:94">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25">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21</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1986</v>
      </c>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2030</v>
      </c>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1986</v>
      </c>
      <c r="Z247" s="85">
        <f t="shared" ref="Z247" si="108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t="s">
        <v>2102</v>
      </c>
      <c r="AC247" s="85">
        <f t="shared" ref="AC247" si="108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t="s">
        <v>2135</v>
      </c>
      <c r="AF247" s="85">
        <f t="shared" ref="AF247" si="108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t="s">
        <v>2165</v>
      </c>
      <c r="AI247" s="85">
        <f t="shared" ref="AI247" si="1086">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t="s">
        <v>2188</v>
      </c>
      <c r="AL247" s="85">
        <f t="shared" ref="AL247" si="1087">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t="s">
        <v>2208</v>
      </c>
      <c r="AO247" s="85">
        <f t="shared" ref="AO247" si="108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t="s">
        <v>2233</v>
      </c>
      <c r="AR247" s="85">
        <f t="shared" ref="AR247" si="108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t="s">
        <v>2188</v>
      </c>
      <c r="AU247" s="85">
        <f t="shared" ref="AU247" si="109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t="s">
        <v>2274</v>
      </c>
      <c r="AX247" s="85">
        <f t="shared" ref="AX247" si="1091">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t="s">
        <v>2297</v>
      </c>
      <c r="BA247" s="85">
        <f t="shared" ref="BA247" si="1092">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t="s">
        <v>2297</v>
      </c>
      <c r="BD247" s="85">
        <f t="shared" ref="BD247" si="1093">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t="s">
        <v>2207</v>
      </c>
      <c r="BG247" s="85">
        <f t="shared" ref="BG247" si="1094">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t="s">
        <v>2030</v>
      </c>
      <c r="BJ247" s="85">
        <f t="shared" ref="BJ247" si="1095">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t="s">
        <v>2208</v>
      </c>
      <c r="BM247" s="85">
        <f t="shared" ref="BM247" si="1096">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t="s">
        <v>2566</v>
      </c>
      <c r="BP247" s="85">
        <f t="shared" ref="BP247" si="1097">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t="s">
        <v>2420</v>
      </c>
      <c r="BS247" s="85">
        <f t="shared" ref="BS247" si="1098">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t="s">
        <v>2165</v>
      </c>
      <c r="BV247" s="85">
        <f t="shared" ref="BV247" si="1099">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t="s">
        <v>2452</v>
      </c>
      <c r="BY247" s="85">
        <f t="shared" ref="BY247" si="1100">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t="s">
        <v>2486</v>
      </c>
      <c r="CB247" s="85">
        <f t="shared" ref="CB247" si="1101">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t="s">
        <v>2516</v>
      </c>
      <c r="CE247" s="85">
        <f t="shared" ref="CE247" si="1102">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t="s">
        <v>2542</v>
      </c>
      <c r="CH247" s="85">
        <f t="shared" ref="CH247" si="1103">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t="s">
        <v>2582</v>
      </c>
      <c r="CK247" s="85">
        <f t="shared" ref="CK247" si="1104">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t="s">
        <v>2597</v>
      </c>
      <c r="CN247" s="85">
        <f t="shared" ref="CN247" si="1105">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Partido Final</v>
      </c>
      <c r="L248" s="435"/>
      <c r="M248" s="434" t="str">
        <f>"Max: "&amp;SUM($D$36:$D$38)*$I$247</f>
        <v>Max: 21</v>
      </c>
      <c r="N248" s="25"/>
      <c r="O248" s="25"/>
      <c r="P248" s="25"/>
      <c r="Q248" s="25"/>
      <c r="R248" s="17"/>
      <c r="S248" s="84"/>
      <c r="T248" s="71">
        <f>T247</f>
        <v>0</v>
      </c>
      <c r="U248" s="65"/>
      <c r="V248" s="84"/>
      <c r="W248" s="71">
        <f t="shared" ref="W248" si="1106">W247</f>
        <v>0</v>
      </c>
      <c r="X248" s="65"/>
      <c r="Y248" s="84"/>
      <c r="Z248" s="71">
        <f t="shared" ref="Z248" si="1107">Z247</f>
        <v>0</v>
      </c>
      <c r="AA248" s="65"/>
      <c r="AB248" s="84"/>
      <c r="AC248" s="71">
        <f t="shared" ref="AC248" si="1108">AC247</f>
        <v>0</v>
      </c>
      <c r="AD248" s="65"/>
      <c r="AE248" s="84"/>
      <c r="AF248" s="71">
        <f t="shared" ref="AF248" si="1109">AF247</f>
        <v>0</v>
      </c>
      <c r="AG248" s="65"/>
      <c r="AH248" s="84"/>
      <c r="AI248" s="71">
        <f t="shared" ref="AI248" si="1110">AI247</f>
        <v>0</v>
      </c>
      <c r="AJ248" s="65"/>
      <c r="AK248" s="84"/>
      <c r="AL248" s="71">
        <f t="shared" ref="AL248" si="1111">AL247</f>
        <v>0</v>
      </c>
      <c r="AM248" s="65"/>
      <c r="AN248" s="84"/>
      <c r="AO248" s="71">
        <f t="shared" ref="AO248" si="1112">AO247</f>
        <v>0</v>
      </c>
      <c r="AP248" s="65"/>
      <c r="AQ248" s="84"/>
      <c r="AR248" s="71">
        <f t="shared" ref="AR248" si="1113">AR247</f>
        <v>0</v>
      </c>
      <c r="AS248" s="65"/>
      <c r="AT248" s="84"/>
      <c r="AU248" s="71">
        <f t="shared" ref="AU248" si="1114">AU247</f>
        <v>0</v>
      </c>
      <c r="AV248" s="65"/>
      <c r="AW248" s="84"/>
      <c r="AX248" s="71">
        <f t="shared" ref="AX248" si="1115">AX247</f>
        <v>0</v>
      </c>
      <c r="AY248" s="65"/>
      <c r="AZ248" s="84"/>
      <c r="BA248" s="71">
        <f t="shared" ref="BA248" si="1116">BA247</f>
        <v>0</v>
      </c>
      <c r="BB248" s="65"/>
      <c r="BC248" s="84"/>
      <c r="BD248" s="71">
        <f t="shared" ref="BD248" si="1117">BD247</f>
        <v>0</v>
      </c>
      <c r="BE248" s="65"/>
      <c r="BF248" s="84"/>
      <c r="BG248" s="71">
        <f t="shared" ref="BG248" si="1118">BG247</f>
        <v>0</v>
      </c>
      <c r="BH248" s="65"/>
      <c r="BI248" s="84"/>
      <c r="BJ248" s="71">
        <f t="shared" ref="BJ248" si="1119">BJ247</f>
        <v>0</v>
      </c>
      <c r="BK248" s="65"/>
      <c r="BL248" s="84"/>
      <c r="BM248" s="71">
        <f t="shared" ref="BM248" si="1120">BM247</f>
        <v>0</v>
      </c>
      <c r="BN248" s="65"/>
      <c r="BO248" s="84"/>
      <c r="BP248" s="71">
        <f t="shared" ref="BP248" si="1121">BP247</f>
        <v>0</v>
      </c>
      <c r="BQ248" s="65"/>
      <c r="BR248" s="84"/>
      <c r="BS248" s="71">
        <f t="shared" ref="BS248" si="1122">BS247</f>
        <v>0</v>
      </c>
      <c r="BT248" s="65"/>
      <c r="BU248" s="84"/>
      <c r="BV248" s="71">
        <f t="shared" ref="BV248" si="1123">BV247</f>
        <v>0</v>
      </c>
      <c r="BW248" s="65"/>
      <c r="BX248" s="84"/>
      <c r="BY248" s="71">
        <f t="shared" ref="BY248" si="1124">BY247</f>
        <v>0</v>
      </c>
      <c r="BZ248" s="65"/>
      <c r="CA248" s="84"/>
      <c r="CB248" s="71">
        <f t="shared" ref="CB248" si="1125">CB247</f>
        <v>0</v>
      </c>
      <c r="CC248" s="65"/>
      <c r="CD248" s="84"/>
      <c r="CE248" s="71">
        <f t="shared" ref="CE248" si="1126">CE247</f>
        <v>0</v>
      </c>
      <c r="CF248" s="65"/>
      <c r="CG248" s="84"/>
      <c r="CH248" s="71">
        <f t="shared" ref="CH248" si="1127">CH247</f>
        <v>0</v>
      </c>
      <c r="CI248" s="65"/>
      <c r="CJ248" s="84"/>
      <c r="CK248" s="71">
        <f t="shared" ref="CK248" si="1128">CK247</f>
        <v>0</v>
      </c>
      <c r="CL248" s="65"/>
      <c r="CM248" s="84"/>
      <c r="CN248" s="71">
        <f t="shared" ref="CN248" si="1129">CN247</f>
        <v>0</v>
      </c>
      <c r="CO248" s="65"/>
      <c r="CP248" s="65"/>
    </row>
    <row r="249" spans="1:94">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5.95" customHeight="1">
      <c r="A250" s="17"/>
      <c r="B250" s="17"/>
      <c r="C250" s="17"/>
      <c r="D250" s="17"/>
      <c r="E250" s="89"/>
      <c r="F250" s="407">
        <f t="shared" ref="F250:F258" si="1130">D39</f>
        <v>20</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t="s">
        <v>38</v>
      </c>
      <c r="T250" s="77">
        <f>COUNTIF($M$250,S250)*$D$39</f>
        <v>0</v>
      </c>
      <c r="U250" s="64"/>
      <c r="V250" s="76" t="s">
        <v>74</v>
      </c>
      <c r="W250" s="77">
        <f t="shared" ref="W250" si="1131">COUNTIF($M$250,V250)*$D$39</f>
        <v>0</v>
      </c>
      <c r="X250" s="64"/>
      <c r="Y250" s="76" t="s">
        <v>38</v>
      </c>
      <c r="Z250" s="77">
        <f t="shared" ref="Z250" si="1132">COUNTIF($M$250,Y250)*$D$39</f>
        <v>0</v>
      </c>
      <c r="AA250" s="64"/>
      <c r="AB250" s="76" t="s">
        <v>38</v>
      </c>
      <c r="AC250" s="77">
        <f t="shared" ref="AC250" si="1133">COUNTIF($M$250,AB250)*$D$39</f>
        <v>0</v>
      </c>
      <c r="AD250" s="64"/>
      <c r="AE250" s="76" t="s">
        <v>74</v>
      </c>
      <c r="AF250" s="77">
        <f t="shared" ref="AF250" si="1134">COUNTIF($M$250,AE250)*$D$39</f>
        <v>0</v>
      </c>
      <c r="AG250" s="64"/>
      <c r="AH250" s="76" t="s">
        <v>79</v>
      </c>
      <c r="AI250" s="77">
        <f t="shared" ref="AI250" si="1135">COUNTIF($M$250,AH250)*$D$39</f>
        <v>0</v>
      </c>
      <c r="AJ250" s="64"/>
      <c r="AK250" s="76" t="s">
        <v>38</v>
      </c>
      <c r="AL250" s="77">
        <f t="shared" ref="AL250" si="1136">COUNTIF($M$250,AK250)*$D$39</f>
        <v>0</v>
      </c>
      <c r="AM250" s="64"/>
      <c r="AN250" s="76" t="s">
        <v>79</v>
      </c>
      <c r="AO250" s="77">
        <f t="shared" ref="AO250" si="1137">COUNTIF($M$250,AN250)*$D$39</f>
        <v>0</v>
      </c>
      <c r="AP250" s="64"/>
      <c r="AQ250" s="76" t="s">
        <v>1256</v>
      </c>
      <c r="AR250" s="77">
        <f t="shared" ref="AR250" si="1138">COUNTIF($M$250,AQ250)*$D$39</f>
        <v>0</v>
      </c>
      <c r="AS250" s="64"/>
      <c r="AT250" s="76" t="s">
        <v>38</v>
      </c>
      <c r="AU250" s="77">
        <f t="shared" ref="AU250" si="1139">COUNTIF($M$250,AT250)*$D$39</f>
        <v>0</v>
      </c>
      <c r="AV250" s="64"/>
      <c r="AW250" s="76" t="s">
        <v>38</v>
      </c>
      <c r="AX250" s="77">
        <f t="shared" ref="AX250" si="1140">COUNTIF($M$250,AW250)*$D$39</f>
        <v>0</v>
      </c>
      <c r="AY250" s="64"/>
      <c r="AZ250" s="76" t="s">
        <v>79</v>
      </c>
      <c r="BA250" s="77">
        <f t="shared" ref="BA250" si="1141">COUNTIF($M$250,AZ250)*$D$39</f>
        <v>0</v>
      </c>
      <c r="BB250" s="64"/>
      <c r="BC250" s="76" t="s">
        <v>79</v>
      </c>
      <c r="BD250" s="77">
        <f t="shared" ref="BD250" si="1142">COUNTIF($M$250,BC250)*$D$39</f>
        <v>0</v>
      </c>
      <c r="BE250" s="64"/>
      <c r="BF250" s="76" t="s">
        <v>79</v>
      </c>
      <c r="BG250" s="77">
        <f t="shared" ref="BG250" si="1143">COUNTIF($M$250,BF250)*$D$39</f>
        <v>0</v>
      </c>
      <c r="BH250" s="64"/>
      <c r="BI250" s="76" t="s">
        <v>2376</v>
      </c>
      <c r="BJ250" s="77">
        <f t="shared" ref="BJ250" si="1144">COUNTIF($M$250,BI250)*$D$39</f>
        <v>0</v>
      </c>
      <c r="BK250" s="64"/>
      <c r="BL250" s="76" t="s">
        <v>79</v>
      </c>
      <c r="BM250" s="77">
        <f t="shared" ref="BM250" si="1145">COUNTIF($M$250,BL250)*$D$39</f>
        <v>0</v>
      </c>
      <c r="BN250" s="64"/>
      <c r="BO250" s="76" t="s">
        <v>74</v>
      </c>
      <c r="BP250" s="77">
        <f t="shared" ref="BP250" si="1146">COUNTIF($M$250,BO250)*$D$39</f>
        <v>0</v>
      </c>
      <c r="BQ250" s="64"/>
      <c r="BR250" s="76" t="s">
        <v>79</v>
      </c>
      <c r="BS250" s="77">
        <f t="shared" ref="BS250" si="1147">COUNTIF($M$250,BR250)*$D$39</f>
        <v>0</v>
      </c>
      <c r="BT250" s="64"/>
      <c r="BU250" s="76" t="s">
        <v>79</v>
      </c>
      <c r="BV250" s="77">
        <f t="shared" ref="BV250" si="1148">COUNTIF($M$250,BU250)*$D$39</f>
        <v>0</v>
      </c>
      <c r="BW250" s="64"/>
      <c r="BX250" s="76" t="s">
        <v>74</v>
      </c>
      <c r="BY250" s="77">
        <f t="shared" ref="BY250" si="1149">COUNTIF($M$250,BX250)*$D$39</f>
        <v>0</v>
      </c>
      <c r="BZ250" s="64"/>
      <c r="CA250" s="76" t="s">
        <v>77</v>
      </c>
      <c r="CB250" s="77">
        <f t="shared" ref="CB250" si="1150">COUNTIF($M$250,CA250)*$D$39</f>
        <v>0</v>
      </c>
      <c r="CC250" s="64"/>
      <c r="CD250" s="76" t="s">
        <v>79</v>
      </c>
      <c r="CE250" s="77">
        <f t="shared" ref="CE250" si="1151">COUNTIF($M$250,CD250)*$D$39</f>
        <v>0</v>
      </c>
      <c r="CF250" s="64"/>
      <c r="CG250" s="76" t="s">
        <v>1256</v>
      </c>
      <c r="CH250" s="77">
        <f t="shared" ref="CH250" si="1152">COUNTIF($M$250,CG250)*$D$39</f>
        <v>0</v>
      </c>
      <c r="CI250" s="64"/>
      <c r="CJ250" s="76" t="s">
        <v>111</v>
      </c>
      <c r="CK250" s="77">
        <f t="shared" ref="CK250" si="1153">COUNTIF($M$250,CJ250)*$D$39</f>
        <v>0</v>
      </c>
      <c r="CL250" s="64"/>
      <c r="CM250" s="76" t="s">
        <v>74</v>
      </c>
      <c r="CN250" s="77">
        <f t="shared" ref="CN250" si="1154">COUNTIF($M$250,CM250)*$D$39</f>
        <v>0</v>
      </c>
      <c r="CO250" s="64"/>
      <c r="CP250" s="64"/>
    </row>
    <row r="251" spans="1:94" ht="15.95" customHeight="1">
      <c r="A251" s="17"/>
      <c r="B251" s="17"/>
      <c r="C251" s="17"/>
      <c r="D251" s="17"/>
      <c r="E251" s="89"/>
      <c r="F251" s="407">
        <f t="shared" si="1130"/>
        <v>10</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t="s">
        <v>79</v>
      </c>
      <c r="T251" s="73">
        <f>COUNTIF($M$251,S251)*$D$40</f>
        <v>0</v>
      </c>
      <c r="U251" s="64"/>
      <c r="V251" s="74" t="s">
        <v>1258</v>
      </c>
      <c r="W251" s="73">
        <f t="shared" ref="W251" si="1155">COUNTIF($M$251,V251)*$D$40</f>
        <v>0</v>
      </c>
      <c r="X251" s="64"/>
      <c r="Y251" s="74" t="s">
        <v>79</v>
      </c>
      <c r="Z251" s="73">
        <f t="shared" ref="Z251" si="1156">COUNTIF($M$251,Y251)*$D$40</f>
        <v>0</v>
      </c>
      <c r="AA251" s="64"/>
      <c r="AB251" s="74" t="s">
        <v>74</v>
      </c>
      <c r="AC251" s="73">
        <f t="shared" ref="AC251" si="1157">COUNTIF($M$251,AB251)*$D$40</f>
        <v>0</v>
      </c>
      <c r="AD251" s="64"/>
      <c r="AE251" s="74" t="s">
        <v>79</v>
      </c>
      <c r="AF251" s="73">
        <f t="shared" ref="AF251" si="1158">COUNTIF($M$251,AE251)*$D$40</f>
        <v>0</v>
      </c>
      <c r="AG251" s="64"/>
      <c r="AH251" s="74" t="s">
        <v>38</v>
      </c>
      <c r="AI251" s="73">
        <f t="shared" ref="AI251" si="1159">COUNTIF($M$251,AH251)*$D$40</f>
        <v>0</v>
      </c>
      <c r="AJ251" s="64"/>
      <c r="AK251" s="74" t="s">
        <v>1256</v>
      </c>
      <c r="AL251" s="73">
        <f t="shared" ref="AL251" si="1160">COUNTIF($M$251,AK251)*$D$40</f>
        <v>0</v>
      </c>
      <c r="AM251" s="64"/>
      <c r="AN251" s="74" t="s">
        <v>38</v>
      </c>
      <c r="AO251" s="73">
        <f t="shared" ref="AO251" si="1161">COUNTIF($M$251,AN251)*$D$40</f>
        <v>0</v>
      </c>
      <c r="AP251" s="64"/>
      <c r="AQ251" s="74" t="s">
        <v>38</v>
      </c>
      <c r="AR251" s="73">
        <f t="shared" ref="AR251" si="1162">COUNTIF($M$251,AQ251)*$D$40</f>
        <v>0</v>
      </c>
      <c r="AS251" s="64"/>
      <c r="AT251" s="74" t="s">
        <v>1256</v>
      </c>
      <c r="AU251" s="73">
        <f t="shared" ref="AU251" si="1163">COUNTIF($M$251,AT251)*$D$40</f>
        <v>0</v>
      </c>
      <c r="AV251" s="64"/>
      <c r="AW251" s="74" t="s">
        <v>74</v>
      </c>
      <c r="AX251" s="73">
        <f t="shared" ref="AX251" si="1164">COUNTIF($M$251,AW251)*$D$40</f>
        <v>0</v>
      </c>
      <c r="AY251" s="64"/>
      <c r="AZ251" s="74" t="s">
        <v>74</v>
      </c>
      <c r="BA251" s="73">
        <f t="shared" ref="BA251" si="1165">COUNTIF($M$251,AZ251)*$D$40</f>
        <v>0</v>
      </c>
      <c r="BB251" s="64"/>
      <c r="BC251" s="74" t="s">
        <v>74</v>
      </c>
      <c r="BD251" s="73">
        <f t="shared" ref="BD251" si="1166">COUNTIF($M$251,BC251)*$D$40</f>
        <v>0</v>
      </c>
      <c r="BE251" s="64"/>
      <c r="BF251" s="74" t="s">
        <v>1258</v>
      </c>
      <c r="BG251" s="73">
        <f t="shared" ref="BG251" si="1167">COUNTIF($M$251,BF251)*$D$40</f>
        <v>0</v>
      </c>
      <c r="BH251" s="64"/>
      <c r="BI251" s="74" t="s">
        <v>1258</v>
      </c>
      <c r="BJ251" s="73">
        <f t="shared" ref="BJ251" si="1168">COUNTIF($M$251,BI251)*$D$40</f>
        <v>0</v>
      </c>
      <c r="BK251" s="64"/>
      <c r="BL251" s="74" t="s">
        <v>38</v>
      </c>
      <c r="BM251" s="73">
        <f t="shared" ref="BM251" si="1169">COUNTIF($M$251,BL251)*$D$40</f>
        <v>0</v>
      </c>
      <c r="BN251" s="64"/>
      <c r="BO251" s="74" t="s">
        <v>79</v>
      </c>
      <c r="BP251" s="73">
        <f t="shared" ref="BP251" si="1170">COUNTIF($M$251,BO251)*$D$40</f>
        <v>0</v>
      </c>
      <c r="BQ251" s="64"/>
      <c r="BR251" s="74" t="s">
        <v>38</v>
      </c>
      <c r="BS251" s="73">
        <f t="shared" ref="BS251" si="1171">COUNTIF($M$251,BR251)*$D$40</f>
        <v>0</v>
      </c>
      <c r="BT251" s="64"/>
      <c r="BU251" s="74" t="s">
        <v>38</v>
      </c>
      <c r="BV251" s="73">
        <f t="shared" ref="BV251" si="1172">COUNTIF($M$251,BU251)*$D$40</f>
        <v>0</v>
      </c>
      <c r="BW251" s="64"/>
      <c r="BX251" s="74" t="s">
        <v>79</v>
      </c>
      <c r="BY251" s="73">
        <f t="shared" ref="BY251" si="1173">COUNTIF($M$251,BX251)*$D$40</f>
        <v>0</v>
      </c>
      <c r="BZ251" s="64"/>
      <c r="CA251" s="74" t="s">
        <v>76</v>
      </c>
      <c r="CB251" s="73">
        <f t="shared" ref="CB251" si="1174">COUNTIF($M$251,CA251)*$D$40</f>
        <v>0</v>
      </c>
      <c r="CC251" s="64"/>
      <c r="CD251" s="74" t="s">
        <v>74</v>
      </c>
      <c r="CE251" s="73">
        <f t="shared" ref="CE251" si="1175">COUNTIF($M$251,CD251)*$D$40</f>
        <v>0</v>
      </c>
      <c r="CF251" s="64"/>
      <c r="CG251" s="74" t="s">
        <v>38</v>
      </c>
      <c r="CH251" s="73">
        <f t="shared" ref="CH251" si="1176">COUNTIF($M$251,CG251)*$D$40</f>
        <v>0</v>
      </c>
      <c r="CI251" s="64"/>
      <c r="CJ251" s="74" t="s">
        <v>1256</v>
      </c>
      <c r="CK251" s="73">
        <f t="shared" ref="CK251" si="1177">COUNTIF($M$251,CJ251)*$D$40</f>
        <v>0</v>
      </c>
      <c r="CL251" s="64"/>
      <c r="CM251" s="74" t="s">
        <v>1258</v>
      </c>
      <c r="CN251" s="73">
        <f t="shared" ref="CN251" si="1178">COUNTIF($M$251,CM251)*$D$40</f>
        <v>0</v>
      </c>
      <c r="CO251" s="64"/>
      <c r="CP251" s="64"/>
    </row>
    <row r="252" spans="1:94" ht="15.95" customHeight="1">
      <c r="A252" s="17"/>
      <c r="B252" s="17"/>
      <c r="C252" s="17"/>
      <c r="D252" s="17"/>
      <c r="E252" s="89"/>
      <c r="F252" s="407">
        <f t="shared" si="1130"/>
        <v>5</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t="s">
        <v>1321</v>
      </c>
      <c r="T252" s="73">
        <f>COUNTIF($M$252,S252)*$D$41</f>
        <v>0</v>
      </c>
      <c r="U252" s="64"/>
      <c r="V252" s="74" t="s">
        <v>1256</v>
      </c>
      <c r="W252" s="73">
        <f t="shared" ref="W252" si="1179">COUNTIF($M$252,V252)*$D$41</f>
        <v>0</v>
      </c>
      <c r="X252" s="64"/>
      <c r="Y252" s="74" t="s">
        <v>76</v>
      </c>
      <c r="Z252" s="73">
        <f t="shared" ref="Z252" si="1180">COUNTIF($M$252,Y252)*$D$41</f>
        <v>0</v>
      </c>
      <c r="AA252" s="64"/>
      <c r="AB252" s="74" t="s">
        <v>79</v>
      </c>
      <c r="AC252" s="73">
        <f t="shared" ref="AC252" si="1181">COUNTIF($M$252,AB252)*$D$41</f>
        <v>0</v>
      </c>
      <c r="AD252" s="64"/>
      <c r="AE252" s="74" t="s">
        <v>1258</v>
      </c>
      <c r="AF252" s="73">
        <f t="shared" ref="AF252" si="1182">COUNTIF($M$252,AE252)*$D$41</f>
        <v>0</v>
      </c>
      <c r="AG252" s="64"/>
      <c r="AH252" s="74" t="s">
        <v>74</v>
      </c>
      <c r="AI252" s="73">
        <f t="shared" ref="AI252" si="1183">COUNTIF($M$252,AH252)*$D$41</f>
        <v>0</v>
      </c>
      <c r="AJ252" s="64"/>
      <c r="AK252" s="74" t="s">
        <v>1258</v>
      </c>
      <c r="AL252" s="73">
        <f t="shared" ref="AL252" si="1184">COUNTIF($M$252,AK252)*$D$41</f>
        <v>0</v>
      </c>
      <c r="AM252" s="64"/>
      <c r="AN252" s="74" t="s">
        <v>1258</v>
      </c>
      <c r="AO252" s="73">
        <f t="shared" ref="AO252" si="1185">COUNTIF($M$252,AN252)*$D$41</f>
        <v>0</v>
      </c>
      <c r="AP252" s="64"/>
      <c r="AQ252" s="74" t="s">
        <v>74</v>
      </c>
      <c r="AR252" s="73">
        <f t="shared" ref="AR252" si="1186">COUNTIF($M$252,AQ252)*$D$41</f>
        <v>0</v>
      </c>
      <c r="AS252" s="64"/>
      <c r="AT252" s="74" t="s">
        <v>74</v>
      </c>
      <c r="AU252" s="73">
        <f t="shared" ref="AU252" si="1187">COUNTIF($M$252,AT252)*$D$41</f>
        <v>0</v>
      </c>
      <c r="AV252" s="64"/>
      <c r="AW252" s="74" t="s">
        <v>1256</v>
      </c>
      <c r="AX252" s="73">
        <f t="shared" ref="AX252" si="1188">COUNTIF($M$252,AW252)*$D$41</f>
        <v>0</v>
      </c>
      <c r="AY252" s="64"/>
      <c r="AZ252" s="74" t="s">
        <v>38</v>
      </c>
      <c r="BA252" s="73">
        <f t="shared" ref="BA252" si="1189">COUNTIF($M$252,AZ252)*$D$41</f>
        <v>0</v>
      </c>
      <c r="BB252" s="64"/>
      <c r="BC252" s="74" t="s">
        <v>1258</v>
      </c>
      <c r="BD252" s="73">
        <f t="shared" ref="BD252" si="1190">COUNTIF($M$252,BC252)*$D$41</f>
        <v>0</v>
      </c>
      <c r="BE252" s="64"/>
      <c r="BF252" s="74" t="s">
        <v>38</v>
      </c>
      <c r="BG252" s="73">
        <f t="shared" ref="BG252" si="1191">COUNTIF($M$252,BF252)*$D$41</f>
        <v>0</v>
      </c>
      <c r="BH252" s="64"/>
      <c r="BI252" s="74" t="s">
        <v>38</v>
      </c>
      <c r="BJ252" s="73">
        <f t="shared" ref="BJ252" si="1192">COUNTIF($M$252,BI252)*$D$41</f>
        <v>0</v>
      </c>
      <c r="BK252" s="64"/>
      <c r="BL252" s="74" t="s">
        <v>1258</v>
      </c>
      <c r="BM252" s="73">
        <f t="shared" ref="BM252" si="1193">COUNTIF($M$252,BL252)*$D$41</f>
        <v>0</v>
      </c>
      <c r="BN252" s="64"/>
      <c r="BO252" s="74" t="s">
        <v>38</v>
      </c>
      <c r="BP252" s="73">
        <f t="shared" ref="BP252" si="1194">COUNTIF($M$252,BO252)*$D$41</f>
        <v>0</v>
      </c>
      <c r="BQ252" s="64"/>
      <c r="BR252" s="74" t="s">
        <v>74</v>
      </c>
      <c r="BS252" s="73">
        <f t="shared" ref="BS252" si="1195">COUNTIF($M$252,BR252)*$D$41</f>
        <v>0</v>
      </c>
      <c r="BT252" s="64"/>
      <c r="BU252" s="74" t="s">
        <v>74</v>
      </c>
      <c r="BV252" s="73">
        <f t="shared" ref="BV252" si="1196">COUNTIF($M$252,BU252)*$D$41</f>
        <v>0</v>
      </c>
      <c r="BW252" s="64"/>
      <c r="BX252" s="74" t="s">
        <v>38</v>
      </c>
      <c r="BY252" s="73">
        <f t="shared" ref="BY252" si="1197">COUNTIF($M$252,BX252)*$D$41</f>
        <v>0</v>
      </c>
      <c r="BZ252" s="64"/>
      <c r="CA252" s="74" t="s">
        <v>38</v>
      </c>
      <c r="CB252" s="73">
        <f t="shared" ref="CB252" si="1198">COUNTIF($M$252,CA252)*$D$41</f>
        <v>0</v>
      </c>
      <c r="CC252" s="64"/>
      <c r="CD252" s="74" t="s">
        <v>38</v>
      </c>
      <c r="CE252" s="73">
        <f t="shared" ref="CE252" si="1199">COUNTIF($M$252,CD252)*$D$41</f>
        <v>0</v>
      </c>
      <c r="CF252" s="64"/>
      <c r="CG252" s="74" t="s">
        <v>74</v>
      </c>
      <c r="CH252" s="73">
        <f t="shared" ref="CH252" si="1200">COUNTIF($M$252,CG252)*$D$41</f>
        <v>0</v>
      </c>
      <c r="CI252" s="64"/>
      <c r="CJ252" s="74" t="s">
        <v>1258</v>
      </c>
      <c r="CK252" s="73">
        <f t="shared" ref="CK252" si="1201">COUNTIF($M$252,CJ252)*$D$41</f>
        <v>0</v>
      </c>
      <c r="CL252" s="64"/>
      <c r="CM252" s="74" t="s">
        <v>1256</v>
      </c>
      <c r="CN252" s="73">
        <f t="shared" ref="CN252" si="1202">COUNTIF($M$252,CM252)*$D$41</f>
        <v>0</v>
      </c>
      <c r="CO252" s="64"/>
      <c r="CP252" s="64"/>
    </row>
    <row r="253" spans="1:94" ht="15.95" customHeight="1">
      <c r="A253" s="17"/>
      <c r="B253" s="17"/>
      <c r="C253" s="17"/>
      <c r="D253" s="17"/>
      <c r="E253" s="89"/>
      <c r="F253" s="407">
        <f t="shared" si="1130"/>
        <v>10</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1987</v>
      </c>
      <c r="T253" s="73">
        <f>COUNTIF($M$253,S253)*$D$42</f>
        <v>0</v>
      </c>
      <c r="U253" s="64"/>
      <c r="V253" s="74" t="s">
        <v>2031</v>
      </c>
      <c r="W253" s="73">
        <f t="shared" ref="W253" si="1203">COUNTIF($M$253,V253)*$D$42</f>
        <v>0</v>
      </c>
      <c r="X253" s="64"/>
      <c r="Y253" s="74" t="s">
        <v>2064</v>
      </c>
      <c r="Z253" s="73">
        <f t="shared" ref="Z253" si="1204">COUNTIF($M$253,Y253)*$D$42</f>
        <v>0</v>
      </c>
      <c r="AA253" s="64"/>
      <c r="AB253" s="74" t="s">
        <v>2103</v>
      </c>
      <c r="AC253" s="73">
        <f t="shared" ref="AC253" si="1205">COUNTIF($M$253,AB253)*$D$42</f>
        <v>0</v>
      </c>
      <c r="AD253" s="64"/>
      <c r="AE253" s="74" t="s">
        <v>2136</v>
      </c>
      <c r="AF253" s="73">
        <f t="shared" ref="AF253" si="1206">COUNTIF($M$253,AE253)*$D$42</f>
        <v>0</v>
      </c>
      <c r="AG253" s="64"/>
      <c r="AH253" s="74" t="s">
        <v>2166</v>
      </c>
      <c r="AI253" s="73">
        <f t="shared" ref="AI253" si="1207">COUNTIF($M$253,AH253)*$D$42</f>
        <v>0</v>
      </c>
      <c r="AJ253" s="64"/>
      <c r="AK253" s="74" t="s">
        <v>2167</v>
      </c>
      <c r="AL253" s="73">
        <f t="shared" ref="AL253" si="1208">COUNTIF($M$253,AK253)*$D$42</f>
        <v>0</v>
      </c>
      <c r="AM253" s="64"/>
      <c r="AN253" s="74" t="s">
        <v>1988</v>
      </c>
      <c r="AO253" s="73">
        <f t="shared" ref="AO253" si="1209">COUNTIF($M$253,AN253)*$D$42</f>
        <v>0</v>
      </c>
      <c r="AP253" s="64"/>
      <c r="AQ253" s="74" t="s">
        <v>2065</v>
      </c>
      <c r="AR253" s="73">
        <f t="shared" ref="AR253" si="1210">COUNTIF($M$253,AQ253)*$D$42</f>
        <v>0</v>
      </c>
      <c r="AS253" s="64"/>
      <c r="AT253" s="74" t="s">
        <v>2167</v>
      </c>
      <c r="AU253" s="73">
        <f t="shared" ref="AU253" si="1211">COUNTIF($M$253,AT253)*$D$42</f>
        <v>0</v>
      </c>
      <c r="AV253" s="64"/>
      <c r="AW253" s="74" t="s">
        <v>2275</v>
      </c>
      <c r="AX253" s="73">
        <f t="shared" ref="AX253" si="1212">COUNTIF($M$253,AW253)*$D$42</f>
        <v>0</v>
      </c>
      <c r="AY253" s="64"/>
      <c r="AZ253" s="74" t="s">
        <v>2209</v>
      </c>
      <c r="BA253" s="73">
        <f t="shared" ref="BA253" si="1213">COUNTIF($M$253,AZ253)*$D$42</f>
        <v>0</v>
      </c>
      <c r="BB253" s="64"/>
      <c r="BC253" s="74" t="s">
        <v>2326</v>
      </c>
      <c r="BD253" s="73">
        <f t="shared" ref="BD253" si="1214">COUNTIF($M$253,BC253)*$D$42</f>
        <v>0</v>
      </c>
      <c r="BE253" s="64"/>
      <c r="BF253" s="74" t="s">
        <v>2357</v>
      </c>
      <c r="BG253" s="73">
        <f t="shared" ref="BG253" si="1215">COUNTIF($M$253,BF253)*$D$42</f>
        <v>0</v>
      </c>
      <c r="BH253" s="64"/>
      <c r="BI253" s="74" t="s">
        <v>2377</v>
      </c>
      <c r="BJ253" s="73">
        <f t="shared" ref="BJ253" si="1216">COUNTIF($M$253,BI253)*$D$42</f>
        <v>0</v>
      </c>
      <c r="BK253" s="64"/>
      <c r="BL253" s="74" t="s">
        <v>2403</v>
      </c>
      <c r="BM253" s="73">
        <f t="shared" ref="BM253" si="1217">COUNTIF($M$253,BL253)*$D$42</f>
        <v>0</v>
      </c>
      <c r="BN253" s="64"/>
      <c r="BO253" s="74" t="s">
        <v>2167</v>
      </c>
      <c r="BP253" s="73">
        <f t="shared" ref="BP253" si="1218">COUNTIF($M$253,BO253)*$D$42</f>
        <v>0</v>
      </c>
      <c r="BQ253" s="64"/>
      <c r="BR253" s="74" t="s">
        <v>2421</v>
      </c>
      <c r="BS253" s="73">
        <f t="shared" ref="BS253" si="1219">COUNTIF($M$253,BR253)*$D$42</f>
        <v>0</v>
      </c>
      <c r="BT253" s="64"/>
      <c r="BU253" s="74" t="s">
        <v>2209</v>
      </c>
      <c r="BV253" s="73">
        <f t="shared" ref="BV253" si="1220">COUNTIF($M$253,BU253)*$D$42</f>
        <v>0</v>
      </c>
      <c r="BW253" s="64"/>
      <c r="BX253" s="74" t="s">
        <v>2209</v>
      </c>
      <c r="BY253" s="73">
        <f t="shared" ref="BY253" si="1221">COUNTIF($M$253,BX253)*$D$42</f>
        <v>0</v>
      </c>
      <c r="BZ253" s="64"/>
      <c r="CA253" s="74" t="s">
        <v>2103</v>
      </c>
      <c r="CB253" s="73">
        <f t="shared" ref="CB253" si="1222">COUNTIF($M$253,CA253)*$D$42</f>
        <v>0</v>
      </c>
      <c r="CC253" s="64"/>
      <c r="CD253" s="74" t="s">
        <v>2209</v>
      </c>
      <c r="CE253" s="73">
        <f t="shared" ref="CE253" si="1223">COUNTIF($M$253,CD253)*$D$42</f>
        <v>0</v>
      </c>
      <c r="CF253" s="64"/>
      <c r="CG253" s="74" t="s">
        <v>2543</v>
      </c>
      <c r="CH253" s="73">
        <f t="shared" ref="CH253" si="1224">COUNTIF($M$253,CG253)*$D$42</f>
        <v>0</v>
      </c>
      <c r="CI253" s="64"/>
      <c r="CJ253" s="74" t="s">
        <v>2583</v>
      </c>
      <c r="CK253" s="73">
        <f t="shared" ref="CK253" si="1225">COUNTIF($M$253,CJ253)*$D$42</f>
        <v>0</v>
      </c>
      <c r="CL253" s="64"/>
      <c r="CM253" s="74" t="s">
        <v>2167</v>
      </c>
      <c r="CN253" s="73">
        <f t="shared" ref="CN253" si="1226">COUNTIF($M$253,CM253)*$D$42</f>
        <v>0</v>
      </c>
      <c r="CO253" s="64"/>
      <c r="CP253" s="64"/>
    </row>
    <row r="254" spans="1:94" ht="15.95" customHeight="1">
      <c r="A254" s="17"/>
      <c r="B254" s="17"/>
      <c r="C254" s="17"/>
      <c r="D254" s="17"/>
      <c r="E254" s="89"/>
      <c r="F254" s="407">
        <f t="shared" si="1130"/>
        <v>5</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t="s">
        <v>1988</v>
      </c>
      <c r="T254" s="73">
        <f>COUNTIF($M$254,S254)*$D$43</f>
        <v>0</v>
      </c>
      <c r="U254" s="64"/>
      <c r="V254" s="74" t="s">
        <v>2032</v>
      </c>
      <c r="W254" s="73">
        <f t="shared" ref="W254" si="1227">COUNTIF($M$254,V254)*$D$43</f>
        <v>0</v>
      </c>
      <c r="X254" s="64"/>
      <c r="Y254" s="74" t="s">
        <v>2065</v>
      </c>
      <c r="Z254" s="73">
        <f t="shared" ref="Z254" si="1228">COUNTIF($M$254,Y254)*$D$43</f>
        <v>0</v>
      </c>
      <c r="AA254" s="64"/>
      <c r="AB254" s="74" t="s">
        <v>1989</v>
      </c>
      <c r="AC254" s="73">
        <f t="shared" ref="AC254" si="1229">COUNTIF($M$254,AB254)*$D$43</f>
        <v>0</v>
      </c>
      <c r="AD254" s="64"/>
      <c r="AE254" s="74" t="s">
        <v>2137</v>
      </c>
      <c r="AF254" s="73">
        <f t="shared" ref="AF254" si="1230">COUNTIF($M$254,AE254)*$D$43</f>
        <v>0</v>
      </c>
      <c r="AG254" s="64"/>
      <c r="AH254" s="74" t="s">
        <v>2167</v>
      </c>
      <c r="AI254" s="73">
        <f t="shared" ref="AI254" si="1231">COUNTIF($M$254,AH254)*$D$43</f>
        <v>0</v>
      </c>
      <c r="AJ254" s="64"/>
      <c r="AK254" s="74" t="s">
        <v>2065</v>
      </c>
      <c r="AL254" s="73">
        <f t="shared" ref="AL254" si="1232">COUNTIF($M$254,AK254)*$D$43</f>
        <v>0</v>
      </c>
      <c r="AM254" s="64"/>
      <c r="AN254" s="74" t="s">
        <v>2209</v>
      </c>
      <c r="AO254" s="73">
        <f t="shared" ref="AO254" si="1233">COUNTIF($M$254,AN254)*$D$43</f>
        <v>0</v>
      </c>
      <c r="AP254" s="64"/>
      <c r="AQ254" s="74" t="s">
        <v>2190</v>
      </c>
      <c r="AR254" s="73">
        <f t="shared" ref="AR254" si="1234">COUNTIF($M$254,AQ254)*$D$43</f>
        <v>0</v>
      </c>
      <c r="AS254" s="64"/>
      <c r="AT254" s="74" t="s">
        <v>2065</v>
      </c>
      <c r="AU254" s="73">
        <f t="shared" ref="AU254" si="1235">COUNTIF($M$254,AT254)*$D$43</f>
        <v>0</v>
      </c>
      <c r="AV254" s="64"/>
      <c r="AW254" s="74" t="s">
        <v>2276</v>
      </c>
      <c r="AX254" s="73">
        <f t="shared" ref="AX254" si="1236">COUNTIF($M$254,AW254)*$D$43</f>
        <v>0</v>
      </c>
      <c r="AY254" s="64"/>
      <c r="AZ254" s="74" t="s">
        <v>2298</v>
      </c>
      <c r="BA254" s="73">
        <f t="shared" ref="BA254" si="1237">COUNTIF($M$254,AZ254)*$D$43</f>
        <v>0</v>
      </c>
      <c r="BB254" s="64"/>
      <c r="BC254" s="74" t="s">
        <v>2327</v>
      </c>
      <c r="BD254" s="73">
        <f t="shared" ref="BD254" si="1238">COUNTIF($M$254,BC254)*$D$43</f>
        <v>0</v>
      </c>
      <c r="BE254" s="64"/>
      <c r="BF254" s="74" t="s">
        <v>2358</v>
      </c>
      <c r="BG254" s="73">
        <f t="shared" ref="BG254" si="1239">COUNTIF($M$254,BF254)*$D$43</f>
        <v>0</v>
      </c>
      <c r="BH254" s="64"/>
      <c r="BI254" s="74" t="s">
        <v>2378</v>
      </c>
      <c r="BJ254" s="73">
        <f t="shared" ref="BJ254" si="1240">COUNTIF($M$254,BI254)*$D$43</f>
        <v>0</v>
      </c>
      <c r="BK254" s="64"/>
      <c r="BL254" s="74" t="s">
        <v>2404</v>
      </c>
      <c r="BM254" s="73">
        <f t="shared" ref="BM254" si="1241">COUNTIF($M$254,BL254)*$D$43</f>
        <v>0</v>
      </c>
      <c r="BN254" s="64"/>
      <c r="BO254" s="74" t="s">
        <v>2190</v>
      </c>
      <c r="BP254" s="73">
        <f t="shared" ref="BP254" si="1242">COUNTIF($M$254,BO254)*$D$43</f>
        <v>0</v>
      </c>
      <c r="BQ254" s="64"/>
      <c r="BR254" s="74" t="s">
        <v>2422</v>
      </c>
      <c r="BS254" s="73">
        <f t="shared" ref="BS254" si="1243">COUNTIF($M$254,BR254)*$D$43</f>
        <v>0</v>
      </c>
      <c r="BT254" s="64"/>
      <c r="BU254" s="74" t="s">
        <v>2359</v>
      </c>
      <c r="BV254" s="73">
        <f t="shared" ref="BV254" si="1244">COUNTIF($M$254,BU254)*$D$43</f>
        <v>0</v>
      </c>
      <c r="BW254" s="64"/>
      <c r="BX254" s="74" t="s">
        <v>2453</v>
      </c>
      <c r="BY254" s="73">
        <f t="shared" ref="BY254" si="1245">COUNTIF($M$254,BX254)*$D$43</f>
        <v>0</v>
      </c>
      <c r="BZ254" s="64"/>
      <c r="CA254" s="74" t="s">
        <v>2487</v>
      </c>
      <c r="CB254" s="73">
        <f t="shared" ref="CB254" si="1246">COUNTIF($M$254,CA254)*$D$43</f>
        <v>0</v>
      </c>
      <c r="CC254" s="64"/>
      <c r="CD254" s="74" t="s">
        <v>2517</v>
      </c>
      <c r="CE254" s="73">
        <f t="shared" ref="CE254" si="1247">COUNTIF($M$254,CD254)*$D$43</f>
        <v>0</v>
      </c>
      <c r="CF254" s="64"/>
      <c r="CG254" s="74" t="s">
        <v>2544</v>
      </c>
      <c r="CH254" s="73">
        <f t="shared" ref="CH254" si="1248">COUNTIF($M$254,CG254)*$D$43</f>
        <v>0</v>
      </c>
      <c r="CI254" s="64"/>
      <c r="CJ254" s="74" t="s">
        <v>2423</v>
      </c>
      <c r="CK254" s="73">
        <f t="shared" ref="CK254" si="1249">COUNTIF($M$254,CJ254)*$D$43</f>
        <v>0</v>
      </c>
      <c r="CL254" s="64"/>
      <c r="CM254" s="74" t="s">
        <v>2598</v>
      </c>
      <c r="CN254" s="73">
        <f t="shared" ref="CN254" si="1250">COUNTIF($M$254,CM254)*$D$43</f>
        <v>0</v>
      </c>
      <c r="CO254" s="64"/>
      <c r="CP254" s="64"/>
    </row>
    <row r="255" spans="1:94" ht="15.95" customHeight="1">
      <c r="A255" s="17"/>
      <c r="B255" s="17"/>
      <c r="C255" s="17"/>
      <c r="D255" s="17"/>
      <c r="E255" s="89"/>
      <c r="F255" s="407">
        <f t="shared" si="1130"/>
        <v>3</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t="s">
        <v>1989</v>
      </c>
      <c r="T255" s="73">
        <f>COUNTIF($M$255,S255)*$D$44</f>
        <v>0</v>
      </c>
      <c r="U255" s="64"/>
      <c r="V255" s="74" t="s">
        <v>2033</v>
      </c>
      <c r="W255" s="73">
        <f t="shared" ref="W255" si="1251">COUNTIF($M$255,V255)*$D$44</f>
        <v>0</v>
      </c>
      <c r="X255" s="64"/>
      <c r="Y255" s="74" t="s">
        <v>2066</v>
      </c>
      <c r="Z255" s="73">
        <f t="shared" ref="Z255" si="1252">COUNTIF($M$255,Y255)*$D$44</f>
        <v>0</v>
      </c>
      <c r="AA255" s="64"/>
      <c r="AB255" s="74" t="s">
        <v>2031</v>
      </c>
      <c r="AC255" s="73">
        <f t="shared" ref="AC255" si="1253">COUNTIF($M$255,AB255)*$D$44</f>
        <v>0</v>
      </c>
      <c r="AD255" s="64"/>
      <c r="AE255" s="74" t="s">
        <v>2138</v>
      </c>
      <c r="AF255" s="73">
        <f t="shared" ref="AF255" si="1254">COUNTIF($M$255,AE255)*$D$44</f>
        <v>0</v>
      </c>
      <c r="AG255" s="64"/>
      <c r="AH255" s="74" t="s">
        <v>1989</v>
      </c>
      <c r="AI255" s="73">
        <f t="shared" ref="AI255" si="1255">COUNTIF($M$255,AH255)*$D$44</f>
        <v>0</v>
      </c>
      <c r="AJ255" s="64"/>
      <c r="AK255" s="74" t="s">
        <v>2189</v>
      </c>
      <c r="AL255" s="73">
        <f t="shared" ref="AL255" si="1256">COUNTIF($M$255,AK255)*$D$44</f>
        <v>0</v>
      </c>
      <c r="AM255" s="64"/>
      <c r="AN255" s="74" t="s">
        <v>2210</v>
      </c>
      <c r="AO255" s="73">
        <f t="shared" ref="AO255" si="1257">COUNTIF($M$255,AN255)*$D$44</f>
        <v>0</v>
      </c>
      <c r="AP255" s="64"/>
      <c r="AQ255" s="74" t="s">
        <v>2167</v>
      </c>
      <c r="AR255" s="73">
        <f t="shared" ref="AR255" si="1258">COUNTIF($M$255,AQ255)*$D$44</f>
        <v>0</v>
      </c>
      <c r="AS255" s="64"/>
      <c r="AT255" s="74" t="s">
        <v>2248</v>
      </c>
      <c r="AU255" s="73">
        <f t="shared" ref="AU255" si="1259">COUNTIF($M$255,AT255)*$D$44</f>
        <v>0</v>
      </c>
      <c r="AV255" s="64"/>
      <c r="AW255" s="74" t="s">
        <v>2277</v>
      </c>
      <c r="AX255" s="73">
        <f t="shared" ref="AX255" si="1260">COUNTIF($M$255,AW255)*$D$44</f>
        <v>0</v>
      </c>
      <c r="AY255" s="64"/>
      <c r="AZ255" s="74" t="s">
        <v>2299</v>
      </c>
      <c r="BA255" s="73">
        <f t="shared" ref="BA255" si="1261">COUNTIF($M$255,AZ255)*$D$44</f>
        <v>0</v>
      </c>
      <c r="BB255" s="64"/>
      <c r="BC255" s="74" t="s">
        <v>2328</v>
      </c>
      <c r="BD255" s="73">
        <f t="shared" ref="BD255" si="1262">COUNTIF($M$255,BC255)*$D$44</f>
        <v>0</v>
      </c>
      <c r="BE255" s="64"/>
      <c r="BF255" s="74" t="s">
        <v>2359</v>
      </c>
      <c r="BG255" s="73">
        <f t="shared" ref="BG255" si="1263">COUNTIF($M$255,BF255)*$D$44</f>
        <v>0</v>
      </c>
      <c r="BH255" s="64"/>
      <c r="BI255" s="74" t="s">
        <v>2379</v>
      </c>
      <c r="BJ255" s="73">
        <f t="shared" ref="BJ255" si="1264">COUNTIF($M$255,BI255)*$D$44</f>
        <v>0</v>
      </c>
      <c r="BK255" s="64"/>
      <c r="BL255" s="74" t="s">
        <v>2405</v>
      </c>
      <c r="BM255" s="73">
        <f t="shared" ref="BM255" si="1265">COUNTIF($M$255,BL255)*$D$44</f>
        <v>0</v>
      </c>
      <c r="BN255" s="64"/>
      <c r="BO255" s="74" t="s">
        <v>2065</v>
      </c>
      <c r="BP255" s="73">
        <f t="shared" ref="BP255" si="1266">COUNTIF($M$255,BO255)*$D$44</f>
        <v>0</v>
      </c>
      <c r="BQ255" s="64"/>
      <c r="BR255" s="74" t="s">
        <v>2423</v>
      </c>
      <c r="BS255" s="73">
        <f t="shared" ref="BS255" si="1267">COUNTIF($M$255,BR255)*$D$44</f>
        <v>0</v>
      </c>
      <c r="BT255" s="64"/>
      <c r="BU255" s="74" t="s">
        <v>2437</v>
      </c>
      <c r="BV255" s="73">
        <f t="shared" ref="BV255" si="1268">COUNTIF($M$255,BU255)*$D$44</f>
        <v>0</v>
      </c>
      <c r="BW255" s="64"/>
      <c r="BX255" s="74" t="s">
        <v>2357</v>
      </c>
      <c r="BY255" s="73">
        <f t="shared" ref="BY255" si="1269">COUNTIF($M$255,BX255)*$D$44</f>
        <v>0</v>
      </c>
      <c r="BZ255" s="64"/>
      <c r="CA255" s="74" t="s">
        <v>2488</v>
      </c>
      <c r="CB255" s="73">
        <f t="shared" ref="CB255" si="1270">COUNTIF($M$255,CA255)*$D$44</f>
        <v>0</v>
      </c>
      <c r="CC255" s="64"/>
      <c r="CD255" s="74" t="s">
        <v>2437</v>
      </c>
      <c r="CE255" s="73">
        <f t="shared" ref="CE255" si="1271">COUNTIF($M$255,CD255)*$D$44</f>
        <v>0</v>
      </c>
      <c r="CF255" s="64"/>
      <c r="CG255" s="74" t="s">
        <v>2545</v>
      </c>
      <c r="CH255" s="73">
        <f t="shared" ref="CH255" si="1272">COUNTIF($M$255,CG255)*$D$44</f>
        <v>0</v>
      </c>
      <c r="CI255" s="64"/>
      <c r="CJ255" s="74" t="s">
        <v>1989</v>
      </c>
      <c r="CK255" s="73">
        <f t="shared" ref="CK255" si="1273">COUNTIF($M$255,CJ255)*$D$44</f>
        <v>0</v>
      </c>
      <c r="CL255" s="64"/>
      <c r="CM255" s="74" t="s">
        <v>2598</v>
      </c>
      <c r="CN255" s="73">
        <f t="shared" ref="CN255" si="1274">COUNTIF($M$255,CM255)*$D$44</f>
        <v>0</v>
      </c>
      <c r="CO255" s="64"/>
      <c r="CP255" s="64"/>
    </row>
    <row r="256" spans="1:94" ht="15.95" customHeight="1">
      <c r="A256" s="17"/>
      <c r="B256" s="17"/>
      <c r="C256" s="17"/>
      <c r="D256" s="17"/>
      <c r="E256" s="89"/>
      <c r="F256" s="407">
        <f t="shared" si="1130"/>
        <v>10</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1989</v>
      </c>
      <c r="T256" s="73">
        <f>COUNTIF($M$256,S256)*$D$45</f>
        <v>0</v>
      </c>
      <c r="U256" s="64"/>
      <c r="V256" s="74" t="s">
        <v>2032</v>
      </c>
      <c r="W256" s="73">
        <f t="shared" ref="W256" si="1275">COUNTIF($M$256,V256)*$D$45</f>
        <v>0</v>
      </c>
      <c r="X256" s="64"/>
      <c r="Y256" s="74" t="s">
        <v>1989</v>
      </c>
      <c r="Z256" s="73">
        <f t="shared" ref="Z256" si="1276">COUNTIF($M$256,Y256)*$D$45</f>
        <v>0</v>
      </c>
      <c r="AA256" s="64"/>
      <c r="AB256" s="74" t="s">
        <v>2104</v>
      </c>
      <c r="AC256" s="73">
        <f t="shared" ref="AC256" si="1277">COUNTIF($M$256,AB256)*$D$45</f>
        <v>0</v>
      </c>
      <c r="AD256" s="64"/>
      <c r="AE256" s="74" t="s">
        <v>2139</v>
      </c>
      <c r="AF256" s="73">
        <f t="shared" ref="AF256" si="1278">COUNTIF($M$256,AE256)*$D$45</f>
        <v>0</v>
      </c>
      <c r="AG256" s="64"/>
      <c r="AH256" s="74" t="s">
        <v>2166</v>
      </c>
      <c r="AI256" s="73">
        <f t="shared" ref="AI256" si="1279">COUNTIF($M$256,AH256)*$D$45</f>
        <v>0</v>
      </c>
      <c r="AJ256" s="64"/>
      <c r="AK256" s="74" t="s">
        <v>2167</v>
      </c>
      <c r="AL256" s="73">
        <f t="shared" ref="AL256" si="1280">COUNTIF($M$256,AK256)*$D$45</f>
        <v>0</v>
      </c>
      <c r="AM256" s="64"/>
      <c r="AN256" s="74" t="s">
        <v>2211</v>
      </c>
      <c r="AO256" s="73">
        <f t="shared" ref="AO256" si="1281">COUNTIF($M$256,AN256)*$D$45</f>
        <v>0</v>
      </c>
      <c r="AP256" s="64"/>
      <c r="AQ256" s="74" t="s">
        <v>2190</v>
      </c>
      <c r="AR256" s="73">
        <f t="shared" ref="AR256" si="1282">COUNTIF($M$256,AQ256)*$D$45</f>
        <v>0</v>
      </c>
      <c r="AS256" s="64"/>
      <c r="AT256" s="74" t="s">
        <v>2104</v>
      </c>
      <c r="AU256" s="73">
        <f t="shared" ref="AU256" si="1283">COUNTIF($M$256,AT256)*$D$45</f>
        <v>0</v>
      </c>
      <c r="AV256" s="64"/>
      <c r="AW256" s="74" t="s">
        <v>2278</v>
      </c>
      <c r="AX256" s="73">
        <f t="shared" ref="AX256" si="1284">COUNTIF($M$256,AW256)*$D$45</f>
        <v>0</v>
      </c>
      <c r="AY256" s="64"/>
      <c r="AZ256" s="74" t="s">
        <v>2211</v>
      </c>
      <c r="BA256" s="73">
        <f t="shared" ref="BA256" si="1285">COUNTIF($M$256,AZ256)*$D$45</f>
        <v>0</v>
      </c>
      <c r="BB256" s="64"/>
      <c r="BC256" s="74" t="s">
        <v>2329</v>
      </c>
      <c r="BD256" s="73">
        <f t="shared" ref="BD256" si="1286">COUNTIF($M$256,BC256)*$D$45</f>
        <v>0</v>
      </c>
      <c r="BE256" s="64"/>
      <c r="BF256" s="74" t="s">
        <v>2211</v>
      </c>
      <c r="BG256" s="73">
        <f t="shared" ref="BG256" si="1287">COUNTIF($M$256,BF256)*$D$45</f>
        <v>0</v>
      </c>
      <c r="BH256" s="64"/>
      <c r="BI256" s="74" t="s">
        <v>2380</v>
      </c>
      <c r="BJ256" s="73">
        <f t="shared" ref="BJ256" si="1288">COUNTIF($M$256,BI256)*$D$45</f>
        <v>0</v>
      </c>
      <c r="BK256" s="64"/>
      <c r="BL256" s="74" t="s">
        <v>1988</v>
      </c>
      <c r="BM256" s="73">
        <f t="shared" ref="BM256" si="1289">COUNTIF($M$256,BL256)*$D$45</f>
        <v>0</v>
      </c>
      <c r="BN256" s="64"/>
      <c r="BO256" s="74" t="s">
        <v>2567</v>
      </c>
      <c r="BP256" s="73">
        <f t="shared" ref="BP256" si="1290">COUNTIF($M$256,BO256)*$D$45</f>
        <v>0</v>
      </c>
      <c r="BQ256" s="64"/>
      <c r="BR256" s="74" t="s">
        <v>2421</v>
      </c>
      <c r="BS256" s="73">
        <f t="shared" ref="BS256" si="1291">COUNTIF($M$256,BR256)*$D$45</f>
        <v>0</v>
      </c>
      <c r="BT256" s="64"/>
      <c r="BU256" s="74" t="s">
        <v>2438</v>
      </c>
      <c r="BV256" s="73">
        <f t="shared" ref="BV256" si="1292">COUNTIF($M$256,BU256)*$D$45</f>
        <v>0</v>
      </c>
      <c r="BW256" s="64"/>
      <c r="BX256" s="74" t="s">
        <v>2209</v>
      </c>
      <c r="BY256" s="73">
        <f t="shared" ref="BY256" si="1293">COUNTIF($M$256,BX256)*$D$45</f>
        <v>0</v>
      </c>
      <c r="BZ256" s="64"/>
      <c r="CA256" s="74" t="s">
        <v>2167</v>
      </c>
      <c r="CB256" s="73">
        <f t="shared" ref="CB256" si="1294">COUNTIF($M$256,CA256)*$D$45</f>
        <v>0</v>
      </c>
      <c r="CC256" s="64"/>
      <c r="CD256" s="74" t="s">
        <v>2518</v>
      </c>
      <c r="CE256" s="73">
        <f t="shared" ref="CE256" si="1295">COUNTIF($M$256,CD256)*$D$45</f>
        <v>0</v>
      </c>
      <c r="CF256" s="64"/>
      <c r="CG256" s="74" t="s">
        <v>2546</v>
      </c>
      <c r="CH256" s="73">
        <f t="shared" ref="CH256" si="1296">COUNTIF($M$256,CG256)*$D$45</f>
        <v>0</v>
      </c>
      <c r="CI256" s="64"/>
      <c r="CJ256" s="74" t="s">
        <v>1989</v>
      </c>
      <c r="CK256" s="73">
        <f t="shared" ref="CK256" si="1297">COUNTIF($M$256,CJ256)*$D$45</f>
        <v>0</v>
      </c>
      <c r="CL256" s="64"/>
      <c r="CM256" s="74" t="s">
        <v>2167</v>
      </c>
      <c r="CN256" s="73">
        <f t="shared" ref="CN256" si="1298">COUNTIF($M$256,CM256)*$D$45</f>
        <v>0</v>
      </c>
      <c r="CO256" s="64"/>
      <c r="CP256" s="64"/>
    </row>
    <row r="257" spans="1:94" ht="15.95" customHeight="1">
      <c r="A257" s="17"/>
      <c r="B257" s="17"/>
      <c r="C257" s="17"/>
      <c r="D257" s="17"/>
      <c r="E257" s="89"/>
      <c r="F257" s="407">
        <f t="shared" si="1130"/>
        <v>5</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t="s">
        <v>1988</v>
      </c>
      <c r="T257" s="73">
        <f>COUNTIF($M$257,S257)*$D$46</f>
        <v>0</v>
      </c>
      <c r="U257" s="64"/>
      <c r="V257" s="74" t="s">
        <v>2031</v>
      </c>
      <c r="W257" s="73">
        <f t="shared" ref="W257" si="1299">COUNTIF($M$257,V257)*$D$46</f>
        <v>0</v>
      </c>
      <c r="X257" s="64"/>
      <c r="Y257" s="74" t="s">
        <v>2067</v>
      </c>
      <c r="Z257" s="73">
        <f t="shared" ref="Z257" si="1300">COUNTIF($M$257,Y257)*$D$46</f>
        <v>0</v>
      </c>
      <c r="AA257" s="64"/>
      <c r="AB257" s="74" t="s">
        <v>2031</v>
      </c>
      <c r="AC257" s="73">
        <f t="shared" ref="AC257" si="1301">COUNTIF($M$257,AB257)*$D$46</f>
        <v>0</v>
      </c>
      <c r="AD257" s="64"/>
      <c r="AE257" s="74" t="s">
        <v>2140</v>
      </c>
      <c r="AF257" s="73">
        <f t="shared" ref="AF257" si="1302">COUNTIF($M$257,AE257)*$D$46</f>
        <v>0</v>
      </c>
      <c r="AG257" s="64"/>
      <c r="AH257" s="74" t="s">
        <v>2167</v>
      </c>
      <c r="AI257" s="73">
        <f t="shared" ref="AI257" si="1303">COUNTIF($M$257,AH257)*$D$46</f>
        <v>0</v>
      </c>
      <c r="AJ257" s="64"/>
      <c r="AK257" s="74" t="s">
        <v>1989</v>
      </c>
      <c r="AL257" s="73">
        <f t="shared" ref="AL257" si="1304">COUNTIF($M$257,AK257)*$D$46</f>
        <v>0</v>
      </c>
      <c r="AM257" s="64"/>
      <c r="AN257" s="74" t="s">
        <v>1989</v>
      </c>
      <c r="AO257" s="73">
        <f t="shared" ref="AO257" si="1305">COUNTIF($M$257,AN257)*$D$46</f>
        <v>0</v>
      </c>
      <c r="AP257" s="64"/>
      <c r="AQ257" s="74" t="s">
        <v>1989</v>
      </c>
      <c r="AR257" s="73">
        <f t="shared" ref="AR257" si="1306">COUNTIF($M$257,AQ257)*$D$46</f>
        <v>0</v>
      </c>
      <c r="AS257" s="64"/>
      <c r="AT257" s="74" t="s">
        <v>2167</v>
      </c>
      <c r="AU257" s="73">
        <f t="shared" ref="AU257" si="1307">COUNTIF($M$257,AT257)*$D$46</f>
        <v>0</v>
      </c>
      <c r="AV257" s="64"/>
      <c r="AW257" s="74" t="s">
        <v>2275</v>
      </c>
      <c r="AX257" s="73">
        <f t="shared" ref="AX257" si="1308">COUNTIF($M$257,AW257)*$D$46</f>
        <v>0</v>
      </c>
      <c r="AY257" s="64"/>
      <c r="AZ257" s="74" t="s">
        <v>2300</v>
      </c>
      <c r="BA257" s="73">
        <f t="shared" ref="BA257" si="1309">COUNTIF($M$257,AZ257)*$D$46</f>
        <v>0</v>
      </c>
      <c r="BB257" s="64"/>
      <c r="BC257" s="74" t="s">
        <v>2330</v>
      </c>
      <c r="BD257" s="73">
        <f t="shared" ref="BD257" si="1310">COUNTIF($M$257,BC257)*$D$46</f>
        <v>0</v>
      </c>
      <c r="BE257" s="64"/>
      <c r="BF257" s="74" t="s">
        <v>2359</v>
      </c>
      <c r="BG257" s="73">
        <f t="shared" ref="BG257" si="1311">COUNTIF($M$257,BF257)*$D$46</f>
        <v>0</v>
      </c>
      <c r="BH257" s="64"/>
      <c r="BI257" s="74" t="s">
        <v>2275</v>
      </c>
      <c r="BJ257" s="73">
        <f t="shared" ref="BJ257" si="1312">COUNTIF($M$257,BI257)*$D$46</f>
        <v>0</v>
      </c>
      <c r="BK257" s="64"/>
      <c r="BL257" s="74" t="s">
        <v>2406</v>
      </c>
      <c r="BM257" s="73">
        <f t="shared" ref="BM257" si="1313">COUNTIF($M$257,BL257)*$D$46</f>
        <v>0</v>
      </c>
      <c r="BN257" s="64"/>
      <c r="BO257" s="74" t="s">
        <v>2190</v>
      </c>
      <c r="BP257" s="73">
        <f t="shared" ref="BP257" si="1314">COUNTIF($M$257,BO257)*$D$46</f>
        <v>0</v>
      </c>
      <c r="BQ257" s="64"/>
      <c r="BR257" s="74" t="s">
        <v>2424</v>
      </c>
      <c r="BS257" s="73">
        <f t="shared" ref="BS257" si="1315">COUNTIF($M$257,BR257)*$D$46</f>
        <v>0</v>
      </c>
      <c r="BT257" s="64"/>
      <c r="BU257" s="74" t="s">
        <v>2439</v>
      </c>
      <c r="BV257" s="73">
        <f t="shared" ref="BV257" si="1316">COUNTIF($M$257,BU257)*$D$46</f>
        <v>0</v>
      </c>
      <c r="BW257" s="64"/>
      <c r="BX257" s="74" t="s">
        <v>2439</v>
      </c>
      <c r="BY257" s="73">
        <f t="shared" ref="BY257" si="1317">COUNTIF($M$257,BX257)*$D$46</f>
        <v>0</v>
      </c>
      <c r="BZ257" s="64"/>
      <c r="CA257" s="74" t="s">
        <v>1989</v>
      </c>
      <c r="CB257" s="73">
        <f t="shared" ref="CB257" si="1318">COUNTIF($M$257,CA257)*$D$46</f>
        <v>0</v>
      </c>
      <c r="CC257" s="64"/>
      <c r="CD257" s="74" t="s">
        <v>2209</v>
      </c>
      <c r="CE257" s="73">
        <f t="shared" ref="CE257" si="1319">COUNTIF($M$257,CD257)*$D$46</f>
        <v>0</v>
      </c>
      <c r="CF257" s="64"/>
      <c r="CG257" s="74" t="s">
        <v>2547</v>
      </c>
      <c r="CH257" s="73">
        <f t="shared" ref="CH257" si="1320">COUNTIF($M$257,CG257)*$D$46</f>
        <v>0</v>
      </c>
      <c r="CI257" s="64"/>
      <c r="CJ257" s="74" t="s">
        <v>2167</v>
      </c>
      <c r="CK257" s="73">
        <f t="shared" ref="CK257" si="1321">COUNTIF($M$257,CJ257)*$D$46</f>
        <v>0</v>
      </c>
      <c r="CL257" s="64"/>
      <c r="CM257" s="74" t="s">
        <v>2598</v>
      </c>
      <c r="CN257" s="73">
        <f t="shared" ref="CN257" si="1322">COUNTIF($M$257,CM257)*$D$46</f>
        <v>0</v>
      </c>
      <c r="CO257" s="64"/>
      <c r="CP257" s="64"/>
    </row>
    <row r="258" spans="1:94" ht="15.95" customHeight="1">
      <c r="A258" s="17"/>
      <c r="B258" s="17"/>
      <c r="C258" s="17"/>
      <c r="D258" s="17"/>
      <c r="E258" s="89"/>
      <c r="F258" s="407">
        <f t="shared" si="1130"/>
        <v>3</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t="s">
        <v>1990</v>
      </c>
      <c r="T258" s="81">
        <f>COUNTIF($M$258,S258)*$D$47</f>
        <v>0</v>
      </c>
      <c r="U258" s="64"/>
      <c r="V258" s="80" t="s">
        <v>2033</v>
      </c>
      <c r="W258" s="81">
        <f t="shared" ref="W258" si="1323">COUNTIF($M$258,V258)*$D$47</f>
        <v>0</v>
      </c>
      <c r="X258" s="64"/>
      <c r="Y258" s="80" t="s">
        <v>2068</v>
      </c>
      <c r="Z258" s="81">
        <f t="shared" ref="Z258" si="1324">COUNTIF($M$258,Y258)*$D$47</f>
        <v>0</v>
      </c>
      <c r="AA258" s="64"/>
      <c r="AB258" s="80" t="s">
        <v>1988</v>
      </c>
      <c r="AC258" s="81">
        <f t="shared" ref="AC258" si="1325">COUNTIF($M$258,AB258)*$D$47</f>
        <v>0</v>
      </c>
      <c r="AD258" s="64"/>
      <c r="AE258" s="80" t="s">
        <v>2141</v>
      </c>
      <c r="AF258" s="81">
        <f t="shared" ref="AF258" si="1326">COUNTIF($M$258,AE258)*$D$47</f>
        <v>0</v>
      </c>
      <c r="AG258" s="64"/>
      <c r="AH258" s="80" t="s">
        <v>1989</v>
      </c>
      <c r="AI258" s="81">
        <f t="shared" ref="AI258" si="1327">COUNTIF($M$258,AH258)*$D$47</f>
        <v>0</v>
      </c>
      <c r="AJ258" s="64"/>
      <c r="AK258" s="80" t="s">
        <v>2190</v>
      </c>
      <c r="AL258" s="81">
        <f t="shared" ref="AL258" si="1328">COUNTIF($M$258,AK258)*$D$47</f>
        <v>0</v>
      </c>
      <c r="AM258" s="64"/>
      <c r="AN258" s="80" t="s">
        <v>2212</v>
      </c>
      <c r="AO258" s="81">
        <f t="shared" ref="AO258" si="1329">COUNTIF($M$258,AN258)*$D$47</f>
        <v>0</v>
      </c>
      <c r="AP258" s="64"/>
      <c r="AQ258" s="80" t="s">
        <v>2167</v>
      </c>
      <c r="AR258" s="81">
        <f t="shared" ref="AR258" si="1330">COUNTIF($M$258,AQ258)*$D$47</f>
        <v>0</v>
      </c>
      <c r="AS258" s="64"/>
      <c r="AT258" s="80" t="s">
        <v>2249</v>
      </c>
      <c r="AU258" s="81">
        <f t="shared" ref="AU258" si="1331">COUNTIF($M$258,AT258)*$D$47</f>
        <v>0</v>
      </c>
      <c r="AV258" s="64"/>
      <c r="AW258" s="80" t="s">
        <v>2279</v>
      </c>
      <c r="AX258" s="81">
        <f t="shared" ref="AX258" si="1332">COUNTIF($M$258,AW258)*$D$47</f>
        <v>0</v>
      </c>
      <c r="AY258" s="64"/>
      <c r="AZ258" s="80" t="s">
        <v>2209</v>
      </c>
      <c r="BA258" s="81">
        <f t="shared" ref="BA258" si="1333">COUNTIF($M$258,AZ258)*$D$47</f>
        <v>0</v>
      </c>
      <c r="BB258" s="64"/>
      <c r="BC258" s="80" t="s">
        <v>2326</v>
      </c>
      <c r="BD258" s="81">
        <f t="shared" ref="BD258" si="1334">COUNTIF($M$258,BC258)*$D$47</f>
        <v>0</v>
      </c>
      <c r="BE258" s="64"/>
      <c r="BF258" s="80" t="s">
        <v>2358</v>
      </c>
      <c r="BG258" s="81">
        <f t="shared" ref="BG258" si="1335">COUNTIF($M$258,BF258)*$D$47</f>
        <v>0</v>
      </c>
      <c r="BH258" s="64"/>
      <c r="BI258" s="80" t="s">
        <v>2381</v>
      </c>
      <c r="BJ258" s="81">
        <f t="shared" ref="BJ258" si="1336">COUNTIF($M$258,BI258)*$D$47</f>
        <v>0</v>
      </c>
      <c r="BK258" s="64"/>
      <c r="BL258" s="80" t="s">
        <v>2211</v>
      </c>
      <c r="BM258" s="81">
        <f t="shared" ref="BM258" si="1337">COUNTIF($M$258,BL258)*$D$47</f>
        <v>0</v>
      </c>
      <c r="BN258" s="64"/>
      <c r="BO258" s="80" t="s">
        <v>2167</v>
      </c>
      <c r="BP258" s="81">
        <f t="shared" ref="BP258" si="1338">COUNTIF($M$258,BO258)*$D$47</f>
        <v>0</v>
      </c>
      <c r="BQ258" s="64"/>
      <c r="BR258" s="80" t="s">
        <v>2209</v>
      </c>
      <c r="BS258" s="81">
        <f t="shared" ref="BS258" si="1339">COUNTIF($M$258,BR258)*$D$47</f>
        <v>0</v>
      </c>
      <c r="BT258" s="64"/>
      <c r="BU258" s="80" t="s">
        <v>2209</v>
      </c>
      <c r="BV258" s="81">
        <f t="shared" ref="BV258" si="1340">COUNTIF($M$258,BU258)*$D$47</f>
        <v>0</v>
      </c>
      <c r="BW258" s="64"/>
      <c r="BX258" s="80" t="s">
        <v>2211</v>
      </c>
      <c r="BY258" s="81">
        <f t="shared" ref="BY258" si="1341">COUNTIF($M$258,BX258)*$D$47</f>
        <v>0</v>
      </c>
      <c r="BZ258" s="64"/>
      <c r="CA258" s="80" t="s">
        <v>2065</v>
      </c>
      <c r="CB258" s="81">
        <f t="shared" ref="CB258" si="1342">COUNTIF($M$258,CA258)*$D$47</f>
        <v>0</v>
      </c>
      <c r="CC258" s="64"/>
      <c r="CD258" s="80" t="s">
        <v>2519</v>
      </c>
      <c r="CE258" s="81">
        <f t="shared" ref="CE258" si="1343">COUNTIF($M$258,CD258)*$D$47</f>
        <v>0</v>
      </c>
      <c r="CF258" s="64"/>
      <c r="CG258" s="80" t="s">
        <v>2543</v>
      </c>
      <c r="CH258" s="81">
        <f t="shared" ref="CH258" si="1344">COUNTIF($M$258,CG258)*$D$47</f>
        <v>0</v>
      </c>
      <c r="CI258" s="64"/>
      <c r="CJ258" s="80" t="s">
        <v>2584</v>
      </c>
      <c r="CK258" s="81">
        <f t="shared" ref="CK258" si="1345">COUNTIF($M$258,CJ258)*$D$47</f>
        <v>0</v>
      </c>
      <c r="CL258" s="64"/>
      <c r="CM258" s="80" t="s">
        <v>2104</v>
      </c>
      <c r="CN258" s="81">
        <f t="shared" ref="CN258" si="1346">COUNTIF($M$258,CM258)*$D$47</f>
        <v>0</v>
      </c>
      <c r="CO258" s="64"/>
      <c r="CP258" s="64"/>
    </row>
    <row r="259" spans="1:94">
      <c r="A259" s="49"/>
      <c r="B259" s="49"/>
      <c r="C259" s="49"/>
      <c r="D259" s="49"/>
      <c r="E259" s="111"/>
      <c r="F259" s="728"/>
      <c r="G259" s="729"/>
      <c r="H259" s="49"/>
      <c r="I259" s="50"/>
      <c r="J259" s="94"/>
      <c r="K259" s="434" t="str">
        <f>Idiomas!D469</f>
        <v xml:space="preserve">Cuadro de Honor </v>
      </c>
      <c r="L259" s="435"/>
      <c r="M259" s="434" t="str">
        <f>"Max: "&amp;SUM($D$39:$D$47)</f>
        <v>Max: 71</v>
      </c>
      <c r="N259" s="19"/>
      <c r="O259" s="19"/>
      <c r="P259" s="19"/>
      <c r="Q259" s="19"/>
      <c r="R259" s="297"/>
      <c r="S259" s="71"/>
      <c r="T259" s="71">
        <f>SUM(T250:T258)</f>
        <v>0</v>
      </c>
      <c r="U259" s="65"/>
      <c r="V259" s="71"/>
      <c r="W259" s="71">
        <f t="shared" ref="W259" si="1347">SUM(W250:W258)</f>
        <v>0</v>
      </c>
      <c r="X259" s="65"/>
      <c r="Y259" s="71"/>
      <c r="Z259" s="71">
        <f t="shared" ref="Z259" si="1348">SUM(Z250:Z258)</f>
        <v>0</v>
      </c>
      <c r="AA259" s="65"/>
      <c r="AB259" s="71"/>
      <c r="AC259" s="71">
        <f t="shared" ref="AC259" si="1349">SUM(AC250:AC258)</f>
        <v>0</v>
      </c>
      <c r="AD259" s="65"/>
      <c r="AE259" s="71"/>
      <c r="AF259" s="71">
        <f t="shared" ref="AF259" si="1350">SUM(AF250:AF258)</f>
        <v>0</v>
      </c>
      <c r="AG259" s="65"/>
      <c r="AH259" s="71"/>
      <c r="AI259" s="71">
        <f t="shared" ref="AI259" si="1351">SUM(AI250:AI258)</f>
        <v>0</v>
      </c>
      <c r="AJ259" s="65"/>
      <c r="AK259" s="71"/>
      <c r="AL259" s="71">
        <f t="shared" ref="AL259" si="1352">SUM(AL250:AL258)</f>
        <v>0</v>
      </c>
      <c r="AM259" s="65"/>
      <c r="AN259" s="71"/>
      <c r="AO259" s="71">
        <f t="shared" ref="AO259" si="1353">SUM(AO250:AO258)</f>
        <v>0</v>
      </c>
      <c r="AP259" s="65"/>
      <c r="AQ259" s="71"/>
      <c r="AR259" s="71">
        <f t="shared" ref="AR259" si="1354">SUM(AR250:AR258)</f>
        <v>0</v>
      </c>
      <c r="AS259" s="65"/>
      <c r="AT259" s="71"/>
      <c r="AU259" s="71">
        <f t="shared" ref="AU259" si="1355">SUM(AU250:AU258)</f>
        <v>0</v>
      </c>
      <c r="AV259" s="65"/>
      <c r="AW259" s="71"/>
      <c r="AX259" s="71">
        <f t="shared" ref="AX259" si="1356">SUM(AX250:AX258)</f>
        <v>0</v>
      </c>
      <c r="AY259" s="65"/>
      <c r="AZ259" s="71"/>
      <c r="BA259" s="71">
        <f t="shared" ref="BA259" si="1357">SUM(BA250:BA258)</f>
        <v>0</v>
      </c>
      <c r="BB259" s="65"/>
      <c r="BC259" s="71"/>
      <c r="BD259" s="71">
        <f t="shared" ref="BD259" si="1358">SUM(BD250:BD258)</f>
        <v>0</v>
      </c>
      <c r="BE259" s="65"/>
      <c r="BF259" s="71"/>
      <c r="BG259" s="71">
        <f t="shared" ref="BG259" si="1359">SUM(BG250:BG258)</f>
        <v>0</v>
      </c>
      <c r="BH259" s="65"/>
      <c r="BI259" s="71"/>
      <c r="BJ259" s="71">
        <f t="shared" ref="BJ259" si="1360">SUM(BJ250:BJ258)</f>
        <v>0</v>
      </c>
      <c r="BK259" s="65"/>
      <c r="BL259" s="71"/>
      <c r="BM259" s="71">
        <f t="shared" ref="BM259" si="1361">SUM(BM250:BM258)</f>
        <v>0</v>
      </c>
      <c r="BN259" s="65"/>
      <c r="BO259" s="71"/>
      <c r="BP259" s="71">
        <f t="shared" ref="BP259" si="1362">SUM(BP250:BP258)</f>
        <v>0</v>
      </c>
      <c r="BQ259" s="65"/>
      <c r="BR259" s="71"/>
      <c r="BS259" s="71">
        <f t="shared" ref="BS259" si="1363">SUM(BS250:BS258)</f>
        <v>0</v>
      </c>
      <c r="BT259" s="65"/>
      <c r="BU259" s="71"/>
      <c r="BV259" s="71">
        <f t="shared" ref="BV259" si="1364">SUM(BV250:BV258)</f>
        <v>0</v>
      </c>
      <c r="BW259" s="65"/>
      <c r="BX259" s="71"/>
      <c r="BY259" s="71">
        <f t="shared" ref="BY259" si="1365">SUM(BY250:BY258)</f>
        <v>0</v>
      </c>
      <c r="BZ259" s="65"/>
      <c r="CA259" s="71"/>
      <c r="CB259" s="71">
        <f t="shared" ref="CB259" si="1366">SUM(CB250:CB258)</f>
        <v>0</v>
      </c>
      <c r="CC259" s="65"/>
      <c r="CD259" s="71"/>
      <c r="CE259" s="71">
        <f t="shared" ref="CE259" si="1367">SUM(CE250:CE258)</f>
        <v>0</v>
      </c>
      <c r="CF259" s="65"/>
      <c r="CG259" s="71"/>
      <c r="CH259" s="71">
        <f t="shared" ref="CH259" si="1368">SUM(CH250:CH258)</f>
        <v>0</v>
      </c>
      <c r="CI259" s="65"/>
      <c r="CJ259" s="71"/>
      <c r="CK259" s="71">
        <f t="shared" ref="CK259" si="1369">SUM(CK250:CK258)</f>
        <v>0</v>
      </c>
      <c r="CL259" s="65"/>
      <c r="CM259" s="71"/>
      <c r="CN259" s="71">
        <f t="shared" ref="CN259" si="1370">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25">
        <f ca="1">RANK(AH264,OFFSET($S$264,0,0,1,$D$5*3),0)</f>
        <v>6</v>
      </c>
      <c r="AI263" s="25"/>
      <c r="AJ263" s="25"/>
      <c r="AK263" s="25">
        <f ca="1">RANK(AK264,OFFSET($S$264,0,0,1,$D$5*3),0)</f>
        <v>7</v>
      </c>
      <c r="AL263" s="25"/>
      <c r="AM263" s="25"/>
      <c r="AN263" s="25">
        <f ca="1">RANK(AN264,OFFSET($S$264,0,0,1,$D$5*3),0)</f>
        <v>8</v>
      </c>
      <c r="AO263" s="25"/>
      <c r="AP263" s="25"/>
      <c r="AQ263" s="25">
        <f ca="1">RANK(AQ264,OFFSET($S$264,0,0,1,$D$5*3),0)</f>
        <v>9</v>
      </c>
      <c r="AR263" s="25"/>
      <c r="AS263" s="25"/>
      <c r="AT263" s="25">
        <f ca="1">RANK(AT264,OFFSET($S$264,0,0,1,$D$5*3),0)</f>
        <v>10</v>
      </c>
      <c r="AU263" s="25"/>
      <c r="AV263" s="25"/>
      <c r="AW263" s="25">
        <f ca="1">RANK(AW264,OFFSET($S$264,0,0,1,$D$5*3),0)</f>
        <v>11</v>
      </c>
      <c r="AX263" s="25"/>
      <c r="AY263" s="25"/>
      <c r="AZ263" s="25">
        <f ca="1">RANK(AZ264,OFFSET($S$264,0,0,1,$D$5*3),0)</f>
        <v>12</v>
      </c>
      <c r="BA263" s="25"/>
      <c r="BB263" s="25"/>
      <c r="BC263" s="25">
        <f ca="1">RANK(BC264,OFFSET($S$264,0,0,1,$D$5*3),0)</f>
        <v>13</v>
      </c>
      <c r="BD263" s="25"/>
      <c r="BE263" s="25"/>
      <c r="BF263" s="25">
        <f ca="1">RANK(BF264,OFFSET($S$264,0,0,1,$D$5*3),0)</f>
        <v>14</v>
      </c>
      <c r="BG263" s="25"/>
      <c r="BH263" s="25"/>
      <c r="BI263" s="25">
        <f ca="1">RANK(BI264,OFFSET($S$264,0,0,1,$D$5*3),0)</f>
        <v>15</v>
      </c>
      <c r="BJ263" s="25"/>
      <c r="BK263" s="25"/>
      <c r="BL263" s="25">
        <f ca="1">RANK(BL264,OFFSET($S$264,0,0,1,$D$5*3),0)</f>
        <v>16</v>
      </c>
      <c r="BM263" s="25"/>
      <c r="BN263" s="25"/>
      <c r="BO263" s="25">
        <f ca="1">RANK(BO264,OFFSET($S$264,0,0,1,$D$5*3),0)</f>
        <v>17</v>
      </c>
      <c r="BP263" s="25"/>
      <c r="BQ263" s="25"/>
      <c r="BR263" s="25">
        <f ca="1">RANK(BR264,OFFSET($S$264,0,0,1,$D$5*3),0)</f>
        <v>18</v>
      </c>
      <c r="BS263" s="25"/>
      <c r="BT263" s="25"/>
      <c r="BU263" s="25">
        <f ca="1">RANK(BU264,OFFSET($S$264,0,0,1,$D$5*3),0)</f>
        <v>19</v>
      </c>
      <c r="BV263" s="25"/>
      <c r="BW263" s="25"/>
      <c r="BX263" s="25">
        <f ca="1">RANK(BX264,OFFSET($S$264,0,0,1,$D$5*3),0)</f>
        <v>20</v>
      </c>
      <c r="BY263" s="25"/>
      <c r="BZ263" s="25"/>
      <c r="CA263" s="25">
        <f ca="1">RANK(CA264,OFFSET($S$264,0,0,1,$D$5*3),0)</f>
        <v>21</v>
      </c>
      <c r="CB263" s="25"/>
      <c r="CC263" s="25"/>
      <c r="CD263" s="25">
        <f ca="1">RANK(CD264,OFFSET($S$264,0,0,1,$D$5*3),0)</f>
        <v>22</v>
      </c>
      <c r="CE263" s="25"/>
      <c r="CF263" s="25"/>
      <c r="CG263" s="25">
        <f ca="1">RANK(CG264,OFFSET($S$264,0,0,1,$D$5*3),0)</f>
        <v>23</v>
      </c>
      <c r="CH263" s="25"/>
      <c r="CI263" s="25"/>
      <c r="CJ263" s="25">
        <f ca="1">RANK(CJ264,OFFSET($S$264,0,0,1,$D$5*3),0)</f>
        <v>24</v>
      </c>
      <c r="CK263" s="25"/>
      <c r="CL263" s="25"/>
      <c r="CM263" s="25">
        <f ca="1">RANK(CM264,OFFSET($S$264,0,0,1,$D$5*3),0)</f>
        <v>25</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-1.9E-3</v>
      </c>
      <c r="T264" s="25"/>
      <c r="U264" s="25"/>
      <c r="V264" s="25">
        <f t="shared" ref="V264" ca="1" si="1371">V266-(COLUMN()/10000)</f>
        <v>-2.2000000000000001E-3</v>
      </c>
      <c r="W264" s="25"/>
      <c r="X264" s="25"/>
      <c r="Y264" s="25">
        <f t="shared" ref="Y264" ca="1" si="1372">Y266-(COLUMN()/10000)</f>
        <v>-2.5000000000000001E-3</v>
      </c>
      <c r="Z264" s="25"/>
      <c r="AA264" s="25"/>
      <c r="AB264" s="25">
        <f t="shared" ref="AB264" ca="1" si="1373">AB266-(COLUMN()/10000)</f>
        <v>-2.8E-3</v>
      </c>
      <c r="AC264" s="25"/>
      <c r="AD264" s="25"/>
      <c r="AE264" s="25">
        <f t="shared" ref="AE264" ca="1" si="1374">AE266-(COLUMN()/10000)</f>
        <v>-3.0999999999999999E-3</v>
      </c>
      <c r="AF264" s="25"/>
      <c r="AG264" s="25"/>
      <c r="AH264" s="25">
        <f t="shared" ref="AH264" ca="1" si="1375">AH266-(COLUMN()/10000)</f>
        <v>-3.3999999999999998E-3</v>
      </c>
      <c r="AI264" s="25"/>
      <c r="AJ264" s="25"/>
      <c r="AK264" s="25">
        <f t="shared" ref="AK264" ca="1" si="1376">AK266-(COLUMN()/10000)</f>
        <v>-3.7000000000000002E-3</v>
      </c>
      <c r="AL264" s="25"/>
      <c r="AM264" s="25"/>
      <c r="AN264" s="25">
        <f t="shared" ref="AN264" ca="1" si="1377">AN266-(COLUMN()/10000)</f>
        <v>-4.0000000000000001E-3</v>
      </c>
      <c r="AO264" s="25"/>
      <c r="AP264" s="25"/>
      <c r="AQ264" s="25">
        <f t="shared" ref="AQ264" ca="1" si="1378">AQ266-(COLUMN()/10000)</f>
        <v>-4.3E-3</v>
      </c>
      <c r="AR264" s="25"/>
      <c r="AS264" s="25"/>
      <c r="AT264" s="25">
        <f t="shared" ref="AT264" ca="1" si="1379">AT266-(COLUMN()/10000)</f>
        <v>-4.5999999999999999E-3</v>
      </c>
      <c r="AU264" s="25"/>
      <c r="AV264" s="25"/>
      <c r="AW264" s="25">
        <f t="shared" ref="AW264" ca="1" si="1380">AW266-(COLUMN()/10000)</f>
        <v>-4.8999999999999998E-3</v>
      </c>
      <c r="AX264" s="25"/>
      <c r="AY264" s="25"/>
      <c r="AZ264" s="25">
        <f t="shared" ref="AZ264" ca="1" si="1381">AZ266-(COLUMN()/10000)</f>
        <v>-5.1999999999999998E-3</v>
      </c>
      <c r="BA264" s="25"/>
      <c r="BB264" s="25"/>
      <c r="BC264" s="25">
        <f t="shared" ref="BC264" ca="1" si="1382">BC266-(COLUMN()/10000)</f>
        <v>-5.4999999999999997E-3</v>
      </c>
      <c r="BD264" s="25"/>
      <c r="BE264" s="25"/>
      <c r="BF264" s="25">
        <f t="shared" ref="BF264" ca="1" si="1383">BF266-(COLUMN()/10000)</f>
        <v>-5.7999999999999996E-3</v>
      </c>
      <c r="BG264" s="25"/>
      <c r="BH264" s="25"/>
      <c r="BI264" s="25">
        <f t="shared" ref="BI264" ca="1" si="1384">BI266-(COLUMN()/10000)</f>
        <v>-6.1000000000000004E-3</v>
      </c>
      <c r="BJ264" s="25"/>
      <c r="BK264" s="25"/>
      <c r="BL264" s="25">
        <f t="shared" ref="BL264" ca="1" si="1385">BL266-(COLUMN()/10000)</f>
        <v>-6.4000000000000003E-3</v>
      </c>
      <c r="BM264" s="25"/>
      <c r="BN264" s="25"/>
      <c r="BO264" s="25">
        <f t="shared" ref="BO264" ca="1" si="1386">BO266-(COLUMN()/10000)</f>
        <v>-6.7000000000000002E-3</v>
      </c>
      <c r="BP264" s="25"/>
      <c r="BQ264" s="25"/>
      <c r="BR264" s="25">
        <f t="shared" ref="BR264" ca="1" si="1387">BR266-(COLUMN()/10000)</f>
        <v>-7.0000000000000001E-3</v>
      </c>
      <c r="BS264" s="25"/>
      <c r="BT264" s="25"/>
      <c r="BU264" s="25">
        <f t="shared" ref="BU264" ca="1" si="1388">BU266-(COLUMN()/10000)</f>
        <v>-7.3000000000000001E-3</v>
      </c>
      <c r="BV264" s="25"/>
      <c r="BW264" s="25"/>
      <c r="BX264" s="25">
        <f t="shared" ref="BX264" ca="1" si="1389">BX266-(COLUMN()/10000)</f>
        <v>-7.6E-3</v>
      </c>
      <c r="BY264" s="25"/>
      <c r="BZ264" s="25"/>
      <c r="CA264" s="25">
        <f t="shared" ref="CA264" ca="1" si="1390">CA266-(COLUMN()/10000)</f>
        <v>-7.9000000000000008E-3</v>
      </c>
      <c r="CB264" s="25"/>
      <c r="CC264" s="25"/>
      <c r="CD264" s="25">
        <f t="shared" ref="CD264" ca="1" si="1391">CD266-(COLUMN()/10000)</f>
        <v>-8.2000000000000007E-3</v>
      </c>
      <c r="CE264" s="25"/>
      <c r="CF264" s="25"/>
      <c r="CG264" s="25">
        <f t="shared" ref="CG264" ca="1" si="1392">CG266-(COLUMN()/10000)</f>
        <v>-8.5000000000000006E-3</v>
      </c>
      <c r="CH264" s="25"/>
      <c r="CI264" s="25"/>
      <c r="CJ264" s="25">
        <f t="shared" ref="CJ264" ca="1" si="1393">CJ266-(COLUMN()/10000)</f>
        <v>-8.8000000000000005E-3</v>
      </c>
      <c r="CK264" s="25"/>
      <c r="CL264" s="25"/>
      <c r="CM264" s="25">
        <f t="shared" ref="CM264" ca="1" si="1394">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25">
        <f ca="1">RANK(AH266,OFFSET($S$266,0,0,1,$D$5*3),0)</f>
        <v>1</v>
      </c>
      <c r="AI265" s="25"/>
      <c r="AJ265" s="25"/>
      <c r="AK265" s="25">
        <f ca="1">RANK(AK266,OFFSET($S$266,0,0,1,$D$5*3),0)</f>
        <v>1</v>
      </c>
      <c r="AL265" s="25"/>
      <c r="AM265" s="25"/>
      <c r="AN265" s="25">
        <f ca="1">RANK(AN266,OFFSET($S$266,0,0,1,$D$5*3),0)</f>
        <v>1</v>
      </c>
      <c r="AO265" s="25"/>
      <c r="AP265" s="25"/>
      <c r="AQ265" s="25">
        <f ca="1">RANK(AQ266,OFFSET($S$266,0,0,1,$D$5*3),0)</f>
        <v>1</v>
      </c>
      <c r="AR265" s="25"/>
      <c r="AS265" s="25"/>
      <c r="AT265" s="25">
        <f ca="1">RANK(AT266,OFFSET($S$266,0,0,1,$D$5*3),0)</f>
        <v>1</v>
      </c>
      <c r="AU265" s="25"/>
      <c r="AV265" s="25"/>
      <c r="AW265" s="25">
        <f ca="1">RANK(AW266,OFFSET($S$266,0,0,1,$D$5*3),0)</f>
        <v>1</v>
      </c>
      <c r="AX265" s="25"/>
      <c r="AY265" s="25"/>
      <c r="AZ265" s="25">
        <f ca="1">RANK(AZ266,OFFSET($S$266,0,0,1,$D$5*3),0)</f>
        <v>1</v>
      </c>
      <c r="BA265" s="25"/>
      <c r="BB265" s="25"/>
      <c r="BC265" s="25">
        <f ca="1">RANK(BC266,OFFSET($S$266,0,0,1,$D$5*3),0)</f>
        <v>1</v>
      </c>
      <c r="BD265" s="25"/>
      <c r="BE265" s="25"/>
      <c r="BF265" s="25">
        <f ca="1">RANK(BF266,OFFSET($S$266,0,0,1,$D$5*3),0)</f>
        <v>1</v>
      </c>
      <c r="BG265" s="25"/>
      <c r="BH265" s="25"/>
      <c r="BI265" s="25">
        <f ca="1">RANK(BI266,OFFSET($S$266,0,0,1,$D$5*3),0)</f>
        <v>1</v>
      </c>
      <c r="BJ265" s="25"/>
      <c r="BK265" s="25"/>
      <c r="BL265" s="25">
        <f ca="1">RANK(BL266,OFFSET($S$266,0,0,1,$D$5*3),0)</f>
        <v>1</v>
      </c>
      <c r="BM265" s="25"/>
      <c r="BN265" s="25"/>
      <c r="BO265" s="25">
        <f ca="1">RANK(BO266,OFFSET($S$266,0,0,1,$D$5*3),0)</f>
        <v>1</v>
      </c>
      <c r="BP265" s="25"/>
      <c r="BQ265" s="25"/>
      <c r="BR265" s="25">
        <f ca="1">RANK(BR266,OFFSET($S$266,0,0,1,$D$5*3),0)</f>
        <v>1</v>
      </c>
      <c r="BS265" s="25"/>
      <c r="BT265" s="25"/>
      <c r="BU265" s="25">
        <f ca="1">RANK(BU266,OFFSET($S$266,0,0,1,$D$5*3),0)</f>
        <v>1</v>
      </c>
      <c r="BV265" s="25"/>
      <c r="BW265" s="25"/>
      <c r="BX265" s="25">
        <f ca="1">RANK(BX266,OFFSET($S$266,0,0,1,$D$5*3),0)</f>
        <v>1</v>
      </c>
      <c r="BY265" s="25"/>
      <c r="BZ265" s="25"/>
      <c r="CA265" s="25">
        <f ca="1">RANK(CA266,OFFSET($S$266,0,0,1,$D$5*3),0)</f>
        <v>1</v>
      </c>
      <c r="CB265" s="25"/>
      <c r="CC265" s="25"/>
      <c r="CD265" s="25">
        <f ca="1">RANK(CD266,OFFSET($S$266,0,0,1,$D$5*3),0)</f>
        <v>1</v>
      </c>
      <c r="CE265" s="25"/>
      <c r="CF265" s="25"/>
      <c r="CG265" s="25">
        <f ca="1">RANK(CG266,OFFSET($S$266,0,0,1,$D$5*3),0)</f>
        <v>1</v>
      </c>
      <c r="CH265" s="25"/>
      <c r="CI265" s="25"/>
      <c r="CJ265" s="25">
        <f ca="1">RANK(CJ266,OFFSET($S$266,0,0,1,$D$5*3),0)</f>
        <v>1</v>
      </c>
      <c r="CK265" s="25"/>
      <c r="CL265" s="25"/>
      <c r="CM265" s="25">
        <f ca="1">RANK(CM266,OFFSET($S$266,0,0,1,$D$5*3),0)</f>
        <v>1</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25">
        <f ca="1">SUMIFS((AI6:AI259),$H$6:$H$259,$M$262)</f>
        <v>0</v>
      </c>
      <c r="AI266" s="25"/>
      <c r="AJ266" s="25"/>
      <c r="AK266" s="25">
        <f ca="1">SUMIFS((AL6:AL259),$H$6:$H$259,$M$262)</f>
        <v>0</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Kevin Perez</v>
      </c>
      <c r="T267" s="25"/>
      <c r="U267" s="25"/>
      <c r="V267" s="25" t="str">
        <f t="shared" ref="V267" si="1395">V5</f>
        <v>Ylich</v>
      </c>
      <c r="W267" s="25"/>
      <c r="X267" s="25"/>
      <c r="Y267" s="25" t="str">
        <f t="shared" ref="Y267" si="1396">Y5</f>
        <v>RICARDO RIVERO</v>
      </c>
      <c r="Z267" s="25"/>
      <c r="AA267" s="25"/>
      <c r="AB267" s="25" t="str">
        <f t="shared" ref="AB267" si="1397">AB5</f>
        <v>Simon Melendez</v>
      </c>
      <c r="AC267" s="25"/>
      <c r="AD267" s="25"/>
      <c r="AE267" s="25" t="str">
        <f t="shared" ref="AE267" si="1398">AE5</f>
        <v>EDUARDO PINTO</v>
      </c>
      <c r="AF267" s="25"/>
      <c r="AG267" s="25"/>
      <c r="AH267" s="25" t="str">
        <f t="shared" ref="AH267" si="1399">AH5</f>
        <v>Edicxon Mendoza</v>
      </c>
      <c r="AI267" s="25"/>
      <c r="AJ267" s="25"/>
      <c r="AK267" s="25" t="str">
        <f t="shared" ref="AK267" si="1400">AK5</f>
        <v>RICARDO DEFENDINI</v>
      </c>
      <c r="AL267" s="25"/>
      <c r="AM267" s="25"/>
      <c r="AN267" s="25" t="str">
        <f t="shared" ref="AN267" si="1401">AN5</f>
        <v>Rafael Aguilar</v>
      </c>
      <c r="AO267" s="25"/>
      <c r="AP267" s="25"/>
      <c r="AQ267" s="25" t="str">
        <f t="shared" ref="AQ267" si="1402">AQ5</f>
        <v>Luis Pinto</v>
      </c>
      <c r="AR267" s="25"/>
      <c r="AS267" s="25"/>
      <c r="AT267" s="25" t="str">
        <f t="shared" ref="AT267" si="1403">AT5</f>
        <v>Dixon Torrealba</v>
      </c>
      <c r="AU267" s="25"/>
      <c r="AV267" s="25"/>
      <c r="AW267" s="25" t="str">
        <f t="shared" ref="AW267" si="1404">AW5</f>
        <v xml:space="preserve">jaidali </v>
      </c>
      <c r="AX267" s="25"/>
      <c r="AY267" s="25"/>
      <c r="AZ267" s="25" t="str">
        <f t="shared" ref="AZ267" si="1405">AZ5</f>
        <v>Jorge Rojas</v>
      </c>
      <c r="BA267" s="25"/>
      <c r="BB267" s="25"/>
      <c r="BC267" s="25" t="str">
        <f t="shared" ref="BC267" si="1406">BC5</f>
        <v>Freddy Parra (1)</v>
      </c>
      <c r="BD267" s="25"/>
      <c r="BE267" s="25"/>
      <c r="BF267" s="25" t="str">
        <f t="shared" ref="BF267" si="1407">BF5</f>
        <v>Freddy Parra (2)</v>
      </c>
      <c r="BG267" s="25"/>
      <c r="BH267" s="25"/>
      <c r="BI267" s="25" t="str">
        <f t="shared" ref="BI267" si="1408">BI5</f>
        <v>Mariana Suarez (Samuel 2)</v>
      </c>
      <c r="BJ267" s="25"/>
      <c r="BK267" s="25"/>
      <c r="BL267" s="25" t="str">
        <f t="shared" ref="BL267" si="1409">BL5</f>
        <v>Samuel Montes</v>
      </c>
      <c r="BM267" s="25"/>
      <c r="BN267" s="25"/>
      <c r="BO267" s="25" t="str">
        <f t="shared" ref="BO267" si="1410">BO5</f>
        <v>Andres Fermin</v>
      </c>
      <c r="BP267" s="25"/>
      <c r="BQ267" s="25"/>
      <c r="BR267" s="25" t="str">
        <f t="shared" ref="BR267" si="1411">BR5</f>
        <v>Luis Márquez</v>
      </c>
      <c r="BS267" s="25"/>
      <c r="BT267" s="25"/>
      <c r="BU267" s="25" t="str">
        <f t="shared" ref="BU267" si="1412">BU5</f>
        <v>Alvaro Urdaneta</v>
      </c>
      <c r="BV267" s="25"/>
      <c r="BW267" s="25"/>
      <c r="BX267" s="25" t="str">
        <f t="shared" ref="BX267" si="1413">BX5</f>
        <v>Fernando (Jessika)</v>
      </c>
      <c r="BY267" s="25"/>
      <c r="BZ267" s="25"/>
      <c r="CA267" s="25" t="str">
        <f t="shared" ref="CA267" si="1414">CA5</f>
        <v>Ricardo Ortega</v>
      </c>
      <c r="CB267" s="25"/>
      <c r="CC267" s="25"/>
      <c r="CD267" s="25" t="str">
        <f t="shared" ref="CD267" si="1415">CD5</f>
        <v>Xavier (Kevin 2)</v>
      </c>
      <c r="CE267" s="25"/>
      <c r="CF267" s="25"/>
      <c r="CG267" s="25" t="str">
        <f t="shared" ref="CG267" si="1416">CG5</f>
        <v>Jared Oropeza</v>
      </c>
      <c r="CH267" s="25"/>
      <c r="CI267" s="25"/>
      <c r="CJ267" s="25" t="str">
        <f t="shared" ref="CJ267" si="1417">CJ5</f>
        <v>Juan Dorante</v>
      </c>
      <c r="CK267" s="25"/>
      <c r="CL267" s="25"/>
      <c r="CM267" s="25" t="str">
        <f t="shared" ref="CM267" si="1418">CM5</f>
        <v>Carlos Gimenez</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topLeftCell="A4" zoomScaleNormal="100" workbookViewId="0"/>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0"/>
      <c r="B1" s="847" t="str">
        <f>Idiomas!D451&amp;" "&amp;Home!C10</f>
        <v>CLASIFICACIÓN MUNDIAL 2026 Inter</v>
      </c>
      <c r="C1" s="848"/>
      <c r="D1" s="848"/>
      <c r="E1" s="848"/>
      <c r="F1" s="848"/>
      <c r="G1" s="848"/>
      <c r="H1" s="848"/>
      <c r="I1" s="848"/>
      <c r="J1" s="848"/>
      <c r="K1" s="848"/>
      <c r="L1" s="848"/>
      <c r="M1" s="848"/>
      <c r="N1" s="848"/>
      <c r="O1" s="848"/>
      <c r="P1" s="848"/>
      <c r="Q1" s="848"/>
      <c r="R1" s="848"/>
      <c r="S1" s="848"/>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432</v>
      </c>
      <c r="F3" s="106" t="str">
        <f ca="1">+INDEX(ADMIN!$M$5:$M$259,MATCH(CLAS!F4,ADMIN!$K$5:$K$259,0))</f>
        <v>Max: 156</v>
      </c>
      <c r="G3" s="106" t="str">
        <f ca="1">+INDEX(ADMIN!$M$5:$M$259,MATCH(CLAS!G4,ADMIN!$K$5:$K$259,0))</f>
        <v>Max: 96</v>
      </c>
      <c r="H3" s="106" t="str">
        <f ca="1">+INDEX(ADMIN!$M$5:$M$259,MATCH(CLAS!H4,ADMIN!$K$5:$K$259,0))</f>
        <v>Max: 144</v>
      </c>
      <c r="I3" s="106" t="str">
        <f ca="1">+INDEX(ADMIN!$M$5:$M$259,MATCH(CLAS!I4,ADMIN!$K$5:$K$259,0))</f>
        <v>Max: 64</v>
      </c>
      <c r="J3" s="106" t="str">
        <f ca="1">+INDEX(ADMIN!$M$5:$M$259,MATCH(CLAS!J4,ADMIN!$K$5:$K$259,0))</f>
        <v>Max: 96</v>
      </c>
      <c r="K3" s="106" t="str">
        <f ca="1">+INDEX(ADMIN!$M$5:$M$259,MATCH(CLAS!K4,ADMIN!$K$5:$K$259,0))</f>
        <v>Max: 40</v>
      </c>
      <c r="L3" s="106" t="str">
        <f ca="1">+INDEX(ADMIN!$M$5:$M$259,MATCH(CLAS!L4,ADMIN!$K$5:$K$259,0))</f>
        <v>Max: 60</v>
      </c>
      <c r="M3" s="106" t="str">
        <f ca="1">+INDEX(ADMIN!$M$5:$M$259,MATCH(CLAS!M4,ADMIN!$K$5:$K$259,0))</f>
        <v>Max: 28</v>
      </c>
      <c r="N3" s="106" t="str">
        <f ca="1">+INDEX(ADMIN!$M$5:$M$259,MATCH(CLAS!N4,ADMIN!$K$5:$K$259,0))</f>
        <v>Max: 36</v>
      </c>
      <c r="O3" s="106" t="str">
        <f ca="1">+INDEX(ADMIN!$M$5:$M$259,MATCH(CLAS!O4,ADMIN!$K$5:$K$259,0))</f>
        <v>Max: 10</v>
      </c>
      <c r="P3" s="106" t="str">
        <f ca="1">+INDEX(ADMIN!$M$5:$M$259,MATCH(CLAS!P4,ADMIN!$K$5:$K$259,0))</f>
        <v>Max: 20</v>
      </c>
      <c r="Q3" s="106" t="str">
        <f ca="1">+INDEX(ADMIN!$M$5:$M$259,MATCH(CLAS!Q4,ADMIN!$K$5:$K$259,0))</f>
        <v>Max: 18</v>
      </c>
      <c r="R3" s="106" t="str">
        <f ca="1">+INDEX(ADMIN!$M$5:$M$259,MATCH(CLAS!R4,ADMIN!$K$5:$K$259,0))</f>
        <v>Max: 21</v>
      </c>
      <c r="S3" s="106" t="str">
        <f ca="1">+INDEX(ADMIN!$M$5:$M$259,MATCH(CLAS!S4,ADMIN!$K$5:$K$259,0))</f>
        <v>Max: 71</v>
      </c>
      <c r="T3" s="297"/>
      <c r="U3" s="297"/>
    </row>
    <row r="4" spans="1:21" ht="30"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75" thickTop="1">
      <c r="A5" s="19">
        <f>ROW()-4</f>
        <v>1</v>
      </c>
      <c r="B5" s="22">
        <f ca="1">IFERROR(HLOOKUP(A5,Rango_Admin_Clas,3,FALSE),"-")</f>
        <v>1</v>
      </c>
      <c r="C5" s="18" t="str">
        <f ca="1">IFERROR(HLOOKUP(A5,Rango_Admin_Clas,5,FALSE),"-")</f>
        <v>Kevin Perez</v>
      </c>
      <c r="D5" s="91">
        <f ca="1">IFERROR(HLOOKUP(A5,Rango_Admin_Clas,4,FALSE),"-")</f>
        <v>0</v>
      </c>
      <c r="E5" s="92" cm="1">
        <f t="array" aca="1" ref="E5" ca="1">IFERROR(INDEX(Rango_Admin_Clas_Total,E$2,MATCH($A5,Rango_Admin_Clas_Primera,0)+1),"-")</f>
        <v>0</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1</v>
      </c>
      <c r="C6" s="18" t="str">
        <f ca="1">IFERROR(HLOOKUP(A6,Rango_Admin_Clas,5,FALSE),"-")</f>
        <v>Ylich</v>
      </c>
      <c r="D6" s="91">
        <f ca="1">IFERROR(HLOOKUP(A6,Rango_Admin_Clas,4,FALSE),"-")</f>
        <v>0</v>
      </c>
      <c r="E6" s="92" cm="1">
        <f t="array" aca="1" ref="E6" ca="1">IFERROR(INDEX(Rango_Admin_Clas_Total,E$2,MATCH($A6,Rango_Admin_Clas_Primera,0)+1),"-")</f>
        <v>0</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1</v>
      </c>
      <c r="C7" s="18" t="str">
        <f ca="1">IFERROR(HLOOKUP(A7,Rango_Admin_Clas,5,FALSE),"-")</f>
        <v>RICARDO RIVERO</v>
      </c>
      <c r="D7" s="91">
        <f ca="1">IFERROR(HLOOKUP(A7,Rango_Admin_Clas,4,FALSE),"-")</f>
        <v>0</v>
      </c>
      <c r="E7" s="92" cm="1">
        <f t="array" aca="1" ref="E7" ca="1">IFERROR(INDEX(Rango_Admin_Clas_Total,E$2,MATCH($A7,Rango_Admin_Clas_Primera,0)+1),"-")</f>
        <v>0</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f ca="1">IFERROR(HLOOKUP(A8,Rango_Admin_Clas,3,FALSE),"-")</f>
        <v>1</v>
      </c>
      <c r="C8" s="18" t="str">
        <f ca="1">IFERROR(HLOOKUP(A8,Rango_Admin_Clas,5,FALSE),"-")</f>
        <v>Simon Melendez</v>
      </c>
      <c r="D8" s="91">
        <f ca="1">IFERROR(HLOOKUP(A8,Rango_Admin_Clas,4,FALSE),"-")</f>
        <v>0</v>
      </c>
      <c r="E8" s="92" cm="1">
        <f t="array" aca="1" ref="E8" ca="1">IFERROR(INDEX(Rango_Admin_Clas_Total,E$2,MATCH($A8,Rango_Admin_Clas_Primera,0)+1),"-")</f>
        <v>0</v>
      </c>
      <c r="F8" s="92" cm="1">
        <f t="array" aca="1" ref="F8" ca="1">IFERROR(INDEX(Rango_Admin_Clas_Total,F$2,MATCH($A8,Rango_Admin_Clas_Primera,0)+1),"-")</f>
        <v>0</v>
      </c>
      <c r="G8" s="92" cm="1">
        <f t="array" aca="1" ref="G8" ca="1">IFERROR(INDEX(Rango_Admin_Clas_Total,G$2,MATCH($A8,Rango_Admin_Clas_Primera,0)+1),"-")</f>
        <v>0</v>
      </c>
      <c r="H8" s="92" cm="1">
        <f t="array" aca="1" ref="H8" ca="1">IFERROR(INDEX(Rango_Admin_Clas_Total,H$2,MATCH($A8,Rango_Admin_Clas_Primera,0)+1),"-")</f>
        <v>0</v>
      </c>
      <c r="I8" s="92" cm="1">
        <f t="array" aca="1" ref="I8" ca="1">IFERROR(INDEX(Rango_Admin_Clas_Total,I$2,MATCH($A8,Rango_Admin_Clas_Primera,0)+1),"-")</f>
        <v>0</v>
      </c>
      <c r="J8" s="92" cm="1">
        <f t="array" aca="1" ref="J8" ca="1">IFERROR(INDEX(Rango_Admin_Clas_Total,J$2,MATCH($A8,Rango_Admin_Clas_Primera,0)+1),"-")</f>
        <v>0</v>
      </c>
      <c r="K8" s="92" cm="1">
        <f t="array" aca="1" ref="K8" ca="1">IFERROR(INDEX(Rango_Admin_Clas_Total,K$2,MATCH($A8,Rango_Admin_Clas_Primera,0)+1),"-")</f>
        <v>0</v>
      </c>
      <c r="L8" s="92" cm="1">
        <f t="array" aca="1" ref="L8" ca="1">IFERROR(INDEX(Rango_Admin_Clas_Total,L$2,MATCH($A8,Rango_Admin_Clas_Primera,0)+1),"-")</f>
        <v>0</v>
      </c>
      <c r="M8" s="92" cm="1">
        <f t="array" aca="1" ref="M8" ca="1">IFERROR(INDEX(Rango_Admin_Clas_Total,M$2,MATCH($A8,Rango_Admin_Clas_Primera,0)+1),"-")</f>
        <v>0</v>
      </c>
      <c r="N8" s="92" cm="1">
        <f t="array" aca="1" ref="N8" ca="1">IFERROR(INDEX(Rango_Admin_Clas_Total,N$2,MATCH($A8,Rango_Admin_Clas_Primera,0)+1),"-")</f>
        <v>0</v>
      </c>
      <c r="O8" s="92" cm="1">
        <f t="array" aca="1" ref="O8" ca="1">IFERROR(INDEX(Rango_Admin_Clas_Total,O$2,MATCH($A8,Rango_Admin_Clas_Primera,0)+1),"-")</f>
        <v>0</v>
      </c>
      <c r="P8" s="92" cm="1">
        <f t="array" aca="1" ref="P8" ca="1">IFERROR(INDEX(Rango_Admin_Clas_Total,P$2,MATCH($A8,Rango_Admin_Clas_Primera,0)+1),"-")</f>
        <v>0</v>
      </c>
      <c r="Q8" s="92" cm="1">
        <f t="array" aca="1" ref="Q8" ca="1">IFERROR(INDEX(Rango_Admin_Clas_Total,Q$2,MATCH($A8,Rango_Admin_Clas_Primera,0)+1),"-")</f>
        <v>0</v>
      </c>
      <c r="R8" s="92" cm="1">
        <f t="array" aca="1" ref="R8" ca="1">IFERROR(INDEX(Rango_Admin_Clas_Total,R$2,MATCH($A8,Rango_Admin_Clas_Primera,0)+1),"-")</f>
        <v>0</v>
      </c>
      <c r="S8" s="92" cm="1">
        <f t="array" aca="1" ref="S8" ca="1">IFERROR(INDEX(Rango_Admin_Clas_Total,S$2,MATCH($A8,Rango_Admin_Clas_Primera,0)+1),"-")</f>
        <v>0</v>
      </c>
      <c r="T8" s="297"/>
      <c r="U8" s="297"/>
    </row>
    <row r="9" spans="1:21">
      <c r="A9" s="19">
        <f t="shared" si="0"/>
        <v>5</v>
      </c>
      <c r="B9" s="22">
        <f ca="1">IFERROR(HLOOKUP(A9,Rango_Admin_Clas,3,FALSE),"-")</f>
        <v>1</v>
      </c>
      <c r="C9" s="18" t="str">
        <f ca="1">IFERROR(HLOOKUP(A9,Rango_Admin_Clas,5,FALSE),"-")</f>
        <v>EDUARDO PINTO</v>
      </c>
      <c r="D9" s="91">
        <f ca="1">IFERROR(HLOOKUP(A9,Rango_Admin_Clas,4,FALSE),"-")</f>
        <v>0</v>
      </c>
      <c r="E9" s="92" cm="1">
        <f t="array" aca="1" ref="E9" ca="1">IFERROR(INDEX(Rango_Admin_Clas_Total,E$2,MATCH($A9,Rango_Admin_Clas_Primera,0)+1),"-")</f>
        <v>0</v>
      </c>
      <c r="F9" s="92" cm="1">
        <f t="array" aca="1" ref="F9" ca="1">IFERROR(INDEX(Rango_Admin_Clas_Total,F$2,MATCH($A9,Rango_Admin_Clas_Primera,0)+1),"-")</f>
        <v>0</v>
      </c>
      <c r="G9" s="92" cm="1">
        <f t="array" aca="1" ref="G9" ca="1">IFERROR(INDEX(Rango_Admin_Clas_Total,G$2,MATCH($A9,Rango_Admin_Clas_Primera,0)+1),"-")</f>
        <v>0</v>
      </c>
      <c r="H9" s="92" cm="1">
        <f t="array" aca="1" ref="H9" ca="1">IFERROR(INDEX(Rango_Admin_Clas_Total,H$2,MATCH($A9,Rango_Admin_Clas_Primera,0)+1),"-")</f>
        <v>0</v>
      </c>
      <c r="I9" s="92" cm="1">
        <f t="array" aca="1" ref="I9" ca="1">IFERROR(INDEX(Rango_Admin_Clas_Total,I$2,MATCH($A9,Rango_Admin_Clas_Primera,0)+1),"-")</f>
        <v>0</v>
      </c>
      <c r="J9" s="92" cm="1">
        <f t="array" aca="1" ref="J9" ca="1">IFERROR(INDEX(Rango_Admin_Clas_Total,J$2,MATCH($A9,Rango_Admin_Clas_Primera,0)+1),"-")</f>
        <v>0</v>
      </c>
      <c r="K9" s="92" cm="1">
        <f t="array" aca="1" ref="K9" ca="1">IFERROR(INDEX(Rango_Admin_Clas_Total,K$2,MATCH($A9,Rango_Admin_Clas_Primera,0)+1),"-")</f>
        <v>0</v>
      </c>
      <c r="L9" s="92" cm="1">
        <f t="array" aca="1" ref="L9" ca="1">IFERROR(INDEX(Rango_Admin_Clas_Total,L$2,MATCH($A9,Rango_Admin_Clas_Primera,0)+1),"-")</f>
        <v>0</v>
      </c>
      <c r="M9" s="92" cm="1">
        <f t="array" aca="1" ref="M9" ca="1">IFERROR(INDEX(Rango_Admin_Clas_Total,M$2,MATCH($A9,Rango_Admin_Clas_Primera,0)+1),"-")</f>
        <v>0</v>
      </c>
      <c r="N9" s="92" cm="1">
        <f t="array" aca="1" ref="N9" ca="1">IFERROR(INDEX(Rango_Admin_Clas_Total,N$2,MATCH($A9,Rango_Admin_Clas_Primera,0)+1),"-")</f>
        <v>0</v>
      </c>
      <c r="O9" s="92" cm="1">
        <f t="array" aca="1" ref="O9" ca="1">IFERROR(INDEX(Rango_Admin_Clas_Total,O$2,MATCH($A9,Rango_Admin_Clas_Primera,0)+1),"-")</f>
        <v>0</v>
      </c>
      <c r="P9" s="92" cm="1">
        <f t="array" aca="1" ref="P9" ca="1">IFERROR(INDEX(Rango_Admin_Clas_Total,P$2,MATCH($A9,Rango_Admin_Clas_Primera,0)+1),"-")</f>
        <v>0</v>
      </c>
      <c r="Q9" s="92" cm="1">
        <f t="array" aca="1" ref="Q9" ca="1">IFERROR(INDEX(Rango_Admin_Clas_Total,Q$2,MATCH($A9,Rango_Admin_Clas_Primera,0)+1),"-")</f>
        <v>0</v>
      </c>
      <c r="R9" s="92" cm="1">
        <f t="array" aca="1" ref="R9" ca="1">IFERROR(INDEX(Rango_Admin_Clas_Total,R$2,MATCH($A9,Rango_Admin_Clas_Primera,0)+1),"-")</f>
        <v>0</v>
      </c>
      <c r="S9" s="92" cm="1">
        <f t="array" aca="1" ref="S9" ca="1">IFERROR(INDEX(Rango_Admin_Clas_Total,S$2,MATCH($A9,Rango_Admin_Clas_Primera,0)+1),"-")</f>
        <v>0</v>
      </c>
      <c r="T9" s="297"/>
      <c r="U9" s="297"/>
    </row>
    <row r="10" spans="1:21">
      <c r="A10" s="19">
        <f t="shared" si="0"/>
        <v>6</v>
      </c>
      <c r="B10" s="22">
        <f ca="1">IFERROR(HLOOKUP(A10,Rango_Admin_Clas,3,FALSE),"-")</f>
        <v>1</v>
      </c>
      <c r="C10" s="18" t="str">
        <f ca="1">IFERROR(HLOOKUP(A10,Rango_Admin_Clas,5,FALSE),"-")</f>
        <v>Edicxon Mendoza</v>
      </c>
      <c r="D10" s="91">
        <f ca="1">IFERROR(HLOOKUP(A10,Rango_Admin_Clas,4,FALSE),"-")</f>
        <v>0</v>
      </c>
      <c r="E10" s="92" cm="1">
        <f t="array" aca="1" ref="E10" ca="1">IFERROR(INDEX(Rango_Admin_Clas_Total,E$2,MATCH($A10,Rango_Admin_Clas_Primera,0)+1),"-")</f>
        <v>0</v>
      </c>
      <c r="F10" s="92" cm="1">
        <f t="array" aca="1" ref="F10" ca="1">IFERROR(INDEX(Rango_Admin_Clas_Total,F$2,MATCH($A10,Rango_Admin_Clas_Primera,0)+1),"-")</f>
        <v>0</v>
      </c>
      <c r="G10" s="92" cm="1">
        <f t="array" aca="1" ref="G10" ca="1">IFERROR(INDEX(Rango_Admin_Clas_Total,G$2,MATCH($A10,Rango_Admin_Clas_Primera,0)+1),"-")</f>
        <v>0</v>
      </c>
      <c r="H10" s="92" cm="1">
        <f t="array" aca="1" ref="H10" ca="1">IFERROR(INDEX(Rango_Admin_Clas_Total,H$2,MATCH($A10,Rango_Admin_Clas_Primera,0)+1),"-")</f>
        <v>0</v>
      </c>
      <c r="I10" s="92" cm="1">
        <f t="array" aca="1" ref="I10" ca="1">IFERROR(INDEX(Rango_Admin_Clas_Total,I$2,MATCH($A10,Rango_Admin_Clas_Primera,0)+1),"-")</f>
        <v>0</v>
      </c>
      <c r="J10" s="92" cm="1">
        <f t="array" aca="1" ref="J10" ca="1">IFERROR(INDEX(Rango_Admin_Clas_Total,J$2,MATCH($A10,Rango_Admin_Clas_Primera,0)+1),"-")</f>
        <v>0</v>
      </c>
      <c r="K10" s="92" cm="1">
        <f t="array" aca="1" ref="K10" ca="1">IFERROR(INDEX(Rango_Admin_Clas_Total,K$2,MATCH($A10,Rango_Admin_Clas_Primera,0)+1),"-")</f>
        <v>0</v>
      </c>
      <c r="L10" s="92" cm="1">
        <f t="array" aca="1" ref="L10" ca="1">IFERROR(INDEX(Rango_Admin_Clas_Total,L$2,MATCH($A10,Rango_Admin_Clas_Primera,0)+1),"-")</f>
        <v>0</v>
      </c>
      <c r="M10" s="92" cm="1">
        <f t="array" aca="1" ref="M10" ca="1">IFERROR(INDEX(Rango_Admin_Clas_Total,M$2,MATCH($A10,Rango_Admin_Clas_Primera,0)+1),"-")</f>
        <v>0</v>
      </c>
      <c r="N10" s="92" cm="1">
        <f t="array" aca="1" ref="N10" ca="1">IFERROR(INDEX(Rango_Admin_Clas_Total,N$2,MATCH($A10,Rango_Admin_Clas_Primera,0)+1),"-")</f>
        <v>0</v>
      </c>
      <c r="O10" s="92" cm="1">
        <f t="array" aca="1" ref="O10" ca="1">IFERROR(INDEX(Rango_Admin_Clas_Total,O$2,MATCH($A10,Rango_Admin_Clas_Primera,0)+1),"-")</f>
        <v>0</v>
      </c>
      <c r="P10" s="92" cm="1">
        <f t="array" aca="1" ref="P10" ca="1">IFERROR(INDEX(Rango_Admin_Clas_Total,P$2,MATCH($A10,Rango_Admin_Clas_Primera,0)+1),"-")</f>
        <v>0</v>
      </c>
      <c r="Q10" s="92" cm="1">
        <f t="array" aca="1" ref="Q10" ca="1">IFERROR(INDEX(Rango_Admin_Clas_Total,Q$2,MATCH($A10,Rango_Admin_Clas_Primera,0)+1),"-")</f>
        <v>0</v>
      </c>
      <c r="R10" s="92" cm="1">
        <f t="array" aca="1" ref="R10" ca="1">IFERROR(INDEX(Rango_Admin_Clas_Total,R$2,MATCH($A10,Rango_Admin_Clas_Primera,0)+1),"-")</f>
        <v>0</v>
      </c>
      <c r="S10" s="92" cm="1">
        <f t="array" aca="1" ref="S10" ca="1">IFERROR(INDEX(Rango_Admin_Clas_Total,S$2,MATCH($A10,Rango_Admin_Clas_Primera,0)+1),"-")</f>
        <v>0</v>
      </c>
      <c r="T10" s="297"/>
      <c r="U10" s="297"/>
    </row>
    <row r="11" spans="1:21">
      <c r="A11" s="19">
        <f t="shared" si="0"/>
        <v>7</v>
      </c>
      <c r="B11" s="22">
        <f ca="1">IFERROR(HLOOKUP(A11,Rango_Admin_Clas,3,FALSE),"-")</f>
        <v>1</v>
      </c>
      <c r="C11" s="18" t="str">
        <f ca="1">IFERROR(HLOOKUP(A11,Rango_Admin_Clas,5,FALSE),"-")</f>
        <v>RICARDO DEFENDINI</v>
      </c>
      <c r="D11" s="91">
        <f ca="1">IFERROR(HLOOKUP(A11,Rango_Admin_Clas,4,FALSE),"-")</f>
        <v>0</v>
      </c>
      <c r="E11" s="92" cm="1">
        <f t="array" aca="1" ref="E11" ca="1">IFERROR(INDEX(Rango_Admin_Clas_Total,E$2,MATCH($A11,Rango_Admin_Clas_Primera,0)+1),"-")</f>
        <v>0</v>
      </c>
      <c r="F11" s="92" cm="1">
        <f t="array" aca="1" ref="F11" ca="1">IFERROR(INDEX(Rango_Admin_Clas_Total,F$2,MATCH($A11,Rango_Admin_Clas_Primera,0)+1),"-")</f>
        <v>0</v>
      </c>
      <c r="G11" s="92" cm="1">
        <f t="array" aca="1" ref="G11" ca="1">IFERROR(INDEX(Rango_Admin_Clas_Total,G$2,MATCH($A11,Rango_Admin_Clas_Primera,0)+1),"-")</f>
        <v>0</v>
      </c>
      <c r="H11" s="92" cm="1">
        <f t="array" aca="1" ref="H11" ca="1">IFERROR(INDEX(Rango_Admin_Clas_Total,H$2,MATCH($A11,Rango_Admin_Clas_Primera,0)+1),"-")</f>
        <v>0</v>
      </c>
      <c r="I11" s="92" cm="1">
        <f t="array" aca="1" ref="I11" ca="1">IFERROR(INDEX(Rango_Admin_Clas_Total,I$2,MATCH($A11,Rango_Admin_Clas_Primera,0)+1),"-")</f>
        <v>0</v>
      </c>
      <c r="J11" s="92" cm="1">
        <f t="array" aca="1" ref="J11" ca="1">IFERROR(INDEX(Rango_Admin_Clas_Total,J$2,MATCH($A11,Rango_Admin_Clas_Primera,0)+1),"-")</f>
        <v>0</v>
      </c>
      <c r="K11" s="92" cm="1">
        <f t="array" aca="1" ref="K11" ca="1">IFERROR(INDEX(Rango_Admin_Clas_Total,K$2,MATCH($A11,Rango_Admin_Clas_Primera,0)+1),"-")</f>
        <v>0</v>
      </c>
      <c r="L11" s="92" cm="1">
        <f t="array" aca="1" ref="L11" ca="1">IFERROR(INDEX(Rango_Admin_Clas_Total,L$2,MATCH($A11,Rango_Admin_Clas_Primera,0)+1),"-")</f>
        <v>0</v>
      </c>
      <c r="M11" s="92" cm="1">
        <f t="array" aca="1" ref="M11" ca="1">IFERROR(INDEX(Rango_Admin_Clas_Total,M$2,MATCH($A11,Rango_Admin_Clas_Primera,0)+1),"-")</f>
        <v>0</v>
      </c>
      <c r="N11" s="92" cm="1">
        <f t="array" aca="1" ref="N11" ca="1">IFERROR(INDEX(Rango_Admin_Clas_Total,N$2,MATCH($A11,Rango_Admin_Clas_Primera,0)+1),"-")</f>
        <v>0</v>
      </c>
      <c r="O11" s="92" cm="1">
        <f t="array" aca="1" ref="O11" ca="1">IFERROR(INDEX(Rango_Admin_Clas_Total,O$2,MATCH($A11,Rango_Admin_Clas_Primera,0)+1),"-")</f>
        <v>0</v>
      </c>
      <c r="P11" s="92" cm="1">
        <f t="array" aca="1" ref="P11" ca="1">IFERROR(INDEX(Rango_Admin_Clas_Total,P$2,MATCH($A11,Rango_Admin_Clas_Primera,0)+1),"-")</f>
        <v>0</v>
      </c>
      <c r="Q11" s="92" cm="1">
        <f t="array" aca="1" ref="Q11" ca="1">IFERROR(INDEX(Rango_Admin_Clas_Total,Q$2,MATCH($A11,Rango_Admin_Clas_Primera,0)+1),"-")</f>
        <v>0</v>
      </c>
      <c r="R11" s="92" cm="1">
        <f t="array" aca="1" ref="R11" ca="1">IFERROR(INDEX(Rango_Admin_Clas_Total,R$2,MATCH($A11,Rango_Admin_Clas_Primera,0)+1),"-")</f>
        <v>0</v>
      </c>
      <c r="S11" s="92" cm="1">
        <f t="array" aca="1" ref="S11" ca="1">IFERROR(INDEX(Rango_Admin_Clas_Total,S$2,MATCH($A11,Rango_Admin_Clas_Primera,0)+1),"-")</f>
        <v>0</v>
      </c>
      <c r="T11" s="297"/>
      <c r="U11" s="297"/>
    </row>
    <row r="12" spans="1:21">
      <c r="A12" s="19">
        <f t="shared" si="0"/>
        <v>8</v>
      </c>
      <c r="B12" s="22">
        <f ca="1">IFERROR(HLOOKUP(A12,Rango_Admin_Clas,3,FALSE),"-")</f>
        <v>1</v>
      </c>
      <c r="C12" s="18" t="str">
        <f ca="1">IFERROR(HLOOKUP(A12,Rango_Admin_Clas,5,FALSE),"-")</f>
        <v>Rafael Aguilar</v>
      </c>
      <c r="D12" s="91">
        <f ca="1">IFERROR(HLOOKUP(A12,Rango_Admin_Clas,4,FALSE),"-")</f>
        <v>0</v>
      </c>
      <c r="E12" s="92" cm="1">
        <f t="array" aca="1" ref="E12" ca="1">IFERROR(INDEX(Rango_Admin_Clas_Total,E$2,MATCH($A12,Rango_Admin_Clas_Primera,0)+1),"-")</f>
        <v>0</v>
      </c>
      <c r="F12" s="92" cm="1">
        <f t="array" aca="1" ref="F12" ca="1">IFERROR(INDEX(Rango_Admin_Clas_Total,F$2,MATCH($A12,Rango_Admin_Clas_Primera,0)+1),"-")</f>
        <v>0</v>
      </c>
      <c r="G12" s="92" cm="1">
        <f t="array" aca="1" ref="G12" ca="1">IFERROR(INDEX(Rango_Admin_Clas_Total,G$2,MATCH($A12,Rango_Admin_Clas_Primera,0)+1),"-")</f>
        <v>0</v>
      </c>
      <c r="H12" s="92" cm="1">
        <f t="array" aca="1" ref="H12" ca="1">IFERROR(INDEX(Rango_Admin_Clas_Total,H$2,MATCH($A12,Rango_Admin_Clas_Primera,0)+1),"-")</f>
        <v>0</v>
      </c>
      <c r="I12" s="92" cm="1">
        <f t="array" aca="1" ref="I12" ca="1">IFERROR(INDEX(Rango_Admin_Clas_Total,I$2,MATCH($A12,Rango_Admin_Clas_Primera,0)+1),"-")</f>
        <v>0</v>
      </c>
      <c r="J12" s="92" cm="1">
        <f t="array" aca="1" ref="J12" ca="1">IFERROR(INDEX(Rango_Admin_Clas_Total,J$2,MATCH($A12,Rango_Admin_Clas_Primera,0)+1),"-")</f>
        <v>0</v>
      </c>
      <c r="K12" s="92" cm="1">
        <f t="array" aca="1" ref="K12" ca="1">IFERROR(INDEX(Rango_Admin_Clas_Total,K$2,MATCH($A12,Rango_Admin_Clas_Primera,0)+1),"-")</f>
        <v>0</v>
      </c>
      <c r="L12" s="92" cm="1">
        <f t="array" aca="1" ref="L12" ca="1">IFERROR(INDEX(Rango_Admin_Clas_Total,L$2,MATCH($A12,Rango_Admin_Clas_Primera,0)+1),"-")</f>
        <v>0</v>
      </c>
      <c r="M12" s="92" cm="1">
        <f t="array" aca="1" ref="M12" ca="1">IFERROR(INDEX(Rango_Admin_Clas_Total,M$2,MATCH($A12,Rango_Admin_Clas_Primera,0)+1),"-")</f>
        <v>0</v>
      </c>
      <c r="N12" s="92" cm="1">
        <f t="array" aca="1" ref="N12" ca="1">IFERROR(INDEX(Rango_Admin_Clas_Total,N$2,MATCH($A12,Rango_Admin_Clas_Primera,0)+1),"-")</f>
        <v>0</v>
      </c>
      <c r="O12" s="92" cm="1">
        <f t="array" aca="1" ref="O12" ca="1">IFERROR(INDEX(Rango_Admin_Clas_Total,O$2,MATCH($A12,Rango_Admin_Clas_Primera,0)+1),"-")</f>
        <v>0</v>
      </c>
      <c r="P12" s="92" cm="1">
        <f t="array" aca="1" ref="P12" ca="1">IFERROR(INDEX(Rango_Admin_Clas_Total,P$2,MATCH($A12,Rango_Admin_Clas_Primera,0)+1),"-")</f>
        <v>0</v>
      </c>
      <c r="Q12" s="92" cm="1">
        <f t="array" aca="1" ref="Q12" ca="1">IFERROR(INDEX(Rango_Admin_Clas_Total,Q$2,MATCH($A12,Rango_Admin_Clas_Primera,0)+1),"-")</f>
        <v>0</v>
      </c>
      <c r="R12" s="92" cm="1">
        <f t="array" aca="1" ref="R12" ca="1">IFERROR(INDEX(Rango_Admin_Clas_Total,R$2,MATCH($A12,Rango_Admin_Clas_Primera,0)+1),"-")</f>
        <v>0</v>
      </c>
      <c r="S12" s="92" cm="1">
        <f t="array" aca="1" ref="S12" ca="1">IFERROR(INDEX(Rango_Admin_Clas_Total,S$2,MATCH($A12,Rango_Admin_Clas_Primera,0)+1),"-")</f>
        <v>0</v>
      </c>
      <c r="T12" s="297"/>
      <c r="U12" s="297"/>
    </row>
    <row r="13" spans="1:21">
      <c r="A13" s="19">
        <f t="shared" si="0"/>
        <v>9</v>
      </c>
      <c r="B13" s="22">
        <f ca="1">IFERROR(HLOOKUP(A13,Rango_Admin_Clas,3,FALSE),"-")</f>
        <v>1</v>
      </c>
      <c r="C13" s="18" t="str">
        <f ca="1">IFERROR(HLOOKUP(A13,Rango_Admin_Clas,5,FALSE),"-")</f>
        <v>Luis Pinto</v>
      </c>
      <c r="D13" s="91">
        <f ca="1">IFERROR(HLOOKUP(A13,Rango_Admin_Clas,4,FALSE),"-")</f>
        <v>0</v>
      </c>
      <c r="E13" s="92" cm="1">
        <f t="array" aca="1" ref="E13" ca="1">IFERROR(INDEX(Rango_Admin_Clas_Total,E$2,MATCH($A13,Rango_Admin_Clas_Primera,0)+1),"-")</f>
        <v>0</v>
      </c>
      <c r="F13" s="92" cm="1">
        <f t="array" aca="1" ref="F13" ca="1">IFERROR(INDEX(Rango_Admin_Clas_Total,F$2,MATCH($A13,Rango_Admin_Clas_Primera,0)+1),"-")</f>
        <v>0</v>
      </c>
      <c r="G13" s="92" cm="1">
        <f t="array" aca="1" ref="G13" ca="1">IFERROR(INDEX(Rango_Admin_Clas_Total,G$2,MATCH($A13,Rango_Admin_Clas_Primera,0)+1),"-")</f>
        <v>0</v>
      </c>
      <c r="H13" s="92" cm="1">
        <f t="array" aca="1" ref="H13" ca="1">IFERROR(INDEX(Rango_Admin_Clas_Total,H$2,MATCH($A13,Rango_Admin_Clas_Primera,0)+1),"-")</f>
        <v>0</v>
      </c>
      <c r="I13" s="92" cm="1">
        <f t="array" aca="1" ref="I13" ca="1">IFERROR(INDEX(Rango_Admin_Clas_Total,I$2,MATCH($A13,Rango_Admin_Clas_Primera,0)+1),"-")</f>
        <v>0</v>
      </c>
      <c r="J13" s="92" cm="1">
        <f t="array" aca="1" ref="J13" ca="1">IFERROR(INDEX(Rango_Admin_Clas_Total,J$2,MATCH($A13,Rango_Admin_Clas_Primera,0)+1),"-")</f>
        <v>0</v>
      </c>
      <c r="K13" s="92" cm="1">
        <f t="array" aca="1" ref="K13" ca="1">IFERROR(INDEX(Rango_Admin_Clas_Total,K$2,MATCH($A13,Rango_Admin_Clas_Primera,0)+1),"-")</f>
        <v>0</v>
      </c>
      <c r="L13" s="92" cm="1">
        <f t="array" aca="1" ref="L13" ca="1">IFERROR(INDEX(Rango_Admin_Clas_Total,L$2,MATCH($A13,Rango_Admin_Clas_Primera,0)+1),"-")</f>
        <v>0</v>
      </c>
      <c r="M13" s="92" cm="1">
        <f t="array" aca="1" ref="M13" ca="1">IFERROR(INDEX(Rango_Admin_Clas_Total,M$2,MATCH($A13,Rango_Admin_Clas_Primera,0)+1),"-")</f>
        <v>0</v>
      </c>
      <c r="N13" s="92" cm="1">
        <f t="array" aca="1" ref="N13" ca="1">IFERROR(INDEX(Rango_Admin_Clas_Total,N$2,MATCH($A13,Rango_Admin_Clas_Primera,0)+1),"-")</f>
        <v>0</v>
      </c>
      <c r="O13" s="92" cm="1">
        <f t="array" aca="1" ref="O13" ca="1">IFERROR(INDEX(Rango_Admin_Clas_Total,O$2,MATCH($A13,Rango_Admin_Clas_Primera,0)+1),"-")</f>
        <v>0</v>
      </c>
      <c r="P13" s="92" cm="1">
        <f t="array" aca="1" ref="P13" ca="1">IFERROR(INDEX(Rango_Admin_Clas_Total,P$2,MATCH($A13,Rango_Admin_Clas_Primera,0)+1),"-")</f>
        <v>0</v>
      </c>
      <c r="Q13" s="92" cm="1">
        <f t="array" aca="1" ref="Q13" ca="1">IFERROR(INDEX(Rango_Admin_Clas_Total,Q$2,MATCH($A13,Rango_Admin_Clas_Primera,0)+1),"-")</f>
        <v>0</v>
      </c>
      <c r="R13" s="92" cm="1">
        <f t="array" aca="1" ref="R13" ca="1">IFERROR(INDEX(Rango_Admin_Clas_Total,R$2,MATCH($A13,Rango_Admin_Clas_Primera,0)+1),"-")</f>
        <v>0</v>
      </c>
      <c r="S13" s="92" cm="1">
        <f t="array" aca="1" ref="S13" ca="1">IFERROR(INDEX(Rango_Admin_Clas_Total,S$2,MATCH($A13,Rango_Admin_Clas_Primera,0)+1),"-")</f>
        <v>0</v>
      </c>
      <c r="T13" s="297"/>
      <c r="U13" s="297"/>
    </row>
    <row r="14" spans="1:21">
      <c r="A14" s="19">
        <f t="shared" si="0"/>
        <v>10</v>
      </c>
      <c r="B14" s="22">
        <f ca="1">IFERROR(HLOOKUP(A14,Rango_Admin_Clas,3,FALSE),"-")</f>
        <v>1</v>
      </c>
      <c r="C14" s="18" t="str">
        <f ca="1">IFERROR(HLOOKUP(A14,Rango_Admin_Clas,5,FALSE),"-")</f>
        <v>Dixon Torrealba</v>
      </c>
      <c r="D14" s="91">
        <f ca="1">IFERROR(HLOOKUP(A14,Rango_Admin_Clas,4,FALSE),"-")</f>
        <v>0</v>
      </c>
      <c r="E14" s="92" cm="1">
        <f t="array" aca="1" ref="E14" ca="1">IFERROR(INDEX(Rango_Admin_Clas_Total,E$2,MATCH($A14,Rango_Admin_Clas_Primera,0)+1),"-")</f>
        <v>0</v>
      </c>
      <c r="F14" s="92" cm="1">
        <f t="array" aca="1" ref="F14" ca="1">IFERROR(INDEX(Rango_Admin_Clas_Total,F$2,MATCH($A14,Rango_Admin_Clas_Primera,0)+1),"-")</f>
        <v>0</v>
      </c>
      <c r="G14" s="92" cm="1">
        <f t="array" aca="1" ref="G14" ca="1">IFERROR(INDEX(Rango_Admin_Clas_Total,G$2,MATCH($A14,Rango_Admin_Clas_Primera,0)+1),"-")</f>
        <v>0</v>
      </c>
      <c r="H14" s="92" cm="1">
        <f t="array" aca="1" ref="H14" ca="1">IFERROR(INDEX(Rango_Admin_Clas_Total,H$2,MATCH($A14,Rango_Admin_Clas_Primera,0)+1),"-")</f>
        <v>0</v>
      </c>
      <c r="I14" s="92" cm="1">
        <f t="array" aca="1" ref="I14" ca="1">IFERROR(INDEX(Rango_Admin_Clas_Total,I$2,MATCH($A14,Rango_Admin_Clas_Primera,0)+1),"-")</f>
        <v>0</v>
      </c>
      <c r="J14" s="92" cm="1">
        <f t="array" aca="1" ref="J14" ca="1">IFERROR(INDEX(Rango_Admin_Clas_Total,J$2,MATCH($A14,Rango_Admin_Clas_Primera,0)+1),"-")</f>
        <v>0</v>
      </c>
      <c r="K14" s="92" cm="1">
        <f t="array" aca="1" ref="K14" ca="1">IFERROR(INDEX(Rango_Admin_Clas_Total,K$2,MATCH($A14,Rango_Admin_Clas_Primera,0)+1),"-")</f>
        <v>0</v>
      </c>
      <c r="L14" s="92" cm="1">
        <f t="array" aca="1" ref="L14" ca="1">IFERROR(INDEX(Rango_Admin_Clas_Total,L$2,MATCH($A14,Rango_Admin_Clas_Primera,0)+1),"-")</f>
        <v>0</v>
      </c>
      <c r="M14" s="92" cm="1">
        <f t="array" aca="1" ref="M14" ca="1">IFERROR(INDEX(Rango_Admin_Clas_Total,M$2,MATCH($A14,Rango_Admin_Clas_Primera,0)+1),"-")</f>
        <v>0</v>
      </c>
      <c r="N14" s="92" cm="1">
        <f t="array" aca="1" ref="N14" ca="1">IFERROR(INDEX(Rango_Admin_Clas_Total,N$2,MATCH($A14,Rango_Admin_Clas_Primera,0)+1),"-")</f>
        <v>0</v>
      </c>
      <c r="O14" s="92" cm="1">
        <f t="array" aca="1" ref="O14" ca="1">IFERROR(INDEX(Rango_Admin_Clas_Total,O$2,MATCH($A14,Rango_Admin_Clas_Primera,0)+1),"-")</f>
        <v>0</v>
      </c>
      <c r="P14" s="92" cm="1">
        <f t="array" aca="1" ref="P14" ca="1">IFERROR(INDEX(Rango_Admin_Clas_Total,P$2,MATCH($A14,Rango_Admin_Clas_Primera,0)+1),"-")</f>
        <v>0</v>
      </c>
      <c r="Q14" s="92" cm="1">
        <f t="array" aca="1" ref="Q14" ca="1">IFERROR(INDEX(Rango_Admin_Clas_Total,Q$2,MATCH($A14,Rango_Admin_Clas_Primera,0)+1),"-")</f>
        <v>0</v>
      </c>
      <c r="R14" s="92" cm="1">
        <f t="array" aca="1" ref="R14" ca="1">IFERROR(INDEX(Rango_Admin_Clas_Total,R$2,MATCH($A14,Rango_Admin_Clas_Primera,0)+1),"-")</f>
        <v>0</v>
      </c>
      <c r="S14" s="92" cm="1">
        <f t="array" aca="1" ref="S14" ca="1">IFERROR(INDEX(Rango_Admin_Clas_Total,S$2,MATCH($A14,Rango_Admin_Clas_Primera,0)+1),"-")</f>
        <v>0</v>
      </c>
      <c r="T14" s="297"/>
      <c r="U14" s="297"/>
    </row>
    <row r="15" spans="1:21">
      <c r="A15" s="19">
        <f t="shared" si="0"/>
        <v>11</v>
      </c>
      <c r="B15" s="22">
        <f ca="1">IFERROR(HLOOKUP(A15,Rango_Admin_Clas,3,FALSE),"-")</f>
        <v>1</v>
      </c>
      <c r="C15" s="18" t="str">
        <f ca="1">IFERROR(HLOOKUP(A15,Rango_Admin_Clas,5,FALSE),"-")</f>
        <v xml:space="preserve">jaidali </v>
      </c>
      <c r="D15" s="91">
        <f ca="1">IFERROR(HLOOKUP(A15,Rango_Admin_Clas,4,FALSE),"-")</f>
        <v>0</v>
      </c>
      <c r="E15" s="92" cm="1">
        <f t="array" aca="1" ref="E15" ca="1">IFERROR(INDEX(Rango_Admin_Clas_Total,E$2,MATCH($A15,Rango_Admin_Clas_Primera,0)+1),"-")</f>
        <v>0</v>
      </c>
      <c r="F15" s="92" cm="1">
        <f t="array" aca="1" ref="F15" ca="1">IFERROR(INDEX(Rango_Admin_Clas_Total,F$2,MATCH($A15,Rango_Admin_Clas_Primera,0)+1),"-")</f>
        <v>0</v>
      </c>
      <c r="G15" s="92" cm="1">
        <f t="array" aca="1" ref="G15" ca="1">IFERROR(INDEX(Rango_Admin_Clas_Total,G$2,MATCH($A15,Rango_Admin_Clas_Primera,0)+1),"-")</f>
        <v>0</v>
      </c>
      <c r="H15" s="92" cm="1">
        <f t="array" aca="1" ref="H15" ca="1">IFERROR(INDEX(Rango_Admin_Clas_Total,H$2,MATCH($A15,Rango_Admin_Clas_Primera,0)+1),"-")</f>
        <v>0</v>
      </c>
      <c r="I15" s="92" cm="1">
        <f t="array" aca="1" ref="I15" ca="1">IFERROR(INDEX(Rango_Admin_Clas_Total,I$2,MATCH($A15,Rango_Admin_Clas_Primera,0)+1),"-")</f>
        <v>0</v>
      </c>
      <c r="J15" s="92" cm="1">
        <f t="array" aca="1" ref="J15" ca="1">IFERROR(INDEX(Rango_Admin_Clas_Total,J$2,MATCH($A15,Rango_Admin_Clas_Primera,0)+1),"-")</f>
        <v>0</v>
      </c>
      <c r="K15" s="92" cm="1">
        <f t="array" aca="1" ref="K15" ca="1">IFERROR(INDEX(Rango_Admin_Clas_Total,K$2,MATCH($A15,Rango_Admin_Clas_Primera,0)+1),"-")</f>
        <v>0</v>
      </c>
      <c r="L15" s="92" cm="1">
        <f t="array" aca="1" ref="L15" ca="1">IFERROR(INDEX(Rango_Admin_Clas_Total,L$2,MATCH($A15,Rango_Admin_Clas_Primera,0)+1),"-")</f>
        <v>0</v>
      </c>
      <c r="M15" s="92" cm="1">
        <f t="array" aca="1" ref="M15" ca="1">IFERROR(INDEX(Rango_Admin_Clas_Total,M$2,MATCH($A15,Rango_Admin_Clas_Primera,0)+1),"-")</f>
        <v>0</v>
      </c>
      <c r="N15" s="92" cm="1">
        <f t="array" aca="1" ref="N15" ca="1">IFERROR(INDEX(Rango_Admin_Clas_Total,N$2,MATCH($A15,Rango_Admin_Clas_Primera,0)+1),"-")</f>
        <v>0</v>
      </c>
      <c r="O15" s="92" cm="1">
        <f t="array" aca="1" ref="O15" ca="1">IFERROR(INDEX(Rango_Admin_Clas_Total,O$2,MATCH($A15,Rango_Admin_Clas_Primera,0)+1),"-")</f>
        <v>0</v>
      </c>
      <c r="P15" s="92" cm="1">
        <f t="array" aca="1" ref="P15" ca="1">IFERROR(INDEX(Rango_Admin_Clas_Total,P$2,MATCH($A15,Rango_Admin_Clas_Primera,0)+1),"-")</f>
        <v>0</v>
      </c>
      <c r="Q15" s="92" cm="1">
        <f t="array" aca="1" ref="Q15" ca="1">IFERROR(INDEX(Rango_Admin_Clas_Total,Q$2,MATCH($A15,Rango_Admin_Clas_Primera,0)+1),"-")</f>
        <v>0</v>
      </c>
      <c r="R15" s="92" cm="1">
        <f t="array" aca="1" ref="R15" ca="1">IFERROR(INDEX(Rango_Admin_Clas_Total,R$2,MATCH($A15,Rango_Admin_Clas_Primera,0)+1),"-")</f>
        <v>0</v>
      </c>
      <c r="S15" s="92" cm="1">
        <f t="array" aca="1" ref="S15" ca="1">IFERROR(INDEX(Rango_Admin_Clas_Total,S$2,MATCH($A15,Rango_Admin_Clas_Primera,0)+1),"-")</f>
        <v>0</v>
      </c>
      <c r="T15" s="297"/>
      <c r="U15" s="297"/>
    </row>
    <row r="16" spans="1:21">
      <c r="A16" s="19">
        <f t="shared" si="0"/>
        <v>12</v>
      </c>
      <c r="B16" s="22">
        <f ca="1">IFERROR(HLOOKUP(A16,Rango_Admin_Clas,3,FALSE),"-")</f>
        <v>1</v>
      </c>
      <c r="C16" s="18" t="str">
        <f ca="1">IFERROR(HLOOKUP(A16,Rango_Admin_Clas,5,FALSE),"-")</f>
        <v>Jorge Rojas</v>
      </c>
      <c r="D16" s="91">
        <f ca="1">IFERROR(HLOOKUP(A16,Rango_Admin_Clas,4,FALSE),"-")</f>
        <v>0</v>
      </c>
      <c r="E16" s="92" cm="1">
        <f t="array" aca="1" ref="E16" ca="1">IFERROR(INDEX(Rango_Admin_Clas_Total,E$2,MATCH($A16,Rango_Admin_Clas_Primera,0)+1),"-")</f>
        <v>0</v>
      </c>
      <c r="F16" s="92" cm="1">
        <f t="array" aca="1" ref="F16" ca="1">IFERROR(INDEX(Rango_Admin_Clas_Total,F$2,MATCH($A16,Rango_Admin_Clas_Primera,0)+1),"-")</f>
        <v>0</v>
      </c>
      <c r="G16" s="92" cm="1">
        <f t="array" aca="1" ref="G16" ca="1">IFERROR(INDEX(Rango_Admin_Clas_Total,G$2,MATCH($A16,Rango_Admin_Clas_Primera,0)+1),"-")</f>
        <v>0</v>
      </c>
      <c r="H16" s="92" cm="1">
        <f t="array" aca="1" ref="H16" ca="1">IFERROR(INDEX(Rango_Admin_Clas_Total,H$2,MATCH($A16,Rango_Admin_Clas_Primera,0)+1),"-")</f>
        <v>0</v>
      </c>
      <c r="I16" s="92" cm="1">
        <f t="array" aca="1" ref="I16" ca="1">IFERROR(INDEX(Rango_Admin_Clas_Total,I$2,MATCH($A16,Rango_Admin_Clas_Primera,0)+1),"-")</f>
        <v>0</v>
      </c>
      <c r="J16" s="92" cm="1">
        <f t="array" aca="1" ref="J16" ca="1">IFERROR(INDEX(Rango_Admin_Clas_Total,J$2,MATCH($A16,Rango_Admin_Clas_Primera,0)+1),"-")</f>
        <v>0</v>
      </c>
      <c r="K16" s="92" cm="1">
        <f t="array" aca="1" ref="K16" ca="1">IFERROR(INDEX(Rango_Admin_Clas_Total,K$2,MATCH($A16,Rango_Admin_Clas_Primera,0)+1),"-")</f>
        <v>0</v>
      </c>
      <c r="L16" s="92" cm="1">
        <f t="array" aca="1" ref="L16" ca="1">IFERROR(INDEX(Rango_Admin_Clas_Total,L$2,MATCH($A16,Rango_Admin_Clas_Primera,0)+1),"-")</f>
        <v>0</v>
      </c>
      <c r="M16" s="92" cm="1">
        <f t="array" aca="1" ref="M16" ca="1">IFERROR(INDEX(Rango_Admin_Clas_Total,M$2,MATCH($A16,Rango_Admin_Clas_Primera,0)+1),"-")</f>
        <v>0</v>
      </c>
      <c r="N16" s="92" cm="1">
        <f t="array" aca="1" ref="N16" ca="1">IFERROR(INDEX(Rango_Admin_Clas_Total,N$2,MATCH($A16,Rango_Admin_Clas_Primera,0)+1),"-")</f>
        <v>0</v>
      </c>
      <c r="O16" s="92" cm="1">
        <f t="array" aca="1" ref="O16" ca="1">IFERROR(INDEX(Rango_Admin_Clas_Total,O$2,MATCH($A16,Rango_Admin_Clas_Primera,0)+1),"-")</f>
        <v>0</v>
      </c>
      <c r="P16" s="92" cm="1">
        <f t="array" aca="1" ref="P16" ca="1">IFERROR(INDEX(Rango_Admin_Clas_Total,P$2,MATCH($A16,Rango_Admin_Clas_Primera,0)+1),"-")</f>
        <v>0</v>
      </c>
      <c r="Q16" s="92" cm="1">
        <f t="array" aca="1" ref="Q16" ca="1">IFERROR(INDEX(Rango_Admin_Clas_Total,Q$2,MATCH($A16,Rango_Admin_Clas_Primera,0)+1),"-")</f>
        <v>0</v>
      </c>
      <c r="R16" s="92" cm="1">
        <f t="array" aca="1" ref="R16" ca="1">IFERROR(INDEX(Rango_Admin_Clas_Total,R$2,MATCH($A16,Rango_Admin_Clas_Primera,0)+1),"-")</f>
        <v>0</v>
      </c>
      <c r="S16" s="92" cm="1">
        <f t="array" aca="1" ref="S16" ca="1">IFERROR(INDEX(Rango_Admin_Clas_Total,S$2,MATCH($A16,Rango_Admin_Clas_Primera,0)+1),"-")</f>
        <v>0</v>
      </c>
      <c r="T16" s="297"/>
      <c r="U16" s="297"/>
    </row>
    <row r="17" spans="1:21">
      <c r="A17" s="19">
        <f t="shared" si="0"/>
        <v>13</v>
      </c>
      <c r="B17" s="22">
        <f ca="1">IFERROR(HLOOKUP(A17,Rango_Admin_Clas,3,FALSE),"-")</f>
        <v>1</v>
      </c>
      <c r="C17" s="18" t="str">
        <f ca="1">IFERROR(HLOOKUP(A17,Rango_Admin_Clas,5,FALSE),"-")</f>
        <v>Freddy Parra (1)</v>
      </c>
      <c r="D17" s="91">
        <f ca="1">IFERROR(HLOOKUP(A17,Rango_Admin_Clas,4,FALSE),"-")</f>
        <v>0</v>
      </c>
      <c r="E17" s="92" cm="1">
        <f t="array" aca="1" ref="E17" ca="1">IFERROR(INDEX(Rango_Admin_Clas_Total,E$2,MATCH($A17,Rango_Admin_Clas_Primera,0)+1),"-")</f>
        <v>0</v>
      </c>
      <c r="F17" s="92" cm="1">
        <f t="array" aca="1" ref="F17" ca="1">IFERROR(INDEX(Rango_Admin_Clas_Total,F$2,MATCH($A17,Rango_Admin_Clas_Primera,0)+1),"-")</f>
        <v>0</v>
      </c>
      <c r="G17" s="92" cm="1">
        <f t="array" aca="1" ref="G17" ca="1">IFERROR(INDEX(Rango_Admin_Clas_Total,G$2,MATCH($A17,Rango_Admin_Clas_Primera,0)+1),"-")</f>
        <v>0</v>
      </c>
      <c r="H17" s="92" cm="1">
        <f t="array" aca="1" ref="H17" ca="1">IFERROR(INDEX(Rango_Admin_Clas_Total,H$2,MATCH($A17,Rango_Admin_Clas_Primera,0)+1),"-")</f>
        <v>0</v>
      </c>
      <c r="I17" s="92" cm="1">
        <f t="array" aca="1" ref="I17" ca="1">IFERROR(INDEX(Rango_Admin_Clas_Total,I$2,MATCH($A17,Rango_Admin_Clas_Primera,0)+1),"-")</f>
        <v>0</v>
      </c>
      <c r="J17" s="92" cm="1">
        <f t="array" aca="1" ref="J17" ca="1">IFERROR(INDEX(Rango_Admin_Clas_Total,J$2,MATCH($A17,Rango_Admin_Clas_Primera,0)+1),"-")</f>
        <v>0</v>
      </c>
      <c r="K17" s="92" cm="1">
        <f t="array" aca="1" ref="K17" ca="1">IFERROR(INDEX(Rango_Admin_Clas_Total,K$2,MATCH($A17,Rango_Admin_Clas_Primera,0)+1),"-")</f>
        <v>0</v>
      </c>
      <c r="L17" s="92" cm="1">
        <f t="array" aca="1" ref="L17" ca="1">IFERROR(INDEX(Rango_Admin_Clas_Total,L$2,MATCH($A17,Rango_Admin_Clas_Primera,0)+1),"-")</f>
        <v>0</v>
      </c>
      <c r="M17" s="92" cm="1">
        <f t="array" aca="1" ref="M17" ca="1">IFERROR(INDEX(Rango_Admin_Clas_Total,M$2,MATCH($A17,Rango_Admin_Clas_Primera,0)+1),"-")</f>
        <v>0</v>
      </c>
      <c r="N17" s="92" cm="1">
        <f t="array" aca="1" ref="N17" ca="1">IFERROR(INDEX(Rango_Admin_Clas_Total,N$2,MATCH($A17,Rango_Admin_Clas_Primera,0)+1),"-")</f>
        <v>0</v>
      </c>
      <c r="O17" s="92" cm="1">
        <f t="array" aca="1" ref="O17" ca="1">IFERROR(INDEX(Rango_Admin_Clas_Total,O$2,MATCH($A17,Rango_Admin_Clas_Primera,0)+1),"-")</f>
        <v>0</v>
      </c>
      <c r="P17" s="92" cm="1">
        <f t="array" aca="1" ref="P17" ca="1">IFERROR(INDEX(Rango_Admin_Clas_Total,P$2,MATCH($A17,Rango_Admin_Clas_Primera,0)+1),"-")</f>
        <v>0</v>
      </c>
      <c r="Q17" s="92" cm="1">
        <f t="array" aca="1" ref="Q17" ca="1">IFERROR(INDEX(Rango_Admin_Clas_Total,Q$2,MATCH($A17,Rango_Admin_Clas_Primera,0)+1),"-")</f>
        <v>0</v>
      </c>
      <c r="R17" s="92" cm="1">
        <f t="array" aca="1" ref="R17" ca="1">IFERROR(INDEX(Rango_Admin_Clas_Total,R$2,MATCH($A17,Rango_Admin_Clas_Primera,0)+1),"-")</f>
        <v>0</v>
      </c>
      <c r="S17" s="92" cm="1">
        <f t="array" aca="1" ref="S17" ca="1">IFERROR(INDEX(Rango_Admin_Clas_Total,S$2,MATCH($A17,Rango_Admin_Clas_Primera,0)+1),"-")</f>
        <v>0</v>
      </c>
      <c r="T17" s="297"/>
      <c r="U17" s="297"/>
    </row>
    <row r="18" spans="1:21">
      <c r="A18" s="19">
        <f t="shared" si="0"/>
        <v>14</v>
      </c>
      <c r="B18" s="22">
        <f ca="1">IFERROR(HLOOKUP(A18,Rango_Admin_Clas,3,FALSE),"-")</f>
        <v>1</v>
      </c>
      <c r="C18" s="18" t="str">
        <f ca="1">IFERROR(HLOOKUP(A18,Rango_Admin_Clas,5,FALSE),"-")</f>
        <v>Freddy Parra (2)</v>
      </c>
      <c r="D18" s="91">
        <f ca="1">IFERROR(HLOOKUP(A18,Rango_Admin_Clas,4,FALSE),"-")</f>
        <v>0</v>
      </c>
      <c r="E18" s="92" cm="1">
        <f t="array" aca="1" ref="E18" ca="1">IFERROR(INDEX(Rango_Admin_Clas_Total,E$2,MATCH($A18,Rango_Admin_Clas_Primera,0)+1),"-")</f>
        <v>0</v>
      </c>
      <c r="F18" s="92" cm="1">
        <f t="array" aca="1" ref="F18" ca="1">IFERROR(INDEX(Rango_Admin_Clas_Total,F$2,MATCH($A18,Rango_Admin_Clas_Primera,0)+1),"-")</f>
        <v>0</v>
      </c>
      <c r="G18" s="92" cm="1">
        <f t="array" aca="1" ref="G18" ca="1">IFERROR(INDEX(Rango_Admin_Clas_Total,G$2,MATCH($A18,Rango_Admin_Clas_Primera,0)+1),"-")</f>
        <v>0</v>
      </c>
      <c r="H18" s="92" cm="1">
        <f t="array" aca="1" ref="H18" ca="1">IFERROR(INDEX(Rango_Admin_Clas_Total,H$2,MATCH($A18,Rango_Admin_Clas_Primera,0)+1),"-")</f>
        <v>0</v>
      </c>
      <c r="I18" s="92" cm="1">
        <f t="array" aca="1" ref="I18" ca="1">IFERROR(INDEX(Rango_Admin_Clas_Total,I$2,MATCH($A18,Rango_Admin_Clas_Primera,0)+1),"-")</f>
        <v>0</v>
      </c>
      <c r="J18" s="92" cm="1">
        <f t="array" aca="1" ref="J18" ca="1">IFERROR(INDEX(Rango_Admin_Clas_Total,J$2,MATCH($A18,Rango_Admin_Clas_Primera,0)+1),"-")</f>
        <v>0</v>
      </c>
      <c r="K18" s="92" cm="1">
        <f t="array" aca="1" ref="K18" ca="1">IFERROR(INDEX(Rango_Admin_Clas_Total,K$2,MATCH($A18,Rango_Admin_Clas_Primera,0)+1),"-")</f>
        <v>0</v>
      </c>
      <c r="L18" s="92" cm="1">
        <f t="array" aca="1" ref="L18" ca="1">IFERROR(INDEX(Rango_Admin_Clas_Total,L$2,MATCH($A18,Rango_Admin_Clas_Primera,0)+1),"-")</f>
        <v>0</v>
      </c>
      <c r="M18" s="92" cm="1">
        <f t="array" aca="1" ref="M18" ca="1">IFERROR(INDEX(Rango_Admin_Clas_Total,M$2,MATCH($A18,Rango_Admin_Clas_Primera,0)+1),"-")</f>
        <v>0</v>
      </c>
      <c r="N18" s="92" cm="1">
        <f t="array" aca="1" ref="N18" ca="1">IFERROR(INDEX(Rango_Admin_Clas_Total,N$2,MATCH($A18,Rango_Admin_Clas_Primera,0)+1),"-")</f>
        <v>0</v>
      </c>
      <c r="O18" s="92" cm="1">
        <f t="array" aca="1" ref="O18" ca="1">IFERROR(INDEX(Rango_Admin_Clas_Total,O$2,MATCH($A18,Rango_Admin_Clas_Primera,0)+1),"-")</f>
        <v>0</v>
      </c>
      <c r="P18" s="92" cm="1">
        <f t="array" aca="1" ref="P18" ca="1">IFERROR(INDEX(Rango_Admin_Clas_Total,P$2,MATCH($A18,Rango_Admin_Clas_Primera,0)+1),"-")</f>
        <v>0</v>
      </c>
      <c r="Q18" s="92" cm="1">
        <f t="array" aca="1" ref="Q18" ca="1">IFERROR(INDEX(Rango_Admin_Clas_Total,Q$2,MATCH($A18,Rango_Admin_Clas_Primera,0)+1),"-")</f>
        <v>0</v>
      </c>
      <c r="R18" s="92" cm="1">
        <f t="array" aca="1" ref="R18" ca="1">IFERROR(INDEX(Rango_Admin_Clas_Total,R$2,MATCH($A18,Rango_Admin_Clas_Primera,0)+1),"-")</f>
        <v>0</v>
      </c>
      <c r="S18" s="92" cm="1">
        <f t="array" aca="1" ref="S18" ca="1">IFERROR(INDEX(Rango_Admin_Clas_Total,S$2,MATCH($A18,Rango_Admin_Clas_Primera,0)+1),"-")</f>
        <v>0</v>
      </c>
      <c r="T18" s="297"/>
      <c r="U18" s="297"/>
    </row>
    <row r="19" spans="1:21">
      <c r="A19" s="19">
        <f t="shared" si="0"/>
        <v>15</v>
      </c>
      <c r="B19" s="22">
        <f ca="1">IFERROR(HLOOKUP(A19,Rango_Admin_Clas,3,FALSE),"-")</f>
        <v>1</v>
      </c>
      <c r="C19" s="18" t="str">
        <f ca="1">IFERROR(HLOOKUP(A19,Rango_Admin_Clas,5,FALSE),"-")</f>
        <v>Mariana Suarez (Samuel 2)</v>
      </c>
      <c r="D19" s="91">
        <f ca="1">IFERROR(HLOOKUP(A19,Rango_Admin_Clas,4,FALSE),"-")</f>
        <v>0</v>
      </c>
      <c r="E19" s="92" cm="1">
        <f t="array" aca="1" ref="E19" ca="1">IFERROR(INDEX(Rango_Admin_Clas_Total,E$2,MATCH($A19,Rango_Admin_Clas_Primera,0)+1),"-")</f>
        <v>0</v>
      </c>
      <c r="F19" s="92" cm="1">
        <f t="array" aca="1" ref="F19" ca="1">IFERROR(INDEX(Rango_Admin_Clas_Total,F$2,MATCH($A19,Rango_Admin_Clas_Primera,0)+1),"-")</f>
        <v>0</v>
      </c>
      <c r="G19" s="92" cm="1">
        <f t="array" aca="1" ref="G19" ca="1">IFERROR(INDEX(Rango_Admin_Clas_Total,G$2,MATCH($A19,Rango_Admin_Clas_Primera,0)+1),"-")</f>
        <v>0</v>
      </c>
      <c r="H19" s="92" cm="1">
        <f t="array" aca="1" ref="H19" ca="1">IFERROR(INDEX(Rango_Admin_Clas_Total,H$2,MATCH($A19,Rango_Admin_Clas_Primera,0)+1),"-")</f>
        <v>0</v>
      </c>
      <c r="I19" s="92" cm="1">
        <f t="array" aca="1" ref="I19" ca="1">IFERROR(INDEX(Rango_Admin_Clas_Total,I$2,MATCH($A19,Rango_Admin_Clas_Primera,0)+1),"-")</f>
        <v>0</v>
      </c>
      <c r="J19" s="92" cm="1">
        <f t="array" aca="1" ref="J19" ca="1">IFERROR(INDEX(Rango_Admin_Clas_Total,J$2,MATCH($A19,Rango_Admin_Clas_Primera,0)+1),"-")</f>
        <v>0</v>
      </c>
      <c r="K19" s="92" cm="1">
        <f t="array" aca="1" ref="K19" ca="1">IFERROR(INDEX(Rango_Admin_Clas_Total,K$2,MATCH($A19,Rango_Admin_Clas_Primera,0)+1),"-")</f>
        <v>0</v>
      </c>
      <c r="L19" s="92" cm="1">
        <f t="array" aca="1" ref="L19" ca="1">IFERROR(INDEX(Rango_Admin_Clas_Total,L$2,MATCH($A19,Rango_Admin_Clas_Primera,0)+1),"-")</f>
        <v>0</v>
      </c>
      <c r="M19" s="92" cm="1">
        <f t="array" aca="1" ref="M19" ca="1">IFERROR(INDEX(Rango_Admin_Clas_Total,M$2,MATCH($A19,Rango_Admin_Clas_Primera,0)+1),"-")</f>
        <v>0</v>
      </c>
      <c r="N19" s="92" cm="1">
        <f t="array" aca="1" ref="N19" ca="1">IFERROR(INDEX(Rango_Admin_Clas_Total,N$2,MATCH($A19,Rango_Admin_Clas_Primera,0)+1),"-")</f>
        <v>0</v>
      </c>
      <c r="O19" s="92" cm="1">
        <f t="array" aca="1" ref="O19" ca="1">IFERROR(INDEX(Rango_Admin_Clas_Total,O$2,MATCH($A19,Rango_Admin_Clas_Primera,0)+1),"-")</f>
        <v>0</v>
      </c>
      <c r="P19" s="92" cm="1">
        <f t="array" aca="1" ref="P19" ca="1">IFERROR(INDEX(Rango_Admin_Clas_Total,P$2,MATCH($A19,Rango_Admin_Clas_Primera,0)+1),"-")</f>
        <v>0</v>
      </c>
      <c r="Q19" s="92" cm="1">
        <f t="array" aca="1" ref="Q19" ca="1">IFERROR(INDEX(Rango_Admin_Clas_Total,Q$2,MATCH($A19,Rango_Admin_Clas_Primera,0)+1),"-")</f>
        <v>0</v>
      </c>
      <c r="R19" s="92" cm="1">
        <f t="array" aca="1" ref="R19" ca="1">IFERROR(INDEX(Rango_Admin_Clas_Total,R$2,MATCH($A19,Rango_Admin_Clas_Primera,0)+1),"-")</f>
        <v>0</v>
      </c>
      <c r="S19" s="92" cm="1">
        <f t="array" aca="1" ref="S19" ca="1">IFERROR(INDEX(Rango_Admin_Clas_Total,S$2,MATCH($A19,Rango_Admin_Clas_Primera,0)+1),"-")</f>
        <v>0</v>
      </c>
      <c r="T19" s="297"/>
      <c r="U19" s="297"/>
    </row>
    <row r="20" spans="1:21">
      <c r="A20" s="19">
        <f t="shared" si="0"/>
        <v>16</v>
      </c>
      <c r="B20" s="22">
        <f ca="1">IFERROR(HLOOKUP(A20,Rango_Admin_Clas,3,FALSE),"-")</f>
        <v>1</v>
      </c>
      <c r="C20" s="18" t="str">
        <f ca="1">IFERROR(HLOOKUP(A20,Rango_Admin_Clas,5,FALSE),"-")</f>
        <v>Samuel Montes</v>
      </c>
      <c r="D20" s="91">
        <f ca="1">IFERROR(HLOOKUP(A20,Rango_Admin_Clas,4,FALSE),"-")</f>
        <v>0</v>
      </c>
      <c r="E20" s="92" cm="1">
        <f t="array" aca="1" ref="E20" ca="1">IFERROR(INDEX(Rango_Admin_Clas_Total,E$2,MATCH($A20,Rango_Admin_Clas_Primera,0)+1),"-")</f>
        <v>0</v>
      </c>
      <c r="F20" s="92" cm="1">
        <f t="array" aca="1" ref="F20" ca="1">IFERROR(INDEX(Rango_Admin_Clas_Total,F$2,MATCH($A20,Rango_Admin_Clas_Primera,0)+1),"-")</f>
        <v>0</v>
      </c>
      <c r="G20" s="92" cm="1">
        <f t="array" aca="1" ref="G20" ca="1">IFERROR(INDEX(Rango_Admin_Clas_Total,G$2,MATCH($A20,Rango_Admin_Clas_Primera,0)+1),"-")</f>
        <v>0</v>
      </c>
      <c r="H20" s="92" cm="1">
        <f t="array" aca="1" ref="H20" ca="1">IFERROR(INDEX(Rango_Admin_Clas_Total,H$2,MATCH($A20,Rango_Admin_Clas_Primera,0)+1),"-")</f>
        <v>0</v>
      </c>
      <c r="I20" s="92" cm="1">
        <f t="array" aca="1" ref="I20" ca="1">IFERROR(INDEX(Rango_Admin_Clas_Total,I$2,MATCH($A20,Rango_Admin_Clas_Primera,0)+1),"-")</f>
        <v>0</v>
      </c>
      <c r="J20" s="92" cm="1">
        <f t="array" aca="1" ref="J20" ca="1">IFERROR(INDEX(Rango_Admin_Clas_Total,J$2,MATCH($A20,Rango_Admin_Clas_Primera,0)+1),"-")</f>
        <v>0</v>
      </c>
      <c r="K20" s="92" cm="1">
        <f t="array" aca="1" ref="K20" ca="1">IFERROR(INDEX(Rango_Admin_Clas_Total,K$2,MATCH($A20,Rango_Admin_Clas_Primera,0)+1),"-")</f>
        <v>0</v>
      </c>
      <c r="L20" s="92" cm="1">
        <f t="array" aca="1" ref="L20" ca="1">IFERROR(INDEX(Rango_Admin_Clas_Total,L$2,MATCH($A20,Rango_Admin_Clas_Primera,0)+1),"-")</f>
        <v>0</v>
      </c>
      <c r="M20" s="92" cm="1">
        <f t="array" aca="1" ref="M20" ca="1">IFERROR(INDEX(Rango_Admin_Clas_Total,M$2,MATCH($A20,Rango_Admin_Clas_Primera,0)+1),"-")</f>
        <v>0</v>
      </c>
      <c r="N20" s="92" cm="1">
        <f t="array" aca="1" ref="N20" ca="1">IFERROR(INDEX(Rango_Admin_Clas_Total,N$2,MATCH($A20,Rango_Admin_Clas_Primera,0)+1),"-")</f>
        <v>0</v>
      </c>
      <c r="O20" s="92" cm="1">
        <f t="array" aca="1" ref="O20" ca="1">IFERROR(INDEX(Rango_Admin_Clas_Total,O$2,MATCH($A20,Rango_Admin_Clas_Primera,0)+1),"-")</f>
        <v>0</v>
      </c>
      <c r="P20" s="92" cm="1">
        <f t="array" aca="1" ref="P20" ca="1">IFERROR(INDEX(Rango_Admin_Clas_Total,P$2,MATCH($A20,Rango_Admin_Clas_Primera,0)+1),"-")</f>
        <v>0</v>
      </c>
      <c r="Q20" s="92" cm="1">
        <f t="array" aca="1" ref="Q20" ca="1">IFERROR(INDEX(Rango_Admin_Clas_Total,Q$2,MATCH($A20,Rango_Admin_Clas_Primera,0)+1),"-")</f>
        <v>0</v>
      </c>
      <c r="R20" s="92" cm="1">
        <f t="array" aca="1" ref="R20" ca="1">IFERROR(INDEX(Rango_Admin_Clas_Total,R$2,MATCH($A20,Rango_Admin_Clas_Primera,0)+1),"-")</f>
        <v>0</v>
      </c>
      <c r="S20" s="92" cm="1">
        <f t="array" aca="1" ref="S20" ca="1">IFERROR(INDEX(Rango_Admin_Clas_Total,S$2,MATCH($A20,Rango_Admin_Clas_Primera,0)+1),"-")</f>
        <v>0</v>
      </c>
      <c r="T20" s="297"/>
      <c r="U20" s="297"/>
    </row>
    <row r="21" spans="1:21">
      <c r="A21" s="19">
        <f t="shared" si="0"/>
        <v>17</v>
      </c>
      <c r="B21" s="22">
        <f ca="1">IFERROR(HLOOKUP(A21,Rango_Admin_Clas,3,FALSE),"-")</f>
        <v>1</v>
      </c>
      <c r="C21" s="18" t="str">
        <f ca="1">IFERROR(HLOOKUP(A21,Rango_Admin_Clas,5,FALSE),"-")</f>
        <v>Andres Fermin</v>
      </c>
      <c r="D21" s="91">
        <f ca="1">IFERROR(HLOOKUP(A21,Rango_Admin_Clas,4,FALSE),"-")</f>
        <v>0</v>
      </c>
      <c r="E21" s="92" cm="1">
        <f t="array" aca="1" ref="E21" ca="1">IFERROR(INDEX(Rango_Admin_Clas_Total,E$2,MATCH($A21,Rango_Admin_Clas_Primera,0)+1),"-")</f>
        <v>0</v>
      </c>
      <c r="F21" s="92" cm="1">
        <f t="array" aca="1" ref="F21" ca="1">IFERROR(INDEX(Rango_Admin_Clas_Total,F$2,MATCH($A21,Rango_Admin_Clas_Primera,0)+1),"-")</f>
        <v>0</v>
      </c>
      <c r="G21" s="92" cm="1">
        <f t="array" aca="1" ref="G21" ca="1">IFERROR(INDEX(Rango_Admin_Clas_Total,G$2,MATCH($A21,Rango_Admin_Clas_Primera,0)+1),"-")</f>
        <v>0</v>
      </c>
      <c r="H21" s="92" cm="1">
        <f t="array" aca="1" ref="H21" ca="1">IFERROR(INDEX(Rango_Admin_Clas_Total,H$2,MATCH($A21,Rango_Admin_Clas_Primera,0)+1),"-")</f>
        <v>0</v>
      </c>
      <c r="I21" s="92" cm="1">
        <f t="array" aca="1" ref="I21" ca="1">IFERROR(INDEX(Rango_Admin_Clas_Total,I$2,MATCH($A21,Rango_Admin_Clas_Primera,0)+1),"-")</f>
        <v>0</v>
      </c>
      <c r="J21" s="92" cm="1">
        <f t="array" aca="1" ref="J21" ca="1">IFERROR(INDEX(Rango_Admin_Clas_Total,J$2,MATCH($A21,Rango_Admin_Clas_Primera,0)+1),"-")</f>
        <v>0</v>
      </c>
      <c r="K21" s="92" cm="1">
        <f t="array" aca="1" ref="K21" ca="1">IFERROR(INDEX(Rango_Admin_Clas_Total,K$2,MATCH($A21,Rango_Admin_Clas_Primera,0)+1),"-")</f>
        <v>0</v>
      </c>
      <c r="L21" s="92" cm="1">
        <f t="array" aca="1" ref="L21" ca="1">IFERROR(INDEX(Rango_Admin_Clas_Total,L$2,MATCH($A21,Rango_Admin_Clas_Primera,0)+1),"-")</f>
        <v>0</v>
      </c>
      <c r="M21" s="92" cm="1">
        <f t="array" aca="1" ref="M21" ca="1">IFERROR(INDEX(Rango_Admin_Clas_Total,M$2,MATCH($A21,Rango_Admin_Clas_Primera,0)+1),"-")</f>
        <v>0</v>
      </c>
      <c r="N21" s="92" cm="1">
        <f t="array" aca="1" ref="N21" ca="1">IFERROR(INDEX(Rango_Admin_Clas_Total,N$2,MATCH($A21,Rango_Admin_Clas_Primera,0)+1),"-")</f>
        <v>0</v>
      </c>
      <c r="O21" s="92" cm="1">
        <f t="array" aca="1" ref="O21" ca="1">IFERROR(INDEX(Rango_Admin_Clas_Total,O$2,MATCH($A21,Rango_Admin_Clas_Primera,0)+1),"-")</f>
        <v>0</v>
      </c>
      <c r="P21" s="92" cm="1">
        <f t="array" aca="1" ref="P21" ca="1">IFERROR(INDEX(Rango_Admin_Clas_Total,P$2,MATCH($A21,Rango_Admin_Clas_Primera,0)+1),"-")</f>
        <v>0</v>
      </c>
      <c r="Q21" s="92" cm="1">
        <f t="array" aca="1" ref="Q21" ca="1">IFERROR(INDEX(Rango_Admin_Clas_Total,Q$2,MATCH($A21,Rango_Admin_Clas_Primera,0)+1),"-")</f>
        <v>0</v>
      </c>
      <c r="R21" s="92" cm="1">
        <f t="array" aca="1" ref="R21" ca="1">IFERROR(INDEX(Rango_Admin_Clas_Total,R$2,MATCH($A21,Rango_Admin_Clas_Primera,0)+1),"-")</f>
        <v>0</v>
      </c>
      <c r="S21" s="92" cm="1">
        <f t="array" aca="1" ref="S21" ca="1">IFERROR(INDEX(Rango_Admin_Clas_Total,S$2,MATCH($A21,Rango_Admin_Clas_Primera,0)+1),"-")</f>
        <v>0</v>
      </c>
      <c r="T21" s="297"/>
      <c r="U21" s="297"/>
    </row>
    <row r="22" spans="1:21">
      <c r="A22" s="19">
        <f t="shared" si="0"/>
        <v>18</v>
      </c>
      <c r="B22" s="22">
        <f ca="1">IFERROR(HLOOKUP(A22,Rango_Admin_Clas,3,FALSE),"-")</f>
        <v>1</v>
      </c>
      <c r="C22" s="18" t="str">
        <f ca="1">IFERROR(HLOOKUP(A22,Rango_Admin_Clas,5,FALSE),"-")</f>
        <v>Luis Márquez</v>
      </c>
      <c r="D22" s="91">
        <f ca="1">IFERROR(HLOOKUP(A22,Rango_Admin_Clas,4,FALSE),"-")</f>
        <v>0</v>
      </c>
      <c r="E22" s="92" cm="1">
        <f t="array" aca="1" ref="E22" ca="1">IFERROR(INDEX(Rango_Admin_Clas_Total,E$2,MATCH($A22,Rango_Admin_Clas_Primera,0)+1),"-")</f>
        <v>0</v>
      </c>
      <c r="F22" s="92" cm="1">
        <f t="array" aca="1" ref="F22" ca="1">IFERROR(INDEX(Rango_Admin_Clas_Total,F$2,MATCH($A22,Rango_Admin_Clas_Primera,0)+1),"-")</f>
        <v>0</v>
      </c>
      <c r="G22" s="92" cm="1">
        <f t="array" aca="1" ref="G22" ca="1">IFERROR(INDEX(Rango_Admin_Clas_Total,G$2,MATCH($A22,Rango_Admin_Clas_Primera,0)+1),"-")</f>
        <v>0</v>
      </c>
      <c r="H22" s="92" cm="1">
        <f t="array" aca="1" ref="H22" ca="1">IFERROR(INDEX(Rango_Admin_Clas_Total,H$2,MATCH($A22,Rango_Admin_Clas_Primera,0)+1),"-")</f>
        <v>0</v>
      </c>
      <c r="I22" s="92" cm="1">
        <f t="array" aca="1" ref="I22" ca="1">IFERROR(INDEX(Rango_Admin_Clas_Total,I$2,MATCH($A22,Rango_Admin_Clas_Primera,0)+1),"-")</f>
        <v>0</v>
      </c>
      <c r="J22" s="92" cm="1">
        <f t="array" aca="1" ref="J22" ca="1">IFERROR(INDEX(Rango_Admin_Clas_Total,J$2,MATCH($A22,Rango_Admin_Clas_Primera,0)+1),"-")</f>
        <v>0</v>
      </c>
      <c r="K22" s="92" cm="1">
        <f t="array" aca="1" ref="K22" ca="1">IFERROR(INDEX(Rango_Admin_Clas_Total,K$2,MATCH($A22,Rango_Admin_Clas_Primera,0)+1),"-")</f>
        <v>0</v>
      </c>
      <c r="L22" s="92" cm="1">
        <f t="array" aca="1" ref="L22" ca="1">IFERROR(INDEX(Rango_Admin_Clas_Total,L$2,MATCH($A22,Rango_Admin_Clas_Primera,0)+1),"-")</f>
        <v>0</v>
      </c>
      <c r="M22" s="92" cm="1">
        <f t="array" aca="1" ref="M22" ca="1">IFERROR(INDEX(Rango_Admin_Clas_Total,M$2,MATCH($A22,Rango_Admin_Clas_Primera,0)+1),"-")</f>
        <v>0</v>
      </c>
      <c r="N22" s="92" cm="1">
        <f t="array" aca="1" ref="N22" ca="1">IFERROR(INDEX(Rango_Admin_Clas_Total,N$2,MATCH($A22,Rango_Admin_Clas_Primera,0)+1),"-")</f>
        <v>0</v>
      </c>
      <c r="O22" s="92" cm="1">
        <f t="array" aca="1" ref="O22" ca="1">IFERROR(INDEX(Rango_Admin_Clas_Total,O$2,MATCH($A22,Rango_Admin_Clas_Primera,0)+1),"-")</f>
        <v>0</v>
      </c>
      <c r="P22" s="92" cm="1">
        <f t="array" aca="1" ref="P22" ca="1">IFERROR(INDEX(Rango_Admin_Clas_Total,P$2,MATCH($A22,Rango_Admin_Clas_Primera,0)+1),"-")</f>
        <v>0</v>
      </c>
      <c r="Q22" s="92" cm="1">
        <f t="array" aca="1" ref="Q22" ca="1">IFERROR(INDEX(Rango_Admin_Clas_Total,Q$2,MATCH($A22,Rango_Admin_Clas_Primera,0)+1),"-")</f>
        <v>0</v>
      </c>
      <c r="R22" s="92" cm="1">
        <f t="array" aca="1" ref="R22" ca="1">IFERROR(INDEX(Rango_Admin_Clas_Total,R$2,MATCH($A22,Rango_Admin_Clas_Primera,0)+1),"-")</f>
        <v>0</v>
      </c>
      <c r="S22" s="92" cm="1">
        <f t="array" aca="1" ref="S22" ca="1">IFERROR(INDEX(Rango_Admin_Clas_Total,S$2,MATCH($A22,Rango_Admin_Clas_Primera,0)+1),"-")</f>
        <v>0</v>
      </c>
      <c r="T22" s="297"/>
      <c r="U22" s="297"/>
    </row>
    <row r="23" spans="1:21">
      <c r="A23" s="19">
        <f t="shared" si="0"/>
        <v>19</v>
      </c>
      <c r="B23" s="22">
        <f ca="1">IFERROR(HLOOKUP(A23,Rango_Admin_Clas,3,FALSE),"-")</f>
        <v>1</v>
      </c>
      <c r="C23" s="18" t="str">
        <f ca="1">IFERROR(HLOOKUP(A23,Rango_Admin_Clas,5,FALSE),"-")</f>
        <v>Alvaro Urdaneta</v>
      </c>
      <c r="D23" s="91">
        <f ca="1">IFERROR(HLOOKUP(A23,Rango_Admin_Clas,4,FALSE),"-")</f>
        <v>0</v>
      </c>
      <c r="E23" s="92" cm="1">
        <f t="array" aca="1" ref="E23" ca="1">IFERROR(INDEX(Rango_Admin_Clas_Total,E$2,MATCH($A23,Rango_Admin_Clas_Primera,0)+1),"-")</f>
        <v>0</v>
      </c>
      <c r="F23" s="92" cm="1">
        <f t="array" aca="1" ref="F23" ca="1">IFERROR(INDEX(Rango_Admin_Clas_Total,F$2,MATCH($A23,Rango_Admin_Clas_Primera,0)+1),"-")</f>
        <v>0</v>
      </c>
      <c r="G23" s="92" cm="1">
        <f t="array" aca="1" ref="G23" ca="1">IFERROR(INDEX(Rango_Admin_Clas_Total,G$2,MATCH($A23,Rango_Admin_Clas_Primera,0)+1),"-")</f>
        <v>0</v>
      </c>
      <c r="H23" s="92" cm="1">
        <f t="array" aca="1" ref="H23" ca="1">IFERROR(INDEX(Rango_Admin_Clas_Total,H$2,MATCH($A23,Rango_Admin_Clas_Primera,0)+1),"-")</f>
        <v>0</v>
      </c>
      <c r="I23" s="92" cm="1">
        <f t="array" aca="1" ref="I23" ca="1">IFERROR(INDEX(Rango_Admin_Clas_Total,I$2,MATCH($A23,Rango_Admin_Clas_Primera,0)+1),"-")</f>
        <v>0</v>
      </c>
      <c r="J23" s="92" cm="1">
        <f t="array" aca="1" ref="J23" ca="1">IFERROR(INDEX(Rango_Admin_Clas_Total,J$2,MATCH($A23,Rango_Admin_Clas_Primera,0)+1),"-")</f>
        <v>0</v>
      </c>
      <c r="K23" s="92" cm="1">
        <f t="array" aca="1" ref="K23" ca="1">IFERROR(INDEX(Rango_Admin_Clas_Total,K$2,MATCH($A23,Rango_Admin_Clas_Primera,0)+1),"-")</f>
        <v>0</v>
      </c>
      <c r="L23" s="92" cm="1">
        <f t="array" aca="1" ref="L23" ca="1">IFERROR(INDEX(Rango_Admin_Clas_Total,L$2,MATCH($A23,Rango_Admin_Clas_Primera,0)+1),"-")</f>
        <v>0</v>
      </c>
      <c r="M23" s="92" cm="1">
        <f t="array" aca="1" ref="M23" ca="1">IFERROR(INDEX(Rango_Admin_Clas_Total,M$2,MATCH($A23,Rango_Admin_Clas_Primera,0)+1),"-")</f>
        <v>0</v>
      </c>
      <c r="N23" s="92" cm="1">
        <f t="array" aca="1" ref="N23" ca="1">IFERROR(INDEX(Rango_Admin_Clas_Total,N$2,MATCH($A23,Rango_Admin_Clas_Primera,0)+1),"-")</f>
        <v>0</v>
      </c>
      <c r="O23" s="92" cm="1">
        <f t="array" aca="1" ref="O23" ca="1">IFERROR(INDEX(Rango_Admin_Clas_Total,O$2,MATCH($A23,Rango_Admin_Clas_Primera,0)+1),"-")</f>
        <v>0</v>
      </c>
      <c r="P23" s="92" cm="1">
        <f t="array" aca="1" ref="P23" ca="1">IFERROR(INDEX(Rango_Admin_Clas_Total,P$2,MATCH($A23,Rango_Admin_Clas_Primera,0)+1),"-")</f>
        <v>0</v>
      </c>
      <c r="Q23" s="92" cm="1">
        <f t="array" aca="1" ref="Q23" ca="1">IFERROR(INDEX(Rango_Admin_Clas_Total,Q$2,MATCH($A23,Rango_Admin_Clas_Primera,0)+1),"-")</f>
        <v>0</v>
      </c>
      <c r="R23" s="92" cm="1">
        <f t="array" aca="1" ref="R23" ca="1">IFERROR(INDEX(Rango_Admin_Clas_Total,R$2,MATCH($A23,Rango_Admin_Clas_Primera,0)+1),"-")</f>
        <v>0</v>
      </c>
      <c r="S23" s="92" cm="1">
        <f t="array" aca="1" ref="S23" ca="1">IFERROR(INDEX(Rango_Admin_Clas_Total,S$2,MATCH($A23,Rango_Admin_Clas_Primera,0)+1),"-")</f>
        <v>0</v>
      </c>
      <c r="T23" s="297"/>
      <c r="U23" s="297"/>
    </row>
    <row r="24" spans="1:21">
      <c r="A24" s="19">
        <f t="shared" si="0"/>
        <v>20</v>
      </c>
      <c r="B24" s="22">
        <f ca="1">IFERROR(HLOOKUP(A24,Rango_Admin_Clas,3,FALSE),"-")</f>
        <v>1</v>
      </c>
      <c r="C24" s="18" t="str">
        <f ca="1">IFERROR(HLOOKUP(A24,Rango_Admin_Clas,5,FALSE),"-")</f>
        <v>Fernando (Jessika)</v>
      </c>
      <c r="D24" s="91">
        <f ca="1">IFERROR(HLOOKUP(A24,Rango_Admin_Clas,4,FALSE),"-")</f>
        <v>0</v>
      </c>
      <c r="E24" s="92" cm="1">
        <f t="array" aca="1" ref="E24" ca="1">IFERROR(INDEX(Rango_Admin_Clas_Total,E$2,MATCH($A24,Rango_Admin_Clas_Primera,0)+1),"-")</f>
        <v>0</v>
      </c>
      <c r="F24" s="92" cm="1">
        <f t="array" aca="1" ref="F24" ca="1">IFERROR(INDEX(Rango_Admin_Clas_Total,F$2,MATCH($A24,Rango_Admin_Clas_Primera,0)+1),"-")</f>
        <v>0</v>
      </c>
      <c r="G24" s="92" cm="1">
        <f t="array" aca="1" ref="G24" ca="1">IFERROR(INDEX(Rango_Admin_Clas_Total,G$2,MATCH($A24,Rango_Admin_Clas_Primera,0)+1),"-")</f>
        <v>0</v>
      </c>
      <c r="H24" s="92" cm="1">
        <f t="array" aca="1" ref="H24" ca="1">IFERROR(INDEX(Rango_Admin_Clas_Total,H$2,MATCH($A24,Rango_Admin_Clas_Primera,0)+1),"-")</f>
        <v>0</v>
      </c>
      <c r="I24" s="92" cm="1">
        <f t="array" aca="1" ref="I24" ca="1">IFERROR(INDEX(Rango_Admin_Clas_Total,I$2,MATCH($A24,Rango_Admin_Clas_Primera,0)+1),"-")</f>
        <v>0</v>
      </c>
      <c r="J24" s="92" cm="1">
        <f t="array" aca="1" ref="J24" ca="1">IFERROR(INDEX(Rango_Admin_Clas_Total,J$2,MATCH($A24,Rango_Admin_Clas_Primera,0)+1),"-")</f>
        <v>0</v>
      </c>
      <c r="K24" s="92" cm="1">
        <f t="array" aca="1" ref="K24" ca="1">IFERROR(INDEX(Rango_Admin_Clas_Total,K$2,MATCH($A24,Rango_Admin_Clas_Primera,0)+1),"-")</f>
        <v>0</v>
      </c>
      <c r="L24" s="92" cm="1">
        <f t="array" aca="1" ref="L24" ca="1">IFERROR(INDEX(Rango_Admin_Clas_Total,L$2,MATCH($A24,Rango_Admin_Clas_Primera,0)+1),"-")</f>
        <v>0</v>
      </c>
      <c r="M24" s="92" cm="1">
        <f t="array" aca="1" ref="M24" ca="1">IFERROR(INDEX(Rango_Admin_Clas_Total,M$2,MATCH($A24,Rango_Admin_Clas_Primera,0)+1),"-")</f>
        <v>0</v>
      </c>
      <c r="N24" s="92" cm="1">
        <f t="array" aca="1" ref="N24" ca="1">IFERROR(INDEX(Rango_Admin_Clas_Total,N$2,MATCH($A24,Rango_Admin_Clas_Primera,0)+1),"-")</f>
        <v>0</v>
      </c>
      <c r="O24" s="92" cm="1">
        <f t="array" aca="1" ref="O24" ca="1">IFERROR(INDEX(Rango_Admin_Clas_Total,O$2,MATCH($A24,Rango_Admin_Clas_Primera,0)+1),"-")</f>
        <v>0</v>
      </c>
      <c r="P24" s="92" cm="1">
        <f t="array" aca="1" ref="P24" ca="1">IFERROR(INDEX(Rango_Admin_Clas_Total,P$2,MATCH($A24,Rango_Admin_Clas_Primera,0)+1),"-")</f>
        <v>0</v>
      </c>
      <c r="Q24" s="92" cm="1">
        <f t="array" aca="1" ref="Q24" ca="1">IFERROR(INDEX(Rango_Admin_Clas_Total,Q$2,MATCH($A24,Rango_Admin_Clas_Primera,0)+1),"-")</f>
        <v>0</v>
      </c>
      <c r="R24" s="92" cm="1">
        <f t="array" aca="1" ref="R24" ca="1">IFERROR(INDEX(Rango_Admin_Clas_Total,R$2,MATCH($A24,Rango_Admin_Clas_Primera,0)+1),"-")</f>
        <v>0</v>
      </c>
      <c r="S24" s="92" cm="1">
        <f t="array" aca="1" ref="S24" ca="1">IFERROR(INDEX(Rango_Admin_Clas_Total,S$2,MATCH($A24,Rango_Admin_Clas_Primera,0)+1),"-")</f>
        <v>0</v>
      </c>
      <c r="T24" s="297"/>
      <c r="U24" s="297"/>
    </row>
    <row r="25" spans="1:21">
      <c r="A25" s="19">
        <f t="shared" si="0"/>
        <v>21</v>
      </c>
      <c r="B25" s="22">
        <f ca="1">IFERROR(HLOOKUP(A25,Rango_Admin_Clas,3,FALSE),"-")</f>
        <v>1</v>
      </c>
      <c r="C25" s="18" t="str">
        <f ca="1">IFERROR(HLOOKUP(A25,Rango_Admin_Clas,5,FALSE),"-")</f>
        <v>Ricardo Ortega</v>
      </c>
      <c r="D25" s="91">
        <f ca="1">IFERROR(HLOOKUP(A25,Rango_Admin_Clas,4,FALSE),"-")</f>
        <v>0</v>
      </c>
      <c r="E25" s="92" cm="1">
        <f t="array" aca="1" ref="E25" ca="1">IFERROR(INDEX(Rango_Admin_Clas_Total,E$2,MATCH($A25,Rango_Admin_Clas_Primera,0)+1),"-")</f>
        <v>0</v>
      </c>
      <c r="F25" s="92" cm="1">
        <f t="array" aca="1" ref="F25" ca="1">IFERROR(INDEX(Rango_Admin_Clas_Total,F$2,MATCH($A25,Rango_Admin_Clas_Primera,0)+1),"-")</f>
        <v>0</v>
      </c>
      <c r="G25" s="92" cm="1">
        <f t="array" aca="1" ref="G25" ca="1">IFERROR(INDEX(Rango_Admin_Clas_Total,G$2,MATCH($A25,Rango_Admin_Clas_Primera,0)+1),"-")</f>
        <v>0</v>
      </c>
      <c r="H25" s="92" cm="1">
        <f t="array" aca="1" ref="H25" ca="1">IFERROR(INDEX(Rango_Admin_Clas_Total,H$2,MATCH($A25,Rango_Admin_Clas_Primera,0)+1),"-")</f>
        <v>0</v>
      </c>
      <c r="I25" s="92" cm="1">
        <f t="array" aca="1" ref="I25" ca="1">IFERROR(INDEX(Rango_Admin_Clas_Total,I$2,MATCH($A25,Rango_Admin_Clas_Primera,0)+1),"-")</f>
        <v>0</v>
      </c>
      <c r="J25" s="92" cm="1">
        <f t="array" aca="1" ref="J25" ca="1">IFERROR(INDEX(Rango_Admin_Clas_Total,J$2,MATCH($A25,Rango_Admin_Clas_Primera,0)+1),"-")</f>
        <v>0</v>
      </c>
      <c r="K25" s="92" cm="1">
        <f t="array" aca="1" ref="K25" ca="1">IFERROR(INDEX(Rango_Admin_Clas_Total,K$2,MATCH($A25,Rango_Admin_Clas_Primera,0)+1),"-")</f>
        <v>0</v>
      </c>
      <c r="L25" s="92" cm="1">
        <f t="array" aca="1" ref="L25" ca="1">IFERROR(INDEX(Rango_Admin_Clas_Total,L$2,MATCH($A25,Rango_Admin_Clas_Primera,0)+1),"-")</f>
        <v>0</v>
      </c>
      <c r="M25" s="92" cm="1">
        <f t="array" aca="1" ref="M25" ca="1">IFERROR(INDEX(Rango_Admin_Clas_Total,M$2,MATCH($A25,Rango_Admin_Clas_Primera,0)+1),"-")</f>
        <v>0</v>
      </c>
      <c r="N25" s="92" cm="1">
        <f t="array" aca="1" ref="N25" ca="1">IFERROR(INDEX(Rango_Admin_Clas_Total,N$2,MATCH($A25,Rango_Admin_Clas_Primera,0)+1),"-")</f>
        <v>0</v>
      </c>
      <c r="O25" s="92" cm="1">
        <f t="array" aca="1" ref="O25" ca="1">IFERROR(INDEX(Rango_Admin_Clas_Total,O$2,MATCH($A25,Rango_Admin_Clas_Primera,0)+1),"-")</f>
        <v>0</v>
      </c>
      <c r="P25" s="92" cm="1">
        <f t="array" aca="1" ref="P25" ca="1">IFERROR(INDEX(Rango_Admin_Clas_Total,P$2,MATCH($A25,Rango_Admin_Clas_Primera,0)+1),"-")</f>
        <v>0</v>
      </c>
      <c r="Q25" s="92" cm="1">
        <f t="array" aca="1" ref="Q25" ca="1">IFERROR(INDEX(Rango_Admin_Clas_Total,Q$2,MATCH($A25,Rango_Admin_Clas_Primera,0)+1),"-")</f>
        <v>0</v>
      </c>
      <c r="R25" s="92" cm="1">
        <f t="array" aca="1" ref="R25" ca="1">IFERROR(INDEX(Rango_Admin_Clas_Total,R$2,MATCH($A25,Rango_Admin_Clas_Primera,0)+1),"-")</f>
        <v>0</v>
      </c>
      <c r="S25" s="92" cm="1">
        <f t="array" aca="1" ref="S25" ca="1">IFERROR(INDEX(Rango_Admin_Clas_Total,S$2,MATCH($A25,Rango_Admin_Clas_Primera,0)+1),"-")</f>
        <v>0</v>
      </c>
      <c r="T25" s="297"/>
      <c r="U25" s="297"/>
    </row>
    <row r="26" spans="1:21">
      <c r="A26" s="19">
        <f t="shared" si="0"/>
        <v>22</v>
      </c>
      <c r="B26" s="22">
        <f ca="1">IFERROR(HLOOKUP(A26,Rango_Admin_Clas,3,FALSE),"-")</f>
        <v>1</v>
      </c>
      <c r="C26" s="18" t="str">
        <f ca="1">IFERROR(HLOOKUP(A26,Rango_Admin_Clas,5,FALSE),"-")</f>
        <v>Xavier (Kevin 2)</v>
      </c>
      <c r="D26" s="91">
        <f ca="1">IFERROR(HLOOKUP(A26,Rango_Admin_Clas,4,FALSE),"-")</f>
        <v>0</v>
      </c>
      <c r="E26" s="92" cm="1">
        <f t="array" aca="1" ref="E26" ca="1">IFERROR(INDEX(Rango_Admin_Clas_Total,E$2,MATCH($A26,Rango_Admin_Clas_Primera,0)+1),"-")</f>
        <v>0</v>
      </c>
      <c r="F26" s="92" cm="1">
        <f t="array" aca="1" ref="F26" ca="1">IFERROR(INDEX(Rango_Admin_Clas_Total,F$2,MATCH($A26,Rango_Admin_Clas_Primera,0)+1),"-")</f>
        <v>0</v>
      </c>
      <c r="G26" s="92" cm="1">
        <f t="array" aca="1" ref="G26" ca="1">IFERROR(INDEX(Rango_Admin_Clas_Total,G$2,MATCH($A26,Rango_Admin_Clas_Primera,0)+1),"-")</f>
        <v>0</v>
      </c>
      <c r="H26" s="92" cm="1">
        <f t="array" aca="1" ref="H26" ca="1">IFERROR(INDEX(Rango_Admin_Clas_Total,H$2,MATCH($A26,Rango_Admin_Clas_Primera,0)+1),"-")</f>
        <v>0</v>
      </c>
      <c r="I26" s="92" cm="1">
        <f t="array" aca="1" ref="I26" ca="1">IFERROR(INDEX(Rango_Admin_Clas_Total,I$2,MATCH($A26,Rango_Admin_Clas_Primera,0)+1),"-")</f>
        <v>0</v>
      </c>
      <c r="J26" s="92" cm="1">
        <f t="array" aca="1" ref="J26" ca="1">IFERROR(INDEX(Rango_Admin_Clas_Total,J$2,MATCH($A26,Rango_Admin_Clas_Primera,0)+1),"-")</f>
        <v>0</v>
      </c>
      <c r="K26" s="92" cm="1">
        <f t="array" aca="1" ref="K26" ca="1">IFERROR(INDEX(Rango_Admin_Clas_Total,K$2,MATCH($A26,Rango_Admin_Clas_Primera,0)+1),"-")</f>
        <v>0</v>
      </c>
      <c r="L26" s="92" cm="1">
        <f t="array" aca="1" ref="L26" ca="1">IFERROR(INDEX(Rango_Admin_Clas_Total,L$2,MATCH($A26,Rango_Admin_Clas_Primera,0)+1),"-")</f>
        <v>0</v>
      </c>
      <c r="M26" s="92" cm="1">
        <f t="array" aca="1" ref="M26" ca="1">IFERROR(INDEX(Rango_Admin_Clas_Total,M$2,MATCH($A26,Rango_Admin_Clas_Primera,0)+1),"-")</f>
        <v>0</v>
      </c>
      <c r="N26" s="92" cm="1">
        <f t="array" aca="1" ref="N26" ca="1">IFERROR(INDEX(Rango_Admin_Clas_Total,N$2,MATCH($A26,Rango_Admin_Clas_Primera,0)+1),"-")</f>
        <v>0</v>
      </c>
      <c r="O26" s="92" cm="1">
        <f t="array" aca="1" ref="O26" ca="1">IFERROR(INDEX(Rango_Admin_Clas_Total,O$2,MATCH($A26,Rango_Admin_Clas_Primera,0)+1),"-")</f>
        <v>0</v>
      </c>
      <c r="P26" s="92" cm="1">
        <f t="array" aca="1" ref="P26" ca="1">IFERROR(INDEX(Rango_Admin_Clas_Total,P$2,MATCH($A26,Rango_Admin_Clas_Primera,0)+1),"-")</f>
        <v>0</v>
      </c>
      <c r="Q26" s="92" cm="1">
        <f t="array" aca="1" ref="Q26" ca="1">IFERROR(INDEX(Rango_Admin_Clas_Total,Q$2,MATCH($A26,Rango_Admin_Clas_Primera,0)+1),"-")</f>
        <v>0</v>
      </c>
      <c r="R26" s="92" cm="1">
        <f t="array" aca="1" ref="R26" ca="1">IFERROR(INDEX(Rango_Admin_Clas_Total,R$2,MATCH($A26,Rango_Admin_Clas_Primera,0)+1),"-")</f>
        <v>0</v>
      </c>
      <c r="S26" s="92" cm="1">
        <f t="array" aca="1" ref="S26" ca="1">IFERROR(INDEX(Rango_Admin_Clas_Total,S$2,MATCH($A26,Rango_Admin_Clas_Primera,0)+1),"-")</f>
        <v>0</v>
      </c>
      <c r="T26" s="297"/>
      <c r="U26" s="297"/>
    </row>
    <row r="27" spans="1:21">
      <c r="A27" s="19">
        <f t="shared" si="0"/>
        <v>23</v>
      </c>
      <c r="B27" s="22">
        <f ca="1">IFERROR(HLOOKUP(A27,Rango_Admin_Clas,3,FALSE),"-")</f>
        <v>1</v>
      </c>
      <c r="C27" s="18" t="str">
        <f ca="1">IFERROR(HLOOKUP(A27,Rango_Admin_Clas,5,FALSE),"-")</f>
        <v>Jared Oropeza</v>
      </c>
      <c r="D27" s="91">
        <f ca="1">IFERROR(HLOOKUP(A27,Rango_Admin_Clas,4,FALSE),"-")</f>
        <v>0</v>
      </c>
      <c r="E27" s="92" cm="1">
        <f t="array" aca="1" ref="E27" ca="1">IFERROR(INDEX(Rango_Admin_Clas_Total,E$2,MATCH($A27,Rango_Admin_Clas_Primera,0)+1),"-")</f>
        <v>0</v>
      </c>
      <c r="F27" s="92" cm="1">
        <f t="array" aca="1" ref="F27" ca="1">IFERROR(INDEX(Rango_Admin_Clas_Total,F$2,MATCH($A27,Rango_Admin_Clas_Primera,0)+1),"-")</f>
        <v>0</v>
      </c>
      <c r="G27" s="92" cm="1">
        <f t="array" aca="1" ref="G27" ca="1">IFERROR(INDEX(Rango_Admin_Clas_Total,G$2,MATCH($A27,Rango_Admin_Clas_Primera,0)+1),"-")</f>
        <v>0</v>
      </c>
      <c r="H27" s="92" cm="1">
        <f t="array" aca="1" ref="H27" ca="1">IFERROR(INDEX(Rango_Admin_Clas_Total,H$2,MATCH($A27,Rango_Admin_Clas_Primera,0)+1),"-")</f>
        <v>0</v>
      </c>
      <c r="I27" s="92" cm="1">
        <f t="array" aca="1" ref="I27" ca="1">IFERROR(INDEX(Rango_Admin_Clas_Total,I$2,MATCH($A27,Rango_Admin_Clas_Primera,0)+1),"-")</f>
        <v>0</v>
      </c>
      <c r="J27" s="92" cm="1">
        <f t="array" aca="1" ref="J27" ca="1">IFERROR(INDEX(Rango_Admin_Clas_Total,J$2,MATCH($A27,Rango_Admin_Clas_Primera,0)+1),"-")</f>
        <v>0</v>
      </c>
      <c r="K27" s="92" cm="1">
        <f t="array" aca="1" ref="K27" ca="1">IFERROR(INDEX(Rango_Admin_Clas_Total,K$2,MATCH($A27,Rango_Admin_Clas_Primera,0)+1),"-")</f>
        <v>0</v>
      </c>
      <c r="L27" s="92" cm="1">
        <f t="array" aca="1" ref="L27" ca="1">IFERROR(INDEX(Rango_Admin_Clas_Total,L$2,MATCH($A27,Rango_Admin_Clas_Primera,0)+1),"-")</f>
        <v>0</v>
      </c>
      <c r="M27" s="92" cm="1">
        <f t="array" aca="1" ref="M27" ca="1">IFERROR(INDEX(Rango_Admin_Clas_Total,M$2,MATCH($A27,Rango_Admin_Clas_Primera,0)+1),"-")</f>
        <v>0</v>
      </c>
      <c r="N27" s="92" cm="1">
        <f t="array" aca="1" ref="N27" ca="1">IFERROR(INDEX(Rango_Admin_Clas_Total,N$2,MATCH($A27,Rango_Admin_Clas_Primera,0)+1),"-")</f>
        <v>0</v>
      </c>
      <c r="O27" s="92" cm="1">
        <f t="array" aca="1" ref="O27" ca="1">IFERROR(INDEX(Rango_Admin_Clas_Total,O$2,MATCH($A27,Rango_Admin_Clas_Primera,0)+1),"-")</f>
        <v>0</v>
      </c>
      <c r="P27" s="92" cm="1">
        <f t="array" aca="1" ref="P27" ca="1">IFERROR(INDEX(Rango_Admin_Clas_Total,P$2,MATCH($A27,Rango_Admin_Clas_Primera,0)+1),"-")</f>
        <v>0</v>
      </c>
      <c r="Q27" s="92" cm="1">
        <f t="array" aca="1" ref="Q27" ca="1">IFERROR(INDEX(Rango_Admin_Clas_Total,Q$2,MATCH($A27,Rango_Admin_Clas_Primera,0)+1),"-")</f>
        <v>0</v>
      </c>
      <c r="R27" s="92" cm="1">
        <f t="array" aca="1" ref="R27" ca="1">IFERROR(INDEX(Rango_Admin_Clas_Total,R$2,MATCH($A27,Rango_Admin_Clas_Primera,0)+1),"-")</f>
        <v>0</v>
      </c>
      <c r="S27" s="92" cm="1">
        <f t="array" aca="1" ref="S27" ca="1">IFERROR(INDEX(Rango_Admin_Clas_Total,S$2,MATCH($A27,Rango_Admin_Clas_Primera,0)+1),"-")</f>
        <v>0</v>
      </c>
      <c r="T27" s="297"/>
      <c r="U27" s="297"/>
    </row>
    <row r="28" spans="1:21">
      <c r="A28" s="19">
        <f t="shared" si="0"/>
        <v>24</v>
      </c>
      <c r="B28" s="22">
        <f ca="1">IFERROR(HLOOKUP(A28,Rango_Admin_Clas,3,FALSE),"-")</f>
        <v>1</v>
      </c>
      <c r="C28" s="18" t="str">
        <f ca="1">IFERROR(HLOOKUP(A28,Rango_Admin_Clas,5,FALSE),"-")</f>
        <v>Juan Dorante</v>
      </c>
      <c r="D28" s="91">
        <f ca="1">IFERROR(HLOOKUP(A28,Rango_Admin_Clas,4,FALSE),"-")</f>
        <v>0</v>
      </c>
      <c r="E28" s="92" cm="1">
        <f t="array" aca="1" ref="E28" ca="1">IFERROR(INDEX(Rango_Admin_Clas_Total,E$2,MATCH($A28,Rango_Admin_Clas_Primera,0)+1),"-")</f>
        <v>0</v>
      </c>
      <c r="F28" s="92" cm="1">
        <f t="array" aca="1" ref="F28" ca="1">IFERROR(INDEX(Rango_Admin_Clas_Total,F$2,MATCH($A28,Rango_Admin_Clas_Primera,0)+1),"-")</f>
        <v>0</v>
      </c>
      <c r="G28" s="92" cm="1">
        <f t="array" aca="1" ref="G28" ca="1">IFERROR(INDEX(Rango_Admin_Clas_Total,G$2,MATCH($A28,Rango_Admin_Clas_Primera,0)+1),"-")</f>
        <v>0</v>
      </c>
      <c r="H28" s="92" cm="1">
        <f t="array" aca="1" ref="H28" ca="1">IFERROR(INDEX(Rango_Admin_Clas_Total,H$2,MATCH($A28,Rango_Admin_Clas_Primera,0)+1),"-")</f>
        <v>0</v>
      </c>
      <c r="I28" s="92" cm="1">
        <f t="array" aca="1" ref="I28" ca="1">IFERROR(INDEX(Rango_Admin_Clas_Total,I$2,MATCH($A28,Rango_Admin_Clas_Primera,0)+1),"-")</f>
        <v>0</v>
      </c>
      <c r="J28" s="92" cm="1">
        <f t="array" aca="1" ref="J28" ca="1">IFERROR(INDEX(Rango_Admin_Clas_Total,J$2,MATCH($A28,Rango_Admin_Clas_Primera,0)+1),"-")</f>
        <v>0</v>
      </c>
      <c r="K28" s="92" cm="1">
        <f t="array" aca="1" ref="K28" ca="1">IFERROR(INDEX(Rango_Admin_Clas_Total,K$2,MATCH($A28,Rango_Admin_Clas_Primera,0)+1),"-")</f>
        <v>0</v>
      </c>
      <c r="L28" s="92" cm="1">
        <f t="array" aca="1" ref="L28" ca="1">IFERROR(INDEX(Rango_Admin_Clas_Total,L$2,MATCH($A28,Rango_Admin_Clas_Primera,0)+1),"-")</f>
        <v>0</v>
      </c>
      <c r="M28" s="92" cm="1">
        <f t="array" aca="1" ref="M28" ca="1">IFERROR(INDEX(Rango_Admin_Clas_Total,M$2,MATCH($A28,Rango_Admin_Clas_Primera,0)+1),"-")</f>
        <v>0</v>
      </c>
      <c r="N28" s="92" cm="1">
        <f t="array" aca="1" ref="N28" ca="1">IFERROR(INDEX(Rango_Admin_Clas_Total,N$2,MATCH($A28,Rango_Admin_Clas_Primera,0)+1),"-")</f>
        <v>0</v>
      </c>
      <c r="O28" s="92" cm="1">
        <f t="array" aca="1" ref="O28" ca="1">IFERROR(INDEX(Rango_Admin_Clas_Total,O$2,MATCH($A28,Rango_Admin_Clas_Primera,0)+1),"-")</f>
        <v>0</v>
      </c>
      <c r="P28" s="92" cm="1">
        <f t="array" aca="1" ref="P28" ca="1">IFERROR(INDEX(Rango_Admin_Clas_Total,P$2,MATCH($A28,Rango_Admin_Clas_Primera,0)+1),"-")</f>
        <v>0</v>
      </c>
      <c r="Q28" s="92" cm="1">
        <f t="array" aca="1" ref="Q28" ca="1">IFERROR(INDEX(Rango_Admin_Clas_Total,Q$2,MATCH($A28,Rango_Admin_Clas_Primera,0)+1),"-")</f>
        <v>0</v>
      </c>
      <c r="R28" s="92" cm="1">
        <f t="array" aca="1" ref="R28" ca="1">IFERROR(INDEX(Rango_Admin_Clas_Total,R$2,MATCH($A28,Rango_Admin_Clas_Primera,0)+1),"-")</f>
        <v>0</v>
      </c>
      <c r="S28" s="92" cm="1">
        <f t="array" aca="1" ref="S28" ca="1">IFERROR(INDEX(Rango_Admin_Clas_Total,S$2,MATCH($A28,Rango_Admin_Clas_Primera,0)+1),"-")</f>
        <v>0</v>
      </c>
      <c r="T28" s="297"/>
      <c r="U28" s="297"/>
    </row>
    <row r="29" spans="1:21">
      <c r="A29" s="19">
        <f t="shared" si="0"/>
        <v>25</v>
      </c>
      <c r="B29" s="22">
        <f ca="1">IFERROR(HLOOKUP(A29,Rango_Admin_Clas,3,FALSE),"-")</f>
        <v>1</v>
      </c>
      <c r="C29" s="18" t="str">
        <f ca="1">IFERROR(HLOOKUP(A29,Rango_Admin_Clas,5,FALSE),"-")</f>
        <v>Carlos Gimenez</v>
      </c>
      <c r="D29" s="91">
        <f ca="1">IFERROR(HLOOKUP(A29,Rango_Admin_Clas,4,FALSE),"-")</f>
        <v>0</v>
      </c>
      <c r="E29" s="92" cm="1">
        <f t="array" aca="1" ref="E29" ca="1">IFERROR(INDEX(Rango_Admin_Clas_Total,E$2,MATCH($A29,Rango_Admin_Clas_Primera,0)+1),"-")</f>
        <v>0</v>
      </c>
      <c r="F29" s="92" cm="1">
        <f t="array" aca="1" ref="F29" ca="1">IFERROR(INDEX(Rango_Admin_Clas_Total,F$2,MATCH($A29,Rango_Admin_Clas_Primera,0)+1),"-")</f>
        <v>0</v>
      </c>
      <c r="G29" s="92" cm="1">
        <f t="array" aca="1" ref="G29" ca="1">IFERROR(INDEX(Rango_Admin_Clas_Total,G$2,MATCH($A29,Rango_Admin_Clas_Primera,0)+1),"-")</f>
        <v>0</v>
      </c>
      <c r="H29" s="92" cm="1">
        <f t="array" aca="1" ref="H29" ca="1">IFERROR(INDEX(Rango_Admin_Clas_Total,H$2,MATCH($A29,Rango_Admin_Clas_Primera,0)+1),"-")</f>
        <v>0</v>
      </c>
      <c r="I29" s="92" cm="1">
        <f t="array" aca="1" ref="I29" ca="1">IFERROR(INDEX(Rango_Admin_Clas_Total,I$2,MATCH($A29,Rango_Admin_Clas_Primera,0)+1),"-")</f>
        <v>0</v>
      </c>
      <c r="J29" s="92" cm="1">
        <f t="array" aca="1" ref="J29" ca="1">IFERROR(INDEX(Rango_Admin_Clas_Total,J$2,MATCH($A29,Rango_Admin_Clas_Primera,0)+1),"-")</f>
        <v>0</v>
      </c>
      <c r="K29" s="92" cm="1">
        <f t="array" aca="1" ref="K29" ca="1">IFERROR(INDEX(Rango_Admin_Clas_Total,K$2,MATCH($A29,Rango_Admin_Clas_Primera,0)+1),"-")</f>
        <v>0</v>
      </c>
      <c r="L29" s="92" cm="1">
        <f t="array" aca="1" ref="L29" ca="1">IFERROR(INDEX(Rango_Admin_Clas_Total,L$2,MATCH($A29,Rango_Admin_Clas_Primera,0)+1),"-")</f>
        <v>0</v>
      </c>
      <c r="M29" s="92" cm="1">
        <f t="array" aca="1" ref="M29" ca="1">IFERROR(INDEX(Rango_Admin_Clas_Total,M$2,MATCH($A29,Rango_Admin_Clas_Primera,0)+1),"-")</f>
        <v>0</v>
      </c>
      <c r="N29" s="92" cm="1">
        <f t="array" aca="1" ref="N29" ca="1">IFERROR(INDEX(Rango_Admin_Clas_Total,N$2,MATCH($A29,Rango_Admin_Clas_Primera,0)+1),"-")</f>
        <v>0</v>
      </c>
      <c r="O29" s="92" cm="1">
        <f t="array" aca="1" ref="O29" ca="1">IFERROR(INDEX(Rango_Admin_Clas_Total,O$2,MATCH($A29,Rango_Admin_Clas_Primera,0)+1),"-")</f>
        <v>0</v>
      </c>
      <c r="P29" s="92" cm="1">
        <f t="array" aca="1" ref="P29" ca="1">IFERROR(INDEX(Rango_Admin_Clas_Total,P$2,MATCH($A29,Rango_Admin_Clas_Primera,0)+1),"-")</f>
        <v>0</v>
      </c>
      <c r="Q29" s="92" cm="1">
        <f t="array" aca="1" ref="Q29" ca="1">IFERROR(INDEX(Rango_Admin_Clas_Total,Q$2,MATCH($A29,Rango_Admin_Clas_Primera,0)+1),"-")</f>
        <v>0</v>
      </c>
      <c r="R29" s="92" cm="1">
        <f t="array" aca="1" ref="R29" ca="1">IFERROR(INDEX(Rango_Admin_Clas_Total,R$2,MATCH($A29,Rango_Admin_Clas_Primera,0)+1),"-")</f>
        <v>0</v>
      </c>
      <c r="S29" s="92" cm="1">
        <f t="array" aca="1" ref="S29" ca="1">IFERROR(INDEX(Rango_Admin_Clas_Total,S$2,MATCH($A29,Rango_Admin_Clas_Primera,0)+1),"-")</f>
        <v>0</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25" t="str">
        <f>Idiomas!D474</f>
        <v>Selecciona día:</v>
      </c>
      <c r="H1" s="711">
        <v>46184</v>
      </c>
      <c r="I1" s="297"/>
      <c r="J1" s="19">
        <f ca="1">VLOOKUP($H$1,Equipos!$Q$2:$R$37,2,0)</f>
        <v>1</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1" customHeight="1" thickBot="1">
      <c r="E3" s="19"/>
      <c r="F3" s="449" t="str">
        <f>Idiomas!D475</f>
        <v>Nombre</v>
      </c>
      <c r="G3" s="449" t="str" cm="1">
        <f t="array" aca="1" ref="G3:AL3" ca="1">TRANSPOSE($B$4:$B$35)</f>
        <v xml:space="preserve">México-Sudáfrica
</v>
      </c>
      <c r="H3" s="449" t="str">
        <f ca="1"/>
        <v xml:space="preserve">Corea del Sur-República Checa
</v>
      </c>
      <c r="I3" s="449" t="str">
        <f ca="1"/>
        <v xml:space="preserve">
</v>
      </c>
      <c r="J3" s="449" t="str">
        <f ca="1"/>
        <v xml:space="preserve">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75" thickTop="1">
      <c r="A4" s="5" t="str" cm="1">
        <f t="array" aca="1" ref="A4" ca="1">IFERROR(INDEX(ADMIN!$K$6:$K$258,SMALL(IF(ADMIN!$G$6:$G$258=$J$1,ROW(ADMIN!$G$6:$G$258)-ROW(ADMIN!$G$6)+1),ROWS($A$1:A1))),"")</f>
        <v>México-Sudáfrica</v>
      </c>
      <c r="B4" s="5" t="str">
        <f ca="1">A4&amp;CHAR(10)&amp;C4</f>
        <v xml:space="preserve">México-Sudáfrica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406" t="str" cm="1">
        <f t="array" ref="F4">IFERROR(INDEX(Rango_Admin_DailyPred_Primera,1,E4),"-")</f>
        <v>Kevin Perez</v>
      </c>
      <c r="G4" s="429" t="str">
        <f ca="1">IFERROR(VLOOKUP(G$2,Rango_Admin_DailyPred,MATCH($F4,Rango_Admin_DailyPred_Primera,0),0),"-")</f>
        <v>1|2-0</v>
      </c>
      <c r="H4" s="429" t="str">
        <f ca="1">IFERROR(VLOOKUP(H$2,Rango_Admin_DailyPred,MATCH($F4,Rango_Admin_DailyPred_Primera,0),0),"-")</f>
        <v>X|1-1</v>
      </c>
      <c r="I4" s="429" t="str">
        <f ca="1">IFERROR(VLOOKUP(I$2,Rango_Admin_DailyPred,MATCH($F4,Rango_Admin_DailyPred_Primera,0),0),"-")</f>
        <v>-</v>
      </c>
      <c r="J4" s="429" t="str">
        <f ca="1">IFERROR(VLOOKUP(J$2,Rango_Admin_DailyPred,MATCH($F4,Rango_Admin_DailyPred_Primera,0),0),"-")</f>
        <v>-</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5" t="str" cm="1">
        <f t="array" aca="1" ref="A5" ca="1">IFERROR(INDEX(ADMIN!$K$6:$K$258,SMALL(IF(ADMIN!$G$6:$G$258=$J$1,ROW(ADMIN!$G$6:$G$258)-ROW(ADMIN!$G$6)+1),ROWS($A$1:A2))),"")</f>
        <v>Corea del Sur-República Checa</v>
      </c>
      <c r="B5" s="5" t="str">
        <f t="shared" ref="B5:B35" ca="1" si="0">A5&amp;CHAR(10)&amp;C5</f>
        <v xml:space="preserve">Corea del Sur-República Checa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06" t="str" cm="1">
        <f t="array" ref="F5">IFERROR(INDEX(Rango_Admin_DailyPred_Primera,1,E5),"-")</f>
        <v>Ylich</v>
      </c>
      <c r="G5" s="429" t="str">
        <f ca="1">IFERROR(VLOOKUP(G$2,Rango_Admin_DailyPred,MATCH($F5,Rango_Admin_DailyPred_Primera,0),0),"-")</f>
        <v>1|3-1</v>
      </c>
      <c r="H5" s="429" t="str">
        <f ca="1">IFERROR(VLOOKUP(H$2,Rango_Admin_DailyPred,MATCH($F5,Rango_Admin_DailyPred_Primera,0),0),"-")</f>
        <v>X|1-1</v>
      </c>
      <c r="I5" s="429" t="str">
        <f ca="1">IFERROR(VLOOKUP(I$2,Rango_Admin_DailyPred,MATCH($F5,Rango_Admin_DailyPred_Primera,0),0),"-")</f>
        <v>-</v>
      </c>
      <c r="J5" s="429" t="str">
        <f ca="1">IFERROR(VLOOKUP(J$2,Rango_Admin_DailyPred,MATCH($F5,Rango_Admin_DailyPred_Primera,0),0),"-")</f>
        <v>-</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28" si="1">+E5+3</f>
        <v>15</v>
      </c>
      <c r="F6" s="406" t="str" cm="1">
        <f t="array" ref="F6">IFERROR(INDEX(Rango_Admin_DailyPred_Primera,1,E6),"-")</f>
        <v>RICARDO RIVERO</v>
      </c>
      <c r="G6" s="429" t="str">
        <f ca="1">IFERROR(VLOOKUP(G$2,Rango_Admin_DailyPred,MATCH($F6,Rango_Admin_DailyPred_Primera,0),0),"-")</f>
        <v>1|1-0</v>
      </c>
      <c r="H6" s="429" t="str">
        <f ca="1">IFERROR(VLOOKUP(H$2,Rango_Admin_DailyPred,MATCH($F6,Rango_Admin_DailyPred_Primera,0),0),"-")</f>
        <v>1|1-0</v>
      </c>
      <c r="I6" s="429" t="str">
        <f ca="1">IFERROR(VLOOKUP(I$2,Rango_Admin_DailyPred,MATCH($F6,Rango_Admin_DailyPred_Primera,0),0),"-")</f>
        <v>-</v>
      </c>
      <c r="J6" s="429" t="str">
        <f ca="1">IFERROR(VLOOKUP(J$2,Rango_Admin_DailyPred,MATCH($F6,Rango_Admin_DailyPred_Primera,0),0),"-")</f>
        <v>-</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06" t="str" cm="1">
        <f t="array" ref="F7">IFERROR(INDEX(Rango_Admin_DailyPred_Primera,1,E7),"-")</f>
        <v>Simon Melendez</v>
      </c>
      <c r="G7" s="429" t="str">
        <f ca="1">IFERROR(VLOOKUP(G$2,Rango_Admin_DailyPred,MATCH($F7,Rango_Admin_DailyPred_Primera,0),0),"-")</f>
        <v>1|3-0</v>
      </c>
      <c r="H7" s="429" t="str">
        <f ca="1">IFERROR(VLOOKUP(H$2,Rango_Admin_DailyPred,MATCH($F7,Rango_Admin_DailyPred_Primera,0),0),"-")</f>
        <v>X|1-1</v>
      </c>
      <c r="I7" s="429" t="str">
        <f ca="1">IFERROR(VLOOKUP(I$2,Rango_Admin_DailyPred,MATCH($F7,Rango_Admin_DailyPred_Primera,0),0),"-")</f>
        <v>-</v>
      </c>
      <c r="J7" s="429" t="str">
        <f ca="1">IFERROR(VLOOKUP(J$2,Rango_Admin_DailyPred,MATCH($F7,Rango_Admin_DailyPred_Primera,0),0),"-")</f>
        <v>-</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06" t="str" cm="1">
        <f t="array" ref="F8">IFERROR(INDEX(Rango_Admin_DailyPred_Primera,1,E8),"-")</f>
        <v>EDUARDO PINTO</v>
      </c>
      <c r="G8" s="429" t="str">
        <f ca="1">IFERROR(VLOOKUP(G$2,Rango_Admin_DailyPred,MATCH($F8,Rango_Admin_DailyPred_Primera,0),0),"-")</f>
        <v>X|1-1</v>
      </c>
      <c r="H8" s="429" t="str">
        <f ca="1">IFERROR(VLOOKUP(H$2,Rango_Admin_DailyPred,MATCH($F8,Rango_Admin_DailyPred_Primera,0),0),"-")</f>
        <v>X|1-1</v>
      </c>
      <c r="I8" s="429" t="str">
        <f ca="1">IFERROR(VLOOKUP(I$2,Rango_Admin_DailyPred,MATCH($F8,Rango_Admin_DailyPred_Primera,0),0),"-")</f>
        <v>-</v>
      </c>
      <c r="J8" s="429" t="str">
        <f ca="1">IFERROR(VLOOKUP(J$2,Rango_Admin_DailyPred,MATCH($F8,Rango_Admin_DailyPred_Primera,0),0),"-")</f>
        <v>-</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406" t="str" cm="1">
        <f t="array" ref="F9">IFERROR(INDEX(Rango_Admin_DailyPred_Primera,1,E9),"-")</f>
        <v>Edicxon Mendoza</v>
      </c>
      <c r="G9" s="429" t="str">
        <f ca="1">IFERROR(VLOOKUP(G$2,Rango_Admin_DailyPred,MATCH($F9,Rango_Admin_DailyPred_Primera,0),0),"-")</f>
        <v>1|2-1</v>
      </c>
      <c r="H9" s="429" t="str">
        <f ca="1">IFERROR(VLOOKUP(H$2,Rango_Admin_DailyPred,MATCH($F9,Rango_Admin_DailyPred_Primera,0),0),"-")</f>
        <v>2|1-2</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406" t="str" cm="1">
        <f t="array" ref="F10">IFERROR(INDEX(Rango_Admin_DailyPred_Primera,1,E10),"-")</f>
        <v>RICARDO DEFENDINI</v>
      </c>
      <c r="G10" s="429" t="str">
        <f ca="1">IFERROR(VLOOKUP(G$2,Rango_Admin_DailyPred,MATCH($F10,Rango_Admin_DailyPred_Primera,0),0),"-")</f>
        <v>1|2-0</v>
      </c>
      <c r="H10" s="429" t="str">
        <f ca="1">IFERROR(VLOOKUP(H$2,Rango_Admin_DailyPred,MATCH($F10,Rango_Admin_DailyPred_Primera,0),0),"-")</f>
        <v>X|1-1</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406" t="str" cm="1">
        <f t="array" ref="F11">IFERROR(INDEX(Rango_Admin_DailyPred_Primera,1,E11),"-")</f>
        <v>Rafael Aguilar</v>
      </c>
      <c r="G11" s="429" t="str">
        <f ca="1">IFERROR(VLOOKUP(G$2,Rango_Admin_DailyPred,MATCH($F11,Rango_Admin_DailyPred_Primera,0),0),"-")</f>
        <v>1|2-1</v>
      </c>
      <c r="H11" s="429" t="str">
        <f ca="1">IFERROR(VLOOKUP(H$2,Rango_Admin_DailyPred,MATCH($F11,Rango_Admin_DailyPred_Primera,0),0),"-")</f>
        <v>1|2-1</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406" t="str" cm="1">
        <f t="array" ref="F12">IFERROR(INDEX(Rango_Admin_DailyPred_Primera,1,E12),"-")</f>
        <v>Luis Pinto</v>
      </c>
      <c r="G12" s="429" t="str">
        <f ca="1">IFERROR(VLOOKUP(G$2,Rango_Admin_DailyPred,MATCH($F12,Rango_Admin_DailyPred_Primera,0),0),"-")</f>
        <v>1|2-0</v>
      </c>
      <c r="H12" s="429" t="str">
        <f ca="1">IFERROR(VLOOKUP(H$2,Rango_Admin_DailyPred,MATCH($F12,Rango_Admin_DailyPred_Primera,0),0),"-")</f>
        <v>2|0-1</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406" t="str" cm="1">
        <f t="array" ref="F13">IFERROR(INDEX(Rango_Admin_DailyPred_Primera,1,E13),"-")</f>
        <v>Dixon Torrealba</v>
      </c>
      <c r="G13" s="429" t="str">
        <f ca="1">IFERROR(VLOOKUP(G$2,Rango_Admin_DailyPred,MATCH($F13,Rango_Admin_DailyPred_Primera,0),0),"-")</f>
        <v>1|2-0</v>
      </c>
      <c r="H13" s="429" t="str">
        <f ca="1">IFERROR(VLOOKUP(H$2,Rango_Admin_DailyPred,MATCH($F13,Rango_Admin_DailyPred_Primera,0),0),"-")</f>
        <v>X|1-1</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448" t="str" cm="1">
        <f t="array" ref="F14">IFERROR(INDEX(Rango_Admin_DailyPred_Primera,1,E14),"-")</f>
        <v xml:space="preserve">jaidali </v>
      </c>
      <c r="G14" s="429" t="str">
        <f ca="1">IFERROR(VLOOKUP(G$2,Rango_Admin_DailyPred,MATCH($F14,Rango_Admin_DailyPred_Primera,0),0),"-")</f>
        <v>X|1-1</v>
      </c>
      <c r="H14" s="429" t="str">
        <f ca="1">IFERROR(VLOOKUP(H$2,Rango_Admin_DailyPred,MATCH($F14,Rango_Admin_DailyPred_Primera,0),0),"-")</f>
        <v>2|0-2</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448" t="str" cm="1">
        <f t="array" ref="F15">IFERROR(INDEX(Rango_Admin_DailyPred_Primera,1,E15),"-")</f>
        <v>Jorge Rojas</v>
      </c>
      <c r="G15" s="429" t="str">
        <f ca="1">IFERROR(VLOOKUP(G$2,Rango_Admin_DailyPred,MATCH($F15,Rango_Admin_DailyPred_Primera,0),0),"-")</f>
        <v>1|2-1</v>
      </c>
      <c r="H15" s="429" t="str">
        <f ca="1">IFERROR(VLOOKUP(H$2,Rango_Admin_DailyPred,MATCH($F15,Rango_Admin_DailyPred_Primera,0),0),"-")</f>
        <v>1|1-0</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448" t="str" cm="1">
        <f t="array" ref="F16">IFERROR(INDEX(Rango_Admin_DailyPred_Primera,1,E16),"-")</f>
        <v>Freddy Parra (1)</v>
      </c>
      <c r="G16" s="429" t="str">
        <f ca="1">IFERROR(VLOOKUP(G$2,Rango_Admin_DailyPred,MATCH($F16,Rango_Admin_DailyPred_Primera,0),0),"-")</f>
        <v>1|2-0</v>
      </c>
      <c r="H16" s="429" t="str">
        <f ca="1">IFERROR(VLOOKUP(H$2,Rango_Admin_DailyPred,MATCH($F16,Rango_Admin_DailyPred_Primera,0),0),"-")</f>
        <v>2|1-2</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448" t="str" cm="1">
        <f t="array" ref="F17">IFERROR(INDEX(Rango_Admin_DailyPred_Primera,1,E17),"-")</f>
        <v>Freddy Parra (2)</v>
      </c>
      <c r="G17" s="429" t="str">
        <f ca="1">IFERROR(VLOOKUP(G$2,Rango_Admin_DailyPred,MATCH($F17,Rango_Admin_DailyPred_Primera,0),0),"-")</f>
        <v>1|2-1</v>
      </c>
      <c r="H17" s="429" t="str">
        <f ca="1">IFERROR(VLOOKUP(H$2,Rango_Admin_DailyPred,MATCH($F17,Rango_Admin_DailyPred_Primera,0),0),"-")</f>
        <v>1|2-0</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448" t="str" cm="1">
        <f t="array" ref="F18">IFERROR(INDEX(Rango_Admin_DailyPred_Primera,1,E18),"-")</f>
        <v>Mariana Suarez (Samuel 2)</v>
      </c>
      <c r="G18" s="429" t="str">
        <f ca="1">IFERROR(VLOOKUP(G$2,Rango_Admin_DailyPred,MATCH($F18,Rango_Admin_DailyPred_Primera,0),0),"-")</f>
        <v>1|2-0</v>
      </c>
      <c r="H18" s="429" t="str">
        <f ca="1">IFERROR(VLOOKUP(H$2,Rango_Admin_DailyPred,MATCH($F18,Rango_Admin_DailyPred_Primera,0),0),"-")</f>
        <v>1|1-0</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448" t="str" cm="1">
        <f t="array" ref="F19">IFERROR(INDEX(Rango_Admin_DailyPred_Primera,1,E19),"-")</f>
        <v>Samuel Montes</v>
      </c>
      <c r="G19" s="429" t="str">
        <f ca="1">IFERROR(VLOOKUP(G$2,Rango_Admin_DailyPred,MATCH($F19,Rango_Admin_DailyPred_Primera,0),0),"-")</f>
        <v>X|1-1</v>
      </c>
      <c r="H19" s="429" t="str">
        <f ca="1">IFERROR(VLOOKUP(H$2,Rango_Admin_DailyPred,MATCH($F19,Rango_Admin_DailyPred_Primera,0),0),"-")</f>
        <v>1|2-0</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448" t="str" cm="1">
        <f t="array" ref="F20">IFERROR(INDEX(Rango_Admin_DailyPred_Primera,1,E20),"-")</f>
        <v>Andres Fermin</v>
      </c>
      <c r="G20" s="429" t="str">
        <f ca="1">IFERROR(VLOOKUP(G$2,Rango_Admin_DailyPred,MATCH($F20,Rango_Admin_DailyPred_Primera,0),0),"-")</f>
        <v>1|1-0</v>
      </c>
      <c r="H20" s="429" t="str">
        <f ca="1">IFERROR(VLOOKUP(H$2,Rango_Admin_DailyPred,MATCH($F20,Rango_Admin_DailyPred_Primera,0),0),"-")</f>
        <v>1|2-1</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448" t="str" cm="1">
        <f t="array" ref="F21">IFERROR(INDEX(Rango_Admin_DailyPred_Primera,1,E21),"-")</f>
        <v>Luis Márquez</v>
      </c>
      <c r="G21" s="429" t="str">
        <f ca="1">IFERROR(VLOOKUP(G$2,Rango_Admin_DailyPred,MATCH($F21,Rango_Admin_DailyPred_Primera,0),0),"-")</f>
        <v>1|2-0</v>
      </c>
      <c r="H21" s="429" t="str">
        <f ca="1">IFERROR(VLOOKUP(H$2,Rango_Admin_DailyPred,MATCH($F21,Rango_Admin_DailyPred_Primera,0),0),"-")</f>
        <v>X|1-1</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448" t="str" cm="1">
        <f t="array" ref="F22">IFERROR(INDEX(Rango_Admin_DailyPred_Primera,1,E22),"-")</f>
        <v>Alvaro Urdaneta</v>
      </c>
      <c r="G22" s="429" t="str">
        <f ca="1">IFERROR(VLOOKUP(G$2,Rango_Admin_DailyPred,MATCH($F22,Rango_Admin_DailyPred_Primera,0),0),"-")</f>
        <v>1|2-0</v>
      </c>
      <c r="H22" s="429" t="str">
        <f ca="1">IFERROR(VLOOKUP(H$2,Rango_Admin_DailyPred,MATCH($F22,Rango_Admin_DailyPred_Primera,0),0),"-")</f>
        <v>2|1-2</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448" t="str" cm="1">
        <f t="array" ref="F23">IFERROR(INDEX(Rango_Admin_DailyPred_Primera,1,E23),"-")</f>
        <v>Fernando (Jessika)</v>
      </c>
      <c r="G23" s="429" t="str">
        <f ca="1">IFERROR(VLOOKUP(G$2,Rango_Admin_DailyPred,MATCH($F23,Rango_Admin_DailyPred_Primera,0),0),"-")</f>
        <v>1|2-1</v>
      </c>
      <c r="H23" s="429" t="str">
        <f ca="1">IFERROR(VLOOKUP(H$2,Rango_Admin_DailyPred,MATCH($F23,Rango_Admin_DailyPred_Primera,0),0),"-")</f>
        <v>X|2-2</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448" t="str" cm="1">
        <f t="array" ref="F24">IFERROR(INDEX(Rango_Admin_DailyPred_Primera,1,E24),"-")</f>
        <v>Ricardo Ortega</v>
      </c>
      <c r="G24" s="429" t="str">
        <f ca="1">IFERROR(VLOOKUP(G$2,Rango_Admin_DailyPred,MATCH($F24,Rango_Admin_DailyPred_Primera,0),0),"-")</f>
        <v>1|2-0</v>
      </c>
      <c r="H24" s="429" t="str">
        <f ca="1">IFERROR(VLOOKUP(H$2,Rango_Admin_DailyPred,MATCH($F24,Rango_Admin_DailyPred_Primera,0),0),"-")</f>
        <v>X|1-1</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448" t="str" cm="1">
        <f t="array" ref="F25">IFERROR(INDEX(Rango_Admin_DailyPred_Primera,1,E25),"-")</f>
        <v>Xavier (Kevin 2)</v>
      </c>
      <c r="G25" s="429" t="str">
        <f ca="1">IFERROR(VLOOKUP(G$2,Rango_Admin_DailyPred,MATCH($F25,Rango_Admin_DailyPred_Primera,0),0),"-")</f>
        <v>1|3-1</v>
      </c>
      <c r="H25" s="429" t="str">
        <f ca="1">IFERROR(VLOOKUP(H$2,Rango_Admin_DailyPred,MATCH($F25,Rango_Admin_DailyPred_Primera,0),0),"-")</f>
        <v>X|1-1</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448" t="str" cm="1">
        <f t="array" ref="F26">IFERROR(INDEX(Rango_Admin_DailyPred_Primera,1,E26),"-")</f>
        <v>Jared Oropeza</v>
      </c>
      <c r="G26" s="429" t="str">
        <f ca="1">IFERROR(VLOOKUP(G$2,Rango_Admin_DailyPred,MATCH($F26,Rango_Admin_DailyPred_Primera,0),0),"-")</f>
        <v>1|3-2</v>
      </c>
      <c r="H26" s="429" t="str">
        <f ca="1">IFERROR(VLOOKUP(H$2,Rango_Admin_DailyPred,MATCH($F26,Rango_Admin_DailyPred_Primera,0),0),"-")</f>
        <v>1|3-1</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448" t="str" cm="1">
        <f t="array" ref="F27">IFERROR(INDEX(Rango_Admin_DailyPred_Primera,1,E27),"-")</f>
        <v>Juan Dorante</v>
      </c>
      <c r="G27" s="429" t="str">
        <f ca="1">IFERROR(VLOOKUP(G$2,Rango_Admin_DailyPred,MATCH($F27,Rango_Admin_DailyPred_Primera,0),0),"-")</f>
        <v>1|1-0</v>
      </c>
      <c r="H27" s="429" t="str">
        <f ca="1">IFERROR(VLOOKUP(H$2,Rango_Admin_DailyPred,MATCH($F27,Rango_Admin_DailyPred_Primera,0),0),"-")</f>
        <v>X|1-1</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448" t="str" cm="1">
        <f t="array" ref="F28">IFERROR(INDEX(Rango_Admin_DailyPred_Primera,1,E28),"-")</f>
        <v>Carlos Gimenez</v>
      </c>
      <c r="G28" s="429" t="str">
        <f ca="1">IFERROR(VLOOKUP(G$2,Rango_Admin_DailyPred,MATCH($F28,Rango_Admin_DailyPred_Primera,0),0),"-")</f>
        <v>1|2-0</v>
      </c>
      <c r="H28" s="429" t="str">
        <f ca="1">IFERROR(VLOOKUP(H$2,Rango_Admin_DailyPred,MATCH($F28,Rango_Admin_DailyPred_Primera,0),0),"-")</f>
        <v>X|1-1</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A1" s="8"/>
      <c r="B1" s="8"/>
      <c r="C1" s="8"/>
      <c r="D1" s="17"/>
      <c r="E1" s="17"/>
      <c r="F1" s="17"/>
      <c r="G1" s="17"/>
      <c r="H1" s="408" t="str">
        <f>Idiomas!D496</f>
        <v>Dia seleccionado en "Daily Prediction"</v>
      </c>
      <c r="I1" s="760">
        <f>DailyPrediction!H1</f>
        <v>46184</v>
      </c>
      <c r="J1" s="297"/>
      <c r="K1" s="19">
        <f ca="1">VLOOKUP($I$1,Equipos!$Q$2:$R$37,2,0)</f>
        <v>1</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1" customHeight="1" thickBot="1">
      <c r="A3" s="8"/>
      <c r="B3" s="8"/>
      <c r="C3" s="8"/>
      <c r="D3" s="19"/>
      <c r="E3" s="449" t="str">
        <f>Idiomas!D479</f>
        <v>Pos</v>
      </c>
      <c r="F3" s="449" t="str">
        <f>Idiomas!D480</f>
        <v>Nombre</v>
      </c>
      <c r="G3" s="449" t="str">
        <f>Idiomas!D481</f>
        <v>Puntos Día / Eliminatoria</v>
      </c>
      <c r="H3" s="449" t="str" cm="1">
        <f t="array" aca="1" ref="H3:AM3" ca="1">TRANSPOSE($B$4:$B$35)</f>
        <v>México-Sudáfrica
 (-)</v>
      </c>
      <c r="I3" s="449" t="str">
        <f ca="1"/>
        <v>Corea del Sur-República Checa
 (-)</v>
      </c>
      <c r="J3" s="449" t="str">
        <f ca="1"/>
        <v/>
      </c>
      <c r="K3" s="449" t="str">
        <f ca="1"/>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75" thickTop="1">
      <c r="A4" s="8" t="str" cm="1">
        <f t="array" aca="1" ref="A4" ca="1">IFERROR(INDEX(ADMIN!$K$6:$K$258,SMALL(IF(ADMIN!$G$6:$G$258=$K$1,ROW(ADMIN!$G$6:$G$258)-ROW(ADMIN!$G$6)+1),ROWS($A$1:A1))),"")</f>
        <v>México-Sudáfrica</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v>
      </c>
      <c r="C4" s="8">
        <v>1</v>
      </c>
      <c r="D4" s="90"/>
      <c r="E4" s="409">
        <f ca="1">IFERROR(HLOOKUP(C4,Rango_Admin_DailyClas,3,FALSE),"-")</f>
        <v>1</v>
      </c>
      <c r="F4" s="448" t="str">
        <f ca="1">IFERROR(HLOOKUP(C4,Rango_Admin_DailyClas,5,FALSE),"-")</f>
        <v>Kevin Perez</v>
      </c>
      <c r="G4" s="22">
        <f ca="1">IFERROR(HLOOKUP(C4,Rango_Admin_DailyClas,4,FALSE),"-")</f>
        <v>0</v>
      </c>
      <c r="H4" s="429">
        <f ca="1">IFERROR(VLOOKUP(H$2,Rango_Admin_DailyPred,MATCH($F4,Rango_Admin_DailyPred_Primera,0)+1,0),"-")</f>
        <v>0</v>
      </c>
      <c r="I4" s="429">
        <f ca="1">IFERROR(VLOOKUP(I$2,Rango_Admin_DailyPred,MATCH($F4,Rango_Admin_DailyPred_Primera,0)+1,0),"-")</f>
        <v>0</v>
      </c>
      <c r="J4" s="429" t="str">
        <f ca="1">IFERROR(VLOOKUP(J$2,Rango_Admin_DailyPred,MATCH($F4,Rango_Admin_DailyPred_Primera,0)+1,0),"-")</f>
        <v>-</v>
      </c>
      <c r="K4" s="429" t="str">
        <f ca="1">IFERROR(VLOOKUP(K$2,Rango_Admin_DailyPred,MATCH($F4,Rango_Admin_DailyPred_Primera,0)+1,0),"-")</f>
        <v>-</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Corea del Sur-República Checa</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v>
      </c>
      <c r="C5" s="8">
        <v>2</v>
      </c>
      <c r="D5" s="90"/>
      <c r="E5" s="409">
        <f ca="1">IFERROR(HLOOKUP(C5,Rango_Admin_DailyClas,3,FALSE),"-")</f>
        <v>1</v>
      </c>
      <c r="F5" s="448" t="str">
        <f ca="1">IFERROR(HLOOKUP(C5,Rango_Admin_DailyClas,5,FALSE),"-")</f>
        <v>Ylich</v>
      </c>
      <c r="G5" s="22">
        <f ca="1">IFERROR(HLOOKUP(C5,Rango_Admin_DailyClas,4,FALSE),"-")</f>
        <v>0</v>
      </c>
      <c r="H5" s="429">
        <f ca="1">IFERROR(VLOOKUP(H$2,Rango_Admin_DailyPred,MATCH($F5,Rango_Admin_DailyPred_Primera,0)+1,0),"-")</f>
        <v>0</v>
      </c>
      <c r="I5" s="429">
        <f ca="1">IFERROR(VLOOKUP(I$2,Rango_Admin_DailyPred,MATCH($F5,Rango_Admin_DailyPred_Primera,0)+1,0),"-")</f>
        <v>0</v>
      </c>
      <c r="J5" s="429" t="str">
        <f ca="1">IFERROR(VLOOKUP(J$2,Rango_Admin_DailyPred,MATCH($F5,Rango_Admin_DailyPred_Primera,0)+1,0),"-")</f>
        <v>-</v>
      </c>
      <c r="K5" s="429" t="str">
        <f ca="1">IFERROR(VLOOKUP(K$2,Rango_Admin_DailyPred,MATCH($F5,Rango_Admin_DailyPred_Primera,0)+1,0),"-")</f>
        <v>-</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8">
        <v>3</v>
      </c>
      <c r="D6" s="90"/>
      <c r="E6" s="409">
        <f ca="1">IFERROR(HLOOKUP(C6,Rango_Admin_DailyClas,3,FALSE),"-")</f>
        <v>1</v>
      </c>
      <c r="F6" s="448" t="str">
        <f ca="1">IFERROR(HLOOKUP(C6,Rango_Admin_DailyClas,5,FALSE),"-")</f>
        <v>RICARDO RIVERO</v>
      </c>
      <c r="G6" s="22">
        <f ca="1">IFERROR(HLOOKUP(C6,Rango_Admin_DailyClas,4,FALSE),"-")</f>
        <v>0</v>
      </c>
      <c r="H6" s="429">
        <f ca="1">IFERROR(VLOOKUP(H$2,Rango_Admin_DailyPred,MATCH($F6,Rango_Admin_DailyPred_Primera,0)+1,0),"-")</f>
        <v>0</v>
      </c>
      <c r="I6" s="429">
        <f ca="1">IFERROR(VLOOKUP(I$2,Rango_Admin_DailyPred,MATCH($F6,Rango_Admin_DailyPred_Primera,0)+1,0),"-")</f>
        <v>0</v>
      </c>
      <c r="J6" s="429" t="str">
        <f ca="1">IFERROR(VLOOKUP(J$2,Rango_Admin_DailyPred,MATCH($F6,Rango_Admin_DailyPred_Primera,0)+1,0),"-")</f>
        <v>-</v>
      </c>
      <c r="K6" s="429" t="str">
        <f ca="1">IFERROR(VLOOKUP(K$2,Rango_Admin_DailyPred,MATCH($F6,Rango_Admin_DailyPred_Primera,0)+1,0),"-")</f>
        <v>-</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8">
        <v>4</v>
      </c>
      <c r="D7" s="90"/>
      <c r="E7" s="409">
        <f ca="1">IFERROR(HLOOKUP(C7,Rango_Admin_DailyClas,3,FALSE),"-")</f>
        <v>1</v>
      </c>
      <c r="F7" s="448" t="str">
        <f ca="1">IFERROR(HLOOKUP(C7,Rango_Admin_DailyClas,5,FALSE),"-")</f>
        <v>Simon Melendez</v>
      </c>
      <c r="G7" s="22">
        <f ca="1">IFERROR(HLOOKUP(C7,Rango_Admin_DailyClas,4,FALSE),"-")</f>
        <v>0</v>
      </c>
      <c r="H7" s="429">
        <f ca="1">IFERROR(VLOOKUP(H$2,Rango_Admin_DailyPred,MATCH($F7,Rango_Admin_DailyPred_Primera,0)+1,0),"-")</f>
        <v>0</v>
      </c>
      <c r="I7" s="429">
        <f ca="1">IFERROR(VLOOKUP(I$2,Rango_Admin_DailyPred,MATCH($F7,Rango_Admin_DailyPred_Primera,0)+1,0),"-")</f>
        <v>0</v>
      </c>
      <c r="J7" s="429" t="str">
        <f ca="1">IFERROR(VLOOKUP(J$2,Rango_Admin_DailyPred,MATCH($F7,Rango_Admin_DailyPred_Primera,0)+1,0),"-")</f>
        <v>-</v>
      </c>
      <c r="K7" s="429" t="str">
        <f ca="1">IFERROR(VLOOKUP(K$2,Rango_Admin_DailyPred,MATCH($F7,Rango_Admin_DailyPred_Primera,0)+1,0),"-")</f>
        <v>-</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f ca="1">IFERROR(HLOOKUP(C8,Rango_Admin_DailyClas,3,FALSE),"-")</f>
        <v>1</v>
      </c>
      <c r="F8" s="448" t="str">
        <f ca="1">IFERROR(HLOOKUP(C8,Rango_Admin_DailyClas,5,FALSE),"-")</f>
        <v>EDUARDO PINTO</v>
      </c>
      <c r="G8" s="22">
        <f ca="1">IFERROR(HLOOKUP(C8,Rango_Admin_DailyClas,4,FALSE),"-")</f>
        <v>0</v>
      </c>
      <c r="H8" s="429">
        <f ca="1">IFERROR(VLOOKUP(H$2,Rango_Admin_DailyPred,MATCH($F8,Rango_Admin_DailyPred_Primera,0)+1,0),"-")</f>
        <v>0</v>
      </c>
      <c r="I8" s="429">
        <f ca="1">IFERROR(VLOOKUP(I$2,Rango_Admin_DailyPred,MATCH($F8,Rango_Admin_DailyPred_Primera,0)+1,0),"-")</f>
        <v>0</v>
      </c>
      <c r="J8" s="429" t="str">
        <f ca="1">IFERROR(VLOOKUP(J$2,Rango_Admin_DailyPred,MATCH($F8,Rango_Admin_DailyPred_Primera,0)+1,0),"-")</f>
        <v>-</v>
      </c>
      <c r="K8" s="429" t="str">
        <f ca="1">IFERROR(VLOOKUP(K$2,Rango_Admin_DailyPred,MATCH($F8,Rango_Admin_DailyPred_Primera,0)+1,0),"-")</f>
        <v>-</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f ca="1">IFERROR(HLOOKUP(C9,Rango_Admin_DailyClas,3,FALSE),"-")</f>
        <v>1</v>
      </c>
      <c r="F9" s="448" t="str">
        <f ca="1">IFERROR(HLOOKUP(C9,Rango_Admin_DailyClas,5,FALSE),"-")</f>
        <v>Edicxon Mendoza</v>
      </c>
      <c r="G9" s="22">
        <f ca="1">IFERROR(HLOOKUP(C9,Rango_Admin_DailyClas,4,FALSE),"-")</f>
        <v>0</v>
      </c>
      <c r="H9" s="429">
        <f ca="1">IFERROR(VLOOKUP(H$2,Rango_Admin_DailyPred,MATCH($F9,Rango_Admin_DailyPred_Primera,0)+1,0),"-")</f>
        <v>0</v>
      </c>
      <c r="I9" s="429">
        <f ca="1">IFERROR(VLOOKUP(I$2,Rango_Admin_DailyPred,MATCH($F9,Rango_Admin_DailyPred_Primera,0)+1,0),"-")</f>
        <v>0</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f ca="1">IFERROR(HLOOKUP(C10,Rango_Admin_DailyClas,3,FALSE),"-")</f>
        <v>1</v>
      </c>
      <c r="F10" s="448" t="str">
        <f ca="1">IFERROR(HLOOKUP(C10,Rango_Admin_DailyClas,5,FALSE),"-")</f>
        <v>RICARDO DEFENDINI</v>
      </c>
      <c r="G10" s="22">
        <f ca="1">IFERROR(HLOOKUP(C10,Rango_Admin_DailyClas,4,FALSE),"-")</f>
        <v>0</v>
      </c>
      <c r="H10" s="429">
        <f ca="1">IFERROR(VLOOKUP(H$2,Rango_Admin_DailyPred,MATCH($F10,Rango_Admin_DailyPred_Primera,0)+1,0),"-")</f>
        <v>0</v>
      </c>
      <c r="I10" s="429">
        <f ca="1">IFERROR(VLOOKUP(I$2,Rango_Admin_DailyPred,MATCH($F10,Rango_Admin_DailyPred_Primera,0)+1,0),"-")</f>
        <v>0</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f ca="1">IFERROR(HLOOKUP(C11,Rango_Admin_DailyClas,3,FALSE),"-")</f>
        <v>1</v>
      </c>
      <c r="F11" s="448" t="str">
        <f ca="1">IFERROR(HLOOKUP(C11,Rango_Admin_DailyClas,5,FALSE),"-")</f>
        <v>Rafael Aguilar</v>
      </c>
      <c r="G11" s="22">
        <f ca="1">IFERROR(HLOOKUP(C11,Rango_Admin_DailyClas,4,FALSE),"-")</f>
        <v>0</v>
      </c>
      <c r="H11" s="429">
        <f ca="1">IFERROR(VLOOKUP(H$2,Rango_Admin_DailyPred,MATCH($F11,Rango_Admin_DailyPred_Primera,0)+1,0),"-")</f>
        <v>0</v>
      </c>
      <c r="I11" s="429">
        <f ca="1">IFERROR(VLOOKUP(I$2,Rango_Admin_DailyPred,MATCH($F11,Rango_Admin_DailyPred_Primera,0)+1,0),"-")</f>
        <v>0</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f ca="1">IFERROR(HLOOKUP(C12,Rango_Admin_DailyClas,3,FALSE),"-")</f>
        <v>1</v>
      </c>
      <c r="F12" s="448" t="str">
        <f ca="1">IFERROR(HLOOKUP(C12,Rango_Admin_DailyClas,5,FALSE),"-")</f>
        <v>Luis Pinto</v>
      </c>
      <c r="G12" s="22">
        <f ca="1">IFERROR(HLOOKUP(C12,Rango_Admin_DailyClas,4,FALSE),"-")</f>
        <v>0</v>
      </c>
      <c r="H12" s="429">
        <f ca="1">IFERROR(VLOOKUP(H$2,Rango_Admin_DailyPred,MATCH($F12,Rango_Admin_DailyPred_Primera,0)+1,0),"-")</f>
        <v>0</v>
      </c>
      <c r="I12" s="429">
        <f ca="1">IFERROR(VLOOKUP(I$2,Rango_Admin_DailyPred,MATCH($F12,Rango_Admin_DailyPred_Primera,0)+1,0),"-")</f>
        <v>0</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f ca="1">IFERROR(HLOOKUP(C13,Rango_Admin_DailyClas,3,FALSE),"-")</f>
        <v>1</v>
      </c>
      <c r="F13" s="448" t="str">
        <f ca="1">IFERROR(HLOOKUP(C13,Rango_Admin_DailyClas,5,FALSE),"-")</f>
        <v>Dixon Torrealba</v>
      </c>
      <c r="G13" s="22">
        <f ca="1">IFERROR(HLOOKUP(C13,Rango_Admin_DailyClas,4,FALSE),"-")</f>
        <v>0</v>
      </c>
      <c r="H13" s="429">
        <f ca="1">IFERROR(VLOOKUP(H$2,Rango_Admin_DailyPred,MATCH($F13,Rango_Admin_DailyPred_Primera,0)+1,0),"-")</f>
        <v>0</v>
      </c>
      <c r="I13" s="429">
        <f ca="1">IFERROR(VLOOKUP(I$2,Rango_Admin_DailyPred,MATCH($F13,Rango_Admin_DailyPred_Primera,0)+1,0),"-")</f>
        <v>0</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f ca="1">IFERROR(HLOOKUP(C14,Rango_Admin_DailyClas,3,FALSE),"-")</f>
        <v>1</v>
      </c>
      <c r="F14" s="448" t="str">
        <f ca="1">IFERROR(HLOOKUP(C14,Rango_Admin_DailyClas,5,FALSE),"-")</f>
        <v xml:space="preserve">jaidali </v>
      </c>
      <c r="G14" s="22">
        <f ca="1">IFERROR(HLOOKUP(C14,Rango_Admin_DailyClas,4,FALSE),"-")</f>
        <v>0</v>
      </c>
      <c r="H14" s="429">
        <f ca="1">IFERROR(VLOOKUP(H$2,Rango_Admin_DailyPred,MATCH($F14,Rango_Admin_DailyPred_Primera,0)+1,0),"-")</f>
        <v>0</v>
      </c>
      <c r="I14" s="429">
        <f ca="1">IFERROR(VLOOKUP(I$2,Rango_Admin_DailyPred,MATCH($F14,Rango_Admin_DailyPred_Primera,0)+1,0),"-")</f>
        <v>0</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f ca="1">IFERROR(HLOOKUP(C15,Rango_Admin_DailyClas,3,FALSE),"-")</f>
        <v>1</v>
      </c>
      <c r="F15" s="448" t="str">
        <f ca="1">IFERROR(HLOOKUP(C15,Rango_Admin_DailyClas,5,FALSE),"-")</f>
        <v>Jorge Rojas</v>
      </c>
      <c r="G15" s="22">
        <f ca="1">IFERROR(HLOOKUP(C15,Rango_Admin_DailyClas,4,FALSE),"-")</f>
        <v>0</v>
      </c>
      <c r="H15" s="429">
        <f ca="1">IFERROR(VLOOKUP(H$2,Rango_Admin_DailyPred,MATCH($F15,Rango_Admin_DailyPred_Primera,0)+1,0),"-")</f>
        <v>0</v>
      </c>
      <c r="I15" s="429">
        <f ca="1">IFERROR(VLOOKUP(I$2,Rango_Admin_DailyPred,MATCH($F15,Rango_Admin_DailyPred_Primera,0)+1,0),"-")</f>
        <v>0</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f ca="1">IFERROR(HLOOKUP(C16,Rango_Admin_DailyClas,3,FALSE),"-")</f>
        <v>1</v>
      </c>
      <c r="F16" s="448" t="str">
        <f ca="1">IFERROR(HLOOKUP(C16,Rango_Admin_DailyClas,5,FALSE),"-")</f>
        <v>Freddy Parra (1)</v>
      </c>
      <c r="G16" s="22">
        <f ca="1">IFERROR(HLOOKUP(C16,Rango_Admin_DailyClas,4,FALSE),"-")</f>
        <v>0</v>
      </c>
      <c r="H16" s="429">
        <f ca="1">IFERROR(VLOOKUP(H$2,Rango_Admin_DailyPred,MATCH($F16,Rango_Admin_DailyPred_Primera,0)+1,0),"-")</f>
        <v>0</v>
      </c>
      <c r="I16" s="429">
        <f ca="1">IFERROR(VLOOKUP(I$2,Rango_Admin_DailyPred,MATCH($F16,Rango_Admin_DailyPred_Primera,0)+1,0),"-")</f>
        <v>0</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f ca="1">IFERROR(HLOOKUP(C17,Rango_Admin_DailyClas,3,FALSE),"-")</f>
        <v>1</v>
      </c>
      <c r="F17" s="448" t="str">
        <f ca="1">IFERROR(HLOOKUP(C17,Rango_Admin_DailyClas,5,FALSE),"-")</f>
        <v>Freddy Parra (2)</v>
      </c>
      <c r="G17" s="22">
        <f ca="1">IFERROR(HLOOKUP(C17,Rango_Admin_DailyClas,4,FALSE),"-")</f>
        <v>0</v>
      </c>
      <c r="H17" s="429">
        <f ca="1">IFERROR(VLOOKUP(H$2,Rango_Admin_DailyPred,MATCH($F17,Rango_Admin_DailyPred_Primera,0)+1,0),"-")</f>
        <v>0</v>
      </c>
      <c r="I17" s="429">
        <f ca="1">IFERROR(VLOOKUP(I$2,Rango_Admin_DailyPred,MATCH($F17,Rango_Admin_DailyPred_Primera,0)+1,0),"-")</f>
        <v>0</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f ca="1">IFERROR(HLOOKUP(C18,Rango_Admin_DailyClas,3,FALSE),"-")</f>
        <v>1</v>
      </c>
      <c r="F18" s="448" t="str">
        <f ca="1">IFERROR(HLOOKUP(C18,Rango_Admin_DailyClas,5,FALSE),"-")</f>
        <v>Mariana Suarez (Samuel 2)</v>
      </c>
      <c r="G18" s="22">
        <f ca="1">IFERROR(HLOOKUP(C18,Rango_Admin_DailyClas,4,FALSE),"-")</f>
        <v>0</v>
      </c>
      <c r="H18" s="429">
        <f ca="1">IFERROR(VLOOKUP(H$2,Rango_Admin_DailyPred,MATCH($F18,Rango_Admin_DailyPred_Primera,0)+1,0),"-")</f>
        <v>0</v>
      </c>
      <c r="I18" s="429">
        <f ca="1">IFERROR(VLOOKUP(I$2,Rango_Admin_DailyPred,MATCH($F18,Rango_Admin_DailyPred_Primera,0)+1,0),"-")</f>
        <v>0</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f ca="1">IFERROR(HLOOKUP(C19,Rango_Admin_DailyClas,3,FALSE),"-")</f>
        <v>1</v>
      </c>
      <c r="F19" s="448" t="str">
        <f ca="1">IFERROR(HLOOKUP(C19,Rango_Admin_DailyClas,5,FALSE),"-")</f>
        <v>Samuel Montes</v>
      </c>
      <c r="G19" s="22">
        <f ca="1">IFERROR(HLOOKUP(C19,Rango_Admin_DailyClas,4,FALSE),"-")</f>
        <v>0</v>
      </c>
      <c r="H19" s="429">
        <f ca="1">IFERROR(VLOOKUP(H$2,Rango_Admin_DailyPred,MATCH($F19,Rango_Admin_DailyPred_Primera,0)+1,0),"-")</f>
        <v>0</v>
      </c>
      <c r="I19" s="429">
        <f ca="1">IFERROR(VLOOKUP(I$2,Rango_Admin_DailyPred,MATCH($F19,Rango_Admin_DailyPred_Primera,0)+1,0),"-")</f>
        <v>0</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f ca="1">IFERROR(HLOOKUP(C20,Rango_Admin_DailyClas,3,FALSE),"-")</f>
        <v>1</v>
      </c>
      <c r="F20" s="448" t="str">
        <f ca="1">IFERROR(HLOOKUP(C20,Rango_Admin_DailyClas,5,FALSE),"-")</f>
        <v>Andres Fermin</v>
      </c>
      <c r="G20" s="22">
        <f ca="1">IFERROR(HLOOKUP(C20,Rango_Admin_DailyClas,4,FALSE),"-")</f>
        <v>0</v>
      </c>
      <c r="H20" s="429">
        <f ca="1">IFERROR(VLOOKUP(H$2,Rango_Admin_DailyPred,MATCH($F20,Rango_Admin_DailyPred_Primera,0)+1,0),"-")</f>
        <v>0</v>
      </c>
      <c r="I20" s="429">
        <f ca="1">IFERROR(VLOOKUP(I$2,Rango_Admin_DailyPred,MATCH($F20,Rango_Admin_DailyPred_Primera,0)+1,0),"-")</f>
        <v>0</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f ca="1">IFERROR(HLOOKUP(C21,Rango_Admin_DailyClas,3,FALSE),"-")</f>
        <v>1</v>
      </c>
      <c r="F21" s="448" t="str">
        <f ca="1">IFERROR(HLOOKUP(C21,Rango_Admin_DailyClas,5,FALSE),"-")</f>
        <v>Luis Márquez</v>
      </c>
      <c r="G21" s="22">
        <f ca="1">IFERROR(HLOOKUP(C21,Rango_Admin_DailyClas,4,FALSE),"-")</f>
        <v>0</v>
      </c>
      <c r="H21" s="429">
        <f ca="1">IFERROR(VLOOKUP(H$2,Rango_Admin_DailyPred,MATCH($F21,Rango_Admin_DailyPred_Primera,0)+1,0),"-")</f>
        <v>0</v>
      </c>
      <c r="I21" s="429">
        <f ca="1">IFERROR(VLOOKUP(I$2,Rango_Admin_DailyPred,MATCH($F21,Rango_Admin_DailyPred_Primera,0)+1,0),"-")</f>
        <v>0</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f ca="1">IFERROR(HLOOKUP(C22,Rango_Admin_DailyClas,3,FALSE),"-")</f>
        <v>1</v>
      </c>
      <c r="F22" s="448" t="str">
        <f ca="1">IFERROR(HLOOKUP(C22,Rango_Admin_DailyClas,5,FALSE),"-")</f>
        <v>Alvaro Urdaneta</v>
      </c>
      <c r="G22" s="22">
        <f ca="1">IFERROR(HLOOKUP(C22,Rango_Admin_DailyClas,4,FALSE),"-")</f>
        <v>0</v>
      </c>
      <c r="H22" s="429">
        <f ca="1">IFERROR(VLOOKUP(H$2,Rango_Admin_DailyPred,MATCH($F22,Rango_Admin_DailyPred_Primera,0)+1,0),"-")</f>
        <v>0</v>
      </c>
      <c r="I22" s="429">
        <f ca="1">IFERROR(VLOOKUP(I$2,Rango_Admin_DailyPred,MATCH($F22,Rango_Admin_DailyPred_Primera,0)+1,0),"-")</f>
        <v>0</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f ca="1">IFERROR(HLOOKUP(C23,Rango_Admin_DailyClas,3,FALSE),"-")</f>
        <v>1</v>
      </c>
      <c r="F23" s="448" t="str">
        <f ca="1">IFERROR(HLOOKUP(C23,Rango_Admin_DailyClas,5,FALSE),"-")</f>
        <v>Fernando (Jessika)</v>
      </c>
      <c r="G23" s="22">
        <f ca="1">IFERROR(HLOOKUP(C23,Rango_Admin_DailyClas,4,FALSE),"-")</f>
        <v>0</v>
      </c>
      <c r="H23" s="429">
        <f ca="1">IFERROR(VLOOKUP(H$2,Rango_Admin_DailyPred,MATCH($F23,Rango_Admin_DailyPred_Primera,0)+1,0),"-")</f>
        <v>0</v>
      </c>
      <c r="I23" s="429">
        <f ca="1">IFERROR(VLOOKUP(I$2,Rango_Admin_DailyPred,MATCH($F23,Rango_Admin_DailyPred_Primera,0)+1,0),"-")</f>
        <v>0</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f ca="1">IFERROR(HLOOKUP(C24,Rango_Admin_DailyClas,3,FALSE),"-")</f>
        <v>1</v>
      </c>
      <c r="F24" s="448" t="str">
        <f ca="1">IFERROR(HLOOKUP(C24,Rango_Admin_DailyClas,5,FALSE),"-")</f>
        <v>Ricardo Ortega</v>
      </c>
      <c r="G24" s="22">
        <f ca="1">IFERROR(HLOOKUP(C24,Rango_Admin_DailyClas,4,FALSE),"-")</f>
        <v>0</v>
      </c>
      <c r="H24" s="429">
        <f ca="1">IFERROR(VLOOKUP(H$2,Rango_Admin_DailyPred,MATCH($F24,Rango_Admin_DailyPred_Primera,0)+1,0),"-")</f>
        <v>0</v>
      </c>
      <c r="I24" s="429">
        <f ca="1">IFERROR(VLOOKUP(I$2,Rango_Admin_DailyPred,MATCH($F24,Rango_Admin_DailyPred_Primera,0)+1,0),"-")</f>
        <v>0</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f ca="1">IFERROR(HLOOKUP(C25,Rango_Admin_DailyClas,3,FALSE),"-")</f>
        <v>1</v>
      </c>
      <c r="F25" s="448" t="str">
        <f ca="1">IFERROR(HLOOKUP(C25,Rango_Admin_DailyClas,5,FALSE),"-")</f>
        <v>Xavier (Kevin 2)</v>
      </c>
      <c r="G25" s="22">
        <f ca="1">IFERROR(HLOOKUP(C25,Rango_Admin_DailyClas,4,FALSE),"-")</f>
        <v>0</v>
      </c>
      <c r="H25" s="429">
        <f ca="1">IFERROR(VLOOKUP(H$2,Rango_Admin_DailyPred,MATCH($F25,Rango_Admin_DailyPred_Primera,0)+1,0),"-")</f>
        <v>0</v>
      </c>
      <c r="I25" s="429">
        <f ca="1">IFERROR(VLOOKUP(I$2,Rango_Admin_DailyPred,MATCH($F25,Rango_Admin_DailyPred_Primera,0)+1,0),"-")</f>
        <v>0</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f ca="1">IFERROR(HLOOKUP(C26,Rango_Admin_DailyClas,3,FALSE),"-")</f>
        <v>1</v>
      </c>
      <c r="F26" s="448" t="str">
        <f ca="1">IFERROR(HLOOKUP(C26,Rango_Admin_DailyClas,5,FALSE),"-")</f>
        <v>Jared Oropeza</v>
      </c>
      <c r="G26" s="22">
        <f ca="1">IFERROR(HLOOKUP(C26,Rango_Admin_DailyClas,4,FALSE),"-")</f>
        <v>0</v>
      </c>
      <c r="H26" s="429">
        <f ca="1">IFERROR(VLOOKUP(H$2,Rango_Admin_DailyPred,MATCH($F26,Rango_Admin_DailyPred_Primera,0)+1,0),"-")</f>
        <v>0</v>
      </c>
      <c r="I26" s="429">
        <f ca="1">IFERROR(VLOOKUP(I$2,Rango_Admin_DailyPred,MATCH($F26,Rango_Admin_DailyPred_Primera,0)+1,0),"-")</f>
        <v>0</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f ca="1">IFERROR(HLOOKUP(C27,Rango_Admin_DailyClas,3,FALSE),"-")</f>
        <v>1</v>
      </c>
      <c r="F27" s="448" t="str">
        <f ca="1">IFERROR(HLOOKUP(C27,Rango_Admin_DailyClas,5,FALSE),"-")</f>
        <v>Juan Dorante</v>
      </c>
      <c r="G27" s="22">
        <f ca="1">IFERROR(HLOOKUP(C27,Rango_Admin_DailyClas,4,FALSE),"-")</f>
        <v>0</v>
      </c>
      <c r="H27" s="429">
        <f ca="1">IFERROR(VLOOKUP(H$2,Rango_Admin_DailyPred,MATCH($F27,Rango_Admin_DailyPred_Primera,0)+1,0),"-")</f>
        <v>0</v>
      </c>
      <c r="I27" s="429">
        <f ca="1">IFERROR(VLOOKUP(I$2,Rango_Admin_DailyPred,MATCH($F27,Rango_Admin_DailyPred_Primera,0)+1,0),"-")</f>
        <v>0</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f ca="1">IFERROR(HLOOKUP(C28,Rango_Admin_DailyClas,3,FALSE),"-")</f>
        <v>1</v>
      </c>
      <c r="F28" s="448" t="str">
        <f ca="1">IFERROR(HLOOKUP(C28,Rango_Admin_DailyClas,5,FALSE),"-")</f>
        <v>Carlos Gimenez</v>
      </c>
      <c r="G28" s="22">
        <f ca="1">IFERROR(HLOOKUP(C28,Rango_Admin_DailyClas,4,FALSE),"-")</f>
        <v>0</v>
      </c>
      <c r="H28" s="429">
        <f ca="1">IFERROR(VLOOKUP(H$2,Rango_Admin_DailyPred,MATCH($F28,Rango_Admin_DailyPred_Primera,0)+1,0),"-")</f>
        <v>0</v>
      </c>
      <c r="I28" s="429">
        <f ca="1">IFERROR(VLOOKUP(I$2,Rango_Admin_DailyPred,MATCH($F28,Rango_Admin_DailyPred_Primera,0)+1,0),"-")</f>
        <v>0</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0"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1" width="10.85546875" customWidth="1"/>
    <col min="22" max="22" width="10.85546875" hidden="1" customWidth="1"/>
    <col min="23" max="23" width="23.85546875" hidden="1" customWidth="1"/>
    <col min="24" max="24" width="21.28515625" hidden="1" customWidth="1"/>
    <col min="25" max="25" width="24.42578125" hidden="1" customWidth="1"/>
    <col min="26" max="26" width="17.85546875" hidden="1" customWidth="1"/>
    <col min="27" max="16384" width="10.8554687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77" t="str">
        <f>Idiomas!D496</f>
        <v>Dia seleccionado en "Daily Prediction"</v>
      </c>
      <c r="E5" s="761">
        <f>DailyPrediction!H1</f>
        <v>46184</v>
      </c>
      <c r="F5" s="404">
        <f ca="1">VLOOKUP($E$5,Equipos!$Q$2:$R$37,2,0)</f>
        <v>1</v>
      </c>
      <c r="G5" s="17"/>
      <c r="H5" s="476" t="str">
        <f>Idiomas!D501</f>
        <v>Selecciona un partido de hoy:↗</v>
      </c>
      <c r="I5" s="450" t="s">
        <v>1937</v>
      </c>
      <c r="J5" s="17"/>
      <c r="K5" s="17"/>
      <c r="L5" s="849">
        <f>SUM(WORLDCUP!AG4:AG147)/104</f>
        <v>0</v>
      </c>
      <c r="M5" s="850"/>
      <c r="N5" s="850"/>
      <c r="O5" s="850"/>
      <c r="P5" s="850"/>
      <c r="Q5" s="850"/>
      <c r="R5" s="850"/>
      <c r="S5" s="850"/>
      <c r="T5" s="851"/>
      <c r="U5" s="25"/>
      <c r="V5" s="11">
        <f>ADMIN!$D$5</f>
        <v>25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11/06/aa (Individual)</v>
      </c>
      <c r="E8" s="455">
        <f ca="1">IFERROR(SUMIF(ADMIN!$G$6:$G$258,$F$5,ADMIN!$F$6:$F$258),"")</f>
        <v>12</v>
      </c>
      <c r="F8" s="456">
        <f ca="1">IFERROR(E8/$B$46,0)</f>
        <v>9.2879256965944269E-3</v>
      </c>
      <c r="G8" s="17"/>
      <c r="H8" s="454" t="e" cm="1">
        <f t="array" aca="1" ref="H8:I8" ca="1">_xlfn.SORTBY(OFFSET($Y$35,0,0,COUNTA(_xlfn.ANCHORARRAY($Y$35)),2),OFFSET(Z35,0,0,COUNTA(_xlfn.ANCHORARRAY($Y$35))),-1)</f>
        <v>#NAME?</v>
      </c>
      <c r="I8" s="704" t="e">
        <f ca="1"/>
        <v>#NAME?</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0</v>
      </c>
      <c r="N8" s="469">
        <f ca="1">IFERROR(COUNTIF(ADMIN!$S$130:INDEX(ADMIN!$S$130:$HL$161,32,ADMIN!$D$5*3-1),Stats!$L8)-SUM(O8:T8),0)</f>
        <v>2</v>
      </c>
      <c r="O8" s="469">
        <f ca="1">COUNTIF(ADMIN!$S$182:INDEX(ADMIN!$S$182:$HL$197,16,ADMIN!$D$5*3-1),Stats!$L8)-SUM(P8:T8)</f>
        <v>21</v>
      </c>
      <c r="P8" s="469">
        <f ca="1">COUNTIF(ADMIN!$S$210:INDEX(ADMIN!$S$210:$HL$217,8,ADMIN!$D$5*3-1),Stats!$L8)-SUM(Q8:T8)</f>
        <v>1</v>
      </c>
      <c r="Q8" s="469">
        <f ca="1">COUNTIF(ADMIN!$S$226:INDEX(ADMIN!$S$226:$HL$229,4,ADMIN!$D$5*3-1),Stats!$L8)-SUM(R8:T8)</f>
        <v>0</v>
      </c>
      <c r="R8" s="469">
        <f ca="1">IFERROR(COUNTIF(ADMIN!$S$252:INDEX(ADMIN!$S$252:$HL$252,1,ADMIN!$D$5*3-1),Stats!$L8),0)</f>
        <v>0</v>
      </c>
      <c r="S8" s="469">
        <f ca="1">IFERROR(COUNTIF(ADMIN!$S$251:INDEX(ADMIN!$S$251:$HL$251,1,ADMIN!$D$5*3-1),Stats!$L8),0)</f>
        <v>0</v>
      </c>
      <c r="T8" s="470">
        <f ca="1">IFERROR(COUNTIF(ADMIN!$S$250:INDEX(ADMIN!$S$250:$HL$250,1,ADMIN!$D$5*3-1),Stats!$L8),0)</f>
        <v>1</v>
      </c>
      <c r="U8" s="25"/>
      <c r="V8" s="11">
        <f t="shared" ref="V8:V55" ca="1" si="0">SUM(M8:T8)</f>
        <v>25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11/06/aa (Individual)</v>
      </c>
      <c r="E9" s="455">
        <f ca="1">IFERROR(SUMIF($A$22:$A$45,"&lt;"&amp;$F$5,$B$22:$B$45),"")</f>
        <v>0</v>
      </c>
      <c r="F9" s="456">
        <f ca="1">IFERROR(E9/$B$46,0)</f>
        <v>0</v>
      </c>
      <c r="G9" s="17"/>
      <c r="H9" s="457"/>
      <c r="I9" s="704"/>
      <c r="J9" s="706"/>
      <c r="K9" s="404"/>
      <c r="L9" s="132" t="str">
        <f ca="1">Horarios!Q4</f>
        <v>Arabia Saudita</v>
      </c>
      <c r="M9" s="471">
        <f ca="1">ADMIN!$D$5-SUM(N9:T9)</f>
        <v>15</v>
      </c>
      <c r="N9" s="471">
        <f ca="1">IFERROR(COUNTIF(ADMIN!$S$130:INDEX(ADMIN!$S$130:$HL$161,32,ADMIN!$D$5*3-1),Stats!$L9)-SUM(O9:T9),0)</f>
        <v>9</v>
      </c>
      <c r="O9" s="471">
        <f ca="1">COUNTIF(ADMIN!$S$182:INDEX(ADMIN!$S$182:$HL$197,16,ADMIN!$D$5*3-1),Stats!$L9)-SUM(P9:T9)</f>
        <v>1</v>
      </c>
      <c r="P9" s="471">
        <f ca="1">COUNTIF(ADMIN!$S$210:INDEX(ADMIN!$S$210:$HL$217,8,ADMIN!$D$5*3-1),Stats!$L9)-SUM(Q9:T9)</f>
        <v>0</v>
      </c>
      <c r="Q9" s="471">
        <f ca="1">COUNTIF(ADMIN!$S$226:INDEX(ADMIN!$S$226:$HL$229,4,ADMIN!$D$5*3-1),Stats!$L9)-SUM(R9:T9)</f>
        <v>0</v>
      </c>
      <c r="R9" s="471">
        <f ca="1">IFERROR(COUNTIF(ADMIN!$S$252:INDEX(ADMIN!$S$252:$HL$252,1,ADMIN!$D$5*3-1),Stats!$L9),0)</f>
        <v>0</v>
      </c>
      <c r="S9" s="471">
        <f ca="1">IFERROR(COUNTIF(ADMIN!$S$251:INDEX(ADMIN!$S$251:$HL$251,1,ADMIN!$D$5*3-1),Stats!$L9),0)</f>
        <v>0</v>
      </c>
      <c r="T9" s="472">
        <f ca="1">IFERROR(COUNTIF(ADMIN!$S$250:INDEX(ADMIN!$S$250:$HL$250,1,ADMIN!$D$5*3-1),Stats!$L9),0)</f>
        <v>0</v>
      </c>
      <c r="U9" s="25"/>
      <c r="V9" s="11">
        <f t="shared" ca="1" si="0"/>
        <v>25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11/06/aa (Individual)</v>
      </c>
      <c r="E10" s="455">
        <f ca="1">IFERROR(SUMIF($A$22:$A$45,"&lt;="&amp;$F$5,$B$22:$B$45),"")</f>
        <v>12</v>
      </c>
      <c r="F10" s="456">
        <f ca="1">IFERROR(E10/$B$46,0)</f>
        <v>9.2879256965944269E-3</v>
      </c>
      <c r="G10" s="17"/>
      <c r="H10" s="454"/>
      <c r="I10" s="704"/>
      <c r="J10" s="706"/>
      <c r="K10" s="404"/>
      <c r="L10" s="133" t="str">
        <f ca="1">Horarios!Q5</f>
        <v>Argelia</v>
      </c>
      <c r="M10" s="469">
        <f ca="1">ADMIN!$D$5-SUM(N10:T10)</f>
        <v>9</v>
      </c>
      <c r="N10" s="469">
        <f ca="1">IFERROR(COUNTIF(ADMIN!$S$130:INDEX(ADMIN!$S$130:$HL$161,32,ADMIN!$D$5*3-1),Stats!$L10)-SUM(O10:T10),0)</f>
        <v>14</v>
      </c>
      <c r="O10" s="469">
        <f ca="1">COUNTIF(ADMIN!$S$182:INDEX(ADMIN!$S$182:$HL$197,16,ADMIN!$D$5*3-1),Stats!$L10)-SUM(P10:T10)</f>
        <v>2</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25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1280</v>
      </c>
      <c r="F11" s="456">
        <f ca="1">IFERROR(1-F10,0)</f>
        <v>0.99071207430340558</v>
      </c>
      <c r="G11" s="17"/>
      <c r="H11" s="457"/>
      <c r="I11" s="704"/>
      <c r="J11" s="706"/>
      <c r="K11" s="404"/>
      <c r="L11" s="132" t="str">
        <f ca="1">Horarios!Q6</f>
        <v>Argentina</v>
      </c>
      <c r="M11" s="471">
        <f ca="1">ADMIN!$D$5-SUM(N11:T11)</f>
        <v>0</v>
      </c>
      <c r="N11" s="471">
        <f ca="1">IFERROR(COUNTIF(ADMIN!$S$130:INDEX(ADMIN!$S$130:$HL$161,32,ADMIN!$D$5*3-1),Stats!$L11)-SUM(O11:T11),0)</f>
        <v>4</v>
      </c>
      <c r="O11" s="471">
        <f ca="1">COUNTIF(ADMIN!$S$182:INDEX(ADMIN!$S$182:$HL$197,16,ADMIN!$D$5*3-1),Stats!$L11)-SUM(P11:T11)</f>
        <v>0</v>
      </c>
      <c r="P11" s="471">
        <f ca="1">COUNTIF(ADMIN!$S$210:INDEX(ADMIN!$S$210:$HL$217,8,ADMIN!$D$5*3-1),Stats!$L11)-SUM(Q11:T11)</f>
        <v>12</v>
      </c>
      <c r="Q11" s="471">
        <f ca="1">COUNTIF(ADMIN!$S$226:INDEX(ADMIN!$S$226:$HL$229,4,ADMIN!$D$5*3-1),Stats!$L11)-SUM(R11:T11)</f>
        <v>1</v>
      </c>
      <c r="R11" s="471">
        <f ca="1">IFERROR(COUNTIF(ADMIN!$S$252:INDEX(ADMIN!$S$252:$HL$252,1,ADMIN!$D$5*3-1),Stats!$L11),0)</f>
        <v>3</v>
      </c>
      <c r="S11" s="471">
        <f ca="1">IFERROR(COUNTIF(ADMIN!$S$251:INDEX(ADMIN!$S$251:$HL$251,1,ADMIN!$D$5*3-1),Stats!$L11),0)</f>
        <v>3</v>
      </c>
      <c r="T11" s="472">
        <f ca="1">IFERROR(COUNTIF(ADMIN!$S$250:INDEX(ADMIN!$S$250:$HL$250,1,ADMIN!$D$5*3-1),Stats!$L11),0)</f>
        <v>2</v>
      </c>
      <c r="U11" s="25"/>
      <c r="V11" s="11">
        <f t="shared" ca="1" si="0"/>
        <v>25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300</v>
      </c>
      <c r="F12" s="456">
        <f ca="1">IFERROR(E12/B47,0)</f>
        <v>9.2879256965944269E-3</v>
      </c>
      <c r="G12" s="17"/>
      <c r="H12" s="454"/>
      <c r="I12" s="704"/>
      <c r="J12" s="706"/>
      <c r="K12" s="404"/>
      <c r="L12" s="133" t="str">
        <f ca="1">Horarios!Q7</f>
        <v>Australia</v>
      </c>
      <c r="M12" s="469">
        <f ca="1">ADMIN!$D$5-SUM(N12:T12)</f>
        <v>20</v>
      </c>
      <c r="N12" s="469">
        <f ca="1">IFERROR(COUNTIF(ADMIN!$S$130:INDEX(ADMIN!$S$130:$HL$161,32,ADMIN!$D$5*3-1),Stats!$L12)-SUM(O12:T12),0)</f>
        <v>4</v>
      </c>
      <c r="O12" s="469">
        <f ca="1">COUNTIF(ADMIN!$S$182:INDEX(ADMIN!$S$182:$HL$197,16,ADMIN!$D$5*3-1),Stats!$L12)-SUM(P12:T12)</f>
        <v>1</v>
      </c>
      <c r="P12" s="469">
        <f ca="1">COUNTIF(ADMIN!$S$210:INDEX(ADMIN!$S$210:$HL$217,8,ADMIN!$D$5*3-1),Stats!$L12)-SUM(Q12:T12)</f>
        <v>0</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25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IFERROR(SUM(DailyClas!$G$4:INDEX(DailyClas!$G$4:$G$75,ADMIN!$D$5)),0)</f>
        <v>0</v>
      </c>
      <c r="F13" s="456">
        <f ca="1">IFERROR(E13/E12,0)</f>
        <v>0</v>
      </c>
      <c r="G13" s="17"/>
      <c r="H13" s="457"/>
      <c r="I13" s="704"/>
      <c r="J13" s="706"/>
      <c r="K13" s="404"/>
      <c r="L13" s="132" t="str">
        <f ca="1">Horarios!Q8</f>
        <v>Austria</v>
      </c>
      <c r="M13" s="471">
        <f ca="1">ADMIN!$D$5-SUM(N13:T13)</f>
        <v>1</v>
      </c>
      <c r="N13" s="471">
        <f ca="1">IFERROR(COUNTIF(ADMIN!$S$130:INDEX(ADMIN!$S$130:$HL$161,32,ADMIN!$D$5*3-1),Stats!$L13)-SUM(O13:T13),0)</f>
        <v>24</v>
      </c>
      <c r="O13" s="471">
        <f ca="1">COUNTIF(ADMIN!$S$182:INDEX(ADMIN!$S$182:$HL$197,16,ADMIN!$D$5*3-1),Stats!$L13)-SUM(P13:T13)</f>
        <v>0</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25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11/06/aa?</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0</v>
      </c>
      <c r="N14" s="469">
        <f ca="1">IFERROR(COUNTIF(ADMIN!$S$130:INDEX(ADMIN!$S$130:$HL$161,32,ADMIN!$D$5*3-1),Stats!$L14)-SUM(O14:T14),0)</f>
        <v>2</v>
      </c>
      <c r="O14" s="469">
        <f ca="1">COUNTIF(ADMIN!$S$182:INDEX(ADMIN!$S$182:$HL$197,16,ADMIN!$D$5*3-1),Stats!$L14)-SUM(P14:T14)</f>
        <v>9</v>
      </c>
      <c r="P14" s="469">
        <f ca="1">COUNTIF(ADMIN!$S$210:INDEX(ADMIN!$S$210:$HL$217,8,ADMIN!$D$5*3-1),Stats!$L14)-SUM(Q14:T14)</f>
        <v>14</v>
      </c>
      <c r="Q14" s="469">
        <f ca="1">COUNTIF(ADMIN!$S$226:INDEX(ADMIN!$S$226:$HL$229,4,ADMIN!$D$5*3-1),Stats!$L14)-SUM(R14:T14)</f>
        <v>0</v>
      </c>
      <c r="R14" s="469">
        <f ca="1">IFERROR(COUNTIF(ADMIN!$S$252:INDEX(ADMIN!$S$252:$HL$252,1,ADMIN!$D$5*3-1),Stats!$L14),0)</f>
        <v>0</v>
      </c>
      <c r="S14" s="469">
        <f ca="1">IFERROR(COUNTIF(ADMIN!$S$251:INDEX(ADMIN!$S$251:$HL$251,1,ADMIN!$D$5*3-1),Stats!$L14),0)</f>
        <v>0</v>
      </c>
      <c r="T14" s="470">
        <f ca="1">IFERROR(COUNTIF(ADMIN!$S$250:INDEX(ADMIN!$S$250:$HL$250,1,ADMIN!$D$5*3-1),Stats!$L14),0)</f>
        <v>0</v>
      </c>
      <c r="U14" s="25"/>
      <c r="V14" s="11">
        <f t="shared" ca="1" si="0"/>
        <v>25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11/06/aa?</v>
      </c>
      <c r="E15" s="455">
        <f ca="1">IFERROR(COUNTIF(DailyClas!$G$4:INDEX(DailyClas!$G$4:$G$75,ADMIN!$D$5),"&gt;0"),0)</f>
        <v>0</v>
      </c>
      <c r="F15" s="456">
        <f ca="1">IFERROR(E15/ADMIN!$D$5,0)</f>
        <v>0</v>
      </c>
      <c r="G15" s="17"/>
      <c r="H15" s="457"/>
      <c r="I15" s="704"/>
      <c r="J15" s="706"/>
      <c r="K15" s="404"/>
      <c r="L15" s="132" t="str">
        <f ca="1">Horarios!Q10</f>
        <v>Bosnia y Herzegovina</v>
      </c>
      <c r="M15" s="471">
        <f ca="1">ADMIN!$D$5-SUM(N15:T15)</f>
        <v>7</v>
      </c>
      <c r="N15" s="471">
        <f ca="1">IFERROR(COUNTIF(ADMIN!$S$130:INDEX(ADMIN!$S$130:$HL$161,32,ADMIN!$D$5*3-1),Stats!$L15)-SUM(O15:T15),0)</f>
        <v>17</v>
      </c>
      <c r="O15" s="471">
        <f ca="1">COUNTIF(ADMIN!$S$182:INDEX(ADMIN!$S$182:$HL$197,16,ADMIN!$D$5*3-1),Stats!$L15)-SUM(P15:T15)</f>
        <v>1</v>
      </c>
      <c r="P15" s="471">
        <f ca="1">COUNTIF(ADMIN!$S$210:INDEX(ADMIN!$S$210:$HL$217,8,ADMIN!$D$5*3-1),Stats!$L15)-SUM(Q15:T15)</f>
        <v>0</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25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11/06/aa?</v>
      </c>
      <c r="E16" s="455">
        <f ca="1">IFERROR(IF(SUM(ADMIN!$D$8:$D$47)=0,0,COUNTIF(DailyClas!$G$4:INDEX(DailyClas!$G$4:$G$75,ADMIN!$D$5),0)),0)</f>
        <v>25</v>
      </c>
      <c r="F16" s="456">
        <f ca="1">IFERROR(E16/ADMIN!$D$5,0)</f>
        <v>1</v>
      </c>
      <c r="G16" s="17"/>
      <c r="H16" s="454"/>
      <c r="I16" s="704"/>
      <c r="J16" s="706"/>
      <c r="K16" s="404"/>
      <c r="L16" s="133" t="str">
        <f ca="1">Horarios!Q11</f>
        <v>Brasil</v>
      </c>
      <c r="M16" s="469">
        <f ca="1">ADMIN!$D$5-SUM(N16:T16)</f>
        <v>0</v>
      </c>
      <c r="N16" s="469">
        <f ca="1">IFERROR(COUNTIF(ADMIN!$S$130:INDEX(ADMIN!$S$130:$HL$161,32,ADMIN!$D$5*3-1),Stats!$L16)-SUM(O16:T16),0)</f>
        <v>1</v>
      </c>
      <c r="O16" s="469">
        <f ca="1">COUNTIF(ADMIN!$S$182:INDEX(ADMIN!$S$182:$HL$197,16,ADMIN!$D$5*3-1),Stats!$L16)-SUM(P16:T16)</f>
        <v>3</v>
      </c>
      <c r="P16" s="469">
        <f ca="1">COUNTIF(ADMIN!$S$210:INDEX(ADMIN!$S$210:$HL$217,8,ADMIN!$D$5*3-1),Stats!$L16)-SUM(Q16:T16)</f>
        <v>7</v>
      </c>
      <c r="Q16" s="469">
        <f ca="1">COUNTIF(ADMIN!$S$226:INDEX(ADMIN!$S$226:$HL$229,4,ADMIN!$D$5*3-1),Stats!$L16)-SUM(R16:T16)</f>
        <v>4</v>
      </c>
      <c r="R16" s="469">
        <f ca="1">IFERROR(COUNTIF(ADMIN!$S$252:INDEX(ADMIN!$S$252:$HL$252,1,ADMIN!$D$5*3-1),Stats!$L16),0)</f>
        <v>6</v>
      </c>
      <c r="S16" s="469">
        <f ca="1">IFERROR(COUNTIF(ADMIN!$S$251:INDEX(ADMIN!$S$251:$HL$251,1,ADMIN!$D$5*3-1),Stats!$L16),0)</f>
        <v>4</v>
      </c>
      <c r="T16" s="470">
        <f ca="1">IFERROR(COUNTIF(ADMIN!$S$250:INDEX(ADMIN!$S$250:$HL$250,1,ADMIN!$D$5*3-1),Stats!$L16),0)</f>
        <v>0</v>
      </c>
      <c r="U16" s="25"/>
      <c r="V16" s="11">
        <f t="shared" ca="1" si="0"/>
        <v>25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11/06/aa?</v>
      </c>
      <c r="E17" s="459">
        <f ca="1">IFERROR(AVERAGE(DailyClas!$G$4:INDEX(DailyClas!$G$4:$G$75,ADMIN!$D$5)),0)</f>
        <v>0</v>
      </c>
      <c r="F17" s="460"/>
      <c r="G17" s="17"/>
      <c r="H17" s="457"/>
      <c r="I17" s="704"/>
      <c r="J17" s="707"/>
      <c r="K17" s="404"/>
      <c r="L17" s="132" t="str">
        <f ca="1">Horarios!Q12</f>
        <v>Cabo Verde</v>
      </c>
      <c r="M17" s="471">
        <f ca="1">ADMIN!$D$5-SUM(N17:T17)</f>
        <v>24</v>
      </c>
      <c r="N17" s="471">
        <f ca="1">IFERROR(COUNTIF(ADMIN!$S$130:INDEX(ADMIN!$S$130:$HL$161,32,ADMIN!$D$5*3-1),Stats!$L17)-SUM(O17:T17),0)</f>
        <v>1</v>
      </c>
      <c r="O17" s="471">
        <f ca="1">COUNTIF(ADMIN!$S$182:INDEX(ADMIN!$S$182:$HL$197,16,ADMIN!$D$5*3-1),Stats!$L17)-SUM(P17:T17)</f>
        <v>0</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25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2</v>
      </c>
      <c r="N18" s="469">
        <f ca="1">IFERROR(COUNTIF(ADMIN!$S$130:INDEX(ADMIN!$S$130:$HL$161,32,ADMIN!$D$5*3-1),Stats!$L18)-SUM(O18:T18),0)</f>
        <v>9</v>
      </c>
      <c r="O18" s="469">
        <f ca="1">COUNTIF(ADMIN!$S$182:INDEX(ADMIN!$S$182:$HL$197,16,ADMIN!$D$5*3-1),Stats!$L18)-SUM(P18:T18)</f>
        <v>14</v>
      </c>
      <c r="P18" s="469">
        <f ca="1">COUNTIF(ADMIN!$S$210:INDEX(ADMIN!$S$210:$HL$217,8,ADMIN!$D$5*3-1),Stats!$L18)-SUM(Q18:T18)</f>
        <v>0</v>
      </c>
      <c r="Q18" s="469">
        <f ca="1">COUNTIF(ADMIN!$S$226:INDEX(ADMIN!$S$226:$HL$229,4,ADMIN!$D$5*3-1),Stats!$L18)-SUM(R18:T18)</f>
        <v>0</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25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18</v>
      </c>
      <c r="N19" s="471">
        <f ca="1">IFERROR(COUNTIF(ADMIN!$S$130:INDEX(ADMIN!$S$130:$HL$161,32,ADMIN!$D$5*3-1),Stats!$L19)-SUM(O19:T19),0)</f>
        <v>6</v>
      </c>
      <c r="O19" s="471">
        <f ca="1">COUNTIF(ADMIN!$S$182:INDEX(ADMIN!$S$182:$HL$197,16,ADMIN!$D$5*3-1),Stats!$L19)-SUM(P19:T19)</f>
        <v>1</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25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0</v>
      </c>
      <c r="N20" s="469">
        <f ca="1">IFERROR(COUNTIF(ADMIN!$S$130:INDEX(ADMIN!$S$130:$HL$161,32,ADMIN!$D$5*3-1),Stats!$L20)-SUM(O20:T20),0)</f>
        <v>7</v>
      </c>
      <c r="O20" s="469">
        <f ca="1">COUNTIF(ADMIN!$S$182:INDEX(ADMIN!$S$182:$HL$197,16,ADMIN!$D$5*3-1),Stats!$L20)-SUM(P20:T20)</f>
        <v>16</v>
      </c>
      <c r="P20" s="469">
        <f ca="1">COUNTIF(ADMIN!$S$210:INDEX(ADMIN!$S$210:$HL$217,8,ADMIN!$D$5*3-1),Stats!$L20)-SUM(Q20:T20)</f>
        <v>1</v>
      </c>
      <c r="Q20" s="469">
        <f ca="1">COUNTIF(ADMIN!$S$226:INDEX(ADMIN!$S$226:$HL$229,4,ADMIN!$D$5*3-1),Stats!$L20)-SUM(R20:T20)</f>
        <v>1</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25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4</v>
      </c>
      <c r="N21" s="471">
        <f ca="1">IFERROR(COUNTIF(ADMIN!$S$130:INDEX(ADMIN!$S$130:$HL$161,32,ADMIN!$D$5*3-1),Stats!$L21)-SUM(O21:T21),0)</f>
        <v>12</v>
      </c>
      <c r="O21" s="471">
        <f ca="1">COUNTIF(ADMIN!$S$182:INDEX(ADMIN!$S$182:$HL$197,16,ADMIN!$D$5*3-1),Stats!$L21)-SUM(P21:T21)</f>
        <v>9</v>
      </c>
      <c r="P21" s="471">
        <f ca="1">COUNTIF(ADMIN!$S$210:INDEX(ADMIN!$S$210:$HL$217,8,ADMIN!$D$5*3-1),Stats!$L21)-SUM(Q21:T21)</f>
        <v>0</v>
      </c>
      <c r="Q21" s="471">
        <f ca="1">COUNTIF(ADMIN!$S$226:INDEX(ADMIN!$S$226:$HL$229,4,ADMIN!$D$5*3-1),Stats!$L21)-SUM(R21:T21)</f>
        <v>0</v>
      </c>
      <c r="R21" s="471">
        <f ca="1">IFERROR(COUNTIF(ADMIN!$S$252:INDEX(ADMIN!$S$252:$HL$252,1,ADMIN!$D$5*3-1),Stats!$L21),0)</f>
        <v>0</v>
      </c>
      <c r="S21" s="471">
        <f ca="1">IFERROR(COUNTIF(ADMIN!$S$251:INDEX(ADMIN!$S$251:$HL$251,1,ADMIN!$D$5*3-1),Stats!$L21),0)</f>
        <v>0</v>
      </c>
      <c r="T21" s="472">
        <f ca="1">IFERROR(COUNTIF(ADMIN!$S$250:INDEX(ADMIN!$S$250:$HL$250,1,ADMIN!$D$5*3-1),Stats!$L21),0)</f>
        <v>0</v>
      </c>
      <c r="U21" s="25"/>
      <c r="V21" s="11">
        <f t="shared" ca="1" si="0"/>
        <v>25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12</v>
      </c>
      <c r="C22" s="17"/>
      <c r="D22" s="17"/>
      <c r="E22" s="17"/>
      <c r="F22" s="17"/>
      <c r="G22" s="17"/>
      <c r="H22" s="454"/>
      <c r="I22" s="704"/>
      <c r="J22" s="475"/>
      <c r="K22" s="475"/>
      <c r="L22" s="133" t="str">
        <f ca="1">Horarios!Q17</f>
        <v>Costa de Marfil</v>
      </c>
      <c r="M22" s="469">
        <f ca="1">ADMIN!$D$5-SUM(N22:T22)</f>
        <v>5</v>
      </c>
      <c r="N22" s="469">
        <f ca="1">IFERROR(COUNTIF(ADMIN!$S$130:INDEX(ADMIN!$S$130:$HL$161,32,ADMIN!$D$5*3-1),Stats!$L22)-SUM(O22:T22),0)</f>
        <v>17</v>
      </c>
      <c r="O22" s="469">
        <f ca="1">COUNTIF(ADMIN!$S$182:INDEX(ADMIN!$S$182:$HL$197,16,ADMIN!$D$5*3-1),Stats!$L22)-SUM(P22:T22)</f>
        <v>2</v>
      </c>
      <c r="P22" s="469">
        <f ca="1">COUNTIF(ADMIN!$S$210:INDEX(ADMIN!$S$210:$HL$217,8,ADMIN!$D$5*3-1),Stats!$L22)-SUM(Q22:T22)</f>
        <v>1</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25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12</v>
      </c>
      <c r="C23" s="17"/>
      <c r="D23" s="17"/>
      <c r="E23" s="17"/>
      <c r="F23" s="17"/>
      <c r="G23" s="17"/>
      <c r="H23" s="457"/>
      <c r="I23" s="704"/>
      <c r="J23" s="475"/>
      <c r="K23" s="475"/>
      <c r="L23" s="132" t="str">
        <f ca="1">Horarios!Q18</f>
        <v>Croacia</v>
      </c>
      <c r="M23" s="471">
        <f ca="1">ADMIN!$D$5-SUM(N23:T23)</f>
        <v>0</v>
      </c>
      <c r="N23" s="471">
        <f ca="1">IFERROR(COUNTIF(ADMIN!$S$130:INDEX(ADMIN!$S$130:$HL$161,32,ADMIN!$D$5*3-1),Stats!$L23)-SUM(O23:T23),0)</f>
        <v>19</v>
      </c>
      <c r="O23" s="471">
        <f ca="1">COUNTIF(ADMIN!$S$182:INDEX(ADMIN!$S$182:$HL$197,16,ADMIN!$D$5*3-1),Stats!$L23)-SUM(P23:T23)</f>
        <v>5</v>
      </c>
      <c r="P23" s="471">
        <f ca="1">COUNTIF(ADMIN!$S$210:INDEX(ADMIN!$S$210:$HL$217,8,ADMIN!$D$5*3-1),Stats!$L23)-SUM(Q23:T23)</f>
        <v>0</v>
      </c>
      <c r="Q23" s="471">
        <f ca="1">COUNTIF(ADMIN!$S$226:INDEX(ADMIN!$S$226:$HL$229,4,ADMIN!$D$5*3-1),Stats!$L23)-SUM(R23:T23)</f>
        <v>1</v>
      </c>
      <c r="R23" s="471">
        <f ca="1">IFERROR(COUNTIF(ADMIN!$S$252:INDEX(ADMIN!$S$252:$HL$252,1,ADMIN!$D$5*3-1),Stats!$L23),0)</f>
        <v>0</v>
      </c>
      <c r="S23" s="471">
        <f ca="1">IFERROR(COUNTIF(ADMIN!$S$251:INDEX(ADMIN!$S$251:$HL$251,1,ADMIN!$D$5*3-1),Stats!$L23),0)</f>
        <v>0</v>
      </c>
      <c r="T23" s="472">
        <f ca="1">IFERROR(COUNTIF(ADMIN!$S$250:INDEX(ADMIN!$S$250:$HL$250,1,ADMIN!$D$5*3-1),Stats!$L23),0)</f>
        <v>0</v>
      </c>
      <c r="U23" s="25"/>
      <c r="V23" s="11">
        <f t="shared" ca="1" si="0"/>
        <v>25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24</v>
      </c>
      <c r="C24" s="17"/>
      <c r="D24" s="17"/>
      <c r="E24" s="17"/>
      <c r="F24" s="17"/>
      <c r="G24" s="17"/>
      <c r="H24" s="454"/>
      <c r="I24" s="704"/>
      <c r="J24" s="475"/>
      <c r="K24" s="475"/>
      <c r="L24" s="133" t="str">
        <f ca="1">Horarios!Q19</f>
        <v>Curazao</v>
      </c>
      <c r="M24" s="469">
        <f ca="1">ADMIN!$D$5-SUM(N24:T24)</f>
        <v>24</v>
      </c>
      <c r="N24" s="469">
        <f ca="1">IFERROR(COUNTIF(ADMIN!$S$130:INDEX(ADMIN!$S$130:$HL$161,32,ADMIN!$D$5*3-1),Stats!$L24)-SUM(O24:T24),0)</f>
        <v>1</v>
      </c>
      <c r="O24" s="469">
        <f ca="1">COUNTIF(ADMIN!$S$182:INDEX(ADMIN!$S$182:$HL$197,16,ADMIN!$D$5*3-1),Stats!$L24)-SUM(P24:T24)</f>
        <v>0</v>
      </c>
      <c r="P24" s="469">
        <f ca="1">COUNTIF(ADMIN!$S$210:INDEX(ADMIN!$S$210:$HL$217,8,ADMIN!$D$5*3-1),Stats!$L24)-SUM(Q24:T24)</f>
        <v>0</v>
      </c>
      <c r="Q24" s="469">
        <f ca="1">COUNTIF(ADMIN!$S$226:INDEX(ADMIN!$S$226:$HL$229,4,ADMIN!$D$5*3-1),Stats!$L24)-SUM(R24:T24)</f>
        <v>0</v>
      </c>
      <c r="R24" s="469">
        <f ca="1">IFERROR(COUNTIF(ADMIN!$S$252:INDEX(ADMIN!$S$252:$HL$252,1,ADMIN!$D$5*3-1),Stats!$L24),0)</f>
        <v>0</v>
      </c>
      <c r="S24" s="469">
        <f ca="1">IFERROR(COUNTIF(ADMIN!$S$251:INDEX(ADMIN!$S$251:$HL$251,1,ADMIN!$D$5*3-1),Stats!$L24),0)</f>
        <v>0</v>
      </c>
      <c r="T24" s="470">
        <f ca="1">IFERROR(COUNTIF(ADMIN!$S$250:INDEX(ADMIN!$S$250:$HL$250,1,ADMIN!$D$5*3-1),Stats!$L24),0)</f>
        <v>0</v>
      </c>
      <c r="U24" s="25"/>
      <c r="V24" s="11">
        <f t="shared" ca="1" si="0"/>
        <v>25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24</v>
      </c>
      <c r="C25" s="17"/>
      <c r="D25" s="17"/>
      <c r="E25" s="17"/>
      <c r="F25" s="17"/>
      <c r="G25" s="17"/>
      <c r="H25" s="457"/>
      <c r="I25" s="704"/>
      <c r="J25" s="475"/>
      <c r="K25" s="475"/>
      <c r="L25" s="132" t="str">
        <f ca="1">Horarios!Q20</f>
        <v>Ecuador</v>
      </c>
      <c r="M25" s="471">
        <f ca="1">ADMIN!$D$5-SUM(N25:T25)</f>
        <v>0</v>
      </c>
      <c r="N25" s="471">
        <f ca="1">IFERROR(COUNTIF(ADMIN!$S$130:INDEX(ADMIN!$S$130:$HL$161,32,ADMIN!$D$5*3-1),Stats!$L25)-SUM(O25:T25),0)</f>
        <v>12</v>
      </c>
      <c r="O25" s="471">
        <f ca="1">COUNTIF(ADMIN!$S$182:INDEX(ADMIN!$S$182:$HL$197,16,ADMIN!$D$5*3-1),Stats!$L25)-SUM(P25:T25)</f>
        <v>12</v>
      </c>
      <c r="P25" s="471">
        <f ca="1">COUNTIF(ADMIN!$S$210:INDEX(ADMIN!$S$210:$HL$217,8,ADMIN!$D$5*3-1),Stats!$L25)-SUM(Q25:T25)</f>
        <v>1</v>
      </c>
      <c r="Q25" s="471">
        <f ca="1">COUNTIF(ADMIN!$S$226:INDEX(ADMIN!$S$226:$HL$229,4,ADMIN!$D$5*3-1),Stats!$L25)-SUM(R25:T25)</f>
        <v>0</v>
      </c>
      <c r="R25" s="471">
        <f ca="1">IFERROR(COUNTIF(ADMIN!$S$252:INDEX(ADMIN!$S$252:$HL$252,1,ADMIN!$D$5*3-1),Stats!$L25),0)</f>
        <v>0</v>
      </c>
      <c r="S25" s="471">
        <f ca="1">IFERROR(COUNTIF(ADMIN!$S$251:INDEX(ADMIN!$S$251:$HL$251,1,ADMIN!$D$5*3-1),Stats!$L25),0)</f>
        <v>0</v>
      </c>
      <c r="T25" s="472">
        <f ca="1">IFERROR(COUNTIF(ADMIN!$S$250:INDEX(ADMIN!$S$250:$HL$250,1,ADMIN!$D$5*3-1),Stats!$L25),0)</f>
        <v>0</v>
      </c>
      <c r="U25" s="25"/>
      <c r="V25" s="11">
        <f t="shared" ca="1" si="0"/>
        <v>25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24</v>
      </c>
      <c r="C26" s="17"/>
      <c r="D26" s="17"/>
      <c r="E26" s="17"/>
      <c r="F26" s="17"/>
      <c r="G26" s="17"/>
      <c r="H26" s="454"/>
      <c r="I26" s="704"/>
      <c r="J26" s="475"/>
      <c r="K26" s="475"/>
      <c r="L26" s="133" t="str">
        <f ca="1">Horarios!Q21</f>
        <v>Egipto</v>
      </c>
      <c r="M26" s="469">
        <f ca="1">ADMIN!$D$5-SUM(N26:T26)</f>
        <v>6</v>
      </c>
      <c r="N26" s="469">
        <f ca="1">IFERROR(COUNTIF(ADMIN!$S$130:INDEX(ADMIN!$S$130:$HL$161,32,ADMIN!$D$5*3-1),Stats!$L26)-SUM(O26:T26),0)</f>
        <v>15</v>
      </c>
      <c r="O26" s="469">
        <f ca="1">COUNTIF(ADMIN!$S$182:INDEX(ADMIN!$S$182:$HL$197,16,ADMIN!$D$5*3-1),Stats!$L26)-SUM(P26:T26)</f>
        <v>3</v>
      </c>
      <c r="P26" s="469">
        <f ca="1">COUNTIF(ADMIN!$S$210:INDEX(ADMIN!$S$210:$HL$217,8,ADMIN!$D$5*3-1),Stats!$L26)-SUM(Q26:T26)</f>
        <v>1</v>
      </c>
      <c r="Q26" s="469">
        <f ca="1">COUNTIF(ADMIN!$S$226:INDEX(ADMIN!$S$226:$HL$229,4,ADMIN!$D$5*3-1),Stats!$L26)-SUM(R26:T26)</f>
        <v>0</v>
      </c>
      <c r="R26" s="469">
        <f ca="1">IFERROR(COUNTIF(ADMIN!$S$252:INDEX(ADMIN!$S$252:$HL$252,1,ADMIN!$D$5*3-1),Stats!$L26),0)</f>
        <v>0</v>
      </c>
      <c r="S26" s="469">
        <f ca="1">IFERROR(COUNTIF(ADMIN!$S$251:INDEX(ADMIN!$S$251:$HL$251,1,ADMIN!$D$5*3-1),Stats!$L26),0)</f>
        <v>0</v>
      </c>
      <c r="T26" s="470">
        <f ca="1">IFERROR(COUNTIF(ADMIN!$S$250:INDEX(ADMIN!$S$250:$HL$250,1,ADMIN!$D$5*3-1),Stats!$L26),0)</f>
        <v>0</v>
      </c>
      <c r="U26" s="25"/>
      <c r="V26" s="11">
        <f t="shared" ca="1" si="0"/>
        <v>25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24</v>
      </c>
      <c r="C27" s="17"/>
      <c r="D27" s="17"/>
      <c r="E27" s="17"/>
      <c r="F27" s="17"/>
      <c r="G27" s="17"/>
      <c r="H27" s="457"/>
      <c r="I27" s="704"/>
      <c r="J27" s="475"/>
      <c r="K27" s="475"/>
      <c r="L27" s="132" t="str">
        <f ca="1">Horarios!Q22</f>
        <v>Escocia</v>
      </c>
      <c r="M27" s="471">
        <f ca="1">ADMIN!$D$5-SUM(N27:T27)</f>
        <v>9</v>
      </c>
      <c r="N27" s="471">
        <f ca="1">IFERROR(COUNTIF(ADMIN!$S$130:INDEX(ADMIN!$S$130:$HL$161,32,ADMIN!$D$5*3-1),Stats!$L27)-SUM(O27:T27),0)</f>
        <v>16</v>
      </c>
      <c r="O27" s="471">
        <f ca="1">COUNTIF(ADMIN!$S$182:INDEX(ADMIN!$S$182:$HL$197,16,ADMIN!$D$5*3-1),Stats!$L27)-SUM(P27:T27)</f>
        <v>0</v>
      </c>
      <c r="P27" s="471">
        <f ca="1">COUNTIF(ADMIN!$S$210:INDEX(ADMIN!$S$210:$HL$217,8,ADMIN!$D$5*3-1),Stats!$L27)-SUM(Q27:T27)</f>
        <v>0</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25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24</v>
      </c>
      <c r="C28" s="17"/>
      <c r="D28" s="17"/>
      <c r="E28" s="17"/>
      <c r="F28" s="17"/>
      <c r="G28" s="17"/>
      <c r="H28" s="454"/>
      <c r="I28" s="704"/>
      <c r="J28" s="475"/>
      <c r="K28" s="475"/>
      <c r="L28" s="133" t="str">
        <f ca="1">Horarios!Q23</f>
        <v>España</v>
      </c>
      <c r="M28" s="469">
        <f ca="1">ADMIN!$D$5-SUM(N28:T28)</f>
        <v>0</v>
      </c>
      <c r="N28" s="469">
        <f ca="1">IFERROR(COUNTIF(ADMIN!$S$130:INDEX(ADMIN!$S$130:$HL$161,32,ADMIN!$D$5*3-1),Stats!$L28)-SUM(O28:T28),0)</f>
        <v>1</v>
      </c>
      <c r="O28" s="469">
        <f ca="1">COUNTIF(ADMIN!$S$182:INDEX(ADMIN!$S$182:$HL$197,16,ADMIN!$D$5*3-1),Stats!$L28)-SUM(P28:T28)</f>
        <v>1</v>
      </c>
      <c r="P28" s="469">
        <f ca="1">COUNTIF(ADMIN!$S$210:INDEX(ADMIN!$S$210:$HL$217,8,ADMIN!$D$5*3-1),Stats!$L28)-SUM(Q28:T28)</f>
        <v>1</v>
      </c>
      <c r="Q28" s="469">
        <f ca="1">COUNTIF(ADMIN!$S$226:INDEX(ADMIN!$S$226:$HL$229,4,ADMIN!$D$5*3-1),Stats!$L28)-SUM(R28:T28)</f>
        <v>2</v>
      </c>
      <c r="R28" s="469">
        <f ca="1">IFERROR(COUNTIF(ADMIN!$S$252:INDEX(ADMIN!$S$252:$HL$252,1,ADMIN!$D$5*3-1),Stats!$L28),0)</f>
        <v>7</v>
      </c>
      <c r="S28" s="469">
        <f ca="1">IFERROR(COUNTIF(ADMIN!$S$251:INDEX(ADMIN!$S$251:$HL$251,1,ADMIN!$D$5*3-1),Stats!$L28),0)</f>
        <v>7</v>
      </c>
      <c r="T28" s="470">
        <f ca="1">IFERROR(COUNTIF(ADMIN!$S$250:INDEX(ADMIN!$S$250:$HL$250,1,ADMIN!$D$5*3-1),Stats!$L28),0)</f>
        <v>6</v>
      </c>
      <c r="U28" s="25"/>
      <c r="V28" s="11">
        <f t="shared" ca="1" si="0"/>
        <v>25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24</v>
      </c>
      <c r="C29" s="17"/>
      <c r="D29" s="17"/>
      <c r="E29" s="17"/>
      <c r="F29" s="17"/>
      <c r="G29" s="17"/>
      <c r="H29" s="457"/>
      <c r="I29" s="704"/>
      <c r="J29" s="475"/>
      <c r="K29" s="475"/>
      <c r="L29" s="132" t="str">
        <f ca="1">Horarios!Q24</f>
        <v>Estados Unidos</v>
      </c>
      <c r="M29" s="471">
        <f ca="1">ADMIN!$D$5-SUM(N29:T29)</f>
        <v>2</v>
      </c>
      <c r="N29" s="471">
        <f ca="1">IFERROR(COUNTIF(ADMIN!$S$130:INDEX(ADMIN!$S$130:$HL$161,32,ADMIN!$D$5*3-1),Stats!$L29)-SUM(O29:T29),0)</f>
        <v>11</v>
      </c>
      <c r="O29" s="471">
        <f ca="1">COUNTIF(ADMIN!$S$182:INDEX(ADMIN!$S$182:$HL$197,16,ADMIN!$D$5*3-1),Stats!$L29)-SUM(P29:T29)</f>
        <v>11</v>
      </c>
      <c r="P29" s="471">
        <f ca="1">COUNTIF(ADMIN!$S$210:INDEX(ADMIN!$S$210:$HL$217,8,ADMIN!$D$5*3-1),Stats!$L29)-SUM(Q29:T29)</f>
        <v>1</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25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24</v>
      </c>
      <c r="C30" s="17"/>
      <c r="D30" s="17"/>
      <c r="E30" s="17"/>
      <c r="F30" s="17"/>
      <c r="G30" s="17"/>
      <c r="H30" s="454"/>
      <c r="I30" s="704"/>
      <c r="J30" s="475"/>
      <c r="K30" s="475"/>
      <c r="L30" s="133" t="str">
        <f ca="1">Horarios!Q25</f>
        <v>Francia</v>
      </c>
      <c r="M30" s="469">
        <f ca="1">ADMIN!$D$5-SUM(N30:T30)</f>
        <v>0</v>
      </c>
      <c r="N30" s="469">
        <f ca="1">IFERROR(COUNTIF(ADMIN!$S$130:INDEX(ADMIN!$S$130:$HL$161,32,ADMIN!$D$5*3-1),Stats!$L30)-SUM(O30:T30),0)</f>
        <v>0</v>
      </c>
      <c r="O30" s="469">
        <f ca="1">COUNTIF(ADMIN!$S$182:INDEX(ADMIN!$S$182:$HL$197,16,ADMIN!$D$5*3-1),Stats!$L30)-SUM(P30:T30)</f>
        <v>2</v>
      </c>
      <c r="P30" s="469">
        <f ca="1">COUNTIF(ADMIN!$S$210:INDEX(ADMIN!$S$210:$HL$217,8,ADMIN!$D$5*3-1),Stats!$L30)-SUM(Q30:T30)</f>
        <v>4</v>
      </c>
      <c r="Q30" s="469">
        <f ca="1">COUNTIF(ADMIN!$S$226:INDEX(ADMIN!$S$226:$HL$229,4,ADMIN!$D$5*3-1),Stats!$L30)-SUM(R30:T30)</f>
        <v>3</v>
      </c>
      <c r="R30" s="469">
        <f ca="1">IFERROR(COUNTIF(ADMIN!$S$252:INDEX(ADMIN!$S$252:$HL$252,1,ADMIN!$D$5*3-1),Stats!$L30),0)</f>
        <v>6</v>
      </c>
      <c r="S30" s="469">
        <f ca="1">IFERROR(COUNTIF(ADMIN!$S$251:INDEX(ADMIN!$S$251:$HL$251,1,ADMIN!$D$5*3-1),Stats!$L30),0)</f>
        <v>5</v>
      </c>
      <c r="T30" s="470">
        <f ca="1">IFERROR(COUNTIF(ADMIN!$S$250:INDEX(ADMIN!$S$250:$HL$250,1,ADMIN!$D$5*3-1),Stats!$L30),0)</f>
        <v>5</v>
      </c>
      <c r="U30" s="25"/>
      <c r="V30" s="11">
        <f t="shared" ca="1" si="0"/>
        <v>25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24</v>
      </c>
      <c r="C31" s="17"/>
      <c r="D31" s="17"/>
      <c r="E31" s="17"/>
      <c r="F31" s="17"/>
      <c r="G31" s="17"/>
      <c r="H31" s="458"/>
      <c r="I31" s="705"/>
      <c r="J31" s="475"/>
      <c r="K31" s="475"/>
      <c r="L31" s="132" t="str">
        <f ca="1">Horarios!Q26</f>
        <v>Ghana</v>
      </c>
      <c r="M31" s="471">
        <f ca="1">ADMIN!$D$5-SUM(N31:T31)</f>
        <v>9</v>
      </c>
      <c r="N31" s="471">
        <f ca="1">IFERROR(COUNTIF(ADMIN!$S$130:INDEX(ADMIN!$S$130:$HL$161,32,ADMIN!$D$5*3-1),Stats!$L31)-SUM(O31:T31),0)</f>
        <v>15</v>
      </c>
      <c r="O31" s="471">
        <f ca="1">COUNTIF(ADMIN!$S$182:INDEX(ADMIN!$S$182:$HL$197,16,ADMIN!$D$5*3-1),Stats!$L31)-SUM(P31:T31)</f>
        <v>0</v>
      </c>
      <c r="P31" s="471">
        <f ca="1">COUNTIF(ADMIN!$S$210:INDEX(ADMIN!$S$210:$HL$217,8,ADMIN!$D$5*3-1),Stats!$L31)-SUM(Q31:T31)</f>
        <v>1</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25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24</v>
      </c>
      <c r="C32" s="17"/>
      <c r="D32" s="17"/>
      <c r="E32" s="17"/>
      <c r="F32" s="17"/>
      <c r="G32" s="17"/>
      <c r="H32" s="17"/>
      <c r="I32" s="17"/>
      <c r="J32" s="475"/>
      <c r="K32" s="475"/>
      <c r="L32" s="133" t="str">
        <f ca="1">Horarios!Q27</f>
        <v>Haití</v>
      </c>
      <c r="M32" s="469">
        <f ca="1">ADMIN!$D$5-SUM(N32:T32)</f>
        <v>24</v>
      </c>
      <c r="N32" s="469">
        <f ca="1">IFERROR(COUNTIF(ADMIN!$S$130:INDEX(ADMIN!$S$130:$HL$161,32,ADMIN!$D$5*3-1),Stats!$L32)-SUM(O32:T32),0)</f>
        <v>1</v>
      </c>
      <c r="O32" s="469">
        <f ca="1">COUNTIF(ADMIN!$S$182:INDEX(ADMIN!$S$182:$HL$197,16,ADMIN!$D$5*3-1),Stats!$L32)-SUM(P32:T32)</f>
        <v>0</v>
      </c>
      <c r="P32" s="469">
        <f ca="1">COUNTIF(ADMIN!$S$210:INDEX(ADMIN!$S$210:$HL$217,8,ADMIN!$D$5*3-1),Stats!$L32)-SUM(Q32:T32)</f>
        <v>0</v>
      </c>
      <c r="Q32" s="469">
        <f ca="1">COUNTIF(ADMIN!$S$226:INDEX(ADMIN!$S$226:$HL$229,4,ADMIN!$D$5*3-1),Stats!$L32)-SUM(R32:T32)</f>
        <v>0</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25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24</v>
      </c>
      <c r="C33" s="17"/>
      <c r="D33" s="17"/>
      <c r="E33" s="17"/>
      <c r="F33" s="17"/>
      <c r="G33" s="17"/>
      <c r="H33" s="17"/>
      <c r="I33" s="17"/>
      <c r="J33" s="475"/>
      <c r="K33" s="475"/>
      <c r="L33" s="132" t="str">
        <f ca="1">Horarios!Q28</f>
        <v>Inglaterra</v>
      </c>
      <c r="M33" s="471">
        <f ca="1">ADMIN!$D$5-SUM(N33:T33)</f>
        <v>0</v>
      </c>
      <c r="N33" s="471">
        <f ca="1">IFERROR(COUNTIF(ADMIN!$S$130:INDEX(ADMIN!$S$130:$HL$161,32,ADMIN!$D$5*3-1),Stats!$L33)-SUM(O33:T33),0)</f>
        <v>1</v>
      </c>
      <c r="O33" s="471">
        <f ca="1">COUNTIF(ADMIN!$S$182:INDEX(ADMIN!$S$182:$HL$197,16,ADMIN!$D$5*3-1),Stats!$L33)-SUM(P33:T33)</f>
        <v>1</v>
      </c>
      <c r="P33" s="471">
        <f ca="1">COUNTIF(ADMIN!$S$210:INDEX(ADMIN!$S$210:$HL$217,8,ADMIN!$D$5*3-1),Stats!$L33)-SUM(Q33:T33)</f>
        <v>14</v>
      </c>
      <c r="Q33" s="471">
        <f ca="1">COUNTIF(ADMIN!$S$226:INDEX(ADMIN!$S$226:$HL$229,4,ADMIN!$D$5*3-1),Stats!$L33)-SUM(R33:T33)</f>
        <v>7</v>
      </c>
      <c r="R33" s="471">
        <f ca="1">IFERROR(COUNTIF(ADMIN!$S$252:INDEX(ADMIN!$S$252:$HL$252,1,ADMIN!$D$5*3-1),Stats!$L33),0)</f>
        <v>1</v>
      </c>
      <c r="S33" s="471">
        <f ca="1">IFERROR(COUNTIF(ADMIN!$S$251:INDEX(ADMIN!$S$251:$HL$251,1,ADMIN!$D$5*3-1),Stats!$L33),0)</f>
        <v>1</v>
      </c>
      <c r="T33" s="472">
        <f ca="1">IFERROR(COUNTIF(ADMIN!$S$250:INDEX(ADMIN!$S$250:$HL$250,1,ADMIN!$D$5*3-1),Stats!$L33),0)</f>
        <v>0</v>
      </c>
      <c r="U33" s="25"/>
      <c r="V33" s="11">
        <f t="shared" ca="1" si="0"/>
        <v>25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24</v>
      </c>
      <c r="C34" s="17"/>
      <c r="D34" s="25">
        <f ca="1">IFERROR(IF(OR(AND($F$5&lt;19,LEFT($H$8,1)="1"),AND($F$5&lt;19,LEFT($H$8,1)="2"),AND($F$5&lt;19,LEFT($H$8,1)="X")),1,0),0)</f>
        <v>0</v>
      </c>
      <c r="E34" s="25"/>
      <c r="F34" s="25"/>
      <c r="G34" s="17"/>
      <c r="H34" s="17"/>
      <c r="I34" s="17"/>
      <c r="J34" s="475"/>
      <c r="K34" s="475"/>
      <c r="L34" s="133" t="str">
        <f ca="1">Horarios!Q29</f>
        <v>Irak</v>
      </c>
      <c r="M34" s="469">
        <f ca="1">ADMIN!$D$5-SUM(N34:T34)</f>
        <v>23</v>
      </c>
      <c r="N34" s="469">
        <f ca="1">IFERROR(COUNTIF(ADMIN!$S$130:INDEX(ADMIN!$S$130:$HL$161,32,ADMIN!$D$5*3-1),Stats!$L34)-SUM(O34:T34),0)</f>
        <v>1</v>
      </c>
      <c r="O34" s="469">
        <f ca="1">COUNTIF(ADMIN!$S$182:INDEX(ADMIN!$S$182:$HL$197,16,ADMIN!$D$5*3-1),Stats!$L34)-SUM(P34:T34)</f>
        <v>0</v>
      </c>
      <c r="P34" s="469">
        <f ca="1">COUNTIF(ADMIN!$S$210:INDEX(ADMIN!$S$210:$HL$217,8,ADMIN!$D$5*3-1),Stats!$L34)-SUM(Q34:T34)</f>
        <v>1</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25</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75</v>
      </c>
      <c r="C35" s="17"/>
      <c r="D35" s="25">
        <v>1</v>
      </c>
      <c r="E35" s="25" t="e">
        <f ca="1">SUMIFS(_xlfn.ANCHORARRAY($Z$35),_xlfn.ANCHORARRAY($AH$35),D35)</f>
        <v>#NAME?</v>
      </c>
      <c r="F35" s="25">
        <f ca="1">IFERROR(E35/SUM($E$35:E37),0)</f>
        <v>0</v>
      </c>
      <c r="G35" s="17"/>
      <c r="H35" s="17"/>
      <c r="I35" s="17"/>
      <c r="J35" s="25"/>
      <c r="K35" s="25"/>
      <c r="L35" s="132" t="str">
        <f ca="1">Horarios!Q30</f>
        <v>Irán</v>
      </c>
      <c r="M35" s="471">
        <f ca="1">ADMIN!$D$5-SUM(N35:T35)</f>
        <v>12</v>
      </c>
      <c r="N35" s="471">
        <f ca="1">IFERROR(COUNTIF(ADMIN!$S$130:INDEX(ADMIN!$S$130:$HL$161,32,ADMIN!$D$5*3-1),Stats!$L35)-SUM(O35:T35),0)</f>
        <v>13</v>
      </c>
      <c r="O35" s="471">
        <f ca="1">COUNTIF(ADMIN!$S$182:INDEX(ADMIN!$S$182:$HL$197,16,ADMIN!$D$5*3-1),Stats!$L35)-SUM(P35:T35)</f>
        <v>0</v>
      </c>
      <c r="P35" s="471">
        <f ca="1">COUNTIF(ADMIN!$S$210:INDEX(ADMIN!$S$210:$HL$217,8,ADMIN!$D$5*3-1),Stats!$L35)-SUM(Q35:T35)</f>
        <v>0</v>
      </c>
      <c r="Q35" s="471">
        <f ca="1">COUNTIF(ADMIN!$S$226:INDEX(ADMIN!$S$226:$HL$229,4,ADMIN!$D$5*3-1),Stats!$L35)-SUM(R35:T35)</f>
        <v>0</v>
      </c>
      <c r="R35" s="471">
        <f ca="1">IFERROR(COUNTIF(ADMIN!$S$252:INDEX(ADMIN!$S$252:$HL$252,1,ADMIN!$D$5*3-1),Stats!$L35),0)</f>
        <v>0</v>
      </c>
      <c r="S35" s="471">
        <f ca="1">IFERROR(COUNTIF(ADMIN!$S$251:INDEX(ADMIN!$S$251:$HL$251,1,ADMIN!$D$5*3-1),Stats!$L35),0)</f>
        <v>0</v>
      </c>
      <c r="T35" s="472">
        <f ca="1">IFERROR(COUNTIF(ADMIN!$S$250:INDEX(ADMIN!$S$250:$HL$250,1,ADMIN!$D$5*3-1),Stats!$L35),0)</f>
        <v>0</v>
      </c>
      <c r="U35" s="25"/>
      <c r="V35" s="11">
        <f t="shared" ca="1" si="0"/>
        <v>25</v>
      </c>
      <c r="W35" s="11" t="str" cm="1">
        <f t="array" aca="1" ref="W35" ca="1">IFERROR(IF(_xlfn.ANCHORARRAY(Y35)&lt;&gt;"",COUNTIF(INDEX(DailyPrediction!$G$4:$AQ$81,,MATCH(Stats!$I$5,DailyPrediction!$G$2:$AQ$2,0)),_xlfn.ANCHORARRAY(Y35)),""),"")</f>
        <v/>
      </c>
      <c r="X35" s="11" t="str" cm="1">
        <f t="array" aca="1" ref="X35" ca="1">IFERROR(_xlfn._xlws.SORT(_xlfn.UNIQUE(_xlfn._xlws.FILTER(INDEX(DailyPrediction!$G$4:$AQ$81,,MATCH(Stats!$I$5,DailyPrediction!$G$2:$AQ$2,0)),LEN(INDEX(DailyPrediction!$G$4:$AQ$81,,MATCH(Stats!$I$5,DailyPrediction!$G$2:$AQ$2,0)))&gt;1))),Idiomas!D501)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e" cm="1">
        <f t="array" aca="1" ref="AC35:AE35" ca="1">_xlfn.SORTBY(OFFSET($Y$35,0,0,COUNTA(_xlfn.ANCHORARRAY($Y$35)),3),OFFSET(Z35,0,0,COUNTA(_xlfn.ANCHORARRAY($Y$35))),-1)</f>
        <v>#NAME?</v>
      </c>
      <c r="AD35" s="11" t="e">
        <f ca="1"/>
        <v>#NAME?</v>
      </c>
      <c r="AE35" s="11" t="e">
        <f ca="1"/>
        <v>#NAME?</v>
      </c>
      <c r="AF35" s="11"/>
      <c r="AG35" s="11" t="e" cm="1">
        <f t="array" aca="1" ref="AG35" ca="1">_xlfn.UNIQUE(_xlfn._xlws.FILTER(DailyPrediction!$A$4:$A$35,DailyPrediction!$A$4:$A$35&lt;&gt;""))</f>
        <v>#NAME?</v>
      </c>
      <c r="AH35" s="11" t="e" cm="1">
        <f t="array" aca="1" ref="AH35" ca="1">LEFT(OFFSET(_xlfn.ANCHORARRAY(Y35),0,0,COUNTA(_xlfn.ANCHORARRAY(Y35)),1))</f>
        <v>#NAME?</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#NAME?</v>
      </c>
      <c r="AQ35" s="11"/>
      <c r="AR35" s="11"/>
      <c r="AS35" s="11"/>
      <c r="AT35" s="11"/>
      <c r="AU35" s="11"/>
      <c r="AV35" s="11"/>
      <c r="AW35" s="11"/>
      <c r="AX35" s="11"/>
      <c r="AY35" s="11"/>
      <c r="AZ35" s="11"/>
      <c r="BA35" s="11"/>
    </row>
    <row r="36" spans="1:53" ht="15" customHeight="1">
      <c r="A36" s="25">
        <v>15</v>
      </c>
      <c r="B36" s="25">
        <f ca="1">IFERROR(SUMIF(ADMIN!$G$6:$G$258,A36,ADMIN!$F$6:$F$258),"")</f>
        <v>75</v>
      </c>
      <c r="C36" s="17"/>
      <c r="D36" s="25" t="s">
        <v>13</v>
      </c>
      <c r="E36" s="25" t="e">
        <f ca="1">SUMIFS(_xlfn.ANCHORARRAY($Z$35),_xlfn.ANCHORARRAY($AH$35),D36)</f>
        <v>#NAME?</v>
      </c>
      <c r="F36" s="25">
        <f ca="1">IFERROR(E36/SUM($E$35:E38),0)</f>
        <v>0</v>
      </c>
      <c r="G36" s="17"/>
      <c r="H36" s="17"/>
      <c r="I36" s="17"/>
      <c r="J36" s="25"/>
      <c r="K36" s="25"/>
      <c r="L36" s="133" t="str">
        <f ca="1">Horarios!Q31</f>
        <v>Japón</v>
      </c>
      <c r="M36" s="469">
        <f ca="1">ADMIN!$D$5-SUM(N36:T36)</f>
        <v>1</v>
      </c>
      <c r="N36" s="469">
        <f ca="1">IFERROR(COUNTIF(ADMIN!$S$130:INDEX(ADMIN!$S$130:$HL$161,32,ADMIN!$D$5*3-1),Stats!$L36)-SUM(O36:T36),0)</f>
        <v>21</v>
      </c>
      <c r="O36" s="469">
        <f ca="1">COUNTIF(ADMIN!$S$182:INDEX(ADMIN!$S$182:$HL$197,16,ADMIN!$D$5*3-1),Stats!$L36)-SUM(P36:T36)</f>
        <v>0</v>
      </c>
      <c r="P36" s="469">
        <f ca="1">COUNTIF(ADMIN!$S$210:INDEX(ADMIN!$S$210:$HL$217,8,ADMIN!$D$5*3-1),Stats!$L36)-SUM(Q36:T36)</f>
        <v>2</v>
      </c>
      <c r="Q36" s="469">
        <f ca="1">COUNTIF(ADMIN!$S$226:INDEX(ADMIN!$S$226:$HL$229,4,ADMIN!$D$5*3-1),Stats!$L36)-SUM(R36:T36)</f>
        <v>1</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25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75</v>
      </c>
      <c r="C37" s="17"/>
      <c r="D37" s="25">
        <v>2</v>
      </c>
      <c r="E37" s="25" t="e">
        <f ca="1">SUMIFS(_xlfn.ANCHORARRAY($Z$35),_xlfn.ANCHORARRAY($AH$35),D37)</f>
        <v>#NAME?</v>
      </c>
      <c r="F37" s="25">
        <f ca="1">IFERROR(E37/SUM($E$35:E39),0)</f>
        <v>0</v>
      </c>
      <c r="G37" s="17"/>
      <c r="H37" s="17"/>
      <c r="I37" s="17"/>
      <c r="J37" s="25"/>
      <c r="K37" s="25"/>
      <c r="L37" s="132" t="str">
        <f ca="1">Horarios!Q32</f>
        <v>Jordania</v>
      </c>
      <c r="M37" s="471">
        <f ca="1">ADMIN!$D$5-SUM(N37:T37)</f>
        <v>23</v>
      </c>
      <c r="N37" s="471">
        <f ca="1">IFERROR(COUNTIF(ADMIN!$S$130:INDEX(ADMIN!$S$130:$HL$161,32,ADMIN!$D$5*3-1),Stats!$L37)-SUM(O37:T37),0)</f>
        <v>2</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25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75</v>
      </c>
      <c r="C38" s="17"/>
      <c r="D38" s="25"/>
      <c r="E38" s="25"/>
      <c r="F38" s="25"/>
      <c r="G38" s="17"/>
      <c r="H38" s="17"/>
      <c r="I38" s="17"/>
      <c r="J38" s="25"/>
      <c r="K38" s="25"/>
      <c r="L38" s="133" t="str">
        <f ca="1">Horarios!Q33</f>
        <v>Marruecos</v>
      </c>
      <c r="M38" s="469">
        <f ca="1">ADMIN!$D$5-SUM(N38:T38)</f>
        <v>3</v>
      </c>
      <c r="N38" s="469">
        <f ca="1">IFERROR(COUNTIF(ADMIN!$S$130:INDEX(ADMIN!$S$130:$HL$161,32,ADMIN!$D$5*3-1),Stats!$L38)-SUM(O38:T38),0)</f>
        <v>16</v>
      </c>
      <c r="O38" s="469">
        <f ca="1">COUNTIF(ADMIN!$S$182:INDEX(ADMIN!$S$182:$HL$197,16,ADMIN!$D$5*3-1),Stats!$L38)-SUM(P38:T38)</f>
        <v>2</v>
      </c>
      <c r="P38" s="469">
        <f ca="1">COUNTIF(ADMIN!$S$210:INDEX(ADMIN!$S$210:$HL$217,8,ADMIN!$D$5*3-1),Stats!$L38)-SUM(Q38:T38)</f>
        <v>2</v>
      </c>
      <c r="Q38" s="469">
        <f ca="1">COUNTIF(ADMIN!$S$226:INDEX(ADMIN!$S$226:$HL$229,4,ADMIN!$D$5*3-1),Stats!$L38)-SUM(R38:T38)</f>
        <v>1</v>
      </c>
      <c r="R38" s="469">
        <f ca="1">IFERROR(COUNTIF(ADMIN!$S$252:INDEX(ADMIN!$S$252:$HL$252,1,ADMIN!$D$5*3-1),Stats!$L38),0)</f>
        <v>1</v>
      </c>
      <c r="S38" s="469">
        <f ca="1">IFERROR(COUNTIF(ADMIN!$S$251:INDEX(ADMIN!$S$251:$HL$251,1,ADMIN!$D$5*3-1),Stats!$L38),0)</f>
        <v>0</v>
      </c>
      <c r="T38" s="470">
        <f ca="1">IFERROR(COUNTIF(ADMIN!$S$250:INDEX(ADMIN!$S$250:$HL$250,1,ADMIN!$D$5*3-1),Stats!$L38),0)</f>
        <v>0</v>
      </c>
      <c r="U38" s="25"/>
      <c r="V38" s="11">
        <f t="shared" ca="1" si="0"/>
        <v>25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53"/>
      <c r="E39" s="453"/>
      <c r="F39" s="453"/>
      <c r="G39" s="17"/>
      <c r="H39" s="17"/>
      <c r="I39" s="17"/>
      <c r="J39" s="25"/>
      <c r="K39" s="25"/>
      <c r="L39" s="132" t="str">
        <f ca="1">Horarios!Q34</f>
        <v>México</v>
      </c>
      <c r="M39" s="471">
        <f ca="1">ADMIN!$D$5-SUM(N39:T39)</f>
        <v>1</v>
      </c>
      <c r="N39" s="471">
        <f ca="1">IFERROR(COUNTIF(ADMIN!$S$130:INDEX(ADMIN!$S$130:$HL$161,32,ADMIN!$D$5*3-1),Stats!$L39)-SUM(O39:T39),0)</f>
        <v>7</v>
      </c>
      <c r="O39" s="471">
        <f ca="1">COUNTIF(ADMIN!$S$182:INDEX(ADMIN!$S$182:$HL$197,16,ADMIN!$D$5*3-1),Stats!$L39)-SUM(P39:T39)</f>
        <v>17</v>
      </c>
      <c r="P39" s="471">
        <f ca="1">COUNTIF(ADMIN!$S$210:INDEX(ADMIN!$S$210:$HL$217,8,ADMIN!$D$5*3-1),Stats!$L39)-SUM(Q39:T39)</f>
        <v>0</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25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96</v>
      </c>
      <c r="C40" s="17"/>
      <c r="D40" s="453"/>
      <c r="E40" s="453"/>
      <c r="F40" s="453"/>
      <c r="G40" s="17"/>
      <c r="H40" s="17"/>
      <c r="I40" s="17"/>
      <c r="J40" s="25"/>
      <c r="K40" s="25"/>
      <c r="L40" s="133" t="str">
        <f ca="1">Horarios!Q35</f>
        <v>Noruega</v>
      </c>
      <c r="M40" s="469">
        <f ca="1">ADMIN!$D$5-SUM(N40:T40)</f>
        <v>1</v>
      </c>
      <c r="N40" s="469">
        <f ca="1">IFERROR(COUNTIF(ADMIN!$S$130:INDEX(ADMIN!$S$130:$HL$161,32,ADMIN!$D$5*3-1),Stats!$L40)-SUM(O40:T40),0)</f>
        <v>12</v>
      </c>
      <c r="O40" s="469">
        <f ca="1">COUNTIF(ADMIN!$S$182:INDEX(ADMIN!$S$182:$HL$197,16,ADMIN!$D$5*3-1),Stats!$L40)-SUM(P40:T40)</f>
        <v>8</v>
      </c>
      <c r="P40" s="469">
        <f ca="1">COUNTIF(ADMIN!$S$210:INDEX(ADMIN!$S$210:$HL$217,8,ADMIN!$D$5*3-1),Stats!$L40)-SUM(Q40:T40)</f>
        <v>2</v>
      </c>
      <c r="Q40" s="469">
        <f ca="1">COUNTIF(ADMIN!$S$226:INDEX(ADMIN!$S$226:$HL$229,4,ADMIN!$D$5*3-1),Stats!$L40)-SUM(R40:T40)</f>
        <v>2</v>
      </c>
      <c r="R40" s="469">
        <f ca="1">IFERROR(COUNTIF(ADMIN!$S$252:INDEX(ADMIN!$S$252:$HL$252,1,ADMIN!$D$5*3-1),Stats!$L40),0)</f>
        <v>0</v>
      </c>
      <c r="S40" s="469">
        <f ca="1">IFERROR(COUNTIF(ADMIN!$S$251:INDEX(ADMIN!$S$251:$HL$251,1,ADMIN!$D$5*3-1),Stats!$L40),0)</f>
        <v>0</v>
      </c>
      <c r="T40" s="470">
        <f ca="1">IFERROR(COUNTIF(ADMIN!$S$250:INDEX(ADMIN!$S$250:$HL$250,1,ADMIN!$D$5*3-1),Stats!$L40),0)</f>
        <v>0</v>
      </c>
      <c r="U40" s="25"/>
      <c r="V40" s="11">
        <f t="shared" ca="1" si="0"/>
        <v>25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208</v>
      </c>
      <c r="C41" s="17"/>
      <c r="D41" s="17"/>
      <c r="E41" s="17"/>
      <c r="F41" s="453"/>
      <c r="G41" s="17"/>
      <c r="H41" s="17"/>
      <c r="I41" s="17"/>
      <c r="J41" s="25"/>
      <c r="K41" s="25"/>
      <c r="L41" s="132" t="str">
        <f ca="1">Horarios!Q36</f>
        <v>Nueva Zelanda</v>
      </c>
      <c r="M41" s="471">
        <f ca="1">ADMIN!$D$5-SUM(N41:T41)</f>
        <v>18</v>
      </c>
      <c r="N41" s="471">
        <f ca="1">IFERROR(COUNTIF(ADMIN!$S$130:INDEX(ADMIN!$S$130:$HL$161,32,ADMIN!$D$5*3-1),Stats!$L41)-SUM(O41:T41),0)</f>
        <v>7</v>
      </c>
      <c r="O41" s="471">
        <f ca="1">COUNTIF(ADMIN!$S$182:INDEX(ADMIN!$S$182:$HL$197,16,ADMIN!$D$5*3-1),Stats!$L41)-SUM(P41:T41)</f>
        <v>0</v>
      </c>
      <c r="P41" s="471">
        <f ca="1">COUNTIF(ADMIN!$S$210:INDEX(ADMIN!$S$210:$HL$217,8,ADMIN!$D$5*3-1),Stats!$L41)-SUM(Q41:T41)</f>
        <v>0</v>
      </c>
      <c r="Q41" s="471">
        <f ca="1">COUNTIF(ADMIN!$S$226:INDEX(ADMIN!$S$226:$HL$229,4,ADMIN!$D$5*3-1),Stats!$L41)-SUM(R41:T41)</f>
        <v>0</v>
      </c>
      <c r="R41" s="471">
        <f ca="1">IFERROR(COUNTIF(ADMIN!$S$252:INDEX(ADMIN!$S$252:$HL$252,1,ADMIN!$D$5*3-1),Stats!$L41),0)</f>
        <v>0</v>
      </c>
      <c r="S41" s="471">
        <f ca="1">IFERROR(COUNTIF(ADMIN!$S$251:INDEX(ADMIN!$S$251:$HL$251,1,ADMIN!$D$5*3-1),Stats!$L41),0)</f>
        <v>0</v>
      </c>
      <c r="T41" s="472">
        <f ca="1">IFERROR(COUNTIF(ADMIN!$S$250:INDEX(ADMIN!$S$250:$HL$250,1,ADMIN!$D$5*3-1),Stats!$L41),0)</f>
        <v>0</v>
      </c>
      <c r="U41" s="25"/>
      <c r="V41" s="11">
        <f t="shared" ca="1" si="0"/>
        <v>25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136</v>
      </c>
      <c r="C42" s="17"/>
      <c r="D42" s="17"/>
      <c r="E42" s="17"/>
      <c r="F42" s="453"/>
      <c r="G42" s="17"/>
      <c r="H42" s="17"/>
      <c r="I42" s="17"/>
      <c r="J42" s="25"/>
      <c r="K42" s="25"/>
      <c r="L42" s="133" t="str">
        <f ca="1">Horarios!Q37</f>
        <v>Países Bajos</v>
      </c>
      <c r="M42" s="469">
        <f ca="1">ADMIN!$D$5-SUM(N42:T42)</f>
        <v>0</v>
      </c>
      <c r="N42" s="469">
        <f ca="1">IFERROR(COUNTIF(ADMIN!$S$130:INDEX(ADMIN!$S$130:$HL$161,32,ADMIN!$D$5*3-1),Stats!$L42)-SUM(O42:T42),0)</f>
        <v>8</v>
      </c>
      <c r="O42" s="469">
        <f ca="1">COUNTIF(ADMIN!$S$182:INDEX(ADMIN!$S$182:$HL$197,16,ADMIN!$D$5*3-1),Stats!$L42)-SUM(P42:T42)</f>
        <v>0</v>
      </c>
      <c r="P42" s="469">
        <f ca="1">COUNTIF(ADMIN!$S$210:INDEX(ADMIN!$S$210:$HL$217,8,ADMIN!$D$5*3-1),Stats!$L42)-SUM(Q42:T42)</f>
        <v>15</v>
      </c>
      <c r="Q42" s="469">
        <f ca="1">COUNTIF(ADMIN!$S$226:INDEX(ADMIN!$S$226:$HL$229,4,ADMIN!$D$5*3-1),Stats!$L42)-SUM(R42:T42)</f>
        <v>1</v>
      </c>
      <c r="R42" s="469">
        <f ca="1">IFERROR(COUNTIF(ADMIN!$S$252:INDEX(ADMIN!$S$252:$HL$252,1,ADMIN!$D$5*3-1),Stats!$L42),0)</f>
        <v>0</v>
      </c>
      <c r="S42" s="469">
        <f ca="1">IFERROR(COUNTIF(ADMIN!$S$251:INDEX(ADMIN!$S$251:$HL$251,1,ADMIN!$D$5*3-1),Stats!$L42),0)</f>
        <v>0</v>
      </c>
      <c r="T42" s="470">
        <f ca="1">IFERROR(COUNTIF(ADMIN!$S$250:INDEX(ADMIN!$S$250:$HL$250,1,ADMIN!$D$5*3-1),Stats!$L42),0)</f>
        <v>1</v>
      </c>
      <c r="U42" s="25"/>
      <c r="V42" s="11">
        <f t="shared" ca="1" si="0"/>
        <v>25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88</v>
      </c>
      <c r="C43" s="17"/>
      <c r="D43" s="17"/>
      <c r="E43" s="17"/>
      <c r="F43" s="453"/>
      <c r="G43" s="17"/>
      <c r="H43" s="17"/>
      <c r="I43" s="17"/>
      <c r="J43" s="25"/>
      <c r="K43" s="25"/>
      <c r="L43" s="132" t="str">
        <f ca="1">Horarios!Q38</f>
        <v>Panamá</v>
      </c>
      <c r="M43" s="471">
        <f ca="1">ADMIN!$D$5-SUM(N43:T43)</f>
        <v>22</v>
      </c>
      <c r="N43" s="471">
        <f ca="1">IFERROR(COUNTIF(ADMIN!$S$130:INDEX(ADMIN!$S$130:$HL$161,32,ADMIN!$D$5*3-1),Stats!$L43)-SUM(O43:T43),0)</f>
        <v>3</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25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66</v>
      </c>
      <c r="C44" s="17"/>
      <c r="D44" s="453"/>
      <c r="E44" s="453"/>
      <c r="F44" s="453"/>
      <c r="G44" s="17"/>
      <c r="H44" s="17"/>
      <c r="I44" s="17"/>
      <c r="J44" s="25"/>
      <c r="K44" s="25"/>
      <c r="L44" s="133" t="str">
        <f ca="1">Horarios!Q39</f>
        <v>Paraguay</v>
      </c>
      <c r="M44" s="469">
        <f ca="1">ADMIN!$D$5-SUM(N44:T44)</f>
        <v>6</v>
      </c>
      <c r="N44" s="469">
        <f ca="1">IFERROR(COUNTIF(ADMIN!$S$130:INDEX(ADMIN!$S$130:$HL$161,32,ADMIN!$D$5*3-1),Stats!$L44)-SUM(O44:T44),0)</f>
        <v>7</v>
      </c>
      <c r="O44" s="469">
        <f ca="1">COUNTIF(ADMIN!$S$182:INDEX(ADMIN!$S$182:$HL$197,16,ADMIN!$D$5*3-1),Stats!$L44)-SUM(P44:T44)</f>
        <v>9</v>
      </c>
      <c r="P44" s="469">
        <f ca="1">COUNTIF(ADMIN!$S$210:INDEX(ADMIN!$S$210:$HL$217,8,ADMIN!$D$5*3-1),Stats!$L44)-SUM(Q44:T44)</f>
        <v>3</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25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110</v>
      </c>
      <c r="C45" s="17"/>
      <c r="D45" s="453"/>
      <c r="E45" s="453" t="str">
        <f ca="1">IF(Home!E41&lt;Home!E42,"",IF(Home!E41&gt;=Home!E42,Idiomas!D511&amp;" "&amp;SUM(WORLDCUP!$BJ$6:$BJ$53,WORLDCUP!$AC$101:$AD$147)&amp;" "&amp;Idiomas!D512,""))</f>
        <v>Se han marcado un total de 0 goles en el Mundial de Clubes sin contar tandas de penalti</v>
      </c>
      <c r="F45" s="453"/>
      <c r="G45" s="17"/>
      <c r="H45" s="17"/>
      <c r="I45" s="17"/>
      <c r="J45" s="25"/>
      <c r="K45" s="25"/>
      <c r="L45" s="132" t="str">
        <f ca="1">Horarios!Q40</f>
        <v>Portugal</v>
      </c>
      <c r="M45" s="471">
        <f ca="1">ADMIN!$D$5-SUM(N45:T45)</f>
        <v>0</v>
      </c>
      <c r="N45" s="471">
        <f ca="1">IFERROR(COUNTIF(ADMIN!$S$130:INDEX(ADMIN!$S$130:$HL$161,32,ADMIN!$D$5*3-1),Stats!$L45)-SUM(O45:T45),0)</f>
        <v>0</v>
      </c>
      <c r="O45" s="471">
        <f ca="1">COUNTIF(ADMIN!$S$182:INDEX(ADMIN!$S$182:$HL$197,16,ADMIN!$D$5*3-1),Stats!$L45)-SUM(P45:T45)</f>
        <v>1</v>
      </c>
      <c r="P45" s="471">
        <f ca="1">COUNTIF(ADMIN!$S$210:INDEX(ADMIN!$S$210:$HL$217,8,ADMIN!$D$5*3-1),Stats!$L45)-SUM(Q45:T45)</f>
        <v>9</v>
      </c>
      <c r="Q45" s="471">
        <f ca="1">COUNTIF(ADMIN!$S$226:INDEX(ADMIN!$S$226:$HL$229,4,ADMIN!$D$5*3-1),Stats!$L45)-SUM(R45:T45)</f>
        <v>0</v>
      </c>
      <c r="R45" s="471">
        <f ca="1">IFERROR(COUNTIF(ADMIN!$S$252:INDEX(ADMIN!$S$252:$HL$252,1,ADMIN!$D$5*3-1),Stats!$L45),0)</f>
        <v>1</v>
      </c>
      <c r="S45" s="471">
        <f ca="1">IFERROR(COUNTIF(ADMIN!$S$251:INDEX(ADMIN!$S$251:$HL$251,1,ADMIN!$D$5*3-1),Stats!$L45),0)</f>
        <v>5</v>
      </c>
      <c r="T45" s="472">
        <f ca="1">IFERROR(COUNTIF(ADMIN!$S$250:INDEX(ADMIN!$S$250:$HL$250,1,ADMIN!$D$5*3-1),Stats!$L45),0)</f>
        <v>9</v>
      </c>
      <c r="U45" s="25"/>
      <c r="V45" s="11">
        <f t="shared" ca="1" si="0"/>
        <v>25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1292</v>
      </c>
      <c r="C46" s="17"/>
      <c r="D46" s="453"/>
      <c r="E46" s="453"/>
      <c r="F46" s="453"/>
      <c r="G46" s="17"/>
      <c r="H46" s="17"/>
      <c r="I46" s="17"/>
      <c r="J46" s="25"/>
      <c r="K46" s="25"/>
      <c r="L46" s="133" t="str">
        <f ca="1">Horarios!Q41</f>
        <v>RD Congo</v>
      </c>
      <c r="M46" s="469">
        <f ca="1">ADMIN!$D$5-SUM(N46:T46)</f>
        <v>22</v>
      </c>
      <c r="N46" s="469">
        <f ca="1">IFERROR(COUNTIF(ADMIN!$S$130:INDEX(ADMIN!$S$130:$HL$161,32,ADMIN!$D$5*3-1),Stats!$L46)-SUM(O46:T46),0)</f>
        <v>3</v>
      </c>
      <c r="O46" s="469">
        <f ca="1">COUNTIF(ADMIN!$S$182:INDEX(ADMIN!$S$182:$HL$197,16,ADMIN!$D$5*3-1),Stats!$L46)-SUM(P46:T46)</f>
        <v>0</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25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32300</v>
      </c>
      <c r="C47" s="17"/>
      <c r="D47" s="453"/>
      <c r="E47" s="453"/>
      <c r="F47" s="453"/>
      <c r="G47" s="17"/>
      <c r="H47" s="17"/>
      <c r="I47" s="17"/>
      <c r="J47" s="25"/>
      <c r="K47" s="25"/>
      <c r="L47" s="132" t="str">
        <f ca="1">Horarios!Q42</f>
        <v>República Checa</v>
      </c>
      <c r="M47" s="471">
        <f ca="1">ADMIN!$D$5-SUM(N47:T47)</f>
        <v>7</v>
      </c>
      <c r="N47" s="471">
        <f ca="1">IFERROR(COUNTIF(ADMIN!$S$130:INDEX(ADMIN!$S$130:$HL$161,32,ADMIN!$D$5*3-1),Stats!$L47)-SUM(O47:T47),0)</f>
        <v>12</v>
      </c>
      <c r="O47" s="471">
        <f ca="1">COUNTIF(ADMIN!$S$182:INDEX(ADMIN!$S$182:$HL$197,16,ADMIN!$D$5*3-1),Stats!$L47)-SUM(P47:T47)</f>
        <v>6</v>
      </c>
      <c r="P47" s="471">
        <f ca="1">COUNTIF(ADMIN!$S$210:INDEX(ADMIN!$S$210:$HL$217,8,ADMIN!$D$5*3-1),Stats!$L47)-SUM(Q47:T47)</f>
        <v>0</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25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5</v>
      </c>
      <c r="N48" s="469">
        <f ca="1">IFERROR(COUNTIF(ADMIN!$S$130:INDEX(ADMIN!$S$130:$HL$161,32,ADMIN!$D$5*3-1),Stats!$L48)-SUM(O48:T48),0)</f>
        <v>17</v>
      </c>
      <c r="O48" s="469">
        <f ca="1">COUNTIF(ADMIN!$S$182:INDEX(ADMIN!$S$182:$HL$197,16,ADMIN!$D$5*3-1),Stats!$L48)-SUM(P48:T48)</f>
        <v>3</v>
      </c>
      <c r="P48" s="469">
        <f ca="1">COUNTIF(ADMIN!$S$210:INDEX(ADMIN!$S$210:$HL$217,8,ADMIN!$D$5*3-1),Stats!$L48)-SUM(Q48:T48)</f>
        <v>0</v>
      </c>
      <c r="Q48" s="469">
        <f ca="1">COUNTIF(ADMIN!$S$226:INDEX(ADMIN!$S$226:$HL$229,4,ADMIN!$D$5*3-1),Stats!$L48)-SUM(R48:T48)</f>
        <v>0</v>
      </c>
      <c r="R48" s="469">
        <f ca="1">IFERROR(COUNTIF(ADMIN!$S$252:INDEX(ADMIN!$S$252:$HL$252,1,ADMIN!$D$5*3-1),Stats!$L48),0)</f>
        <v>0</v>
      </c>
      <c r="S48" s="469">
        <f ca="1">IFERROR(COUNTIF(ADMIN!$S$251:INDEX(ADMIN!$S$251:$HL$251,1,ADMIN!$D$5*3-1),Stats!$L48),0)</f>
        <v>0</v>
      </c>
      <c r="T48" s="470">
        <f ca="1">IFERROR(COUNTIF(ADMIN!$S$250:INDEX(ADMIN!$S$250:$HL$250,1,ADMIN!$D$5*3-1),Stats!$L48),0)</f>
        <v>0</v>
      </c>
      <c r="U48" s="25"/>
      <c r="V48" s="11">
        <f t="shared" ca="1" si="0"/>
        <v>25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20</v>
      </c>
      <c r="N49" s="471">
        <f ca="1">IFERROR(COUNTIF(ADMIN!$S$130:INDEX(ADMIN!$S$130:$HL$161,32,ADMIN!$D$5*3-1),Stats!$L49)-SUM(O49:T49),0)</f>
        <v>4</v>
      </c>
      <c r="O49" s="471">
        <f ca="1">COUNTIF(ADMIN!$S$182:INDEX(ADMIN!$S$182:$HL$197,16,ADMIN!$D$5*3-1),Stats!$L49)-SUM(P49:T49)</f>
        <v>0</v>
      </c>
      <c r="P49" s="471">
        <f ca="1">COUNTIF(ADMIN!$S$210:INDEX(ADMIN!$S$210:$HL$217,8,ADMIN!$D$5*3-1),Stats!$L49)-SUM(Q49:T49)</f>
        <v>1</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25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6</v>
      </c>
      <c r="N50" s="469">
        <f ca="1">IFERROR(COUNTIF(ADMIN!$S$130:INDEX(ADMIN!$S$130:$HL$161,32,ADMIN!$D$5*3-1),Stats!$L50)-SUM(O50:T50),0)</f>
        <v>18</v>
      </c>
      <c r="O50" s="469">
        <f ca="1">COUNTIF(ADMIN!$S$182:INDEX(ADMIN!$S$182:$HL$197,16,ADMIN!$D$5*3-1),Stats!$L50)-SUM(P50:T50)</f>
        <v>1</v>
      </c>
      <c r="P50" s="469">
        <f ca="1">COUNTIF(ADMIN!$S$210:INDEX(ADMIN!$S$210:$HL$217,8,ADMIN!$D$5*3-1),Stats!$L50)-SUM(Q50:T50)</f>
        <v>0</v>
      </c>
      <c r="Q50" s="469">
        <f ca="1">COUNTIF(ADMIN!$S$226:INDEX(ADMIN!$S$226:$HL$229,4,ADMIN!$D$5*3-1),Stats!$L50)-SUM(R50:T50)</f>
        <v>0</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25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1</v>
      </c>
      <c r="N51" s="471">
        <f ca="1">IFERROR(COUNTIF(ADMIN!$S$130:INDEX(ADMIN!$S$130:$HL$161,32,ADMIN!$D$5*3-1),Stats!$L51)-SUM(O51:T51),0)</f>
        <v>3</v>
      </c>
      <c r="O51" s="471">
        <f ca="1">COUNTIF(ADMIN!$S$182:INDEX(ADMIN!$S$182:$HL$197,16,ADMIN!$D$5*3-1),Stats!$L51)-SUM(P51:T51)</f>
        <v>21</v>
      </c>
      <c r="P51" s="471">
        <f ca="1">COUNTIF(ADMIN!$S$210:INDEX(ADMIN!$S$210:$HL$217,8,ADMIN!$D$5*3-1),Stats!$L51)-SUM(Q51:T51)</f>
        <v>0</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25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25</v>
      </c>
      <c r="N52" s="469">
        <f ca="1">IFERROR(COUNTIF(ADMIN!$S$130:INDEX(ADMIN!$S$130:$HL$161,32,ADMIN!$D$5*3-1),Stats!$L52)-SUM(O52:T52),0)</f>
        <v>0</v>
      </c>
      <c r="O52" s="469">
        <f ca="1">COUNTIF(ADMIN!$S$182:INDEX(ADMIN!$S$182:$HL$197,16,ADMIN!$D$5*3-1),Stats!$L52)-SUM(P52:T52)</f>
        <v>0</v>
      </c>
      <c r="P52" s="469">
        <f ca="1">COUNTIF(ADMIN!$S$210:INDEX(ADMIN!$S$210:$HL$217,8,ADMIN!$D$5*3-1),Stats!$L52)-SUM(Q52:T52)</f>
        <v>0</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25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3</v>
      </c>
      <c r="N53" s="471">
        <f ca="1">IFERROR(COUNTIF(ADMIN!$S$130:INDEX(ADMIN!$S$130:$HL$161,32,ADMIN!$D$5*3-1),Stats!$L53)-SUM(O53:T53),0)</f>
        <v>2</v>
      </c>
      <c r="O53" s="471">
        <f ca="1">COUNTIF(ADMIN!$S$182:INDEX(ADMIN!$S$182:$HL$197,16,ADMIN!$D$5*3-1),Stats!$L53)-SUM(P53:T53)</f>
        <v>15</v>
      </c>
      <c r="P53" s="471">
        <f ca="1">COUNTIF(ADMIN!$S$210:INDEX(ADMIN!$S$210:$HL$217,8,ADMIN!$D$5*3-1),Stats!$L53)-SUM(Q53:T53)</f>
        <v>4</v>
      </c>
      <c r="Q53" s="471">
        <f ca="1">COUNTIF(ADMIN!$S$226:INDEX(ADMIN!$S$226:$HL$229,4,ADMIN!$D$5*3-1),Stats!$L53)-SUM(R53:T53)</f>
        <v>1</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25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0</v>
      </c>
      <c r="N54" s="469">
        <f ca="1">IFERROR(COUNTIF(ADMIN!$S$130:INDEX(ADMIN!$S$130:$HL$161,32,ADMIN!$D$5*3-1),Stats!$L54)-SUM(O54:T54),0)</f>
        <v>20</v>
      </c>
      <c r="O54" s="469">
        <f ca="1">COUNTIF(ADMIN!$S$182:INDEX(ADMIN!$S$182:$HL$197,16,ADMIN!$D$5*3-1),Stats!$L54)-SUM(P54:T54)</f>
        <v>2</v>
      </c>
      <c r="P54" s="469">
        <f ca="1">COUNTIF(ADMIN!$S$210:INDEX(ADMIN!$S$210:$HL$217,8,ADMIN!$D$5*3-1),Stats!$L54)-SUM(Q54:T54)</f>
        <v>2</v>
      </c>
      <c r="Q54" s="469">
        <f ca="1">COUNTIF(ADMIN!$S$226:INDEX(ADMIN!$S$226:$HL$229,4,ADMIN!$D$5*3-1),Stats!$L54)-SUM(R54:T54)</f>
        <v>1</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25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35" t="str">
        <f ca="1">Horarios!Q50</f>
        <v>Uzbekistán</v>
      </c>
      <c r="M55" s="473">
        <f ca="1">ADMIN!$D$5-SUM(N55:T55)</f>
        <v>22</v>
      </c>
      <c r="N55" s="473">
        <f ca="1">IFERROR(COUNTIF(ADMIN!$S$130:INDEX(ADMIN!$S$130:$HL$161,32,ADMIN!$D$5*3-1),Stats!$L55)-SUM(O55:T55),0)</f>
        <v>3</v>
      </c>
      <c r="O55" s="473">
        <f ca="1">COUNTIF(ADMIN!$S$182:INDEX(ADMIN!$S$182:$HL$197,16,ADMIN!$D$5*3-1),Stats!$L55)-SUM(P55:T55)</f>
        <v>0</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25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9.9499999999999993"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75" thickBot="1">
      <c r="A3" s="19">
        <v>1</v>
      </c>
      <c r="B3" s="501" t="s">
        <v>0</v>
      </c>
      <c r="C3" s="502" t="str">
        <f ca="1">+MID(INDEX(WORLDCUP!$AA$4:$AA$147,MATCH(A3,WORLDCUP!$AH$4:$AH$147,0)),1,3)</f>
        <v>Méx</v>
      </c>
      <c r="D3" s="503" t="str">
        <f>IF(ISBLANK(INDEX(WORLDCUP!$AC$4:$AC$147,MATCH(A3,WORLDCUP!$AH$4:$AH$147,0))),"",INDEX(WORLDCUP!$AC$4:$AC$147,MATCH(A3,WORLDCUP!$AH$4:$AH$147,0)))</f>
        <v/>
      </c>
      <c r="E3" s="503" t="str">
        <f>IF(ISBLANK(INDEX(WORLDCUP!$AD$4:$AD$147,MATCH(A3,WORLDCUP!$AH$4:$AH$147,0))),"",INDEX(WORLDCUP!$AD$4:$AD$147,MATCH(A3,WORLDCUP!$AH$4:$AH$147,0)))</f>
        <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t="str">
        <f>IF(ISBLANK(INDEX(WORLDCUP!$AC$4:$AC$147,MATCH(M3,WORLDCUP!$AH$4:$AH$147,0))),"",INDEX(WORLDCUP!$AC$4:$AC$147,MATCH(M3,WORLDCUP!$AH$4:$AH$147,0)))</f>
        <v/>
      </c>
      <c r="Q3" s="503" t="str">
        <f>IF(ISBLANK(INDEX(WORLDCUP!$AD$4:$AD$147,MATCH(M3,WORLDCUP!$AH$4:$AH$147,0))),"",INDEX(WORLDCUP!$AD$4:$AD$147,MATCH(M3,WORLDCUP!$AH$4:$AH$147,0)))</f>
        <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75" thickBot="1">
      <c r="A4" s="19">
        <v>2</v>
      </c>
      <c r="B4" s="528"/>
      <c r="C4" s="529" t="str">
        <f ca="1">+MID(INDEX(WORLDCUP!$AA$4:$AA$147,MATCH(A4,WORLDCUP!$AH$4:$AH$147,0)),1,3)</f>
        <v>Cor</v>
      </c>
      <c r="D4" s="530" t="str">
        <f>IF(ISBLANK(INDEX(WORLDCUP!$AC$4:$AC$147,MATCH(A4,WORLDCUP!$AH$4:$AH$147,0))),"",INDEX(WORLDCUP!$AC$4:$AC$147,MATCH(A4,WORLDCUP!$AH$4:$AH$147,0)))</f>
        <v/>
      </c>
      <c r="E4" s="530" t="str">
        <f>IF(ISBLANK(INDEX(WORLDCUP!$AD$4:$AD$147,MATCH(A4,WORLDCUP!$AH$4:$AH$147,0))),"",INDEX(WORLDCUP!$AD$4:$AD$147,MATCH(A4,WORLDCUP!$AH$4:$AH$147,0)))</f>
        <v/>
      </c>
      <c r="F4" s="531" t="str">
        <f ca="1">+MID(INDEX(WORLDCUP!$AF$4:$AF$147,MATCH(A4,WORLDCUP!$AH$4:$AH$147,0)),1,3)</f>
        <v>Rep</v>
      </c>
      <c r="G4" s="532">
        <v>1</v>
      </c>
      <c r="H4" s="533" t="str">
        <f ca="1">+MID(INDEX(WORLDCUP!$AL$6:$AL$97,MATCH(L4,WORLDCUP!$AI$6:$AI$97,0)),1,3)</f>
        <v>Méx</v>
      </c>
      <c r="I4" s="534">
        <f ca="1">+INDEX(WORLDCUP!$AM$6:$AM$97,MATCH(L4,WORLDCUP!$AI$6:$AI$97,0))</f>
        <v>0</v>
      </c>
      <c r="J4" s="535">
        <f ca="1">+INDEX(WORLDCUP!$AT$6:$AT$97,MATCH(L4,WORLDCUP!$AI$6:$AI$97,0))</f>
        <v>0</v>
      </c>
      <c r="K4" s="536" t="str">
        <f ca="1">+INDEX(WORLDCUP!$AR$6:$AR$97,MATCH(L4,WORLDCUP!$AI$6:$AI$97,0))&amp;"-"&amp;INDEX(WORLDCUP!$AS$6:$AS$97,MATCH(L4,WORLDCUP!$AI$6:$AI$97,0))</f>
        <v>0-0</v>
      </c>
      <c r="L4" s="19" t="s">
        <v>645</v>
      </c>
      <c r="M4" s="19">
        <v>15</v>
      </c>
      <c r="N4" s="537"/>
      <c r="O4" s="529" t="str">
        <f ca="1">+MID(INDEX(WORLDCUP!$AA$4:$AA$147,MATCH(M4,WORLDCUP!$AH$4:$AH$147,0)),1,3)</f>
        <v>Irá</v>
      </c>
      <c r="P4" s="530" t="str">
        <f>IF(ISBLANK(INDEX(WORLDCUP!$AC$4:$AC$147,MATCH(M4,WORLDCUP!$AH$4:$AH$147,0))),"",INDEX(WORLDCUP!$AC$4:$AC$147,MATCH(M4,WORLDCUP!$AH$4:$AH$147,0)))</f>
        <v/>
      </c>
      <c r="Q4" s="530" t="str">
        <f>IF(ISBLANK(INDEX(WORLDCUP!$AD$4:$AD$147,MATCH(M4,WORLDCUP!$AH$4:$AH$147,0))),"",INDEX(WORLDCUP!$AD$4:$AD$147,MATCH(M4,WORLDCUP!$AH$4:$AH$147,0)))</f>
        <v/>
      </c>
      <c r="R4" s="531" t="str">
        <f ca="1">+MID(INDEX(WORLDCUP!$AF$4:$AF$147,MATCH(M4,WORLDCUP!$AH$4:$AH$147,0)),1,3)</f>
        <v>Nue</v>
      </c>
      <c r="S4" s="532">
        <v>1</v>
      </c>
      <c r="T4" s="533" t="str">
        <f ca="1">+MID(INDEX(WORLDCUP!$AL$6:$AL$97,MATCH(X4,WORLDCUP!$AI$6:$AI$97,0)),1,3)</f>
        <v>Bél</v>
      </c>
      <c r="U4" s="534">
        <f ca="1">+INDEX(WORLDCUP!$AM$6:$AM$97,MATCH(X4,WORLDCUP!$AI$6:$AI$97,0))</f>
        <v>0</v>
      </c>
      <c r="V4" s="535">
        <f ca="1">+INDEX(WORLDCUP!$AT$6:$AT$97,MATCH(X4,WORLDCUP!$AI$6:$AI$97,0))</f>
        <v>0</v>
      </c>
      <c r="W4" s="536" t="str">
        <f ca="1">+INDEX(WORLDCUP!$AR$6:$AR$97,MATCH(X4,WORLDCUP!$AI$6:$AI$97,0))&amp;"-"&amp;INDEX(WORLDCUP!$AS$6:$AS$97,MATCH(X4,WORLDCUP!$AI$6:$AI$97,0))</f>
        <v>0-0</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t="str">
        <f>IF(ISBLANK(INDEX(WORLDCUP!$AC$4:$AC$147,MATCH(A5,WORLDCUP!$AH$4:$AH$147,0))),"",INDEX(WORLDCUP!$AC$4:$AC$147,MATCH(A5,WORLDCUP!$AH$4:$AH$147,0)))</f>
        <v/>
      </c>
      <c r="E5" s="530" t="str">
        <f>IF(ISBLANK(INDEX(WORLDCUP!$AD$4:$AD$147,MATCH(A5,WORLDCUP!$AH$4:$AH$147,0))),"",INDEX(WORLDCUP!$AD$4:$AD$147,MATCH(A5,WORLDCUP!$AH$4:$AH$147,0)))</f>
        <v/>
      </c>
      <c r="F5" s="531" t="str">
        <f ca="1">+MID(INDEX(WORLDCUP!$AF$4:$AF$147,MATCH(A5,WORLDCUP!$AH$4:$AH$147,0)),1,3)</f>
        <v>Sud</v>
      </c>
      <c r="G5" s="552">
        <v>2</v>
      </c>
      <c r="H5" s="553" t="str">
        <f ca="1">+MID(INDEX(WORLDCUP!$AL$6:$AL$97,MATCH(L5,WORLDCUP!$AI$6:$AI$97,0)),1,3)</f>
        <v>Sud</v>
      </c>
      <c r="I5" s="223">
        <f ca="1">+INDEX(WORLDCUP!$AM$6:$AM$97,MATCH(L5,WORLDCUP!$AI$6:$AI$97,0))</f>
        <v>0</v>
      </c>
      <c r="J5" s="224">
        <f ca="1">+INDEX(WORLDCUP!$AT$6:$AT$97,MATCH(L5,WORLDCUP!$AI$6:$AI$97,0))</f>
        <v>0</v>
      </c>
      <c r="K5" s="225" t="str">
        <f ca="1">+INDEX(WORLDCUP!$AR$6:$AR$97,MATCH(L5,WORLDCUP!$AI$6:$AI$97,0))&amp;"-"&amp;INDEX(WORLDCUP!$AS$6:$AS$97,MATCH(L5,WORLDCUP!$AI$6:$AI$97,0))</f>
        <v>0-0</v>
      </c>
      <c r="L5" s="19" t="s">
        <v>646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Egi</v>
      </c>
      <c r="U5" s="223">
        <f ca="1">+INDEX(WORLDCUP!$AM$6:$AM$97,MATCH(X5,WORLDCUP!$AI$6:$AI$97,0))</f>
        <v>0</v>
      </c>
      <c r="V5" s="224">
        <f ca="1">+INDEX(WORLDCUP!$AT$6:$AT$97,MATCH(X5,WORLDCUP!$AI$6:$AI$97,0))</f>
        <v>0</v>
      </c>
      <c r="W5" s="225" t="str">
        <f ca="1">+INDEX(WORLDCUP!$AR$6:$AR$97,MATCH(X5,WORLDCUP!$AI$6:$AI$97,0))&amp;"-"&amp;INDEX(WORLDCUP!$AS$6:$AS$97,MATCH(X5,WORLDCUP!$AI$6:$AI$97,0))</f>
        <v>0-0</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75" thickBot="1">
      <c r="A6" s="19">
        <v>28</v>
      </c>
      <c r="B6" s="528"/>
      <c r="C6" s="529" t="str">
        <f ca="1">+MID(INDEX(WORLDCUP!$AA$4:$AA$147,MATCH(A6,WORLDCUP!$AH$4:$AH$147,0)),1,3)</f>
        <v>Méx</v>
      </c>
      <c r="D6" s="530" t="str">
        <f>IF(ISBLANK(INDEX(WORLDCUP!$AC$4:$AC$147,MATCH(A6,WORLDCUP!$AH$4:$AH$147,0))),"",INDEX(WORLDCUP!$AC$4:$AC$147,MATCH(A6,WORLDCUP!$AH$4:$AH$147,0)))</f>
        <v/>
      </c>
      <c r="E6" s="530" t="str">
        <f>IF(ISBLANK(INDEX(WORLDCUP!$AD$4:$AD$147,MATCH(A6,WORLDCUP!$AH$4:$AH$147,0))),"",INDEX(WORLDCUP!$AD$4:$AD$147,MATCH(A6,WORLDCUP!$AH$4:$AH$147,0)))</f>
        <v/>
      </c>
      <c r="F6" s="531" t="str">
        <f ca="1">+MID(INDEX(WORLDCUP!$AF$4:$AF$147,MATCH(A6,WORLDCUP!$AH$4:$AH$147,0)),1,3)</f>
        <v>Cor</v>
      </c>
      <c r="G6" s="552">
        <v>3</v>
      </c>
      <c r="H6" s="553" t="str">
        <f ca="1">+MID(INDEX(WORLDCUP!$AL$6:$AL$97,MATCH(L6,WORLDCUP!$AI$6:$AI$97,0)),1,3)</f>
        <v>Cor</v>
      </c>
      <c r="I6" s="223">
        <f ca="1">+INDEX(WORLDCUP!$AM$6:$AM$97,MATCH(L6,WORLDCUP!$AI$6:$AI$97,0))</f>
        <v>0</v>
      </c>
      <c r="J6" s="224">
        <f ca="1">+INDEX(WORLDCUP!$AT$6:$AT$97,MATCH(L6,WORLDCUP!$AI$6:$AI$97,0))</f>
        <v>0</v>
      </c>
      <c r="K6" s="225" t="str">
        <f ca="1">+INDEX(WORLDCUP!$AR$6:$AR$97,MATCH(L6,WORLDCUP!$AI$6:$AI$97,0))&amp;"-"&amp;INDEX(WORLDCUP!$AS$6:$AS$97,MATCH(L6,WORLDCUP!$AI$6:$AI$97,0))</f>
        <v>0-0</v>
      </c>
      <c r="L6" s="19" t="s">
        <v>89</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Irá</v>
      </c>
      <c r="U6" s="223">
        <f ca="1">+INDEX(WORLDCUP!$AM$6:$AM$97,MATCH(X6,WORLDCUP!$AI$6:$AI$97,0))</f>
        <v>0</v>
      </c>
      <c r="V6" s="224">
        <f ca="1">+INDEX(WORLDCUP!$AT$6:$AT$97,MATCH(X6,WORLDCUP!$AI$6:$AI$97,0))</f>
        <v>0</v>
      </c>
      <c r="W6" s="225" t="str">
        <f ca="1">+INDEX(WORLDCUP!$AR$6:$AR$97,MATCH(X6,WORLDCUP!$AI$6:$AI$97,0))&amp;"-"&amp;INDEX(WORLDCUP!$AS$6:$AS$97,MATCH(X6,WORLDCUP!$AI$6:$AI$97,0))</f>
        <v>0-0</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7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Rep</v>
      </c>
      <c r="I7" s="562">
        <f ca="1">+INDEX(WORLDCUP!$AM$6:$AM$97,MATCH(L7,WORLDCUP!$AI$6:$AI$97,0))</f>
        <v>0</v>
      </c>
      <c r="J7" s="563">
        <f ca="1">+INDEX(WORLDCUP!$AT$6:$AT$97,MATCH(L7,WORLDCUP!$AI$6:$AI$97,0))</f>
        <v>0</v>
      </c>
      <c r="K7" s="564" t="str">
        <f ca="1">+INDEX(WORLDCUP!$AR$6:$AR$97,MATCH(L7,WORLDCUP!$AI$6:$AI$97,0))&amp;"-"&amp;INDEX(WORLDCUP!$AS$6:$AS$97,MATCH(L7,WORLDCUP!$AI$6:$AI$97,0))</f>
        <v>0-0</v>
      </c>
      <c r="L7" s="19" t="s">
        <v>647</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Nue</v>
      </c>
      <c r="U7" s="562">
        <f ca="1">+INDEX(WORLDCUP!$AM$6:$AM$97,MATCH(X7,WORLDCUP!$AI$6:$AI$97,0))</f>
        <v>0</v>
      </c>
      <c r="V7" s="563">
        <f ca="1">+INDEX(WORLDCUP!$AT$6:$AT$97,MATCH(X7,WORLDCUP!$AI$6:$AI$97,0))</f>
        <v>0</v>
      </c>
      <c r="W7" s="564" t="str">
        <f ca="1">+INDEX(WORLDCUP!$AR$6:$AR$97,MATCH(X7,WORLDCUP!$AI$6:$AI$97,0))&amp;"-"&amp;INDEX(WORLDCUP!$AS$6:$AS$97,MATCH(X7,WORLDCUP!$AI$6:$AI$97,0))</f>
        <v>0-0</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7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7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7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t="str">
        <f>IF(ISBLANK(INDEX(WORLDCUP!$AC$4:$AC$147,MATCH(A11,WORLDCUP!$AH$4:$AH$147,0))),"",INDEX(WORLDCUP!$AC$4:$AC$147,MATCH(A11,WORLDCUP!$AH$4:$AH$147,0)))</f>
        <v/>
      </c>
      <c r="E11" s="503" t="str">
        <f>IF(ISBLANK(INDEX(WORLDCUP!$AD$4:$AD$147,MATCH(A11,WORLDCUP!$AH$4:$AH$147,0))),"",INDEX(WORLDCUP!$AD$4:$AD$147,MATCH(A11,WORLDCUP!$AH$4:$AH$147,0)))</f>
        <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t="str">
        <f>IF(ISBLANK(INDEX(WORLDCUP!$AC$4:$AC$147,MATCH(M11,WORLDCUP!$AH$4:$AH$147,0))),"",INDEX(WORLDCUP!$AC$4:$AC$147,MATCH(M11,WORLDCUP!$AH$4:$AH$147,0)))</f>
        <v/>
      </c>
      <c r="Q11" s="503" t="str">
        <f>IF(ISBLANK(INDEX(WORLDCUP!$AD$4:$AD$147,MATCH(M11,WORLDCUP!$AH$4:$AH$147,0))),"",INDEX(WORLDCUP!$AD$4:$AD$147,MATCH(M11,WORLDCUP!$AH$4:$AH$147,0)))</f>
        <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75" thickBot="1">
      <c r="A12" s="19">
        <v>8</v>
      </c>
      <c r="B12" s="589"/>
      <c r="C12" s="529" t="str">
        <f ca="1">+MID(INDEX(WORLDCUP!$AA$4:$AA$147,MATCH(A12,WORLDCUP!$AH$4:$AH$147,0)),1,3)</f>
        <v>Cat</v>
      </c>
      <c r="D12" s="530" t="str">
        <f>IF(ISBLANK(INDEX(WORLDCUP!$AC$4:$AC$147,MATCH(A12,WORLDCUP!$AH$4:$AH$147,0))),"",INDEX(WORLDCUP!$AC$4:$AC$147,MATCH(A12,WORLDCUP!$AH$4:$AH$147,0)))</f>
        <v/>
      </c>
      <c r="E12" s="530" t="str">
        <f>IF(ISBLANK(INDEX(WORLDCUP!$AD$4:$AD$147,MATCH(A12,WORLDCUP!$AH$4:$AH$147,0))),"",INDEX(WORLDCUP!$AD$4:$AD$147,MATCH(A12,WORLDCUP!$AH$4:$AH$147,0)))</f>
        <v/>
      </c>
      <c r="F12" s="531" t="str">
        <f ca="1">+MID(INDEX(WORLDCUP!$AF$4:$AF$147,MATCH(A12,WORLDCUP!$AH$4:$AH$147,0)),1,3)</f>
        <v>Sui</v>
      </c>
      <c r="G12" s="532">
        <v>1</v>
      </c>
      <c r="H12" s="533" t="str">
        <f ca="1">+MID(INDEX(WORLDCUP!$AL$6:$AL$97,MATCH(L12,WORLDCUP!$AI$6:$AI$97,0)),1,3)</f>
        <v>Can</v>
      </c>
      <c r="I12" s="534">
        <f ca="1">+INDEX(WORLDCUP!$AM$6:$AM$97,MATCH(L12,WORLDCUP!$AI$6:$AI$97,0))</f>
        <v>0</v>
      </c>
      <c r="J12" s="535">
        <f ca="1">+INDEX(WORLDCUP!$AT$6:$AT$97,MATCH(L12,WORLDCUP!$AI$6:$AI$97,0))</f>
        <v>0</v>
      </c>
      <c r="K12" s="536" t="str">
        <f ca="1">+INDEX(WORLDCUP!$AR$6:$AR$97,MATCH(L12,WORLDCUP!$AI$6:$AI$97,0))&amp;"-"&amp;INDEX(WORLDCUP!$AS$6:$AS$97,MATCH(L12,WORLDCUP!$AI$6:$AI$97,0))</f>
        <v>0-0</v>
      </c>
      <c r="L12" s="19" t="s">
        <v>648</v>
      </c>
      <c r="M12" s="19">
        <v>13</v>
      </c>
      <c r="N12" s="590"/>
      <c r="O12" s="529" t="str">
        <f ca="1">+MID(INDEX(WORLDCUP!$AA$4:$AA$147,MATCH(M12,WORLDCUP!$AH$4:$AH$147,0)),1,3)</f>
        <v>Ara</v>
      </c>
      <c r="P12" s="530" t="str">
        <f>IF(ISBLANK(INDEX(WORLDCUP!$AC$4:$AC$147,MATCH(M12,WORLDCUP!$AH$4:$AH$147,0))),"",INDEX(WORLDCUP!$AC$4:$AC$147,MATCH(M12,WORLDCUP!$AH$4:$AH$147,0)))</f>
        <v/>
      </c>
      <c r="Q12" s="530" t="str">
        <f>IF(ISBLANK(INDEX(WORLDCUP!$AD$4:$AD$147,MATCH(M12,WORLDCUP!$AH$4:$AH$147,0))),"",INDEX(WORLDCUP!$AD$4:$AD$147,MATCH(M12,WORLDCUP!$AH$4:$AH$147,0)))</f>
        <v/>
      </c>
      <c r="R12" s="531" t="str">
        <f ca="1">+MID(INDEX(WORLDCUP!$AF$4:$AF$147,MATCH(M12,WORLDCUP!$AH$4:$AH$147,0)),1,3)</f>
        <v>Uru</v>
      </c>
      <c r="S12" s="532">
        <v>1</v>
      </c>
      <c r="T12" s="533" t="str">
        <f ca="1">+MID(INDEX(WORLDCUP!$AL$6:$AL$97,MATCH(X12,WORLDCUP!$AI$6:$AI$97,0)),1,3)</f>
        <v>Esp</v>
      </c>
      <c r="U12" s="534">
        <f ca="1">+INDEX(WORLDCUP!$AM$6:$AM$97,MATCH(X12,WORLDCUP!$AI$6:$AI$97,0))</f>
        <v>0</v>
      </c>
      <c r="V12" s="535">
        <f ca="1">+INDEX(WORLDCUP!$AT$6:$AT$97,MATCH(X12,WORLDCUP!$AI$6:$AI$97,0))</f>
        <v>0</v>
      </c>
      <c r="W12" s="536" t="str">
        <f ca="1">+INDEX(WORLDCUP!$AR$6:$AR$97,MATCH(X12,WORLDCUP!$AI$6:$AI$97,0))&amp;"-"&amp;INDEX(WORLDCUP!$AS$6:$AS$97,MATCH(X12,WORLDCUP!$AI$6:$AI$97,0))</f>
        <v>0-0</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75" thickBot="1">
      <c r="A13" s="19">
        <v>26</v>
      </c>
      <c r="B13" s="589"/>
      <c r="C13" s="529" t="str">
        <f ca="1">+MID(INDEX(WORLDCUP!$AA$4:$AA$147,MATCH(A13,WORLDCUP!$AH$4:$AH$147,0)),1,3)</f>
        <v>Sui</v>
      </c>
      <c r="D13" s="530" t="str">
        <f>IF(ISBLANK(INDEX(WORLDCUP!$AC$4:$AC$147,MATCH(A13,WORLDCUP!$AH$4:$AH$147,0))),"",INDEX(WORLDCUP!$AC$4:$AC$147,MATCH(A13,WORLDCUP!$AH$4:$AH$147,0)))</f>
        <v/>
      </c>
      <c r="E13" s="530" t="str">
        <f>IF(ISBLANK(INDEX(WORLDCUP!$AD$4:$AD$147,MATCH(A13,WORLDCUP!$AH$4:$AH$147,0))),"",INDEX(WORLDCUP!$AD$4:$AD$147,MATCH(A13,WORLDCUP!$AH$4:$AH$147,0)))</f>
        <v/>
      </c>
      <c r="F13" s="531" t="str">
        <f ca="1">+MID(INDEX(WORLDCUP!$AF$4:$AF$147,MATCH(A13,WORLDCUP!$AH$4:$AH$147,0)),1,3)</f>
        <v>Bos</v>
      </c>
      <c r="G13" s="552">
        <v>2</v>
      </c>
      <c r="H13" s="553" t="str">
        <f ca="1">+MID(INDEX(WORLDCUP!$AL$6:$AL$97,MATCH(L13,WORLDCUP!$AI$6:$AI$97,0)),1,3)</f>
        <v>Bos</v>
      </c>
      <c r="I13" s="223">
        <f ca="1">+INDEX(WORLDCUP!$AM$6:$AM$97,MATCH(L13,WORLDCUP!$AI$6:$AI$97,0))</f>
        <v>0</v>
      </c>
      <c r="J13" s="224">
        <f ca="1">+INDEX(WORLDCUP!$AT$6:$AT$97,MATCH(L13,WORLDCUP!$AI$6:$AI$97,0))</f>
        <v>0</v>
      </c>
      <c r="K13" s="225" t="str">
        <f ca="1">+INDEX(WORLDCUP!$AR$6:$AR$97,MATCH(L13,WORLDCUP!$AI$6:$AI$97,0))&amp;"-"&amp;INDEX(WORLDCUP!$AS$6:$AS$97,MATCH(L13,WORLDCUP!$AI$6:$AI$97,0))</f>
        <v>0-0</v>
      </c>
      <c r="L13" s="19" t="s">
        <v>649</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Cab</v>
      </c>
      <c r="U13" s="223">
        <f ca="1">+INDEX(WORLDCUP!$AM$6:$AM$97,MATCH(X13,WORLDCUP!$AI$6:$AI$97,0))</f>
        <v>0</v>
      </c>
      <c r="V13" s="224">
        <f ca="1">+INDEX(WORLDCUP!$AT$6:$AT$97,MATCH(X13,WORLDCUP!$AI$6:$AI$97,0))</f>
        <v>0</v>
      </c>
      <c r="W13" s="225" t="str">
        <f ca="1">+INDEX(WORLDCUP!$AR$6:$AR$97,MATCH(X13,WORLDCUP!$AI$6:$AI$97,0))&amp;"-"&amp;INDEX(WORLDCUP!$AS$6:$AS$97,MATCH(X13,WORLDCUP!$AI$6:$AI$97,0))</f>
        <v>0-0</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t="str">
        <f>IF(ISBLANK(INDEX(WORLDCUP!$AC$4:$AC$147,MATCH(A14,WORLDCUP!$AH$4:$AH$147,0))),"",INDEX(WORLDCUP!$AC$4:$AC$147,MATCH(A14,WORLDCUP!$AH$4:$AH$147,0)))</f>
        <v/>
      </c>
      <c r="E14" s="530" t="str">
        <f>IF(ISBLANK(INDEX(WORLDCUP!$AD$4:$AD$147,MATCH(A14,WORLDCUP!$AH$4:$AH$147,0))),"",INDEX(WORLDCUP!$AD$4:$AD$147,MATCH(A14,WORLDCUP!$AH$4:$AH$147,0)))</f>
        <v/>
      </c>
      <c r="F14" s="531" t="str">
        <f ca="1">+MID(INDEX(WORLDCUP!$AF$4:$AF$147,MATCH(A14,WORLDCUP!$AH$4:$AH$147,0)),1,3)</f>
        <v>Cat</v>
      </c>
      <c r="G14" s="552">
        <v>3</v>
      </c>
      <c r="H14" s="553" t="str">
        <f ca="1">+MID(INDEX(WORLDCUP!$AL$6:$AL$97,MATCH(L14,WORLDCUP!$AI$6:$AI$97,0)),1,3)</f>
        <v>Cat</v>
      </c>
      <c r="I14" s="223">
        <f ca="1">+INDEX(WORLDCUP!$AM$6:$AM$97,MATCH(L14,WORLDCUP!$AI$6:$AI$97,0))</f>
        <v>0</v>
      </c>
      <c r="J14" s="224">
        <f ca="1">+INDEX(WORLDCUP!$AT$6:$AT$97,MATCH(L14,WORLDCUP!$AI$6:$AI$97,0))</f>
        <v>0</v>
      </c>
      <c r="K14" s="225" t="str">
        <f ca="1">+INDEX(WORLDCUP!$AR$6:$AR$97,MATCH(L14,WORLDCUP!$AI$6:$AI$97,0))&amp;"-"&amp;INDEX(WORLDCUP!$AS$6:$AS$97,MATCH(L14,WORLDCUP!$AI$6:$AI$97,0))</f>
        <v>0-0</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Ara</v>
      </c>
      <c r="U14" s="223">
        <f ca="1">+INDEX(WORLDCUP!$AM$6:$AM$97,MATCH(X14,WORLDCUP!$AI$6:$AI$97,0))</f>
        <v>0</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7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Sui</v>
      </c>
      <c r="I15" s="562">
        <f ca="1">+INDEX(WORLDCUP!$AM$6:$AM$97,MATCH(L15,WORLDCUP!$AI$6:$AI$97,0))</f>
        <v>0</v>
      </c>
      <c r="J15" s="563">
        <f ca="1">+INDEX(WORLDCUP!$AT$6:$AT$97,MATCH(L15,WORLDCUP!$AI$6:$AI$97,0))</f>
        <v>0</v>
      </c>
      <c r="K15" s="564" t="str">
        <f ca="1">+INDEX(WORLDCUP!$AR$6:$AR$97,MATCH(L15,WORLDCUP!$AI$6:$AI$97,0))&amp;"-"&amp;INDEX(WORLDCUP!$AS$6:$AS$97,MATCH(L15,WORLDCUP!$AI$6:$AI$97,0))</f>
        <v>0-0</v>
      </c>
      <c r="L15" s="19" t="s">
        <v>650</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Uru</v>
      </c>
      <c r="U15" s="562">
        <f ca="1">+INDEX(WORLDCUP!$AM$6:$AM$97,MATCH(X15,WORLDCUP!$AI$6:$AI$97,0))</f>
        <v>0</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7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7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75" thickBot="1">
      <c r="A19" s="19">
        <v>7</v>
      </c>
      <c r="B19" s="603" t="s">
        <v>2</v>
      </c>
      <c r="C19" s="502" t="str">
        <f ca="1">+MID(INDEX(WORLDCUP!$AA$4:$AA$147,MATCH(A19,WORLDCUP!$AH$4:$AH$147,0)),1,3)</f>
        <v>Bra</v>
      </c>
      <c r="D19" s="503" t="str">
        <f>IF(ISBLANK(INDEX(WORLDCUP!$AC$4:$AC$147,MATCH(A19,WORLDCUP!$AH$4:$AH$147,0))),"",INDEX(WORLDCUP!$AC$4:$AC$147,MATCH(A19,WORLDCUP!$AH$4:$AH$147,0)))</f>
        <v/>
      </c>
      <c r="E19" s="503" t="str">
        <f>IF(ISBLANK(INDEX(WORLDCUP!$AD$4:$AD$147,MATCH(A19,WORLDCUP!$AH$4:$AH$147,0))),"",INDEX(WORLDCUP!$AD$4:$AD$147,MATCH(A19,WORLDCUP!$AH$4:$AH$147,0)))</f>
        <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t="str">
        <f>IF(ISBLANK(INDEX(WORLDCUP!$AC$4:$AC$147,MATCH(M19,WORLDCUP!$AH$4:$AH$147,0))),"",INDEX(WORLDCUP!$AC$4:$AC$147,MATCH(M19,WORLDCUP!$AH$4:$AH$147,0)))</f>
        <v/>
      </c>
      <c r="Q19" s="503" t="str">
        <f>IF(ISBLANK(INDEX(WORLDCUP!$AD$4:$AD$147,MATCH(M19,WORLDCUP!$AH$4:$AH$147,0))),"",INDEX(WORLDCUP!$AD$4:$AD$147,MATCH(M19,WORLDCUP!$AH$4:$AH$147,0)))</f>
        <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t="str">
        <f>IF(ISBLANK(INDEX(WORLDCUP!$AC$4:$AC$147,MATCH(A20,WORLDCUP!$AH$4:$AH$147,0))),"",INDEX(WORLDCUP!$AC$4:$AC$147,MATCH(A20,WORLDCUP!$AH$4:$AH$147,0)))</f>
        <v/>
      </c>
      <c r="E20" s="530" t="str">
        <f>IF(ISBLANK(INDEX(WORLDCUP!$AD$4:$AD$147,MATCH(A20,WORLDCUP!$AH$4:$AH$147,0))),"",INDEX(WORLDCUP!$AD$4:$AD$147,MATCH(A20,WORLDCUP!$AH$4:$AH$147,0)))</f>
        <v/>
      </c>
      <c r="F20" s="531" t="str">
        <f ca="1">+MID(INDEX(WORLDCUP!$AF$4:$AF$147,MATCH(A20,WORLDCUP!$AH$4:$AH$147,0)),1,3)</f>
        <v>Esc</v>
      </c>
      <c r="G20" s="532">
        <v>1</v>
      </c>
      <c r="H20" s="533" t="str">
        <f ca="1">+MID(INDEX(WORLDCUP!$AL$6:$AL$97,MATCH(L20,WORLDCUP!$AI$6:$AI$97,0)),1,3)</f>
        <v>Bra</v>
      </c>
      <c r="I20" s="534">
        <f ca="1">+INDEX(WORLDCUP!$AM$6:$AM$97,MATCH(L20,WORLDCUP!$AI$6:$AI$97,0))</f>
        <v>0</v>
      </c>
      <c r="J20" s="535">
        <f ca="1">+INDEX(WORLDCUP!$AT$6:$AT$97,MATCH(L20,WORLDCUP!$AI$6:$AI$97,0))</f>
        <v>0</v>
      </c>
      <c r="K20" s="536" t="str">
        <f ca="1">+INDEX(WORLDCUP!$AR$6:$AR$97,MATCH(L20,WORLDCUP!$AI$6:$AI$97,0))&amp;"-"&amp;INDEX(WORLDCUP!$AS$6:$AS$97,MATCH(L20,WORLDCUP!$AI$6:$AI$97,0))</f>
        <v>0-0</v>
      </c>
      <c r="L20" s="19" t="s">
        <v>651</v>
      </c>
      <c r="M20" s="19">
        <v>18</v>
      </c>
      <c r="N20" s="607"/>
      <c r="O20" s="529" t="str">
        <f ca="1">+MID(INDEX(WORLDCUP!$AA$4:$AA$147,MATCH(M20,WORLDCUP!$AH$4:$AH$147,0)),1,3)</f>
        <v>Ira</v>
      </c>
      <c r="P20" s="530" t="str">
        <f>IF(ISBLANK(INDEX(WORLDCUP!$AC$4:$AC$147,MATCH(M20,WORLDCUP!$AH$4:$AH$147,0))),"",INDEX(WORLDCUP!$AC$4:$AC$147,MATCH(M20,WORLDCUP!$AH$4:$AH$147,0)))</f>
        <v/>
      </c>
      <c r="Q20" s="530" t="str">
        <f>IF(ISBLANK(INDEX(WORLDCUP!$AD$4:$AD$147,MATCH(M20,WORLDCUP!$AH$4:$AH$147,0))),"",INDEX(WORLDCUP!$AD$4:$AD$147,MATCH(M20,WORLDCUP!$AH$4:$AH$147,0)))</f>
        <v/>
      </c>
      <c r="R20" s="531" t="str">
        <f ca="1">+MID(INDEX(WORLDCUP!$AF$4:$AF$147,MATCH(M20,WORLDCUP!$AH$4:$AH$147,0)),1,3)</f>
        <v>Nor</v>
      </c>
      <c r="S20" s="532">
        <v>1</v>
      </c>
      <c r="T20" s="533" t="str">
        <f ca="1">+MID(INDEX(WORLDCUP!$AL$6:$AL$97,MATCH(X20,WORLDCUP!$AI$6:$AI$97,0)),1,3)</f>
        <v>Fra</v>
      </c>
      <c r="U20" s="534">
        <f ca="1">+INDEX(WORLDCUP!$AM$6:$AM$97,MATCH(X20,WORLDCUP!$AI$6:$AI$97,0))</f>
        <v>0</v>
      </c>
      <c r="V20" s="535">
        <f ca="1">+INDEX(WORLDCUP!$AT$6:$AT$97,MATCH(X20,WORLDCUP!$AI$6:$AI$97,0))</f>
        <v>0</v>
      </c>
      <c r="W20" s="536" t="str">
        <f ca="1">+INDEX(WORLDCUP!$AR$6:$AR$97,MATCH(X20,WORLDCUP!$AI$6:$AI$97,0))&amp;"-"&amp;INDEX(WORLDCUP!$AS$6:$AS$97,MATCH(X20,WORLDCUP!$AI$6:$AI$97,0))</f>
        <v>0-0</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75" thickBot="1">
      <c r="A21" s="19">
        <v>30</v>
      </c>
      <c r="B21" s="606"/>
      <c r="C21" s="529" t="str">
        <f ca="1">+MID(INDEX(WORLDCUP!$AA$4:$AA$147,MATCH(A21,WORLDCUP!$AH$4:$AH$147,0)),1,3)</f>
        <v>Esc</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Mar</v>
      </c>
      <c r="G21" s="552">
        <v>2</v>
      </c>
      <c r="H21" s="553" t="str">
        <f ca="1">+MID(INDEX(WORLDCUP!$AL$6:$AL$97,MATCH(L21,WORLDCUP!$AI$6:$AI$97,0)),1,3)</f>
        <v>Mar</v>
      </c>
      <c r="I21" s="223">
        <f ca="1">+INDEX(WORLDCUP!$AM$6:$AM$97,MATCH(L21,WORLDCUP!$AI$6:$AI$97,0))</f>
        <v>0</v>
      </c>
      <c r="J21" s="224">
        <f ca="1">+INDEX(WORLDCUP!$AT$6:$AT$97,MATCH(L21,WORLDCUP!$AI$6:$AI$97,0))</f>
        <v>0</v>
      </c>
      <c r="K21" s="225" t="str">
        <f ca="1">+INDEX(WORLDCUP!$AR$6:$AR$97,MATCH(L21,WORLDCUP!$AI$6:$AI$97,0))&amp;"-"&amp;INDEX(WORLDCUP!$AS$6:$AS$97,MATCH(L21,WORLDCUP!$AI$6:$AI$97,0))</f>
        <v>0-0</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Sen</v>
      </c>
      <c r="U21" s="223">
        <f ca="1">+INDEX(WORLDCUP!$AM$6:$AM$97,MATCH(X21,WORLDCUP!$AI$6:$AI$97,0))</f>
        <v>0</v>
      </c>
      <c r="V21" s="224">
        <f ca="1">+INDEX(WORLDCUP!$AT$6:$AT$97,MATCH(X21,WORLDCUP!$AI$6:$AI$97,0))</f>
        <v>0</v>
      </c>
      <c r="W21" s="225" t="str">
        <f ca="1">+INDEX(WORLDCUP!$AR$6:$AR$97,MATCH(X21,WORLDCUP!$AI$6:$AI$97,0))&amp;"-"&amp;INDEX(WORLDCUP!$AS$6:$AS$97,MATCH(X21,WORLDCUP!$AI$6:$AI$97,0))</f>
        <v>0-0</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7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Hai</v>
      </c>
      <c r="I22" s="223">
        <f ca="1">+INDEX(WORLDCUP!$AM$6:$AM$97,MATCH(L22,WORLDCUP!$AI$6:$AI$97,0))</f>
        <v>0</v>
      </c>
      <c r="J22" s="224">
        <f ca="1">+INDEX(WORLDCUP!$AT$6:$AT$97,MATCH(L22,WORLDCUP!$AI$6:$AI$97,0))</f>
        <v>0</v>
      </c>
      <c r="K22" s="225" t="str">
        <f ca="1">+INDEX(WORLDCUP!$AR$6:$AR$97,MATCH(L22,WORLDCUP!$AI$6:$AI$97,0))&amp;"-"&amp;INDEX(WORLDCUP!$AS$6:$AS$97,MATCH(L22,WORLDCUP!$AI$6:$AI$97,0))</f>
        <v>0-0</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Ira</v>
      </c>
      <c r="U22" s="223">
        <f ca="1">+INDEX(WORLDCUP!$AM$6:$AM$97,MATCH(X22,WORLDCUP!$AI$6:$AI$97,0))</f>
        <v>0</v>
      </c>
      <c r="V22" s="224">
        <f ca="1">+INDEX(WORLDCUP!$AT$6:$AT$97,MATCH(X22,WORLDCUP!$AI$6:$AI$97,0))</f>
        <v>0</v>
      </c>
      <c r="W22" s="225" t="str">
        <f ca="1">+INDEX(WORLDCUP!$AR$6:$AR$97,MATCH(X22,WORLDCUP!$AI$6:$AI$97,0))&amp;"-"&amp;INDEX(WORLDCUP!$AS$6:$AS$97,MATCH(X22,WORLDCUP!$AI$6:$AI$97,0))</f>
        <v>0-0</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Esc</v>
      </c>
      <c r="I23" s="562">
        <f ca="1">+INDEX(WORLDCUP!$AM$6:$AM$97,MATCH(L23,WORLDCUP!$AI$6:$AI$97,0))</f>
        <v>0</v>
      </c>
      <c r="J23" s="563">
        <f ca="1">+INDEX(WORLDCUP!$AT$6:$AT$97,MATCH(L23,WORLDCUP!$AI$6:$AI$97,0))</f>
        <v>0</v>
      </c>
      <c r="K23" s="564" t="str">
        <f ca="1">+INDEX(WORLDCUP!$AR$6:$AR$97,MATCH(L23,WORLDCUP!$AI$6:$AI$97,0))&amp;"-"&amp;INDEX(WORLDCUP!$AS$6:$AS$97,MATCH(L23,WORLDCUP!$AI$6:$AI$97,0))</f>
        <v>0-0</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Nor</v>
      </c>
      <c r="U23" s="562">
        <f ca="1">+INDEX(WORLDCUP!$AM$6:$AM$97,MATCH(X23,WORLDCUP!$AI$6:$AI$97,0))</f>
        <v>0</v>
      </c>
      <c r="V23" s="563">
        <f ca="1">+INDEX(WORLDCUP!$AT$6:$AT$97,MATCH(X23,WORLDCUP!$AI$6:$AI$97,0))</f>
        <v>0</v>
      </c>
      <c r="W23" s="564" t="str">
        <f ca="1">+INDEX(WORLDCUP!$AR$6:$AR$97,MATCH(X23,WORLDCUP!$AI$6:$AI$97,0))&amp;"-"&amp;INDEX(WORLDCUP!$AS$6:$AS$97,MATCH(X23,WORLDCUP!$AI$6:$AI$97,0))</f>
        <v>0-0</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7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7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7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75" thickBot="1">
      <c r="A27" s="19">
        <v>4</v>
      </c>
      <c r="B27" s="628" t="s">
        <v>73</v>
      </c>
      <c r="C27" s="502" t="str">
        <f ca="1">+MID(INDEX(WORLDCUP!$AA$4:$AA$147,MATCH(A27,WORLDCUP!$AH$4:$AH$147,0)),1,3)</f>
        <v>Est</v>
      </c>
      <c r="D27" s="503" t="str">
        <f>IF(ISBLANK(INDEX(WORLDCUP!$AC$4:$AC$147,MATCH(A27,WORLDCUP!$AH$4:$AH$147,0))),"",INDEX(WORLDCUP!$AC$4:$AC$147,MATCH(A27,WORLDCUP!$AH$4:$AH$147,0)))</f>
        <v/>
      </c>
      <c r="E27" s="503" t="str">
        <f>IF(ISBLANK(INDEX(WORLDCUP!$AD$4:$AD$147,MATCH(A27,WORLDCUP!$AH$4:$AH$147,0))),"",INDEX(WORLDCUP!$AD$4:$AD$147,MATCH(A27,WORLDCUP!$AH$4:$AH$147,0)))</f>
        <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t="str">
        <f>IF(ISBLANK(INDEX(WORLDCUP!$AC$4:$AC$147,MATCH(M27,WORLDCUP!$AH$4:$AH$147,0))),"",INDEX(WORLDCUP!$AC$4:$AC$147,MATCH(M27,WORLDCUP!$AH$4:$AH$147,0)))</f>
        <v/>
      </c>
      <c r="Q27" s="503" t="str">
        <f>IF(ISBLANK(INDEX(WORLDCUP!$AD$4:$AD$147,MATCH(M27,WORLDCUP!$AH$4:$AH$147,0))),"",INDEX(WORLDCUP!$AD$4:$AD$147,MATCH(M27,WORLDCUP!$AH$4:$AH$147,0)))</f>
        <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75" thickBot="1">
      <c r="A28" s="19">
        <v>6</v>
      </c>
      <c r="B28" s="630"/>
      <c r="C28" s="529" t="str">
        <f ca="1">+MID(INDEX(WORLDCUP!$AA$4:$AA$147,MATCH(A28,WORLDCUP!$AH$4:$AH$147,0)),1,3)</f>
        <v>Aus</v>
      </c>
      <c r="D28" s="530" t="str">
        <f>IF(ISBLANK(INDEX(WORLDCUP!$AC$4:$AC$147,MATCH(A28,WORLDCUP!$AH$4:$AH$147,0))),"",INDEX(WORLDCUP!$AC$4:$AC$147,MATCH(A28,WORLDCUP!$AH$4:$AH$147,0)))</f>
        <v/>
      </c>
      <c r="E28" s="530" t="str">
        <f>IF(ISBLANK(INDEX(WORLDCUP!$AD$4:$AD$147,MATCH(A28,WORLDCUP!$AH$4:$AH$147,0))),"",INDEX(WORLDCUP!$AD$4:$AD$147,MATCH(A28,WORLDCUP!$AH$4:$AH$147,0)))</f>
        <v/>
      </c>
      <c r="F28" s="531" t="str">
        <f ca="1">+MID(INDEX(WORLDCUP!$AF$4:$AF$147,MATCH(A28,WORLDCUP!$AH$4:$AH$147,0)),1,3)</f>
        <v>Tur</v>
      </c>
      <c r="G28" s="532">
        <v>1</v>
      </c>
      <c r="H28" s="533" t="str">
        <f ca="1">+MID(INDEX(WORLDCUP!$AL$6:$AL$97,MATCH(L28,WORLDCUP!$AI$6:$AI$97,0)),1,3)</f>
        <v>Est</v>
      </c>
      <c r="I28" s="534">
        <f ca="1">+INDEX(WORLDCUP!$AM$6:$AM$97,MATCH(L28,WORLDCUP!$AI$6:$AI$97,0))</f>
        <v>0</v>
      </c>
      <c r="J28" s="535">
        <f ca="1">+INDEX(WORLDCUP!$AT$6:$AT$97,MATCH(L28,WORLDCUP!$AI$6:$AI$97,0))</f>
        <v>0</v>
      </c>
      <c r="K28" s="536" t="str">
        <f ca="1">+INDEX(WORLDCUP!$AR$6:$AR$97,MATCH(L28,WORLDCUP!$AI$6:$AI$97,0))&amp;"-"&amp;INDEX(WORLDCUP!$AS$6:$AS$97,MATCH(L28,WORLDCUP!$AI$6:$AI$97,0))</f>
        <v>0-0</v>
      </c>
      <c r="L28" s="19" t="s">
        <v>658</v>
      </c>
      <c r="M28" s="19">
        <v>20</v>
      </c>
      <c r="N28" s="631"/>
      <c r="O28" s="529" t="str">
        <f ca="1">+MID(INDEX(WORLDCUP!$AA$4:$AA$147,MATCH(M28,WORLDCUP!$AH$4:$AH$147,0)),1,3)</f>
        <v>Aus</v>
      </c>
      <c r="P28" s="530" t="str">
        <f>IF(ISBLANK(INDEX(WORLDCUP!$AC$4:$AC$147,MATCH(M28,WORLDCUP!$AH$4:$AH$147,0))),"",INDEX(WORLDCUP!$AC$4:$AC$147,MATCH(M28,WORLDCUP!$AH$4:$AH$147,0)))</f>
        <v/>
      </c>
      <c r="Q28" s="530" t="str">
        <f>IF(ISBLANK(INDEX(WORLDCUP!$AD$4:$AD$147,MATCH(M28,WORLDCUP!$AH$4:$AH$147,0))),"",INDEX(WORLDCUP!$AD$4:$AD$147,MATCH(M28,WORLDCUP!$AH$4:$AH$147,0)))</f>
        <v/>
      </c>
      <c r="R28" s="531" t="str">
        <f ca="1">+MID(INDEX(WORLDCUP!$AF$4:$AF$147,MATCH(M28,WORLDCUP!$AH$4:$AH$147,0)),1,3)</f>
        <v>Jor</v>
      </c>
      <c r="S28" s="532">
        <v>1</v>
      </c>
      <c r="T28" s="533" t="str">
        <f ca="1">+MID(INDEX(WORLDCUP!$AL$6:$AL$97,MATCH(X28,WORLDCUP!$AI$6:$AI$97,0)),1,3)</f>
        <v>Arg</v>
      </c>
      <c r="U28" s="534">
        <f ca="1">+INDEX(WORLDCUP!$AM$6:$AM$97,MATCH(X28,WORLDCUP!$AI$6:$AI$97,0))</f>
        <v>0</v>
      </c>
      <c r="V28" s="535">
        <f ca="1">+INDEX(WORLDCUP!$AT$6:$AT$97,MATCH(X28,WORLDCUP!$AI$6:$AI$97,0))</f>
        <v>0</v>
      </c>
      <c r="W28" s="536" t="str">
        <f ca="1">+INDEX(WORLDCUP!$AR$6:$AR$97,MATCH(X28,WORLDCUP!$AI$6:$AI$97,0))&amp;"-"&amp;INDEX(WORLDCUP!$AS$6:$AS$97,MATCH(X28,WORLDCUP!$AI$6:$AI$97,0))</f>
        <v>0-0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Par</v>
      </c>
      <c r="I29" s="223">
        <f ca="1">+INDEX(WORLDCUP!$AM$6:$AM$97,MATCH(L29,WORLDCUP!$AI$6:$AI$97,0))</f>
        <v>0</v>
      </c>
      <c r="J29" s="224">
        <f ca="1">+INDEX(WORLDCUP!$AT$6:$AT$97,MATCH(L29,WORLDCUP!$AI$6:$AI$97,0))</f>
        <v>0</v>
      </c>
      <c r="K29" s="225" t="str">
        <f ca="1">+INDEX(WORLDCUP!$AR$6:$AR$97,MATCH(L29,WORLDCUP!$AI$6:$AI$97,0))&amp;"-"&amp;INDEX(WORLDCUP!$AS$6:$AS$97,MATCH(L29,WORLDCUP!$AI$6:$AI$97,0))</f>
        <v>0-0</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Arg</v>
      </c>
      <c r="U29" s="223">
        <f ca="1">+INDEX(WORLDCUP!$AM$6:$AM$97,MATCH(X29,WORLDCUP!$AI$6:$AI$97,0))</f>
        <v>0</v>
      </c>
      <c r="V29" s="224">
        <f ca="1">+INDEX(WORLDCUP!$AT$6:$AT$97,MATCH(X29,WORLDCUP!$AI$6:$AI$97,0))</f>
        <v>0</v>
      </c>
      <c r="W29" s="225" t="str">
        <f ca="1">+INDEX(WORLDCUP!$AR$6:$AR$97,MATCH(X29,WORLDCUP!$AI$6:$AI$97,0))&amp;"-"&amp;INDEX(WORLDCUP!$AS$6:$AS$97,MATCH(X29,WORLDCUP!$AI$6:$AI$97,0))</f>
        <v>0-0</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7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Aus</v>
      </c>
      <c r="I30" s="223">
        <f ca="1">+INDEX(WORLDCUP!$AM$6:$AM$97,MATCH(L30,WORLDCUP!$AI$6:$AI$97,0))</f>
        <v>0</v>
      </c>
      <c r="J30" s="224">
        <f ca="1">+INDEX(WORLDCUP!$AT$6:$AT$97,MATCH(L30,WORLDCUP!$AI$6:$AI$97,0))</f>
        <v>0</v>
      </c>
      <c r="K30" s="225" t="str">
        <f ca="1">+INDEX(WORLDCUP!$AR$6:$AR$97,MATCH(L30,WORLDCUP!$AI$6:$AI$97,0))&amp;"-"&amp;INDEX(WORLDCUP!$AS$6:$AS$97,MATCH(L30,WORLDCUP!$AI$6:$AI$97,0))</f>
        <v>0-0</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Aus</v>
      </c>
      <c r="U30" s="223">
        <f ca="1">+INDEX(WORLDCUP!$AM$6:$AM$97,MATCH(X30,WORLDCUP!$AI$6:$AI$97,0))</f>
        <v>0</v>
      </c>
      <c r="V30" s="224">
        <f ca="1">+INDEX(WORLDCUP!$AT$6:$AT$97,MATCH(X30,WORLDCUP!$AI$6:$AI$97,0))</f>
        <v>0</v>
      </c>
      <c r="W30" s="225" t="str">
        <f ca="1">+INDEX(WORLDCUP!$AR$6:$AR$97,MATCH(X30,WORLDCUP!$AI$6:$AI$97,0))&amp;"-"&amp;INDEX(WORLDCUP!$AS$6:$AS$97,MATCH(X30,WORLDCUP!$AI$6:$AI$97,0))</f>
        <v>0-0</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7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Tur</v>
      </c>
      <c r="I31" s="562">
        <f ca="1">+INDEX(WORLDCUP!$AM$6:$AM$97,MATCH(L31,WORLDCUP!$AI$6:$AI$97,0))</f>
        <v>0</v>
      </c>
      <c r="J31" s="563">
        <f ca="1">+INDEX(WORLDCUP!$AT$6:$AT$97,MATCH(L31,WORLDCUP!$AI$6:$AI$97,0))</f>
        <v>0</v>
      </c>
      <c r="K31" s="564" t="str">
        <f ca="1">+INDEX(WORLDCUP!$AR$6:$AR$97,MATCH(L31,WORLDCUP!$AI$6:$AI$97,0))&amp;"-"&amp;INDEX(WORLDCUP!$AS$6:$AS$97,MATCH(L31,WORLDCUP!$AI$6:$AI$97,0))</f>
        <v>0-0</v>
      </c>
      <c r="L31" s="19" t="s">
        <v>660</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Jor</v>
      </c>
      <c r="U31" s="562">
        <f ca="1">+INDEX(WORLDCUP!$AM$6:$AM$97,MATCH(X31,WORLDCUP!$AI$6:$AI$97,0))</f>
        <v>0</v>
      </c>
      <c r="V31" s="563">
        <f ca="1">+INDEX(WORLDCUP!$AT$6:$AT$97,MATCH(X31,WORLDCUP!$AI$6:$AI$97,0))</f>
        <v>0</v>
      </c>
      <c r="W31" s="564" t="str">
        <f ca="1">+INDEX(WORLDCUP!$AR$6:$AR$97,MATCH(X31,WORLDCUP!$AI$6:$AI$97,0))&amp;"-"&amp;INDEX(WORLDCUP!$AS$6:$AS$97,MATCH(X31,WORLDCUP!$AI$6:$AI$97,0))</f>
        <v>0-0</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7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7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7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t="str">
        <f>IF(ISBLANK(INDEX(WORLDCUP!$AC$4:$AC$147,MATCH(A35,WORLDCUP!$AH$4:$AH$147,0))),"",INDEX(WORLDCUP!$AC$4:$AC$147,MATCH(A35,WORLDCUP!$AH$4:$AH$147,0)))</f>
        <v/>
      </c>
      <c r="E35" s="503" t="str">
        <f>IF(ISBLANK(INDEX(WORLDCUP!$AD$4:$AD$147,MATCH(A35,WORLDCUP!$AH$4:$AH$147,0))),"",INDEX(WORLDCUP!$AD$4:$AD$147,MATCH(A35,WORLDCUP!$AH$4:$AH$147,0)))</f>
        <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t="str">
        <f>IF(ISBLANK(INDEX(WORLDCUP!$AC$4:$AC$147,MATCH(M35,WORLDCUP!$AH$4:$AH$147,0))),"",INDEX(WORLDCUP!$AC$4:$AC$147,MATCH(M35,WORLDCUP!$AH$4:$AH$147,0)))</f>
        <v/>
      </c>
      <c r="Q35" s="503" t="str">
        <f>IF(ISBLANK(INDEX(WORLDCUP!$AD$4:$AD$147,MATCH(M35,WORLDCUP!$AH$4:$AH$147,0))),"",INDEX(WORLDCUP!$AD$4:$AD$147,MATCH(M35,WORLDCUP!$AH$4:$AH$147,0)))</f>
        <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75" thickBot="1">
      <c r="A36" s="19">
        <v>9</v>
      </c>
      <c r="B36" s="646"/>
      <c r="C36" s="529" t="str">
        <f ca="1">+MID(INDEX(WORLDCUP!$AA$4:$AA$147,MATCH(A36,WORLDCUP!$AH$4:$AH$147,0)),1,3)</f>
        <v>Cos</v>
      </c>
      <c r="D36" s="530" t="str">
        <f>IF(ISBLANK(INDEX(WORLDCUP!$AC$4:$AC$147,MATCH(A36,WORLDCUP!$AH$4:$AH$147,0))),"",INDEX(WORLDCUP!$AC$4:$AC$147,MATCH(A36,WORLDCUP!$AH$4:$AH$147,0)))</f>
        <v/>
      </c>
      <c r="E36" s="530" t="str">
        <f>IF(ISBLANK(INDEX(WORLDCUP!$AD$4:$AD$147,MATCH(A36,WORLDCUP!$AH$4:$AH$147,0))),"",INDEX(WORLDCUP!$AD$4:$AD$147,MATCH(A36,WORLDCUP!$AH$4:$AH$147,0)))</f>
        <v/>
      </c>
      <c r="F36" s="531" t="str">
        <f ca="1">+MID(INDEX(WORLDCUP!$AF$4:$AF$147,MATCH(A36,WORLDCUP!$AH$4:$AH$147,0)),1,3)</f>
        <v>Ecu</v>
      </c>
      <c r="G36" s="532">
        <v>1</v>
      </c>
      <c r="H36" s="533" t="str">
        <f ca="1">+MID(INDEX(WORLDCUP!$AL$6:$AL$97,MATCH(L36,WORLDCUP!$AI$6:$AI$97,0)),1,3)</f>
        <v>Ale</v>
      </c>
      <c r="I36" s="534">
        <f ca="1">+INDEX(WORLDCUP!$AM$6:$AM$97,MATCH(L36,WORLDCUP!$AI$6:$AI$97,0))</f>
        <v>0</v>
      </c>
      <c r="J36" s="535">
        <f ca="1">+INDEX(WORLDCUP!$AT$6:$AT$97,MATCH(L36,WORLDCUP!$AI$6:$AI$97,0))</f>
        <v>0</v>
      </c>
      <c r="K36" s="536" t="str">
        <f ca="1">+INDEX(WORLDCUP!$AR$6:$AR$97,MATCH(L36,WORLDCUP!$AI$6:$AI$97,0))&amp;"-"&amp;INDEX(WORLDCUP!$AS$6:$AS$97,MATCH(L36,WORLDCUP!$AI$6:$AI$97,0))</f>
        <v>0-0</v>
      </c>
      <c r="L36" s="19" t="s">
        <v>661</v>
      </c>
      <c r="M36" s="19">
        <v>24</v>
      </c>
      <c r="N36" s="647"/>
      <c r="O36" s="529" t="str">
        <f ca="1">+MID(INDEX(WORLDCUP!$AA$4:$AA$147,MATCH(M36,WORLDCUP!$AH$4:$AH$147,0)),1,3)</f>
        <v>Uzb</v>
      </c>
      <c r="P36" s="530" t="str">
        <f>IF(ISBLANK(INDEX(WORLDCUP!$AC$4:$AC$147,MATCH(M36,WORLDCUP!$AH$4:$AH$147,0))),"",INDEX(WORLDCUP!$AC$4:$AC$147,MATCH(M36,WORLDCUP!$AH$4:$AH$147,0)))</f>
        <v/>
      </c>
      <c r="Q36" s="530" t="str">
        <f>IF(ISBLANK(INDEX(WORLDCUP!$AD$4:$AD$147,MATCH(M36,WORLDCUP!$AH$4:$AH$147,0))),"",INDEX(WORLDCUP!$AD$4:$AD$147,MATCH(M36,WORLDCUP!$AH$4:$AH$147,0)))</f>
        <v/>
      </c>
      <c r="R36" s="531" t="str">
        <f ca="1">+MID(INDEX(WORLDCUP!$AF$4:$AF$147,MATCH(M36,WORLDCUP!$AH$4:$AH$147,0)),1,3)</f>
        <v>Col</v>
      </c>
      <c r="S36" s="532">
        <v>1</v>
      </c>
      <c r="T36" s="533" t="str">
        <f ca="1">+MID(INDEX(WORLDCUP!$AL$6:$AL$97,MATCH(X36,WORLDCUP!$AI$6:$AI$97,0)),1,3)</f>
        <v>Por</v>
      </c>
      <c r="U36" s="534">
        <f ca="1">+INDEX(WORLDCUP!$AM$6:$AM$97,MATCH(X36,WORLDCUP!$AI$6:$AI$97,0))</f>
        <v>0</v>
      </c>
      <c r="V36" s="535">
        <f ca="1">+INDEX(WORLDCUP!$AT$6:$AT$97,MATCH(X36,WORLDCUP!$AI$6:$AI$97,0))</f>
        <v>0</v>
      </c>
      <c r="W36" s="536" t="str">
        <f ca="1">+INDEX(WORLDCUP!$AR$6:$AR$97,MATCH(X36,WORLDCUP!$AI$6:$AI$97,0))&amp;"-"&amp;INDEX(WORLDCUP!$AS$6:$AS$97,MATCH(X36,WORLDCUP!$AI$6:$AI$97,0))</f>
        <v>0-0</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7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Cur</v>
      </c>
      <c r="I37" s="223">
        <f ca="1">+INDEX(WORLDCUP!$AM$6:$AM$97,MATCH(L37,WORLDCUP!$AI$6:$AI$97,0))</f>
        <v>0</v>
      </c>
      <c r="J37" s="224">
        <f ca="1">+INDEX(WORLDCUP!$AT$6:$AT$97,MATCH(L37,WORLDCUP!$AI$6:$AI$97,0))</f>
        <v>0</v>
      </c>
      <c r="K37" s="225" t="str">
        <f ca="1">+INDEX(WORLDCUP!$AR$6:$AR$97,MATCH(L37,WORLDCUP!$AI$6:$AI$97,0))&amp;"-"&amp;INDEX(WORLDCUP!$AS$6:$AS$97,MATCH(L37,WORLDCUP!$AI$6:$AI$97,0))</f>
        <v>0-0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 xml:space="preserve">RD </v>
      </c>
      <c r="U37" s="223">
        <f ca="1">+INDEX(WORLDCUP!$AM$6:$AM$97,MATCH(X37,WORLDCUP!$AI$6:$AI$97,0))</f>
        <v>0</v>
      </c>
      <c r="V37" s="224">
        <f ca="1">+INDEX(WORLDCUP!$AT$6:$AT$97,MATCH(X37,WORLDCUP!$AI$6:$AI$97,0))</f>
        <v>0</v>
      </c>
      <c r="W37" s="225" t="str">
        <f ca="1">+INDEX(WORLDCUP!$AR$6:$AR$97,MATCH(X37,WORLDCUP!$AI$6:$AI$97,0))&amp;"-"&amp;INDEX(WORLDCUP!$AS$6:$AS$97,MATCH(X37,WORLDCUP!$AI$6:$AI$97,0))</f>
        <v>0-0</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Cos</v>
      </c>
      <c r="I38" s="223">
        <f ca="1">+INDEX(WORLDCUP!$AM$6:$AM$97,MATCH(L38,WORLDCUP!$AI$6:$AI$97,0))</f>
        <v>0</v>
      </c>
      <c r="J38" s="224">
        <f ca="1">+INDEX(WORLDCUP!$AT$6:$AT$97,MATCH(L38,WORLDCUP!$AI$6:$AI$97,0))</f>
        <v>0</v>
      </c>
      <c r="K38" s="225" t="str">
        <f ca="1">+INDEX(WORLDCUP!$AR$6:$AR$97,MATCH(L38,WORLDCUP!$AI$6:$AI$97,0))&amp;"-"&amp;INDEX(WORLDCUP!$AS$6:$AS$97,MATCH(L38,WORLDCUP!$AI$6:$AI$97,0))</f>
        <v>0-0</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Uzb</v>
      </c>
      <c r="U38" s="223">
        <f ca="1">+INDEX(WORLDCUP!$AM$6:$AM$97,MATCH(X38,WORLDCUP!$AI$6:$AI$97,0))</f>
        <v>0</v>
      </c>
      <c r="V38" s="224">
        <f ca="1">+INDEX(WORLDCUP!$AT$6:$AT$97,MATCH(X38,WORLDCUP!$AI$6:$AI$97,0))</f>
        <v>0</v>
      </c>
      <c r="W38" s="225" t="str">
        <f ca="1">+INDEX(WORLDCUP!$AR$6:$AR$97,MATCH(X38,WORLDCUP!$AI$6:$AI$97,0))&amp;"-"&amp;INDEX(WORLDCUP!$AS$6:$AS$97,MATCH(X38,WORLDCUP!$AI$6:$AI$97,0))</f>
        <v>0-0</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7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Ecu</v>
      </c>
      <c r="I39" s="562">
        <f ca="1">+INDEX(WORLDCUP!$AM$6:$AM$97,MATCH(L39,WORLDCUP!$AI$6:$AI$97,0))</f>
        <v>0</v>
      </c>
      <c r="J39" s="563">
        <f ca="1">+INDEX(WORLDCUP!$AT$6:$AT$97,MATCH(L39,WORLDCUP!$AI$6:$AI$97,0))</f>
        <v>0</v>
      </c>
      <c r="K39" s="564" t="str">
        <f ca="1">+INDEX(WORLDCUP!$AR$6:$AR$97,MATCH(L39,WORLDCUP!$AI$6:$AI$97,0))&amp;"-"&amp;INDEX(WORLDCUP!$AS$6:$AS$97,MATCH(L39,WORLDCUP!$AI$6:$AI$97,0))</f>
        <v>0-0</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Col</v>
      </c>
      <c r="U39" s="562">
        <f ca="1">+INDEX(WORLDCUP!$AM$6:$AM$97,MATCH(X39,WORLDCUP!$AI$6:$AI$97,0))</f>
        <v>0</v>
      </c>
      <c r="V39" s="563">
        <f ca="1">+INDEX(WORLDCUP!$AT$6:$AT$97,MATCH(X39,WORLDCUP!$AI$6:$AI$97,0))</f>
        <v>0</v>
      </c>
      <c r="W39" s="564" t="str">
        <f ca="1">+INDEX(WORLDCUP!$AR$6:$AR$97,MATCH(X39,WORLDCUP!$AI$6:$AI$97,0))&amp;"-"&amp;INDEX(WORLDCUP!$AS$6:$AS$97,MATCH(X39,WORLDCUP!$AI$6:$AI$97,0))</f>
        <v>0-0</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7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7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75" thickBot="1">
      <c r="A43" s="19">
        <v>11</v>
      </c>
      <c r="B43" s="651" t="s">
        <v>4</v>
      </c>
      <c r="C43" s="502" t="str">
        <f ca="1">+MID(INDEX(WORLDCUP!$AA$4:$AA$147,MATCH(A43,WORLDCUP!$AH$4:$AH$147,0)),1,3)</f>
        <v>Paí</v>
      </c>
      <c r="D43" s="503" t="str">
        <f>IF(ISBLANK(INDEX(WORLDCUP!$AC$4:$AC$147,MATCH(A43,WORLDCUP!$AH$4:$AH$147,0))),"",INDEX(WORLDCUP!$AC$4:$AC$147,MATCH(A43,WORLDCUP!$AH$4:$AH$147,0)))</f>
        <v/>
      </c>
      <c r="E43" s="503" t="str">
        <f>IF(ISBLANK(INDEX(WORLDCUP!$AD$4:$AD$147,MATCH(A43,WORLDCUP!$AH$4:$AH$147,0))),"",INDEX(WORLDCUP!$AD$4:$AD$147,MATCH(A43,WORLDCUP!$AH$4:$AH$147,0)))</f>
        <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t="str">
        <f>IF(ISBLANK(INDEX(WORLDCUP!$AC$4:$AC$147,MATCH(M43,WORLDCUP!$AH$4:$AH$147,0))),"",INDEX(WORLDCUP!$AC$4:$AC$147,MATCH(M43,WORLDCUP!$AH$4:$AH$147,0)))</f>
        <v/>
      </c>
      <c r="Q43" s="503" t="str">
        <f>IF(ISBLANK(INDEX(WORLDCUP!$AD$4:$AD$147,MATCH(M43,WORLDCUP!$AH$4:$AH$147,0))),"",INDEX(WORLDCUP!$AD$4:$AD$147,MATCH(M43,WORLDCUP!$AH$4:$AH$147,0)))</f>
        <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t="str">
        <f>IF(ISBLANK(INDEX(WORLDCUP!$AC$4:$AC$147,MATCH(A44,WORLDCUP!$AH$4:$AH$147,0))),"",INDEX(WORLDCUP!$AC$4:$AC$147,MATCH(A44,WORLDCUP!$AH$4:$AH$147,0)))</f>
        <v/>
      </c>
      <c r="E44" s="530" t="str">
        <f>IF(ISBLANK(INDEX(WORLDCUP!$AD$4:$AD$147,MATCH(A44,WORLDCUP!$AH$4:$AH$147,0))),"",INDEX(WORLDCUP!$AD$4:$AD$147,MATCH(A44,WORLDCUP!$AH$4:$AH$147,0)))</f>
        <v/>
      </c>
      <c r="F44" s="531" t="str">
        <f ca="1">+MID(INDEX(WORLDCUP!$AF$4:$AF$147,MATCH(A44,WORLDCUP!$AH$4:$AH$147,0)),1,3)</f>
        <v>Tún</v>
      </c>
      <c r="G44" s="532">
        <v>1</v>
      </c>
      <c r="H44" s="533" t="str">
        <f ca="1">+MID(INDEX(WORLDCUP!$AL$6:$AL$97,MATCH(L44,WORLDCUP!$AI$6:$AI$97,0)),1,3)</f>
        <v>Paí</v>
      </c>
      <c r="I44" s="534">
        <f ca="1">+INDEX(WORLDCUP!$AM$6:$AM$97,MATCH(L44,WORLDCUP!$AI$6:$AI$97,0))</f>
        <v>0</v>
      </c>
      <c r="J44" s="535">
        <f ca="1">+INDEX(WORLDCUP!$AT$6:$AT$97,MATCH(L44,WORLDCUP!$AI$6:$AI$97,0))</f>
        <v>0</v>
      </c>
      <c r="K44" s="536" t="str">
        <f ca="1">+INDEX(WORLDCUP!$AR$6:$AR$97,MATCH(L44,WORLDCUP!$AI$6:$AI$97,0))&amp;"-"&amp;INDEX(WORLDCUP!$AS$6:$AS$97,MATCH(L44,WORLDCUP!$AI$6:$AI$97,0))</f>
        <v>0-0</v>
      </c>
      <c r="L44" s="19" t="s">
        <v>664</v>
      </c>
      <c r="M44" s="19">
        <v>21</v>
      </c>
      <c r="N44" s="654"/>
      <c r="O44" s="529" t="str">
        <f ca="1">+MID(INDEX(WORLDCUP!$AA$4:$AA$147,MATCH(M44,WORLDCUP!$AH$4:$AH$147,0)),1,3)</f>
        <v>Gha</v>
      </c>
      <c r="P44" s="530" t="str">
        <f>IF(ISBLANK(INDEX(WORLDCUP!$AC$4:$AC$147,MATCH(M44,WORLDCUP!$AH$4:$AH$147,0))),"",INDEX(WORLDCUP!$AC$4:$AC$147,MATCH(M44,WORLDCUP!$AH$4:$AH$147,0)))</f>
        <v/>
      </c>
      <c r="Q44" s="530" t="str">
        <f>IF(ISBLANK(INDEX(WORLDCUP!$AD$4:$AD$147,MATCH(M44,WORLDCUP!$AH$4:$AH$147,0))),"",INDEX(WORLDCUP!$AD$4:$AD$147,MATCH(M44,WORLDCUP!$AH$4:$AH$147,0)))</f>
        <v/>
      </c>
      <c r="R44" s="531" t="str">
        <f ca="1">+MID(INDEX(WORLDCUP!$AF$4:$AF$147,MATCH(M44,WORLDCUP!$AH$4:$AH$147,0)),1,3)</f>
        <v>Pan</v>
      </c>
      <c r="S44" s="532">
        <v>1</v>
      </c>
      <c r="T44" s="533" t="str">
        <f ca="1">+MID(INDEX(WORLDCUP!$AL$6:$AL$97,MATCH(X44,WORLDCUP!$AI$6:$AI$97,0)),1,3)</f>
        <v>Ing</v>
      </c>
      <c r="U44" s="534">
        <f ca="1">+INDEX(WORLDCUP!$AM$6:$AM$97,MATCH(X44,WORLDCUP!$AI$6:$AI$97,0))</f>
        <v>0</v>
      </c>
      <c r="V44" s="535">
        <f ca="1">+INDEX(WORLDCUP!$AT$6:$AT$97,MATCH(X44,WORLDCUP!$AI$6:$AI$97,0))</f>
        <v>0</v>
      </c>
      <c r="W44" s="536" t="str">
        <f ca="1">+INDEX(WORLDCUP!$AR$6:$AR$97,MATCH(X44,WORLDCUP!$AI$6:$AI$97,0))&amp;"-"&amp;INDEX(WORLDCUP!$AS$6:$AS$97,MATCH(X44,WORLDCUP!$AI$6:$AI$97,0))</f>
        <v>0-0</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7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Jap</v>
      </c>
      <c r="I45" s="223">
        <f ca="1">+INDEX(WORLDCUP!$AM$6:$AM$97,MATCH(L45,WORLDCUP!$AI$6:$AI$97,0))</f>
        <v>0</v>
      </c>
      <c r="J45" s="224">
        <f ca="1">+INDEX(WORLDCUP!$AT$6:$AT$97,MATCH(L45,WORLDCUP!$AI$6:$AI$97,0))</f>
        <v>0</v>
      </c>
      <c r="K45" s="225" t="str">
        <f ca="1">+INDEX(WORLDCUP!$AR$6:$AR$97,MATCH(L45,WORLDCUP!$AI$6:$AI$97,0))&amp;"-"&amp;INDEX(WORLDCUP!$AS$6:$AS$97,MATCH(L45,WORLDCUP!$AI$6:$AI$97,0))</f>
        <v>0-0</v>
      </c>
      <c r="L45" s="19" t="s">
        <v>665</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Cro</v>
      </c>
      <c r="U45" s="223">
        <f ca="1">+INDEX(WORLDCUP!$AM$6:$AM$97,MATCH(X45,WORLDCUP!$AI$6:$AI$97,0))</f>
        <v>0</v>
      </c>
      <c r="V45" s="224">
        <f ca="1">+INDEX(WORLDCUP!$AT$6:$AT$97,MATCH(X45,WORLDCUP!$AI$6:$AI$97,0))</f>
        <v>0</v>
      </c>
      <c r="W45" s="225" t="str">
        <f ca="1">+INDEX(WORLDCUP!$AR$6:$AR$97,MATCH(X45,WORLDCUP!$AI$6:$AI$97,0))&amp;"-"&amp;INDEX(WORLDCUP!$AS$6:$AS$97,MATCH(X45,WORLDCUP!$AI$6:$AI$97,0))</f>
        <v>0-0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7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Sue</v>
      </c>
      <c r="I46" s="223">
        <f ca="1">+INDEX(WORLDCUP!$AM$6:$AM$97,MATCH(L46,WORLDCUP!$AI$6:$AI$97,0))</f>
        <v>0</v>
      </c>
      <c r="J46" s="224">
        <f ca="1">+INDEX(WORLDCUP!$AT$6:$AT$97,MATCH(L46,WORLDCUP!$AI$6:$AI$97,0))</f>
        <v>0</v>
      </c>
      <c r="K46" s="225" t="str">
        <f ca="1">+INDEX(WORLDCUP!$AR$6:$AR$97,MATCH(L46,WORLDCUP!$AI$6:$AI$97,0))&amp;"-"&amp;INDEX(WORLDCUP!$AS$6:$AS$97,MATCH(L46,WORLDCUP!$AI$6:$AI$97,0))</f>
        <v>0-0</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Gha</v>
      </c>
      <c r="U46" s="223">
        <f ca="1">+INDEX(WORLDCUP!$AM$6:$AM$97,MATCH(X46,WORLDCUP!$AI$6:$AI$97,0))</f>
        <v>0</v>
      </c>
      <c r="V46" s="224">
        <f ca="1">+INDEX(WORLDCUP!$AT$6:$AT$97,MATCH(X46,WORLDCUP!$AI$6:$AI$97,0))</f>
        <v>0</v>
      </c>
      <c r="W46" s="225" t="str">
        <f ca="1">+INDEX(WORLDCUP!$AR$6:$AR$97,MATCH(X46,WORLDCUP!$AI$6:$AI$97,0))&amp;"-"&amp;INDEX(WORLDCUP!$AS$6:$AS$97,MATCH(X46,WORLDCUP!$AI$6:$AI$97,0))</f>
        <v>0-0</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0</v>
      </c>
      <c r="K47" s="564" t="str">
        <f ca="1">+INDEX(WORLDCUP!$AR$6:$AR$97,MATCH(L47,WORLDCUP!$AI$6:$AI$97,0))&amp;"-"&amp;INDEX(WORLDCUP!$AS$6:$AS$97,MATCH(L47,WORLDCUP!$AI$6:$AI$97,0))</f>
        <v>0-0</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Pan</v>
      </c>
      <c r="U47" s="562">
        <f ca="1">+INDEX(WORLDCUP!$AM$6:$AM$97,MATCH(X47,WORLDCUP!$AI$6:$AI$97,0))</f>
        <v>0</v>
      </c>
      <c r="V47" s="563">
        <f ca="1">+INDEX(WORLDCUP!$AT$6:$AT$97,MATCH(X47,WORLDCUP!$AI$6:$AI$97,0))</f>
        <v>0</v>
      </c>
      <c r="W47" s="564" t="str">
        <f ca="1">+INDEX(WORLDCUP!$AR$6:$AR$97,MATCH(X47,WORLDCUP!$AI$6:$AI$97,0))&amp;"-"&amp;INDEX(WORLDCUP!$AS$6:$AS$97,MATCH(X47,WORLDCUP!$AI$6:$AI$97,0))</f>
        <v>0-0</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7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2"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3"/>
      <c r="D3" s="853"/>
      <c r="E3" s="853"/>
      <c r="F3" s="853"/>
      <c r="G3" s="853"/>
      <c r="H3" s="853"/>
      <c r="I3" s="853"/>
      <c r="J3" s="854"/>
      <c r="K3" s="27"/>
      <c r="L3" s="674"/>
      <c r="M3" s="675"/>
      <c r="N3" s="675"/>
      <c r="O3" s="675"/>
      <c r="P3" s="675"/>
      <c r="Q3" s="675"/>
      <c r="R3" s="675"/>
      <c r="S3" s="689"/>
      <c r="T3" s="690"/>
    </row>
    <row r="4" spans="1:20">
      <c r="A4" s="26"/>
      <c r="B4" s="855"/>
      <c r="C4" s="856"/>
      <c r="D4" s="856"/>
      <c r="E4" s="856"/>
      <c r="F4" s="856"/>
      <c r="G4" s="856"/>
      <c r="H4" s="856"/>
      <c r="I4" s="856"/>
      <c r="J4" s="857"/>
      <c r="K4" s="27"/>
      <c r="L4" s="676" t="str">
        <f>Idiomas!D86</f>
        <v>· Selecciona el idioma en el que quieras hacer la porra y la zona horaria</v>
      </c>
      <c r="M4" s="141"/>
      <c r="N4" s="141"/>
      <c r="O4" s="141"/>
      <c r="P4" s="141"/>
      <c r="Q4" s="141"/>
      <c r="R4" s="141"/>
      <c r="S4" s="691"/>
      <c r="T4" s="692"/>
    </row>
    <row r="5" spans="1:20">
      <c r="A5" s="26"/>
      <c r="B5" s="855"/>
      <c r="C5" s="856"/>
      <c r="D5" s="856"/>
      <c r="E5" s="856"/>
      <c r="F5" s="856"/>
      <c r="G5" s="856"/>
      <c r="H5" s="856"/>
      <c r="I5" s="856"/>
      <c r="J5" s="857"/>
      <c r="K5" s="27"/>
      <c r="L5" s="676" t="str">
        <f>Idiomas!D87</f>
        <v>· Escribe el nombre del grupo de la porra/quiniela</v>
      </c>
      <c r="M5" s="141"/>
      <c r="N5" s="141"/>
      <c r="O5" s="141"/>
      <c r="P5" s="141"/>
      <c r="Q5" s="141"/>
      <c r="R5" s="141"/>
      <c r="S5" s="691"/>
      <c r="T5" s="692"/>
    </row>
    <row r="6" spans="1:20">
      <c r="A6" s="26"/>
      <c r="B6" s="855"/>
      <c r="C6" s="856"/>
      <c r="D6" s="856"/>
      <c r="E6" s="856"/>
      <c r="F6" s="856"/>
      <c r="G6" s="856"/>
      <c r="H6" s="856"/>
      <c r="I6" s="856"/>
      <c r="J6" s="857"/>
      <c r="K6" s="27"/>
      <c r="L6" s="863" t="str">
        <f>HYPERLINK(Idiomas!D103,Idiomas!D88)</f>
        <v>· El archivo de participante lo puedes descargar desde aquí</v>
      </c>
      <c r="M6" s="864"/>
      <c r="N6" s="864"/>
      <c r="O6" s="864"/>
      <c r="P6" s="141"/>
      <c r="Q6" s="141"/>
      <c r="R6" s="141"/>
      <c r="S6" s="691"/>
      <c r="T6" s="692"/>
    </row>
    <row r="7" spans="1:20">
      <c r="A7" s="26"/>
      <c r="B7" s="855"/>
      <c r="C7" s="856"/>
      <c r="D7" s="856"/>
      <c r="E7" s="856"/>
      <c r="F7" s="856"/>
      <c r="G7" s="856"/>
      <c r="H7" s="856"/>
      <c r="I7" s="856"/>
      <c r="J7" s="857"/>
      <c r="K7" s="27"/>
      <c r="L7" s="677"/>
      <c r="M7" s="678"/>
      <c r="N7" s="678"/>
      <c r="O7" s="678"/>
      <c r="P7" s="678"/>
      <c r="Q7" s="678"/>
      <c r="R7" s="678"/>
      <c r="S7" s="693"/>
      <c r="T7" s="694"/>
    </row>
    <row r="8" spans="1:20">
      <c r="A8" s="26"/>
      <c r="B8" s="855"/>
      <c r="C8" s="856"/>
      <c r="D8" s="856"/>
      <c r="E8" s="856"/>
      <c r="F8" s="856"/>
      <c r="G8" s="856"/>
      <c r="H8" s="856"/>
      <c r="I8" s="856"/>
      <c r="J8" s="857"/>
      <c r="K8" s="27"/>
      <c r="L8" s="4"/>
      <c r="M8" s="4"/>
      <c r="N8" s="4"/>
      <c r="O8" s="4"/>
      <c r="P8" s="4"/>
      <c r="Q8" s="4"/>
      <c r="R8" s="4"/>
      <c r="S8" s="688"/>
      <c r="T8" s="688"/>
    </row>
    <row r="9" spans="1:20">
      <c r="A9" s="26"/>
      <c r="B9" s="855"/>
      <c r="C9" s="856"/>
      <c r="D9" s="856"/>
      <c r="E9" s="856"/>
      <c r="F9" s="856"/>
      <c r="G9" s="856"/>
      <c r="H9" s="856"/>
      <c r="I9" s="856"/>
      <c r="J9" s="857"/>
      <c r="K9" s="27"/>
      <c r="L9" s="36" t="str">
        <f>"ADMIN"&amp;" "&amp;Idiomas!D89</f>
        <v>ADMIN (Antes de empezar el mundial)</v>
      </c>
      <c r="M9" s="683"/>
      <c r="N9" s="4"/>
      <c r="O9" s="4"/>
      <c r="P9" s="4"/>
      <c r="Q9" s="4"/>
      <c r="R9" s="4"/>
      <c r="S9" s="688"/>
      <c r="T9" s="688"/>
    </row>
    <row r="10" spans="1:20">
      <c r="A10" s="26"/>
      <c r="B10" s="855"/>
      <c r="C10" s="856"/>
      <c r="D10" s="856"/>
      <c r="E10" s="856"/>
      <c r="F10" s="856"/>
      <c r="G10" s="856"/>
      <c r="H10" s="856"/>
      <c r="I10" s="856"/>
      <c r="J10" s="857"/>
      <c r="K10" s="27"/>
      <c r="L10" s="674"/>
      <c r="M10" s="675"/>
      <c r="N10" s="675"/>
      <c r="O10" s="675"/>
      <c r="P10" s="675"/>
      <c r="Q10" s="675"/>
      <c r="R10" s="675"/>
      <c r="S10" s="689"/>
      <c r="T10" s="690"/>
    </row>
    <row r="11" spans="1:20">
      <c r="A11" s="26"/>
      <c r="B11" s="855"/>
      <c r="C11" s="856"/>
      <c r="D11" s="856"/>
      <c r="E11" s="856"/>
      <c r="F11" s="856"/>
      <c r="G11" s="856"/>
      <c r="H11" s="856"/>
      <c r="I11" s="856"/>
      <c r="J11" s="857"/>
      <c r="K11" s="27"/>
      <c r="L11" s="676" t="str">
        <f>Idiomas!D91</f>
        <v>· Esta hoja sirve para administrar la porra/quiniela</v>
      </c>
      <c r="M11" s="141"/>
      <c r="N11" s="141"/>
      <c r="O11" s="141"/>
      <c r="P11" s="141"/>
      <c r="Q11" s="141"/>
      <c r="R11" s="141"/>
      <c r="S11" s="691"/>
      <c r="T11" s="692"/>
    </row>
    <row r="12" spans="1:20">
      <c r="A12" s="26"/>
      <c r="B12" s="858"/>
      <c r="C12" s="859"/>
      <c r="D12" s="859"/>
      <c r="E12" s="859"/>
      <c r="F12" s="859"/>
      <c r="G12" s="859"/>
      <c r="H12" s="859"/>
      <c r="I12" s="859"/>
      <c r="J12" s="860"/>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3" t="str">
        <f>HYPERLINK(Idiomas!D302,Idiomas!D93)</f>
        <v>· Aquí explicamos cada criterio de puntuación</v>
      </c>
      <c r="M13" s="864"/>
      <c r="N13" s="864"/>
      <c r="O13" s="864"/>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100000000000001"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100000000000001" customHeight="1">
      <c r="A21" s="35"/>
      <c r="B21" s="162"/>
      <c r="C21" s="163" t="s">
        <v>1935</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1" customHeight="1">
      <c r="A22" s="35"/>
      <c r="B22" s="162"/>
      <c r="C22" s="165"/>
      <c r="D22" s="165"/>
      <c r="E22" s="165"/>
      <c r="F22" s="165"/>
      <c r="G22" s="165"/>
      <c r="H22" s="165"/>
      <c r="I22" s="161"/>
      <c r="J22" s="166"/>
      <c r="K22" s="35"/>
      <c r="L22" s="676"/>
      <c r="M22" s="141"/>
      <c r="N22" s="141"/>
      <c r="O22" s="141"/>
      <c r="P22" s="141"/>
      <c r="Q22" s="141"/>
      <c r="R22" s="141"/>
      <c r="S22" s="691"/>
      <c r="T22" s="692"/>
    </row>
    <row r="23" spans="1:20" ht="20.100000000000001"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1" customHeight="1">
      <c r="A24" s="35"/>
      <c r="B24" s="162"/>
      <c r="C24" s="165"/>
      <c r="D24" s="165"/>
      <c r="E24" s="165"/>
      <c r="F24" s="165"/>
      <c r="G24" s="165"/>
      <c r="H24" s="165"/>
      <c r="I24" s="165"/>
      <c r="J24" s="166"/>
      <c r="K24" s="35"/>
      <c r="L24" s="676"/>
      <c r="M24" s="141"/>
      <c r="N24" s="141"/>
      <c r="O24" s="141"/>
      <c r="P24" s="141"/>
      <c r="Q24" s="141"/>
      <c r="R24" s="141"/>
      <c r="S24" s="691"/>
      <c r="T24" s="692"/>
    </row>
    <row r="25" spans="1:20" ht="20.100000000000001"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1" customHeight="1">
      <c r="A26" s="35"/>
      <c r="B26" s="162"/>
      <c r="C26" s="165"/>
      <c r="D26" s="165"/>
      <c r="E26" s="165"/>
      <c r="F26" s="165"/>
      <c r="G26" s="165"/>
      <c r="H26" s="165"/>
      <c r="I26" s="165"/>
      <c r="J26" s="166"/>
      <c r="K26" s="35"/>
      <c r="L26" s="676"/>
      <c r="M26" s="141"/>
      <c r="N26" s="141"/>
      <c r="O26" s="141"/>
      <c r="P26" s="141"/>
      <c r="Q26" s="141"/>
      <c r="R26" s="141"/>
      <c r="S26" s="691"/>
      <c r="T26" s="692"/>
    </row>
    <row r="27" spans="1:20" ht="20.100000000000001"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1" customHeight="1">
      <c r="A28" s="35"/>
      <c r="B28" s="162"/>
      <c r="C28" s="165"/>
      <c r="D28" s="165"/>
      <c r="E28" s="165"/>
      <c r="F28" s="165"/>
      <c r="G28" s="165"/>
      <c r="H28" s="165"/>
      <c r="I28" s="165"/>
      <c r="J28" s="166"/>
      <c r="K28" s="35"/>
    </row>
    <row r="29" spans="1:20" ht="20.100000000000001" customHeight="1">
      <c r="A29" s="35"/>
      <c r="B29" s="162"/>
      <c r="C29" s="163" t="s">
        <v>1270</v>
      </c>
      <c r="D29" s="164"/>
      <c r="E29" s="39">
        <v>0</v>
      </c>
      <c r="F29" s="164"/>
      <c r="G29" s="38">
        <v>2</v>
      </c>
      <c r="H29" s="165"/>
      <c r="I29" s="165"/>
      <c r="J29" s="166"/>
      <c r="K29" s="35"/>
    </row>
    <row r="30" spans="1:20" ht="2.1" customHeight="1">
      <c r="A30" s="35"/>
      <c r="B30" s="162"/>
      <c r="C30" s="165"/>
      <c r="D30" s="165"/>
      <c r="E30" s="165"/>
      <c r="F30" s="165"/>
      <c r="G30" s="165"/>
      <c r="H30" s="165"/>
      <c r="I30" s="165"/>
      <c r="J30" s="166"/>
      <c r="K30" s="35"/>
      <c r="L30" s="36"/>
    </row>
    <row r="31" spans="1:20" ht="20.100000000000001"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7.95" customHeight="1">
      <c r="A34" s="27"/>
      <c r="B34" s="861"/>
      <c r="C34" s="861"/>
      <c r="D34" s="861"/>
      <c r="E34" s="861"/>
      <c r="F34" s="861"/>
      <c r="G34" s="861"/>
      <c r="H34" s="861"/>
      <c r="I34" s="861"/>
      <c r="J34" s="861"/>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18.75"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3.950000000000003"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2" t="str">
        <f>Idiomas!D107</f>
        <v>Si Irán no participa en el mundial y le sustituye otra selección, selecciona el país sustituto en el desplegable. Si no aparece, elige 'Otro' e ingresa manualmente el nombre (español e inglés), su zona UTC y, opcionalmente, la imagen de su bandera.</v>
      </c>
      <c r="N84" s="862"/>
      <c r="O84" s="862"/>
      <c r="P84" s="862"/>
      <c r="Q84" s="862"/>
      <c r="R84" s="862"/>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1">
        <v>#VALUE!</v>
      </c>
      <c r="Y87" s="8">
        <v>3.5</v>
      </c>
    </row>
    <row r="88" spans="13:25">
      <c r="T88" s="700" t="s">
        <v>1796</v>
      </c>
      <c r="U88" s="8" t="s">
        <v>1755</v>
      </c>
      <c r="V88" s="8" t="s">
        <v>1756</v>
      </c>
      <c r="W88" s="8" t="s">
        <v>1760</v>
      </c>
      <c r="X88" s="700" t="e" vm="2">
        <v>#VALUE!</v>
      </c>
      <c r="Y88" s="8">
        <v>4</v>
      </c>
    </row>
    <row r="89" spans="13:25" ht="15.75">
      <c r="T89" s="700" t="s">
        <v>1797</v>
      </c>
      <c r="U89" s="8" t="s">
        <v>1786</v>
      </c>
      <c r="V89" s="8" t="s">
        <v>1786</v>
      </c>
      <c r="W89" s="701" t="s">
        <v>1787</v>
      </c>
      <c r="X89" s="700" t="e" vm="3">
        <v>#VALUE!</v>
      </c>
      <c r="Y89" s="8">
        <v>-4</v>
      </c>
    </row>
    <row r="90" spans="13:25" ht="15.75">
      <c r="T90" s="700" t="s">
        <v>1798</v>
      </c>
      <c r="U90" s="8" t="s">
        <v>1788</v>
      </c>
      <c r="V90" s="8" t="s">
        <v>1789</v>
      </c>
      <c r="W90" s="702" t="s">
        <v>1790</v>
      </c>
      <c r="X90" s="700" t="e" vm="4">
        <v>#VALUE!</v>
      </c>
      <c r="Y90" s="8">
        <v>-3</v>
      </c>
    </row>
    <row r="91" spans="13:25">
      <c r="T91" s="700" t="s">
        <v>1799</v>
      </c>
      <c r="U91" s="8" t="str">
        <f>N93</f>
        <v>Escribe la selección</v>
      </c>
      <c r="V91" s="8" t="str">
        <f>O93</f>
        <v>Write the nation</v>
      </c>
      <c r="W91" s="8" t="str">
        <f>IF(Q93="","",Q93)</f>
        <v/>
      </c>
      <c r="X91" s="8" t="str">
        <f>IF(R93="","",R93)</f>
        <v/>
      </c>
      <c r="Y91" s="8">
        <f>IF(P93="",-4,P93)</f>
        <v>-4</v>
      </c>
    </row>
    <row r="92" spans="13:25" ht="18.95" customHeight="1">
      <c r="N92" s="493" t="s">
        <v>1792</v>
      </c>
      <c r="O92" s="493" t="s">
        <v>1793</v>
      </c>
      <c r="P92" s="493" t="s">
        <v>1807</v>
      </c>
      <c r="Q92" s="493" t="s">
        <v>1804</v>
      </c>
      <c r="R92" s="493" t="s">
        <v>1801</v>
      </c>
    </row>
    <row r="93" spans="13:25" ht="24.9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3"/>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3"/>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4"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5"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7"/>
      <c r="K119" s="732"/>
      <c r="L119" s="732"/>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8" t="s">
        <v>1375</v>
      </c>
      <c r="F299" s="778" t="s">
        <v>126</v>
      </c>
      <c r="G299" s="778" t="s">
        <v>1376</v>
      </c>
      <c r="H299" s="778" t="s">
        <v>1516</v>
      </c>
      <c r="I299" s="11"/>
    </row>
    <row r="300" spans="1:9">
      <c r="A300" s="11"/>
      <c r="B300" s="11"/>
      <c r="C300" s="11"/>
      <c r="D300" s="11" t="str">
        <f t="shared" si="16"/>
        <v>↓↓ Resultados reales ↓↓</v>
      </c>
      <c r="E300" s="778" t="s">
        <v>1375</v>
      </c>
      <c r="F300" s="778" t="s">
        <v>181</v>
      </c>
      <c r="G300" s="778" t="s">
        <v>1377</v>
      </c>
      <c r="H300" s="778" t="s">
        <v>1378</v>
      </c>
      <c r="I300" s="11"/>
    </row>
    <row r="301" spans="1:9">
      <c r="A301" s="11"/>
      <c r="B301" s="11"/>
      <c r="C301" s="11"/>
      <c r="D301" s="11" t="str">
        <f t="shared" si="16"/>
        <v>Regla* (Click para ver la explicación)</v>
      </c>
      <c r="E301" s="778" t="s">
        <v>1375</v>
      </c>
      <c r="F301" s="778" t="s">
        <v>1379</v>
      </c>
      <c r="G301" s="778" t="s">
        <v>1829</v>
      </c>
      <c r="H301" s="778" t="s">
        <v>1830</v>
      </c>
      <c r="I301" s="11"/>
    </row>
    <row r="302" spans="1:9">
      <c r="A302" s="11"/>
      <c r="B302" s="11"/>
      <c r="C302" s="11"/>
      <c r="D302" s="11" t="str">
        <f t="shared" si="16"/>
        <v>https://matejero.es/puntuaciones-excel-mundial-2026/</v>
      </c>
      <c r="E302" s="778" t="s">
        <v>1375</v>
      </c>
      <c r="F302" s="778"/>
      <c r="G302" s="779" t="s">
        <v>1828</v>
      </c>
      <c r="H302" s="779" t="s">
        <v>1917</v>
      </c>
      <c r="I302" s="11"/>
    </row>
    <row r="303" spans="1:9">
      <c r="A303" s="11"/>
      <c r="B303" s="11"/>
      <c r="C303" s="11"/>
      <c r="D303" s="11" t="str">
        <f t="shared" si="16"/>
        <v>Puntos</v>
      </c>
      <c r="E303" s="778" t="s">
        <v>1375</v>
      </c>
      <c r="F303" s="778" t="s">
        <v>1380</v>
      </c>
      <c r="G303" s="778" t="s">
        <v>1381</v>
      </c>
      <c r="H303" s="778" t="s">
        <v>1382</v>
      </c>
      <c r="I303" s="11"/>
    </row>
    <row r="304" spans="1:9">
      <c r="A304" s="11"/>
      <c r="B304" s="11"/>
      <c r="C304" s="11"/>
      <c r="D304" s="11" t="str">
        <f t="shared" si="16"/>
        <v>FASE DE GRUPOS - Signo 1X2 (local, empate, visitante)</v>
      </c>
      <c r="E304" s="778" t="s">
        <v>1375</v>
      </c>
      <c r="F304" s="778" t="s">
        <v>1383</v>
      </c>
      <c r="G304" s="778" t="s">
        <v>1774</v>
      </c>
      <c r="H304" s="778" t="s">
        <v>1775</v>
      </c>
      <c r="I304" s="11"/>
    </row>
    <row r="305" spans="1:9">
      <c r="A305" s="11"/>
      <c r="B305" s="11"/>
      <c r="C305" s="11"/>
      <c r="D305" s="11" t="str">
        <f t="shared" si="16"/>
        <v>FASE DE GRUPOS - Diferencia/Distancia de goles (Con 1X2 acertado)</v>
      </c>
      <c r="E305" s="778" t="s">
        <v>1375</v>
      </c>
      <c r="F305" s="778" t="s">
        <v>1384</v>
      </c>
      <c r="G305" s="778" t="s">
        <v>1766</v>
      </c>
      <c r="H305" s="778" t="s">
        <v>1385</v>
      </c>
      <c r="I305" s="11"/>
    </row>
    <row r="306" spans="1:9">
      <c r="A306" s="11"/>
      <c r="B306" s="11"/>
      <c r="C306" s="11"/>
      <c r="D306" s="11" t="str">
        <f t="shared" si="16"/>
        <v>FASE DE GRUPOS - Resultado exacto</v>
      </c>
      <c r="E306" s="778" t="s">
        <v>1375</v>
      </c>
      <c r="F306" s="778" t="s">
        <v>1386</v>
      </c>
      <c r="G306" s="778" t="s">
        <v>1387</v>
      </c>
      <c r="H306" s="778" t="s">
        <v>1388</v>
      </c>
      <c r="I306" s="11"/>
    </row>
    <row r="307" spans="1:9">
      <c r="A307" s="11"/>
      <c r="B307" s="11"/>
      <c r="C307" s="11"/>
      <c r="D307" s="11" t="str">
        <f t="shared" si="16"/>
        <v>FASE DE GRUPOS - Posición exacta (1º)</v>
      </c>
      <c r="E307" s="778" t="s">
        <v>1375</v>
      </c>
      <c r="F307" s="778" t="s">
        <v>1389</v>
      </c>
      <c r="G307" s="778" t="s">
        <v>1390</v>
      </c>
      <c r="H307" s="778" t="s">
        <v>1391</v>
      </c>
      <c r="I307" s="11"/>
    </row>
    <row r="308" spans="1:9">
      <c r="A308" s="11"/>
      <c r="B308" s="11"/>
      <c r="C308" s="11"/>
      <c r="D308" s="11" t="str">
        <f t="shared" si="16"/>
        <v>FASE DE GRUPOS - Posición exacta (2º)</v>
      </c>
      <c r="E308" s="778" t="s">
        <v>1375</v>
      </c>
      <c r="F308" s="778" t="s">
        <v>1398</v>
      </c>
      <c r="G308" s="778" t="s">
        <v>1392</v>
      </c>
      <c r="H308" s="778" t="s">
        <v>1393</v>
      </c>
      <c r="I308" s="11"/>
    </row>
    <row r="309" spans="1:9">
      <c r="A309" s="11"/>
      <c r="B309" s="11"/>
      <c r="C309" s="11"/>
      <c r="D309" s="11" t="str">
        <f t="shared" si="16"/>
        <v>FASE DE GRUPOS - Posición exacta (3º)</v>
      </c>
      <c r="E309" s="778" t="s">
        <v>1375</v>
      </c>
      <c r="F309" s="778" t="s">
        <v>1398</v>
      </c>
      <c r="G309" s="778" t="s">
        <v>1394</v>
      </c>
      <c r="H309" s="778" t="s">
        <v>1395</v>
      </c>
      <c r="I309" s="11"/>
    </row>
    <row r="310" spans="1:9">
      <c r="A310" s="11"/>
      <c r="B310" s="11"/>
      <c r="C310" s="11"/>
      <c r="D310" s="11" t="str">
        <f t="shared" si="16"/>
        <v>FASE DE GRUPOS - Posición exacta (4º)</v>
      </c>
      <c r="E310" s="778" t="s">
        <v>1375</v>
      </c>
      <c r="F310" s="778" t="s">
        <v>1400</v>
      </c>
      <c r="G310" s="778" t="s">
        <v>1396</v>
      </c>
      <c r="H310" s="778" t="s">
        <v>1397</v>
      </c>
      <c r="I310" s="11"/>
    </row>
    <row r="311" spans="1:9">
      <c r="A311" s="11"/>
      <c r="B311" s="11"/>
      <c r="C311" s="11"/>
      <c r="D311" s="11" t="str">
        <f t="shared" si="16"/>
        <v>Equipo clasificado para DIECISEISAVOS</v>
      </c>
      <c r="E311" s="778" t="s">
        <v>1375</v>
      </c>
      <c r="F311" s="778" t="s">
        <v>1403</v>
      </c>
      <c r="G311" s="778" t="s">
        <v>1540</v>
      </c>
      <c r="H311" s="778" t="s">
        <v>1572</v>
      </c>
      <c r="I311" s="11"/>
    </row>
    <row r="312" spans="1:9">
      <c r="A312" s="11"/>
      <c r="B312" s="11"/>
      <c r="C312" s="11"/>
      <c r="D312" s="11" t="str">
        <f t="shared" si="16"/>
        <v>DIECISEISAVOS - Signo 1X2 (local, empate, visitante)</v>
      </c>
      <c r="E312" s="778" t="s">
        <v>1375</v>
      </c>
      <c r="F312" s="778" t="s">
        <v>1405</v>
      </c>
      <c r="G312" s="778" t="s">
        <v>1542</v>
      </c>
      <c r="H312" s="778" t="s">
        <v>1547</v>
      </c>
      <c r="I312" s="11"/>
    </row>
    <row r="313" spans="1:9">
      <c r="A313" s="11"/>
      <c r="B313" s="11"/>
      <c r="C313" s="11"/>
      <c r="D313" s="11" t="str">
        <f t="shared" si="16"/>
        <v>DIECISEISAVOS - Diferencia/Distancia de goles (Con 1X2 acertado)</v>
      </c>
      <c r="E313" s="778" t="s">
        <v>1375</v>
      </c>
      <c r="F313" s="778" t="s">
        <v>1400</v>
      </c>
      <c r="G313" s="778" t="s">
        <v>1767</v>
      </c>
      <c r="H313" s="778" t="s">
        <v>1548</v>
      </c>
      <c r="I313" s="11"/>
    </row>
    <row r="314" spans="1:9">
      <c r="A314" s="11"/>
      <c r="B314" s="11"/>
      <c r="C314" s="11"/>
      <c r="D314" s="11" t="str">
        <f t="shared" si="16"/>
        <v>DIECISEISAVOS - Resultado exacto</v>
      </c>
      <c r="E314" s="778" t="s">
        <v>1375</v>
      </c>
      <c r="F314" s="778" t="s">
        <v>1403</v>
      </c>
      <c r="G314" s="778" t="s">
        <v>1541</v>
      </c>
      <c r="H314" s="778" t="s">
        <v>1549</v>
      </c>
      <c r="I314" s="11"/>
    </row>
    <row r="315" spans="1:9">
      <c r="A315" s="11"/>
      <c r="B315" s="11"/>
      <c r="C315" s="11"/>
      <c r="D315" s="11" t="str">
        <f t="shared" si="16"/>
        <v>Equipo clasificado para OCTAVOS</v>
      </c>
      <c r="E315" s="778" t="s">
        <v>1375</v>
      </c>
      <c r="F315" s="778" t="s">
        <v>1405</v>
      </c>
      <c r="G315" s="778" t="s">
        <v>1399</v>
      </c>
      <c r="H315" s="778" t="s">
        <v>1561</v>
      </c>
      <c r="I315" s="11"/>
    </row>
    <row r="316" spans="1:9">
      <c r="A316" s="11"/>
      <c r="B316" s="11"/>
      <c r="C316" s="11"/>
      <c r="D316" s="11" t="str">
        <f t="shared" si="16"/>
        <v>OCTAVOS - Signo 1X2  (local, empate, visitante)</v>
      </c>
      <c r="E316" s="778" t="s">
        <v>1375</v>
      </c>
      <c r="F316" s="778" t="s">
        <v>1407</v>
      </c>
      <c r="G316" s="778" t="s">
        <v>1401</v>
      </c>
      <c r="H316" s="778" t="s">
        <v>1402</v>
      </c>
      <c r="I316" s="11"/>
    </row>
    <row r="317" spans="1:9">
      <c r="A317" s="11"/>
      <c r="B317" s="11"/>
      <c r="C317" s="11"/>
      <c r="D317" s="11" t="str">
        <f t="shared" si="16"/>
        <v>OCTAVOS -Diferencia/Distancia de goles (Con 1X2 acertado)</v>
      </c>
      <c r="E317" s="778" t="s">
        <v>1375</v>
      </c>
      <c r="F317" s="778" t="s">
        <v>1409</v>
      </c>
      <c r="G317" s="778" t="s">
        <v>1768</v>
      </c>
      <c r="H317" s="778" t="s">
        <v>1404</v>
      </c>
      <c r="I317" s="11"/>
    </row>
    <row r="318" spans="1:9">
      <c r="A318" s="11"/>
      <c r="B318" s="11"/>
      <c r="C318" s="11"/>
      <c r="D318" s="11" t="str">
        <f t="shared" si="16"/>
        <v>OCTAVOS - Resultado exacto</v>
      </c>
      <c r="E318" s="778" t="s">
        <v>1375</v>
      </c>
      <c r="F318" s="778" t="s">
        <v>1412</v>
      </c>
      <c r="G318" s="778" t="s">
        <v>1406</v>
      </c>
      <c r="H318" s="778" t="s">
        <v>1517</v>
      </c>
      <c r="I318" s="11"/>
    </row>
    <row r="319" spans="1:9">
      <c r="A319" s="11"/>
      <c r="B319" s="11"/>
      <c r="C319" s="11"/>
      <c r="D319" s="11" t="str">
        <f t="shared" si="16"/>
        <v>Equipo clasificado para CUARTOS</v>
      </c>
      <c r="E319" s="778" t="s">
        <v>1375</v>
      </c>
      <c r="F319" s="778" t="s">
        <v>1414</v>
      </c>
      <c r="G319" s="778" t="s">
        <v>1408</v>
      </c>
      <c r="H319" s="778" t="s">
        <v>1518</v>
      </c>
      <c r="I319" s="11"/>
    </row>
    <row r="320" spans="1:9">
      <c r="A320" s="11"/>
      <c r="B320" s="11"/>
      <c r="C320" s="11"/>
      <c r="D320" s="11" t="str">
        <f t="shared" si="16"/>
        <v>CUARTOS - Signo 1X2  (local, empate, visitante)</v>
      </c>
      <c r="E320" s="778" t="s">
        <v>1375</v>
      </c>
      <c r="F320" s="778" t="s">
        <v>1416</v>
      </c>
      <c r="G320" s="778" t="s">
        <v>1410</v>
      </c>
      <c r="H320" s="778" t="s">
        <v>1411</v>
      </c>
      <c r="I320" s="11"/>
    </row>
    <row r="321" spans="1:9">
      <c r="A321" s="11"/>
      <c r="B321" s="11"/>
      <c r="C321" s="11"/>
      <c r="D321" s="11" t="str">
        <f t="shared" si="16"/>
        <v>CUARTOS -Diferencia/Distancia de goles (Con 1X2 acertado)</v>
      </c>
      <c r="E321" s="778" t="s">
        <v>1375</v>
      </c>
      <c r="F321" s="778" t="s">
        <v>1418</v>
      </c>
      <c r="G321" s="778" t="s">
        <v>1769</v>
      </c>
      <c r="H321" s="778" t="s">
        <v>1413</v>
      </c>
      <c r="I321" s="11"/>
    </row>
    <row r="322" spans="1:9">
      <c r="A322" s="11"/>
      <c r="B322" s="11"/>
      <c r="C322" s="11"/>
      <c r="D322" s="11" t="str">
        <f t="shared" si="16"/>
        <v>CUARTOS - Resultado exacto</v>
      </c>
      <c r="E322" s="778" t="s">
        <v>1375</v>
      </c>
      <c r="F322" s="778" t="s">
        <v>1421</v>
      </c>
      <c r="G322" s="778" t="s">
        <v>1415</v>
      </c>
      <c r="H322" s="778" t="s">
        <v>1519</v>
      </c>
      <c r="I322" s="11"/>
    </row>
    <row r="323" spans="1:9">
      <c r="A323" s="11"/>
      <c r="B323" s="11"/>
      <c r="C323" s="11"/>
      <c r="D323" s="11" t="str">
        <f t="shared" si="16"/>
        <v>Equipo clasificado para SEMIFINALES</v>
      </c>
      <c r="E323" s="778" t="s">
        <v>1375</v>
      </c>
      <c r="F323" s="778" t="s">
        <v>1423</v>
      </c>
      <c r="G323" s="778" t="s">
        <v>1417</v>
      </c>
      <c r="H323" s="778" t="s">
        <v>1562</v>
      </c>
      <c r="I323" s="11"/>
    </row>
    <row r="324" spans="1:9">
      <c r="A324" s="11"/>
      <c r="B324" s="11"/>
      <c r="C324" s="11"/>
      <c r="D324" s="11" t="str">
        <f t="shared" si="16"/>
        <v>SEMIFINALES - Signo 1X2  (local, empate, visitante)</v>
      </c>
      <c r="E324" s="778" t="s">
        <v>1375</v>
      </c>
      <c r="F324" s="778" t="s">
        <v>1426</v>
      </c>
      <c r="G324" s="778" t="s">
        <v>1419</v>
      </c>
      <c r="H324" s="778" t="s">
        <v>1420</v>
      </c>
      <c r="I324" s="11"/>
    </row>
    <row r="325" spans="1:9">
      <c r="A325" s="11"/>
      <c r="B325" s="11"/>
      <c r="C325" s="11"/>
      <c r="D325" s="11" t="str">
        <f t="shared" si="16"/>
        <v>SEMIFINALES -Diferencia/Distancia de goles (Con 1X2 acertado)</v>
      </c>
      <c r="E325" s="778" t="s">
        <v>1375</v>
      </c>
      <c r="F325" s="778" t="s">
        <v>1426</v>
      </c>
      <c r="G325" s="778" t="s">
        <v>1770</v>
      </c>
      <c r="H325" s="778" t="s">
        <v>1422</v>
      </c>
      <c r="I325" s="11"/>
    </row>
    <row r="326" spans="1:9">
      <c r="A326" s="11"/>
      <c r="B326" s="11"/>
      <c r="C326" s="11"/>
      <c r="D326" s="11" t="str">
        <f t="shared" si="16"/>
        <v>SEMIFINALES - Resultado exacto</v>
      </c>
      <c r="E326" s="778" t="s">
        <v>1375</v>
      </c>
      <c r="F326" s="778" t="s">
        <v>1427</v>
      </c>
      <c r="G326" s="778" t="s">
        <v>1424</v>
      </c>
      <c r="H326" s="778" t="s">
        <v>1425</v>
      </c>
      <c r="I326" s="11"/>
    </row>
    <row r="327" spans="1:9">
      <c r="A327" s="11"/>
      <c r="B327" s="11"/>
      <c r="C327" s="11"/>
      <c r="D327" s="11" t="str">
        <f t="shared" si="16"/>
        <v>Equipo clasificado para 3º y 4º puesto</v>
      </c>
      <c r="E327" s="778" t="s">
        <v>1375</v>
      </c>
      <c r="F327" s="778" t="s">
        <v>1430</v>
      </c>
      <c r="G327" s="778" t="s">
        <v>1544</v>
      </c>
      <c r="H327" s="778" t="s">
        <v>1710</v>
      </c>
      <c r="I327" s="11"/>
    </row>
    <row r="328" spans="1:9">
      <c r="A328" s="11"/>
      <c r="B328" s="11"/>
      <c r="C328" s="11"/>
      <c r="D328" s="11" t="str">
        <f t="shared" si="16"/>
        <v>Equipo clasificado para FINAL</v>
      </c>
      <c r="E328" s="778" t="s">
        <v>1375</v>
      </c>
      <c r="F328" s="778" t="s">
        <v>1432</v>
      </c>
      <c r="G328" s="778" t="s">
        <v>1543</v>
      </c>
      <c r="H328" s="778" t="s">
        <v>1520</v>
      </c>
      <c r="I328" s="11"/>
    </row>
    <row r="329" spans="1:9">
      <c r="A329" s="11"/>
      <c r="B329" s="11"/>
      <c r="C329" s="11"/>
      <c r="D329" s="11" t="str">
        <f t="shared" si="16"/>
        <v>3ºy4º PUESTO - Signo 1X2  (local, empate, visitante)</v>
      </c>
      <c r="E329" s="778" t="s">
        <v>1375</v>
      </c>
      <c r="F329" s="778" t="s">
        <v>1435</v>
      </c>
      <c r="G329" s="778" t="s">
        <v>1545</v>
      </c>
      <c r="H329" s="778" t="s">
        <v>1563</v>
      </c>
      <c r="I329" s="11"/>
    </row>
    <row r="330" spans="1:9">
      <c r="A330" s="11"/>
      <c r="B330" s="11"/>
      <c r="C330" s="11"/>
      <c r="D330" s="11" t="str">
        <f t="shared" si="16"/>
        <v>3ºy4º PUESTO - Diferencia/Distancia de goles (Con 1X2 acertado)</v>
      </c>
      <c r="E330" s="778" t="s">
        <v>1375</v>
      </c>
      <c r="F330" s="778" t="s">
        <v>1436</v>
      </c>
      <c r="G330" s="778" t="s">
        <v>1771</v>
      </c>
      <c r="H330" s="778" t="s">
        <v>1564</v>
      </c>
      <c r="I330" s="11"/>
    </row>
    <row r="331" spans="1:9">
      <c r="A331" s="11"/>
      <c r="B331" s="11"/>
      <c r="C331" s="11"/>
      <c r="D331" s="11" t="str">
        <f t="shared" si="16"/>
        <v>3ºy4º PUESTO - Resultado exacto</v>
      </c>
      <c r="E331" s="778" t="s">
        <v>1375</v>
      </c>
      <c r="F331" s="778" t="s">
        <v>1437</v>
      </c>
      <c r="G331" s="778" t="s">
        <v>1546</v>
      </c>
      <c r="H331" s="778" t="s">
        <v>1565</v>
      </c>
      <c r="I331" s="11"/>
    </row>
    <row r="332" spans="1:9">
      <c r="A332" s="11"/>
      <c r="B332" s="11"/>
      <c r="C332" s="11"/>
      <c r="D332" s="11" t="str">
        <f t="shared" si="16"/>
        <v>FINAL - Signo 1X2  (local, empate, visitante)</v>
      </c>
      <c r="E332" s="778" t="s">
        <v>1375</v>
      </c>
      <c r="F332" s="778" t="s">
        <v>1439</v>
      </c>
      <c r="G332" s="778" t="s">
        <v>1428</v>
      </c>
      <c r="H332" s="778" t="s">
        <v>1429</v>
      </c>
      <c r="I332" s="11"/>
    </row>
    <row r="333" spans="1:9">
      <c r="A333" s="11"/>
      <c r="B333" s="11"/>
      <c r="C333" s="11"/>
      <c r="D333" s="11" t="str">
        <f t="shared" si="16"/>
        <v>FINAL - Diferencia/Distancia de goles (Con 1X2 acertado)</v>
      </c>
      <c r="E333" s="778" t="s">
        <v>1375</v>
      </c>
      <c r="F333" s="778" t="s">
        <v>1441</v>
      </c>
      <c r="G333" s="778" t="s">
        <v>1772</v>
      </c>
      <c r="H333" s="778" t="s">
        <v>1431</v>
      </c>
      <c r="I333" s="11"/>
    </row>
    <row r="334" spans="1:9">
      <c r="A334" s="11"/>
      <c r="B334" s="11"/>
      <c r="C334" s="11"/>
      <c r="D334" s="11" t="str">
        <f t="shared" si="16"/>
        <v>FINAL - Resultado exacto</v>
      </c>
      <c r="E334" s="778" t="s">
        <v>1375</v>
      </c>
      <c r="F334" s="778" t="s">
        <v>1443</v>
      </c>
      <c r="G334" s="778" t="s">
        <v>1433</v>
      </c>
      <c r="H334" s="778" t="s">
        <v>1434</v>
      </c>
      <c r="I334" s="11"/>
    </row>
    <row r="335" spans="1:9">
      <c r="A335" s="11"/>
      <c r="B335" s="11"/>
      <c r="C335" s="11"/>
      <c r="D335" s="11" t="str">
        <f t="shared" si="16"/>
        <v>Campeón</v>
      </c>
      <c r="E335" s="778"/>
      <c r="F335" s="778"/>
      <c r="G335" s="778" t="s">
        <v>18</v>
      </c>
      <c r="H335" s="778" t="s">
        <v>222</v>
      </c>
      <c r="I335" s="11"/>
    </row>
    <row r="336" spans="1:9">
      <c r="A336" s="11"/>
      <c r="B336" s="11"/>
      <c r="C336" s="11"/>
      <c r="D336" s="11" t="str">
        <f t="shared" si="16"/>
        <v>Subcampeón</v>
      </c>
      <c r="E336" s="778"/>
      <c r="F336" s="778"/>
      <c r="G336" s="778" t="s">
        <v>19</v>
      </c>
      <c r="H336" s="778" t="s">
        <v>223</v>
      </c>
      <c r="I336" s="11"/>
    </row>
    <row r="337" spans="1:9">
      <c r="A337" s="11"/>
      <c r="B337" s="11"/>
      <c r="C337" s="11"/>
      <c r="D337" s="11" t="str">
        <f t="shared" si="16"/>
        <v>3º puesto</v>
      </c>
      <c r="E337" s="778"/>
      <c r="F337" s="778"/>
      <c r="G337" s="778" t="s">
        <v>1234</v>
      </c>
      <c r="H337" s="778" t="s">
        <v>1235</v>
      </c>
      <c r="I337" s="11"/>
    </row>
    <row r="338" spans="1:9">
      <c r="A338" s="11"/>
      <c r="B338" s="11"/>
      <c r="C338" s="11"/>
      <c r="D338" s="11" t="str">
        <f t="shared" si="16"/>
        <v>Bota de Oro  (máximo goleador)</v>
      </c>
      <c r="E338" s="778" t="s">
        <v>1375</v>
      </c>
      <c r="F338" s="778" t="s">
        <v>1446</v>
      </c>
      <c r="G338" s="778" t="s">
        <v>499</v>
      </c>
      <c r="H338" s="778" t="s">
        <v>1566</v>
      </c>
      <c r="I338" s="11"/>
    </row>
    <row r="339" spans="1:9">
      <c r="A339" s="11"/>
      <c r="B339" s="11"/>
      <c r="C339" s="11"/>
      <c r="D339" s="11" t="str">
        <f t="shared" si="16"/>
        <v>Bota de Plata (2º máximo goleador)</v>
      </c>
      <c r="E339" s="778" t="s">
        <v>1449</v>
      </c>
      <c r="F339" s="778" t="s">
        <v>1450</v>
      </c>
      <c r="G339" s="778" t="s">
        <v>500</v>
      </c>
      <c r="H339" s="778" t="s">
        <v>1567</v>
      </c>
      <c r="I339" s="11"/>
    </row>
    <row r="340" spans="1:9">
      <c r="A340" s="11"/>
      <c r="B340" s="11"/>
      <c r="C340" s="11"/>
      <c r="D340" s="11" t="str">
        <f t="shared" si="16"/>
        <v>Bota de Bronce (3º máximo goleador)</v>
      </c>
      <c r="E340" s="778" t="s">
        <v>1375</v>
      </c>
      <c r="F340" s="778" t="s">
        <v>1458</v>
      </c>
      <c r="G340" s="778" t="s">
        <v>501</v>
      </c>
      <c r="H340" s="778" t="s">
        <v>1568</v>
      </c>
      <c r="I340" s="11"/>
    </row>
    <row r="341" spans="1:9">
      <c r="A341" s="11"/>
      <c r="B341" s="11"/>
      <c r="C341" s="11"/>
      <c r="D341" s="11" t="str">
        <f t="shared" si="16"/>
        <v>Balón de Oro  (mejor jugador)</v>
      </c>
      <c r="E341" s="778" t="s">
        <v>1375</v>
      </c>
      <c r="F341" s="778" t="s">
        <v>1453</v>
      </c>
      <c r="G341" s="778" t="s">
        <v>502</v>
      </c>
      <c r="H341" s="778" t="s">
        <v>1569</v>
      </c>
      <c r="I341" s="11"/>
    </row>
    <row r="342" spans="1:9">
      <c r="A342" s="11"/>
      <c r="B342" s="11"/>
      <c r="C342" s="11"/>
      <c r="D342" s="11" t="str">
        <f t="shared" si="16"/>
        <v>Balón de Plata (2º mejor jugador)</v>
      </c>
      <c r="E342" s="778" t="s">
        <v>1449</v>
      </c>
      <c r="F342" s="778" t="s">
        <v>1456</v>
      </c>
      <c r="G342" s="778" t="s">
        <v>503</v>
      </c>
      <c r="H342" s="778" t="s">
        <v>1570</v>
      </c>
      <c r="I342" s="11"/>
    </row>
    <row r="343" spans="1:9">
      <c r="A343" s="11"/>
      <c r="B343" s="11"/>
      <c r="C343" s="11"/>
      <c r="D343" s="11" t="str">
        <f t="shared" si="16"/>
        <v>Balón de Bronce (3º mejor jugador)</v>
      </c>
      <c r="E343" s="778" t="s">
        <v>1375</v>
      </c>
      <c r="F343" s="778" t="s">
        <v>1458</v>
      </c>
      <c r="G343" s="778" t="s">
        <v>504</v>
      </c>
      <c r="H343" s="778" t="s">
        <v>1571</v>
      </c>
      <c r="I343" s="11"/>
    </row>
    <row r="344" spans="1:9">
      <c r="A344" s="11"/>
      <c r="B344" s="11"/>
      <c r="C344" s="11"/>
      <c r="D344" s="11" t="str">
        <f t="shared" si="16"/>
        <v>Fase de grupos</v>
      </c>
      <c r="E344" s="778" t="s">
        <v>1449</v>
      </c>
      <c r="F344" s="778" t="s">
        <v>1461</v>
      </c>
      <c r="G344" s="778" t="s">
        <v>1243</v>
      </c>
      <c r="H344" s="778" t="s">
        <v>1442</v>
      </c>
      <c r="I344" s="11"/>
    </row>
    <row r="345" spans="1:9">
      <c r="A345" s="11"/>
      <c r="B345" s="11"/>
      <c r="C345" s="11"/>
      <c r="D345" s="11" t="str">
        <f t="shared" si="16"/>
        <v>Posición grupos</v>
      </c>
      <c r="E345" s="778" t="s">
        <v>1375</v>
      </c>
      <c r="F345" s="778" t="s">
        <v>1463</v>
      </c>
      <c r="G345" s="778" t="s">
        <v>1444</v>
      </c>
      <c r="H345" s="778" t="s">
        <v>1445</v>
      </c>
      <c r="I345" s="11"/>
    </row>
    <row r="346" spans="1:9">
      <c r="A346" s="11"/>
      <c r="B346" s="11"/>
      <c r="C346" s="11"/>
      <c r="D346" s="11" t="str">
        <f t="shared" si="16"/>
        <v>CLASIFICADOS PARA PLAYOFFS</v>
      </c>
      <c r="E346" s="778" t="s">
        <v>1449</v>
      </c>
      <c r="F346" s="778" t="s">
        <v>1466</v>
      </c>
      <c r="G346" s="778" t="s">
        <v>1521</v>
      </c>
      <c r="H346" s="778" t="s">
        <v>1522</v>
      </c>
      <c r="I346" s="11"/>
    </row>
    <row r="347" spans="1:9">
      <c r="A347" s="11"/>
      <c r="B347" s="11"/>
      <c r="C347" s="11"/>
      <c r="D347" s="11" t="str">
        <f t="shared" si="16"/>
        <v>CLASIFICADOS PARA OCTAVOS (Desde Fase Liga)</v>
      </c>
      <c r="E347" s="778" t="s">
        <v>1375</v>
      </c>
      <c r="F347" s="778" t="s">
        <v>1468</v>
      </c>
      <c r="G347" s="778" t="s">
        <v>1523</v>
      </c>
      <c r="H347" s="778" t="s">
        <v>1524</v>
      </c>
      <c r="I347" s="11"/>
    </row>
    <row r="348" spans="1:9">
      <c r="A348" s="11"/>
      <c r="B348" s="11"/>
      <c r="C348" s="11"/>
      <c r="D348" s="11" t="str">
        <f t="shared" si="16"/>
        <v>CLASIFICADOS PARA OCTAVOS (DESDE PLAYOFFS)</v>
      </c>
      <c r="E348" s="778" t="s">
        <v>1375</v>
      </c>
      <c r="F348" s="778" t="s">
        <v>1470</v>
      </c>
      <c r="G348" s="778" t="s">
        <v>1525</v>
      </c>
      <c r="H348" s="778" t="s">
        <v>1526</v>
      </c>
      <c r="I348" s="11"/>
    </row>
    <row r="349" spans="1:9">
      <c r="A349" s="11"/>
      <c r="B349" s="11"/>
      <c r="C349" s="11"/>
      <c r="D349" s="11" t="str">
        <f t="shared" si="16"/>
        <v>Clasificados para Octavos de Final</v>
      </c>
      <c r="E349" s="778" t="s">
        <v>1375</v>
      </c>
      <c r="F349" s="778" t="s">
        <v>1471</v>
      </c>
      <c r="G349" s="778" t="s">
        <v>1447</v>
      </c>
      <c r="H349" s="778" t="s">
        <v>1448</v>
      </c>
      <c r="I349" s="11"/>
    </row>
    <row r="350" spans="1:9">
      <c r="A350" s="11"/>
      <c r="B350" s="11"/>
      <c r="C350" s="11"/>
      <c r="D350" s="11" t="str">
        <f t="shared" si="16"/>
        <v>Enfrentamientos Octavos de Final</v>
      </c>
      <c r="E350" s="778" t="s">
        <v>1375</v>
      </c>
      <c r="F350" s="778" t="s">
        <v>1472</v>
      </c>
      <c r="G350" s="778" t="s">
        <v>1451</v>
      </c>
      <c r="H350" s="778" t="s">
        <v>1452</v>
      </c>
      <c r="I350" s="11"/>
    </row>
    <row r="351" spans="1:9">
      <c r="A351" s="11"/>
      <c r="B351" s="11"/>
      <c r="C351" s="11"/>
      <c r="D351" s="11" t="str">
        <f t="shared" si="16"/>
        <v>Clasificados para Cuartos de Final</v>
      </c>
      <c r="E351" s="778" t="s">
        <v>1375</v>
      </c>
      <c r="F351" s="778" t="s">
        <v>1474</v>
      </c>
      <c r="G351" s="778" t="s">
        <v>1454</v>
      </c>
      <c r="H351" s="778" t="s">
        <v>1527</v>
      </c>
      <c r="I351" s="11"/>
    </row>
    <row r="352" spans="1:9">
      <c r="A352" s="11"/>
      <c r="B352" s="11"/>
      <c r="C352" s="11"/>
      <c r="D352" s="11" t="str">
        <f t="shared" si="16"/>
        <v>Clasificados para Cuartos de Final</v>
      </c>
      <c r="E352" s="778" t="s">
        <v>1375</v>
      </c>
      <c r="F352" s="778" t="s">
        <v>28</v>
      </c>
      <c r="G352" s="778" t="s">
        <v>1454</v>
      </c>
      <c r="H352" s="778" t="s">
        <v>1455</v>
      </c>
      <c r="I352" s="11"/>
    </row>
    <row r="353" spans="1:9">
      <c r="A353" s="11"/>
      <c r="B353" s="11"/>
      <c r="C353" s="11"/>
      <c r="D353" s="11" t="str">
        <f t="shared" si="16"/>
        <v>Enfrentamientos Cuartos de Final</v>
      </c>
      <c r="E353" s="778" t="s">
        <v>1375</v>
      </c>
      <c r="F353" s="778"/>
      <c r="G353" s="778" t="s">
        <v>1457</v>
      </c>
      <c r="H353" s="778" t="s">
        <v>219</v>
      </c>
      <c r="I353" s="11"/>
    </row>
    <row r="354" spans="1:9">
      <c r="A354" s="11"/>
      <c r="B354" s="11"/>
      <c r="C354" s="11"/>
      <c r="D354" s="11" t="str">
        <f t="shared" si="16"/>
        <v>Clasificados para Semifinales</v>
      </c>
      <c r="E354" s="778" t="s">
        <v>1375</v>
      </c>
      <c r="F354" s="778"/>
      <c r="G354" s="778" t="s">
        <v>1459</v>
      </c>
      <c r="H354" s="778" t="s">
        <v>1460</v>
      </c>
      <c r="I354" s="11"/>
    </row>
    <row r="355" spans="1:9">
      <c r="A355" s="11"/>
      <c r="B355" s="11"/>
      <c r="C355" s="11"/>
      <c r="D355" s="11" t="str">
        <f t="shared" si="16"/>
        <v>Enfrentamientos Semifinales</v>
      </c>
      <c r="E355" s="778" t="s">
        <v>1375</v>
      </c>
      <c r="F355" s="778"/>
      <c r="G355" s="778" t="s">
        <v>1462</v>
      </c>
      <c r="H355" s="778" t="s">
        <v>220</v>
      </c>
      <c r="I355" s="11"/>
    </row>
    <row r="356" spans="1:9">
      <c r="A356" s="11"/>
      <c r="B356" s="11"/>
      <c r="C356" s="11"/>
      <c r="D356" s="11" t="str">
        <f t="shared" si="16"/>
        <v>Clasificados para la Final</v>
      </c>
      <c r="E356" s="778" t="s">
        <v>1375</v>
      </c>
      <c r="F356" s="778"/>
      <c r="G356" s="778" t="s">
        <v>1464</v>
      </c>
      <c r="H356" s="778" t="s">
        <v>1465</v>
      </c>
      <c r="I356" s="11"/>
    </row>
    <row r="357" spans="1:9">
      <c r="A357" s="11"/>
      <c r="B357" s="11"/>
      <c r="C357" s="11"/>
      <c r="D357" s="11" t="str">
        <f t="shared" si="16"/>
        <v>Partido Final</v>
      </c>
      <c r="E357" s="778" t="s">
        <v>1375</v>
      </c>
      <c r="F357" s="778"/>
      <c r="G357" s="778" t="s">
        <v>1467</v>
      </c>
      <c r="H357" s="778" t="s">
        <v>37</v>
      </c>
      <c r="I357" s="11"/>
    </row>
    <row r="358" spans="1:9">
      <c r="A358" s="11"/>
      <c r="B358" s="11"/>
      <c r="C358" s="11"/>
      <c r="D358" s="11" t="str">
        <f t="shared" si="16"/>
        <v>Cuadro de honor</v>
      </c>
      <c r="E358" s="778" t="s">
        <v>1375</v>
      </c>
      <c r="F358" s="778"/>
      <c r="G358" s="778" t="s">
        <v>1310</v>
      </c>
      <c r="H358" s="778" t="s">
        <v>1469</v>
      </c>
      <c r="I358" s="11"/>
    </row>
    <row r="359" spans="1:9">
      <c r="A359" s="11"/>
      <c r="B359" s="11"/>
      <c r="C359" s="11"/>
      <c r="D359" s="11" t="str">
        <f t="shared" si="16"/>
        <v>Campeón</v>
      </c>
      <c r="E359" s="778" t="s">
        <v>1375</v>
      </c>
      <c r="F359" s="778"/>
      <c r="G359" s="778" t="s">
        <v>18</v>
      </c>
      <c r="H359" s="778" t="s">
        <v>222</v>
      </c>
      <c r="I359" s="11"/>
    </row>
    <row r="360" spans="1:9">
      <c r="A360" s="11"/>
      <c r="B360" s="11"/>
      <c r="C360" s="11"/>
      <c r="D360" s="11" t="str">
        <f t="shared" si="16"/>
        <v>Subcampeón</v>
      </c>
      <c r="E360" s="778" t="s">
        <v>1375</v>
      </c>
      <c r="F360" s="778"/>
      <c r="G360" s="778" t="s">
        <v>19</v>
      </c>
      <c r="H360" s="778" t="s">
        <v>223</v>
      </c>
      <c r="I360" s="11"/>
    </row>
    <row r="361" spans="1:9">
      <c r="A361" s="11"/>
      <c r="B361" s="11"/>
      <c r="C361" s="11"/>
      <c r="D361" s="11" t="str">
        <f t="shared" si="16"/>
        <v>Goleador del torneo</v>
      </c>
      <c r="E361" s="778" t="s">
        <v>1375</v>
      </c>
      <c r="F361" s="778"/>
      <c r="G361" s="778" t="s">
        <v>1438</v>
      </c>
      <c r="H361" s="778" t="s">
        <v>1473</v>
      </c>
      <c r="I361" s="11"/>
    </row>
    <row r="362" spans="1:9">
      <c r="A362" s="11"/>
      <c r="B362" s="11"/>
      <c r="C362" s="11"/>
      <c r="D362" s="11" t="str">
        <f t="shared" si="16"/>
        <v>Mejor jugador del torneo</v>
      </c>
      <c r="E362" s="778" t="s">
        <v>1375</v>
      </c>
      <c r="F362" s="778"/>
      <c r="G362" s="778" t="s">
        <v>1440</v>
      </c>
      <c r="H362" s="778" t="s">
        <v>1475</v>
      </c>
      <c r="I362" s="11"/>
    </row>
    <row r="363" spans="1:9">
      <c r="A363" s="11"/>
      <c r="B363" s="11"/>
      <c r="C363" s="11"/>
      <c r="D363" s="11" t="str">
        <f t="shared" si="16"/>
        <v>Pegar Valores Nombre J</v>
      </c>
      <c r="E363" s="778" t="s">
        <v>1375</v>
      </c>
      <c r="F363" s="778"/>
      <c r="G363" s="778" t="s">
        <v>1925</v>
      </c>
      <c r="H363" s="778" t="s">
        <v>1926</v>
      </c>
      <c r="I363" s="11"/>
    </row>
    <row r="364" spans="1:9">
      <c r="A364" s="11"/>
      <c r="B364" s="11"/>
      <c r="C364" s="11"/>
      <c r="D364" s="11" t="str">
        <f t="shared" ref="D364:D423" si="17">IF($B$2,G364,H364)</f>
        <v>Pegar Valores (J1)</v>
      </c>
      <c r="E364" s="778" t="s">
        <v>1375</v>
      </c>
      <c r="F364" s="778"/>
      <c r="G364" s="778" t="s">
        <v>1476</v>
      </c>
      <c r="H364" s="778" t="s">
        <v>1477</v>
      </c>
      <c r="I364" s="11"/>
    </row>
    <row r="365" spans="1:9">
      <c r="A365" s="11"/>
      <c r="B365" s="11"/>
      <c r="C365" s="11"/>
      <c r="D365" s="11" t="str">
        <f t="shared" si="17"/>
        <v>Pegar Valores (J2)</v>
      </c>
      <c r="E365" s="778" t="s">
        <v>1375</v>
      </c>
      <c r="F365" s="778"/>
      <c r="G365" s="778" t="s">
        <v>1478</v>
      </c>
      <c r="H365" s="778" t="s">
        <v>1479</v>
      </c>
      <c r="I365" s="11"/>
    </row>
    <row r="366" spans="1:9">
      <c r="A366" s="11"/>
      <c r="B366" s="11"/>
      <c r="C366" s="11"/>
      <c r="D366" s="11" t="str">
        <f t="shared" si="17"/>
        <v>Pegar Valores (J3)</v>
      </c>
      <c r="E366" s="778" t="s">
        <v>1375</v>
      </c>
      <c r="F366" s="778"/>
      <c r="G366" s="778" t="s">
        <v>1480</v>
      </c>
      <c r="H366" s="778" t="s">
        <v>1481</v>
      </c>
      <c r="I366" s="11"/>
    </row>
    <row r="367" spans="1:9">
      <c r="A367" s="11"/>
      <c r="B367" s="11"/>
      <c r="C367" s="11"/>
      <c r="D367" s="11" t="str">
        <f t="shared" si="17"/>
        <v>Pegar Valores Dieciseisavos</v>
      </c>
      <c r="E367" s="778" t="s">
        <v>1375</v>
      </c>
      <c r="F367" s="778" t="s">
        <v>1488</v>
      </c>
      <c r="G367" s="778" t="s">
        <v>1583</v>
      </c>
      <c r="H367" s="778" t="s">
        <v>1584</v>
      </c>
      <c r="I367" s="11"/>
    </row>
    <row r="368" spans="1:9">
      <c r="A368" s="11"/>
      <c r="B368" s="11"/>
      <c r="C368" s="11"/>
      <c r="D368" s="11" t="str">
        <f t="shared" si="17"/>
        <v>Pegar Valores Octavos</v>
      </c>
      <c r="E368" s="778" t="s">
        <v>1375</v>
      </c>
      <c r="F368" s="778" t="s">
        <v>1489</v>
      </c>
      <c r="G368" s="778" t="s">
        <v>1482</v>
      </c>
      <c r="H368" s="778" t="s">
        <v>1483</v>
      </c>
      <c r="I368" s="11"/>
    </row>
    <row r="369" spans="1:9">
      <c r="A369" s="11"/>
      <c r="B369" s="11"/>
      <c r="C369" s="11"/>
      <c r="D369" s="11" t="str">
        <f t="shared" si="17"/>
        <v>Pegar valores Cuartos</v>
      </c>
      <c r="E369" s="778" t="s">
        <v>1375</v>
      </c>
      <c r="F369" s="778" t="s">
        <v>1490</v>
      </c>
      <c r="G369" s="778" t="s">
        <v>1484</v>
      </c>
      <c r="H369" s="778" t="s">
        <v>1485</v>
      </c>
      <c r="I369" s="11"/>
    </row>
    <row r="370" spans="1:9">
      <c r="A370" s="11"/>
      <c r="B370" s="11"/>
      <c r="C370" s="11"/>
      <c r="D370" s="11" t="str">
        <f t="shared" si="17"/>
        <v>Pegar valores Semifinales</v>
      </c>
      <c r="E370" s="778" t="s">
        <v>1375</v>
      </c>
      <c r="F370" s="778" t="s">
        <v>1491</v>
      </c>
      <c r="G370" s="778" t="s">
        <v>1486</v>
      </c>
      <c r="H370" s="778" t="s">
        <v>1487</v>
      </c>
      <c r="I370" s="11"/>
    </row>
    <row r="371" spans="1:9">
      <c r="A371" s="11"/>
      <c r="B371" s="11"/>
      <c r="C371" s="11"/>
      <c r="D371" s="11" t="str">
        <f t="shared" si="17"/>
        <v>Pegar valores 3º-4º puesto y Final</v>
      </c>
      <c r="E371" s="778" t="s">
        <v>1375</v>
      </c>
      <c r="F371" s="778" t="s">
        <v>1492</v>
      </c>
      <c r="G371" s="778" t="s">
        <v>1585</v>
      </c>
      <c r="H371" s="778" t="s">
        <v>1586</v>
      </c>
      <c r="I371" s="11"/>
    </row>
    <row r="372" spans="1:9">
      <c r="A372" s="11"/>
      <c r="B372" s="11"/>
      <c r="C372" s="11"/>
      <c r="D372" s="11" t="str">
        <f t="shared" si="17"/>
        <v>Pegar valores Predictor</v>
      </c>
      <c r="E372" s="778" t="s">
        <v>1375</v>
      </c>
      <c r="F372" s="778" t="s">
        <v>1493</v>
      </c>
      <c r="G372" s="778" t="s">
        <v>1528</v>
      </c>
      <c r="H372" s="778" t="s">
        <v>1529</v>
      </c>
      <c r="I372" s="11"/>
    </row>
    <row r="373" spans="1:9">
      <c r="A373" s="11"/>
      <c r="B373" s="11"/>
      <c r="C373" s="11"/>
      <c r="D373" s="11" t="str">
        <f t="shared" si="17"/>
        <v>Pegar Valores Cuadro de Honor</v>
      </c>
      <c r="E373" s="778"/>
      <c r="F373" s="778"/>
      <c r="G373" s="778" t="s">
        <v>1587</v>
      </c>
      <c r="H373" s="778" t="s">
        <v>1588</v>
      </c>
      <c r="I373" s="11"/>
    </row>
    <row r="374" spans="1:9">
      <c r="A374" s="11"/>
      <c r="B374" s="11"/>
      <c r="C374" s="11"/>
      <c r="D374" s="11" t="str">
        <f t="shared" si="17"/>
        <v>1º GRUPO A</v>
      </c>
      <c r="E374" s="778" t="s">
        <v>1375</v>
      </c>
      <c r="F374" s="778" t="s">
        <v>1494</v>
      </c>
      <c r="G374" s="778" t="s">
        <v>45</v>
      </c>
      <c r="H374" s="778" t="s">
        <v>377</v>
      </c>
      <c r="I374" s="11"/>
    </row>
    <row r="375" spans="1:9">
      <c r="A375" s="11"/>
      <c r="B375" s="11"/>
      <c r="C375" s="11"/>
      <c r="D375" s="11" t="str">
        <f t="shared" si="17"/>
        <v>2º GRUPO A</v>
      </c>
      <c r="E375" s="778" t="s">
        <v>1375</v>
      </c>
      <c r="F375" s="778" t="s">
        <v>1495</v>
      </c>
      <c r="G375" s="778" t="s">
        <v>46</v>
      </c>
      <c r="H375" s="778" t="s">
        <v>378</v>
      </c>
      <c r="I375" s="11"/>
    </row>
    <row r="376" spans="1:9">
      <c r="A376" s="11"/>
      <c r="B376" s="11"/>
      <c r="C376" s="11"/>
      <c r="D376" s="11" t="str">
        <f t="shared" si="17"/>
        <v>3º GRUPO A</v>
      </c>
      <c r="E376" s="778" t="s">
        <v>1375</v>
      </c>
      <c r="F376" s="778" t="s">
        <v>1496</v>
      </c>
      <c r="G376" s="778" t="s">
        <v>47</v>
      </c>
      <c r="H376" s="778" t="s">
        <v>379</v>
      </c>
      <c r="I376" s="11"/>
    </row>
    <row r="377" spans="1:9">
      <c r="A377" s="11"/>
      <c r="B377" s="11"/>
      <c r="C377" s="11"/>
      <c r="D377" s="11" t="str">
        <f t="shared" si="17"/>
        <v>4º GRUPO A</v>
      </c>
      <c r="E377" s="778" t="s">
        <v>1375</v>
      </c>
      <c r="F377" s="778" t="s">
        <v>1497</v>
      </c>
      <c r="G377" s="778" t="s">
        <v>48</v>
      </c>
      <c r="H377" s="778" t="s">
        <v>380</v>
      </c>
      <c r="I377" s="11"/>
    </row>
    <row r="378" spans="1:9">
      <c r="A378" s="11"/>
      <c r="B378" s="11"/>
      <c r="C378" s="11"/>
      <c r="D378" s="11" t="str">
        <f t="shared" si="17"/>
        <v>1º GRUPO B</v>
      </c>
      <c r="E378" s="778" t="s">
        <v>1375</v>
      </c>
      <c r="F378" s="778" t="s">
        <v>1498</v>
      </c>
      <c r="G378" s="778" t="s">
        <v>49</v>
      </c>
      <c r="H378" s="778" t="s">
        <v>381</v>
      </c>
      <c r="I378" s="11"/>
    </row>
    <row r="379" spans="1:9">
      <c r="A379" s="11"/>
      <c r="B379" s="11"/>
      <c r="C379" s="11"/>
      <c r="D379" s="11" t="str">
        <f t="shared" si="17"/>
        <v>2º GRUPO B</v>
      </c>
      <c r="E379" s="778" t="s">
        <v>1375</v>
      </c>
      <c r="F379" s="778" t="s">
        <v>1499</v>
      </c>
      <c r="G379" s="778" t="s">
        <v>50</v>
      </c>
      <c r="H379" s="778" t="s">
        <v>382</v>
      </c>
      <c r="I379" s="11"/>
    </row>
    <row r="380" spans="1:9">
      <c r="A380" s="11"/>
      <c r="B380" s="11"/>
      <c r="C380" s="11"/>
      <c r="D380" s="11" t="str">
        <f t="shared" si="17"/>
        <v>3º GRUPO B</v>
      </c>
      <c r="E380" s="778" t="s">
        <v>1375</v>
      </c>
      <c r="F380" s="778" t="s">
        <v>1500</v>
      </c>
      <c r="G380" s="778" t="s">
        <v>51</v>
      </c>
      <c r="H380" s="778" t="s">
        <v>383</v>
      </c>
      <c r="I380" s="11"/>
    </row>
    <row r="381" spans="1:9">
      <c r="A381" s="11"/>
      <c r="B381" s="11"/>
      <c r="C381" s="11"/>
      <c r="D381" s="11" t="str">
        <f t="shared" si="17"/>
        <v>4º GRUPO B</v>
      </c>
      <c r="E381" s="778" t="s">
        <v>1375</v>
      </c>
      <c r="F381" s="778" t="s">
        <v>1501</v>
      </c>
      <c r="G381" s="778" t="s">
        <v>52</v>
      </c>
      <c r="H381" s="778" t="s">
        <v>384</v>
      </c>
      <c r="I381" s="11"/>
    </row>
    <row r="382" spans="1:9">
      <c r="A382" s="11"/>
      <c r="B382" s="11"/>
      <c r="C382" s="11"/>
      <c r="D382" s="11" t="str">
        <f t="shared" si="17"/>
        <v>1º GRUPO C</v>
      </c>
      <c r="E382" s="778" t="s">
        <v>1375</v>
      </c>
      <c r="F382" s="778" t="s">
        <v>1502</v>
      </c>
      <c r="G382" s="778" t="s">
        <v>53</v>
      </c>
      <c r="H382" s="778" t="s">
        <v>385</v>
      </c>
      <c r="I382" s="11"/>
    </row>
    <row r="383" spans="1:9">
      <c r="A383" s="11"/>
      <c r="B383" s="11"/>
      <c r="C383" s="11"/>
      <c r="D383" s="11" t="str">
        <f t="shared" si="17"/>
        <v>2º GRUPO C</v>
      </c>
      <c r="E383" s="778" t="s">
        <v>1375</v>
      </c>
      <c r="F383" s="778" t="s">
        <v>1503</v>
      </c>
      <c r="G383" s="778" t="s">
        <v>54</v>
      </c>
      <c r="H383" s="778" t="s">
        <v>386</v>
      </c>
      <c r="I383" s="11"/>
    </row>
    <row r="384" spans="1:9">
      <c r="A384" s="11"/>
      <c r="B384" s="11"/>
      <c r="C384" s="11"/>
      <c r="D384" s="11" t="str">
        <f t="shared" si="17"/>
        <v>3º GRUPO C</v>
      </c>
      <c r="E384" s="778" t="s">
        <v>1375</v>
      </c>
      <c r="F384" s="778" t="s">
        <v>1504</v>
      </c>
      <c r="G384" s="778" t="s">
        <v>55</v>
      </c>
      <c r="H384" s="778" t="s">
        <v>387</v>
      </c>
      <c r="I384" s="11"/>
    </row>
    <row r="385" spans="1:9">
      <c r="A385" s="11"/>
      <c r="B385" s="11"/>
      <c r="C385" s="11"/>
      <c r="D385" s="11" t="str">
        <f t="shared" si="17"/>
        <v>4º GRUPO C</v>
      </c>
      <c r="E385" s="778" t="s">
        <v>1375</v>
      </c>
      <c r="F385" s="778" t="s">
        <v>1505</v>
      </c>
      <c r="G385" s="778" t="s">
        <v>56</v>
      </c>
      <c r="H385" s="778" t="s">
        <v>388</v>
      </c>
      <c r="I385" s="11"/>
    </row>
    <row r="386" spans="1:9">
      <c r="A386" s="11"/>
      <c r="B386" s="11"/>
      <c r="C386" s="11"/>
      <c r="D386" s="11" t="str">
        <f t="shared" si="17"/>
        <v>1º GRUPO D</v>
      </c>
      <c r="E386" s="778" t="s">
        <v>1375</v>
      </c>
      <c r="F386" s="778" t="s">
        <v>1506</v>
      </c>
      <c r="G386" s="778" t="s">
        <v>96</v>
      </c>
      <c r="H386" s="778" t="s">
        <v>389</v>
      </c>
      <c r="I386" s="11"/>
    </row>
    <row r="387" spans="1:9">
      <c r="A387" s="11"/>
      <c r="B387" s="11"/>
      <c r="C387" s="11"/>
      <c r="D387" s="11" t="str">
        <f t="shared" si="17"/>
        <v>2º GRUPO D</v>
      </c>
      <c r="E387" s="778" t="s">
        <v>1375</v>
      </c>
      <c r="F387" s="778" t="s">
        <v>1507</v>
      </c>
      <c r="G387" s="778" t="s">
        <v>97</v>
      </c>
      <c r="H387" s="778" t="s">
        <v>390</v>
      </c>
      <c r="I387" s="11"/>
    </row>
    <row r="388" spans="1:9">
      <c r="A388" s="11"/>
      <c r="B388" s="11"/>
      <c r="C388" s="11"/>
      <c r="D388" s="11" t="str">
        <f t="shared" si="17"/>
        <v>3º GRUPO D</v>
      </c>
      <c r="E388" s="778" t="s">
        <v>1375</v>
      </c>
      <c r="F388" s="778" t="s">
        <v>1508</v>
      </c>
      <c r="G388" s="778" t="s">
        <v>98</v>
      </c>
      <c r="H388" s="778" t="s">
        <v>391</v>
      </c>
      <c r="I388" s="11"/>
    </row>
    <row r="389" spans="1:9">
      <c r="A389" s="11"/>
      <c r="B389" s="11"/>
      <c r="C389" s="11"/>
      <c r="D389" s="11" t="str">
        <f t="shared" si="17"/>
        <v>4º GRUPO D</v>
      </c>
      <c r="E389" s="778" t="s">
        <v>1375</v>
      </c>
      <c r="F389" s="778" t="s">
        <v>1509</v>
      </c>
      <c r="G389" s="778" t="s">
        <v>99</v>
      </c>
      <c r="H389" s="778" t="s">
        <v>392</v>
      </c>
      <c r="I389" s="11"/>
    </row>
    <row r="390" spans="1:9">
      <c r="A390" s="11"/>
      <c r="B390" s="11"/>
      <c r="C390" s="11"/>
      <c r="D390" s="11" t="str">
        <f t="shared" si="17"/>
        <v>1º GRUPO E</v>
      </c>
      <c r="E390" s="778" t="s">
        <v>1375</v>
      </c>
      <c r="F390" s="778" t="s">
        <v>1510</v>
      </c>
      <c r="G390" s="778" t="s">
        <v>100</v>
      </c>
      <c r="H390" s="778" t="s">
        <v>393</v>
      </c>
      <c r="I390" s="11"/>
    </row>
    <row r="391" spans="1:9">
      <c r="A391" s="11"/>
      <c r="B391" s="11"/>
      <c r="C391" s="11"/>
      <c r="D391" s="11" t="str">
        <f t="shared" si="17"/>
        <v>2º GRUPO E</v>
      </c>
      <c r="E391" s="778" t="s">
        <v>1375</v>
      </c>
      <c r="F391" s="778" t="s">
        <v>1511</v>
      </c>
      <c r="G391" s="778" t="s">
        <v>101</v>
      </c>
      <c r="H391" s="778" t="s">
        <v>394</v>
      </c>
      <c r="I391" s="11"/>
    </row>
    <row r="392" spans="1:9">
      <c r="A392" s="11"/>
      <c r="B392" s="11"/>
      <c r="C392" s="11"/>
      <c r="D392" s="11" t="str">
        <f t="shared" si="17"/>
        <v>3º GRUPO E</v>
      </c>
      <c r="E392" s="778" t="s">
        <v>1375</v>
      </c>
      <c r="F392" s="778" t="s">
        <v>1512</v>
      </c>
      <c r="G392" s="778" t="s">
        <v>102</v>
      </c>
      <c r="H392" s="778" t="s">
        <v>395</v>
      </c>
      <c r="I392" s="11"/>
    </row>
    <row r="393" spans="1:9">
      <c r="A393" s="11"/>
      <c r="B393" s="11"/>
      <c r="C393" s="11"/>
      <c r="D393" s="11" t="str">
        <f t="shared" si="17"/>
        <v>4º GRUPO E</v>
      </c>
      <c r="E393" s="778" t="s">
        <v>1375</v>
      </c>
      <c r="F393" s="778" t="s">
        <v>1513</v>
      </c>
      <c r="G393" s="778" t="s">
        <v>103</v>
      </c>
      <c r="H393" s="778" t="s">
        <v>396</v>
      </c>
      <c r="I393" s="11"/>
    </row>
    <row r="394" spans="1:9">
      <c r="A394" s="11"/>
      <c r="B394" s="11"/>
      <c r="C394" s="11"/>
      <c r="D394" s="11" t="str">
        <f t="shared" si="17"/>
        <v>1º GRUPO F</v>
      </c>
      <c r="E394" s="778" t="s">
        <v>1375</v>
      </c>
      <c r="F394" s="778" t="s">
        <v>1514</v>
      </c>
      <c r="G394" s="778" t="s">
        <v>104</v>
      </c>
      <c r="H394" s="778" t="s">
        <v>397</v>
      </c>
      <c r="I394" s="11"/>
    </row>
    <row r="395" spans="1:9">
      <c r="A395" s="11"/>
      <c r="B395" s="11"/>
      <c r="C395" s="11"/>
      <c r="D395" s="11" t="str">
        <f t="shared" si="17"/>
        <v>2º GRUPO F</v>
      </c>
      <c r="E395" s="778" t="s">
        <v>1375</v>
      </c>
      <c r="F395" s="778" t="s">
        <v>1515</v>
      </c>
      <c r="G395" s="778" t="s">
        <v>105</v>
      </c>
      <c r="H395" s="778" t="s">
        <v>398</v>
      </c>
      <c r="I395" s="11"/>
    </row>
    <row r="396" spans="1:9">
      <c r="A396" s="11"/>
      <c r="B396" s="11"/>
      <c r="C396" s="11"/>
      <c r="D396" s="11" t="str">
        <f t="shared" si="17"/>
        <v>3º GRUPO F</v>
      </c>
      <c r="E396" s="778" t="s">
        <v>1375</v>
      </c>
      <c r="F396" s="778"/>
      <c r="G396" s="778" t="s">
        <v>106</v>
      </c>
      <c r="H396" s="778" t="s">
        <v>399</v>
      </c>
      <c r="I396" s="11"/>
    </row>
    <row r="397" spans="1:9">
      <c r="A397" s="11"/>
      <c r="B397" s="11"/>
      <c r="C397" s="11"/>
      <c r="D397" s="11" t="str">
        <f t="shared" si="17"/>
        <v>4º GRUPO F</v>
      </c>
      <c r="E397" s="778" t="s">
        <v>1375</v>
      </c>
      <c r="F397" s="778"/>
      <c r="G397" s="778" t="s">
        <v>107</v>
      </c>
      <c r="H397" s="778" t="s">
        <v>400</v>
      </c>
      <c r="I397" s="11"/>
    </row>
    <row r="398" spans="1:9">
      <c r="A398" s="11"/>
      <c r="B398" s="11"/>
      <c r="C398" s="11"/>
      <c r="D398" s="11" t="str">
        <f t="shared" si="17"/>
        <v>1º GRUPO G</v>
      </c>
      <c r="E398" s="778" t="s">
        <v>1375</v>
      </c>
      <c r="F398" s="778"/>
      <c r="G398" s="778" t="s">
        <v>516</v>
      </c>
      <c r="H398" s="778" t="s">
        <v>520</v>
      </c>
      <c r="I398" s="11"/>
    </row>
    <row r="399" spans="1:9">
      <c r="A399" s="11"/>
      <c r="B399" s="11"/>
      <c r="C399" s="11"/>
      <c r="D399" s="11" t="str">
        <f t="shared" si="17"/>
        <v>2º GRUPO G</v>
      </c>
      <c r="E399" s="778" t="s">
        <v>1375</v>
      </c>
      <c r="F399" s="778"/>
      <c r="G399" s="778" t="s">
        <v>517</v>
      </c>
      <c r="H399" s="778" t="s">
        <v>521</v>
      </c>
      <c r="I399" s="11"/>
    </row>
    <row r="400" spans="1:9">
      <c r="A400" s="11"/>
      <c r="B400" s="11"/>
      <c r="C400" s="11"/>
      <c r="D400" s="11" t="str">
        <f t="shared" si="17"/>
        <v>3º GRUPO G</v>
      </c>
      <c r="E400" s="778" t="s">
        <v>1375</v>
      </c>
      <c r="F400" s="778"/>
      <c r="G400" s="778" t="s">
        <v>518</v>
      </c>
      <c r="H400" s="778" t="s">
        <v>522</v>
      </c>
      <c r="I400" s="11"/>
    </row>
    <row r="401" spans="1:9">
      <c r="A401" s="11"/>
      <c r="B401" s="11"/>
      <c r="C401" s="11"/>
      <c r="D401" s="11" t="str">
        <f t="shared" si="17"/>
        <v>4º GRUPO G</v>
      </c>
      <c r="E401" s="778" t="s">
        <v>1375</v>
      </c>
      <c r="F401" s="778"/>
      <c r="G401" s="778" t="s">
        <v>519</v>
      </c>
      <c r="H401" s="778" t="s">
        <v>523</v>
      </c>
      <c r="I401" s="11"/>
    </row>
    <row r="402" spans="1:9">
      <c r="A402" s="11"/>
      <c r="B402" s="11"/>
      <c r="C402" s="11"/>
      <c r="D402" s="11" t="str">
        <f t="shared" si="17"/>
        <v>1º GRUPO H</v>
      </c>
      <c r="E402" s="778" t="s">
        <v>1375</v>
      </c>
      <c r="F402" s="778"/>
      <c r="G402" s="778" t="s">
        <v>524</v>
      </c>
      <c r="H402" s="778" t="s">
        <v>528</v>
      </c>
      <c r="I402" s="11"/>
    </row>
    <row r="403" spans="1:9">
      <c r="A403" s="11"/>
      <c r="B403" s="11"/>
      <c r="C403" s="11"/>
      <c r="D403" s="11" t="str">
        <f t="shared" si="17"/>
        <v>2º GRUPO H</v>
      </c>
      <c r="E403" s="778" t="s">
        <v>1375</v>
      </c>
      <c r="F403" s="11"/>
      <c r="G403" s="778" t="s">
        <v>525</v>
      </c>
      <c r="H403" s="778" t="s">
        <v>529</v>
      </c>
      <c r="I403" s="11"/>
    </row>
    <row r="404" spans="1:9">
      <c r="A404" s="11"/>
      <c r="B404" s="11"/>
      <c r="C404" s="11"/>
      <c r="D404" s="11" t="str">
        <f t="shared" si="17"/>
        <v>3º GRUPO H</v>
      </c>
      <c r="E404" s="778" t="s">
        <v>1375</v>
      </c>
      <c r="F404" s="11"/>
      <c r="G404" s="778" t="s">
        <v>526</v>
      </c>
      <c r="H404" s="778" t="s">
        <v>530</v>
      </c>
      <c r="I404" s="11"/>
    </row>
    <row r="405" spans="1:9">
      <c r="A405" s="11"/>
      <c r="B405" s="11"/>
      <c r="C405" s="11"/>
      <c r="D405" s="11" t="str">
        <f t="shared" si="17"/>
        <v>4º GRUPO H</v>
      </c>
      <c r="E405" s="778" t="s">
        <v>1375</v>
      </c>
      <c r="F405" s="11"/>
      <c r="G405" s="778" t="s">
        <v>527</v>
      </c>
      <c r="H405" s="778" t="s">
        <v>531</v>
      </c>
      <c r="I405" s="11"/>
    </row>
    <row r="406" spans="1:9">
      <c r="A406" s="11"/>
      <c r="B406" s="11"/>
      <c r="C406" s="11"/>
      <c r="D406" s="11" t="str">
        <f t="shared" si="17"/>
        <v>1º GRUPO I</v>
      </c>
      <c r="E406" s="778" t="s">
        <v>1375</v>
      </c>
      <c r="F406" s="11"/>
      <c r="G406" s="778" t="s">
        <v>532</v>
      </c>
      <c r="H406" s="778" t="s">
        <v>536</v>
      </c>
      <c r="I406" s="11"/>
    </row>
    <row r="407" spans="1:9">
      <c r="A407" s="11"/>
      <c r="B407" s="11"/>
      <c r="C407" s="11"/>
      <c r="D407" s="11" t="str">
        <f t="shared" si="17"/>
        <v>2º GRUPO I</v>
      </c>
      <c r="E407" s="778" t="s">
        <v>1375</v>
      </c>
      <c r="F407" s="11"/>
      <c r="G407" s="778" t="s">
        <v>533</v>
      </c>
      <c r="H407" s="778" t="s">
        <v>537</v>
      </c>
      <c r="I407" s="11"/>
    </row>
    <row r="408" spans="1:9">
      <c r="A408" s="11"/>
      <c r="B408" s="11"/>
      <c r="C408" s="11"/>
      <c r="D408" s="11" t="str">
        <f t="shared" si="17"/>
        <v>3º GRUPO I</v>
      </c>
      <c r="E408" s="778" t="s">
        <v>1375</v>
      </c>
      <c r="F408" s="11"/>
      <c r="G408" s="778" t="s">
        <v>534</v>
      </c>
      <c r="H408" s="778" t="s">
        <v>538</v>
      </c>
      <c r="I408" s="11"/>
    </row>
    <row r="409" spans="1:9">
      <c r="A409" s="11"/>
      <c r="B409" s="11"/>
      <c r="C409" s="11"/>
      <c r="D409" s="11" t="str">
        <f t="shared" si="17"/>
        <v>4º GRUPO I</v>
      </c>
      <c r="E409" s="778" t="s">
        <v>1375</v>
      </c>
      <c r="F409" s="11"/>
      <c r="G409" s="778" t="s">
        <v>535</v>
      </c>
      <c r="H409" s="778" t="s">
        <v>539</v>
      </c>
      <c r="I409" s="11"/>
    </row>
    <row r="410" spans="1:9">
      <c r="A410" s="11"/>
      <c r="B410" s="11"/>
      <c r="C410" s="11"/>
      <c r="D410" s="11" t="str">
        <f t="shared" si="17"/>
        <v>1º GRUPO J</v>
      </c>
      <c r="E410" s="778" t="s">
        <v>1375</v>
      </c>
      <c r="F410" s="11"/>
      <c r="G410" s="778" t="s">
        <v>540</v>
      </c>
      <c r="H410" s="778" t="s">
        <v>544</v>
      </c>
      <c r="I410" s="11"/>
    </row>
    <row r="411" spans="1:9">
      <c r="A411" s="11"/>
      <c r="B411" s="11"/>
      <c r="C411" s="11"/>
      <c r="D411" s="11" t="str">
        <f t="shared" si="17"/>
        <v>2º GRUPO J</v>
      </c>
      <c r="E411" s="778" t="s">
        <v>1375</v>
      </c>
      <c r="F411" s="11"/>
      <c r="G411" s="778" t="s">
        <v>541</v>
      </c>
      <c r="H411" s="778" t="s">
        <v>545</v>
      </c>
      <c r="I411" s="11"/>
    </row>
    <row r="412" spans="1:9">
      <c r="A412" s="11"/>
      <c r="B412" s="11"/>
      <c r="C412" s="11"/>
      <c r="D412" s="11" t="str">
        <f t="shared" si="17"/>
        <v>3º GRUPO J</v>
      </c>
      <c r="E412" s="778" t="s">
        <v>1375</v>
      </c>
      <c r="F412" s="11"/>
      <c r="G412" s="778" t="s">
        <v>542</v>
      </c>
      <c r="H412" s="778" t="s">
        <v>546</v>
      </c>
      <c r="I412" s="11"/>
    </row>
    <row r="413" spans="1:9">
      <c r="A413" s="11"/>
      <c r="B413" s="11"/>
      <c r="C413" s="11"/>
      <c r="D413" s="11" t="str">
        <f t="shared" si="17"/>
        <v>4º GRUPO J</v>
      </c>
      <c r="E413" s="778" t="s">
        <v>1375</v>
      </c>
      <c r="F413" s="11"/>
      <c r="G413" s="778" t="s">
        <v>543</v>
      </c>
      <c r="H413" s="778" t="s">
        <v>547</v>
      </c>
      <c r="I413" s="11"/>
    </row>
    <row r="414" spans="1:9">
      <c r="A414" s="11"/>
      <c r="B414" s="11"/>
      <c r="C414" s="11"/>
      <c r="D414" s="11" t="str">
        <f t="shared" si="17"/>
        <v>1º GRUPO K</v>
      </c>
      <c r="E414" s="778" t="s">
        <v>1375</v>
      </c>
      <c r="F414" s="11"/>
      <c r="G414" s="778" t="s">
        <v>548</v>
      </c>
      <c r="H414" s="778" t="s">
        <v>552</v>
      </c>
      <c r="I414" s="11"/>
    </row>
    <row r="415" spans="1:9">
      <c r="A415" s="11"/>
      <c r="B415" s="11"/>
      <c r="C415" s="11"/>
      <c r="D415" s="11" t="str">
        <f t="shared" si="17"/>
        <v>2º GRUPO K</v>
      </c>
      <c r="E415" s="778" t="s">
        <v>1375</v>
      </c>
      <c r="F415" s="11"/>
      <c r="G415" s="778" t="s">
        <v>549</v>
      </c>
      <c r="H415" s="778" t="s">
        <v>553</v>
      </c>
      <c r="I415" s="11"/>
    </row>
    <row r="416" spans="1:9">
      <c r="A416" s="11"/>
      <c r="B416" s="11"/>
      <c r="C416" s="11"/>
      <c r="D416" s="11" t="str">
        <f t="shared" si="17"/>
        <v>3º GRUPO K</v>
      </c>
      <c r="E416" s="778" t="s">
        <v>1375</v>
      </c>
      <c r="F416" s="11"/>
      <c r="G416" s="778" t="s">
        <v>550</v>
      </c>
      <c r="H416" s="778" t="s">
        <v>554</v>
      </c>
      <c r="I416" s="11"/>
    </row>
    <row r="417" spans="1:9">
      <c r="A417" s="11"/>
      <c r="B417" s="11"/>
      <c r="C417" s="11"/>
      <c r="D417" s="11" t="str">
        <f t="shared" si="17"/>
        <v>4º GRUPO K</v>
      </c>
      <c r="E417" s="778" t="s">
        <v>1375</v>
      </c>
      <c r="F417" s="11"/>
      <c r="G417" s="778" t="s">
        <v>551</v>
      </c>
      <c r="H417" s="778" t="s">
        <v>555</v>
      </c>
      <c r="I417" s="11"/>
    </row>
    <row r="418" spans="1:9">
      <c r="A418" s="11"/>
      <c r="B418" s="11"/>
      <c r="C418" s="11"/>
      <c r="D418" s="11" t="str">
        <f t="shared" si="17"/>
        <v>1º GRUPO L</v>
      </c>
      <c r="E418" s="778" t="s">
        <v>1375</v>
      </c>
      <c r="F418" s="11"/>
      <c r="G418" s="778" t="s">
        <v>556</v>
      </c>
      <c r="H418" s="778" t="s">
        <v>560</v>
      </c>
      <c r="I418" s="11"/>
    </row>
    <row r="419" spans="1:9">
      <c r="A419" s="11"/>
      <c r="B419" s="11"/>
      <c r="C419" s="11"/>
      <c r="D419" s="11" t="str">
        <f t="shared" si="17"/>
        <v>2º GRUPO L</v>
      </c>
      <c r="E419" s="778" t="s">
        <v>1375</v>
      </c>
      <c r="F419" s="11"/>
      <c r="G419" s="778" t="s">
        <v>557</v>
      </c>
      <c r="H419" s="778" t="s">
        <v>561</v>
      </c>
      <c r="I419" s="11"/>
    </row>
    <row r="420" spans="1:9">
      <c r="A420" s="11"/>
      <c r="B420" s="11"/>
      <c r="C420" s="11"/>
      <c r="D420" s="11" t="str">
        <f t="shared" si="17"/>
        <v>3º GRUPO L</v>
      </c>
      <c r="E420" s="778" t="s">
        <v>1375</v>
      </c>
      <c r="F420" s="11"/>
      <c r="G420" s="778" t="s">
        <v>558</v>
      </c>
      <c r="H420" s="778" t="s">
        <v>562</v>
      </c>
      <c r="I420" s="11"/>
    </row>
    <row r="421" spans="1:9">
      <c r="A421" s="11"/>
      <c r="B421" s="11"/>
      <c r="C421" s="11"/>
      <c r="D421" s="11" t="str">
        <f t="shared" si="17"/>
        <v>4º GRUPO L</v>
      </c>
      <c r="E421" s="778" t="s">
        <v>1375</v>
      </c>
      <c r="F421" s="11"/>
      <c r="G421" s="778" t="s">
        <v>559</v>
      </c>
      <c r="H421" s="778" t="s">
        <v>563</v>
      </c>
      <c r="I421" s="11"/>
    </row>
    <row r="422" spans="1:9">
      <c r="A422" s="11"/>
      <c r="B422" s="11"/>
      <c r="C422" s="11"/>
      <c r="D422" s="11" t="str">
        <f t="shared" si="17"/>
        <v>Dieciseisavofinalista</v>
      </c>
      <c r="E422" s="778" t="s">
        <v>1375</v>
      </c>
      <c r="F422" s="11"/>
      <c r="G422" s="778" t="s">
        <v>566</v>
      </c>
      <c r="H422" s="778" t="s">
        <v>567</v>
      </c>
      <c r="I422" s="11"/>
    </row>
    <row r="423" spans="1:9">
      <c r="A423" s="11"/>
      <c r="B423" s="11"/>
      <c r="C423" s="11"/>
      <c r="D423" s="11" t="str">
        <f t="shared" si="17"/>
        <v>Octavofinalista</v>
      </c>
      <c r="E423" s="778" t="s">
        <v>1375</v>
      </c>
      <c r="F423" s="11"/>
      <c r="G423" s="778" t="s">
        <v>1296</v>
      </c>
      <c r="H423" s="778" t="s">
        <v>401</v>
      </c>
      <c r="I423" s="11"/>
    </row>
    <row r="424" spans="1:9">
      <c r="A424" s="11"/>
      <c r="B424" s="11"/>
      <c r="C424" s="11"/>
      <c r="D424" s="11" t="str">
        <f t="shared" ref="D424:D446" si="18">IF($B$2,G424,H424)</f>
        <v>Cuartofinalista</v>
      </c>
      <c r="E424" s="778" t="s">
        <v>1375</v>
      </c>
      <c r="F424" s="11"/>
      <c r="G424" s="778" t="s">
        <v>58</v>
      </c>
      <c r="H424" s="778" t="s">
        <v>402</v>
      </c>
      <c r="I424" s="11"/>
    </row>
    <row r="425" spans="1:9">
      <c r="A425" s="11"/>
      <c r="B425" s="11"/>
      <c r="C425" s="11"/>
      <c r="D425" s="11" t="str">
        <f t="shared" si="18"/>
        <v>Semifinalista</v>
      </c>
      <c r="E425" s="778" t="s">
        <v>1375</v>
      </c>
      <c r="F425" s="11"/>
      <c r="G425" s="778" t="s">
        <v>61</v>
      </c>
      <c r="H425" s="778" t="s">
        <v>403</v>
      </c>
      <c r="I425" s="11"/>
    </row>
    <row r="426" spans="1:9">
      <c r="A426" s="11"/>
      <c r="B426" s="11"/>
      <c r="C426" s="11"/>
      <c r="D426" s="11" t="str">
        <f t="shared" si="18"/>
        <v>3º y 4º puesto</v>
      </c>
      <c r="E426" s="778" t="s">
        <v>1375</v>
      </c>
      <c r="F426" s="11"/>
      <c r="G426" s="778" t="s">
        <v>491</v>
      </c>
      <c r="H426" s="778" t="s">
        <v>492</v>
      </c>
      <c r="I426" s="11"/>
    </row>
    <row r="427" spans="1:9">
      <c r="A427" s="11"/>
      <c r="B427" s="11"/>
      <c r="C427" s="11"/>
      <c r="D427" s="11" t="str">
        <f t="shared" si="18"/>
        <v>Finalista</v>
      </c>
      <c r="E427" s="778" t="s">
        <v>1375</v>
      </c>
      <c r="F427" s="11"/>
      <c r="G427" s="778" t="s">
        <v>64</v>
      </c>
      <c r="H427" s="778" t="s">
        <v>404</v>
      </c>
      <c r="I427" s="11"/>
    </row>
    <row r="428" spans="1:9">
      <c r="A428" s="11"/>
      <c r="B428" s="11"/>
      <c r="C428" s="11"/>
      <c r="D428" s="11" t="str">
        <f t="shared" si="18"/>
        <v>J1</v>
      </c>
      <c r="E428" s="778" t="s">
        <v>1375</v>
      </c>
      <c r="F428" s="11"/>
      <c r="G428" s="778" t="s">
        <v>26</v>
      </c>
      <c r="H428" s="778" t="s">
        <v>273</v>
      </c>
      <c r="I428" s="11"/>
    </row>
    <row r="429" spans="1:9">
      <c r="A429" s="11"/>
      <c r="B429" s="11"/>
      <c r="C429" s="11"/>
      <c r="D429" s="11" t="str">
        <f t="shared" si="18"/>
        <v>J2</v>
      </c>
      <c r="E429" s="778" t="s">
        <v>1375</v>
      </c>
      <c r="F429" s="11"/>
      <c r="G429" s="778" t="s">
        <v>27</v>
      </c>
      <c r="H429" s="778" t="s">
        <v>274</v>
      </c>
      <c r="I429" s="11"/>
    </row>
    <row r="430" spans="1:9">
      <c r="A430" s="11"/>
      <c r="B430" s="11"/>
      <c r="C430" s="11"/>
      <c r="D430" s="11" t="str">
        <f t="shared" si="18"/>
        <v>J3</v>
      </c>
      <c r="E430" s="778" t="s">
        <v>1375</v>
      </c>
      <c r="F430" s="11"/>
      <c r="G430" s="778" t="s">
        <v>28</v>
      </c>
      <c r="H430" s="778" t="s">
        <v>275</v>
      </c>
      <c r="I430" s="11"/>
    </row>
    <row r="431" spans="1:9">
      <c r="A431" s="11"/>
      <c r="B431" s="11"/>
      <c r="C431" s="11"/>
      <c r="D431" s="11" t="str">
        <f t="shared" si="18"/>
        <v>Sistema de puntuación</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Campeón</v>
      </c>
      <c r="E433" s="778" t="s">
        <v>1375</v>
      </c>
      <c r="F433" s="11"/>
      <c r="G433" s="778" t="s">
        <v>1530</v>
      </c>
      <c r="H433" s="778" t="s">
        <v>1531</v>
      </c>
      <c r="I433" s="11"/>
    </row>
    <row r="434" spans="1:9">
      <c r="A434" s="11"/>
      <c r="B434" s="11"/>
      <c r="C434" s="11"/>
      <c r="D434" s="11" t="str">
        <f t="shared" si="18"/>
        <v>PREDICTOR - Subcampeón</v>
      </c>
      <c r="E434" s="778" t="s">
        <v>1375</v>
      </c>
      <c r="F434" s="11"/>
      <c r="G434" s="778" t="s">
        <v>1581</v>
      </c>
      <c r="H434" s="778" t="s">
        <v>1582</v>
      </c>
      <c r="I434" s="11"/>
    </row>
    <row r="435" spans="1:9">
      <c r="A435" s="11"/>
      <c r="B435" s="11"/>
      <c r="C435" s="11"/>
      <c r="D435" s="11" t="str">
        <f t="shared" ref="D435" si="19">IF($B$2,G435,H435)</f>
        <v>PREDICTOR- 3º puesto</v>
      </c>
      <c r="E435" s="778" t="s">
        <v>1375</v>
      </c>
      <c r="F435" s="11"/>
      <c r="G435" s="778" t="s">
        <v>1579</v>
      </c>
      <c r="H435" s="778" t="s">
        <v>1580</v>
      </c>
      <c r="I435" s="11"/>
    </row>
    <row r="436" spans="1:9">
      <c r="A436" s="11"/>
      <c r="B436" s="11"/>
      <c r="C436" s="11"/>
      <c r="D436" s="11" t="str">
        <f t="shared" si="18"/>
        <v>PREDICTOR - Semifinales</v>
      </c>
      <c r="E436" s="778" t="s">
        <v>1375</v>
      </c>
      <c r="F436" s="11"/>
      <c r="G436" s="778" t="s">
        <v>1532</v>
      </c>
      <c r="H436" s="778" t="s">
        <v>1533</v>
      </c>
      <c r="I436" s="11"/>
    </row>
    <row r="437" spans="1:9">
      <c r="A437" s="11"/>
      <c r="B437" s="11"/>
      <c r="C437" s="11"/>
      <c r="D437" s="11" t="str">
        <f t="shared" si="18"/>
        <v>PREDICTOR - Cuartos de final</v>
      </c>
      <c r="E437" s="778" t="s">
        <v>1375</v>
      </c>
      <c r="F437" s="11"/>
      <c r="G437" s="778" t="s">
        <v>1534</v>
      </c>
      <c r="H437" s="778" t="s">
        <v>1535</v>
      </c>
      <c r="I437" s="11"/>
    </row>
    <row r="438" spans="1:9">
      <c r="A438" s="11"/>
      <c r="B438" s="11"/>
      <c r="C438" s="11"/>
      <c r="D438" s="11" t="str">
        <f t="shared" si="18"/>
        <v>PREDICTOR - Octavos de final</v>
      </c>
      <c r="E438" s="778" t="s">
        <v>1375</v>
      </c>
      <c r="F438" s="11"/>
      <c r="G438" s="778" t="s">
        <v>1536</v>
      </c>
      <c r="H438" s="778" t="s">
        <v>1537</v>
      </c>
      <c r="I438" s="11"/>
    </row>
    <row r="439" spans="1:9">
      <c r="A439" s="11"/>
      <c r="B439" s="11"/>
      <c r="C439" s="11"/>
      <c r="D439" s="11" t="str">
        <f t="shared" si="18"/>
        <v>PREDICTOR - Dieciseisavos de final</v>
      </c>
      <c r="E439" s="778" t="s">
        <v>1375</v>
      </c>
      <c r="F439" s="11"/>
      <c r="G439" s="778" t="s">
        <v>1573</v>
      </c>
      <c r="H439" s="778" t="s">
        <v>1574</v>
      </c>
      <c r="I439" s="11"/>
    </row>
    <row r="440" spans="1:9">
      <c r="A440" s="11"/>
      <c r="B440" s="11"/>
      <c r="C440" s="11"/>
      <c r="D440" s="11" t="str">
        <f t="shared" si="18"/>
        <v>PREDICTOR- Fase de Liga</v>
      </c>
      <c r="E440" s="778" t="s">
        <v>1375</v>
      </c>
      <c r="F440" s="11"/>
      <c r="G440" s="778" t="s">
        <v>1538</v>
      </c>
      <c r="H440" s="778" t="s">
        <v>1539</v>
      </c>
      <c r="I440" s="11"/>
    </row>
    <row r="441" spans="1:9">
      <c r="A441" s="11"/>
      <c r="B441" s="11"/>
      <c r="C441" s="11"/>
      <c r="D441" s="11" t="str">
        <f t="shared" si="18"/>
        <v>% Ajuste por desvío en Diferencia/Distancia de goles</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**¿Qué es esto y cómo funciona?</v>
      </c>
      <c r="E443" s="778" t="s">
        <v>1375</v>
      </c>
      <c r="F443" s="11"/>
      <c r="G443" s="778" t="s">
        <v>1826</v>
      </c>
      <c r="H443" s="778" t="s">
        <v>1827</v>
      </c>
      <c r="I443" s="11"/>
    </row>
    <row r="444" spans="1:9">
      <c r="A444" s="11"/>
      <c r="B444" s="11"/>
      <c r="C444" s="11"/>
      <c r="D444" s="11" t="str">
        <f t="shared" si="18"/>
        <v>https://matejero.es/puntuaciones-excel-mundial-2026/#%C2%BFQue_es_y_como_funciona_el_ajuste_por_desvio_en_diferenciadistancia_de_goles</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https://matejero.es/puntuaciones-excel-mundial-2026/#%C2%BFQue_es_un_BONUS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Jugador</v>
      </c>
      <c r="E453" s="11" t="s">
        <v>1589</v>
      </c>
      <c r="F453" s="11" t="s">
        <v>126</v>
      </c>
      <c r="G453" s="781" t="s">
        <v>1591</v>
      </c>
      <c r="H453" s="781" t="s">
        <v>1592</v>
      </c>
      <c r="I453" s="11"/>
    </row>
    <row r="454" spans="1:9">
      <c r="A454" s="11"/>
      <c r="B454" s="11"/>
      <c r="C454" s="11"/>
      <c r="D454" s="11" t="str">
        <f t="shared" si="20"/>
        <v>Puntos Totales</v>
      </c>
      <c r="E454" s="11" t="s">
        <v>1589</v>
      </c>
      <c r="F454" s="11" t="s">
        <v>127</v>
      </c>
      <c r="G454" s="781" t="s">
        <v>1593</v>
      </c>
      <c r="H454" s="781" t="s">
        <v>1594</v>
      </c>
      <c r="I454" s="11"/>
    </row>
    <row r="455" spans="1:9">
      <c r="A455" s="11"/>
      <c r="B455" s="11"/>
      <c r="C455" s="11"/>
      <c r="D455" s="11" t="str">
        <f t="shared" si="20"/>
        <v>F. Grupos</v>
      </c>
      <c r="E455" s="11" t="s">
        <v>1589</v>
      </c>
      <c r="F455" s="11" t="s">
        <v>128</v>
      </c>
      <c r="G455" s="781" t="s">
        <v>1595</v>
      </c>
      <c r="H455" s="781" t="s">
        <v>1627</v>
      </c>
      <c r="I455" s="11"/>
    </row>
    <row r="456" spans="1:9">
      <c r="A456" s="11"/>
      <c r="B456" s="11"/>
      <c r="C456" s="11"/>
      <c r="D456" s="11" t="str">
        <f t="shared" si="20"/>
        <v>Pos. Grupos</v>
      </c>
      <c r="E456" s="11" t="s">
        <v>1589</v>
      </c>
      <c r="F456" s="11" t="s">
        <v>129</v>
      </c>
      <c r="G456" s="781" t="s">
        <v>1596</v>
      </c>
      <c r="H456" s="781" t="s">
        <v>1628</v>
      </c>
      <c r="I456" s="11"/>
    </row>
    <row r="457" spans="1:9">
      <c r="A457" s="11"/>
      <c r="B457" s="11"/>
      <c r="C457" s="11"/>
      <c r="D457" s="11" t="str">
        <f t="shared" ref="D457:D458" si="21">IF($B$2,G457,H457)</f>
        <v>Equipos 1/16</v>
      </c>
      <c r="E457" s="11" t="s">
        <v>1589</v>
      </c>
      <c r="F457" s="11" t="s">
        <v>180</v>
      </c>
      <c r="G457" s="781" t="s">
        <v>1612</v>
      </c>
      <c r="H457" s="781" t="s">
        <v>1617</v>
      </c>
      <c r="I457" s="11"/>
    </row>
    <row r="458" spans="1:9">
      <c r="A458" s="11"/>
      <c r="B458" s="11"/>
      <c r="C458" s="11"/>
      <c r="D458" s="11" t="str">
        <f t="shared" si="21"/>
        <v>Partidos 1/16</v>
      </c>
      <c r="E458" s="11" t="s">
        <v>1589</v>
      </c>
      <c r="F458" s="11" t="s">
        <v>181</v>
      </c>
      <c r="G458" s="781" t="s">
        <v>1613</v>
      </c>
      <c r="H458" s="781" t="s">
        <v>1614</v>
      </c>
      <c r="I458" s="11"/>
    </row>
    <row r="459" spans="1:9">
      <c r="A459" s="11"/>
      <c r="B459" s="11"/>
      <c r="C459" s="11"/>
      <c r="D459" s="11" t="str">
        <f t="shared" si="20"/>
        <v>Equipos 1/8</v>
      </c>
      <c r="E459" s="11" t="s">
        <v>1589</v>
      </c>
      <c r="F459" s="11" t="s">
        <v>180</v>
      </c>
      <c r="G459" s="781" t="s">
        <v>1597</v>
      </c>
      <c r="H459" s="781" t="s">
        <v>1618</v>
      </c>
      <c r="I459" s="11"/>
    </row>
    <row r="460" spans="1:9">
      <c r="A460" s="11"/>
      <c r="B460" s="11"/>
      <c r="C460" s="11"/>
      <c r="D460" s="11" t="str">
        <f t="shared" si="20"/>
        <v>Partidos 1/8</v>
      </c>
      <c r="E460" s="11" t="s">
        <v>1589</v>
      </c>
      <c r="F460" s="11" t="s">
        <v>181</v>
      </c>
      <c r="G460" s="781" t="s">
        <v>1598</v>
      </c>
      <c r="H460" s="781" t="s">
        <v>1599</v>
      </c>
      <c r="I460" s="11"/>
    </row>
    <row r="461" spans="1:9">
      <c r="A461" s="11"/>
      <c r="B461" s="11"/>
      <c r="C461" s="11"/>
      <c r="D461" s="11" t="str">
        <f t="shared" si="20"/>
        <v>Equipos 1/4</v>
      </c>
      <c r="E461" s="11" t="s">
        <v>1589</v>
      </c>
      <c r="F461" s="11" t="s">
        <v>182</v>
      </c>
      <c r="G461" s="781" t="s">
        <v>1600</v>
      </c>
      <c r="H461" s="781" t="s">
        <v>1619</v>
      </c>
      <c r="I461" s="11"/>
    </row>
    <row r="462" spans="1:9">
      <c r="A462" s="11"/>
      <c r="B462" s="11"/>
      <c r="C462" s="11"/>
      <c r="D462" s="11" t="str">
        <f t="shared" si="20"/>
        <v>Partidos 1/4</v>
      </c>
      <c r="E462" s="11" t="s">
        <v>1589</v>
      </c>
      <c r="F462" s="11" t="s">
        <v>28</v>
      </c>
      <c r="G462" s="781" t="s">
        <v>1601</v>
      </c>
      <c r="H462" s="781" t="s">
        <v>1602</v>
      </c>
      <c r="I462" s="11"/>
    </row>
    <row r="463" spans="1:9">
      <c r="A463" s="11"/>
      <c r="B463" s="11"/>
      <c r="C463" s="11"/>
      <c r="D463" s="11" t="str">
        <f t="shared" si="20"/>
        <v>Equipos 1/2</v>
      </c>
      <c r="E463" s="11" t="s">
        <v>1589</v>
      </c>
      <c r="F463" s="11" t="s">
        <v>188</v>
      </c>
      <c r="G463" s="781" t="s">
        <v>1603</v>
      </c>
      <c r="H463" s="781" t="s">
        <v>1620</v>
      </c>
      <c r="I463" s="11"/>
    </row>
    <row r="464" spans="1:9">
      <c r="A464" s="11"/>
      <c r="B464" s="11"/>
      <c r="C464" s="11"/>
      <c r="D464" s="11" t="str">
        <f t="shared" si="20"/>
        <v>Partidos 1/2</v>
      </c>
      <c r="E464" s="11" t="s">
        <v>1589</v>
      </c>
      <c r="F464" s="11" t="s">
        <v>1198</v>
      </c>
      <c r="G464" s="781" t="s">
        <v>1604</v>
      </c>
      <c r="H464" s="781" t="s">
        <v>1605</v>
      </c>
      <c r="I464" s="11"/>
    </row>
    <row r="465" spans="1:9">
      <c r="A465" s="11"/>
      <c r="B465" s="11"/>
      <c r="C465" s="11"/>
      <c r="D465" s="11" t="str">
        <f t="shared" si="20"/>
        <v>Equipos 3-4</v>
      </c>
      <c r="E465" s="11" t="s">
        <v>1589</v>
      </c>
      <c r="F465" s="11"/>
      <c r="G465" s="781" t="s">
        <v>1615</v>
      </c>
      <c r="H465" s="781" t="s">
        <v>1616</v>
      </c>
      <c r="I465" s="11"/>
    </row>
    <row r="466" spans="1:9">
      <c r="A466" s="11"/>
      <c r="B466" s="11"/>
      <c r="C466" s="11"/>
      <c r="D466" s="11" t="str">
        <f t="shared" si="20"/>
        <v>Equipos Final</v>
      </c>
      <c r="E466" s="11" t="s">
        <v>1589</v>
      </c>
      <c r="F466" s="11" t="s">
        <v>1606</v>
      </c>
      <c r="G466" s="781" t="s">
        <v>1607</v>
      </c>
      <c r="H466" s="781" t="s">
        <v>1621</v>
      </c>
      <c r="I466" s="11"/>
    </row>
    <row r="467" spans="1:9">
      <c r="A467" s="11"/>
      <c r="B467" s="11"/>
      <c r="C467" s="11"/>
      <c r="D467" s="11" t="str">
        <f t="shared" ref="D467" si="22">IF($B$2,G467,H467)</f>
        <v>Partido 3-4</v>
      </c>
      <c r="E467" s="11" t="s">
        <v>1589</v>
      </c>
      <c r="F467" s="11"/>
      <c r="G467" s="781" t="s">
        <v>1622</v>
      </c>
      <c r="H467" s="781" t="s">
        <v>1623</v>
      </c>
      <c r="I467" s="11"/>
    </row>
    <row r="468" spans="1:9">
      <c r="A468" s="11"/>
      <c r="B468" s="11"/>
      <c r="C468" s="11"/>
      <c r="D468" s="11" t="str">
        <f t="shared" si="20"/>
        <v>Partido Final</v>
      </c>
      <c r="E468" s="11" t="s">
        <v>1589</v>
      </c>
      <c r="F468" s="11" t="s">
        <v>190</v>
      </c>
      <c r="G468" s="781" t="s">
        <v>1467</v>
      </c>
      <c r="H468" s="781" t="s">
        <v>1608</v>
      </c>
      <c r="I468" s="11"/>
    </row>
    <row r="469" spans="1:9">
      <c r="A469" s="11"/>
      <c r="B469" s="11"/>
      <c r="C469" s="11"/>
      <c r="D469" s="11" t="str">
        <f t="shared" ref="D469" si="23">IF($B$2,G469,H469)</f>
        <v xml:space="preserve">Cuadro de Honor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5"/>
  <cols>
    <col min="4" max="4" width="10.8554687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19" customWidth="1"/>
    <col min="15" max="20" width="20.42578125" style="720"/>
    <col min="21" max="16384" width="20.42578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México</v>
      </c>
      <c r="C2" s="5" t="s">
        <v>0</v>
      </c>
      <c r="D2" s="5">
        <v>1</v>
      </c>
      <c r="F2" s="5" t="s">
        <v>0</v>
      </c>
      <c r="K2" s="8" t="str">
        <f ca="1">Idiomas!D212</f>
        <v>Alemania</v>
      </c>
      <c r="L2" s="8" t="s">
        <v>144</v>
      </c>
      <c r="M2" s="8" t="e" vm="5">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Sudáfrica</v>
      </c>
      <c r="C3" s="5" t="s">
        <v>0</v>
      </c>
      <c r="D3" s="5">
        <v>2</v>
      </c>
      <c r="F3" s="5" t="s">
        <v>1</v>
      </c>
      <c r="K3" s="8" t="str">
        <f ca="1">Idiomas!D213</f>
        <v>Arabia Saudita</v>
      </c>
      <c r="L3" s="8" t="s">
        <v>1640</v>
      </c>
      <c r="M3" s="8" t="e" vm="6">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Corea del Sur</v>
      </c>
      <c r="C4" s="5" t="s">
        <v>0</v>
      </c>
      <c r="D4" s="5">
        <v>3</v>
      </c>
      <c r="F4" s="5" t="s">
        <v>2</v>
      </c>
      <c r="K4" s="8" t="str">
        <f ca="1">Idiomas!D214</f>
        <v>Argelia</v>
      </c>
      <c r="L4" s="8" t="s">
        <v>1560</v>
      </c>
      <c r="M4" s="8" t="e" vm="7">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República Checa</v>
      </c>
      <c r="C5" s="5" t="s">
        <v>0</v>
      </c>
      <c r="D5" s="5">
        <v>4</v>
      </c>
      <c r="F5" s="5" t="s">
        <v>73</v>
      </c>
      <c r="K5" s="8" t="str">
        <f ca="1">Idiomas!D215</f>
        <v>Argentina</v>
      </c>
      <c r="L5" s="8" t="s">
        <v>1272</v>
      </c>
      <c r="M5" s="8" t="e" vm="8">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Canadá</v>
      </c>
      <c r="C6" s="5" t="s">
        <v>1</v>
      </c>
      <c r="D6" s="5">
        <v>1</v>
      </c>
      <c r="F6" s="5" t="s">
        <v>3</v>
      </c>
      <c r="K6" s="8" t="str">
        <f ca="1">Idiomas!D216</f>
        <v>Australia</v>
      </c>
      <c r="L6" s="8" t="s">
        <v>1273</v>
      </c>
      <c r="M6" s="8" t="e" vm="9">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y Herzegovina</v>
      </c>
      <c r="C7" s="5" t="s">
        <v>1</v>
      </c>
      <c r="D7" s="5">
        <v>2</v>
      </c>
      <c r="F7" s="5" t="s">
        <v>4</v>
      </c>
      <c r="K7" s="8" t="str">
        <f ca="1">Idiomas!D217</f>
        <v>Austria</v>
      </c>
      <c r="L7" s="786" t="s">
        <v>145</v>
      </c>
      <c r="M7" s="786" t="e" vm="10">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Catar</v>
      </c>
      <c r="C8" s="5" t="s">
        <v>1</v>
      </c>
      <c r="D8" s="5">
        <v>3</v>
      </c>
      <c r="F8" s="5" t="s">
        <v>6</v>
      </c>
      <c r="K8" s="8" t="str">
        <f ca="1">Idiomas!D218</f>
        <v>Bélgica</v>
      </c>
      <c r="L8" s="8" t="s">
        <v>140</v>
      </c>
      <c r="M8" s="8" t="e" vm="11">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Suiza</v>
      </c>
      <c r="C9" s="5" t="s">
        <v>1</v>
      </c>
      <c r="D9" s="5">
        <v>4</v>
      </c>
      <c r="F9" s="5" t="s">
        <v>437</v>
      </c>
      <c r="K9" s="8" t="str">
        <f ca="1">Idiomas!D219</f>
        <v>Brasil</v>
      </c>
      <c r="L9" s="8" t="s">
        <v>1275</v>
      </c>
      <c r="M9" s="8" t="e" vm="12">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Brasil</v>
      </c>
      <c r="C10" s="5" t="s">
        <v>2</v>
      </c>
      <c r="D10" s="5">
        <v>1</v>
      </c>
      <c r="F10" s="5" t="s">
        <v>438</v>
      </c>
      <c r="K10" s="8" t="str">
        <f ca="1">Idiomas!D220</f>
        <v>Cabo Verde</v>
      </c>
      <c r="L10" s="8" t="s">
        <v>1557</v>
      </c>
      <c r="M10" s="8" t="e" vm="13">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Marruecos</v>
      </c>
      <c r="C11" s="5" t="s">
        <v>2</v>
      </c>
      <c r="D11" s="5">
        <v>2</v>
      </c>
      <c r="F11" s="5" t="s">
        <v>5</v>
      </c>
      <c r="K11" s="8" t="str">
        <f ca="1">Idiomas!D221</f>
        <v>Canadá</v>
      </c>
      <c r="L11" s="8" t="s">
        <v>1277</v>
      </c>
      <c r="M11" s="8" t="e" vm="14">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Haití</v>
      </c>
      <c r="C12" s="5" t="s">
        <v>2</v>
      </c>
      <c r="D12" s="5">
        <v>3</v>
      </c>
      <c r="F12" s="5" t="s">
        <v>439</v>
      </c>
      <c r="K12" s="8" t="str">
        <f ca="1">Idiomas!D222</f>
        <v>Catar</v>
      </c>
      <c r="L12" s="8" t="s">
        <v>1638</v>
      </c>
      <c r="M12" s="8" t="e" vm="15">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Escocia</v>
      </c>
      <c r="C13" s="5" t="s">
        <v>2</v>
      </c>
      <c r="D13" s="5">
        <v>4</v>
      </c>
      <c r="F13" s="5" t="s">
        <v>238</v>
      </c>
      <c r="K13" s="8" t="str">
        <f ca="1">Idiomas!D223</f>
        <v>Colombia</v>
      </c>
      <c r="L13" s="8" t="s">
        <v>1325</v>
      </c>
      <c r="M13" s="8" t="e" vm="16">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Estados Unidos</v>
      </c>
      <c r="C14" s="5" t="s">
        <v>73</v>
      </c>
      <c r="D14" s="5">
        <v>1</v>
      </c>
      <c r="K14" s="8" t="str">
        <f ca="1">Idiomas!D224</f>
        <v>Corea del Sur</v>
      </c>
      <c r="L14" s="8" t="s">
        <v>1279</v>
      </c>
      <c r="M14" s="8" t="e" vm="17">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Costa de Marfil</v>
      </c>
      <c r="L15" s="8" t="s">
        <v>1642</v>
      </c>
      <c r="M15" s="11" t="e" vm="18">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Croacia</v>
      </c>
      <c r="L16" s="8" t="s">
        <v>143</v>
      </c>
      <c r="M16" s="8" t="e" vm="19">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Turquía</v>
      </c>
      <c r="C17" s="5" t="s">
        <v>73</v>
      </c>
      <c r="D17" s="5">
        <v>4</v>
      </c>
      <c r="K17" s="8" t="str">
        <f ca="1">Idiomas!D227</f>
        <v>Curazao</v>
      </c>
      <c r="L17" s="8" t="s">
        <v>1732</v>
      </c>
      <c r="M17" s="8" t="e" vm="20">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Alemania</v>
      </c>
      <c r="C18" s="5" t="s">
        <v>3</v>
      </c>
      <c r="D18" s="5">
        <v>1</v>
      </c>
      <c r="K18" s="8" t="str">
        <f ca="1">Idiomas!D228</f>
        <v>Ecuador</v>
      </c>
      <c r="L18" s="8" t="s">
        <v>1280</v>
      </c>
      <c r="M18" s="11" t="e" vm="21">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Curazao</v>
      </c>
      <c r="C19" s="5" t="s">
        <v>3</v>
      </c>
      <c r="D19" s="5">
        <v>2</v>
      </c>
      <c r="K19" s="8" t="str">
        <f ca="1">Idiomas!D229</f>
        <v>Egipto</v>
      </c>
      <c r="L19" s="8" t="s">
        <v>1554</v>
      </c>
      <c r="M19" s="11" t="e" vm="22">
        <v>#VALUE!</v>
      </c>
      <c r="O19" s="786">
        <v>18</v>
      </c>
      <c r="P19" s="723"/>
      <c r="Q19" s="790" cm="1">
        <f t="array" aca="1" ref="Q19" ca="1">IFERROR(MIN(IF(COUNTIF($Q$1:Q18,ADMIN!$H$6:$H$77)=0,ADMIN!$H$6:$H$77)),"")</f>
        <v>0</v>
      </c>
      <c r="R19" s="789">
        <v>18</v>
      </c>
      <c r="S19" s="724"/>
      <c r="T19" s="791">
        <v>0.9</v>
      </c>
    </row>
    <row r="20" spans="1:20" ht="15" customHeight="1">
      <c r="A20" s="5">
        <v>19</v>
      </c>
      <c r="B20" s="5" t="str">
        <f ca="1">+INDEX(Idiomas!$D$212:$D$259,MATCH(T_Equipos[[#This Row],[Num]],Idiomas!$C$212:$C$259,0))</f>
        <v>Costa de Marfil</v>
      </c>
      <c r="C20" s="5" t="s">
        <v>3</v>
      </c>
      <c r="D20" s="5">
        <v>3</v>
      </c>
      <c r="K20" s="8" t="str">
        <f ca="1">Idiomas!D230</f>
        <v>Escocia</v>
      </c>
      <c r="L20" s="8" t="s">
        <v>146</v>
      </c>
      <c r="M20" s="8" t="e" vm="23">
        <v>#VALUE!</v>
      </c>
      <c r="O20" s="786">
        <v>19</v>
      </c>
      <c r="P20" s="723"/>
      <c r="Q20" s="786" t="str">
        <f>+PROPER(Idiomas!D137)</f>
        <v>Clasificados Para Dieciseisavos</v>
      </c>
      <c r="R20" s="786">
        <v>19</v>
      </c>
      <c r="T20" s="791">
        <v>0.95</v>
      </c>
    </row>
    <row r="21" spans="1:20" ht="15" customHeight="1">
      <c r="A21" s="5">
        <v>20</v>
      </c>
      <c r="B21" s="5" t="str">
        <f ca="1">+INDEX(Idiomas!$D$212:$D$259,MATCH(T_Equipos[[#This Row],[Num]],Idiomas!$C$212:$C$259,0))</f>
        <v>Ecuador</v>
      </c>
      <c r="C21" s="5" t="s">
        <v>3</v>
      </c>
      <c r="D21" s="5">
        <v>4</v>
      </c>
      <c r="K21" s="8" t="str">
        <f ca="1">Idiomas!D231</f>
        <v>España</v>
      </c>
      <c r="L21" s="8" t="s">
        <v>142</v>
      </c>
      <c r="M21" s="8" t="e" vm="24">
        <v>#VALUE!</v>
      </c>
      <c r="O21" s="786">
        <v>20</v>
      </c>
      <c r="Q21" s="790" t="str">
        <f>Idiomas!D260</f>
        <v>Dieciseisavos de final</v>
      </c>
      <c r="R21" s="789">
        <v>20</v>
      </c>
      <c r="T21" s="721"/>
    </row>
    <row r="22" spans="1:20" ht="15" customHeight="1">
      <c r="A22" s="5">
        <v>21</v>
      </c>
      <c r="B22" s="5" t="str">
        <f ca="1">+INDEX(Idiomas!$D$212:$D$259,MATCH(T_Equipos[[#This Row],[Num]],Idiomas!$C$212:$C$259,0))</f>
        <v>Países Bajos</v>
      </c>
      <c r="C22" s="5" t="s">
        <v>4</v>
      </c>
      <c r="D22" s="5">
        <v>1</v>
      </c>
      <c r="K22" s="8" t="str">
        <f ca="1">Idiomas!D232</f>
        <v>Estados Unidos</v>
      </c>
      <c r="L22" s="8" t="s">
        <v>1281</v>
      </c>
      <c r="M22" s="8" t="e" vm="25">
        <v>#VALUE!</v>
      </c>
      <c r="O22" s="786">
        <v>21</v>
      </c>
      <c r="Q22" s="790" t="str">
        <f>Idiomas!D261</f>
        <v>Octavos de final</v>
      </c>
      <c r="R22" s="789">
        <v>21</v>
      </c>
      <c r="T22" s="721"/>
    </row>
    <row r="23" spans="1:20" ht="15" customHeight="1">
      <c r="A23" s="5">
        <v>22</v>
      </c>
      <c r="B23" s="5" t="str">
        <f ca="1">+INDEX(Idiomas!$D$212:$D$259,MATCH(T_Equipos[[#This Row],[Num]],Idiomas!$C$212:$C$259,0))</f>
        <v>Japón</v>
      </c>
      <c r="C23" s="5" t="s">
        <v>4</v>
      </c>
      <c r="D23" s="5">
        <v>2</v>
      </c>
      <c r="K23" s="8" t="str">
        <f ca="1">Idiomas!D233</f>
        <v>Francia</v>
      </c>
      <c r="L23" s="8" t="s">
        <v>141</v>
      </c>
      <c r="M23" s="8" t="e" vm="26">
        <v>#VALUE!</v>
      </c>
      <c r="O23" s="786">
        <v>22</v>
      </c>
      <c r="Q23" s="790" t="str">
        <f>Idiomas!D262</f>
        <v>Cuartos de final</v>
      </c>
      <c r="R23" s="789">
        <v>22</v>
      </c>
    </row>
    <row r="24" spans="1:20" ht="15" customHeight="1">
      <c r="A24" s="5">
        <v>23</v>
      </c>
      <c r="B24" s="5" t="str">
        <f ca="1">+INDEX(Idiomas!$D$212:$D$259,MATCH(T_Equipos[[#This Row],[Num]],Idiomas!$C$212:$C$259,0))</f>
        <v>Suecia</v>
      </c>
      <c r="C24" s="5" t="s">
        <v>4</v>
      </c>
      <c r="D24" s="5">
        <v>3</v>
      </c>
      <c r="K24" s="8" t="str">
        <f ca="1">Idiomas!D234</f>
        <v>Ghana</v>
      </c>
      <c r="L24" s="8" t="s">
        <v>1555</v>
      </c>
      <c r="M24" s="8" t="e" vm="27">
        <v>#VALUE!</v>
      </c>
      <c r="O24" s="786">
        <v>23</v>
      </c>
      <c r="Q24" s="790" t="str">
        <f>Idiomas!D263</f>
        <v>Semifinales</v>
      </c>
      <c r="R24" s="789">
        <v>23</v>
      </c>
    </row>
    <row r="25" spans="1:20" ht="15" customHeight="1">
      <c r="A25" s="5">
        <v>24</v>
      </c>
      <c r="B25" s="5" t="str">
        <f ca="1">+INDEX(Idiomas!$D$212:$D$259,MATCH(T_Equipos[[#This Row],[Num]],Idiomas!$C$212:$C$259,0))</f>
        <v>Túnez</v>
      </c>
      <c r="C25" s="5" t="s">
        <v>4</v>
      </c>
      <c r="D25" s="5">
        <v>4</v>
      </c>
      <c r="K25" s="8" t="str">
        <f ca="1">Idiomas!D235</f>
        <v>Haití</v>
      </c>
      <c r="L25" s="8" t="s">
        <v>1733</v>
      </c>
      <c r="M25" s="8" t="e" vm="28">
        <v>#VALUE!</v>
      </c>
      <c r="O25" s="786">
        <v>24</v>
      </c>
      <c r="Q25" s="790" t="str">
        <f>Idiomas!D264</f>
        <v>3-4 &amp; Final</v>
      </c>
      <c r="R25" s="789">
        <v>24</v>
      </c>
    </row>
    <row r="26" spans="1:20" ht="15" customHeight="1">
      <c r="A26" s="5">
        <v>25</v>
      </c>
      <c r="B26" s="5" t="str">
        <f ca="1">+INDEX(Idiomas!$D$212:$D$259,MATCH(T_Equipos[[#This Row],[Num]],Idiomas!$C$212:$C$259,0))</f>
        <v>Bélgica</v>
      </c>
      <c r="C26" s="5" t="s">
        <v>6</v>
      </c>
      <c r="D26" s="5">
        <v>1</v>
      </c>
      <c r="K26" s="8" t="str">
        <f ca="1">Idiomas!D236</f>
        <v>Inglaterra</v>
      </c>
      <c r="L26" s="8" t="s">
        <v>139</v>
      </c>
      <c r="M26" s="8" t="e" vm="29">
        <v>#VALUE!</v>
      </c>
      <c r="O26" s="786">
        <v>25</v>
      </c>
      <c r="Q26" s="786" t="str">
        <f>+PROPER(Idiomas!G137)</f>
        <v>Clasificados Para Dieciseisavos</v>
      </c>
      <c r="R26" s="786">
        <v>19</v>
      </c>
    </row>
    <row r="27" spans="1:20"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1">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Irán</v>
      </c>
      <c r="C28" s="5" t="s">
        <v>6</v>
      </c>
      <c r="D28" s="5">
        <v>3</v>
      </c>
      <c r="K28" s="8" t="str">
        <f ca="1">Idiomas!D238</f>
        <v>Japón</v>
      </c>
      <c r="L28" s="8" t="s">
        <v>1285</v>
      </c>
      <c r="M28" s="8" t="e" vm="30">
        <v>#VALUE!</v>
      </c>
      <c r="O28" s="722"/>
      <c r="P28" s="724"/>
      <c r="Q28" s="790" t="str">
        <f>Idiomas!G261</f>
        <v>Octavos de final</v>
      </c>
      <c r="R28" s="789">
        <v>21</v>
      </c>
    </row>
    <row r="29" spans="1:20" ht="15" customHeight="1">
      <c r="A29" s="5">
        <v>28</v>
      </c>
      <c r="B29" s="5" t="str">
        <f ca="1">+INDEX(Idiomas!$D$212:$D$259,MATCH(T_Equipos[[#This Row],[Num]],Idiomas!$C$212:$C$259,0))</f>
        <v>Nueva Zelanda</v>
      </c>
      <c r="C29" s="5" t="s">
        <v>6</v>
      </c>
      <c r="D29" s="5">
        <v>4</v>
      </c>
      <c r="K29" s="8" t="str">
        <f ca="1">Idiomas!D239</f>
        <v>Jordania</v>
      </c>
      <c r="L29" s="8" t="s">
        <v>1287</v>
      </c>
      <c r="M29" s="8" t="e" vm="31">
        <v>#VALUE!</v>
      </c>
      <c r="O29" s="722"/>
      <c r="P29" s="724"/>
      <c r="Q29" s="790" t="str">
        <f>Idiomas!G262</f>
        <v>Cuartos de final</v>
      </c>
      <c r="R29" s="789">
        <v>22</v>
      </c>
    </row>
    <row r="30" spans="1:20" ht="15" customHeight="1">
      <c r="A30" s="5">
        <v>29</v>
      </c>
      <c r="B30" s="5" t="str">
        <f ca="1">+INDEX(Idiomas!$D$212:$D$259,MATCH(T_Equipos[[#This Row],[Num]],Idiomas!$C$212:$C$259,0))</f>
        <v>España</v>
      </c>
      <c r="C30" s="5" t="s">
        <v>437</v>
      </c>
      <c r="D30" s="5">
        <v>1</v>
      </c>
      <c r="K30" s="8" t="str">
        <f ca="1">Idiomas!D240</f>
        <v>Marruecos</v>
      </c>
      <c r="L30" s="8" t="s">
        <v>1327</v>
      </c>
      <c r="M30" s="8" t="e" vm="32">
        <v>#VALUE!</v>
      </c>
      <c r="O30" s="722"/>
      <c r="Q30" s="790" t="str">
        <f>Idiomas!G263</f>
        <v>Semifinales</v>
      </c>
      <c r="R30" s="789">
        <v>23</v>
      </c>
    </row>
    <row r="31" spans="1:20" ht="15" customHeight="1">
      <c r="A31" s="5">
        <v>30</v>
      </c>
      <c r="B31" s="5" t="str">
        <f ca="1">+INDEX(Idiomas!$D$212:$D$259,MATCH(T_Equipos[[#This Row],[Num]],Idiomas!$C$212:$C$259,0))</f>
        <v>Cabo Verde</v>
      </c>
      <c r="C31" s="5" t="s">
        <v>437</v>
      </c>
      <c r="D31" s="5">
        <v>2</v>
      </c>
      <c r="K31" s="8" t="str">
        <f ca="1">Idiomas!D241</f>
        <v>México</v>
      </c>
      <c r="L31" s="8" t="s">
        <v>1289</v>
      </c>
      <c r="M31" s="8" t="e" vm="33">
        <v>#VALUE!</v>
      </c>
      <c r="O31" s="722"/>
      <c r="Q31" s="790" t="str">
        <f>Idiomas!G264</f>
        <v>3-4 &amp; Final</v>
      </c>
      <c r="R31" s="789">
        <v>24</v>
      </c>
    </row>
    <row r="32" spans="1:20" ht="15" customHeight="1">
      <c r="A32" s="5">
        <v>31</v>
      </c>
      <c r="B32" s="5" t="str">
        <f ca="1">+INDEX(Idiomas!$D$212:$D$259,MATCH(T_Equipos[[#This Row],[Num]],Idiomas!$C$212:$C$259,0))</f>
        <v>Arabia Saudita</v>
      </c>
      <c r="C32" s="5" t="s">
        <v>437</v>
      </c>
      <c r="D32" s="5">
        <v>3</v>
      </c>
      <c r="K32" s="8" t="str">
        <f ca="1">Idiomas!D242</f>
        <v>Noruega</v>
      </c>
      <c r="L32" s="8" t="s">
        <v>147</v>
      </c>
      <c r="M32" s="8" t="e" vm="34">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Nueva Zelanda</v>
      </c>
      <c r="L33" s="8" t="s">
        <v>1291</v>
      </c>
      <c r="M33" s="8" t="e" vm="35">
        <v>#VALUE!</v>
      </c>
      <c r="O33" s="722"/>
      <c r="Q33" s="790" t="str">
        <f>Idiomas!H260</f>
        <v>Round of 32</v>
      </c>
      <c r="R33" s="789">
        <v>20</v>
      </c>
    </row>
    <row r="34" spans="1:20" ht="15" customHeight="1">
      <c r="A34" s="5">
        <v>33</v>
      </c>
      <c r="B34" s="5" t="str">
        <f ca="1">+INDEX(Idiomas!$D$212:$D$259,MATCH(T_Equipos[[#This Row],[Num]],Idiomas!$C$212:$C$259,0))</f>
        <v>Francia</v>
      </c>
      <c r="C34" s="5" t="s">
        <v>438</v>
      </c>
      <c r="D34" s="5">
        <v>1</v>
      </c>
      <c r="K34" s="8" t="str">
        <f ca="1">Idiomas!D244</f>
        <v>Países Bajos</v>
      </c>
      <c r="L34" s="8" t="s">
        <v>138</v>
      </c>
      <c r="M34" s="8" t="e" vm="36">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Panamá</v>
      </c>
      <c r="L35" s="8" t="s">
        <v>1734</v>
      </c>
      <c r="M35" s="8" t="e" vm="37">
        <v>#VALUE!</v>
      </c>
      <c r="O35" s="722"/>
      <c r="Q35" s="790" t="str">
        <f>Idiomas!H262</f>
        <v>Quarterfinals</v>
      </c>
      <c r="R35" s="789">
        <v>22</v>
      </c>
    </row>
    <row r="36" spans="1:20" ht="15" customHeight="1">
      <c r="A36" s="5">
        <v>35</v>
      </c>
      <c r="B36" s="5" t="str">
        <f ca="1">+INDEX(Idiomas!$D$212:$D$259,MATCH(T_Equipos[[#This Row],[Num]],Idiomas!$C$212:$C$259,0))</f>
        <v>Irak</v>
      </c>
      <c r="C36" s="5" t="s">
        <v>438</v>
      </c>
      <c r="D36" s="5">
        <v>3</v>
      </c>
      <c r="K36" s="8" t="str">
        <f ca="1">Idiomas!D246</f>
        <v>Paraguay</v>
      </c>
      <c r="L36" s="8" t="s">
        <v>1324</v>
      </c>
      <c r="M36" s="8" t="e" vm="38">
        <v>#VALUE!</v>
      </c>
      <c r="O36" s="722"/>
      <c r="Q36" s="790" t="str">
        <f>Idiomas!H263</f>
        <v>Semifinals</v>
      </c>
      <c r="R36" s="789">
        <v>23</v>
      </c>
    </row>
    <row r="37" spans="1:20" ht="15" customHeight="1">
      <c r="A37" s="5">
        <v>36</v>
      </c>
      <c r="B37" s="5" t="str">
        <f ca="1">+INDEX(Idiomas!$D$212:$D$259,MATCH(T_Equipos[[#This Row],[Num]],Idiomas!$C$212:$C$259,0))</f>
        <v>Noruega</v>
      </c>
      <c r="C37" s="5" t="s">
        <v>438</v>
      </c>
      <c r="D37" s="5">
        <v>4</v>
      </c>
      <c r="K37" s="8" t="str">
        <f ca="1">Idiomas!D247</f>
        <v>Portugal</v>
      </c>
      <c r="L37" s="8" t="s">
        <v>137</v>
      </c>
      <c r="M37" s="8" t="e" vm="39">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40">
        <v>#VALUE!</v>
      </c>
      <c r="O38" s="722"/>
      <c r="T38" s="723"/>
    </row>
    <row r="39" spans="1:20" ht="15" customHeight="1">
      <c r="A39" s="5">
        <v>38</v>
      </c>
      <c r="B39" s="5" t="str">
        <f ca="1">+INDEX(Idiomas!$D$212:$D$259,MATCH(T_Equipos[[#This Row],[Num]],Idiomas!$C$212:$C$259,0))</f>
        <v>Argelia</v>
      </c>
      <c r="C39" s="5" t="s">
        <v>5</v>
      </c>
      <c r="D39" s="5">
        <v>2</v>
      </c>
      <c r="K39" s="8" t="str">
        <f ca="1">Idiomas!D249</f>
        <v>Sudáfrica</v>
      </c>
      <c r="L39" s="8" t="s">
        <v>1636</v>
      </c>
      <c r="M39" s="8" t="e" vm="41">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Suiza</v>
      </c>
      <c r="L40" s="8" t="s">
        <v>136</v>
      </c>
      <c r="M40" s="8" t="e" vm="42">
        <v>#VALUE!</v>
      </c>
      <c r="O40" s="722"/>
      <c r="Q40" s="790" cm="1">
        <f t="array" aca="1" ref="Q40" ca="1">IFERROR(INDEX($Q$2:$Q$25,SMALL(IF(($Q$2:$Q$25)=0,"",ROW($Q$2:$Q$25)),ROW(Q1))-MIN(ROW($Q$2:$Q$25))+1),"")</f>
        <v>46184</v>
      </c>
      <c r="R40" s="790" cm="1">
        <f t="array" ref="R40:R63" ca="1">Equipos!$Q$40:INDEX(Equipos!$Q$40:$Q$63,SUMPRODUCT((NOT(ISERROR(Equipos!$Q$40:$Q$63)))*(Equipos!$Q$40:$Q$63&lt;&gt;"")))</f>
        <v>46184</v>
      </c>
      <c r="S40" s="722"/>
      <c r="T40" s="723"/>
    </row>
    <row r="41" spans="1:20" ht="15" customHeight="1">
      <c r="A41" s="5">
        <v>40</v>
      </c>
      <c r="B41" s="5" t="str">
        <f ca="1">+INDEX(Idiomas!$D$212:$D$259,MATCH(T_Equipos[[#This Row],[Num]],Idiomas!$C$212:$C$259,0))</f>
        <v>Jordania</v>
      </c>
      <c r="C41" s="5" t="s">
        <v>5</v>
      </c>
      <c r="D41" s="5">
        <v>4</v>
      </c>
      <c r="K41" s="8" t="str">
        <f ca="1">Idiomas!D251</f>
        <v>Túnez</v>
      </c>
      <c r="L41" s="8" t="s">
        <v>1329</v>
      </c>
      <c r="M41" s="8" t="e" vm="43">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44">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RD Congo</v>
      </c>
      <c r="C43" s="5" t="s">
        <v>439</v>
      </c>
      <c r="D43" s="5">
        <v>2</v>
      </c>
      <c r="K43" s="8" t="str">
        <f ca="1">Idiomas!D253</f>
        <v>Uzbekistán</v>
      </c>
      <c r="L43" s="8" t="s">
        <v>1293</v>
      </c>
      <c r="M43" s="8" t="e" vm="45">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Uzbekistán</v>
      </c>
      <c r="C44" s="5" t="s">
        <v>439</v>
      </c>
      <c r="D44" s="5">
        <v>3</v>
      </c>
      <c r="K44" s="8" t="str">
        <f ca="1">Idiomas!D254</f>
        <v>RD Congo</v>
      </c>
      <c r="L44" s="787" t="s">
        <v>1845</v>
      </c>
      <c r="M44" s="8" t="e" vm="46">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Irak</v>
      </c>
      <c r="L45" s="787" t="s">
        <v>1759</v>
      </c>
      <c r="M45" s="8" t="e" vm="47">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Inglaterra</v>
      </c>
      <c r="C46" s="5" t="s">
        <v>238</v>
      </c>
      <c r="D46" s="5">
        <v>1</v>
      </c>
      <c r="K46" s="8" t="str">
        <f ca="1">Idiomas!D256</f>
        <v>Bosnia y Herzegovina</v>
      </c>
      <c r="L46" s="788" t="s">
        <v>1846</v>
      </c>
      <c r="M46" s="8" t="e" vm="48">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Croacia</v>
      </c>
      <c r="C47" s="5" t="s">
        <v>238</v>
      </c>
      <c r="D47" s="5">
        <v>2</v>
      </c>
      <c r="K47" s="8" t="str">
        <f ca="1">Idiomas!D257</f>
        <v>Suecia</v>
      </c>
      <c r="L47" s="787" t="s">
        <v>1837</v>
      </c>
      <c r="M47" s="8" t="e" vm="49">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Turquía</v>
      </c>
      <c r="L48" s="787" t="s">
        <v>1838</v>
      </c>
      <c r="M48" s="8" t="e" vm="50">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Panamá</v>
      </c>
      <c r="C49" s="5" t="s">
        <v>238</v>
      </c>
      <c r="D49" s="5">
        <v>4</v>
      </c>
      <c r="K49" s="8" t="str">
        <f ca="1">Idiomas!D259</f>
        <v>República Checa</v>
      </c>
      <c r="L49" s="787" t="s">
        <v>1847</v>
      </c>
      <c r="M49" s="8" t="e" vm="51">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t="str" cm="1">
        <f t="array" aca="1" ref="Q57" ca="1">IFERROR(INDEX($Q$2:$Q$25,SMALL(IF(($Q$2:$Q$25)=0,"",ROW($Q$2:$Q$25)),ROW(Q18))-MIN(ROW($Q$2:$Q$25))+1),"")</f>
        <v>Clasificados Para Dieciseisavos</v>
      </c>
      <c r="R57" s="790" t="str">
        <f ca="1"/>
        <v>Clasificados Para Dieciseisavos</v>
      </c>
      <c r="T57" s="723"/>
    </row>
    <row r="58" spans="1:20" ht="15" customHeight="1">
      <c r="O58" s="722"/>
      <c r="Q58" s="790" t="str" cm="1">
        <f t="array" aca="1" ref="Q58" ca="1">IFERROR(INDEX($Q$2:$Q$25,SMALL(IF(($Q$2:$Q$25)=0,"",ROW($Q$2:$Q$25)),ROW(Q19))-MIN(ROW($Q$2:$Q$25))+1),"")</f>
        <v>Dieciseisavos de final</v>
      </c>
      <c r="R58" s="786" t="str">
        <f ca="1"/>
        <v>Dieciseisavos de final</v>
      </c>
      <c r="T58" s="723"/>
    </row>
    <row r="59" spans="1:20" ht="15" customHeight="1">
      <c r="O59" s="722"/>
      <c r="Q59" s="790" t="str" cm="1">
        <f t="array" aca="1" ref="Q59" ca="1">IFERROR(INDEX($Q$2:$Q$25,SMALL(IF(($Q$2:$Q$25)=0,"",ROW($Q$2:$Q$25)),ROW(Q20))-MIN(ROW($Q$2:$Q$25))+1),"")</f>
        <v>Octavos de final</v>
      </c>
      <c r="R59" s="786" t="str">
        <f ca="1"/>
        <v>Octavos de final</v>
      </c>
      <c r="T59" s="723"/>
    </row>
    <row r="60" spans="1:20" ht="15" customHeight="1">
      <c r="O60" s="722"/>
      <c r="Q60" s="790" t="str" cm="1">
        <f t="array" aca="1" ref="Q60" ca="1">IFERROR(INDEX($Q$2:$Q$25,SMALL(IF(($Q$2:$Q$25)=0,"",ROW($Q$2:$Q$25)),ROW(Q21))-MIN(ROW($Q$2:$Q$25))+1),"")</f>
        <v>Cuartos de final</v>
      </c>
      <c r="R60" s="786" t="str">
        <f ca="1"/>
        <v>Cuartos de final</v>
      </c>
      <c r="T60" s="723"/>
    </row>
    <row r="61" spans="1:20" ht="15" customHeight="1">
      <c r="O61" s="722"/>
      <c r="Q61" s="790" t="str" cm="1">
        <f t="array" aca="1" ref="Q61" ca="1">IFERROR(INDEX($Q$2:$Q$25,SMALL(IF(($Q$2:$Q$25)=0,"",ROW($Q$2:$Q$25)),ROW(Q22))-MIN(ROW($Q$2:$Q$25))+1),"")</f>
        <v>Semifinales</v>
      </c>
      <c r="R61" s="786" t="str">
        <f ca="1"/>
        <v>Semifinales</v>
      </c>
    </row>
    <row r="62" spans="1:20" ht="15" customHeight="1">
      <c r="O62" s="722"/>
      <c r="Q62" s="790" t="str" cm="1">
        <f t="array" aca="1" ref="Q62" ca="1">IFERROR(INDEX($Q$2:$Q$25,SMALL(IF(($Q$2:$Q$25)=0,"",ROW($Q$2:$Q$25)),ROW(Q23))-MIN(ROW($Q$2:$Q$25))+1),"")</f>
        <v>3-4 &amp; Final</v>
      </c>
      <c r="R62" s="786" t="str">
        <f ca="1"/>
        <v>3-4 &amp; Final</v>
      </c>
    </row>
    <row r="63" spans="1:20" ht="15" customHeight="1">
      <c r="O63" s="722"/>
      <c r="Q63" s="790" t="str" cm="1">
        <f t="array" aca="1" ref="Q63" ca="1">IFERROR(INDEX($Q$2:$Q$25,SMALL(IF(($Q$2:$Q$25)=0,"",ROW($Q$2:$Q$25)),ROW(Q24))-MIN(ROW($Q$2:$Q$25))+1),"")</f>
        <v/>
      </c>
      <c r="R63" s="786" t="e">
        <f ca="1"/>
        <v>#N/A</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6" ht="15.7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75" thickBot="1">
      <c r="A2" s="11"/>
      <c r="B2" s="11"/>
      <c r="C2" s="11"/>
      <c r="D2" s="11"/>
      <c r="E2" s="11"/>
      <c r="F2" s="11"/>
      <c r="G2" s="11"/>
      <c r="H2" s="11"/>
      <c r="I2" s="11"/>
      <c r="J2" s="11"/>
      <c r="K2" s="768" t="s">
        <v>366</v>
      </c>
      <c r="L2" s="768" t="str">
        <f>Idiomas!D266</f>
        <v>Estados Unidos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57</v>
      </c>
      <c r="D3" s="11"/>
      <c r="E3" s="11"/>
      <c r="F3" s="11"/>
      <c r="G3" s="11"/>
      <c r="H3" s="11"/>
      <c r="I3" s="11"/>
      <c r="J3" s="11"/>
      <c r="K3" s="11" t="s">
        <v>148</v>
      </c>
      <c r="L3" s="11"/>
      <c r="M3" s="11"/>
      <c r="N3" s="11"/>
      <c r="O3" s="11"/>
      <c r="P3" s="11">
        <v>1</v>
      </c>
      <c r="Q3" s="11" t="str">
        <f ca="1">+INDEX($AB$3:$AB$50,MATCH(P3,$AI$3:$AI$50,0))</f>
        <v>Alemania</v>
      </c>
      <c r="R3" s="11">
        <f t="shared" ref="R3:W12" ca="1" si="0">+INDEX($AC$3:$AH$86,MATCH($Q3,$AB$3:$AB$86,0),MATCH(R$2,$AC$2:$AH$2,0))</f>
        <v>2</v>
      </c>
      <c r="S3" s="772">
        <f t="shared" ca="1" si="0"/>
        <v>8.3333333333333329E-2</v>
      </c>
      <c r="T3" s="11">
        <f t="shared" ca="1" si="0"/>
        <v>0</v>
      </c>
      <c r="U3" s="11">
        <f t="shared" ca="1" si="0"/>
        <v>6</v>
      </c>
      <c r="V3" s="772">
        <f t="shared" ca="1" si="0"/>
        <v>0.25</v>
      </c>
      <c r="W3" s="11">
        <f t="shared" ca="1" si="0"/>
        <v>1</v>
      </c>
      <c r="X3" s="11">
        <f t="shared" ref="X3:X50" ca="1" si="1">IFERROR(IF(Q3=$L$2,1,0),0)</f>
        <v>0</v>
      </c>
      <c r="Y3" s="11"/>
      <c r="Z3" s="11"/>
      <c r="AA3" s="11">
        <v>1</v>
      </c>
      <c r="AB3" s="11" t="str">
        <f ca="1">Idiomas!D212</f>
        <v>Alemania</v>
      </c>
      <c r="AC3" s="11">
        <v>2</v>
      </c>
      <c r="AD3" s="772">
        <f>ABS(AC3/24)</f>
        <v>8.3333333333333329E-2</v>
      </c>
      <c r="AE3" s="11">
        <v>0</v>
      </c>
      <c r="AF3" s="11">
        <f ca="1">AC3-$M$2</f>
        <v>6</v>
      </c>
      <c r="AG3" s="772">
        <f ca="1">ABS(AF3/24)</f>
        <v>0.25</v>
      </c>
      <c r="AH3" s="11">
        <f ca="1">IF(AC3&gt;$M$2,1,IF(AC3=$M$2,0,-1))</f>
        <v>1</v>
      </c>
      <c r="AI3" s="11">
        <f ca="1">+COUNTIF($AB$3:$AB$50,"&lt;="&amp;AB3)</f>
        <v>1</v>
      </c>
      <c r="AJ3" s="11"/>
    </row>
    <row r="4" spans="1:36">
      <c r="A4" s="767">
        <v>46184.625</v>
      </c>
      <c r="B4" s="11"/>
      <c r="C4" s="767">
        <f t="shared" ref="C4:C9" ca="1" si="2">A4+INDEX($V$3:$V$86,MATCH($C$3,$P$3:$P$86,0))*INDEX($W$3:$W$86,MATCH($C$3,$P$3:$P$86,0))</f>
        <v>46184.625</v>
      </c>
      <c r="D4" s="767"/>
      <c r="E4" s="767"/>
      <c r="F4" s="11"/>
      <c r="G4" s="11"/>
      <c r="H4" s="11"/>
      <c r="I4" s="11"/>
      <c r="J4" s="11"/>
      <c r="K4" s="11"/>
      <c r="L4" s="11"/>
      <c r="M4" s="11"/>
      <c r="N4" s="11"/>
      <c r="O4" s="11"/>
      <c r="P4" s="11">
        <v>2</v>
      </c>
      <c r="Q4" s="11" t="str">
        <f t="shared" ref="Q4:Q50" ca="1" si="3">+INDEX($AB$3:$AB$50,MATCH(P4,$AI$3:$AI$50,0))</f>
        <v>Arabia Saudita</v>
      </c>
      <c r="R4" s="11">
        <f t="shared" ca="1" si="0"/>
        <v>3</v>
      </c>
      <c r="S4" s="772">
        <f t="shared" ca="1" si="0"/>
        <v>0.125</v>
      </c>
      <c r="T4" s="11">
        <f t="shared" ca="1" si="0"/>
        <v>0</v>
      </c>
      <c r="U4" s="11">
        <f t="shared" ca="1" si="0"/>
        <v>7</v>
      </c>
      <c r="V4" s="772">
        <f t="shared" ca="1" si="0"/>
        <v>0.29166666666666669</v>
      </c>
      <c r="W4" s="11">
        <f t="shared" ca="1" si="0"/>
        <v>1</v>
      </c>
      <c r="X4" s="11">
        <f t="shared" ca="1" si="1"/>
        <v>0</v>
      </c>
      <c r="Y4" s="11"/>
      <c r="Z4" s="11"/>
      <c r="AA4" s="11">
        <v>2</v>
      </c>
      <c r="AB4" s="11" t="str">
        <f ca="1">Idiomas!D213</f>
        <v>Arabia Saudita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2</v>
      </c>
      <c r="AJ4" s="11"/>
    </row>
    <row r="5" spans="1:36">
      <c r="A5" s="767">
        <v>46184.916666666664</v>
      </c>
      <c r="B5" s="11"/>
      <c r="C5" s="767">
        <f t="shared" ca="1" si="2"/>
        <v>46184.916666666664</v>
      </c>
      <c r="D5" s="767"/>
      <c r="E5" s="767"/>
      <c r="F5" s="11"/>
      <c r="G5" s="11"/>
      <c r="H5" s="11"/>
      <c r="I5" s="11"/>
      <c r="J5" s="11"/>
      <c r="K5" s="11"/>
      <c r="L5" s="11"/>
      <c r="M5" s="11"/>
      <c r="N5" s="11"/>
      <c r="O5" s="11"/>
      <c r="P5" s="11">
        <v>3</v>
      </c>
      <c r="Q5" s="11" t="str">
        <f t="shared" ca="1" si="3"/>
        <v>Argelia</v>
      </c>
      <c r="R5" s="11">
        <f t="shared" ca="1" si="0"/>
        <v>1</v>
      </c>
      <c r="S5" s="772">
        <f t="shared" ca="1" si="0"/>
        <v>4.1666666666666664E-2</v>
      </c>
      <c r="T5" s="11">
        <f t="shared" ca="1" si="0"/>
        <v>0</v>
      </c>
      <c r="U5" s="11">
        <f t="shared" ca="1" si="0"/>
        <v>5</v>
      </c>
      <c r="V5" s="772">
        <f t="shared" ca="1" si="0"/>
        <v>0.20833333333333334</v>
      </c>
      <c r="W5" s="11">
        <f t="shared" ca="1" si="0"/>
        <v>1</v>
      </c>
      <c r="X5" s="11">
        <f t="shared" ca="1" si="1"/>
        <v>0</v>
      </c>
      <c r="Y5" s="11"/>
      <c r="Z5" s="11"/>
      <c r="AA5" s="11">
        <v>3</v>
      </c>
      <c r="AB5" s="11" t="str">
        <f ca="1">Idiomas!D214</f>
        <v>Argelia</v>
      </c>
      <c r="AC5" s="11">
        <v>1</v>
      </c>
      <c r="AD5" s="772">
        <f t="shared" si="4"/>
        <v>4.1666666666666664E-2</v>
      </c>
      <c r="AE5" s="11">
        <v>0</v>
      </c>
      <c r="AF5" s="11">
        <f t="shared" ca="1" si="5"/>
        <v>5</v>
      </c>
      <c r="AG5" s="772">
        <f t="shared" ca="1" si="6"/>
        <v>0.20833333333333334</v>
      </c>
      <c r="AH5" s="11">
        <f t="shared" ca="1" si="7"/>
        <v>1</v>
      </c>
      <c r="AI5" s="11">
        <f t="shared" ca="1" si="8"/>
        <v>3</v>
      </c>
      <c r="AJ5" s="11"/>
    </row>
    <row r="6" spans="1:36">
      <c r="A6" s="767">
        <v>46191.5</v>
      </c>
      <c r="B6" s="11"/>
      <c r="C6" s="767">
        <f t="shared" ca="1" si="2"/>
        <v>46191.5</v>
      </c>
      <c r="D6" s="767"/>
      <c r="E6" s="767"/>
      <c r="F6" s="11"/>
      <c r="G6" s="11"/>
      <c r="H6" s="11"/>
      <c r="I6" s="11"/>
      <c r="J6" s="11"/>
      <c r="K6" s="11"/>
      <c r="L6" s="11"/>
      <c r="M6" s="11"/>
      <c r="N6" s="11"/>
      <c r="O6" s="11"/>
      <c r="P6" s="11">
        <v>4</v>
      </c>
      <c r="Q6" s="11" t="str">
        <f t="shared" ca="1" si="3"/>
        <v>Argentina</v>
      </c>
      <c r="R6" s="11">
        <f t="shared" ca="1" si="0"/>
        <v>-3</v>
      </c>
      <c r="S6" s="772">
        <f t="shared" ca="1" si="0"/>
        <v>0.125</v>
      </c>
      <c r="T6" s="11">
        <f t="shared" ca="1" si="0"/>
        <v>0</v>
      </c>
      <c r="U6" s="11">
        <f t="shared" ca="1" si="0"/>
        <v>1</v>
      </c>
      <c r="V6" s="772">
        <f t="shared" ca="1" si="0"/>
        <v>4.1666666666666664E-2</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4</v>
      </c>
      <c r="AJ6" s="11"/>
    </row>
    <row r="7" spans="1:36">
      <c r="A7" s="767">
        <v>46191.875</v>
      </c>
      <c r="B7" s="11"/>
      <c r="C7" s="767">
        <f t="shared" ca="1" si="2"/>
        <v>46191.875</v>
      </c>
      <c r="D7" s="767"/>
      <c r="E7" s="767"/>
      <c r="F7" s="11"/>
      <c r="G7" s="11"/>
      <c r="H7" s="11"/>
      <c r="I7" s="11"/>
      <c r="J7" s="11"/>
      <c r="K7" s="11"/>
      <c r="L7" s="11"/>
      <c r="M7" s="11"/>
      <c r="N7" s="11"/>
      <c r="O7" s="11"/>
      <c r="P7" s="11">
        <v>5</v>
      </c>
      <c r="Q7" s="11" t="str">
        <f t="shared" ca="1" si="3"/>
        <v>Australia</v>
      </c>
      <c r="R7" s="11">
        <f t="shared" ca="1" si="0"/>
        <v>10.5</v>
      </c>
      <c r="S7" s="772">
        <f t="shared" ca="1" si="0"/>
        <v>0.4375</v>
      </c>
      <c r="T7" s="11">
        <f t="shared" ca="1" si="0"/>
        <v>0</v>
      </c>
      <c r="U7" s="11">
        <f t="shared" ca="1" si="0"/>
        <v>14.5</v>
      </c>
      <c r="V7" s="772">
        <f t="shared" ca="1" si="0"/>
        <v>0.60416666666666663</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5</v>
      </c>
      <c r="AJ7" s="11"/>
    </row>
    <row r="8" spans="1:36">
      <c r="A8" s="767">
        <v>46197.875</v>
      </c>
      <c r="B8" s="11"/>
      <c r="C8" s="767">
        <f t="shared" ca="1" si="2"/>
        <v>46197.875</v>
      </c>
      <c r="D8" s="767"/>
      <c r="E8" s="767"/>
      <c r="F8" s="11"/>
      <c r="G8" s="11"/>
      <c r="H8" s="11"/>
      <c r="I8" s="11"/>
      <c r="J8" s="11"/>
      <c r="K8" s="11"/>
      <c r="L8" s="11"/>
      <c r="M8" s="11"/>
      <c r="N8" s="11"/>
      <c r="O8" s="11"/>
      <c r="P8" s="11">
        <v>6</v>
      </c>
      <c r="Q8" s="11" t="str">
        <f t="shared" ca="1" si="3"/>
        <v>Austria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6</v>
      </c>
      <c r="AJ8" s="11"/>
    </row>
    <row r="9" spans="1:36">
      <c r="A9" s="767">
        <v>46197.875</v>
      </c>
      <c r="B9" s="11"/>
      <c r="C9" s="767">
        <f t="shared" ca="1" si="2"/>
        <v>46197.875</v>
      </c>
      <c r="D9" s="767"/>
      <c r="E9" s="767"/>
      <c r="F9" s="11"/>
      <c r="G9" s="11"/>
      <c r="H9" s="11"/>
      <c r="I9" s="11"/>
      <c r="J9" s="11"/>
      <c r="K9" s="11"/>
      <c r="L9" s="11"/>
      <c r="M9" s="11"/>
      <c r="N9" s="11"/>
      <c r="O9" s="11"/>
      <c r="P9" s="11">
        <v>7</v>
      </c>
      <c r="Q9" s="11" t="str">
        <f t="shared" ca="1" si="3"/>
        <v>Bélgica</v>
      </c>
      <c r="R9" s="11">
        <f t="shared" ca="1" si="0"/>
        <v>2</v>
      </c>
      <c r="S9" s="772">
        <f t="shared" ca="1" si="0"/>
        <v>8.3333333333333329E-2</v>
      </c>
      <c r="T9" s="11">
        <f t="shared" ca="1" si="0"/>
        <v>0</v>
      </c>
      <c r="U9" s="11">
        <f t="shared" ca="1" si="0"/>
        <v>6</v>
      </c>
      <c r="V9" s="772">
        <f t="shared" ca="1" si="0"/>
        <v>0.25</v>
      </c>
      <c r="W9" s="11">
        <f t="shared" ca="1" si="0"/>
        <v>1</v>
      </c>
      <c r="X9" s="11">
        <f t="shared" ca="1" si="1"/>
        <v>0</v>
      </c>
      <c r="Y9" s="11"/>
      <c r="Z9" s="11"/>
      <c r="AA9" s="11">
        <v>7</v>
      </c>
      <c r="AB9" s="11" t="str">
        <f ca="1">Idiomas!D218</f>
        <v>Bélgica</v>
      </c>
      <c r="AC9" s="11">
        <v>2</v>
      </c>
      <c r="AD9" s="772">
        <f t="shared" si="4"/>
        <v>8.3333333333333329E-2</v>
      </c>
      <c r="AE9" s="11">
        <v>0</v>
      </c>
      <c r="AF9" s="11">
        <f t="shared" ca="1" si="5"/>
        <v>6</v>
      </c>
      <c r="AG9" s="772">
        <f t="shared" ca="1" si="6"/>
        <v>0.25</v>
      </c>
      <c r="AH9" s="11">
        <f t="shared" ca="1" si="7"/>
        <v>1</v>
      </c>
      <c r="AI9" s="11">
        <f t="shared" ca="1" si="8"/>
        <v>7</v>
      </c>
      <c r="AJ9" s="11"/>
    </row>
    <row r="10" spans="1:36">
      <c r="A10" s="11"/>
      <c r="B10" s="11"/>
      <c r="C10" s="767"/>
      <c r="D10" s="11"/>
      <c r="E10" s="767"/>
      <c r="F10" s="11"/>
      <c r="G10" s="11"/>
      <c r="H10" s="11"/>
      <c r="I10" s="11"/>
      <c r="J10" s="11"/>
      <c r="K10" s="11"/>
      <c r="L10" s="11"/>
      <c r="M10" s="11"/>
      <c r="N10" s="11"/>
      <c r="O10" s="11"/>
      <c r="P10" s="11">
        <v>8</v>
      </c>
      <c r="Q10" s="11" t="str">
        <f t="shared" ca="1" si="3"/>
        <v>Bosnia y Herzegovina</v>
      </c>
      <c r="R10" s="11">
        <f t="shared" ca="1" si="0"/>
        <v>2</v>
      </c>
      <c r="S10" s="772">
        <f t="shared" ca="1" si="0"/>
        <v>8.3333333333333329E-2</v>
      </c>
      <c r="T10" s="11">
        <f t="shared" ca="1" si="0"/>
        <v>0</v>
      </c>
      <c r="U10" s="11">
        <f t="shared" ca="1" si="0"/>
        <v>6</v>
      </c>
      <c r="V10" s="772">
        <f t="shared" ca="1" si="0"/>
        <v>0.25</v>
      </c>
      <c r="W10" s="11">
        <f t="shared" ca="1" si="0"/>
        <v>1</v>
      </c>
      <c r="X10" s="11">
        <f t="shared" ca="1" si="1"/>
        <v>0</v>
      </c>
      <c r="Y10" s="11"/>
      <c r="Z10" s="11"/>
      <c r="AA10" s="11">
        <v>8</v>
      </c>
      <c r="AB10" s="11" t="str">
        <f ca="1">Idiomas!D219</f>
        <v>Brasil</v>
      </c>
      <c r="AC10" s="11">
        <v>-3</v>
      </c>
      <c r="AD10" s="772">
        <f t="shared" si="4"/>
        <v>0.125</v>
      </c>
      <c r="AE10" s="11">
        <v>0</v>
      </c>
      <c r="AF10" s="11">
        <f t="shared" ca="1" si="5"/>
        <v>1</v>
      </c>
      <c r="AG10" s="772">
        <f t="shared" ca="1" si="6"/>
        <v>4.1666666666666664E-2</v>
      </c>
      <c r="AH10" s="11">
        <f t="shared" ca="1" si="7"/>
        <v>1</v>
      </c>
      <c r="AI10" s="11">
        <f t="shared" ca="1" si="8"/>
        <v>9</v>
      </c>
      <c r="AJ10" s="11"/>
    </row>
    <row r="11" spans="1:36">
      <c r="A11" s="8" t="s">
        <v>40</v>
      </c>
      <c r="B11" s="11"/>
      <c r="C11" s="767"/>
      <c r="D11" s="11"/>
      <c r="E11" s="767"/>
      <c r="F11" s="11"/>
      <c r="G11" s="11"/>
      <c r="H11" s="11"/>
      <c r="I11" s="11"/>
      <c r="J11" s="11"/>
      <c r="K11" s="11"/>
      <c r="L11" s="11"/>
      <c r="M11" s="11"/>
      <c r="N11" s="11"/>
      <c r="O11" s="11"/>
      <c r="P11" s="11">
        <v>9</v>
      </c>
      <c r="Q11" s="11" t="str">
        <f t="shared" ca="1" si="3"/>
        <v>Brasil</v>
      </c>
      <c r="R11" s="11">
        <f t="shared" ca="1" si="0"/>
        <v>-3</v>
      </c>
      <c r="S11" s="772">
        <f t="shared" ca="1" si="0"/>
        <v>0.125</v>
      </c>
      <c r="T11" s="11">
        <f t="shared" ca="1" si="0"/>
        <v>0</v>
      </c>
      <c r="U11" s="11">
        <f t="shared" ca="1" si="0"/>
        <v>1</v>
      </c>
      <c r="V11" s="772">
        <f t="shared" ca="1" si="0"/>
        <v>4.1666666666666664E-2</v>
      </c>
      <c r="W11" s="11">
        <f t="shared" ca="1" si="0"/>
        <v>1</v>
      </c>
      <c r="X11" s="11">
        <f t="shared" ca="1" si="1"/>
        <v>0</v>
      </c>
      <c r="Y11" s="11"/>
      <c r="Z11" s="11"/>
      <c r="AA11" s="11">
        <v>9</v>
      </c>
      <c r="AB11" s="11" t="str">
        <f ca="1">Idiomas!D220</f>
        <v>Cabo Verde</v>
      </c>
      <c r="AC11" s="11">
        <v>-1</v>
      </c>
      <c r="AD11" s="772">
        <f t="shared" si="4"/>
        <v>4.1666666666666664E-2</v>
      </c>
      <c r="AE11" s="11">
        <v>0</v>
      </c>
      <c r="AF11" s="11">
        <f t="shared" ca="1" si="5"/>
        <v>3</v>
      </c>
      <c r="AG11" s="772">
        <f t="shared" ca="1" si="6"/>
        <v>0.125</v>
      </c>
      <c r="AH11" s="11">
        <f t="shared" ca="1" si="7"/>
        <v>1</v>
      </c>
      <c r="AI11" s="11">
        <f t="shared" ca="1" si="8"/>
        <v>10</v>
      </c>
      <c r="AJ11" s="11"/>
    </row>
    <row r="12" spans="1:36">
      <c r="A12" s="767">
        <v>46185.625</v>
      </c>
      <c r="B12" s="11"/>
      <c r="C12" s="767">
        <f t="shared" ref="C12:C17" ca="1" si="9">A12+INDEX($V$3:$V$86,MATCH($C$3,$P$3:$P$86,0))*INDEX($W$3:$W$86,MATCH($C$3,$P$3:$P$86,0))</f>
        <v>46185.625</v>
      </c>
      <c r="D12" s="767"/>
      <c r="E12" s="767"/>
      <c r="F12" s="11"/>
      <c r="G12" s="11"/>
      <c r="H12" s="11"/>
      <c r="I12" s="11"/>
      <c r="J12" s="11"/>
      <c r="K12" s="11"/>
      <c r="L12" s="11"/>
      <c r="M12" s="11"/>
      <c r="N12" s="11"/>
      <c r="O12" s="11"/>
      <c r="P12" s="11">
        <v>10</v>
      </c>
      <c r="Q12" s="11" t="str">
        <f t="shared" ca="1" si="3"/>
        <v>Cabo Verde</v>
      </c>
      <c r="R12" s="11">
        <f t="shared" ca="1" si="0"/>
        <v>-1</v>
      </c>
      <c r="S12" s="772">
        <f t="shared" ca="1" si="0"/>
        <v>4.1666666666666664E-2</v>
      </c>
      <c r="T12" s="11">
        <f t="shared" ca="1" si="0"/>
        <v>0</v>
      </c>
      <c r="U12" s="11">
        <f t="shared" ca="1" si="0"/>
        <v>3</v>
      </c>
      <c r="V12" s="772">
        <f t="shared" ca="1" si="0"/>
        <v>0.125</v>
      </c>
      <c r="W12" s="11">
        <f t="shared" ca="1" si="0"/>
        <v>1</v>
      </c>
      <c r="X12" s="11">
        <f t="shared" ca="1" si="1"/>
        <v>0</v>
      </c>
      <c r="Y12" s="11"/>
      <c r="Z12" s="11"/>
      <c r="AA12" s="11">
        <v>10</v>
      </c>
      <c r="AB12" s="11" t="str">
        <f ca="1">Idiomas!D221</f>
        <v>Canadá</v>
      </c>
      <c r="AC12" s="11">
        <v>-4</v>
      </c>
      <c r="AD12" s="772">
        <f t="shared" si="4"/>
        <v>0.16666666666666666</v>
      </c>
      <c r="AE12" s="11">
        <v>0</v>
      </c>
      <c r="AF12" s="11">
        <f t="shared" ca="1" si="5"/>
        <v>0</v>
      </c>
      <c r="AG12" s="772">
        <f t="shared" ca="1" si="6"/>
        <v>0</v>
      </c>
      <c r="AH12" s="11">
        <f t="shared" ca="1" si="7"/>
        <v>0</v>
      </c>
      <c r="AI12" s="11">
        <f t="shared" ca="1" si="8"/>
        <v>11</v>
      </c>
      <c r="AJ12" s="11"/>
    </row>
    <row r="13" spans="1:36">
      <c r="A13" s="767">
        <v>46186.625</v>
      </c>
      <c r="B13" s="11"/>
      <c r="C13" s="767">
        <f t="shared" ca="1" si="9"/>
        <v>46186.625</v>
      </c>
      <c r="D13" s="767"/>
      <c r="E13" s="767"/>
      <c r="F13" s="11"/>
      <c r="G13" s="11"/>
      <c r="H13" s="11"/>
      <c r="I13" s="11"/>
      <c r="J13" s="11"/>
      <c r="K13" s="11"/>
      <c r="L13" s="11"/>
      <c r="M13" s="11"/>
      <c r="N13" s="11"/>
      <c r="O13" s="11"/>
      <c r="P13" s="11">
        <v>11</v>
      </c>
      <c r="Q13" s="11" t="str">
        <f t="shared" ca="1" si="3"/>
        <v>Canadá</v>
      </c>
      <c r="R13" s="11">
        <f t="shared" ref="R13:W22" ca="1" si="10">+INDEX($AC$3:$AH$86,MATCH($Q13,$AB$3:$AB$86,0),MATCH(R$2,$AC$2:$AH$2,0))</f>
        <v>-4</v>
      </c>
      <c r="S13" s="772">
        <f t="shared" ca="1" si="10"/>
        <v>0.16666666666666666</v>
      </c>
      <c r="T13" s="11">
        <f t="shared" ca="1" si="10"/>
        <v>0</v>
      </c>
      <c r="U13" s="11">
        <f t="shared" ca="1" si="10"/>
        <v>0</v>
      </c>
      <c r="V13" s="772">
        <f t="shared" ca="1" si="10"/>
        <v>0</v>
      </c>
      <c r="W13" s="11">
        <f t="shared" ca="1" si="10"/>
        <v>0</v>
      </c>
      <c r="X13" s="11">
        <f t="shared" ca="1" si="1"/>
        <v>0</v>
      </c>
      <c r="Y13" s="11"/>
      <c r="Z13" s="11"/>
      <c r="AA13" s="11">
        <v>11</v>
      </c>
      <c r="AB13" s="11" t="str">
        <f ca="1">Idiomas!D222</f>
        <v>Catar</v>
      </c>
      <c r="AC13" s="11">
        <v>3</v>
      </c>
      <c r="AD13" s="772">
        <f t="shared" si="4"/>
        <v>0.125</v>
      </c>
      <c r="AE13" s="11">
        <v>0</v>
      </c>
      <c r="AF13" s="11">
        <f t="shared" ca="1" si="5"/>
        <v>7</v>
      </c>
      <c r="AG13" s="772">
        <f t="shared" ca="1" si="6"/>
        <v>0.29166666666666669</v>
      </c>
      <c r="AH13" s="11">
        <f t="shared" ca="1" si="7"/>
        <v>1</v>
      </c>
      <c r="AI13" s="11">
        <f t="shared" ca="1" si="8"/>
        <v>12</v>
      </c>
      <c r="AJ13" s="11"/>
    </row>
    <row r="14" spans="1:36">
      <c r="A14" s="767">
        <v>46191.625</v>
      </c>
      <c r="B14" s="11"/>
      <c r="C14" s="767">
        <f t="shared" ca="1" si="9"/>
        <v>46191.625</v>
      </c>
      <c r="D14" s="767"/>
      <c r="E14" s="767"/>
      <c r="F14" s="11"/>
      <c r="G14" s="11"/>
      <c r="H14" s="11"/>
      <c r="I14" s="11"/>
      <c r="J14" s="11"/>
      <c r="K14" s="11"/>
      <c r="L14" s="11"/>
      <c r="M14" s="11"/>
      <c r="N14" s="11"/>
      <c r="O14" s="11"/>
      <c r="P14" s="11">
        <v>12</v>
      </c>
      <c r="Q14" s="11" t="str">
        <f t="shared" ca="1" si="3"/>
        <v>Catar</v>
      </c>
      <c r="R14" s="11">
        <f t="shared" ca="1" si="10"/>
        <v>3</v>
      </c>
      <c r="S14" s="772">
        <f t="shared" ca="1" si="10"/>
        <v>0.125</v>
      </c>
      <c r="T14" s="11">
        <f t="shared" ca="1" si="10"/>
        <v>0</v>
      </c>
      <c r="U14" s="11">
        <f t="shared" ca="1" si="10"/>
        <v>7</v>
      </c>
      <c r="V14" s="772">
        <f t="shared" ca="1" si="10"/>
        <v>0.29166666666666669</v>
      </c>
      <c r="W14" s="11">
        <f t="shared" ca="1" si="10"/>
        <v>1</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13</v>
      </c>
      <c r="AJ14" s="11"/>
    </row>
    <row r="15" spans="1:36">
      <c r="A15" s="767">
        <v>46191.75</v>
      </c>
      <c r="B15" s="11"/>
      <c r="C15" s="767">
        <f t="shared" ca="1" si="9"/>
        <v>46191.75</v>
      </c>
      <c r="D15" s="767"/>
      <c r="E15" s="767"/>
      <c r="F15" s="11"/>
      <c r="G15" s="11"/>
      <c r="H15" s="11"/>
      <c r="I15" s="11"/>
      <c r="J15" s="11"/>
      <c r="K15" s="11"/>
      <c r="L15" s="11"/>
      <c r="M15" s="11"/>
      <c r="N15" s="11"/>
      <c r="O15" s="11"/>
      <c r="P15" s="11">
        <v>13</v>
      </c>
      <c r="Q15" s="11" t="str">
        <f t="shared" ca="1" si="3"/>
        <v>Colombia</v>
      </c>
      <c r="R15" s="11">
        <f t="shared" ca="1" si="10"/>
        <v>-5</v>
      </c>
      <c r="S15" s="772">
        <f t="shared" ca="1" si="10"/>
        <v>0.20833333333333334</v>
      </c>
      <c r="T15" s="11">
        <f t="shared" ca="1" si="10"/>
        <v>0</v>
      </c>
      <c r="U15" s="11">
        <f t="shared" ca="1" si="10"/>
        <v>-1</v>
      </c>
      <c r="V15" s="772">
        <f t="shared" ca="1" si="10"/>
        <v>4.1666666666666664E-2</v>
      </c>
      <c r="W15" s="11">
        <f t="shared" ca="1" si="10"/>
        <v>-1</v>
      </c>
      <c r="X15" s="11">
        <f t="shared" ca="1" si="1"/>
        <v>0</v>
      </c>
      <c r="Y15" s="11"/>
      <c r="Z15" s="11"/>
      <c r="AA15" s="11">
        <v>13</v>
      </c>
      <c r="AB15" s="11" t="str">
        <f ca="1">Idiomas!D224</f>
        <v>Corea del Sur</v>
      </c>
      <c r="AC15" s="11">
        <v>9</v>
      </c>
      <c r="AD15" s="772">
        <f t="shared" si="4"/>
        <v>0.375</v>
      </c>
      <c r="AE15" s="11">
        <v>0</v>
      </c>
      <c r="AF15" s="11">
        <f t="shared" ca="1" si="5"/>
        <v>13</v>
      </c>
      <c r="AG15" s="772">
        <f t="shared" ca="1" si="6"/>
        <v>0.54166666666666663</v>
      </c>
      <c r="AH15" s="11">
        <f t="shared" ca="1" si="7"/>
        <v>1</v>
      </c>
      <c r="AI15" s="11">
        <f t="shared" ca="1" si="8"/>
        <v>14</v>
      </c>
      <c r="AJ15" s="11"/>
    </row>
    <row r="16" spans="1:36">
      <c r="A16" s="767">
        <v>46197.625</v>
      </c>
      <c r="B16" s="11"/>
      <c r="C16" s="767">
        <f t="shared" ca="1" si="9"/>
        <v>46197.625</v>
      </c>
      <c r="D16" s="767"/>
      <c r="E16" s="767"/>
      <c r="F16" s="11"/>
      <c r="G16" s="11"/>
      <c r="H16" s="11"/>
      <c r="I16" s="11"/>
      <c r="J16" s="11"/>
      <c r="K16" s="11"/>
      <c r="L16" s="11"/>
      <c r="M16" s="11"/>
      <c r="N16" s="11"/>
      <c r="O16" s="11"/>
      <c r="P16" s="11">
        <v>14</v>
      </c>
      <c r="Q16" s="11" t="str">
        <f t="shared" ca="1" si="3"/>
        <v>Corea del Sur</v>
      </c>
      <c r="R16" s="11">
        <f t="shared" ca="1" si="10"/>
        <v>9</v>
      </c>
      <c r="S16" s="772">
        <f t="shared" ca="1" si="10"/>
        <v>0.375</v>
      </c>
      <c r="T16" s="11">
        <f t="shared" ca="1" si="10"/>
        <v>0</v>
      </c>
      <c r="U16" s="11">
        <f t="shared" ca="1" si="10"/>
        <v>13</v>
      </c>
      <c r="V16" s="772">
        <f t="shared" ca="1" si="10"/>
        <v>0.54166666666666663</v>
      </c>
      <c r="W16" s="11">
        <f t="shared" ca="1" si="10"/>
        <v>1</v>
      </c>
      <c r="X16" s="11">
        <f t="shared" ca="1" si="1"/>
        <v>0</v>
      </c>
      <c r="Y16" s="11"/>
      <c r="Z16" s="11"/>
      <c r="AA16" s="11">
        <v>14</v>
      </c>
      <c r="AB16" s="11" t="str">
        <f ca="1">Idiomas!D225</f>
        <v>Costa de Marfil</v>
      </c>
      <c r="AC16" s="11">
        <v>0</v>
      </c>
      <c r="AD16" s="772">
        <f t="shared" si="4"/>
        <v>0</v>
      </c>
      <c r="AE16" s="11">
        <v>0</v>
      </c>
      <c r="AF16" s="11">
        <f t="shared" ca="1" si="5"/>
        <v>4</v>
      </c>
      <c r="AG16" s="772">
        <f t="shared" ca="1" si="6"/>
        <v>0.16666666666666666</v>
      </c>
      <c r="AH16" s="11">
        <f t="shared" ca="1" si="7"/>
        <v>1</v>
      </c>
      <c r="AI16" s="11">
        <f t="shared" ca="1" si="8"/>
        <v>15</v>
      </c>
      <c r="AJ16" s="11"/>
    </row>
    <row r="17" spans="1:36">
      <c r="A17" s="767">
        <v>46197.625</v>
      </c>
      <c r="B17" s="11"/>
      <c r="C17" s="767">
        <f t="shared" ca="1" si="9"/>
        <v>46197.625</v>
      </c>
      <c r="D17" s="767"/>
      <c r="E17" s="767"/>
      <c r="F17" s="11"/>
      <c r="G17" s="11"/>
      <c r="H17" s="11"/>
      <c r="I17" s="11"/>
      <c r="J17" s="11"/>
      <c r="K17" s="11"/>
      <c r="L17" s="11"/>
      <c r="M17" s="11"/>
      <c r="N17" s="11"/>
      <c r="O17" s="11"/>
      <c r="P17" s="11">
        <v>15</v>
      </c>
      <c r="Q17" s="11" t="str">
        <f t="shared" ca="1" si="3"/>
        <v>Costa de Marfil</v>
      </c>
      <c r="R17" s="11">
        <f t="shared" ca="1" si="10"/>
        <v>0</v>
      </c>
      <c r="S17" s="772">
        <f t="shared" ca="1" si="10"/>
        <v>0</v>
      </c>
      <c r="T17" s="11">
        <f t="shared" ca="1" si="10"/>
        <v>0</v>
      </c>
      <c r="U17" s="11">
        <f t="shared" ca="1" si="10"/>
        <v>4</v>
      </c>
      <c r="V17" s="772">
        <f t="shared" ca="1" si="10"/>
        <v>0.16666666666666666</v>
      </c>
      <c r="W17" s="11">
        <f t="shared" ca="1" si="10"/>
        <v>1</v>
      </c>
      <c r="X17" s="11">
        <f t="shared" ca="1" si="1"/>
        <v>0</v>
      </c>
      <c r="Y17" s="11"/>
      <c r="Z17" s="11"/>
      <c r="AA17" s="11">
        <v>15</v>
      </c>
      <c r="AB17" s="11" t="str">
        <f ca="1">Idiomas!D226</f>
        <v>Croacia</v>
      </c>
      <c r="AC17" s="11">
        <v>2</v>
      </c>
      <c r="AD17" s="772">
        <f t="shared" si="4"/>
        <v>8.3333333333333329E-2</v>
      </c>
      <c r="AE17" s="11">
        <v>0</v>
      </c>
      <c r="AF17" s="11">
        <f t="shared" ca="1" si="5"/>
        <v>6</v>
      </c>
      <c r="AG17" s="772">
        <f t="shared" ca="1" si="6"/>
        <v>0.25</v>
      </c>
      <c r="AH17" s="11">
        <f t="shared" ca="1" si="7"/>
        <v>1</v>
      </c>
      <c r="AI17" s="11">
        <f t="shared" ca="1" si="8"/>
        <v>16</v>
      </c>
      <c r="AJ17" s="11"/>
    </row>
    <row r="18" spans="1:36">
      <c r="A18" s="11"/>
      <c r="B18" s="11"/>
      <c r="C18" s="767"/>
      <c r="D18" s="11"/>
      <c r="E18" s="767"/>
      <c r="F18" s="11"/>
      <c r="G18" s="11"/>
      <c r="H18" s="11"/>
      <c r="I18" s="11"/>
      <c r="J18" s="11"/>
      <c r="K18" s="11"/>
      <c r="L18" s="11"/>
      <c r="M18" s="11"/>
      <c r="N18" s="11"/>
      <c r="O18" s="11"/>
      <c r="P18" s="11">
        <v>16</v>
      </c>
      <c r="Q18" s="11" t="str">
        <f t="shared" ca="1" si="3"/>
        <v>Croacia</v>
      </c>
      <c r="R18" s="11">
        <f t="shared" ca="1" si="10"/>
        <v>2</v>
      </c>
      <c r="S18" s="772">
        <f t="shared" ca="1" si="10"/>
        <v>8.3333333333333329E-2</v>
      </c>
      <c r="T18" s="11">
        <f t="shared" ca="1" si="10"/>
        <v>0</v>
      </c>
      <c r="U18" s="11">
        <f t="shared" ca="1" si="10"/>
        <v>6</v>
      </c>
      <c r="V18" s="772">
        <f t="shared" ca="1" si="10"/>
        <v>0.25</v>
      </c>
      <c r="W18" s="11">
        <f t="shared" ca="1" si="10"/>
        <v>1</v>
      </c>
      <c r="X18" s="11">
        <f t="shared" ca="1" si="1"/>
        <v>0</v>
      </c>
      <c r="Y18" s="11"/>
      <c r="Z18" s="11"/>
      <c r="AA18" s="11">
        <v>16</v>
      </c>
      <c r="AB18" s="11" t="str">
        <f ca="1">Idiomas!D227</f>
        <v>Curazao</v>
      </c>
      <c r="AC18" s="11">
        <v>-4</v>
      </c>
      <c r="AD18" s="772">
        <f t="shared" si="4"/>
        <v>0.16666666666666666</v>
      </c>
      <c r="AE18" s="11">
        <v>0</v>
      </c>
      <c r="AF18" s="11">
        <f t="shared" ca="1" si="5"/>
        <v>0</v>
      </c>
      <c r="AG18" s="772">
        <f t="shared" ca="1" si="6"/>
        <v>0</v>
      </c>
      <c r="AH18" s="11">
        <f t="shared" ca="1" si="7"/>
        <v>0</v>
      </c>
      <c r="AI18" s="11">
        <f t="shared" ca="1" si="8"/>
        <v>17</v>
      </c>
      <c r="AJ18" s="11"/>
    </row>
    <row r="19" spans="1:36">
      <c r="A19" s="8" t="s">
        <v>9</v>
      </c>
      <c r="B19" s="11"/>
      <c r="C19" s="767"/>
      <c r="D19" s="11"/>
      <c r="E19" s="767"/>
      <c r="F19" s="11"/>
      <c r="G19" s="11"/>
      <c r="H19" s="11"/>
      <c r="I19" s="11"/>
      <c r="J19" s="11"/>
      <c r="K19" s="11"/>
      <c r="L19" s="11"/>
      <c r="M19" s="11"/>
      <c r="N19" s="11"/>
      <c r="O19" s="11"/>
      <c r="P19" s="11">
        <v>17</v>
      </c>
      <c r="Q19" s="11" t="str">
        <f t="shared" ca="1" si="3"/>
        <v>Curazao</v>
      </c>
      <c r="R19" s="11">
        <f t="shared" ca="1" si="10"/>
        <v>-4</v>
      </c>
      <c r="S19" s="772">
        <f t="shared" ca="1" si="10"/>
        <v>0.16666666666666666</v>
      </c>
      <c r="T19" s="11">
        <f t="shared" ca="1" si="10"/>
        <v>0</v>
      </c>
      <c r="U19" s="11">
        <f t="shared" ca="1" si="10"/>
        <v>0</v>
      </c>
      <c r="V19" s="772">
        <f t="shared" ca="1" si="10"/>
        <v>0</v>
      </c>
      <c r="W19" s="11">
        <f t="shared" ca="1" si="10"/>
        <v>0</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18</v>
      </c>
      <c r="AJ19" s="11"/>
    </row>
    <row r="20" spans="1:36">
      <c r="A20" s="767">
        <v>46186.75</v>
      </c>
      <c r="B20" s="11"/>
      <c r="C20" s="767">
        <f t="shared" ref="C20:C25" ca="1" si="11">A20+INDEX($V$3:$V$86,MATCH($C$3,$P$3:$P$86,0))*INDEX($W$3:$W$86,MATCH($C$3,$P$3:$P$86,0))</f>
        <v>46186.75</v>
      </c>
      <c r="D20" s="767"/>
      <c r="E20" s="767"/>
      <c r="F20" s="11"/>
      <c r="G20" s="11"/>
      <c r="H20" s="11"/>
      <c r="I20" s="11"/>
      <c r="J20" s="11"/>
      <c r="K20" s="11"/>
      <c r="L20" s="11"/>
      <c r="M20" s="11"/>
      <c r="N20" s="11"/>
      <c r="O20" s="11"/>
      <c r="P20" s="11">
        <v>18</v>
      </c>
      <c r="Q20" s="11" t="str">
        <f t="shared" ca="1" si="3"/>
        <v>Ecuador</v>
      </c>
      <c r="R20" s="11">
        <f t="shared" ca="1" si="10"/>
        <v>-5</v>
      </c>
      <c r="S20" s="772">
        <f t="shared" ca="1" si="10"/>
        <v>0.20833333333333334</v>
      </c>
      <c r="T20" s="11">
        <f t="shared" ca="1" si="10"/>
        <v>0</v>
      </c>
      <c r="U20" s="11">
        <f t="shared" ca="1" si="10"/>
        <v>-1</v>
      </c>
      <c r="V20" s="772">
        <f t="shared" ca="1" si="10"/>
        <v>4.1666666666666664E-2</v>
      </c>
      <c r="W20" s="11">
        <f t="shared" ca="1" si="10"/>
        <v>-1</v>
      </c>
      <c r="X20" s="11">
        <f t="shared" ca="1" si="1"/>
        <v>0</v>
      </c>
      <c r="Y20" s="11"/>
      <c r="Z20" s="11"/>
      <c r="AA20" s="11">
        <v>18</v>
      </c>
      <c r="AB20" s="11" t="str">
        <f ca="1">Idiomas!D229</f>
        <v>Egipto</v>
      </c>
      <c r="AC20" s="11">
        <v>3</v>
      </c>
      <c r="AD20" s="772">
        <f t="shared" si="4"/>
        <v>0.125</v>
      </c>
      <c r="AE20" s="11">
        <v>0</v>
      </c>
      <c r="AF20" s="11">
        <f t="shared" ca="1" si="5"/>
        <v>7</v>
      </c>
      <c r="AG20" s="772">
        <f t="shared" ca="1" si="6"/>
        <v>0.29166666666666669</v>
      </c>
      <c r="AH20" s="11">
        <f t="shared" ca="1" si="7"/>
        <v>1</v>
      </c>
      <c r="AI20" s="11">
        <f t="shared" ca="1" si="8"/>
        <v>19</v>
      </c>
      <c r="AJ20" s="11"/>
    </row>
    <row r="21" spans="1:36">
      <c r="A21" s="767">
        <v>46186.875</v>
      </c>
      <c r="B21" s="11"/>
      <c r="C21" s="767">
        <f t="shared" ca="1" si="11"/>
        <v>46186.875</v>
      </c>
      <c r="D21" s="767"/>
      <c r="E21" s="767"/>
      <c r="F21" s="11"/>
      <c r="G21" s="11"/>
      <c r="H21" s="11"/>
      <c r="I21" s="11"/>
      <c r="J21" s="11"/>
      <c r="K21" s="11"/>
      <c r="L21" s="11"/>
      <c r="M21" s="11"/>
      <c r="N21" s="11"/>
      <c r="O21" s="11"/>
      <c r="P21" s="11">
        <v>19</v>
      </c>
      <c r="Q21" s="11" t="str">
        <f t="shared" ca="1" si="3"/>
        <v>Egipto</v>
      </c>
      <c r="R21" s="11">
        <f t="shared" ca="1" si="10"/>
        <v>3</v>
      </c>
      <c r="S21" s="772">
        <f t="shared" ca="1" si="10"/>
        <v>0.125</v>
      </c>
      <c r="T21" s="11">
        <f t="shared" ca="1" si="10"/>
        <v>0</v>
      </c>
      <c r="U21" s="11">
        <f t="shared" ca="1" si="10"/>
        <v>7</v>
      </c>
      <c r="V21" s="772">
        <f t="shared" ca="1" si="10"/>
        <v>0.29166666666666669</v>
      </c>
      <c r="W21" s="11">
        <f t="shared" ca="1" si="10"/>
        <v>1</v>
      </c>
      <c r="X21" s="11">
        <f t="shared" ca="1" si="1"/>
        <v>0</v>
      </c>
      <c r="Y21" s="11"/>
      <c r="Z21" s="11"/>
      <c r="AA21" s="11">
        <v>19</v>
      </c>
      <c r="AB21" s="11" t="str">
        <f ca="1">Idiomas!D230</f>
        <v>Escocia</v>
      </c>
      <c r="AC21" s="11">
        <v>1</v>
      </c>
      <c r="AD21" s="772">
        <f t="shared" si="4"/>
        <v>4.1666666666666664E-2</v>
      </c>
      <c r="AE21" s="11">
        <v>0</v>
      </c>
      <c r="AF21" s="11">
        <f t="shared" ca="1" si="5"/>
        <v>5</v>
      </c>
      <c r="AG21" s="772">
        <f t="shared" ca="1" si="6"/>
        <v>0.20833333333333334</v>
      </c>
      <c r="AH21" s="11">
        <f t="shared" ca="1" si="7"/>
        <v>1</v>
      </c>
      <c r="AI21" s="11">
        <f t="shared" ca="1" si="8"/>
        <v>20</v>
      </c>
      <c r="AJ21" s="11"/>
    </row>
    <row r="22" spans="1:36">
      <c r="A22" s="767">
        <v>46192.75</v>
      </c>
      <c r="B22" s="11"/>
      <c r="C22" s="767">
        <f t="shared" ca="1" si="11"/>
        <v>46192.75</v>
      </c>
      <c r="D22" s="767"/>
      <c r="E22" s="767"/>
      <c r="F22" s="11"/>
      <c r="G22" s="11"/>
      <c r="H22" s="11"/>
      <c r="I22" s="11"/>
      <c r="J22" s="11"/>
      <c r="K22" s="11"/>
      <c r="L22" s="11"/>
      <c r="M22" s="11"/>
      <c r="N22" s="11"/>
      <c r="O22" s="11"/>
      <c r="P22" s="11">
        <v>20</v>
      </c>
      <c r="Q22" s="11" t="str">
        <f t="shared" ca="1" si="3"/>
        <v>Escocia</v>
      </c>
      <c r="R22" s="11">
        <f t="shared" ca="1" si="10"/>
        <v>1</v>
      </c>
      <c r="S22" s="772">
        <f t="shared" ca="1" si="10"/>
        <v>4.1666666666666664E-2</v>
      </c>
      <c r="T22" s="11">
        <f t="shared" ca="1" si="10"/>
        <v>0</v>
      </c>
      <c r="U22" s="11">
        <f t="shared" ca="1" si="10"/>
        <v>5</v>
      </c>
      <c r="V22" s="772">
        <f t="shared" ca="1" si="10"/>
        <v>0.20833333333333334</v>
      </c>
      <c r="W22" s="11">
        <f t="shared" ca="1" si="10"/>
        <v>1</v>
      </c>
      <c r="X22" s="11">
        <f t="shared" ca="1" si="1"/>
        <v>0</v>
      </c>
      <c r="Y22" s="11"/>
      <c r="Z22" s="11"/>
      <c r="AA22" s="11">
        <v>20</v>
      </c>
      <c r="AB22" s="11" t="str">
        <f ca="1">Idiomas!D231</f>
        <v>España</v>
      </c>
      <c r="AC22" s="11">
        <v>2</v>
      </c>
      <c r="AD22" s="772">
        <f t="shared" si="4"/>
        <v>8.3333333333333329E-2</v>
      </c>
      <c r="AE22" s="11">
        <v>0</v>
      </c>
      <c r="AF22" s="11">
        <f t="shared" ca="1" si="5"/>
        <v>6</v>
      </c>
      <c r="AG22" s="772">
        <f t="shared" ca="1" si="6"/>
        <v>0.25</v>
      </c>
      <c r="AH22" s="11">
        <f t="shared" ca="1" si="7"/>
        <v>1</v>
      </c>
      <c r="AI22" s="11">
        <f t="shared" ca="1" si="8"/>
        <v>21</v>
      </c>
      <c r="AJ22" s="11"/>
    </row>
    <row r="23" spans="1:36">
      <c r="A23" s="767">
        <v>46192.854166666664</v>
      </c>
      <c r="B23" s="11"/>
      <c r="C23" s="767">
        <f t="shared" ca="1" si="11"/>
        <v>46192.854166666664</v>
      </c>
      <c r="D23" s="767"/>
      <c r="E23" s="767"/>
      <c r="F23" s="11"/>
      <c r="G23" s="11"/>
      <c r="H23" s="11"/>
      <c r="I23" s="11"/>
      <c r="J23" s="11"/>
      <c r="K23" s="11"/>
      <c r="L23" s="11"/>
      <c r="M23" s="11"/>
      <c r="N23" s="11"/>
      <c r="O23" s="11"/>
      <c r="P23" s="11">
        <v>21</v>
      </c>
      <c r="Q23" s="11" t="str">
        <f t="shared" ca="1" si="3"/>
        <v>España</v>
      </c>
      <c r="R23" s="11">
        <f t="shared" ref="R23:W32" ca="1" si="12">+INDEX($AC$3:$AH$86,MATCH($Q23,$AB$3:$AB$86,0),MATCH(R$2,$AC$2:$AH$2,0))</f>
        <v>2</v>
      </c>
      <c r="S23" s="772">
        <f t="shared" ca="1" si="12"/>
        <v>8.3333333333333329E-2</v>
      </c>
      <c r="T23" s="11">
        <f t="shared" ca="1" si="12"/>
        <v>0</v>
      </c>
      <c r="U23" s="11">
        <f t="shared" ca="1" si="12"/>
        <v>6</v>
      </c>
      <c r="V23" s="772">
        <f t="shared" ca="1" si="12"/>
        <v>0.25</v>
      </c>
      <c r="W23" s="11">
        <f t="shared" ca="1" si="12"/>
        <v>1</v>
      </c>
      <c r="X23" s="11">
        <f t="shared" ca="1" si="1"/>
        <v>0</v>
      </c>
      <c r="Y23" s="11"/>
      <c r="Z23" s="11"/>
      <c r="AA23" s="11">
        <v>21</v>
      </c>
      <c r="AB23" s="11" t="str">
        <f ca="1">Idiomas!D232</f>
        <v>Estados Unidos</v>
      </c>
      <c r="AC23" s="11">
        <v>-4</v>
      </c>
      <c r="AD23" s="772">
        <f t="shared" si="4"/>
        <v>0.16666666666666666</v>
      </c>
      <c r="AE23" s="11">
        <v>1</v>
      </c>
      <c r="AF23" s="11">
        <f t="shared" ca="1" si="5"/>
        <v>0</v>
      </c>
      <c r="AG23" s="772">
        <f t="shared" ca="1" si="6"/>
        <v>0</v>
      </c>
      <c r="AH23" s="11">
        <f t="shared" ca="1" si="7"/>
        <v>0</v>
      </c>
      <c r="AI23" s="11">
        <f t="shared" ca="1" si="8"/>
        <v>22</v>
      </c>
      <c r="AJ23" s="11"/>
    </row>
    <row r="24" spans="1:36">
      <c r="A24" s="767">
        <v>46197.75</v>
      </c>
      <c r="B24" s="11"/>
      <c r="C24" s="767">
        <f t="shared" ca="1" si="11"/>
        <v>46197.75</v>
      </c>
      <c r="D24" s="767"/>
      <c r="E24" s="767"/>
      <c r="F24" s="11"/>
      <c r="G24" s="11"/>
      <c r="H24" s="11"/>
      <c r="I24" s="11"/>
      <c r="J24" s="11"/>
      <c r="K24" s="11"/>
      <c r="L24" s="11"/>
      <c r="M24" s="11"/>
      <c r="N24" s="11"/>
      <c r="O24" s="11"/>
      <c r="P24" s="11">
        <v>22</v>
      </c>
      <c r="Q24" s="11" t="str">
        <f t="shared" ca="1" si="3"/>
        <v>Estados Unidos</v>
      </c>
      <c r="R24" s="11">
        <f t="shared" ca="1" si="12"/>
        <v>-4</v>
      </c>
      <c r="S24" s="772">
        <f t="shared" ca="1" si="12"/>
        <v>0.16666666666666666</v>
      </c>
      <c r="T24" s="11">
        <f t="shared" ca="1" si="12"/>
        <v>1</v>
      </c>
      <c r="U24" s="11">
        <f t="shared" ca="1" si="12"/>
        <v>0</v>
      </c>
      <c r="V24" s="772">
        <f t="shared" ca="1" si="12"/>
        <v>0</v>
      </c>
      <c r="W24" s="11">
        <f t="shared" ca="1" si="12"/>
        <v>0</v>
      </c>
      <c r="X24" s="11">
        <f t="shared" ca="1" si="1"/>
        <v>1</v>
      </c>
      <c r="Y24" s="11"/>
      <c r="Z24" s="11"/>
      <c r="AA24" s="11">
        <v>22</v>
      </c>
      <c r="AB24" s="11" t="str">
        <f ca="1">Idiomas!D233</f>
        <v>Francia</v>
      </c>
      <c r="AC24" s="11">
        <v>2</v>
      </c>
      <c r="AD24" s="772">
        <f t="shared" si="4"/>
        <v>8.3333333333333329E-2</v>
      </c>
      <c r="AE24" s="11">
        <v>0</v>
      </c>
      <c r="AF24" s="11">
        <f t="shared" ca="1" si="5"/>
        <v>6</v>
      </c>
      <c r="AG24" s="772">
        <f t="shared" ca="1" si="6"/>
        <v>0.25</v>
      </c>
      <c r="AH24" s="11">
        <f t="shared" ca="1" si="7"/>
        <v>1</v>
      </c>
      <c r="AI24" s="11">
        <f t="shared" ca="1" si="8"/>
        <v>23</v>
      </c>
      <c r="AJ24" s="11"/>
    </row>
    <row r="25" spans="1:36">
      <c r="A25" s="767">
        <v>46197.75</v>
      </c>
      <c r="B25" s="11"/>
      <c r="C25" s="767">
        <f t="shared" ca="1" si="11"/>
        <v>46197.75</v>
      </c>
      <c r="D25" s="767"/>
      <c r="E25" s="767"/>
      <c r="F25" s="11"/>
      <c r="G25" s="11"/>
      <c r="H25" s="11"/>
      <c r="I25" s="11"/>
      <c r="J25" s="11"/>
      <c r="K25" s="11"/>
      <c r="L25" s="11"/>
      <c r="M25" s="11"/>
      <c r="N25" s="11"/>
      <c r="O25" s="11"/>
      <c r="P25" s="11">
        <v>23</v>
      </c>
      <c r="Q25" s="11" t="str">
        <f t="shared" ca="1" si="3"/>
        <v>Francia</v>
      </c>
      <c r="R25" s="11">
        <f t="shared" ca="1" si="12"/>
        <v>2</v>
      </c>
      <c r="S25" s="772">
        <f t="shared" ca="1" si="12"/>
        <v>8.3333333333333329E-2</v>
      </c>
      <c r="T25" s="11">
        <f t="shared" ca="1" si="12"/>
        <v>0</v>
      </c>
      <c r="U25" s="11">
        <f t="shared" ca="1" si="12"/>
        <v>6</v>
      </c>
      <c r="V25" s="772">
        <f t="shared" ca="1" si="12"/>
        <v>0.25</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24</v>
      </c>
      <c r="AJ25" s="11"/>
    </row>
    <row r="26" spans="1:36">
      <c r="A26" s="11"/>
      <c r="B26" s="11"/>
      <c r="C26" s="767"/>
      <c r="D26" s="11"/>
      <c r="E26" s="767"/>
      <c r="F26" s="11"/>
      <c r="G26" s="11"/>
      <c r="H26" s="11"/>
      <c r="I26" s="11"/>
      <c r="J26" s="11"/>
      <c r="K26" s="11"/>
      <c r="L26" s="11"/>
      <c r="M26" s="11"/>
      <c r="N26" s="11"/>
      <c r="O26" s="11"/>
      <c r="P26" s="11">
        <v>24</v>
      </c>
      <c r="Q26" s="11" t="str">
        <f t="shared" ca="1" si="3"/>
        <v>Ghana</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Haití</v>
      </c>
      <c r="AC26" s="11">
        <v>-4</v>
      </c>
      <c r="AD26" s="772">
        <f t="shared" si="4"/>
        <v>0.16666666666666666</v>
      </c>
      <c r="AE26" s="11">
        <v>0</v>
      </c>
      <c r="AF26" s="11">
        <f t="shared" ca="1" si="5"/>
        <v>0</v>
      </c>
      <c r="AG26" s="772">
        <f t="shared" ca="1" si="6"/>
        <v>0</v>
      </c>
      <c r="AH26" s="11">
        <f t="shared" ca="1" si="7"/>
        <v>0</v>
      </c>
      <c r="AI26" s="11">
        <f t="shared" ca="1" si="8"/>
        <v>25</v>
      </c>
      <c r="AJ26" s="11"/>
    </row>
    <row r="27" spans="1:36">
      <c r="A27" s="8" t="s">
        <v>81</v>
      </c>
      <c r="B27" s="11"/>
      <c r="C27" s="767"/>
      <c r="D27" s="11"/>
      <c r="E27" s="767"/>
      <c r="F27" s="11"/>
      <c r="G27" s="11"/>
      <c r="H27" s="11"/>
      <c r="I27" s="11"/>
      <c r="J27" s="11"/>
      <c r="K27" s="11"/>
      <c r="L27" s="11"/>
      <c r="M27" s="11"/>
      <c r="N27" s="11"/>
      <c r="O27" s="11"/>
      <c r="P27" s="11">
        <v>25</v>
      </c>
      <c r="Q27" s="11" t="str">
        <f t="shared" ca="1" si="3"/>
        <v>Haití</v>
      </c>
      <c r="R27" s="11">
        <f t="shared" ca="1" si="12"/>
        <v>-4</v>
      </c>
      <c r="S27" s="772">
        <f t="shared" ca="1" si="12"/>
        <v>0.16666666666666666</v>
      </c>
      <c r="T27" s="11">
        <f t="shared" ca="1" si="12"/>
        <v>0</v>
      </c>
      <c r="U27" s="11">
        <f t="shared" ca="1" si="12"/>
        <v>0</v>
      </c>
      <c r="V27" s="772">
        <f t="shared" ca="1" si="12"/>
        <v>0</v>
      </c>
      <c r="W27" s="11">
        <f t="shared" ca="1" si="12"/>
        <v>0</v>
      </c>
      <c r="X27" s="11">
        <f t="shared" ca="1" si="1"/>
        <v>0</v>
      </c>
      <c r="Y27" s="11"/>
      <c r="Z27" s="11"/>
      <c r="AA27" s="11">
        <v>25</v>
      </c>
      <c r="AB27" s="11" t="str">
        <f ca="1">Idiomas!D236</f>
        <v>Inglaterra</v>
      </c>
      <c r="AC27" s="11">
        <v>1</v>
      </c>
      <c r="AD27" s="772">
        <f t="shared" si="4"/>
        <v>4.1666666666666664E-2</v>
      </c>
      <c r="AE27" s="11">
        <v>0</v>
      </c>
      <c r="AF27" s="11">
        <f t="shared" ca="1" si="5"/>
        <v>5</v>
      </c>
      <c r="AG27" s="772">
        <f t="shared" ca="1" si="6"/>
        <v>0.20833333333333334</v>
      </c>
      <c r="AH27" s="11">
        <f t="shared" ca="1" si="7"/>
        <v>1</v>
      </c>
      <c r="AI27" s="11">
        <f t="shared" ca="1" si="8"/>
        <v>26</v>
      </c>
      <c r="AJ27" s="11"/>
    </row>
    <row r="28" spans="1:36">
      <c r="A28" s="767">
        <v>46185.875</v>
      </c>
      <c r="B28" s="11"/>
      <c r="C28" s="767">
        <f t="shared" ref="C28:C33" ca="1" si="13">A28+INDEX($V$3:$V$86,MATCH($C$3,$P$3:$P$86,0))*INDEX($W$3:$W$86,MATCH($C$3,$P$3:$P$86,0))</f>
        <v>46185.875</v>
      </c>
      <c r="D28" s="767"/>
      <c r="E28" s="767"/>
      <c r="F28" s="11"/>
      <c r="G28" s="11"/>
      <c r="H28" s="11"/>
      <c r="I28" s="11"/>
      <c r="J28" s="11"/>
      <c r="K28" s="11"/>
      <c r="L28" s="11"/>
      <c r="M28" s="11"/>
      <c r="N28" s="11"/>
      <c r="O28" s="11"/>
      <c r="P28" s="11">
        <v>26</v>
      </c>
      <c r="Q28" s="11" t="str">
        <f t="shared" ca="1" si="3"/>
        <v>Inglaterra</v>
      </c>
      <c r="R28" s="11">
        <f t="shared" ca="1" si="12"/>
        <v>1</v>
      </c>
      <c r="S28" s="772">
        <f t="shared" ca="1" si="12"/>
        <v>4.1666666666666664E-2</v>
      </c>
      <c r="T28" s="11">
        <f t="shared" ca="1" si="12"/>
        <v>0</v>
      </c>
      <c r="U28" s="11">
        <f t="shared" ca="1" si="12"/>
        <v>5</v>
      </c>
      <c r="V28" s="772">
        <f t="shared" ca="1" si="12"/>
        <v>0.20833333333333334</v>
      </c>
      <c r="W28" s="11">
        <f t="shared" ca="1" si="12"/>
        <v>1</v>
      </c>
      <c r="X28" s="11">
        <f t="shared" ca="1" si="1"/>
        <v>0</v>
      </c>
      <c r="Y28" s="11"/>
      <c r="Z28" s="11"/>
      <c r="AA28" s="11">
        <v>26</v>
      </c>
      <c r="AB28" s="11" t="str">
        <f ca="1">Idiomas!D237</f>
        <v>Irán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28</v>
      </c>
      <c r="AJ28" s="11"/>
    </row>
    <row r="29" spans="1:36">
      <c r="A29" s="767">
        <v>46187</v>
      </c>
      <c r="B29" s="11"/>
      <c r="C29" s="767">
        <f t="shared" ca="1" si="13"/>
        <v>46187</v>
      </c>
      <c r="D29" s="767"/>
      <c r="E29" s="767"/>
      <c r="F29" s="11"/>
      <c r="G29" s="11"/>
      <c r="H29" s="11"/>
      <c r="I29" s="11"/>
      <c r="J29" s="11"/>
      <c r="K29" s="11"/>
      <c r="L29" s="11"/>
      <c r="M29" s="11"/>
      <c r="N29" s="11"/>
      <c r="O29" s="11"/>
      <c r="P29" s="11">
        <v>27</v>
      </c>
      <c r="Q29" s="11" t="str">
        <f t="shared" ca="1" si="3"/>
        <v>Irak</v>
      </c>
      <c r="R29" s="11">
        <f t="shared" ca="1" si="12"/>
        <v>3</v>
      </c>
      <c r="S29" s="772">
        <f t="shared" ca="1" si="12"/>
        <v>0.125</v>
      </c>
      <c r="T29" s="11">
        <f t="shared" ca="1" si="12"/>
        <v>0</v>
      </c>
      <c r="U29" s="11">
        <f t="shared" ca="1" si="12"/>
        <v>7</v>
      </c>
      <c r="V29" s="772">
        <f t="shared" ca="1" si="12"/>
        <v>0.29166666666666669</v>
      </c>
      <c r="W29" s="11">
        <f t="shared" ca="1" si="12"/>
        <v>1</v>
      </c>
      <c r="X29" s="11">
        <f t="shared" ca="1" si="1"/>
        <v>0</v>
      </c>
      <c r="Y29" s="11"/>
      <c r="Z29" s="11"/>
      <c r="AA29" s="11">
        <v>27</v>
      </c>
      <c r="AB29" s="11" t="str">
        <f ca="1">Idiomas!D238</f>
        <v>Japón</v>
      </c>
      <c r="AC29" s="11">
        <v>9</v>
      </c>
      <c r="AD29" s="772">
        <f t="shared" si="4"/>
        <v>0.375</v>
      </c>
      <c r="AE29" s="11">
        <v>0</v>
      </c>
      <c r="AF29" s="11">
        <f t="shared" ca="1" si="5"/>
        <v>13</v>
      </c>
      <c r="AG29" s="772">
        <f t="shared" ca="1" si="6"/>
        <v>0.54166666666666663</v>
      </c>
      <c r="AH29" s="11">
        <f t="shared" ca="1" si="7"/>
        <v>1</v>
      </c>
      <c r="AI29" s="11">
        <f t="shared" ca="1" si="8"/>
        <v>29</v>
      </c>
      <c r="AJ29" s="11"/>
    </row>
    <row r="30" spans="1:36">
      <c r="A30" s="767">
        <v>46192.625</v>
      </c>
      <c r="B30" s="11"/>
      <c r="C30" s="767">
        <f ca="1">A30+INDEX($V$3:$V$86,MATCH($C$3,$P$3:$P$86,0))*INDEX($W$3:$W$86,MATCH($C$3,$P$3:$P$86,0))</f>
        <v>46192.625</v>
      </c>
      <c r="D30" s="767"/>
      <c r="E30" s="767"/>
      <c r="F30" s="11"/>
      <c r="G30" s="11"/>
      <c r="H30" s="11"/>
      <c r="I30" s="11"/>
      <c r="J30" s="11"/>
      <c r="K30" s="11"/>
      <c r="L30" s="11"/>
      <c r="M30" s="11"/>
      <c r="N30" s="11"/>
      <c r="O30" s="11"/>
      <c r="P30" s="11">
        <v>28</v>
      </c>
      <c r="Q30" s="11" t="str">
        <f t="shared" ca="1" si="3"/>
        <v>Irán</v>
      </c>
      <c r="R30" s="11">
        <f t="shared" ca="1" si="12"/>
        <v>3.5</v>
      </c>
      <c r="S30" s="772">
        <f t="shared" ca="1" si="12"/>
        <v>0.14583333333333334</v>
      </c>
      <c r="T30" s="11">
        <f t="shared" ca="1" si="12"/>
        <v>0</v>
      </c>
      <c r="U30" s="11">
        <f t="shared" ca="1" si="12"/>
        <v>7.5</v>
      </c>
      <c r="V30" s="772">
        <f t="shared" ca="1" si="12"/>
        <v>0.3125</v>
      </c>
      <c r="W30" s="11">
        <f t="shared" ca="1" si="12"/>
        <v>1</v>
      </c>
      <c r="X30" s="11">
        <f t="shared" ca="1" si="1"/>
        <v>0</v>
      </c>
      <c r="Y30" s="11"/>
      <c r="Z30" s="11"/>
      <c r="AA30" s="11">
        <v>28</v>
      </c>
      <c r="AB30" s="11" t="str">
        <f ca="1">Idiomas!D239</f>
        <v>Jordania</v>
      </c>
      <c r="AC30" s="11">
        <v>3</v>
      </c>
      <c r="AD30" s="772">
        <f t="shared" si="4"/>
        <v>0.125</v>
      </c>
      <c r="AE30" s="11">
        <v>0</v>
      </c>
      <c r="AF30" s="11">
        <f t="shared" ca="1" si="5"/>
        <v>7</v>
      </c>
      <c r="AG30" s="772">
        <f t="shared" ca="1" si="6"/>
        <v>0.29166666666666669</v>
      </c>
      <c r="AH30" s="11">
        <f t="shared" ca="1" si="7"/>
        <v>1</v>
      </c>
      <c r="AI30" s="11">
        <f t="shared" ca="1" si="8"/>
        <v>30</v>
      </c>
      <c r="AJ30" s="11"/>
    </row>
    <row r="31" spans="1:36">
      <c r="A31" s="767">
        <v>46192.958333333336</v>
      </c>
      <c r="B31" s="11"/>
      <c r="C31" s="767">
        <f ca="1">A31+INDEX($V$3:$V$86,MATCH($C$3,$P$3:$P$86,0))*INDEX($W$3:$W$86,MATCH($C$3,$P$3:$P$86,0))</f>
        <v>46192.958333333336</v>
      </c>
      <c r="D31" s="767"/>
      <c r="E31" s="767"/>
      <c r="F31" s="11"/>
      <c r="G31" s="11"/>
      <c r="H31" s="11"/>
      <c r="I31" s="11"/>
      <c r="J31" s="11"/>
      <c r="K31" s="11"/>
      <c r="L31" s="11"/>
      <c r="M31" s="11"/>
      <c r="N31" s="11"/>
      <c r="O31" s="11"/>
      <c r="P31" s="11">
        <v>29</v>
      </c>
      <c r="Q31" s="11" t="str">
        <f t="shared" ca="1" si="3"/>
        <v>Japón</v>
      </c>
      <c r="R31" s="11">
        <f t="shared" ca="1" si="12"/>
        <v>9</v>
      </c>
      <c r="S31" s="772">
        <f t="shared" ca="1" si="12"/>
        <v>0.375</v>
      </c>
      <c r="T31" s="11">
        <f t="shared" ca="1" si="12"/>
        <v>0</v>
      </c>
      <c r="U31" s="11">
        <f t="shared" ca="1" si="12"/>
        <v>13</v>
      </c>
      <c r="V31" s="772">
        <f t="shared" ca="1" si="12"/>
        <v>0.54166666666666663</v>
      </c>
      <c r="W31" s="11">
        <f t="shared" ca="1" si="12"/>
        <v>1</v>
      </c>
      <c r="X31" s="11">
        <f t="shared" ca="1" si="1"/>
        <v>0</v>
      </c>
      <c r="Y31" s="11"/>
      <c r="Z31" s="11"/>
      <c r="AA31" s="11">
        <v>29</v>
      </c>
      <c r="AB31" s="11" t="str">
        <f ca="1">Idiomas!D240</f>
        <v>Marruecos</v>
      </c>
      <c r="AC31" s="11">
        <v>1</v>
      </c>
      <c r="AD31" s="772">
        <f t="shared" si="4"/>
        <v>4.1666666666666664E-2</v>
      </c>
      <c r="AE31" s="11">
        <v>0</v>
      </c>
      <c r="AF31" s="11">
        <f t="shared" ca="1" si="5"/>
        <v>5</v>
      </c>
      <c r="AG31" s="772">
        <f t="shared" ca="1" si="6"/>
        <v>0.20833333333333334</v>
      </c>
      <c r="AH31" s="11">
        <f t="shared" ca="1" si="7"/>
        <v>1</v>
      </c>
      <c r="AI31" s="11">
        <f t="shared" ca="1" si="8"/>
        <v>31</v>
      </c>
      <c r="AJ31" s="11"/>
    </row>
    <row r="32" spans="1:36">
      <c r="A32" s="767">
        <v>46198.916666666664</v>
      </c>
      <c r="B32" s="11"/>
      <c r="C32" s="767">
        <f t="shared" ca="1" si="13"/>
        <v>46198.916666666664</v>
      </c>
      <c r="D32" s="767"/>
      <c r="E32" s="767"/>
      <c r="F32" s="11"/>
      <c r="G32" s="11"/>
      <c r="H32" s="11"/>
      <c r="I32" s="11"/>
      <c r="J32" s="11"/>
      <c r="K32" s="11"/>
      <c r="L32" s="11"/>
      <c r="M32" s="11"/>
      <c r="N32" s="11"/>
      <c r="O32" s="11"/>
      <c r="P32" s="11">
        <v>30</v>
      </c>
      <c r="Q32" s="11" t="str">
        <f t="shared" ca="1" si="3"/>
        <v>Jordania</v>
      </c>
      <c r="R32" s="11">
        <f t="shared" ca="1" si="12"/>
        <v>3</v>
      </c>
      <c r="S32" s="772">
        <f t="shared" ca="1" si="12"/>
        <v>0.125</v>
      </c>
      <c r="T32" s="11">
        <f t="shared" ca="1" si="12"/>
        <v>0</v>
      </c>
      <c r="U32" s="11">
        <f t="shared" ca="1" si="12"/>
        <v>7</v>
      </c>
      <c r="V32" s="772">
        <f t="shared" ca="1" si="12"/>
        <v>0.29166666666666669</v>
      </c>
      <c r="W32" s="11">
        <f t="shared" ca="1" si="12"/>
        <v>1</v>
      </c>
      <c r="X32" s="11">
        <f t="shared" ca="1" si="1"/>
        <v>0</v>
      </c>
      <c r="Y32" s="11"/>
      <c r="Z32" s="11"/>
      <c r="AA32" s="11">
        <v>30</v>
      </c>
      <c r="AB32" s="11" t="str">
        <f ca="1">Idiomas!D241</f>
        <v>México</v>
      </c>
      <c r="AC32" s="11">
        <v>-6</v>
      </c>
      <c r="AD32" s="772">
        <f t="shared" si="4"/>
        <v>0.25</v>
      </c>
      <c r="AE32" s="11">
        <v>0</v>
      </c>
      <c r="AF32" s="11">
        <f t="shared" ca="1" si="5"/>
        <v>-2</v>
      </c>
      <c r="AG32" s="772">
        <f t="shared" ca="1" si="6"/>
        <v>8.3333333333333329E-2</v>
      </c>
      <c r="AH32" s="11">
        <f t="shared" ca="1" si="7"/>
        <v>-1</v>
      </c>
      <c r="AI32" s="11">
        <f t="shared" ca="1" si="8"/>
        <v>32</v>
      </c>
      <c r="AJ32" s="11"/>
    </row>
    <row r="33" spans="1:36">
      <c r="A33" s="767">
        <v>46198.916666666664</v>
      </c>
      <c r="B33" s="11"/>
      <c r="C33" s="767">
        <f t="shared" ca="1" si="13"/>
        <v>46198.916666666664</v>
      </c>
      <c r="D33" s="767"/>
      <c r="E33" s="767"/>
      <c r="F33" s="11"/>
      <c r="G33" s="11"/>
      <c r="H33" s="11"/>
      <c r="I33" s="11"/>
      <c r="J33" s="11"/>
      <c r="K33" s="11"/>
      <c r="L33" s="11"/>
      <c r="M33" s="11"/>
      <c r="N33" s="11"/>
      <c r="O33" s="11"/>
      <c r="P33" s="11">
        <v>31</v>
      </c>
      <c r="Q33" s="11" t="str">
        <f t="shared" ca="1" si="3"/>
        <v>Marruecos</v>
      </c>
      <c r="R33" s="11">
        <f t="shared" ref="R33:W48" ca="1" si="14">+INDEX($AC$3:$AH$86,MATCH($Q33,$AB$3:$AB$86,0),MATCH(R$2,$AC$2:$AH$2,0))</f>
        <v>1</v>
      </c>
      <c r="S33" s="772">
        <f t="shared" ca="1" si="14"/>
        <v>4.1666666666666664E-2</v>
      </c>
      <c r="T33" s="11">
        <f t="shared" ca="1" si="14"/>
        <v>0</v>
      </c>
      <c r="U33" s="11">
        <f t="shared" ca="1" si="14"/>
        <v>5</v>
      </c>
      <c r="V33" s="772">
        <f t="shared" ca="1" si="14"/>
        <v>0.20833333333333334</v>
      </c>
      <c r="W33" s="11">
        <f t="shared" ca="1" si="14"/>
        <v>1</v>
      </c>
      <c r="X33" s="11">
        <f t="shared" ca="1" si="1"/>
        <v>0</v>
      </c>
      <c r="Y33" s="11"/>
      <c r="Z33" s="11"/>
      <c r="AA33" s="11">
        <v>31</v>
      </c>
      <c r="AB33" s="11" t="str">
        <f ca="1">Idiomas!D242</f>
        <v>Noruega</v>
      </c>
      <c r="AC33" s="11">
        <v>2</v>
      </c>
      <c r="AD33" s="772">
        <f t="shared" si="4"/>
        <v>8.3333333333333329E-2</v>
      </c>
      <c r="AE33" s="11">
        <v>0</v>
      </c>
      <c r="AF33" s="11">
        <f t="shared" ca="1" si="5"/>
        <v>6</v>
      </c>
      <c r="AG33" s="772">
        <f t="shared" ca="1" si="6"/>
        <v>0.25</v>
      </c>
      <c r="AH33" s="11">
        <f t="shared" ca="1" si="7"/>
        <v>1</v>
      </c>
      <c r="AI33" s="11">
        <f t="shared" ca="1" si="8"/>
        <v>33</v>
      </c>
      <c r="AJ33" s="11"/>
    </row>
    <row r="34" spans="1:36">
      <c r="A34" s="11"/>
      <c r="B34" s="11"/>
      <c r="C34" s="767"/>
      <c r="D34" s="11"/>
      <c r="E34" s="767"/>
      <c r="F34" s="11"/>
      <c r="G34" s="11"/>
      <c r="H34" s="11"/>
      <c r="I34" s="11"/>
      <c r="J34" s="11"/>
      <c r="K34" s="11"/>
      <c r="L34" s="11"/>
      <c r="M34" s="11"/>
      <c r="N34" s="11"/>
      <c r="O34" s="11"/>
      <c r="P34" s="11">
        <v>32</v>
      </c>
      <c r="Q34" s="11" t="str">
        <f t="shared" ca="1" si="3"/>
        <v>México</v>
      </c>
      <c r="R34" s="11">
        <f t="shared" ca="1" si="14"/>
        <v>-6</v>
      </c>
      <c r="S34" s="772">
        <f t="shared" ca="1" si="14"/>
        <v>0.25</v>
      </c>
      <c r="T34" s="11">
        <f t="shared" ca="1" si="14"/>
        <v>0</v>
      </c>
      <c r="U34" s="11">
        <f t="shared" ca="1" si="14"/>
        <v>-2</v>
      </c>
      <c r="V34" s="772">
        <f t="shared" ca="1" si="14"/>
        <v>8.3333333333333329E-2</v>
      </c>
      <c r="W34" s="11">
        <f t="shared" ca="1" si="14"/>
        <v>-1</v>
      </c>
      <c r="X34" s="11">
        <f t="shared" ca="1" si="1"/>
        <v>0</v>
      </c>
      <c r="Y34" s="11"/>
      <c r="Z34" s="11"/>
      <c r="AA34" s="11">
        <v>32</v>
      </c>
      <c r="AB34" s="11" t="str">
        <f ca="1">Idiomas!D243</f>
        <v>Nueva Zelanda</v>
      </c>
      <c r="AC34" s="11">
        <v>12</v>
      </c>
      <c r="AD34" s="772">
        <f t="shared" si="4"/>
        <v>0.5</v>
      </c>
      <c r="AE34" s="11">
        <v>0</v>
      </c>
      <c r="AF34" s="11">
        <f t="shared" ca="1" si="5"/>
        <v>16</v>
      </c>
      <c r="AG34" s="772">
        <f t="shared" ca="1" si="6"/>
        <v>0.66666666666666663</v>
      </c>
      <c r="AH34" s="11">
        <f t="shared" ca="1" si="7"/>
        <v>1</v>
      </c>
      <c r="AI34" s="11">
        <f t="shared" ca="1" si="8"/>
        <v>34</v>
      </c>
      <c r="AJ34" s="11"/>
    </row>
    <row r="35" spans="1:36">
      <c r="A35" s="8" t="s">
        <v>82</v>
      </c>
      <c r="B35" s="11"/>
      <c r="C35" s="767"/>
      <c r="D35" s="11"/>
      <c r="E35" s="767"/>
      <c r="F35" s="11"/>
      <c r="G35" s="11"/>
      <c r="H35" s="11"/>
      <c r="I35" s="11"/>
      <c r="J35" s="11"/>
      <c r="K35" s="11"/>
      <c r="L35" s="11"/>
      <c r="M35" s="11"/>
      <c r="N35" s="11"/>
      <c r="O35" s="11"/>
      <c r="P35" s="11">
        <v>33</v>
      </c>
      <c r="Q35" s="11" t="str">
        <f t="shared" ca="1" si="3"/>
        <v>Noruega</v>
      </c>
      <c r="R35" s="11">
        <f t="shared" ca="1" si="14"/>
        <v>2</v>
      </c>
      <c r="S35" s="772">
        <f t="shared" ca="1" si="14"/>
        <v>8.3333333333333329E-2</v>
      </c>
      <c r="T35" s="11">
        <f t="shared" ca="1" si="14"/>
        <v>0</v>
      </c>
      <c r="U35" s="11">
        <f t="shared" ca="1" si="14"/>
        <v>6</v>
      </c>
      <c r="V35" s="772">
        <f t="shared" ca="1" si="14"/>
        <v>0.25</v>
      </c>
      <c r="W35" s="11">
        <f t="shared" ca="1" si="14"/>
        <v>1</v>
      </c>
      <c r="X35" s="11">
        <f t="shared" ca="1" si="1"/>
        <v>0</v>
      </c>
      <c r="Y35" s="11"/>
      <c r="Z35" s="11"/>
      <c r="AA35" s="11">
        <v>33</v>
      </c>
      <c r="AB35" s="11" t="str">
        <f ca="1">Idiomas!D244</f>
        <v>Países Bajos</v>
      </c>
      <c r="AC35" s="11">
        <v>2</v>
      </c>
      <c r="AD35" s="772">
        <f t="shared" si="4"/>
        <v>8.3333333333333329E-2</v>
      </c>
      <c r="AE35" s="11">
        <v>0</v>
      </c>
      <c r="AF35" s="11">
        <f t="shared" ca="1" si="5"/>
        <v>6</v>
      </c>
      <c r="AG35" s="772">
        <f t="shared" ca="1" si="6"/>
        <v>0.25</v>
      </c>
      <c r="AH35" s="11">
        <f t="shared" ca="1" si="7"/>
        <v>1</v>
      </c>
      <c r="AI35" s="11">
        <f t="shared" ca="1" si="8"/>
        <v>35</v>
      </c>
      <c r="AJ35" s="11"/>
    </row>
    <row r="36" spans="1:36">
      <c r="A36" s="767">
        <v>46187.541666666664</v>
      </c>
      <c r="B36" s="11"/>
      <c r="C36" s="767">
        <f t="shared" ref="C36:C41" ca="1" si="15">A36+INDEX($V$3:$V$86,MATCH($C$3,$P$3:$P$86,0))*INDEX($W$3:$W$86,MATCH($C$3,$P$3:$P$86,0))</f>
        <v>46187.541666666664</v>
      </c>
      <c r="D36" s="767"/>
      <c r="E36" s="767"/>
      <c r="F36" s="11"/>
      <c r="G36" s="11"/>
      <c r="H36" s="11"/>
      <c r="I36" s="11"/>
      <c r="J36" s="11"/>
      <c r="K36" s="11"/>
      <c r="L36" s="11"/>
      <c r="M36" s="11"/>
      <c r="N36" s="11"/>
      <c r="O36" s="11"/>
      <c r="P36" s="11">
        <v>34</v>
      </c>
      <c r="Q36" s="11" t="str">
        <f t="shared" ca="1" si="3"/>
        <v>Nueva Zelanda</v>
      </c>
      <c r="R36" s="11">
        <f t="shared" ca="1" si="14"/>
        <v>12</v>
      </c>
      <c r="S36" s="772">
        <f t="shared" ca="1" si="14"/>
        <v>0.5</v>
      </c>
      <c r="T36" s="11">
        <f t="shared" ca="1" si="14"/>
        <v>0</v>
      </c>
      <c r="U36" s="11">
        <f t="shared" ca="1" si="14"/>
        <v>16</v>
      </c>
      <c r="V36" s="772">
        <f t="shared" ca="1" si="14"/>
        <v>0.66666666666666663</v>
      </c>
      <c r="W36" s="11">
        <f t="shared" ca="1" si="14"/>
        <v>1</v>
      </c>
      <c r="X36" s="11">
        <f t="shared" ca="1" si="1"/>
        <v>0</v>
      </c>
      <c r="Y36" s="11"/>
      <c r="Z36" s="11"/>
      <c r="AA36" s="11">
        <v>34</v>
      </c>
      <c r="AB36" s="11" t="str">
        <f ca="1">Idiomas!D245</f>
        <v>Panamá</v>
      </c>
      <c r="AC36" s="11">
        <v>-5</v>
      </c>
      <c r="AD36" s="772">
        <f t="shared" si="4"/>
        <v>0.20833333333333334</v>
      </c>
      <c r="AE36" s="11">
        <v>0</v>
      </c>
      <c r="AF36" s="11">
        <f t="shared" ca="1" si="5"/>
        <v>-1</v>
      </c>
      <c r="AG36" s="772">
        <f t="shared" ca="1" si="6"/>
        <v>4.1666666666666664E-2</v>
      </c>
      <c r="AH36" s="11">
        <f t="shared" ca="1" si="7"/>
        <v>-1</v>
      </c>
      <c r="AI36" s="11">
        <f t="shared" ca="1" si="8"/>
        <v>36</v>
      </c>
      <c r="AJ36" s="11"/>
    </row>
    <row r="37" spans="1:36">
      <c r="A37" s="767">
        <v>46187.791666666664</v>
      </c>
      <c r="B37" s="11"/>
      <c r="C37" s="767">
        <f t="shared" ca="1" si="15"/>
        <v>46187.791666666664</v>
      </c>
      <c r="D37" s="767"/>
      <c r="E37" s="767"/>
      <c r="F37" s="11"/>
      <c r="G37" s="11"/>
      <c r="H37" s="11"/>
      <c r="I37" s="11"/>
      <c r="J37" s="11"/>
      <c r="K37" s="11"/>
      <c r="L37" s="11"/>
      <c r="M37" s="11"/>
      <c r="N37" s="11"/>
      <c r="O37" s="11"/>
      <c r="P37" s="11">
        <v>35</v>
      </c>
      <c r="Q37" s="11" t="str">
        <f t="shared" ca="1" si="3"/>
        <v>Países Bajos</v>
      </c>
      <c r="R37" s="11">
        <f t="shared" ca="1" si="14"/>
        <v>2</v>
      </c>
      <c r="S37" s="772">
        <f t="shared" ca="1" si="14"/>
        <v>8.3333333333333329E-2</v>
      </c>
      <c r="T37" s="11">
        <f t="shared" ca="1" si="14"/>
        <v>0</v>
      </c>
      <c r="U37" s="11">
        <f t="shared" ca="1" si="14"/>
        <v>6</v>
      </c>
      <c r="V37" s="772">
        <f t="shared" ca="1" si="14"/>
        <v>0.25</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37</v>
      </c>
      <c r="AJ37" s="11"/>
    </row>
    <row r="38" spans="1:36">
      <c r="A38" s="767">
        <v>46193.666666666664</v>
      </c>
      <c r="B38" s="11"/>
      <c r="C38" s="767">
        <f t="shared" ca="1" si="15"/>
        <v>46193.666666666664</v>
      </c>
      <c r="D38" s="767"/>
      <c r="E38" s="767"/>
      <c r="F38" s="11"/>
      <c r="G38" s="11"/>
      <c r="H38" s="11"/>
      <c r="I38" s="11"/>
      <c r="J38" s="11"/>
      <c r="K38" s="11"/>
      <c r="L38" s="11"/>
      <c r="M38" s="11"/>
      <c r="N38" s="11"/>
      <c r="O38" s="11"/>
      <c r="P38" s="11">
        <v>36</v>
      </c>
      <c r="Q38" s="11" t="str">
        <f t="shared" ca="1" si="3"/>
        <v>Panamá</v>
      </c>
      <c r="R38" s="11">
        <f t="shared" ca="1" si="14"/>
        <v>-5</v>
      </c>
      <c r="S38" s="772">
        <f t="shared" ca="1" si="14"/>
        <v>0.20833333333333334</v>
      </c>
      <c r="T38" s="11">
        <f t="shared" ca="1" si="14"/>
        <v>0</v>
      </c>
      <c r="U38" s="11">
        <f t="shared" ca="1" si="14"/>
        <v>-1</v>
      </c>
      <c r="V38" s="772">
        <f t="shared" ca="1" si="14"/>
        <v>4.1666666666666664E-2</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38</v>
      </c>
      <c r="AJ38" s="11"/>
    </row>
    <row r="39" spans="1:36">
      <c r="A39" s="767">
        <v>46193.833333333336</v>
      </c>
      <c r="B39" s="11"/>
      <c r="C39" s="767">
        <f t="shared" ca="1" si="15"/>
        <v>46193.833333333336</v>
      </c>
      <c r="D39" s="767"/>
      <c r="E39" s="767"/>
      <c r="F39" s="11"/>
      <c r="G39" s="11"/>
      <c r="H39" s="11"/>
      <c r="I39" s="11"/>
      <c r="J39" s="11"/>
      <c r="K39" s="11"/>
      <c r="L39" s="11"/>
      <c r="M39" s="11"/>
      <c r="N39" s="11"/>
      <c r="O39" s="11"/>
      <c r="P39" s="11">
        <v>37</v>
      </c>
      <c r="Q39" s="11" t="str">
        <f t="shared" ca="1" si="3"/>
        <v>Paraguay</v>
      </c>
      <c r="R39" s="11">
        <f t="shared" ca="1" si="14"/>
        <v>-4</v>
      </c>
      <c r="S39" s="772">
        <f t="shared" ca="1" si="14"/>
        <v>0.16666666666666666</v>
      </c>
      <c r="T39" s="11">
        <f t="shared" ca="1" si="14"/>
        <v>0</v>
      </c>
      <c r="U39" s="11">
        <f t="shared" ca="1" si="14"/>
        <v>0</v>
      </c>
      <c r="V39" s="772">
        <f t="shared" ca="1" si="14"/>
        <v>0</v>
      </c>
      <c r="W39" s="11">
        <f t="shared" ca="1" si="14"/>
        <v>0</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41</v>
      </c>
      <c r="AJ39" s="11"/>
    </row>
    <row r="40" spans="1:36">
      <c r="A40" s="767">
        <v>46198.666666666664</v>
      </c>
      <c r="B40" s="11"/>
      <c r="C40" s="767">
        <f t="shared" ca="1" si="15"/>
        <v>46198.666666666664</v>
      </c>
      <c r="D40" s="767"/>
      <c r="E40" s="767"/>
      <c r="F40" s="11"/>
      <c r="G40" s="11"/>
      <c r="H40" s="11"/>
      <c r="I40" s="11"/>
      <c r="J40" s="11"/>
      <c r="K40" s="11"/>
      <c r="L40" s="11"/>
      <c r="M40" s="11"/>
      <c r="N40" s="11"/>
      <c r="O40" s="11"/>
      <c r="P40" s="11">
        <v>38</v>
      </c>
      <c r="Q40" s="11" t="str">
        <f t="shared" ca="1" si="3"/>
        <v>Portugal</v>
      </c>
      <c r="R40" s="11">
        <f t="shared" ca="1" si="14"/>
        <v>1</v>
      </c>
      <c r="S40" s="772">
        <f t="shared" ca="1" si="14"/>
        <v>4.1666666666666664E-2</v>
      </c>
      <c r="T40" s="11">
        <f t="shared" ca="1" si="14"/>
        <v>0</v>
      </c>
      <c r="U40" s="11">
        <f t="shared" ca="1" si="14"/>
        <v>5</v>
      </c>
      <c r="V40" s="772">
        <f t="shared" ca="1" si="14"/>
        <v>0.20833333333333334</v>
      </c>
      <c r="W40" s="11">
        <f t="shared" ca="1" si="14"/>
        <v>1</v>
      </c>
      <c r="X40" s="11">
        <f t="shared" ca="1" si="1"/>
        <v>0</v>
      </c>
      <c r="Y40" s="11"/>
      <c r="Z40" s="11"/>
      <c r="AA40" s="11">
        <v>38</v>
      </c>
      <c r="AB40" s="11" t="str">
        <f ca="1">Idiomas!D249</f>
        <v>Sudáfrica</v>
      </c>
      <c r="AC40" s="11">
        <v>2</v>
      </c>
      <c r="AD40" s="772">
        <f t="shared" si="4"/>
        <v>8.3333333333333329E-2</v>
      </c>
      <c r="AE40" s="11">
        <v>0</v>
      </c>
      <c r="AF40" s="11">
        <f t="shared" ca="1" si="5"/>
        <v>6</v>
      </c>
      <c r="AG40" s="772">
        <f t="shared" ca="1" si="6"/>
        <v>0.25</v>
      </c>
      <c r="AH40" s="11">
        <f t="shared" ca="1" si="7"/>
        <v>1</v>
      </c>
      <c r="AI40" s="11">
        <f t="shared" ca="1" si="8"/>
        <v>42</v>
      </c>
      <c r="AJ40" s="11"/>
    </row>
    <row r="41" spans="1:36">
      <c r="A41" s="767">
        <v>46198.666666666664</v>
      </c>
      <c r="B41" s="11"/>
      <c r="C41" s="767">
        <f t="shared" ca="1" si="15"/>
        <v>46198.666666666664</v>
      </c>
      <c r="D41" s="767"/>
      <c r="E41" s="767"/>
      <c r="F41" s="11"/>
      <c r="G41" s="11"/>
      <c r="H41" s="11"/>
      <c r="I41" s="11"/>
      <c r="J41" s="11"/>
      <c r="K41" s="11"/>
      <c r="L41" s="11"/>
      <c r="M41" s="11"/>
      <c r="N41" s="11"/>
      <c r="O41" s="11"/>
      <c r="P41" s="11">
        <v>39</v>
      </c>
      <c r="Q41" s="11" t="str">
        <f t="shared" ca="1" si="3"/>
        <v>RD Congo</v>
      </c>
      <c r="R41" s="11">
        <f t="shared" ca="1" si="14"/>
        <v>1</v>
      </c>
      <c r="S41" s="772">
        <f t="shared" ca="1" si="14"/>
        <v>4.1666666666666664E-2</v>
      </c>
      <c r="T41" s="11">
        <f t="shared" ca="1" si="14"/>
        <v>0</v>
      </c>
      <c r="U41" s="11">
        <f t="shared" ca="1" si="14"/>
        <v>5</v>
      </c>
      <c r="V41" s="772">
        <f t="shared" ca="1" si="14"/>
        <v>0.20833333333333334</v>
      </c>
      <c r="W41" s="11">
        <f t="shared" ca="1" si="14"/>
        <v>1</v>
      </c>
      <c r="X41" s="11">
        <f t="shared" ca="1" si="1"/>
        <v>0</v>
      </c>
      <c r="Y41" s="11"/>
      <c r="Z41" s="11"/>
      <c r="AA41" s="11">
        <v>39</v>
      </c>
      <c r="AB41" s="11" t="str">
        <f ca="1">Idiomas!D250</f>
        <v>Suiza</v>
      </c>
      <c r="AC41" s="11">
        <v>2</v>
      </c>
      <c r="AD41" s="772">
        <f t="shared" si="4"/>
        <v>8.3333333333333329E-2</v>
      </c>
      <c r="AE41" s="11">
        <v>0</v>
      </c>
      <c r="AF41" s="11">
        <f t="shared" ca="1" si="5"/>
        <v>6</v>
      </c>
      <c r="AG41" s="772">
        <f t="shared" ca="1" si="6"/>
        <v>0.25</v>
      </c>
      <c r="AH41" s="11">
        <f t="shared" ca="1" si="7"/>
        <v>1</v>
      </c>
      <c r="AI41" s="11">
        <f t="shared" ca="1" si="8"/>
        <v>44</v>
      </c>
      <c r="AJ41" s="11"/>
    </row>
    <row r="42" spans="1:36">
      <c r="A42" s="11"/>
      <c r="B42" s="11"/>
      <c r="C42" s="767"/>
      <c r="D42" s="11"/>
      <c r="E42" s="767"/>
      <c r="F42" s="11"/>
      <c r="G42" s="11"/>
      <c r="H42" s="11"/>
      <c r="I42" s="11"/>
      <c r="J42" s="11"/>
      <c r="K42" s="11"/>
      <c r="L42" s="11"/>
      <c r="M42" s="11"/>
      <c r="N42" s="11"/>
      <c r="O42" s="11"/>
      <c r="P42" s="11">
        <v>40</v>
      </c>
      <c r="Q42" s="11" t="str">
        <f t="shared" ca="1" si="3"/>
        <v>República Checa</v>
      </c>
      <c r="R42" s="11">
        <f t="shared" ca="1" si="14"/>
        <v>2</v>
      </c>
      <c r="S42" s="772">
        <f t="shared" ca="1" si="14"/>
        <v>8.3333333333333329E-2</v>
      </c>
      <c r="T42" s="11">
        <f t="shared" ca="1" si="14"/>
        <v>0</v>
      </c>
      <c r="U42" s="11">
        <f t="shared" ca="1" si="14"/>
        <v>6</v>
      </c>
      <c r="V42" s="772">
        <f t="shared" ca="1" si="14"/>
        <v>0.25</v>
      </c>
      <c r="W42" s="11">
        <f t="shared" ca="1" si="14"/>
        <v>1</v>
      </c>
      <c r="X42" s="11">
        <f t="shared" ca="1" si="1"/>
        <v>0</v>
      </c>
      <c r="Y42" s="11"/>
      <c r="Z42" s="11"/>
      <c r="AA42" s="11">
        <v>40</v>
      </c>
      <c r="AB42" s="11" t="str">
        <f ca="1">Idiomas!D251</f>
        <v>Túnez</v>
      </c>
      <c r="AC42" s="11">
        <v>1</v>
      </c>
      <c r="AD42" s="772">
        <f t="shared" si="4"/>
        <v>4.1666666666666664E-2</v>
      </c>
      <c r="AE42" s="11">
        <v>0</v>
      </c>
      <c r="AF42" s="11">
        <f t="shared" ca="1" si="5"/>
        <v>5</v>
      </c>
      <c r="AG42" s="772">
        <f t="shared" ca="1" si="6"/>
        <v>0.20833333333333334</v>
      </c>
      <c r="AH42" s="11">
        <f t="shared" ca="1" si="7"/>
        <v>1</v>
      </c>
      <c r="AI42" s="11">
        <f t="shared" ca="1" si="8"/>
        <v>45</v>
      </c>
      <c r="AJ42" s="11"/>
    </row>
    <row r="43" spans="1:36">
      <c r="A43" s="8" t="s">
        <v>8</v>
      </c>
      <c r="B43" s="11"/>
      <c r="C43" s="767"/>
      <c r="D43" s="11"/>
      <c r="E43" s="767"/>
      <c r="F43" s="11"/>
      <c r="G43" s="11"/>
      <c r="H43" s="11"/>
      <c r="I43" s="11"/>
      <c r="J43" s="11"/>
      <c r="K43" s="11"/>
      <c r="L43" s="11"/>
      <c r="M43" s="11"/>
      <c r="N43" s="11"/>
      <c r="O43" s="11"/>
      <c r="P43" s="11">
        <v>41</v>
      </c>
      <c r="Q43" s="11" t="str">
        <f t="shared" ca="1" si="3"/>
        <v>Senegal</v>
      </c>
      <c r="R43" s="11">
        <f t="shared" ref="R43:W58" ca="1" si="16">+INDEX($AC$3:$AH$86,MATCH($Q43,$AB$3:$AB$86,0),MATCH(R$2,$AC$2:$AH$2,0))</f>
        <v>0</v>
      </c>
      <c r="S43" s="772">
        <f t="shared" ca="1" si="16"/>
        <v>0</v>
      </c>
      <c r="T43" s="11">
        <f t="shared" ca="1" si="16"/>
        <v>0</v>
      </c>
      <c r="U43" s="11">
        <f t="shared" ca="1" si="16"/>
        <v>4</v>
      </c>
      <c r="V43" s="772">
        <f t="shared" ca="1" si="14"/>
        <v>0.16666666666666666</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46187.666666666664</v>
      </c>
      <c r="D44" s="767"/>
      <c r="E44" s="767"/>
      <c r="F44" s="11"/>
      <c r="G44" s="11"/>
      <c r="H44" s="11"/>
      <c r="I44" s="11"/>
      <c r="J44" s="11"/>
      <c r="K44" s="11"/>
      <c r="L44" s="11"/>
      <c r="M44" s="11"/>
      <c r="N44" s="11"/>
      <c r="O44" s="11"/>
      <c r="P44" s="11">
        <v>42</v>
      </c>
      <c r="Q44" s="11" t="str">
        <f t="shared" ca="1" si="3"/>
        <v>Sudáfrica</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Uzbekistán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46187.916666666664</v>
      </c>
      <c r="D45" s="767"/>
      <c r="E45" s="767"/>
      <c r="F45" s="11"/>
      <c r="G45" s="11"/>
      <c r="H45" s="11"/>
      <c r="I45" s="11"/>
      <c r="J45" s="11"/>
      <c r="K45" s="11"/>
      <c r="L45" s="11"/>
      <c r="M45" s="11"/>
      <c r="N45" s="11"/>
      <c r="O45" s="11"/>
      <c r="P45" s="11">
        <v>43</v>
      </c>
      <c r="Q45" s="11" t="str">
        <f t="shared" ca="1" si="3"/>
        <v>Suecia</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RD Congo</v>
      </c>
      <c r="AC45" s="11">
        <v>1</v>
      </c>
      <c r="AD45" s="772">
        <f t="shared" si="4"/>
        <v>4.1666666666666664E-2</v>
      </c>
      <c r="AE45" s="11">
        <v>0</v>
      </c>
      <c r="AF45" s="11">
        <f t="shared" ca="1" si="5"/>
        <v>5</v>
      </c>
      <c r="AG45" s="772">
        <f t="shared" ca="1" si="6"/>
        <v>0.20833333333333334</v>
      </c>
      <c r="AH45" s="11">
        <f t="shared" ca="1" si="7"/>
        <v>1</v>
      </c>
      <c r="AI45" s="11">
        <f t="shared" ca="1" si="8"/>
        <v>39</v>
      </c>
      <c r="AJ45" s="11"/>
    </row>
    <row r="46" spans="1:36">
      <c r="A46" s="767">
        <v>46193.541666666664</v>
      </c>
      <c r="B46" s="11"/>
      <c r="C46" s="767">
        <f t="shared" ca="1" si="17"/>
        <v>46193.541666666664</v>
      </c>
      <c r="D46" s="767"/>
      <c r="E46" s="767"/>
      <c r="F46" s="11"/>
      <c r="G46" s="11"/>
      <c r="H46" s="11"/>
      <c r="I46" s="11"/>
      <c r="J46" s="11"/>
      <c r="K46" s="11"/>
      <c r="L46" s="11"/>
      <c r="M46" s="11"/>
      <c r="N46" s="11"/>
      <c r="O46" s="11"/>
      <c r="P46" s="11">
        <v>44</v>
      </c>
      <c r="Q46" s="11" t="str">
        <f t="shared" ca="1" si="3"/>
        <v>Suiza</v>
      </c>
      <c r="R46" s="11">
        <f t="shared" ca="1" si="16"/>
        <v>2</v>
      </c>
      <c r="S46" s="772">
        <f t="shared" ca="1" si="16"/>
        <v>8.3333333333333329E-2</v>
      </c>
      <c r="T46" s="11">
        <f t="shared" ca="1" si="16"/>
        <v>0</v>
      </c>
      <c r="U46" s="11">
        <f t="shared" ca="1" si="16"/>
        <v>6</v>
      </c>
      <c r="V46" s="772">
        <f t="shared" ca="1" si="14"/>
        <v>0.25</v>
      </c>
      <c r="W46" s="11">
        <f t="shared" ca="1" si="16"/>
        <v>1</v>
      </c>
      <c r="X46" s="11">
        <f t="shared" ca="1" si="1"/>
        <v>0</v>
      </c>
      <c r="Y46" s="11"/>
      <c r="Z46" s="11"/>
      <c r="AA46" s="11">
        <v>44</v>
      </c>
      <c r="AB46" s="11" t="str">
        <f ca="1">Idiomas!D255</f>
        <v>Irak</v>
      </c>
      <c r="AC46" s="11">
        <v>3</v>
      </c>
      <c r="AD46" s="772">
        <f t="shared" si="4"/>
        <v>0.125</v>
      </c>
      <c r="AE46" s="11">
        <v>0</v>
      </c>
      <c r="AF46" s="11">
        <f t="shared" ca="1" si="5"/>
        <v>7</v>
      </c>
      <c r="AG46" s="772">
        <f t="shared" ca="1" si="6"/>
        <v>0.29166666666666669</v>
      </c>
      <c r="AH46" s="11">
        <f t="shared" ca="1" si="7"/>
        <v>1</v>
      </c>
      <c r="AI46" s="11">
        <f t="shared" ca="1" si="8"/>
        <v>27</v>
      </c>
      <c r="AJ46" s="11"/>
    </row>
    <row r="47" spans="1:36">
      <c r="A47" s="767">
        <v>46194</v>
      </c>
      <c r="B47" s="11"/>
      <c r="C47" s="767">
        <f t="shared" ca="1" si="17"/>
        <v>46194</v>
      </c>
      <c r="D47" s="767"/>
      <c r="E47" s="767"/>
      <c r="F47" s="11"/>
      <c r="G47" s="11"/>
      <c r="H47" s="11"/>
      <c r="I47" s="11"/>
      <c r="J47" s="11"/>
      <c r="K47" s="11"/>
      <c r="L47" s="11"/>
      <c r="M47" s="11"/>
      <c r="N47" s="11"/>
      <c r="O47" s="11"/>
      <c r="P47" s="11">
        <v>45</v>
      </c>
      <c r="Q47" s="11" t="str">
        <f t="shared" ca="1" si="3"/>
        <v>Túnez</v>
      </c>
      <c r="R47" s="11">
        <f t="shared" ca="1" si="16"/>
        <v>1</v>
      </c>
      <c r="S47" s="772">
        <f t="shared" ca="1" si="16"/>
        <v>4.1666666666666664E-2</v>
      </c>
      <c r="T47" s="11">
        <f t="shared" ca="1" si="16"/>
        <v>0</v>
      </c>
      <c r="U47" s="11">
        <f t="shared" ca="1" si="16"/>
        <v>5</v>
      </c>
      <c r="V47" s="772">
        <f t="shared" ca="1" si="14"/>
        <v>0.20833333333333334</v>
      </c>
      <c r="W47" s="11">
        <f t="shared" ca="1" si="16"/>
        <v>1</v>
      </c>
      <c r="X47" s="11">
        <f t="shared" ca="1" si="1"/>
        <v>0</v>
      </c>
      <c r="Y47" s="11"/>
      <c r="Z47" s="11"/>
      <c r="AA47" s="11">
        <v>45</v>
      </c>
      <c r="AB47" s="11" t="str">
        <f ca="1">Idiomas!D256</f>
        <v>Bosnia y Herzegovina</v>
      </c>
      <c r="AC47" s="11">
        <v>2</v>
      </c>
      <c r="AD47" s="772">
        <f t="shared" si="4"/>
        <v>8.3333333333333329E-2</v>
      </c>
      <c r="AE47" s="11">
        <v>0</v>
      </c>
      <c r="AF47" s="11">
        <f t="shared" ca="1" si="5"/>
        <v>6</v>
      </c>
      <c r="AG47" s="772">
        <f t="shared" ca="1" si="6"/>
        <v>0.25</v>
      </c>
      <c r="AH47" s="11">
        <f t="shared" ca="1" si="7"/>
        <v>1</v>
      </c>
      <c r="AI47" s="11">
        <f t="shared" ca="1" si="8"/>
        <v>8</v>
      </c>
      <c r="AJ47" s="11"/>
    </row>
    <row r="48" spans="1:36">
      <c r="A48" s="767">
        <v>46198.791666666664</v>
      </c>
      <c r="B48" s="11"/>
      <c r="C48" s="767">
        <f t="shared" ca="1" si="17"/>
        <v>46198.791666666664</v>
      </c>
      <c r="D48" s="767"/>
      <c r="E48" s="767"/>
      <c r="F48" s="11"/>
      <c r="G48" s="11"/>
      <c r="H48" s="11"/>
      <c r="I48" s="11"/>
      <c r="J48" s="11"/>
      <c r="K48" s="11"/>
      <c r="L48" s="11"/>
      <c r="M48" s="11"/>
      <c r="N48" s="11"/>
      <c r="O48" s="11"/>
      <c r="P48" s="11">
        <v>46</v>
      </c>
      <c r="Q48" s="11" t="str">
        <f t="shared" ca="1" si="3"/>
        <v>Turquía</v>
      </c>
      <c r="R48" s="11">
        <f t="shared" ca="1" si="16"/>
        <v>3</v>
      </c>
      <c r="S48" s="772">
        <f t="shared" ca="1" si="16"/>
        <v>0.125</v>
      </c>
      <c r="T48" s="11">
        <f t="shared" ca="1" si="16"/>
        <v>0</v>
      </c>
      <c r="U48" s="11">
        <f t="shared" ca="1" si="16"/>
        <v>7</v>
      </c>
      <c r="V48" s="772">
        <f t="shared" ca="1" si="14"/>
        <v>0.29166666666666669</v>
      </c>
      <c r="W48" s="11">
        <f t="shared" ca="1" si="16"/>
        <v>1</v>
      </c>
      <c r="X48" s="11">
        <f t="shared" ca="1" si="1"/>
        <v>0</v>
      </c>
      <c r="Y48" s="11"/>
      <c r="Z48" s="11"/>
      <c r="AA48" s="11">
        <v>46</v>
      </c>
      <c r="AB48" s="11" t="str">
        <f ca="1">Idiomas!D257</f>
        <v>Suecia</v>
      </c>
      <c r="AC48" s="11">
        <v>2</v>
      </c>
      <c r="AD48" s="772">
        <f t="shared" si="4"/>
        <v>8.3333333333333329E-2</v>
      </c>
      <c r="AE48" s="11">
        <v>0</v>
      </c>
      <c r="AF48" s="11">
        <f t="shared" ca="1" si="5"/>
        <v>6</v>
      </c>
      <c r="AG48" s="772">
        <f t="shared" ca="1" si="6"/>
        <v>0.25</v>
      </c>
      <c r="AH48" s="11">
        <f t="shared" ca="1" si="7"/>
        <v>1</v>
      </c>
      <c r="AI48" s="11">
        <f t="shared" ca="1" si="8"/>
        <v>43</v>
      </c>
      <c r="AJ48" s="11"/>
    </row>
    <row r="49" spans="1:36">
      <c r="A49" s="767">
        <v>46198.791666666664</v>
      </c>
      <c r="B49" s="11"/>
      <c r="C49" s="767">
        <f t="shared" ca="1" si="17"/>
        <v>46198.791666666664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Turquía</v>
      </c>
      <c r="AC49" s="11">
        <v>3</v>
      </c>
      <c r="AD49" s="772">
        <f t="shared" si="4"/>
        <v>0.125</v>
      </c>
      <c r="AE49" s="11">
        <v>0</v>
      </c>
      <c r="AF49" s="11">
        <f t="shared" ca="1" si="5"/>
        <v>7</v>
      </c>
      <c r="AG49" s="772">
        <f t="shared" ca="1" si="6"/>
        <v>0.29166666666666669</v>
      </c>
      <c r="AH49" s="11">
        <f t="shared" ca="1" si="7"/>
        <v>1</v>
      </c>
      <c r="AI49" s="11">
        <f t="shared" ca="1" si="8"/>
        <v>46</v>
      </c>
      <c r="AJ49" s="11"/>
    </row>
    <row r="50" spans="1:36">
      <c r="A50" s="11"/>
      <c r="B50" s="11"/>
      <c r="C50" s="767"/>
      <c r="D50" s="11"/>
      <c r="E50" s="767"/>
      <c r="F50" s="11"/>
      <c r="G50" s="11"/>
      <c r="H50" s="11"/>
      <c r="I50" s="11"/>
      <c r="J50" s="11"/>
      <c r="K50" s="11"/>
      <c r="L50" s="11"/>
      <c r="M50" s="11"/>
      <c r="N50" s="11"/>
      <c r="O50" s="11"/>
      <c r="P50" s="11">
        <v>48</v>
      </c>
      <c r="Q50" s="11" t="str">
        <f t="shared" ca="1" si="3"/>
        <v>Uzbekistán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República Checa</v>
      </c>
      <c r="AC50" s="11">
        <v>2</v>
      </c>
      <c r="AD50" s="772">
        <f t="shared" si="4"/>
        <v>8.3333333333333329E-2</v>
      </c>
      <c r="AE50" s="11">
        <v>0</v>
      </c>
      <c r="AF50" s="11">
        <f t="shared" ca="1" si="5"/>
        <v>6</v>
      </c>
      <c r="AG50" s="772">
        <f t="shared" ca="1" si="6"/>
        <v>0.25</v>
      </c>
      <c r="AH50" s="11">
        <f t="shared" ca="1" si="7"/>
        <v>1</v>
      </c>
      <c r="AI50" s="11">
        <f t="shared" ca="1" si="8"/>
        <v>40</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46188.625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46188.875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46194.625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46194.875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46199.958333333336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46199.958333333336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46188.75</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46194.75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46199.833333333336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46199.833333333336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46189.625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46189.75</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46195.708333333336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46195.833333333336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46199.625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46199.625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46189.875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46195.541666666664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46195.958333333336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46200.916666666664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46200.916666666664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46190.541666666664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46190.916666666664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46196.541666666664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46196.916666666664</v>
      </c>
    </row>
    <row r="88" spans="1:36">
      <c r="A88" s="710">
        <v>46200.8125</v>
      </c>
      <c r="C88" s="710">
        <f t="shared" ca="1" si="34"/>
        <v>46200.8125</v>
      </c>
    </row>
    <row r="89" spans="1:36">
      <c r="A89" s="710">
        <v>46200.8125</v>
      </c>
      <c r="C89" s="710">
        <f t="shared" ca="1" si="34"/>
        <v>46200.8125</v>
      </c>
    </row>
    <row r="90" spans="1:36">
      <c r="C90" s="710"/>
    </row>
    <row r="91" spans="1:36">
      <c r="A91" s="5" t="s">
        <v>489</v>
      </c>
      <c r="C91" s="710"/>
    </row>
    <row r="92" spans="1:36">
      <c r="A92" s="710">
        <v>46190.666666666664</v>
      </c>
      <c r="C92" s="710">
        <f t="shared" ref="C92:C97" ca="1" si="35">A92+INDEX($V$3:$V$86,MATCH($C$3,$P$3:$P$86,0))*INDEX($W$3:$W$86,MATCH($C$3,$P$3:$P$86,0))</f>
        <v>46190.666666666664</v>
      </c>
    </row>
    <row r="93" spans="1:36">
      <c r="A93" s="710">
        <v>46190.791666666664</v>
      </c>
      <c r="C93" s="710">
        <f t="shared" ca="1" si="35"/>
        <v>46190.791666666664</v>
      </c>
    </row>
    <row r="94" spans="1:36">
      <c r="A94" s="710">
        <v>46196.666666666664</v>
      </c>
      <c r="C94" s="710">
        <f t="shared" ca="1" si="35"/>
        <v>46196.666666666664</v>
      </c>
    </row>
    <row r="95" spans="1:36">
      <c r="A95" s="710">
        <v>46196.791666666664</v>
      </c>
      <c r="C95" s="710">
        <f t="shared" ca="1" si="35"/>
        <v>46196.791666666664</v>
      </c>
    </row>
    <row r="96" spans="1:36">
      <c r="A96" s="710">
        <v>46200.708333333336</v>
      </c>
      <c r="C96" s="710">
        <f t="shared" ca="1" si="35"/>
        <v>46200.708333333336</v>
      </c>
    </row>
    <row r="97" spans="1:3">
      <c r="A97" s="710">
        <v>46200.708333333336</v>
      </c>
      <c r="C97" s="710">
        <f t="shared" ca="1" si="35"/>
        <v>46200.708333333336</v>
      </c>
    </row>
    <row r="100" spans="1:3">
      <c r="A100" s="714" t="s">
        <v>490</v>
      </c>
      <c r="C100" s="710"/>
    </row>
    <row r="101" spans="1:3">
      <c r="A101" s="710">
        <v>46201.625</v>
      </c>
      <c r="C101" s="710">
        <f t="shared" ref="C101:C116" ca="1" si="36">A101+INDEX($V$3:$V$86,MATCH($C$3,$P$3:$P$86,0))*INDEX($W$3:$W$86,MATCH($C$3,$P$3:$P$86,0))</f>
        <v>46201.625</v>
      </c>
    </row>
    <row r="102" spans="1:3">
      <c r="A102" s="710">
        <v>46202.541666666664</v>
      </c>
      <c r="C102" s="710">
        <f t="shared" ca="1" si="36"/>
        <v>46202.541666666664</v>
      </c>
    </row>
    <row r="103" spans="1:3">
      <c r="A103" s="710">
        <v>46202.6875</v>
      </c>
      <c r="C103" s="710">
        <f t="shared" ca="1" si="36"/>
        <v>46202.6875</v>
      </c>
    </row>
    <row r="104" spans="1:3">
      <c r="A104" s="710">
        <v>46202.875</v>
      </c>
      <c r="C104" s="710">
        <f t="shared" ca="1" si="36"/>
        <v>46202.875</v>
      </c>
    </row>
    <row r="105" spans="1:3">
      <c r="A105" s="710">
        <v>46203.541666666664</v>
      </c>
      <c r="C105" s="710">
        <f t="shared" ca="1" si="36"/>
        <v>46203.541666666664</v>
      </c>
    </row>
    <row r="106" spans="1:3">
      <c r="A106" s="710">
        <v>46203.708333333336</v>
      </c>
      <c r="C106" s="710">
        <f t="shared" ca="1" si="36"/>
        <v>46203.708333333336</v>
      </c>
    </row>
    <row r="107" spans="1:3">
      <c r="A107" s="710">
        <v>46203.875</v>
      </c>
      <c r="C107" s="710">
        <f t="shared" ca="1" si="36"/>
        <v>46203.875</v>
      </c>
    </row>
    <row r="108" spans="1:3">
      <c r="A108" s="710">
        <v>46204.5</v>
      </c>
      <c r="C108" s="710">
        <f t="shared" ca="1" si="36"/>
        <v>46204.5</v>
      </c>
    </row>
    <row r="109" spans="1:3">
      <c r="A109" s="710">
        <v>46204.666666666664</v>
      </c>
      <c r="C109" s="710">
        <f t="shared" ca="1" si="36"/>
        <v>46204.666666666664</v>
      </c>
    </row>
    <row r="110" spans="1:3">
      <c r="A110" s="710">
        <v>46204.833333333336</v>
      </c>
      <c r="C110" s="710">
        <f t="shared" ca="1" si="36"/>
        <v>46204.833333333336</v>
      </c>
    </row>
    <row r="111" spans="1:3">
      <c r="A111" s="710">
        <v>46205.625</v>
      </c>
      <c r="C111" s="710">
        <f t="shared" ca="1" si="36"/>
        <v>46205.625</v>
      </c>
    </row>
    <row r="112" spans="1:3">
      <c r="A112" s="710">
        <v>46205.791666666664</v>
      </c>
      <c r="C112" s="710">
        <f t="shared" ca="1" si="36"/>
        <v>46205.791666666664</v>
      </c>
    </row>
    <row r="113" spans="1:3">
      <c r="A113" s="710">
        <v>46205.958333333336</v>
      </c>
      <c r="C113" s="710">
        <f t="shared" ca="1" si="36"/>
        <v>46205.958333333336</v>
      </c>
    </row>
    <row r="114" spans="1:3">
      <c r="A114" s="710">
        <v>46206.583333333336</v>
      </c>
      <c r="C114" s="710">
        <f t="shared" ca="1" si="36"/>
        <v>46206.583333333336</v>
      </c>
    </row>
    <row r="115" spans="1:3">
      <c r="A115" s="710">
        <v>46206.75</v>
      </c>
      <c r="C115" s="710">
        <f t="shared" ca="1" si="36"/>
        <v>46206.75</v>
      </c>
    </row>
    <row r="116" spans="1:3">
      <c r="A116" s="710">
        <v>46206.895833333336</v>
      </c>
      <c r="C116" s="710">
        <f t="shared" ca="1" si="36"/>
        <v>46206.895833333336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46207.541666666664</v>
      </c>
    </row>
    <row r="121" spans="1:3">
      <c r="A121" s="710">
        <v>46207.708333333336</v>
      </c>
      <c r="C121" s="710">
        <f t="shared" ca="1" si="37"/>
        <v>46207.708333333336</v>
      </c>
    </row>
    <row r="122" spans="1:3">
      <c r="A122" s="710">
        <v>46208.666666666664</v>
      </c>
      <c r="C122" s="710">
        <f t="shared" ca="1" si="37"/>
        <v>46208.666666666664</v>
      </c>
    </row>
    <row r="123" spans="1:3">
      <c r="A123" s="710">
        <v>46208.833333333336</v>
      </c>
      <c r="C123" s="710">
        <f t="shared" ca="1" si="37"/>
        <v>46208.833333333336</v>
      </c>
    </row>
    <row r="124" spans="1:3">
      <c r="A124" s="710">
        <v>46209.625</v>
      </c>
      <c r="C124" s="710">
        <f t="shared" ca="1" si="37"/>
        <v>46209.625</v>
      </c>
    </row>
    <row r="125" spans="1:3">
      <c r="A125" s="710">
        <v>46209.833333333336</v>
      </c>
      <c r="C125" s="710">
        <f t="shared" ca="1" si="37"/>
        <v>46209.833333333336</v>
      </c>
    </row>
    <row r="126" spans="1:3">
      <c r="A126" s="710">
        <v>46210.5</v>
      </c>
      <c r="C126" s="710">
        <f t="shared" ca="1" si="37"/>
        <v>46210.5</v>
      </c>
    </row>
    <row r="127" spans="1:3">
      <c r="A127" s="710">
        <v>46210.666666666664</v>
      </c>
      <c r="C127" s="710">
        <f t="shared" ca="1" si="37"/>
        <v>46210.666666666664</v>
      </c>
    </row>
    <row r="130" spans="1:3">
      <c r="A130" s="714" t="s">
        <v>95</v>
      </c>
      <c r="C130" s="710"/>
    </row>
    <row r="131" spans="1:3">
      <c r="A131" s="710">
        <v>46212.666666666664</v>
      </c>
      <c r="C131" s="710">
        <f ca="1">A131+INDEX($V$3:$V$86,MATCH($C$3,$P$3:$P$86,0))*INDEX($W$3:$W$86,MATCH($C$3,$P$3:$P$86,0))</f>
        <v>46212.666666666664</v>
      </c>
    </row>
    <row r="132" spans="1:3">
      <c r="A132" s="710">
        <v>46213.625</v>
      </c>
      <c r="C132" s="710">
        <f ca="1">A132+INDEX($V$3:$V$86,MATCH($C$3,$P$3:$P$86,0))*INDEX($W$3:$W$86,MATCH($C$3,$P$3:$P$86,0))</f>
        <v>46213.625</v>
      </c>
    </row>
    <row r="133" spans="1:3">
      <c r="A133" s="710">
        <v>46214.708333333336</v>
      </c>
      <c r="C133" s="710">
        <f ca="1">A133+INDEX($V$3:$V$86,MATCH($C$3,$P$3:$P$86,0))*INDEX($W$3:$W$86,MATCH($C$3,$P$3:$P$86,0))</f>
        <v>46214.708333333336</v>
      </c>
    </row>
    <row r="134" spans="1:3">
      <c r="A134" s="710">
        <v>46214.875</v>
      </c>
      <c r="C134" s="710">
        <f ca="1">A134+INDEX($V$3:$V$86,MATCH($C$3,$P$3:$P$86,0))*INDEX($W$3:$W$86,MATCH($C$3,$P$3:$P$86,0))</f>
        <v>46214.875</v>
      </c>
    </row>
    <row r="135" spans="1:3">
      <c r="C135" s="710"/>
    </row>
    <row r="137" spans="1:3">
      <c r="A137" s="715" t="s">
        <v>41</v>
      </c>
      <c r="C137" s="710"/>
    </row>
    <row r="138" spans="1:3">
      <c r="A138" s="710">
        <v>46217.625</v>
      </c>
      <c r="C138" s="710">
        <f ca="1">A138+INDEX($V$3:$V$86,MATCH($C$3,$P$3:$P$86,0))*INDEX($W$3:$W$86,MATCH($C$3,$P$3:$P$86,0))</f>
        <v>46217.625</v>
      </c>
    </row>
    <row r="139" spans="1:3">
      <c r="A139" s="710">
        <v>46218.625</v>
      </c>
      <c r="C139" s="710">
        <f ca="1">A139+INDEX($V$3:$V$86,MATCH($C$3,$P$3:$P$86,0))*INDEX($W$3:$W$86,MATCH($C$3,$P$3:$P$86,0))</f>
        <v>46218.625</v>
      </c>
    </row>
    <row r="140" spans="1:3">
      <c r="C140" s="710"/>
    </row>
    <row r="142" spans="1:3">
      <c r="A142" s="716" t="s">
        <v>493</v>
      </c>
    </row>
    <row r="143" spans="1:3">
      <c r="A143" s="710">
        <v>46221.708333333336</v>
      </c>
      <c r="C143" s="710">
        <f ca="1">A143+INDEX($V$3:$V$86,MATCH($C$3,$P$3:$P$86,0))*INDEX($W$3:$W$86,MATCH($C$3,$P$3:$P$86,0))</f>
        <v>46221.708333333336</v>
      </c>
    </row>
    <row r="146" spans="1:3">
      <c r="A146" s="717" t="s">
        <v>4</v>
      </c>
      <c r="C146" s="710"/>
    </row>
    <row r="147" spans="1:3">
      <c r="A147" s="710">
        <v>46222.625</v>
      </c>
      <c r="C147" s="710">
        <f ca="1">A147+INDEX($V$3:$V$86,MATCH($C$3,$P$3:$P$86,0))*INDEX($W$3:$W$86,MATCH($C$3,$P$3:$P$86,0))</f>
        <v>46222.625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Costa de Marfil</v>
      </c>
      <c r="D2" s="11" t="str">
        <f ca="1">+WORLDCUP!BD67</f>
        <v>Austria</v>
      </c>
      <c r="E2" s="11" t="str">
        <f ca="1">+WORLDCUP!BD66</f>
        <v>Irak</v>
      </c>
      <c r="F2" s="11" t="str">
        <f ca="1">+WORLDCUP!BD63</f>
        <v>Suecia</v>
      </c>
      <c r="G2" s="11" t="str">
        <f ca="1">+WORLDCUP!BD65</f>
        <v>Arabia Saudita</v>
      </c>
      <c r="H2" s="11" t="str">
        <f ca="1">+WORLDCUP!BD64</f>
        <v>Irán</v>
      </c>
      <c r="I2" s="11" t="str">
        <f ca="1">+WORLDCUP!BD69</f>
        <v>Ghana</v>
      </c>
      <c r="J2" s="11" t="str">
        <f ca="1">+WORLDCUP!BD68</f>
        <v>Uzbekistán</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Arabia Saudita</v>
      </c>
      <c r="D3" s="11" t="str">
        <f ca="1">+WORLDCUP!BD64</f>
        <v>Irán</v>
      </c>
      <c r="E3" s="11" t="str">
        <f ca="1">+WORLDCUP!BD66</f>
        <v>Irak</v>
      </c>
      <c r="F3" s="11" t="str">
        <f ca="1">+WORLDCUP!BD61</f>
        <v>Australia</v>
      </c>
      <c r="G3" s="11" t="str">
        <f ca="1">+WORLDCUP!BD67</f>
        <v>Austria</v>
      </c>
      <c r="H3" s="11" t="str">
        <f ca="1">+WORLDCUP!BD63</f>
        <v>Suecia</v>
      </c>
      <c r="I3" s="11" t="str">
        <f ca="1">+WORLDCUP!BD69</f>
        <v>Ghana</v>
      </c>
      <c r="J3" s="11" t="str">
        <f ca="1">+WORLDCUP!BD68</f>
        <v>Uzbekistán</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Costa de Marfil</v>
      </c>
      <c r="D4" s="11" t="str">
        <f ca="1">+WORLDCUP!BD67</f>
        <v>Austria</v>
      </c>
      <c r="E4" s="11" t="str">
        <f ca="1">+WORLDCUP!BD66</f>
        <v>Irak</v>
      </c>
      <c r="F4" s="11" t="str">
        <f ca="1">+WORLDCUP!BD61</f>
        <v>Australia</v>
      </c>
      <c r="G4" s="11" t="str">
        <f ca="1">+WORLDCUP!BD65</f>
        <v>Arabia Saudita</v>
      </c>
      <c r="H4" s="11" t="str">
        <f ca="1">+WORLDCUP!BD64</f>
        <v>Irán</v>
      </c>
      <c r="I4" s="11" t="str">
        <f ca="1">+WORLDCUP!BD69</f>
        <v>Ghana</v>
      </c>
      <c r="J4" s="11" t="str">
        <f ca="1">+WORLDCUP!BD68</f>
        <v>Uzbekistán</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Costa de Marfil</v>
      </c>
      <c r="D5" s="11" t="str">
        <f ca="1">+WORLDCUP!BD67</f>
        <v>Austria</v>
      </c>
      <c r="E5" s="11" t="str">
        <f ca="1">+WORLDCUP!BD66</f>
        <v>Irak</v>
      </c>
      <c r="F5" s="11" t="str">
        <f ca="1">+WORLDCUP!BD61</f>
        <v>Australia</v>
      </c>
      <c r="G5" s="11" t="str">
        <f ca="1">+WORLDCUP!BD65</f>
        <v>Arabia Saudita</v>
      </c>
      <c r="H5" s="11" t="str">
        <f ca="1">+WORLDCUP!BD63</f>
        <v>Suecia</v>
      </c>
      <c r="I5" s="11" t="str">
        <f ca="1">+WORLDCUP!BD69</f>
        <v>Ghana</v>
      </c>
      <c r="J5" s="11" t="str">
        <f ca="1">+WORLDCUP!BD68</f>
        <v>Uzbekistán</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Costa de Marfil</v>
      </c>
      <c r="D6" s="11" t="str">
        <f ca="1">+WORLDCUP!BD64</f>
        <v>Irán</v>
      </c>
      <c r="E6" s="11" t="str">
        <f ca="1">+WORLDCUP!BD66</f>
        <v>Irak</v>
      </c>
      <c r="F6" s="11" t="str">
        <f ca="1">+WORLDCUP!BD61</f>
        <v>Australia</v>
      </c>
      <c r="G6" s="11" t="str">
        <f ca="1">+WORLDCUP!BD67</f>
        <v>Austria</v>
      </c>
      <c r="H6" s="11" t="str">
        <f ca="1">+WORLDCUP!BD63</f>
        <v>Suecia</v>
      </c>
      <c r="I6" s="11" t="str">
        <f ca="1">+WORLDCUP!BD69</f>
        <v>Ghana</v>
      </c>
      <c r="J6" s="11" t="str">
        <f ca="1">+WORLDCUP!BD68</f>
        <v>Uzbekistán</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Costa de Marfil</v>
      </c>
      <c r="D7" s="11" t="str">
        <f ca="1">+WORLDCUP!BD64</f>
        <v>Irán</v>
      </c>
      <c r="E7" s="11" t="str">
        <f ca="1">+WORLDCUP!BD67</f>
        <v>Austria</v>
      </c>
      <c r="F7" s="11" t="str">
        <f ca="1">+WORLDCUP!BD61</f>
        <v>Australia</v>
      </c>
      <c r="G7" s="11" t="str">
        <f ca="1">+WORLDCUP!BD65</f>
        <v>Arabia Saudita</v>
      </c>
      <c r="H7" s="11" t="str">
        <f ca="1">+WORLDCUP!BD63</f>
        <v>Suecia</v>
      </c>
      <c r="I7" s="11" t="str">
        <f ca="1">+WORLDCUP!BD69</f>
        <v>Ghana</v>
      </c>
      <c r="J7" s="11" t="str">
        <f ca="1">+WORLDCUP!BD68</f>
        <v>Uzbekistán</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Costa de Marfil</v>
      </c>
      <c r="D8" s="11" t="str">
        <f ca="1">+WORLDCUP!BD64</f>
        <v>Irán</v>
      </c>
      <c r="E8" s="11" t="str">
        <f ca="1">+WORLDCUP!BD66</f>
        <v>Irak</v>
      </c>
      <c r="F8" s="11" t="str">
        <f ca="1">+WORLDCUP!BD61</f>
        <v>Australia</v>
      </c>
      <c r="G8" s="11" t="str">
        <f ca="1">+WORLDCUP!BD65</f>
        <v>Arabia Saudita</v>
      </c>
      <c r="H8" s="11" t="str">
        <f ca="1">+WORLDCUP!BD63</f>
        <v>Suecia</v>
      </c>
      <c r="I8" s="11" t="str">
        <f ca="1">+WORLDCUP!BD69</f>
        <v>Ghana</v>
      </c>
      <c r="J8" s="11" t="str">
        <f ca="1">+WORLDCUP!BD68</f>
        <v>Uzbekistán</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Costa de Marfil</v>
      </c>
      <c r="D9" s="11" t="str">
        <f ca="1">+WORLDCUP!BD64</f>
        <v>Irán</v>
      </c>
      <c r="E9" s="11" t="str">
        <f ca="1">+WORLDCUP!BD67</f>
        <v>Austria</v>
      </c>
      <c r="F9" s="11" t="str">
        <f ca="1">+WORLDCUP!BD61</f>
        <v>Australia</v>
      </c>
      <c r="G9" s="11" t="str">
        <f ca="1">+WORLDCUP!BD65</f>
        <v>Arabia Saudita</v>
      </c>
      <c r="H9" s="11" t="str">
        <f ca="1">+WORLDCUP!BD63</f>
        <v>Suecia</v>
      </c>
      <c r="I9" s="11" t="str">
        <f ca="1">+WORLDCUP!BD69</f>
        <v>Ghana</v>
      </c>
      <c r="J9" s="11" t="str">
        <f ca="1">+WORLDCUP!BD66</f>
        <v>Irak</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Costa de Marfil</v>
      </c>
      <c r="D10" s="11" t="str">
        <f ca="1">+WORLDCUP!BD64</f>
        <v>Irán</v>
      </c>
      <c r="E10" s="11" t="str">
        <f ca="1">+WORLDCUP!BD67</f>
        <v>Austria</v>
      </c>
      <c r="F10" s="11" t="str">
        <f ca="1">+WORLDCUP!BD61</f>
        <v>Australia</v>
      </c>
      <c r="G10" s="11" t="str">
        <f ca="1">+WORLDCUP!BD65</f>
        <v>Arabia Saudita</v>
      </c>
      <c r="H10" s="11" t="str">
        <f ca="1">+WORLDCUP!BD63</f>
        <v>Suecia</v>
      </c>
      <c r="I10" s="11" t="str">
        <f ca="1">+WORLDCUP!BD66</f>
        <v>Irak</v>
      </c>
      <c r="J10" s="11" t="str">
        <f ca="1">+WORLDCUP!BD68</f>
        <v>Uzbekistán</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Arabia Saudita</v>
      </c>
      <c r="D11" s="11" t="str">
        <f ca="1">+WORLDCUP!BD64</f>
        <v>Irán</v>
      </c>
      <c r="E11" s="11" t="str">
        <f ca="1">+WORLDCUP!BD66</f>
        <v>Irak</v>
      </c>
      <c r="F11" s="11" t="str">
        <f ca="1">+WORLDCUP!BD60</f>
        <v>Haití</v>
      </c>
      <c r="G11" s="11" t="str">
        <f ca="1">+WORLDCUP!BD67</f>
        <v>Austria</v>
      </c>
      <c r="H11" s="11" t="str">
        <f ca="1">+WORLDCUP!BD63</f>
        <v>Suecia</v>
      </c>
      <c r="I11" s="11" t="str">
        <f ca="1">+WORLDCUP!BD69</f>
        <v>Ghana</v>
      </c>
      <c r="J11" s="11" t="str">
        <f ca="1">+WORLDCUP!BD68</f>
        <v>Uzbekistán</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Costa de Marfil</v>
      </c>
      <c r="D12" s="11" t="str">
        <f ca="1">+WORLDCUP!BD67</f>
        <v>Austria</v>
      </c>
      <c r="E12" s="11" t="str">
        <f ca="1">+WORLDCUP!BD66</f>
        <v>Irak</v>
      </c>
      <c r="F12" s="11" t="str">
        <f ca="1">+WORLDCUP!BD60</f>
        <v>Haití</v>
      </c>
      <c r="G12" s="11" t="str">
        <f ca="1">+WORLDCUP!BD65</f>
        <v>Arabia Saudita</v>
      </c>
      <c r="H12" s="11" t="str">
        <f ca="1">+WORLDCUP!BD64</f>
        <v>Irán</v>
      </c>
      <c r="I12" s="11" t="str">
        <f ca="1">+WORLDCUP!BD69</f>
        <v>Ghana</v>
      </c>
      <c r="J12" s="11" t="str">
        <f ca="1">+WORLDCUP!BD68</f>
        <v>Uzbekistán</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Costa de Marfil</v>
      </c>
      <c r="D13" s="11" t="str">
        <f ca="1">+WORLDCUP!BD67</f>
        <v>Austria</v>
      </c>
      <c r="E13" s="11" t="str">
        <f ca="1">+WORLDCUP!BD66</f>
        <v>Irak</v>
      </c>
      <c r="F13" s="11" t="str">
        <f ca="1">+WORLDCUP!BD60</f>
        <v>Haití</v>
      </c>
      <c r="G13" s="11" t="str">
        <f ca="1">+WORLDCUP!BD65</f>
        <v>Arabia Saudita</v>
      </c>
      <c r="H13" s="11" t="str">
        <f ca="1">+WORLDCUP!BD63</f>
        <v>Suecia</v>
      </c>
      <c r="I13" s="11" t="str">
        <f ca="1">+WORLDCUP!BD69</f>
        <v>Ghana</v>
      </c>
      <c r="J13" s="11" t="str">
        <f ca="1">+WORLDCUP!BD68</f>
        <v>Uzbekistán</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Costa de Marfil</v>
      </c>
      <c r="D14" s="11" t="str">
        <f ca="1">+WORLDCUP!BD64</f>
        <v>Irán</v>
      </c>
      <c r="E14" s="11" t="str">
        <f ca="1">+WORLDCUP!BD66</f>
        <v>Irak</v>
      </c>
      <c r="F14" s="11" t="str">
        <f ca="1">+WORLDCUP!BD60</f>
        <v>Haití</v>
      </c>
      <c r="G14" s="11" t="str">
        <f ca="1">+WORLDCUP!BD67</f>
        <v>Austria</v>
      </c>
      <c r="H14" s="11" t="str">
        <f ca="1">+WORLDCUP!BD63</f>
        <v>Suecia</v>
      </c>
      <c r="I14" s="11" t="str">
        <f ca="1">+WORLDCUP!BD69</f>
        <v>Ghana</v>
      </c>
      <c r="J14" s="11" t="str">
        <f ca="1">+WORLDCUP!BD68</f>
        <v>Uzbekistán</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Costa de Marfil</v>
      </c>
      <c r="D15" s="11" t="str">
        <f ca="1">+WORLDCUP!BD64</f>
        <v>Irán</v>
      </c>
      <c r="E15" s="11" t="str">
        <f ca="1">+WORLDCUP!BD67</f>
        <v>Austria</v>
      </c>
      <c r="F15" s="11" t="str">
        <f ca="1">+WORLDCUP!BD60</f>
        <v>Haití</v>
      </c>
      <c r="G15" s="11" t="str">
        <f ca="1">+WORLDCUP!BD65</f>
        <v>Arabia Saudita</v>
      </c>
      <c r="H15" s="11" t="str">
        <f ca="1">+WORLDCUP!BD63</f>
        <v>Suecia</v>
      </c>
      <c r="I15" s="11" t="str">
        <f ca="1">+WORLDCUP!BD69</f>
        <v>Ghana</v>
      </c>
      <c r="J15" s="11" t="str">
        <f ca="1">+WORLDCUP!BD68</f>
        <v>Uzbekistán</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Costa de Marfil</v>
      </c>
      <c r="D16" s="11" t="str">
        <f ca="1">+WORLDCUP!BD64</f>
        <v>Irán</v>
      </c>
      <c r="E16" s="11" t="str">
        <f ca="1">+WORLDCUP!BD66</f>
        <v>Irak</v>
      </c>
      <c r="F16" s="11" t="str">
        <f ca="1">+WORLDCUP!BD60</f>
        <v>Haití</v>
      </c>
      <c r="G16" s="11" t="str">
        <f ca="1">+WORLDCUP!BD65</f>
        <v>Arabia Saudita</v>
      </c>
      <c r="H16" s="11" t="str">
        <f ca="1">+WORLDCUP!BD63</f>
        <v>Suecia</v>
      </c>
      <c r="I16" s="11" t="str">
        <f ca="1">+WORLDCUP!BD69</f>
        <v>Ghana</v>
      </c>
      <c r="J16" s="11" t="str">
        <f ca="1">+WORLDCUP!BD68</f>
        <v>Uzbekistán</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Costa de Marfil</v>
      </c>
      <c r="D17" s="11" t="str">
        <f ca="1">+WORLDCUP!BD64</f>
        <v>Irán</v>
      </c>
      <c r="E17" s="11" t="str">
        <f ca="1">+WORLDCUP!BD67</f>
        <v>Austria</v>
      </c>
      <c r="F17" s="11" t="str">
        <f ca="1">+WORLDCUP!BD60</f>
        <v>Haití</v>
      </c>
      <c r="G17" s="11" t="str">
        <f ca="1">+WORLDCUP!BD65</f>
        <v>Arabia Saudita</v>
      </c>
      <c r="H17" s="11" t="str">
        <f ca="1">+WORLDCUP!BD63</f>
        <v>Suecia</v>
      </c>
      <c r="I17" s="11" t="str">
        <f ca="1">+WORLDCUP!BD69</f>
        <v>Ghana</v>
      </c>
      <c r="J17" s="11" t="str">
        <f ca="1">+WORLDCUP!BD66</f>
        <v>Irak</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Costa de Marfil</v>
      </c>
      <c r="D18" s="11" t="str">
        <f ca="1">+WORLDCUP!BD64</f>
        <v>Irán</v>
      </c>
      <c r="E18" s="11" t="str">
        <f ca="1">+WORLDCUP!BD67</f>
        <v>Austria</v>
      </c>
      <c r="F18" s="11" t="str">
        <f ca="1">+WORLDCUP!BD60</f>
        <v>Haití</v>
      </c>
      <c r="G18" s="11" t="str">
        <f ca="1">+WORLDCUP!BD65</f>
        <v>Arabia Saudita</v>
      </c>
      <c r="H18" s="11" t="str">
        <f ca="1">+WORLDCUP!BD63</f>
        <v>Suecia</v>
      </c>
      <c r="I18" s="11" t="str">
        <f ca="1">+WORLDCUP!BD66</f>
        <v>Irak</v>
      </c>
      <c r="J18" s="11" t="str">
        <f ca="1">+WORLDCUP!BD68</f>
        <v>Uzbekistán</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Arabia Saudita</v>
      </c>
      <c r="D19" s="11" t="str">
        <f ca="1">+WORLDCUP!BD64</f>
        <v>Irán</v>
      </c>
      <c r="E19" s="11" t="str">
        <f ca="1">+WORLDCUP!BD66</f>
        <v>Irak</v>
      </c>
      <c r="F19" s="11" t="str">
        <f ca="1">+WORLDCUP!BD60</f>
        <v>Haití</v>
      </c>
      <c r="G19" s="11" t="str">
        <f ca="1">+WORLDCUP!BD67</f>
        <v>Austria</v>
      </c>
      <c r="H19" s="11" t="str">
        <f ca="1">+WORLDCUP!BD61</f>
        <v>Australia</v>
      </c>
      <c r="I19" s="11" t="str">
        <f ca="1">+WORLDCUP!BD69</f>
        <v>Ghana</v>
      </c>
      <c r="J19" s="11" t="str">
        <f ca="1">+WORLDCUP!BD68</f>
        <v>Uzbekistán</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Haití</v>
      </c>
      <c r="D20" s="11" t="str">
        <f ca="1">+WORLDCUP!BD67</f>
        <v>Austria</v>
      </c>
      <c r="E20" s="11" t="str">
        <f ca="1">+WORLDCUP!BD66</f>
        <v>Irak</v>
      </c>
      <c r="F20" s="11" t="str">
        <f ca="1">+WORLDCUP!BD61</f>
        <v>Australia</v>
      </c>
      <c r="G20" s="11" t="str">
        <f ca="1">+WORLDCUP!BD65</f>
        <v>Arabia Saudita</v>
      </c>
      <c r="H20" s="11" t="str">
        <f ca="1">+WORLDCUP!BD63</f>
        <v>Suecia</v>
      </c>
      <c r="I20" s="11" t="str">
        <f ca="1">+WORLDCUP!BD69</f>
        <v>Ghana</v>
      </c>
      <c r="J20" s="11" t="str">
        <f ca="1">+WORLDCUP!BD68</f>
        <v>Uzbekistán</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Haití</v>
      </c>
      <c r="D21" s="11" t="str">
        <f ca="1">+WORLDCUP!BD64</f>
        <v>Irán</v>
      </c>
      <c r="E21" s="11" t="str">
        <f ca="1">+WORLDCUP!BD66</f>
        <v>Irak</v>
      </c>
      <c r="F21" s="11" t="str">
        <f ca="1">+WORLDCUP!BD61</f>
        <v>Australia</v>
      </c>
      <c r="G21" s="11" t="str">
        <f ca="1">+WORLDCUP!BD67</f>
        <v>Austria</v>
      </c>
      <c r="H21" s="11" t="str">
        <f ca="1">+WORLDCUP!BD63</f>
        <v>Suecia</v>
      </c>
      <c r="I21" s="11" t="str">
        <f ca="1">+WORLDCUP!BD69</f>
        <v>Ghana</v>
      </c>
      <c r="J21" s="11" t="str">
        <f ca="1">+WORLDCUP!BD68</f>
        <v>Uzbekistán</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Haití</v>
      </c>
      <c r="D22" s="11" t="str">
        <f ca="1">+WORLDCUP!BD64</f>
        <v>Irán</v>
      </c>
      <c r="E22" s="11" t="str">
        <f ca="1">+WORLDCUP!BD67</f>
        <v>Austria</v>
      </c>
      <c r="F22" s="11" t="str">
        <f ca="1">+WORLDCUP!BD61</f>
        <v>Australia</v>
      </c>
      <c r="G22" s="11" t="str">
        <f ca="1">+WORLDCUP!BD65</f>
        <v>Arabia Saudita</v>
      </c>
      <c r="H22" s="11" t="str">
        <f ca="1">+WORLDCUP!BD63</f>
        <v>Suecia</v>
      </c>
      <c r="I22" s="11" t="str">
        <f ca="1">+WORLDCUP!BD69</f>
        <v>Ghana</v>
      </c>
      <c r="J22" s="11" t="str">
        <f ca="1">+WORLDCUP!BD68</f>
        <v>Uzbekistán</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Haití</v>
      </c>
      <c r="D23" s="11" t="str">
        <f ca="1">+WORLDCUP!BD64</f>
        <v>Irán</v>
      </c>
      <c r="E23" s="11" t="str">
        <f ca="1">+WORLDCUP!BD66</f>
        <v>Irak</v>
      </c>
      <c r="F23" s="11" t="str">
        <f ca="1">+WORLDCUP!BD61</f>
        <v>Australia</v>
      </c>
      <c r="G23" s="11" t="str">
        <f ca="1">+WORLDCUP!BD65</f>
        <v>Arabia Saudita</v>
      </c>
      <c r="H23" s="11" t="str">
        <f ca="1">+WORLDCUP!BD63</f>
        <v>Suecia</v>
      </c>
      <c r="I23" s="11" t="str">
        <f ca="1">+WORLDCUP!BD69</f>
        <v>Ghana</v>
      </c>
      <c r="J23" s="11" t="str">
        <f ca="1">+WORLDCUP!BD68</f>
        <v>Uzbekistán</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Haití</v>
      </c>
      <c r="D24" s="11" t="str">
        <f ca="1">+WORLDCUP!BD64</f>
        <v>Irán</v>
      </c>
      <c r="E24" s="11" t="str">
        <f ca="1">+WORLDCUP!BD67</f>
        <v>Austria</v>
      </c>
      <c r="F24" s="11" t="str">
        <f ca="1">+WORLDCUP!BD61</f>
        <v>Australia</v>
      </c>
      <c r="G24" s="11" t="str">
        <f ca="1">+WORLDCUP!BD65</f>
        <v>Arabia Saudita</v>
      </c>
      <c r="H24" s="11" t="str">
        <f ca="1">+WORLDCUP!BD63</f>
        <v>Suecia</v>
      </c>
      <c r="I24" s="11" t="str">
        <f ca="1">+WORLDCUP!BD69</f>
        <v>Ghana</v>
      </c>
      <c r="J24" s="11" t="str">
        <f ca="1">+WORLDCUP!BD66</f>
        <v>Irak</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Haití</v>
      </c>
      <c r="D25" s="11" t="str">
        <f ca="1">+WORLDCUP!BD64</f>
        <v>Irán</v>
      </c>
      <c r="E25" s="11" t="str">
        <f ca="1">+WORLDCUP!BD67</f>
        <v>Austria</v>
      </c>
      <c r="F25" s="11" t="str">
        <f ca="1">+WORLDCUP!BD61</f>
        <v>Australia</v>
      </c>
      <c r="G25" s="11" t="str">
        <f ca="1">+WORLDCUP!BD65</f>
        <v>Arabia Saudita</v>
      </c>
      <c r="H25" s="11" t="str">
        <f ca="1">+WORLDCUP!BD63</f>
        <v>Suecia</v>
      </c>
      <c r="I25" s="11" t="str">
        <f ca="1">+WORLDCUP!BD66</f>
        <v>Irak</v>
      </c>
      <c r="J25" s="11" t="str">
        <f ca="1">+WORLDCUP!BD68</f>
        <v>Uzbekistán</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Costa de Marfil</v>
      </c>
      <c r="D26" s="11" t="str">
        <f ca="1">+WORLDCUP!BD67</f>
        <v>Austria</v>
      </c>
      <c r="E26" s="11" t="str">
        <f ca="1">+WORLDCUP!BD66</f>
        <v>Irak</v>
      </c>
      <c r="F26" s="11" t="str">
        <f ca="1">+WORLDCUP!BD60</f>
        <v>Haití</v>
      </c>
      <c r="G26" s="11" t="str">
        <f ca="1">+WORLDCUP!BD65</f>
        <v>Arabia Saudita</v>
      </c>
      <c r="H26" s="11" t="str">
        <f ca="1">+WORLDCUP!BD61</f>
        <v>Australia</v>
      </c>
      <c r="I26" s="11" t="str">
        <f ca="1">+WORLDCUP!BD69</f>
        <v>Ghana</v>
      </c>
      <c r="J26" s="11" t="str">
        <f ca="1">+WORLDCUP!BD68</f>
        <v>Uzbekistán</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Costa de Marfil</v>
      </c>
      <c r="D27" s="11" t="str">
        <f ca="1">+WORLDCUP!BD64</f>
        <v>Irán</v>
      </c>
      <c r="E27" s="11" t="str">
        <f ca="1">+WORLDCUP!BD66</f>
        <v>Irak</v>
      </c>
      <c r="F27" s="11" t="str">
        <f ca="1">+WORLDCUP!BD60</f>
        <v>Haití</v>
      </c>
      <c r="G27" s="11" t="str">
        <f ca="1">+WORLDCUP!BD67</f>
        <v>Austria</v>
      </c>
      <c r="H27" s="11" t="str">
        <f ca="1">+WORLDCUP!BD61</f>
        <v>Australia</v>
      </c>
      <c r="I27" s="11" t="str">
        <f ca="1">+WORLDCUP!BD69</f>
        <v>Ghana</v>
      </c>
      <c r="J27" s="11" t="str">
        <f ca="1">+WORLDCUP!BD68</f>
        <v>Uzbekistán</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Costa de Marfil</v>
      </c>
      <c r="D28" s="11" t="str">
        <f ca="1">+WORLDCUP!BD64</f>
        <v>Irán</v>
      </c>
      <c r="E28" s="11" t="str">
        <f ca="1">+WORLDCUP!BD67</f>
        <v>Austria</v>
      </c>
      <c r="F28" s="11" t="str">
        <f ca="1">+WORLDCUP!BD60</f>
        <v>Haití</v>
      </c>
      <c r="G28" s="11" t="str">
        <f ca="1">+WORLDCUP!BD65</f>
        <v>Arabia Saudita</v>
      </c>
      <c r="H28" s="11" t="str">
        <f ca="1">+WORLDCUP!BD61</f>
        <v>Australia</v>
      </c>
      <c r="I28" s="11" t="str">
        <f ca="1">+WORLDCUP!BD69</f>
        <v>Ghana</v>
      </c>
      <c r="J28" s="11" t="str">
        <f ca="1">+WORLDCUP!BD68</f>
        <v>Uzbekistán</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Costa de Marfil</v>
      </c>
      <c r="D29" s="11" t="str">
        <f ca="1">+WORLDCUP!BD64</f>
        <v>Irán</v>
      </c>
      <c r="E29" s="11" t="str">
        <f ca="1">+WORLDCUP!BD66</f>
        <v>Irak</v>
      </c>
      <c r="F29" s="11" t="str">
        <f ca="1">+WORLDCUP!BD60</f>
        <v>Haití</v>
      </c>
      <c r="G29" s="11" t="str">
        <f ca="1">+WORLDCUP!BD65</f>
        <v>Arabia Saudita</v>
      </c>
      <c r="H29" s="11" t="str">
        <f ca="1">+WORLDCUP!BD61</f>
        <v>Australia</v>
      </c>
      <c r="I29" s="11" t="str">
        <f ca="1">+WORLDCUP!BD69</f>
        <v>Ghana</v>
      </c>
      <c r="J29" s="11" t="str">
        <f ca="1">+WORLDCUP!BD68</f>
        <v>Uzbekistán</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Costa de Marfil</v>
      </c>
      <c r="D30" s="11" t="str">
        <f ca="1">+WORLDCUP!BD64</f>
        <v>Irán</v>
      </c>
      <c r="E30" s="11" t="str">
        <f ca="1">+WORLDCUP!BD67</f>
        <v>Austria</v>
      </c>
      <c r="F30" s="11" t="str">
        <f ca="1">+WORLDCUP!BD60</f>
        <v>Haití</v>
      </c>
      <c r="G30" s="11" t="str">
        <f ca="1">+WORLDCUP!BD65</f>
        <v>Arabia Saudita</v>
      </c>
      <c r="H30" s="11" t="str">
        <f ca="1">+WORLDCUP!BD61</f>
        <v>Australia</v>
      </c>
      <c r="I30" s="11" t="str">
        <f ca="1">+WORLDCUP!BD69</f>
        <v>Ghana</v>
      </c>
      <c r="J30" s="11" t="str">
        <f ca="1">+WORLDCUP!BD66</f>
        <v>Irak</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Costa de Marfil</v>
      </c>
      <c r="D31" s="11" t="str">
        <f ca="1">+WORLDCUP!BD64</f>
        <v>Irán</v>
      </c>
      <c r="E31" s="11" t="str">
        <f ca="1">+WORLDCUP!BD67</f>
        <v>Austria</v>
      </c>
      <c r="F31" s="11" t="str">
        <f ca="1">+WORLDCUP!BD60</f>
        <v>Haití</v>
      </c>
      <c r="G31" s="11" t="str">
        <f ca="1">+WORLDCUP!BD65</f>
        <v>Arabia Saudita</v>
      </c>
      <c r="H31" s="11" t="str">
        <f ca="1">+WORLDCUP!BD61</f>
        <v>Australia</v>
      </c>
      <c r="I31" s="11" t="str">
        <f ca="1">+WORLDCUP!BD66</f>
        <v>Irak</v>
      </c>
      <c r="J31" s="11" t="str">
        <f ca="1">+WORLDCUP!BD68</f>
        <v>Uzbekistán</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Haití</v>
      </c>
      <c r="D32" s="11" t="str">
        <f ca="1">+WORLDCUP!BD67</f>
        <v>Austria</v>
      </c>
      <c r="E32" s="11" t="str">
        <f ca="1">+WORLDCUP!BD62</f>
        <v>Costa de Marfil</v>
      </c>
      <c r="F32" s="11" t="str">
        <f ca="1">+WORLDCUP!BD61</f>
        <v>Australia</v>
      </c>
      <c r="G32" s="11" t="str">
        <f ca="1">+WORLDCUP!BD66</f>
        <v>Irak</v>
      </c>
      <c r="H32" s="11" t="str">
        <f ca="1">+WORLDCUP!BD63</f>
        <v>Suecia</v>
      </c>
      <c r="I32" s="11" t="str">
        <f ca="1">+WORLDCUP!BD69</f>
        <v>Ghana</v>
      </c>
      <c r="J32" s="11" t="str">
        <f ca="1">+WORLDCUP!BD68</f>
        <v>Uzbekistán</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Haití</v>
      </c>
      <c r="D33" s="11" t="str">
        <f ca="1">+WORLDCUP!BD67</f>
        <v>Austria</v>
      </c>
      <c r="E33" s="11" t="str">
        <f ca="1">+WORLDCUP!BD62</f>
        <v>Costa de Marfil</v>
      </c>
      <c r="F33" s="11" t="str">
        <f ca="1">+WORLDCUP!BD61</f>
        <v>Australia</v>
      </c>
      <c r="G33" s="11" t="str">
        <f ca="1">+WORLDCUP!BD65</f>
        <v>Arabia Saudita</v>
      </c>
      <c r="H33" s="11" t="str">
        <f ca="1">+WORLDCUP!BD63</f>
        <v>Suecia</v>
      </c>
      <c r="I33" s="11" t="str">
        <f ca="1">+WORLDCUP!BD69</f>
        <v>Ghana</v>
      </c>
      <c r="J33" s="11" t="str">
        <f ca="1">+WORLDCUP!BD68</f>
        <v>Uzbekistán</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Haití</v>
      </c>
      <c r="D34" s="11" t="str">
        <f ca="1">+WORLDCUP!BD62</f>
        <v>Costa de Marfil</v>
      </c>
      <c r="E34" s="11" t="str">
        <f ca="1">+WORLDCUP!BD66</f>
        <v>Irak</v>
      </c>
      <c r="F34" s="11" t="str">
        <f ca="1">+WORLDCUP!BD61</f>
        <v>Australia</v>
      </c>
      <c r="G34" s="11" t="str">
        <f ca="1">+WORLDCUP!BD65</f>
        <v>Arabia Saudita</v>
      </c>
      <c r="H34" s="11" t="str">
        <f ca="1">+WORLDCUP!BD63</f>
        <v>Suecia</v>
      </c>
      <c r="I34" s="11" t="str">
        <f ca="1">+WORLDCUP!BD69</f>
        <v>Ghana</v>
      </c>
      <c r="J34" s="11" t="str">
        <f ca="1">+WORLDCUP!BD68</f>
        <v>Uzbekistán</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Haití</v>
      </c>
      <c r="D35" s="11" t="str">
        <f ca="1">+WORLDCUP!BD67</f>
        <v>Austria</v>
      </c>
      <c r="E35" s="11" t="str">
        <f ca="1">+WORLDCUP!BD62</f>
        <v>Costa de Marfil</v>
      </c>
      <c r="F35" s="11" t="str">
        <f ca="1">+WORLDCUP!BD61</f>
        <v>Australia</v>
      </c>
      <c r="G35" s="11" t="str">
        <f ca="1">+WORLDCUP!BD65</f>
        <v>Arabia Saudita</v>
      </c>
      <c r="H35" s="11" t="str">
        <f ca="1">+WORLDCUP!BD63</f>
        <v>Suecia</v>
      </c>
      <c r="I35" s="11" t="str">
        <f ca="1">+WORLDCUP!BD69</f>
        <v>Ghana</v>
      </c>
      <c r="J35" s="11" t="str">
        <f ca="1">+WORLDCUP!BD66</f>
        <v>Irak</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Haití</v>
      </c>
      <c r="D36" s="11" t="str">
        <f ca="1">+WORLDCUP!BD67</f>
        <v>Austria</v>
      </c>
      <c r="E36" s="11" t="str">
        <f ca="1">+WORLDCUP!BD62</f>
        <v>Costa de Marfil</v>
      </c>
      <c r="F36" s="11" t="str">
        <f ca="1">+WORLDCUP!BD61</f>
        <v>Australia</v>
      </c>
      <c r="G36" s="11" t="str">
        <f ca="1">+WORLDCUP!BD65</f>
        <v>Arabia Saudita</v>
      </c>
      <c r="H36" s="11" t="str">
        <f ca="1">+WORLDCUP!BD63</f>
        <v>Suecia</v>
      </c>
      <c r="I36" s="11" t="str">
        <f ca="1">+WORLDCUP!BD66</f>
        <v>Irak</v>
      </c>
      <c r="J36" s="11" t="str">
        <f ca="1">+WORLDCUP!BD68</f>
        <v>Uzbekistán</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Haití</v>
      </c>
      <c r="D37" s="11" t="str">
        <f ca="1">+WORLDCUP!BD64</f>
        <v>Irán</v>
      </c>
      <c r="E37" s="11" t="str">
        <f ca="1">+WORLDCUP!BD62</f>
        <v>Costa de Marfil</v>
      </c>
      <c r="F37" s="11" t="str">
        <f ca="1">+WORLDCUP!BD61</f>
        <v>Australia</v>
      </c>
      <c r="G37" s="11" t="str">
        <f ca="1">+WORLDCUP!BD67</f>
        <v>Austria</v>
      </c>
      <c r="H37" s="11" t="str">
        <f ca="1">+WORLDCUP!BD63</f>
        <v>Suecia</v>
      </c>
      <c r="I37" s="11" t="str">
        <f ca="1">+WORLDCUP!BD69</f>
        <v>Ghana</v>
      </c>
      <c r="J37" s="11" t="str">
        <f ca="1">+WORLDCUP!BD68</f>
        <v>Uzbekistán</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Haití</v>
      </c>
      <c r="D38" s="11" t="str">
        <f ca="1">+WORLDCUP!BD64</f>
        <v>Irán</v>
      </c>
      <c r="E38" s="11" t="str">
        <f ca="1">+WORLDCUP!BD62</f>
        <v>Costa de Marfil</v>
      </c>
      <c r="F38" s="11" t="str">
        <f ca="1">+WORLDCUP!BD61</f>
        <v>Australia</v>
      </c>
      <c r="G38" s="11" t="str">
        <f ca="1">+WORLDCUP!BD66</f>
        <v>Irak</v>
      </c>
      <c r="H38" s="11" t="str">
        <f ca="1">+WORLDCUP!BD63</f>
        <v>Suecia</v>
      </c>
      <c r="I38" s="11" t="str">
        <f ca="1">+WORLDCUP!BD69</f>
        <v>Ghana</v>
      </c>
      <c r="J38" s="11" t="str">
        <f ca="1">+WORLDCUP!BD68</f>
        <v>Uzbekistán</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Haití</v>
      </c>
      <c r="D39" s="11" t="str">
        <f ca="1">+WORLDCUP!BD64</f>
        <v>Irán</v>
      </c>
      <c r="E39" s="11" t="str">
        <f ca="1">+WORLDCUP!BD62</f>
        <v>Costa de Marfil</v>
      </c>
      <c r="F39" s="11" t="str">
        <f ca="1">+WORLDCUP!BD61</f>
        <v>Australia</v>
      </c>
      <c r="G39" s="11" t="str">
        <f ca="1">+WORLDCUP!BD67</f>
        <v>Austria</v>
      </c>
      <c r="H39" s="11" t="str">
        <f ca="1">+WORLDCUP!BD63</f>
        <v>Suecia</v>
      </c>
      <c r="I39" s="11" t="str">
        <f ca="1">+WORLDCUP!BD69</f>
        <v>Ghana</v>
      </c>
      <c r="J39" s="11" t="str">
        <f ca="1">+WORLDCUP!BD66</f>
        <v>Irak</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Haití</v>
      </c>
      <c r="D40" s="11" t="str">
        <f ca="1">+WORLDCUP!BD64</f>
        <v>Irán</v>
      </c>
      <c r="E40" s="11" t="str">
        <f ca="1">+WORLDCUP!BD62</f>
        <v>Costa de Marfil</v>
      </c>
      <c r="F40" s="11" t="str">
        <f ca="1">+WORLDCUP!BD61</f>
        <v>Australia</v>
      </c>
      <c r="G40" s="11" t="str">
        <f ca="1">+WORLDCUP!BD67</f>
        <v>Austria</v>
      </c>
      <c r="H40" s="11" t="str">
        <f ca="1">+WORLDCUP!BD63</f>
        <v>Suecia</v>
      </c>
      <c r="I40" s="11" t="str">
        <f ca="1">+WORLDCUP!BD66</f>
        <v>Irak</v>
      </c>
      <c r="J40" s="11" t="str">
        <f ca="1">+WORLDCUP!BD68</f>
        <v>Uzbekistán</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Haití</v>
      </c>
      <c r="D41" s="11" t="str">
        <f ca="1">+WORLDCUP!BD64</f>
        <v>Irán</v>
      </c>
      <c r="E41" s="11" t="str">
        <f ca="1">+WORLDCUP!BD62</f>
        <v>Costa de Marfil</v>
      </c>
      <c r="F41" s="11" t="str">
        <f ca="1">+WORLDCUP!BD61</f>
        <v>Australia</v>
      </c>
      <c r="G41" s="11" t="str">
        <f ca="1">+WORLDCUP!BD65</f>
        <v>Arabia Saudita</v>
      </c>
      <c r="H41" s="11" t="str">
        <f ca="1">+WORLDCUP!BD63</f>
        <v>Suecia</v>
      </c>
      <c r="I41" s="11" t="str">
        <f ca="1">+WORLDCUP!BD69</f>
        <v>Ghana</v>
      </c>
      <c r="J41" s="11" t="str">
        <f ca="1">+WORLDCUP!BD68</f>
        <v>Uzbekistán</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Haití</v>
      </c>
      <c r="D42" s="11" t="str">
        <f ca="1">+WORLDCUP!BD64</f>
        <v>Irán</v>
      </c>
      <c r="E42" s="11" t="str">
        <f ca="1">+WORLDCUP!BD67</f>
        <v>Austria</v>
      </c>
      <c r="F42" s="11" t="str">
        <f ca="1">+WORLDCUP!BD61</f>
        <v>Australia</v>
      </c>
      <c r="G42" s="11" t="str">
        <f ca="1">+WORLDCUP!BD65</f>
        <v>Arabia Saudita</v>
      </c>
      <c r="H42" s="11" t="str">
        <f ca="1">+WORLDCUP!BD63</f>
        <v>Suecia</v>
      </c>
      <c r="I42" s="11" t="str">
        <f ca="1">+WORLDCUP!BD69</f>
        <v>Ghana</v>
      </c>
      <c r="J42" s="11" t="str">
        <f ca="1">+WORLDCUP!BD62</f>
        <v>Costa de Marfil</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Haití</v>
      </c>
      <c r="D43" s="11" t="str">
        <f ca="1">+WORLDCUP!BD64</f>
        <v>Irán</v>
      </c>
      <c r="E43" s="11" t="str">
        <f ca="1">+WORLDCUP!BD67</f>
        <v>Austria</v>
      </c>
      <c r="F43" s="11" t="str">
        <f ca="1">+WORLDCUP!BD61</f>
        <v>Australia</v>
      </c>
      <c r="G43" s="11" t="str">
        <f ca="1">+WORLDCUP!BD65</f>
        <v>Arabia Saudita</v>
      </c>
      <c r="H43" s="11" t="str">
        <f ca="1">+WORLDCUP!BD63</f>
        <v>Suecia</v>
      </c>
      <c r="I43" s="11" t="str">
        <f ca="1">+WORLDCUP!BD62</f>
        <v>Costa de Marfil</v>
      </c>
      <c r="J43" s="11" t="str">
        <f ca="1">+WORLDCUP!BD68</f>
        <v>Uzbekistán</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Haití</v>
      </c>
      <c r="D44" s="11" t="str">
        <f ca="1">+WORLDCUP!BD64</f>
        <v>Irán</v>
      </c>
      <c r="E44" s="11" t="str">
        <f ca="1">+WORLDCUP!BD62</f>
        <v>Costa de Marfil</v>
      </c>
      <c r="F44" s="11" t="str">
        <f ca="1">+WORLDCUP!BD61</f>
        <v>Australia</v>
      </c>
      <c r="G44" s="11" t="str">
        <f ca="1">+WORLDCUP!BD65</f>
        <v>Arabia Saudita</v>
      </c>
      <c r="H44" s="11" t="str">
        <f ca="1">+WORLDCUP!BD63</f>
        <v>Suecia</v>
      </c>
      <c r="I44" s="11" t="str">
        <f ca="1">+WORLDCUP!BD69</f>
        <v>Ghana</v>
      </c>
      <c r="J44" s="11" t="str">
        <f ca="1">+WORLDCUP!BD66</f>
        <v>Irak</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Haití</v>
      </c>
      <c r="D45" s="11" t="str">
        <f ca="1">+WORLDCUP!BD64</f>
        <v>Irán</v>
      </c>
      <c r="E45" s="11" t="str">
        <f ca="1">+WORLDCUP!BD62</f>
        <v>Costa de Marfil</v>
      </c>
      <c r="F45" s="11" t="str">
        <f ca="1">+WORLDCUP!BD61</f>
        <v>Australia</v>
      </c>
      <c r="G45" s="11" t="str">
        <f ca="1">+WORLDCUP!BD65</f>
        <v>Arabia Saudita</v>
      </c>
      <c r="H45" s="11" t="str">
        <f ca="1">+WORLDCUP!BD63</f>
        <v>Suecia</v>
      </c>
      <c r="I45" s="11" t="str">
        <f ca="1">+WORLDCUP!BD66</f>
        <v>Irak</v>
      </c>
      <c r="J45" s="11" t="str">
        <f ca="1">+WORLDCUP!BD68</f>
        <v>Uzbekistán</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Haití</v>
      </c>
      <c r="D46" s="11" t="str">
        <f ca="1">+WORLDCUP!BD64</f>
        <v>Irán</v>
      </c>
      <c r="E46" s="11" t="str">
        <f ca="1">+WORLDCUP!BD67</f>
        <v>Austria</v>
      </c>
      <c r="F46" s="11" t="str">
        <f ca="1">+WORLDCUP!BD61</f>
        <v>Australia</v>
      </c>
      <c r="G46" s="11" t="str">
        <f ca="1">+WORLDCUP!BD65</f>
        <v>Arabia Saudita</v>
      </c>
      <c r="H46" s="11" t="str">
        <f ca="1">+WORLDCUP!BD63</f>
        <v>Suecia</v>
      </c>
      <c r="I46" s="11" t="str">
        <f ca="1">+WORLDCUP!BD62</f>
        <v>Costa de Marfil</v>
      </c>
      <c r="J46" s="11" t="str">
        <f ca="1">+WORLDCUP!BD66</f>
        <v>Irak</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Arabia Saudita</v>
      </c>
      <c r="D47" s="11" t="str">
        <f ca="1">+WORLDCUP!BD67</f>
        <v>Austria</v>
      </c>
      <c r="E47" s="11" t="str">
        <f ca="1">+WORLDCUP!BD59</f>
        <v>Catar</v>
      </c>
      <c r="F47" s="11" t="str">
        <f ca="1">+WORLDCUP!BD63</f>
        <v>Suecia</v>
      </c>
      <c r="G47" s="11" t="str">
        <f ca="1">+WORLDCUP!BD66</f>
        <v>Irak</v>
      </c>
      <c r="H47" s="11" t="str">
        <f ca="1">+WORLDCUP!BD64</f>
        <v>Irán</v>
      </c>
      <c r="I47" s="11" t="str">
        <f ca="1">+WORLDCUP!BD69</f>
        <v>Ghana</v>
      </c>
      <c r="J47" s="11" t="str">
        <f ca="1">+WORLDCUP!BD68</f>
        <v>Uzbekistán</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Costa de Marfil</v>
      </c>
      <c r="D48" s="11" t="str">
        <f ca="1">+WORLDCUP!BD67</f>
        <v>Austria</v>
      </c>
      <c r="E48" s="11" t="str">
        <f ca="1">+WORLDCUP!BD66</f>
        <v>Irak</v>
      </c>
      <c r="F48" s="11" t="str">
        <f ca="1">+WORLDCUP!BD59</f>
        <v>Catar</v>
      </c>
      <c r="G48" s="11" t="str">
        <f ca="1">+WORLDCUP!BD65</f>
        <v>Arabia Saudita</v>
      </c>
      <c r="H48" s="11" t="str">
        <f ca="1">+WORLDCUP!BD64</f>
        <v>Irán</v>
      </c>
      <c r="I48" s="11" t="str">
        <f ca="1">+WORLDCUP!BD69</f>
        <v>Ghana</v>
      </c>
      <c r="J48" s="11" t="str">
        <f ca="1">+WORLDCUP!BD68</f>
        <v>Uzbekistán</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Costa de Marfil</v>
      </c>
      <c r="D49" s="11" t="str">
        <f ca="1">+WORLDCUP!BD67</f>
        <v>Austria</v>
      </c>
      <c r="E49" s="11" t="str">
        <f ca="1">+WORLDCUP!BD59</f>
        <v>Catar</v>
      </c>
      <c r="F49" s="11" t="str">
        <f ca="1">+WORLDCUP!BD63</f>
        <v>Suecia</v>
      </c>
      <c r="G49" s="11" t="str">
        <f ca="1">+WORLDCUP!BD66</f>
        <v>Irak</v>
      </c>
      <c r="H49" s="11" t="str">
        <f ca="1">+WORLDCUP!BD65</f>
        <v>Arabia Saudita</v>
      </c>
      <c r="I49" s="11" t="str">
        <f ca="1">+WORLDCUP!BD69</f>
        <v>Ghana</v>
      </c>
      <c r="J49" s="11" t="str">
        <f ca="1">+WORLDCUP!BD68</f>
        <v>Uzbekistán</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Costa de Marfil</v>
      </c>
      <c r="D50" s="11" t="str">
        <f ca="1">+WORLDCUP!BD67</f>
        <v>Austria</v>
      </c>
      <c r="E50" s="11" t="str">
        <f ca="1">+WORLDCUP!BD59</f>
        <v>Catar</v>
      </c>
      <c r="F50" s="11" t="str">
        <f ca="1">+WORLDCUP!BD63</f>
        <v>Suecia</v>
      </c>
      <c r="G50" s="11" t="str">
        <f ca="1">+WORLDCUP!BD66</f>
        <v>Irak</v>
      </c>
      <c r="H50" s="11" t="str">
        <f ca="1">+WORLDCUP!BD64</f>
        <v>Irán</v>
      </c>
      <c r="I50" s="11" t="str">
        <f ca="1">+WORLDCUP!BD69</f>
        <v>Ghana</v>
      </c>
      <c r="J50" s="11" t="str">
        <f ca="1">+WORLDCUP!BD68</f>
        <v>Uzbekistán</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Costa de Marfil</v>
      </c>
      <c r="D51" s="11" t="str">
        <f ca="1">+WORLDCUP!BD67</f>
        <v>Austria</v>
      </c>
      <c r="E51" s="11" t="str">
        <f ca="1">+WORLDCUP!BD59</f>
        <v>Catar</v>
      </c>
      <c r="F51" s="11" t="str">
        <f ca="1">+WORLDCUP!BD63</f>
        <v>Suecia</v>
      </c>
      <c r="G51" s="11" t="str">
        <f ca="1">+WORLDCUP!BD65</f>
        <v>Arabia Saudita</v>
      </c>
      <c r="H51" s="11" t="str">
        <f ca="1">+WORLDCUP!BD64</f>
        <v>Irán</v>
      </c>
      <c r="I51" s="11" t="str">
        <f ca="1">+WORLDCUP!BD69</f>
        <v>Ghana</v>
      </c>
      <c r="J51" s="11" t="str">
        <f ca="1">+WORLDCUP!BD68</f>
        <v>Uzbekistán</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Costa de Marfil</v>
      </c>
      <c r="D52" s="11" t="str">
        <f ca="1">+WORLDCUP!BD64</f>
        <v>Irán</v>
      </c>
      <c r="E52" s="11" t="str">
        <f ca="1">+WORLDCUP!BD59</f>
        <v>Catar</v>
      </c>
      <c r="F52" s="11" t="str">
        <f ca="1">+WORLDCUP!BD63</f>
        <v>Suecia</v>
      </c>
      <c r="G52" s="11" t="str">
        <f ca="1">+WORLDCUP!BD66</f>
        <v>Irak</v>
      </c>
      <c r="H52" s="11" t="str">
        <f ca="1">+WORLDCUP!BD65</f>
        <v>Arabia Saudita</v>
      </c>
      <c r="I52" s="11" t="str">
        <f ca="1">+WORLDCUP!BD69</f>
        <v>Ghana</v>
      </c>
      <c r="J52" s="11" t="str">
        <f ca="1">+WORLDCUP!BD68</f>
        <v>Uzbekistán</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Costa de Marfil</v>
      </c>
      <c r="D53" s="11" t="str">
        <f ca="1">+WORLDCUP!BD67</f>
        <v>Austria</v>
      </c>
      <c r="E53" s="11" t="str">
        <f ca="1">+WORLDCUP!BD59</f>
        <v>Catar</v>
      </c>
      <c r="F53" s="11" t="str">
        <f ca="1">+WORLDCUP!BD63</f>
        <v>Suecia</v>
      </c>
      <c r="G53" s="11" t="str">
        <f ca="1">+WORLDCUP!BD65</f>
        <v>Arabia Saudita</v>
      </c>
      <c r="H53" s="11" t="str">
        <f ca="1">+WORLDCUP!BD64</f>
        <v>Irán</v>
      </c>
      <c r="I53" s="11" t="str">
        <f ca="1">+WORLDCUP!BD69</f>
        <v>Ghana</v>
      </c>
      <c r="J53" s="11" t="str">
        <f ca="1">+WORLDCUP!BD66</f>
        <v>Irak</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Costa de Marfil</v>
      </c>
      <c r="D54" s="11" t="str">
        <f ca="1">+WORLDCUP!BD67</f>
        <v>Austria</v>
      </c>
      <c r="E54" s="11" t="str">
        <f ca="1">+WORLDCUP!BD59</f>
        <v>Catar</v>
      </c>
      <c r="F54" s="11" t="str">
        <f ca="1">+WORLDCUP!BD63</f>
        <v>Suecia</v>
      </c>
      <c r="G54" s="11" t="str">
        <f ca="1">+WORLDCUP!BD65</f>
        <v>Arabia Saudita</v>
      </c>
      <c r="H54" s="11" t="str">
        <f ca="1">+WORLDCUP!BD64</f>
        <v>Irán</v>
      </c>
      <c r="I54" s="11" t="str">
        <f ca="1">+WORLDCUP!BD66</f>
        <v>Irak</v>
      </c>
      <c r="J54" s="11" t="str">
        <f ca="1">+WORLDCUP!BD68</f>
        <v>Uzbekistán</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Arabia Saudita</v>
      </c>
      <c r="D55" s="11" t="str">
        <f ca="1">+WORLDCUP!BD67</f>
        <v>Austria</v>
      </c>
      <c r="E55" s="11" t="str">
        <f ca="1">+WORLDCUP!BD59</f>
        <v>Catar</v>
      </c>
      <c r="F55" s="11" t="str">
        <f ca="1">+WORLDCUP!BD61</f>
        <v>Australia</v>
      </c>
      <c r="G55" s="11" t="str">
        <f ca="1">+WORLDCUP!BD66</f>
        <v>Irak</v>
      </c>
      <c r="H55" s="11" t="str">
        <f ca="1">+WORLDCUP!BD64</f>
        <v>Irán</v>
      </c>
      <c r="I55" s="11" t="str">
        <f ca="1">+WORLDCUP!BD69</f>
        <v>Ghana</v>
      </c>
      <c r="J55" s="11" t="str">
        <f ca="1">+WORLDCUP!BD68</f>
        <v>Uzbekistán</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Arabia Saudita</v>
      </c>
      <c r="D56" s="11" t="str">
        <f ca="1">+WORLDCUP!BD67</f>
        <v>Austria</v>
      </c>
      <c r="E56" s="11" t="str">
        <f ca="1">+WORLDCUP!BD59</f>
        <v>Catar</v>
      </c>
      <c r="F56" s="11" t="str">
        <f ca="1">+WORLDCUP!BD61</f>
        <v>Australia</v>
      </c>
      <c r="G56" s="11" t="str">
        <f ca="1">+WORLDCUP!BD66</f>
        <v>Irak</v>
      </c>
      <c r="H56" s="11" t="str">
        <f ca="1">+WORLDCUP!BD63</f>
        <v>Suecia</v>
      </c>
      <c r="I56" s="11" t="str">
        <f ca="1">+WORLDCUP!BD69</f>
        <v>Ghana</v>
      </c>
      <c r="J56" s="11" t="str">
        <f ca="1">+WORLDCUP!BD68</f>
        <v>Uzbekistán</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Irak</v>
      </c>
      <c r="D57" s="11" t="str">
        <f ca="1">+WORLDCUP!BD64</f>
        <v>Irán</v>
      </c>
      <c r="E57" s="11" t="str">
        <f ca="1">+WORLDCUP!BD59</f>
        <v>Catar</v>
      </c>
      <c r="F57" s="11" t="str">
        <f ca="1">+WORLDCUP!BD61</f>
        <v>Australia</v>
      </c>
      <c r="G57" s="11" t="str">
        <f ca="1">+WORLDCUP!BD67</f>
        <v>Austria</v>
      </c>
      <c r="H57" s="11" t="str">
        <f ca="1">+WORLDCUP!BD63</f>
        <v>Suecia</v>
      </c>
      <c r="I57" s="11" t="str">
        <f ca="1">+WORLDCUP!BD69</f>
        <v>Ghana</v>
      </c>
      <c r="J57" s="11" t="str">
        <f ca="1">+WORLDCUP!BD68</f>
        <v>Uzbekistán</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Arabia Saudita</v>
      </c>
      <c r="D58" s="11" t="str">
        <f ca="1">+WORLDCUP!BD64</f>
        <v>Irán</v>
      </c>
      <c r="E58" s="11" t="str">
        <f ca="1">+WORLDCUP!BD59</f>
        <v>Catar</v>
      </c>
      <c r="F58" s="11" t="str">
        <f ca="1">+WORLDCUP!BD61</f>
        <v>Australia</v>
      </c>
      <c r="G58" s="11" t="str">
        <f ca="1">+WORLDCUP!BD67</f>
        <v>Austria</v>
      </c>
      <c r="H58" s="11" t="str">
        <f ca="1">+WORLDCUP!BD63</f>
        <v>Suecia</v>
      </c>
      <c r="I58" s="11" t="str">
        <f ca="1">+WORLDCUP!BD69</f>
        <v>Ghana</v>
      </c>
      <c r="J58" s="11" t="str">
        <f ca="1">+WORLDCUP!BD68</f>
        <v>Uzbekistán</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Arabia Saudita</v>
      </c>
      <c r="D59" s="11" t="str">
        <f ca="1">+WORLDCUP!BD64</f>
        <v>Irán</v>
      </c>
      <c r="E59" s="11" t="str">
        <f ca="1">+WORLDCUP!BD59</f>
        <v>Catar</v>
      </c>
      <c r="F59" s="11" t="str">
        <f ca="1">+WORLDCUP!BD61</f>
        <v>Australia</v>
      </c>
      <c r="G59" s="11" t="str">
        <f ca="1">+WORLDCUP!BD66</f>
        <v>Irak</v>
      </c>
      <c r="H59" s="11" t="str">
        <f ca="1">+WORLDCUP!BD63</f>
        <v>Suecia</v>
      </c>
      <c r="I59" s="11" t="str">
        <f ca="1">+WORLDCUP!BD69</f>
        <v>Ghana</v>
      </c>
      <c r="J59" s="11" t="str">
        <f ca="1">+WORLDCUP!BD68</f>
        <v>Uzbekistán</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Arabia Saudita</v>
      </c>
      <c r="D60" s="11" t="str">
        <f ca="1">+WORLDCUP!BD64</f>
        <v>Irán</v>
      </c>
      <c r="E60" s="11" t="str">
        <f ca="1">+WORLDCUP!BD59</f>
        <v>Catar</v>
      </c>
      <c r="F60" s="11" t="str">
        <f ca="1">+WORLDCUP!BD61</f>
        <v>Australia</v>
      </c>
      <c r="G60" s="11" t="str">
        <f ca="1">+WORLDCUP!BD67</f>
        <v>Austria</v>
      </c>
      <c r="H60" s="11" t="str">
        <f ca="1">+WORLDCUP!BD63</f>
        <v>Suecia</v>
      </c>
      <c r="I60" s="11" t="str">
        <f ca="1">+WORLDCUP!BD69</f>
        <v>Ghana</v>
      </c>
      <c r="J60" s="11" t="str">
        <f ca="1">+WORLDCUP!BD66</f>
        <v>Irak</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Arabia Saudita</v>
      </c>
      <c r="D61" s="11" t="str">
        <f ca="1">+WORLDCUP!BD64</f>
        <v>Irán</v>
      </c>
      <c r="E61" s="11" t="str">
        <f ca="1">+WORLDCUP!BD59</f>
        <v>Catar</v>
      </c>
      <c r="F61" s="11" t="str">
        <f ca="1">+WORLDCUP!BD61</f>
        <v>Australia</v>
      </c>
      <c r="G61" s="11" t="str">
        <f ca="1">+WORLDCUP!BD67</f>
        <v>Austria</v>
      </c>
      <c r="H61" s="11" t="str">
        <f ca="1">+WORLDCUP!BD63</f>
        <v>Suecia</v>
      </c>
      <c r="I61" s="11" t="str">
        <f ca="1">+WORLDCUP!BD66</f>
        <v>Irak</v>
      </c>
      <c r="J61" s="11" t="str">
        <f ca="1">+WORLDCUP!BD68</f>
        <v>Uzbekistán</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Costa de Marfil</v>
      </c>
      <c r="D62" s="11" t="str">
        <f ca="1">+WORLDCUP!BD67</f>
        <v>Austria</v>
      </c>
      <c r="E62" s="11" t="str">
        <f ca="1">+WORLDCUP!BD59</f>
        <v>Catar</v>
      </c>
      <c r="F62" s="11" t="str">
        <f ca="1">+WORLDCUP!BD61</f>
        <v>Australia</v>
      </c>
      <c r="G62" s="11" t="str">
        <f ca="1">+WORLDCUP!BD66</f>
        <v>Irak</v>
      </c>
      <c r="H62" s="11" t="str">
        <f ca="1">+WORLDCUP!BD65</f>
        <v>Arabia Saudita</v>
      </c>
      <c r="I62" s="11" t="str">
        <f ca="1">+WORLDCUP!BD69</f>
        <v>Ghana</v>
      </c>
      <c r="J62" s="11" t="str">
        <f ca="1">+WORLDCUP!BD68</f>
        <v>Uzbekistán</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Costa de Marfil</v>
      </c>
      <c r="D63" s="11" t="str">
        <f ca="1">+WORLDCUP!BD67</f>
        <v>Austria</v>
      </c>
      <c r="E63" s="11" t="str">
        <f ca="1">+WORLDCUP!BD59</f>
        <v>Catar</v>
      </c>
      <c r="F63" s="11" t="str">
        <f ca="1">+WORLDCUP!BD61</f>
        <v>Australia</v>
      </c>
      <c r="G63" s="11" t="str">
        <f ca="1">+WORLDCUP!BD66</f>
        <v>Irak</v>
      </c>
      <c r="H63" s="11" t="str">
        <f ca="1">+WORLDCUP!BD64</f>
        <v>Irán</v>
      </c>
      <c r="I63" s="11" t="str">
        <f ca="1">+WORLDCUP!BD69</f>
        <v>Ghana</v>
      </c>
      <c r="J63" s="11" t="str">
        <f ca="1">+WORLDCUP!BD68</f>
        <v>Uzbekistán</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Costa de Marfil</v>
      </c>
      <c r="D64" s="11" t="str">
        <f ca="1">+WORLDCUP!BD67</f>
        <v>Austria</v>
      </c>
      <c r="E64" s="11" t="str">
        <f ca="1">+WORLDCUP!BD59</f>
        <v>Catar</v>
      </c>
      <c r="F64" s="11" t="str">
        <f ca="1">+WORLDCUP!BD61</f>
        <v>Australia</v>
      </c>
      <c r="G64" s="11" t="str">
        <f ca="1">+WORLDCUP!BD65</f>
        <v>Arabia Saudita</v>
      </c>
      <c r="H64" s="11" t="str">
        <f ca="1">+WORLDCUP!BD64</f>
        <v>Irán</v>
      </c>
      <c r="I64" s="11" t="str">
        <f ca="1">+WORLDCUP!BD69</f>
        <v>Ghana</v>
      </c>
      <c r="J64" s="11" t="str">
        <f ca="1">+WORLDCUP!BD68</f>
        <v>Uzbekistán</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Costa de Marfil</v>
      </c>
      <c r="D65" s="11" t="str">
        <f ca="1">+WORLDCUP!BD64</f>
        <v>Irán</v>
      </c>
      <c r="E65" s="11" t="str">
        <f ca="1">+WORLDCUP!BD59</f>
        <v>Catar</v>
      </c>
      <c r="F65" s="11" t="str">
        <f ca="1">+WORLDCUP!BD61</f>
        <v>Australia</v>
      </c>
      <c r="G65" s="11" t="str">
        <f ca="1">+WORLDCUP!BD66</f>
        <v>Irak</v>
      </c>
      <c r="H65" s="11" t="str">
        <f ca="1">+WORLDCUP!BD65</f>
        <v>Arabia Saudita</v>
      </c>
      <c r="I65" s="11" t="str">
        <f ca="1">+WORLDCUP!BD69</f>
        <v>Ghana</v>
      </c>
      <c r="J65" s="11" t="str">
        <f ca="1">+WORLDCUP!BD68</f>
        <v>Uzbekistán</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Costa de Marfil</v>
      </c>
      <c r="D66" s="11" t="str">
        <f ca="1">+WORLDCUP!BD67</f>
        <v>Austria</v>
      </c>
      <c r="E66" s="11" t="str">
        <f ca="1">+WORLDCUP!BD59</f>
        <v>Catar</v>
      </c>
      <c r="F66" s="11" t="str">
        <f ca="1">+WORLDCUP!BD61</f>
        <v>Australia</v>
      </c>
      <c r="G66" s="11" t="str">
        <f ca="1">+WORLDCUP!BD65</f>
        <v>Arabia Saudita</v>
      </c>
      <c r="H66" s="11" t="str">
        <f ca="1">+WORLDCUP!BD64</f>
        <v>Irán</v>
      </c>
      <c r="I66" s="11" t="str">
        <f ca="1">+WORLDCUP!BD69</f>
        <v>Ghana</v>
      </c>
      <c r="J66" s="11" t="str">
        <f ca="1">+WORLDCUP!BD66</f>
        <v>Irak</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Costa de Marfil</v>
      </c>
      <c r="D67" s="11" t="str">
        <f ca="1">+WORLDCUP!BD67</f>
        <v>Austria</v>
      </c>
      <c r="E67" s="11" t="str">
        <f ca="1">+WORLDCUP!BD59</f>
        <v>Catar</v>
      </c>
      <c r="F67" s="11" t="str">
        <f ca="1">+WORLDCUP!BD61</f>
        <v>Australia</v>
      </c>
      <c r="G67" s="11" t="str">
        <f ca="1">+WORLDCUP!BD65</f>
        <v>Arabia Saudita</v>
      </c>
      <c r="H67" s="11" t="str">
        <f ca="1">+WORLDCUP!BD64</f>
        <v>Irán</v>
      </c>
      <c r="I67" s="11" t="str">
        <f ca="1">+WORLDCUP!BD66</f>
        <v>Irak</v>
      </c>
      <c r="J67" s="11" t="str">
        <f ca="1">+WORLDCUP!BD68</f>
        <v>Uzbekistán</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Costa de Marfil</v>
      </c>
      <c r="D68" s="11" t="str">
        <f ca="1">+WORLDCUP!BD67</f>
        <v>Austria</v>
      </c>
      <c r="E68" s="11" t="str">
        <f ca="1">+WORLDCUP!BD59</f>
        <v>Catar</v>
      </c>
      <c r="F68" s="11" t="str">
        <f ca="1">+WORLDCUP!BD61</f>
        <v>Australia</v>
      </c>
      <c r="G68" s="11" t="str">
        <f ca="1">+WORLDCUP!BD66</f>
        <v>Irak</v>
      </c>
      <c r="H68" s="11" t="str">
        <f ca="1">+WORLDCUP!BD63</f>
        <v>Suecia</v>
      </c>
      <c r="I68" s="11" t="str">
        <f ca="1">+WORLDCUP!BD69</f>
        <v>Ghana</v>
      </c>
      <c r="J68" s="11" t="str">
        <f ca="1">+WORLDCUP!BD68</f>
        <v>Uzbekistán</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Costa de Marfil</v>
      </c>
      <c r="D69" s="11" t="str">
        <f ca="1">+WORLDCUP!BD67</f>
        <v>Austria</v>
      </c>
      <c r="E69" s="11" t="str">
        <f ca="1">+WORLDCUP!BD59</f>
        <v>Catar</v>
      </c>
      <c r="F69" s="11" t="str">
        <f ca="1">+WORLDCUP!BD61</f>
        <v>Australia</v>
      </c>
      <c r="G69" s="11" t="str">
        <f ca="1">+WORLDCUP!BD65</f>
        <v>Arabia Saudita</v>
      </c>
      <c r="H69" s="11" t="str">
        <f ca="1">+WORLDCUP!BD63</f>
        <v>Suecia</v>
      </c>
      <c r="I69" s="11" t="str">
        <f ca="1">+WORLDCUP!BD69</f>
        <v>Ghana</v>
      </c>
      <c r="J69" s="11" t="str">
        <f ca="1">+WORLDCUP!BD68</f>
        <v>Uzbekistán</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Costa de Marfil</v>
      </c>
      <c r="D70" s="11" t="str">
        <f ca="1">+WORLDCUP!BD66</f>
        <v>Irak</v>
      </c>
      <c r="E70" s="11" t="str">
        <f ca="1">+WORLDCUP!BD59</f>
        <v>Catar</v>
      </c>
      <c r="F70" s="11" t="str">
        <f ca="1">+WORLDCUP!BD61</f>
        <v>Australia</v>
      </c>
      <c r="G70" s="11" t="str">
        <f ca="1">+WORLDCUP!BD65</f>
        <v>Arabia Saudita</v>
      </c>
      <c r="H70" s="11" t="str">
        <f ca="1">+WORLDCUP!BD63</f>
        <v>Suecia</v>
      </c>
      <c r="I70" s="11" t="str">
        <f ca="1">+WORLDCUP!BD69</f>
        <v>Ghana</v>
      </c>
      <c r="J70" s="11" t="str">
        <f ca="1">+WORLDCUP!BD68</f>
        <v>Uzbekistán</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Costa de Marfil</v>
      </c>
      <c r="D71" s="11" t="str">
        <f ca="1">+WORLDCUP!BD67</f>
        <v>Austria</v>
      </c>
      <c r="E71" s="11" t="str">
        <f ca="1">+WORLDCUP!BD59</f>
        <v>Catar</v>
      </c>
      <c r="F71" s="11" t="str">
        <f ca="1">+WORLDCUP!BD61</f>
        <v>Australia</v>
      </c>
      <c r="G71" s="11" t="str">
        <f ca="1">+WORLDCUP!BD65</f>
        <v>Arabia Saudita</v>
      </c>
      <c r="H71" s="11" t="str">
        <f ca="1">+WORLDCUP!BD63</f>
        <v>Suecia</v>
      </c>
      <c r="I71" s="11" t="str">
        <f ca="1">+WORLDCUP!BD69</f>
        <v>Ghana</v>
      </c>
      <c r="J71" s="11" t="str">
        <f ca="1">+WORLDCUP!BD66</f>
        <v>Irak</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Costa de Marfil</v>
      </c>
      <c r="D72" s="11" t="str">
        <f ca="1">+WORLDCUP!BD67</f>
        <v>Austria</v>
      </c>
      <c r="E72" s="11" t="str">
        <f ca="1">+WORLDCUP!BD59</f>
        <v>Catar</v>
      </c>
      <c r="F72" s="11" t="str">
        <f ca="1">+WORLDCUP!BD61</f>
        <v>Australia</v>
      </c>
      <c r="G72" s="11" t="str">
        <f ca="1">+WORLDCUP!BD65</f>
        <v>Arabia Saudita</v>
      </c>
      <c r="H72" s="11" t="str">
        <f ca="1">+WORLDCUP!BD63</f>
        <v>Suecia</v>
      </c>
      <c r="I72" s="11" t="str">
        <f ca="1">+WORLDCUP!BD66</f>
        <v>Irak</v>
      </c>
      <c r="J72" s="11" t="str">
        <f ca="1">+WORLDCUP!BD68</f>
        <v>Uzbekistán</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Costa de Marfil</v>
      </c>
      <c r="D73" s="11" t="str">
        <f ca="1">+WORLDCUP!BD64</f>
        <v>Irán</v>
      </c>
      <c r="E73" s="11" t="str">
        <f ca="1">+WORLDCUP!BD59</f>
        <v>Catar</v>
      </c>
      <c r="F73" s="11" t="str">
        <f ca="1">+WORLDCUP!BD61</f>
        <v>Australia</v>
      </c>
      <c r="G73" s="11" t="str">
        <f ca="1">+WORLDCUP!BD67</f>
        <v>Austria</v>
      </c>
      <c r="H73" s="11" t="str">
        <f ca="1">+WORLDCUP!BD63</f>
        <v>Suecia</v>
      </c>
      <c r="I73" s="11" t="str">
        <f ca="1">+WORLDCUP!BD69</f>
        <v>Ghana</v>
      </c>
      <c r="J73" s="11" t="str">
        <f ca="1">+WORLDCUP!BD68</f>
        <v>Uzbekistán</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Costa de Marfil</v>
      </c>
      <c r="D74" s="11" t="str">
        <f ca="1">+WORLDCUP!BD64</f>
        <v>Irán</v>
      </c>
      <c r="E74" s="11" t="str">
        <f ca="1">+WORLDCUP!BD59</f>
        <v>Catar</v>
      </c>
      <c r="F74" s="11" t="str">
        <f ca="1">+WORLDCUP!BD61</f>
        <v>Australia</v>
      </c>
      <c r="G74" s="11" t="str">
        <f ca="1">+WORLDCUP!BD66</f>
        <v>Irak</v>
      </c>
      <c r="H74" s="11" t="str">
        <f ca="1">+WORLDCUP!BD63</f>
        <v>Suecia</v>
      </c>
      <c r="I74" s="11" t="str">
        <f ca="1">+WORLDCUP!BD69</f>
        <v>Ghana</v>
      </c>
      <c r="J74" s="11" t="str">
        <f ca="1">+WORLDCUP!BD68</f>
        <v>Uzbekistán</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Costa de Marfil</v>
      </c>
      <c r="D75" s="11" t="str">
        <f ca="1">+WORLDCUP!BD64</f>
        <v>Irán</v>
      </c>
      <c r="E75" s="11" t="str">
        <f ca="1">+WORLDCUP!BD59</f>
        <v>Catar</v>
      </c>
      <c r="F75" s="11" t="str">
        <f ca="1">+WORLDCUP!BD61</f>
        <v>Australia</v>
      </c>
      <c r="G75" s="11" t="str">
        <f ca="1">+WORLDCUP!BD67</f>
        <v>Austria</v>
      </c>
      <c r="H75" s="11" t="str">
        <f ca="1">+WORLDCUP!BD63</f>
        <v>Suecia</v>
      </c>
      <c r="I75" s="11" t="str">
        <f ca="1">+WORLDCUP!BD69</f>
        <v>Ghana</v>
      </c>
      <c r="J75" s="11" t="str">
        <f ca="1">+WORLDCUP!BD66</f>
        <v>Irak</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Costa de Marfil</v>
      </c>
      <c r="D76" s="11" t="str">
        <f ca="1">+WORLDCUP!BD64</f>
        <v>Irán</v>
      </c>
      <c r="E76" s="11" t="str">
        <f ca="1">+WORLDCUP!BD59</f>
        <v>Catar</v>
      </c>
      <c r="F76" s="11" t="str">
        <f ca="1">+WORLDCUP!BD61</f>
        <v>Australia</v>
      </c>
      <c r="G76" s="11" t="str">
        <f ca="1">+WORLDCUP!BD67</f>
        <v>Austria</v>
      </c>
      <c r="H76" s="11" t="str">
        <f ca="1">+WORLDCUP!BD63</f>
        <v>Suecia</v>
      </c>
      <c r="I76" s="11" t="str">
        <f ca="1">+WORLDCUP!BD66</f>
        <v>Irak</v>
      </c>
      <c r="J76" s="11" t="str">
        <f ca="1">+WORLDCUP!BD68</f>
        <v>Uzbekistán</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Costa de Marfil</v>
      </c>
      <c r="D77" s="11" t="str">
        <f ca="1">+WORLDCUP!BD64</f>
        <v>Irán</v>
      </c>
      <c r="E77" s="11" t="str">
        <f ca="1">+WORLDCUP!BD59</f>
        <v>Catar</v>
      </c>
      <c r="F77" s="11" t="str">
        <f ca="1">+WORLDCUP!BD61</f>
        <v>Australia</v>
      </c>
      <c r="G77" s="11" t="str">
        <f ca="1">+WORLDCUP!BD65</f>
        <v>Arabia Saudita</v>
      </c>
      <c r="H77" s="11" t="str">
        <f ca="1">+WORLDCUP!BD63</f>
        <v>Suecia</v>
      </c>
      <c r="I77" s="11" t="str">
        <f ca="1">+WORLDCUP!BD69</f>
        <v>Ghana</v>
      </c>
      <c r="J77" s="11" t="str">
        <f ca="1">+WORLDCUP!BD68</f>
        <v>Uzbekistán</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Arabia Saudita</v>
      </c>
      <c r="D78" s="11" t="str">
        <f ca="1">+WORLDCUP!BD64</f>
        <v>Irán</v>
      </c>
      <c r="E78" s="11" t="str">
        <f ca="1">+WORLDCUP!BD59</f>
        <v>Catar</v>
      </c>
      <c r="F78" s="11" t="str">
        <f ca="1">+WORLDCUP!BD61</f>
        <v>Australia</v>
      </c>
      <c r="G78" s="11" t="str">
        <f ca="1">+WORLDCUP!BD67</f>
        <v>Austria</v>
      </c>
      <c r="H78" s="11" t="str">
        <f ca="1">+WORLDCUP!BD63</f>
        <v>Suecia</v>
      </c>
      <c r="I78" s="11" t="str">
        <f ca="1">+WORLDCUP!BD69</f>
        <v>Ghana</v>
      </c>
      <c r="J78" s="11" t="str">
        <f ca="1">+WORLDCUP!BD62</f>
        <v>Costa de Marfil</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Arabia Saudita</v>
      </c>
      <c r="D79" s="11" t="str">
        <f ca="1">+WORLDCUP!BD64</f>
        <v>Irán</v>
      </c>
      <c r="E79" s="11" t="str">
        <f ca="1">+WORLDCUP!BD59</f>
        <v>Catar</v>
      </c>
      <c r="F79" s="11" t="str">
        <f ca="1">+WORLDCUP!BD61</f>
        <v>Australia</v>
      </c>
      <c r="G79" s="11" t="str">
        <f ca="1">+WORLDCUP!BD67</f>
        <v>Austria</v>
      </c>
      <c r="H79" s="11" t="str">
        <f ca="1">+WORLDCUP!BD63</f>
        <v>Suecia</v>
      </c>
      <c r="I79" s="11" t="str">
        <f ca="1">+WORLDCUP!BD62</f>
        <v>Costa de Marfil</v>
      </c>
      <c r="J79" s="11" t="str">
        <f ca="1">+WORLDCUP!BD68</f>
        <v>Uzbekistán</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Costa de Marfil</v>
      </c>
      <c r="D80" s="11" t="str">
        <f ca="1">+WORLDCUP!BD64</f>
        <v>Irán</v>
      </c>
      <c r="E80" s="11" t="str">
        <f ca="1">+WORLDCUP!BD59</f>
        <v>Catar</v>
      </c>
      <c r="F80" s="11" t="str">
        <f ca="1">+WORLDCUP!BD61</f>
        <v>Australia</v>
      </c>
      <c r="G80" s="11" t="str">
        <f ca="1">+WORLDCUP!BD65</f>
        <v>Arabia Saudita</v>
      </c>
      <c r="H80" s="11" t="str">
        <f ca="1">+WORLDCUP!BD63</f>
        <v>Suecia</v>
      </c>
      <c r="I80" s="11" t="str">
        <f ca="1">+WORLDCUP!BD69</f>
        <v>Ghana</v>
      </c>
      <c r="J80" s="11" t="str">
        <f ca="1">+WORLDCUP!BD66</f>
        <v>Irak</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Costa de Marfil</v>
      </c>
      <c r="D81" s="11" t="str">
        <f ca="1">+WORLDCUP!BD64</f>
        <v>Irán</v>
      </c>
      <c r="E81" s="11" t="str">
        <f ca="1">+WORLDCUP!BD59</f>
        <v>Catar</v>
      </c>
      <c r="F81" s="11" t="str">
        <f ca="1">+WORLDCUP!BD61</f>
        <v>Australia</v>
      </c>
      <c r="G81" s="11" t="str">
        <f ca="1">+WORLDCUP!BD65</f>
        <v>Arabia Saudita</v>
      </c>
      <c r="H81" s="11" t="str">
        <f ca="1">+WORLDCUP!BD63</f>
        <v>Suecia</v>
      </c>
      <c r="I81" s="11" t="str">
        <f ca="1">+WORLDCUP!BD66</f>
        <v>Irak</v>
      </c>
      <c r="J81" s="11" t="str">
        <f ca="1">+WORLDCUP!BD68</f>
        <v>Uzbekistán</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Arabia Saudita</v>
      </c>
      <c r="D82" s="11" t="str">
        <f ca="1">+WORLDCUP!BD64</f>
        <v>Irán</v>
      </c>
      <c r="E82" s="11" t="str">
        <f ca="1">+WORLDCUP!BD59</f>
        <v>Catar</v>
      </c>
      <c r="F82" s="11" t="str">
        <f ca="1">+WORLDCUP!BD61</f>
        <v>Australia</v>
      </c>
      <c r="G82" s="11" t="str">
        <f ca="1">+WORLDCUP!BD67</f>
        <v>Austria</v>
      </c>
      <c r="H82" s="11" t="str">
        <f ca="1">+WORLDCUP!BD63</f>
        <v>Suecia</v>
      </c>
      <c r="I82" s="11" t="str">
        <f ca="1">+WORLDCUP!BD62</f>
        <v>Costa de Marfil</v>
      </c>
      <c r="J82" s="11" t="str">
        <f ca="1">+WORLDCUP!BD66</f>
        <v>Irak</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Arabia Saudita</v>
      </c>
      <c r="D83" s="11" t="str">
        <f ca="1">+WORLDCUP!BD67</f>
        <v>Austria</v>
      </c>
      <c r="E83" s="11" t="str">
        <f ca="1">+WORLDCUP!BD59</f>
        <v>Catar</v>
      </c>
      <c r="F83" s="11" t="str">
        <f ca="1">+WORLDCUP!BD60</f>
        <v>Haití</v>
      </c>
      <c r="G83" s="11" t="str">
        <f ca="1">+WORLDCUP!BD66</f>
        <v>Irak</v>
      </c>
      <c r="H83" s="11" t="str">
        <f ca="1">+WORLDCUP!BD64</f>
        <v>Irán</v>
      </c>
      <c r="I83" s="11" t="str">
        <f ca="1">+WORLDCUP!BD69</f>
        <v>Ghana</v>
      </c>
      <c r="J83" s="11" t="str">
        <f ca="1">+WORLDCUP!BD68</f>
        <v>Uzbekistán</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Arabia Saudita</v>
      </c>
      <c r="D84" s="11" t="str">
        <f ca="1">+WORLDCUP!BD67</f>
        <v>Austria</v>
      </c>
      <c r="E84" s="11" t="str">
        <f ca="1">+WORLDCUP!BD59</f>
        <v>Catar</v>
      </c>
      <c r="F84" s="11" t="str">
        <f ca="1">+WORLDCUP!BD60</f>
        <v>Haití</v>
      </c>
      <c r="G84" s="11" t="str">
        <f ca="1">+WORLDCUP!BD66</f>
        <v>Irak</v>
      </c>
      <c r="H84" s="11" t="str">
        <f ca="1">+WORLDCUP!BD63</f>
        <v>Suecia</v>
      </c>
      <c r="I84" s="11" t="str">
        <f ca="1">+WORLDCUP!BD69</f>
        <v>Ghana</v>
      </c>
      <c r="J84" s="11" t="str">
        <f ca="1">+WORLDCUP!BD68</f>
        <v>Uzbekistán</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Irak</v>
      </c>
      <c r="D85" s="11" t="str">
        <f ca="1">+WORLDCUP!BD64</f>
        <v>Irán</v>
      </c>
      <c r="E85" s="11" t="str">
        <f ca="1">+WORLDCUP!BD59</f>
        <v>Catar</v>
      </c>
      <c r="F85" s="11" t="str">
        <f ca="1">+WORLDCUP!BD60</f>
        <v>Haití</v>
      </c>
      <c r="G85" s="11" t="str">
        <f ca="1">+WORLDCUP!BD67</f>
        <v>Austria</v>
      </c>
      <c r="H85" s="11" t="str">
        <f ca="1">+WORLDCUP!BD63</f>
        <v>Suecia</v>
      </c>
      <c r="I85" s="11" t="str">
        <f ca="1">+WORLDCUP!BD69</f>
        <v>Ghana</v>
      </c>
      <c r="J85" s="11" t="str">
        <f ca="1">+WORLDCUP!BD68</f>
        <v>Uzbekistán</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Arabia Saudita</v>
      </c>
      <c r="D86" s="11" t="str">
        <f ca="1">+WORLDCUP!BD64</f>
        <v>Irán</v>
      </c>
      <c r="E86" s="11" t="str">
        <f ca="1">+WORLDCUP!BD59</f>
        <v>Catar</v>
      </c>
      <c r="F86" s="11" t="str">
        <f ca="1">+WORLDCUP!BD60</f>
        <v>Haití</v>
      </c>
      <c r="G86" s="11" t="str">
        <f ca="1">+WORLDCUP!BD67</f>
        <v>Austria</v>
      </c>
      <c r="H86" s="11" t="str">
        <f ca="1">+WORLDCUP!BD63</f>
        <v>Suecia</v>
      </c>
      <c r="I86" s="11" t="str">
        <f ca="1">+WORLDCUP!BD69</f>
        <v>Ghana</v>
      </c>
      <c r="J86" s="11" t="str">
        <f ca="1">+WORLDCUP!BD68</f>
        <v>Uzbekistán</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Arabia Saudita</v>
      </c>
      <c r="D87" s="11" t="str">
        <f ca="1">+WORLDCUP!BD64</f>
        <v>Irán</v>
      </c>
      <c r="E87" s="11" t="str">
        <f ca="1">+WORLDCUP!BD59</f>
        <v>Catar</v>
      </c>
      <c r="F87" s="11" t="str">
        <f ca="1">+WORLDCUP!BD60</f>
        <v>Haití</v>
      </c>
      <c r="G87" s="11" t="str">
        <f ca="1">+WORLDCUP!BD66</f>
        <v>Irak</v>
      </c>
      <c r="H87" s="11" t="str">
        <f ca="1">+WORLDCUP!BD63</f>
        <v>Suecia</v>
      </c>
      <c r="I87" s="11" t="str">
        <f ca="1">+WORLDCUP!BD69</f>
        <v>Ghana</v>
      </c>
      <c r="J87" s="11" t="str">
        <f ca="1">+WORLDCUP!BD68</f>
        <v>Uzbekistán</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Arabia Saudita</v>
      </c>
      <c r="D88" s="11" t="str">
        <f ca="1">+WORLDCUP!BD64</f>
        <v>Irán</v>
      </c>
      <c r="E88" s="11" t="str">
        <f ca="1">+WORLDCUP!BD59</f>
        <v>Catar</v>
      </c>
      <c r="F88" s="11" t="str">
        <f ca="1">+WORLDCUP!BD60</f>
        <v>Haití</v>
      </c>
      <c r="G88" s="11" t="str">
        <f ca="1">+WORLDCUP!BD67</f>
        <v>Austria</v>
      </c>
      <c r="H88" s="11" t="str">
        <f ca="1">+WORLDCUP!BD63</f>
        <v>Suecia</v>
      </c>
      <c r="I88" s="11" t="str">
        <f ca="1">+WORLDCUP!BD69</f>
        <v>Ghana</v>
      </c>
      <c r="J88" s="11" t="str">
        <f ca="1">+WORLDCUP!BD66</f>
        <v>Irak</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Arabia Saudita</v>
      </c>
      <c r="D89" s="11" t="str">
        <f ca="1">+WORLDCUP!BD64</f>
        <v>Irán</v>
      </c>
      <c r="E89" s="11" t="str">
        <f ca="1">+WORLDCUP!BD59</f>
        <v>Catar</v>
      </c>
      <c r="F89" s="11" t="str">
        <f ca="1">+WORLDCUP!BD60</f>
        <v>Haití</v>
      </c>
      <c r="G89" s="11" t="str">
        <f ca="1">+WORLDCUP!BD67</f>
        <v>Austria</v>
      </c>
      <c r="H89" s="11" t="str">
        <f ca="1">+WORLDCUP!BD63</f>
        <v>Suecia</v>
      </c>
      <c r="I89" s="11" t="str">
        <f ca="1">+WORLDCUP!BD66</f>
        <v>Irak</v>
      </c>
      <c r="J89" s="11" t="str">
        <f ca="1">+WORLDCUP!BD68</f>
        <v>Uzbekistán</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Costa de Marfil</v>
      </c>
      <c r="D90" s="11" t="str">
        <f ca="1">+WORLDCUP!BD67</f>
        <v>Austria</v>
      </c>
      <c r="E90" s="11" t="str">
        <f ca="1">+WORLDCUP!BD59</f>
        <v>Catar</v>
      </c>
      <c r="F90" s="11" t="str">
        <f ca="1">+WORLDCUP!BD60</f>
        <v>Haití</v>
      </c>
      <c r="G90" s="11" t="str">
        <f ca="1">+WORLDCUP!BD66</f>
        <v>Irak</v>
      </c>
      <c r="H90" s="11" t="str">
        <f ca="1">+WORLDCUP!BD65</f>
        <v>Arabia Saudita</v>
      </c>
      <c r="I90" s="11" t="str">
        <f ca="1">+WORLDCUP!BD69</f>
        <v>Ghana</v>
      </c>
      <c r="J90" s="11" t="str">
        <f ca="1">+WORLDCUP!BD68</f>
        <v>Uzbekistán</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Costa de Marfil</v>
      </c>
      <c r="D91" s="11" t="str">
        <f ca="1">+WORLDCUP!BD67</f>
        <v>Austria</v>
      </c>
      <c r="E91" s="11" t="str">
        <f ca="1">+WORLDCUP!BD59</f>
        <v>Catar</v>
      </c>
      <c r="F91" s="11" t="str">
        <f ca="1">+WORLDCUP!BD60</f>
        <v>Haití</v>
      </c>
      <c r="G91" s="11" t="str">
        <f ca="1">+WORLDCUP!BD66</f>
        <v>Irak</v>
      </c>
      <c r="H91" s="11" t="str">
        <f ca="1">+WORLDCUP!BD64</f>
        <v>Irán</v>
      </c>
      <c r="I91" s="11" t="str">
        <f ca="1">+WORLDCUP!BD69</f>
        <v>Ghana</v>
      </c>
      <c r="J91" s="11" t="str">
        <f ca="1">+WORLDCUP!BD68</f>
        <v>Uzbekistán</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Costa de Marfil</v>
      </c>
      <c r="D92" s="11" t="str">
        <f ca="1">+WORLDCUP!BD67</f>
        <v>Austria</v>
      </c>
      <c r="E92" s="11" t="str">
        <f ca="1">+WORLDCUP!BD59</f>
        <v>Catar</v>
      </c>
      <c r="F92" s="11" t="str">
        <f ca="1">+WORLDCUP!BD60</f>
        <v>Haití</v>
      </c>
      <c r="G92" s="11" t="str">
        <f ca="1">+WORLDCUP!BD65</f>
        <v>Arabia Saudita</v>
      </c>
      <c r="H92" s="11" t="str">
        <f ca="1">+WORLDCUP!BD64</f>
        <v>Irán</v>
      </c>
      <c r="I92" s="11" t="str">
        <f ca="1">+WORLDCUP!BD69</f>
        <v>Ghana</v>
      </c>
      <c r="J92" s="11" t="str">
        <f ca="1">+WORLDCUP!BD68</f>
        <v>Uzbekistán</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Costa de Marfil</v>
      </c>
      <c r="D93" s="11" t="str">
        <f ca="1">+WORLDCUP!BD64</f>
        <v>Irán</v>
      </c>
      <c r="E93" s="11" t="str">
        <f ca="1">+WORLDCUP!BD59</f>
        <v>Catar</v>
      </c>
      <c r="F93" s="11" t="str">
        <f ca="1">+WORLDCUP!BD60</f>
        <v>Haití</v>
      </c>
      <c r="G93" s="11" t="str">
        <f ca="1">+WORLDCUP!BD66</f>
        <v>Irak</v>
      </c>
      <c r="H93" s="11" t="str">
        <f ca="1">+WORLDCUP!BD65</f>
        <v>Arabia Saudita</v>
      </c>
      <c r="I93" s="11" t="str">
        <f ca="1">+WORLDCUP!BD69</f>
        <v>Ghana</v>
      </c>
      <c r="J93" s="11" t="str">
        <f ca="1">+WORLDCUP!BD68</f>
        <v>Uzbekistán</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Costa de Marfil</v>
      </c>
      <c r="D94" s="11" t="str">
        <f ca="1">+WORLDCUP!BD67</f>
        <v>Austria</v>
      </c>
      <c r="E94" s="11" t="str">
        <f ca="1">+WORLDCUP!BD59</f>
        <v>Catar</v>
      </c>
      <c r="F94" s="11" t="str">
        <f ca="1">+WORLDCUP!BD60</f>
        <v>Haití</v>
      </c>
      <c r="G94" s="11" t="str">
        <f ca="1">+WORLDCUP!BD65</f>
        <v>Arabia Saudita</v>
      </c>
      <c r="H94" s="11" t="str">
        <f ca="1">+WORLDCUP!BD64</f>
        <v>Irán</v>
      </c>
      <c r="I94" s="11" t="str">
        <f ca="1">+WORLDCUP!BD69</f>
        <v>Ghana</v>
      </c>
      <c r="J94" s="11" t="str">
        <f ca="1">+WORLDCUP!BD66</f>
        <v>Irak</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Costa de Marfil</v>
      </c>
      <c r="D95" s="11" t="str">
        <f ca="1">+WORLDCUP!BD67</f>
        <v>Austria</v>
      </c>
      <c r="E95" s="11" t="str">
        <f ca="1">+WORLDCUP!BD59</f>
        <v>Catar</v>
      </c>
      <c r="F95" s="11" t="str">
        <f ca="1">+WORLDCUP!BD60</f>
        <v>Haití</v>
      </c>
      <c r="G95" s="11" t="str">
        <f ca="1">+WORLDCUP!BD65</f>
        <v>Arabia Saudita</v>
      </c>
      <c r="H95" s="11" t="str">
        <f ca="1">+WORLDCUP!BD64</f>
        <v>Irán</v>
      </c>
      <c r="I95" s="11" t="str">
        <f ca="1">+WORLDCUP!BD66</f>
        <v>Irak</v>
      </c>
      <c r="J95" s="11" t="str">
        <f ca="1">+WORLDCUP!BD68</f>
        <v>Uzbekistán</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Costa de Marfil</v>
      </c>
      <c r="D96" s="11" t="str">
        <f ca="1">+WORLDCUP!BD67</f>
        <v>Austria</v>
      </c>
      <c r="E96" s="11" t="str">
        <f ca="1">+WORLDCUP!BD59</f>
        <v>Catar</v>
      </c>
      <c r="F96" s="11" t="str">
        <f ca="1">+WORLDCUP!BD60</f>
        <v>Haití</v>
      </c>
      <c r="G96" s="11" t="str">
        <f ca="1">+WORLDCUP!BD66</f>
        <v>Irak</v>
      </c>
      <c r="H96" s="11" t="str">
        <f ca="1">+WORLDCUP!BD63</f>
        <v>Suecia</v>
      </c>
      <c r="I96" s="11" t="str">
        <f ca="1">+WORLDCUP!BD69</f>
        <v>Ghana</v>
      </c>
      <c r="J96" s="11" t="str">
        <f ca="1">+WORLDCUP!BD68</f>
        <v>Uzbekistán</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Costa de Marfil</v>
      </c>
      <c r="D97" s="11" t="str">
        <f ca="1">+WORLDCUP!BD67</f>
        <v>Austria</v>
      </c>
      <c r="E97" s="11" t="str">
        <f ca="1">+WORLDCUP!BD59</f>
        <v>Catar</v>
      </c>
      <c r="F97" s="11" t="str">
        <f ca="1">+WORLDCUP!BD60</f>
        <v>Haití</v>
      </c>
      <c r="G97" s="11" t="str">
        <f ca="1">+WORLDCUP!BD65</f>
        <v>Arabia Saudita</v>
      </c>
      <c r="H97" s="11" t="str">
        <f ca="1">+WORLDCUP!BD63</f>
        <v>Suecia</v>
      </c>
      <c r="I97" s="11" t="str">
        <f ca="1">+WORLDCUP!BD69</f>
        <v>Ghana</v>
      </c>
      <c r="J97" s="11" t="str">
        <f ca="1">+WORLDCUP!BD68</f>
        <v>Uzbekistán</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Costa de Marfil</v>
      </c>
      <c r="D98" s="11" t="str">
        <f ca="1">+WORLDCUP!BD66</f>
        <v>Irak</v>
      </c>
      <c r="E98" s="11" t="str">
        <f ca="1">+WORLDCUP!BD59</f>
        <v>Catar</v>
      </c>
      <c r="F98" s="11" t="str">
        <f ca="1">+WORLDCUP!BD60</f>
        <v>Haití</v>
      </c>
      <c r="G98" s="11" t="str">
        <f ca="1">+WORLDCUP!BD65</f>
        <v>Arabia Saudita</v>
      </c>
      <c r="H98" s="11" t="str">
        <f ca="1">+WORLDCUP!BD63</f>
        <v>Suecia</v>
      </c>
      <c r="I98" s="11" t="str">
        <f ca="1">+WORLDCUP!BD69</f>
        <v>Ghana</v>
      </c>
      <c r="J98" s="11" t="str">
        <f ca="1">+WORLDCUP!BD68</f>
        <v>Uzbekistán</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Costa de Marfil</v>
      </c>
      <c r="D99" s="11" t="str">
        <f ca="1">+WORLDCUP!BD67</f>
        <v>Austria</v>
      </c>
      <c r="E99" s="11" t="str">
        <f ca="1">+WORLDCUP!BD59</f>
        <v>Catar</v>
      </c>
      <c r="F99" s="11" t="str">
        <f ca="1">+WORLDCUP!BD60</f>
        <v>Haití</v>
      </c>
      <c r="G99" s="11" t="str">
        <f ca="1">+WORLDCUP!BD65</f>
        <v>Arabia Saudita</v>
      </c>
      <c r="H99" s="11" t="str">
        <f ca="1">+WORLDCUP!BD63</f>
        <v>Suecia</v>
      </c>
      <c r="I99" s="11" t="str">
        <f ca="1">+WORLDCUP!BD69</f>
        <v>Ghana</v>
      </c>
      <c r="J99" s="11" t="str">
        <f ca="1">+WORLDCUP!BD66</f>
        <v>Irak</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Costa de Marfil</v>
      </c>
      <c r="D100" s="11" t="str">
        <f ca="1">+WORLDCUP!BD67</f>
        <v>Austria</v>
      </c>
      <c r="E100" s="11" t="str">
        <f ca="1">+WORLDCUP!BD59</f>
        <v>Catar</v>
      </c>
      <c r="F100" s="11" t="str">
        <f ca="1">+WORLDCUP!BD60</f>
        <v>Haití</v>
      </c>
      <c r="G100" s="11" t="str">
        <f ca="1">+WORLDCUP!BD65</f>
        <v>Arabia Saudita</v>
      </c>
      <c r="H100" s="11" t="str">
        <f ca="1">+WORLDCUP!BD63</f>
        <v>Suecia</v>
      </c>
      <c r="I100" s="11" t="str">
        <f ca="1">+WORLDCUP!BD66</f>
        <v>Irak</v>
      </c>
      <c r="J100" s="11" t="str">
        <f ca="1">+WORLDCUP!BD68</f>
        <v>Uzbekistán</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Costa de Marfil</v>
      </c>
      <c r="D101" s="11" t="str">
        <f ca="1">+WORLDCUP!BD64</f>
        <v>Irán</v>
      </c>
      <c r="E101" s="11" t="str">
        <f ca="1">+WORLDCUP!BD59</f>
        <v>Catar</v>
      </c>
      <c r="F101" s="11" t="str">
        <f ca="1">+WORLDCUP!BD60</f>
        <v>Haití</v>
      </c>
      <c r="G101" s="11" t="str">
        <f ca="1">+WORLDCUP!BD67</f>
        <v>Austria</v>
      </c>
      <c r="H101" s="11" t="str">
        <f ca="1">+WORLDCUP!BD63</f>
        <v>Suecia</v>
      </c>
      <c r="I101" s="11" t="str">
        <f ca="1">+WORLDCUP!BD69</f>
        <v>Ghana</v>
      </c>
      <c r="J101" s="11" t="str">
        <f ca="1">+WORLDCUP!BD68</f>
        <v>Uzbekistán</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Costa de Marfil</v>
      </c>
      <c r="D102" s="11" t="str">
        <f ca="1">+WORLDCUP!BD64</f>
        <v>Irán</v>
      </c>
      <c r="E102" s="11" t="str">
        <f ca="1">+WORLDCUP!BD59</f>
        <v>Catar</v>
      </c>
      <c r="F102" s="11" t="str">
        <f ca="1">+WORLDCUP!BD60</f>
        <v>Haití</v>
      </c>
      <c r="G102" s="11" t="str">
        <f ca="1">+WORLDCUP!BD66</f>
        <v>Irak</v>
      </c>
      <c r="H102" s="11" t="str">
        <f ca="1">+WORLDCUP!BD63</f>
        <v>Suecia</v>
      </c>
      <c r="I102" s="11" t="str">
        <f ca="1">+WORLDCUP!BD69</f>
        <v>Ghana</v>
      </c>
      <c r="J102" s="11" t="str">
        <f ca="1">+WORLDCUP!BD68</f>
        <v>Uzbekistán</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Costa de Marfil</v>
      </c>
      <c r="D103" s="11" t="str">
        <f ca="1">+WORLDCUP!BD64</f>
        <v>Irán</v>
      </c>
      <c r="E103" s="11" t="str">
        <f ca="1">+WORLDCUP!BD59</f>
        <v>Catar</v>
      </c>
      <c r="F103" s="11" t="str">
        <f ca="1">+WORLDCUP!BD60</f>
        <v>Haití</v>
      </c>
      <c r="G103" s="11" t="str">
        <f ca="1">+WORLDCUP!BD67</f>
        <v>Austria</v>
      </c>
      <c r="H103" s="11" t="str">
        <f ca="1">+WORLDCUP!BD63</f>
        <v>Suecia</v>
      </c>
      <c r="I103" s="11" t="str">
        <f ca="1">+WORLDCUP!BD69</f>
        <v>Ghana</v>
      </c>
      <c r="J103" s="11" t="str">
        <f ca="1">+WORLDCUP!BD66</f>
        <v>Irak</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Costa de Marfil</v>
      </c>
      <c r="D104" s="11" t="str">
        <f ca="1">+WORLDCUP!BD64</f>
        <v>Irán</v>
      </c>
      <c r="E104" s="11" t="str">
        <f ca="1">+WORLDCUP!BD59</f>
        <v>Catar</v>
      </c>
      <c r="F104" s="11" t="str">
        <f ca="1">+WORLDCUP!BD60</f>
        <v>Haití</v>
      </c>
      <c r="G104" s="11" t="str">
        <f ca="1">+WORLDCUP!BD67</f>
        <v>Austria</v>
      </c>
      <c r="H104" s="11" t="str">
        <f ca="1">+WORLDCUP!BD63</f>
        <v>Suecia</v>
      </c>
      <c r="I104" s="11" t="str">
        <f ca="1">+WORLDCUP!BD66</f>
        <v>Irak</v>
      </c>
      <c r="J104" s="11" t="str">
        <f ca="1">+WORLDCUP!BD68</f>
        <v>Uzbekistán</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Costa de Marfil</v>
      </c>
      <c r="D105" s="11" t="str">
        <f ca="1">+WORLDCUP!BD64</f>
        <v>Irán</v>
      </c>
      <c r="E105" s="11" t="str">
        <f ca="1">+WORLDCUP!BD59</f>
        <v>Catar</v>
      </c>
      <c r="F105" s="11" t="str">
        <f ca="1">+WORLDCUP!BD60</f>
        <v>Haití</v>
      </c>
      <c r="G105" s="11" t="str">
        <f ca="1">+WORLDCUP!BD65</f>
        <v>Arabia Saudita</v>
      </c>
      <c r="H105" s="11" t="str">
        <f ca="1">+WORLDCUP!BD63</f>
        <v>Suecia</v>
      </c>
      <c r="I105" s="11" t="str">
        <f ca="1">+WORLDCUP!BD69</f>
        <v>Ghana</v>
      </c>
      <c r="J105" s="11" t="str">
        <f ca="1">+WORLDCUP!BD68</f>
        <v>Uzbekistán</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Arabia Saudita</v>
      </c>
      <c r="D106" s="11" t="str">
        <f ca="1">+WORLDCUP!BD64</f>
        <v>Irán</v>
      </c>
      <c r="E106" s="11" t="str">
        <f ca="1">+WORLDCUP!BD59</f>
        <v>Catar</v>
      </c>
      <c r="F106" s="11" t="str">
        <f ca="1">+WORLDCUP!BD60</f>
        <v>Haití</v>
      </c>
      <c r="G106" s="11" t="str">
        <f ca="1">+WORLDCUP!BD67</f>
        <v>Austria</v>
      </c>
      <c r="H106" s="11" t="str">
        <f ca="1">+WORLDCUP!BD63</f>
        <v>Suecia</v>
      </c>
      <c r="I106" s="11" t="str">
        <f ca="1">+WORLDCUP!BD69</f>
        <v>Ghana</v>
      </c>
      <c r="J106" s="11" t="str">
        <f ca="1">+WORLDCUP!BD62</f>
        <v>Costa de Marfil</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Arabia Saudita</v>
      </c>
      <c r="D107" s="11" t="str">
        <f ca="1">+WORLDCUP!BD64</f>
        <v>Irán</v>
      </c>
      <c r="E107" s="11" t="str">
        <f ca="1">+WORLDCUP!BD59</f>
        <v>Catar</v>
      </c>
      <c r="F107" s="11" t="str">
        <f ca="1">+WORLDCUP!BD60</f>
        <v>Haití</v>
      </c>
      <c r="G107" s="11" t="str">
        <f ca="1">+WORLDCUP!BD67</f>
        <v>Austria</v>
      </c>
      <c r="H107" s="11" t="str">
        <f ca="1">+WORLDCUP!BD63</f>
        <v>Suecia</v>
      </c>
      <c r="I107" s="11" t="str">
        <f ca="1">+WORLDCUP!BD62</f>
        <v>Costa de Marfil</v>
      </c>
      <c r="J107" s="11" t="str">
        <f ca="1">+WORLDCUP!BD68</f>
        <v>Uzbekistán</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Costa de Marfil</v>
      </c>
      <c r="D108" s="11" t="str">
        <f ca="1">+WORLDCUP!BD64</f>
        <v>Irán</v>
      </c>
      <c r="E108" s="11" t="str">
        <f ca="1">+WORLDCUP!BD59</f>
        <v>Catar</v>
      </c>
      <c r="F108" s="11" t="str">
        <f ca="1">+WORLDCUP!BD60</f>
        <v>Haití</v>
      </c>
      <c r="G108" s="11" t="str">
        <f ca="1">+WORLDCUP!BD65</f>
        <v>Arabia Saudita</v>
      </c>
      <c r="H108" s="11" t="str">
        <f ca="1">+WORLDCUP!BD63</f>
        <v>Suecia</v>
      </c>
      <c r="I108" s="11" t="str">
        <f ca="1">+WORLDCUP!BD69</f>
        <v>Ghana</v>
      </c>
      <c r="J108" s="11" t="str">
        <f ca="1">+WORLDCUP!BD66</f>
        <v>Irak</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Costa de Marfil</v>
      </c>
      <c r="D109" s="11" t="str">
        <f ca="1">+WORLDCUP!BD64</f>
        <v>Irán</v>
      </c>
      <c r="E109" s="11" t="str">
        <f ca="1">+WORLDCUP!BD59</f>
        <v>Catar</v>
      </c>
      <c r="F109" s="11" t="str">
        <f ca="1">+WORLDCUP!BD60</f>
        <v>Haití</v>
      </c>
      <c r="G109" s="11" t="str">
        <f ca="1">+WORLDCUP!BD65</f>
        <v>Arabia Saudita</v>
      </c>
      <c r="H109" s="11" t="str">
        <f ca="1">+WORLDCUP!BD63</f>
        <v>Suecia</v>
      </c>
      <c r="I109" s="11" t="str">
        <f ca="1">+WORLDCUP!BD66</f>
        <v>Irak</v>
      </c>
      <c r="J109" s="11" t="str">
        <f ca="1">+WORLDCUP!BD68</f>
        <v>Uzbekistán</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Arabia Saudita</v>
      </c>
      <c r="D110" s="11" t="str">
        <f ca="1">+WORLDCUP!BD64</f>
        <v>Irán</v>
      </c>
      <c r="E110" s="11" t="str">
        <f ca="1">+WORLDCUP!BD59</f>
        <v>Catar</v>
      </c>
      <c r="F110" s="11" t="str">
        <f ca="1">+WORLDCUP!BD60</f>
        <v>Haití</v>
      </c>
      <c r="G110" s="11" t="str">
        <f ca="1">+WORLDCUP!BD67</f>
        <v>Austria</v>
      </c>
      <c r="H110" s="11" t="str">
        <f ca="1">+WORLDCUP!BD63</f>
        <v>Suecia</v>
      </c>
      <c r="I110" s="11" t="str">
        <f ca="1">+WORLDCUP!BD62</f>
        <v>Costa de Marfil</v>
      </c>
      <c r="J110" s="11" t="str">
        <f ca="1">+WORLDCUP!BD66</f>
        <v>Irak</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Arabia Saudita</v>
      </c>
      <c r="D111" s="11" t="str">
        <f ca="1">+WORLDCUP!BD67</f>
        <v>Austria</v>
      </c>
      <c r="E111" s="11" t="str">
        <f ca="1">+WORLDCUP!BD59</f>
        <v>Catar</v>
      </c>
      <c r="F111" s="11" t="str">
        <f ca="1">+WORLDCUP!BD60</f>
        <v>Haití</v>
      </c>
      <c r="G111" s="11" t="str">
        <f ca="1">+WORLDCUP!BD66</f>
        <v>Irak</v>
      </c>
      <c r="H111" s="11" t="str">
        <f ca="1">+WORLDCUP!BD61</f>
        <v>Australia</v>
      </c>
      <c r="I111" s="11" t="str">
        <f ca="1">+WORLDCUP!BD69</f>
        <v>Ghana</v>
      </c>
      <c r="J111" s="11" t="str">
        <f ca="1">+WORLDCUP!BD68</f>
        <v>Uzbekistán</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Irak</v>
      </c>
      <c r="D112" s="11" t="str">
        <f ca="1">+WORLDCUP!BD64</f>
        <v>Irán</v>
      </c>
      <c r="E112" s="11" t="str">
        <f ca="1">+WORLDCUP!BD59</f>
        <v>Catar</v>
      </c>
      <c r="F112" s="11" t="str">
        <f ca="1">+WORLDCUP!BD60</f>
        <v>Haití</v>
      </c>
      <c r="G112" s="11" t="str">
        <f ca="1">+WORLDCUP!BD67</f>
        <v>Austria</v>
      </c>
      <c r="H112" s="11" t="str">
        <f ca="1">+WORLDCUP!BD61</f>
        <v>Australia</v>
      </c>
      <c r="I112" s="11" t="str">
        <f ca="1">+WORLDCUP!BD69</f>
        <v>Ghana</v>
      </c>
      <c r="J112" s="11" t="str">
        <f ca="1">+WORLDCUP!BD68</f>
        <v>Uzbekistán</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Arabia Saudita</v>
      </c>
      <c r="D113" s="11" t="str">
        <f ca="1">+WORLDCUP!BD64</f>
        <v>Irán</v>
      </c>
      <c r="E113" s="11" t="str">
        <f ca="1">+WORLDCUP!BD59</f>
        <v>Catar</v>
      </c>
      <c r="F113" s="11" t="str">
        <f ca="1">+WORLDCUP!BD60</f>
        <v>Haití</v>
      </c>
      <c r="G113" s="11" t="str">
        <f ca="1">+WORLDCUP!BD67</f>
        <v>Austria</v>
      </c>
      <c r="H113" s="11" t="str">
        <f ca="1">+WORLDCUP!BD61</f>
        <v>Australia</v>
      </c>
      <c r="I113" s="11" t="str">
        <f ca="1">+WORLDCUP!BD69</f>
        <v>Ghana</v>
      </c>
      <c r="J113" s="11" t="str">
        <f ca="1">+WORLDCUP!BD68</f>
        <v>Uzbekistán</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Arabia Saudita</v>
      </c>
      <c r="D114" s="11" t="str">
        <f ca="1">+WORLDCUP!BD64</f>
        <v>Irán</v>
      </c>
      <c r="E114" s="11" t="str">
        <f ca="1">+WORLDCUP!BD59</f>
        <v>Catar</v>
      </c>
      <c r="F114" s="11" t="str">
        <f ca="1">+WORLDCUP!BD60</f>
        <v>Haití</v>
      </c>
      <c r="G114" s="11" t="str">
        <f ca="1">+WORLDCUP!BD66</f>
        <v>Irak</v>
      </c>
      <c r="H114" s="11" t="str">
        <f ca="1">+WORLDCUP!BD61</f>
        <v>Australia</v>
      </c>
      <c r="I114" s="11" t="str">
        <f ca="1">+WORLDCUP!BD69</f>
        <v>Ghana</v>
      </c>
      <c r="J114" s="11" t="str">
        <f ca="1">+WORLDCUP!BD68</f>
        <v>Uzbekistán</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Arabia Saudita</v>
      </c>
      <c r="D115" s="11" t="str">
        <f ca="1">+WORLDCUP!BD64</f>
        <v>Irán</v>
      </c>
      <c r="E115" s="11" t="str">
        <f ca="1">+WORLDCUP!BD59</f>
        <v>Catar</v>
      </c>
      <c r="F115" s="11" t="str">
        <f ca="1">+WORLDCUP!BD60</f>
        <v>Haití</v>
      </c>
      <c r="G115" s="11" t="str">
        <f ca="1">+WORLDCUP!BD67</f>
        <v>Austria</v>
      </c>
      <c r="H115" s="11" t="str">
        <f ca="1">+WORLDCUP!BD61</f>
        <v>Australia</v>
      </c>
      <c r="I115" s="11" t="str">
        <f ca="1">+WORLDCUP!BD69</f>
        <v>Ghana</v>
      </c>
      <c r="J115" s="11" t="str">
        <f ca="1">+WORLDCUP!BD66</f>
        <v>Irak</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Arabia Saudita</v>
      </c>
      <c r="D116" s="11" t="str">
        <f ca="1">+WORLDCUP!BD64</f>
        <v>Irán</v>
      </c>
      <c r="E116" s="11" t="str">
        <f ca="1">+WORLDCUP!BD59</f>
        <v>Catar</v>
      </c>
      <c r="F116" s="11" t="str">
        <f ca="1">+WORLDCUP!BD60</f>
        <v>Haití</v>
      </c>
      <c r="G116" s="11" t="str">
        <f ca="1">+WORLDCUP!BD67</f>
        <v>Austria</v>
      </c>
      <c r="H116" s="11" t="str">
        <f ca="1">+WORLDCUP!BD61</f>
        <v>Australia</v>
      </c>
      <c r="I116" s="11" t="str">
        <f ca="1">+WORLDCUP!BD66</f>
        <v>Irak</v>
      </c>
      <c r="J116" s="11" t="str">
        <f ca="1">+WORLDCUP!BD68</f>
        <v>Uzbekistán</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Haití</v>
      </c>
      <c r="D117" s="11" t="str">
        <f ca="1">+WORLDCUP!BD67</f>
        <v>Austria</v>
      </c>
      <c r="E117" s="11" t="str">
        <f ca="1">+WORLDCUP!BD59</f>
        <v>Catar</v>
      </c>
      <c r="F117" s="11" t="str">
        <f ca="1">+WORLDCUP!BD61</f>
        <v>Australia</v>
      </c>
      <c r="G117" s="11" t="str">
        <f ca="1">+WORLDCUP!BD66</f>
        <v>Irak</v>
      </c>
      <c r="H117" s="11" t="str">
        <f ca="1">+WORLDCUP!BD63</f>
        <v>Suecia</v>
      </c>
      <c r="I117" s="11" t="str">
        <f ca="1">+WORLDCUP!BD69</f>
        <v>Ghana</v>
      </c>
      <c r="J117" s="11" t="str">
        <f ca="1">+WORLDCUP!BD68</f>
        <v>Uzbekistán</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Haití</v>
      </c>
      <c r="D118" s="11" t="str">
        <f ca="1">+WORLDCUP!BD67</f>
        <v>Austria</v>
      </c>
      <c r="E118" s="11" t="str">
        <f ca="1">+WORLDCUP!BD59</f>
        <v>Catar</v>
      </c>
      <c r="F118" s="11" t="str">
        <f ca="1">+WORLDCUP!BD61</f>
        <v>Australia</v>
      </c>
      <c r="G118" s="11" t="str">
        <f ca="1">+WORLDCUP!BD65</f>
        <v>Arabia Saudita</v>
      </c>
      <c r="H118" s="11" t="str">
        <f ca="1">+WORLDCUP!BD63</f>
        <v>Suecia</v>
      </c>
      <c r="I118" s="11" t="str">
        <f ca="1">+WORLDCUP!BD69</f>
        <v>Ghana</v>
      </c>
      <c r="J118" s="11" t="str">
        <f ca="1">+WORLDCUP!BD68</f>
        <v>Uzbekistán</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Haití</v>
      </c>
      <c r="D119" s="11" t="str">
        <f ca="1">+WORLDCUP!BD66</f>
        <v>Irak</v>
      </c>
      <c r="E119" s="11" t="str">
        <f ca="1">+WORLDCUP!BD59</f>
        <v>Catar</v>
      </c>
      <c r="F119" s="11" t="str">
        <f ca="1">+WORLDCUP!BD61</f>
        <v>Australia</v>
      </c>
      <c r="G119" s="11" t="str">
        <f ca="1">+WORLDCUP!BD65</f>
        <v>Arabia Saudita</v>
      </c>
      <c r="H119" s="11" t="str">
        <f ca="1">+WORLDCUP!BD63</f>
        <v>Suecia</v>
      </c>
      <c r="I119" s="11" t="str">
        <f ca="1">+WORLDCUP!BD69</f>
        <v>Ghana</v>
      </c>
      <c r="J119" s="11" t="str">
        <f ca="1">+WORLDCUP!BD68</f>
        <v>Uzbekistán</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Haití</v>
      </c>
      <c r="D120" s="11" t="str">
        <f ca="1">+WORLDCUP!BD67</f>
        <v>Austria</v>
      </c>
      <c r="E120" s="11" t="str">
        <f ca="1">+WORLDCUP!BD59</f>
        <v>Catar</v>
      </c>
      <c r="F120" s="11" t="str">
        <f ca="1">+WORLDCUP!BD61</f>
        <v>Australia</v>
      </c>
      <c r="G120" s="11" t="str">
        <f ca="1">+WORLDCUP!BD65</f>
        <v>Arabia Saudita</v>
      </c>
      <c r="H120" s="11" t="str">
        <f ca="1">+WORLDCUP!BD63</f>
        <v>Suecia</v>
      </c>
      <c r="I120" s="11" t="str">
        <f ca="1">+WORLDCUP!BD69</f>
        <v>Ghana</v>
      </c>
      <c r="J120" s="11" t="str">
        <f ca="1">+WORLDCUP!BD66</f>
        <v>Irak</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Haití</v>
      </c>
      <c r="D121" s="11" t="str">
        <f ca="1">+WORLDCUP!BD67</f>
        <v>Austria</v>
      </c>
      <c r="E121" s="11" t="str">
        <f ca="1">+WORLDCUP!BD59</f>
        <v>Catar</v>
      </c>
      <c r="F121" s="11" t="str">
        <f ca="1">+WORLDCUP!BD61</f>
        <v>Australia</v>
      </c>
      <c r="G121" s="11" t="str">
        <f ca="1">+WORLDCUP!BD65</f>
        <v>Arabia Saudita</v>
      </c>
      <c r="H121" s="11" t="str">
        <f ca="1">+WORLDCUP!BD63</f>
        <v>Suecia</v>
      </c>
      <c r="I121" s="11" t="str">
        <f ca="1">+WORLDCUP!BD66</f>
        <v>Irak</v>
      </c>
      <c r="J121" s="11" t="str">
        <f ca="1">+WORLDCUP!BD68</f>
        <v>Uzbekistán</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Haití</v>
      </c>
      <c r="D122" s="11" t="str">
        <f ca="1">+WORLDCUP!BD64</f>
        <v>Irán</v>
      </c>
      <c r="E122" s="11" t="str">
        <f ca="1">+WORLDCUP!BD59</f>
        <v>Catar</v>
      </c>
      <c r="F122" s="11" t="str">
        <f ca="1">+WORLDCUP!BD61</f>
        <v>Australia</v>
      </c>
      <c r="G122" s="11" t="str">
        <f ca="1">+WORLDCUP!BD67</f>
        <v>Austria</v>
      </c>
      <c r="H122" s="11" t="str">
        <f ca="1">+WORLDCUP!BD63</f>
        <v>Suecia</v>
      </c>
      <c r="I122" s="11" t="str">
        <f ca="1">+WORLDCUP!BD69</f>
        <v>Ghana</v>
      </c>
      <c r="J122" s="11" t="str">
        <f ca="1">+WORLDCUP!BD68</f>
        <v>Uzbekistán</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Haití</v>
      </c>
      <c r="D123" s="11" t="str">
        <f ca="1">+WORLDCUP!BD64</f>
        <v>Irán</v>
      </c>
      <c r="E123" s="11" t="str">
        <f ca="1">+WORLDCUP!BD59</f>
        <v>Catar</v>
      </c>
      <c r="F123" s="11" t="str">
        <f ca="1">+WORLDCUP!BD61</f>
        <v>Australia</v>
      </c>
      <c r="G123" s="11" t="str">
        <f ca="1">+WORLDCUP!BD66</f>
        <v>Irak</v>
      </c>
      <c r="H123" s="11" t="str">
        <f ca="1">+WORLDCUP!BD63</f>
        <v>Suecia</v>
      </c>
      <c r="I123" s="11" t="str">
        <f ca="1">+WORLDCUP!BD69</f>
        <v>Ghana</v>
      </c>
      <c r="J123" s="11" t="str">
        <f ca="1">+WORLDCUP!BD68</f>
        <v>Uzbekistán</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Haití</v>
      </c>
      <c r="D124" s="11" t="str">
        <f ca="1">+WORLDCUP!BD64</f>
        <v>Irán</v>
      </c>
      <c r="E124" s="11" t="str">
        <f ca="1">+WORLDCUP!BD59</f>
        <v>Catar</v>
      </c>
      <c r="F124" s="11" t="str">
        <f ca="1">+WORLDCUP!BD61</f>
        <v>Australia</v>
      </c>
      <c r="G124" s="11" t="str">
        <f ca="1">+WORLDCUP!BD67</f>
        <v>Austria</v>
      </c>
      <c r="H124" s="11" t="str">
        <f ca="1">+WORLDCUP!BD63</f>
        <v>Suecia</v>
      </c>
      <c r="I124" s="11" t="str">
        <f ca="1">+WORLDCUP!BD69</f>
        <v>Ghana</v>
      </c>
      <c r="J124" s="11" t="str">
        <f ca="1">+WORLDCUP!BD66</f>
        <v>Irak</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Haití</v>
      </c>
      <c r="D125" s="11" t="str">
        <f ca="1">+WORLDCUP!BD64</f>
        <v>Irán</v>
      </c>
      <c r="E125" s="11" t="str">
        <f ca="1">+WORLDCUP!BD59</f>
        <v>Catar</v>
      </c>
      <c r="F125" s="11" t="str">
        <f ca="1">+WORLDCUP!BD61</f>
        <v>Australia</v>
      </c>
      <c r="G125" s="11" t="str">
        <f ca="1">+WORLDCUP!BD67</f>
        <v>Austria</v>
      </c>
      <c r="H125" s="11" t="str">
        <f ca="1">+WORLDCUP!BD63</f>
        <v>Suecia</v>
      </c>
      <c r="I125" s="11" t="str">
        <f ca="1">+WORLDCUP!BD66</f>
        <v>Irak</v>
      </c>
      <c r="J125" s="11" t="str">
        <f ca="1">+WORLDCUP!BD68</f>
        <v>Uzbekistán</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Haití</v>
      </c>
      <c r="D126" s="11" t="str">
        <f ca="1">+WORLDCUP!BD64</f>
        <v>Irán</v>
      </c>
      <c r="E126" s="11" t="str">
        <f ca="1">+WORLDCUP!BD59</f>
        <v>Catar</v>
      </c>
      <c r="F126" s="11" t="str">
        <f ca="1">+WORLDCUP!BD61</f>
        <v>Australia</v>
      </c>
      <c r="G126" s="11" t="str">
        <f ca="1">+WORLDCUP!BD65</f>
        <v>Arabia Saudita</v>
      </c>
      <c r="H126" s="11" t="str">
        <f ca="1">+WORLDCUP!BD63</f>
        <v>Suecia</v>
      </c>
      <c r="I126" s="11" t="str">
        <f ca="1">+WORLDCUP!BD69</f>
        <v>Ghana</v>
      </c>
      <c r="J126" s="11" t="str">
        <f ca="1">+WORLDCUP!BD68</f>
        <v>Uzbekistán</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Haití</v>
      </c>
      <c r="D127" s="11" t="str">
        <f ca="1">+WORLDCUP!BD64</f>
        <v>Irán</v>
      </c>
      <c r="E127" s="11" t="str">
        <f ca="1">+WORLDCUP!BD59</f>
        <v>Catar</v>
      </c>
      <c r="F127" s="11" t="str">
        <f ca="1">+WORLDCUP!BD61</f>
        <v>Australia</v>
      </c>
      <c r="G127" s="11" t="str">
        <f ca="1">+WORLDCUP!BD65</f>
        <v>Arabia Saudita</v>
      </c>
      <c r="H127" s="11" t="str">
        <f ca="1">+WORLDCUP!BD63</f>
        <v>Suecia</v>
      </c>
      <c r="I127" s="11" t="str">
        <f ca="1">+WORLDCUP!BD69</f>
        <v>Ghana</v>
      </c>
      <c r="J127" s="11" t="str">
        <f ca="1">+WORLDCUP!BD67</f>
        <v>Austria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Arabia Saudita</v>
      </c>
      <c r="D128" s="11" t="str">
        <f ca="1">+WORLDCUP!BD64</f>
        <v>Irán</v>
      </c>
      <c r="E128" s="11" t="str">
        <f ca="1">+WORLDCUP!BD59</f>
        <v>Catar</v>
      </c>
      <c r="F128" s="11" t="str">
        <f ca="1">+WORLDCUP!BD60</f>
        <v>Haití</v>
      </c>
      <c r="G128" s="11" t="str">
        <f ca="1">+WORLDCUP!BD67</f>
        <v>Austria</v>
      </c>
      <c r="H128" s="11" t="str">
        <f ca="1">+WORLDCUP!BD63</f>
        <v>Suecia</v>
      </c>
      <c r="I128" s="11" t="str">
        <f ca="1">+WORLDCUP!BD61</f>
        <v>Australia</v>
      </c>
      <c r="J128" s="11" t="str">
        <f ca="1">+WORLDCUP!BD68</f>
        <v>Uzbekistán</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Haití</v>
      </c>
      <c r="D129" s="11" t="str">
        <f ca="1">+WORLDCUP!BD64</f>
        <v>Irán</v>
      </c>
      <c r="E129" s="11" t="str">
        <f ca="1">+WORLDCUP!BD59</f>
        <v>Catar</v>
      </c>
      <c r="F129" s="11" t="str">
        <f ca="1">+WORLDCUP!BD61</f>
        <v>Australia</v>
      </c>
      <c r="G129" s="11" t="str">
        <f ca="1">+WORLDCUP!BD65</f>
        <v>Arabia Saudita</v>
      </c>
      <c r="H129" s="11" t="str">
        <f ca="1">+WORLDCUP!BD63</f>
        <v>Suecia</v>
      </c>
      <c r="I129" s="11" t="str">
        <f ca="1">+WORLDCUP!BD69</f>
        <v>Ghana</v>
      </c>
      <c r="J129" s="11" t="str">
        <f ca="1">+WORLDCUP!BD66</f>
        <v>Irak</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Haití</v>
      </c>
      <c r="D130" s="11" t="str">
        <f ca="1">+WORLDCUP!BD64</f>
        <v>Irán</v>
      </c>
      <c r="E130" s="11" t="str">
        <f ca="1">+WORLDCUP!BD59</f>
        <v>Catar</v>
      </c>
      <c r="F130" s="11" t="str">
        <f ca="1">+WORLDCUP!BD61</f>
        <v>Australia</v>
      </c>
      <c r="G130" s="11" t="str">
        <f ca="1">+WORLDCUP!BD65</f>
        <v>Arabia Saudita</v>
      </c>
      <c r="H130" s="11" t="str">
        <f ca="1">+WORLDCUP!BD63</f>
        <v>Suecia</v>
      </c>
      <c r="I130" s="11" t="str">
        <f ca="1">+WORLDCUP!BD66</f>
        <v>Irak</v>
      </c>
      <c r="J130" s="11" t="str">
        <f ca="1">+WORLDCUP!BD68</f>
        <v>Uzbekistán</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Arabia Saudita</v>
      </c>
      <c r="D131" s="11" t="str">
        <f ca="1">+WORLDCUP!BD64</f>
        <v>Irán</v>
      </c>
      <c r="E131" s="11" t="str">
        <f ca="1">+WORLDCUP!BD59</f>
        <v>Catar</v>
      </c>
      <c r="F131" s="11" t="str">
        <f ca="1">+WORLDCUP!BD60</f>
        <v>Haití</v>
      </c>
      <c r="G131" s="11" t="str">
        <f ca="1">+WORLDCUP!BD67</f>
        <v>Austria</v>
      </c>
      <c r="H131" s="11" t="str">
        <f ca="1">+WORLDCUP!BD63</f>
        <v>Suecia</v>
      </c>
      <c r="I131" s="11" t="str">
        <f ca="1">+WORLDCUP!BD61</f>
        <v>Australia</v>
      </c>
      <c r="J131" s="11" t="str">
        <f ca="1">+WORLDCUP!BD66</f>
        <v>Irak</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Costa de Marfil</v>
      </c>
      <c r="D132" s="11" t="str">
        <f ca="1">+WORLDCUP!BD67</f>
        <v>Austria</v>
      </c>
      <c r="E132" s="11" t="str">
        <f ca="1">+WORLDCUP!BD59</f>
        <v>Catar</v>
      </c>
      <c r="F132" s="11" t="str">
        <f ca="1">+WORLDCUP!BD60</f>
        <v>Haití</v>
      </c>
      <c r="G132" s="11" t="str">
        <f ca="1">+WORLDCUP!BD66</f>
        <v>Irak</v>
      </c>
      <c r="H132" s="11" t="str">
        <f ca="1">+WORLDCUP!BD61</f>
        <v>Australia</v>
      </c>
      <c r="I132" s="11" t="str">
        <f ca="1">+WORLDCUP!BD69</f>
        <v>Ghana</v>
      </c>
      <c r="J132" s="11" t="str">
        <f ca="1">+WORLDCUP!BD68</f>
        <v>Uzbekistán</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Costa de Marfil</v>
      </c>
      <c r="D133" s="11" t="str">
        <f ca="1">+WORLDCUP!BD67</f>
        <v>Austria</v>
      </c>
      <c r="E133" s="11" t="str">
        <f ca="1">+WORLDCUP!BD59</f>
        <v>Catar</v>
      </c>
      <c r="F133" s="11" t="str">
        <f ca="1">+WORLDCUP!BD60</f>
        <v>Haití</v>
      </c>
      <c r="G133" s="11" t="str">
        <f ca="1">+WORLDCUP!BD65</f>
        <v>Arabia Saudita</v>
      </c>
      <c r="H133" s="11" t="str">
        <f ca="1">+WORLDCUP!BD61</f>
        <v>Australia</v>
      </c>
      <c r="I133" s="11" t="str">
        <f ca="1">+WORLDCUP!BD69</f>
        <v>Ghana</v>
      </c>
      <c r="J133" s="11" t="str">
        <f ca="1">+WORLDCUP!BD68</f>
        <v>Uzbekistán</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Costa de Marfil</v>
      </c>
      <c r="D134" s="11" t="str">
        <f ca="1">+WORLDCUP!BD66</f>
        <v>Irak</v>
      </c>
      <c r="E134" s="11" t="str">
        <f ca="1">+WORLDCUP!BD59</f>
        <v>Catar</v>
      </c>
      <c r="F134" s="11" t="str">
        <f ca="1">+WORLDCUP!BD60</f>
        <v>Haití</v>
      </c>
      <c r="G134" s="11" t="str">
        <f ca="1">+WORLDCUP!BD65</f>
        <v>Arabia Saudita</v>
      </c>
      <c r="H134" s="11" t="str">
        <f ca="1">+WORLDCUP!BD61</f>
        <v>Australia</v>
      </c>
      <c r="I134" s="11" t="str">
        <f ca="1">+WORLDCUP!BD69</f>
        <v>Ghana</v>
      </c>
      <c r="J134" s="11" t="str">
        <f ca="1">+WORLDCUP!BD68</f>
        <v>Uzbekistán</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Costa de Marfil</v>
      </c>
      <c r="D135" s="11" t="str">
        <f ca="1">+WORLDCUP!BD67</f>
        <v>Austria</v>
      </c>
      <c r="E135" s="11" t="str">
        <f ca="1">+WORLDCUP!BD59</f>
        <v>Catar</v>
      </c>
      <c r="F135" s="11" t="str">
        <f ca="1">+WORLDCUP!BD60</f>
        <v>Haití</v>
      </c>
      <c r="G135" s="11" t="str">
        <f ca="1">+WORLDCUP!BD65</f>
        <v>Arabia Saudita</v>
      </c>
      <c r="H135" s="11" t="str">
        <f ca="1">+WORLDCUP!BD61</f>
        <v>Australia</v>
      </c>
      <c r="I135" s="11" t="str">
        <f ca="1">+WORLDCUP!BD69</f>
        <v>Ghana</v>
      </c>
      <c r="J135" s="11" t="str">
        <f ca="1">+WORLDCUP!BD66</f>
        <v>Irak</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Costa de Marfil</v>
      </c>
      <c r="D136" s="11" t="str">
        <f ca="1">+WORLDCUP!BD67</f>
        <v>Austria</v>
      </c>
      <c r="E136" s="11" t="str">
        <f ca="1">+WORLDCUP!BD59</f>
        <v>Catar</v>
      </c>
      <c r="F136" s="11" t="str">
        <f ca="1">+WORLDCUP!BD60</f>
        <v>Haití</v>
      </c>
      <c r="G136" s="11" t="str">
        <f ca="1">+WORLDCUP!BD65</f>
        <v>Arabia Saudita</v>
      </c>
      <c r="H136" s="11" t="str">
        <f ca="1">+WORLDCUP!BD61</f>
        <v>Australia</v>
      </c>
      <c r="I136" s="11" t="str">
        <f ca="1">+WORLDCUP!BD66</f>
        <v>Irak</v>
      </c>
      <c r="J136" s="11" t="str">
        <f ca="1">+WORLDCUP!BD68</f>
        <v>Uzbekistán</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Costa de Marfil</v>
      </c>
      <c r="D137" s="11" t="str">
        <f ca="1">+WORLDCUP!BD64</f>
        <v>Irán</v>
      </c>
      <c r="E137" s="11" t="str">
        <f ca="1">+WORLDCUP!BD59</f>
        <v>Catar</v>
      </c>
      <c r="F137" s="11" t="str">
        <f ca="1">+WORLDCUP!BD60</f>
        <v>Haití</v>
      </c>
      <c r="G137" s="11" t="str">
        <f ca="1">+WORLDCUP!BD67</f>
        <v>Austria</v>
      </c>
      <c r="H137" s="11" t="str">
        <f ca="1">+WORLDCUP!BD61</f>
        <v>Australia</v>
      </c>
      <c r="I137" s="11" t="str">
        <f ca="1">+WORLDCUP!BD69</f>
        <v>Ghana</v>
      </c>
      <c r="J137" s="11" t="str">
        <f ca="1">+WORLDCUP!BD68</f>
        <v>Uzbekistán</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Costa de Marfil</v>
      </c>
      <c r="D138" s="11" t="str">
        <f ca="1">+WORLDCUP!BD64</f>
        <v>Irán</v>
      </c>
      <c r="E138" s="11" t="str">
        <f ca="1">+WORLDCUP!BD59</f>
        <v>Catar</v>
      </c>
      <c r="F138" s="11" t="str">
        <f ca="1">+WORLDCUP!BD60</f>
        <v>Haití</v>
      </c>
      <c r="G138" s="11" t="str">
        <f ca="1">+WORLDCUP!BD66</f>
        <v>Irak</v>
      </c>
      <c r="H138" s="11" t="str">
        <f ca="1">+WORLDCUP!BD61</f>
        <v>Australia</v>
      </c>
      <c r="I138" s="11" t="str">
        <f ca="1">+WORLDCUP!BD69</f>
        <v>Ghana</v>
      </c>
      <c r="J138" s="11" t="str">
        <f ca="1">+WORLDCUP!BD68</f>
        <v>Uzbekistán</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Costa de Marfil</v>
      </c>
      <c r="D139" s="11" t="str">
        <f ca="1">+WORLDCUP!BD64</f>
        <v>Irán</v>
      </c>
      <c r="E139" s="11" t="str">
        <f ca="1">+WORLDCUP!BD59</f>
        <v>Catar</v>
      </c>
      <c r="F139" s="11" t="str">
        <f ca="1">+WORLDCUP!BD60</f>
        <v>Haití</v>
      </c>
      <c r="G139" s="11" t="str">
        <f ca="1">+WORLDCUP!BD67</f>
        <v>Austria</v>
      </c>
      <c r="H139" s="11" t="str">
        <f ca="1">+WORLDCUP!BD61</f>
        <v>Australia</v>
      </c>
      <c r="I139" s="11" t="str">
        <f ca="1">+WORLDCUP!BD69</f>
        <v>Ghana</v>
      </c>
      <c r="J139" s="11" t="str">
        <f ca="1">+WORLDCUP!BD66</f>
        <v>Irak</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Costa de Marfil</v>
      </c>
      <c r="D140" s="11" t="str">
        <f ca="1">+WORLDCUP!BD64</f>
        <v>Irán</v>
      </c>
      <c r="E140" s="11" t="str">
        <f ca="1">+WORLDCUP!BD59</f>
        <v>Catar</v>
      </c>
      <c r="F140" s="11" t="str">
        <f ca="1">+WORLDCUP!BD60</f>
        <v>Haití</v>
      </c>
      <c r="G140" s="11" t="str">
        <f ca="1">+WORLDCUP!BD67</f>
        <v>Austria</v>
      </c>
      <c r="H140" s="11" t="str">
        <f ca="1">+WORLDCUP!BD61</f>
        <v>Australia</v>
      </c>
      <c r="I140" s="11" t="str">
        <f ca="1">+WORLDCUP!BD66</f>
        <v>Irak</v>
      </c>
      <c r="J140" s="11" t="str">
        <f ca="1">+WORLDCUP!BD68</f>
        <v>Uzbekistán</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Costa de Marfil</v>
      </c>
      <c r="D141" s="11" t="str">
        <f ca="1">+WORLDCUP!BD64</f>
        <v>Irán</v>
      </c>
      <c r="E141" s="11" t="str">
        <f ca="1">+WORLDCUP!BD59</f>
        <v>Catar</v>
      </c>
      <c r="F141" s="11" t="str">
        <f ca="1">+WORLDCUP!BD60</f>
        <v>Haití</v>
      </c>
      <c r="G141" s="11" t="str">
        <f ca="1">+WORLDCUP!BD65</f>
        <v>Arabia Saudita</v>
      </c>
      <c r="H141" s="11" t="str">
        <f ca="1">+WORLDCUP!BD61</f>
        <v>Australia</v>
      </c>
      <c r="I141" s="11" t="str">
        <f ca="1">+WORLDCUP!BD69</f>
        <v>Ghana</v>
      </c>
      <c r="J141" s="11" t="str">
        <f ca="1">+WORLDCUP!BD68</f>
        <v>Uzbekistán</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Arabia Saudita</v>
      </c>
      <c r="D142" s="11" t="str">
        <f ca="1">+WORLDCUP!BD64</f>
        <v>Irán</v>
      </c>
      <c r="E142" s="11" t="str">
        <f ca="1">+WORLDCUP!BD59</f>
        <v>Catar</v>
      </c>
      <c r="F142" s="11" t="str">
        <f ca="1">+WORLDCUP!BD60</f>
        <v>Haití</v>
      </c>
      <c r="G142" s="11" t="str">
        <f ca="1">+WORLDCUP!BD67</f>
        <v>Austria</v>
      </c>
      <c r="H142" s="11" t="str">
        <f ca="1">+WORLDCUP!BD61</f>
        <v>Australia</v>
      </c>
      <c r="I142" s="11" t="str">
        <f ca="1">+WORLDCUP!BD69</f>
        <v>Ghana</v>
      </c>
      <c r="J142" s="11" t="str">
        <f ca="1">+WORLDCUP!BD62</f>
        <v>Costa de Marfil</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Arabia Saudita</v>
      </c>
      <c r="D143" s="11" t="str">
        <f ca="1">+WORLDCUP!BD64</f>
        <v>Irán</v>
      </c>
      <c r="E143" s="11" t="str">
        <f ca="1">+WORLDCUP!BD59</f>
        <v>Catar</v>
      </c>
      <c r="F143" s="11" t="str">
        <f ca="1">+WORLDCUP!BD60</f>
        <v>Haití</v>
      </c>
      <c r="G143" s="11" t="str">
        <f ca="1">+WORLDCUP!BD67</f>
        <v>Austria</v>
      </c>
      <c r="H143" s="11" t="str">
        <f ca="1">+WORLDCUP!BD61</f>
        <v>Australia</v>
      </c>
      <c r="I143" s="11" t="str">
        <f ca="1">+WORLDCUP!BD62</f>
        <v>Costa de Marfil</v>
      </c>
      <c r="J143" s="11" t="str">
        <f ca="1">+WORLDCUP!BD68</f>
        <v>Uzbekistán</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Costa de Marfil</v>
      </c>
      <c r="D144" s="11" t="str">
        <f ca="1">+WORLDCUP!BD64</f>
        <v>Irán</v>
      </c>
      <c r="E144" s="11" t="str">
        <f ca="1">+WORLDCUP!BD59</f>
        <v>Catar</v>
      </c>
      <c r="F144" s="11" t="str">
        <f ca="1">+WORLDCUP!BD60</f>
        <v>Haití</v>
      </c>
      <c r="G144" s="11" t="str">
        <f ca="1">+WORLDCUP!BD65</f>
        <v>Arabia Saudita</v>
      </c>
      <c r="H144" s="11" t="str">
        <f ca="1">+WORLDCUP!BD61</f>
        <v>Australia</v>
      </c>
      <c r="I144" s="11" t="str">
        <f ca="1">+WORLDCUP!BD69</f>
        <v>Ghana</v>
      </c>
      <c r="J144" s="11" t="str">
        <f ca="1">+WORLDCUP!BD66</f>
        <v>Irak</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Costa de Marfil</v>
      </c>
      <c r="D145" s="11" t="str">
        <f ca="1">+WORLDCUP!BD64</f>
        <v>Irán</v>
      </c>
      <c r="E145" s="11" t="str">
        <f ca="1">+WORLDCUP!BD59</f>
        <v>Catar</v>
      </c>
      <c r="F145" s="11" t="str">
        <f ca="1">+WORLDCUP!BD60</f>
        <v>Haití</v>
      </c>
      <c r="G145" s="11" t="str">
        <f ca="1">+WORLDCUP!BD65</f>
        <v>Arabia Saudita</v>
      </c>
      <c r="H145" s="11" t="str">
        <f ca="1">+WORLDCUP!BD61</f>
        <v>Australia</v>
      </c>
      <c r="I145" s="11" t="str">
        <f ca="1">+WORLDCUP!BD66</f>
        <v>Irak</v>
      </c>
      <c r="J145" s="11" t="str">
        <f ca="1">+WORLDCUP!BD68</f>
        <v>Uzbekistán</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Arabia Saudita</v>
      </c>
      <c r="D146" s="11" t="str">
        <f ca="1">+WORLDCUP!BD64</f>
        <v>Irán</v>
      </c>
      <c r="E146" s="11" t="str">
        <f ca="1">+WORLDCUP!BD59</f>
        <v>Catar</v>
      </c>
      <c r="F146" s="11" t="str">
        <f ca="1">+WORLDCUP!BD60</f>
        <v>Haití</v>
      </c>
      <c r="G146" s="11" t="str">
        <f ca="1">+WORLDCUP!BD67</f>
        <v>Austria</v>
      </c>
      <c r="H146" s="11" t="str">
        <f ca="1">+WORLDCUP!BD61</f>
        <v>Australia</v>
      </c>
      <c r="I146" s="11" t="str">
        <f ca="1">+WORLDCUP!BD62</f>
        <v>Costa de Marfil</v>
      </c>
      <c r="J146" s="11" t="str">
        <f ca="1">+WORLDCUP!BD66</f>
        <v>Irak</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Haití</v>
      </c>
      <c r="D147" s="11" t="str">
        <f ca="1">+WORLDCUP!BD67</f>
        <v>Austria</v>
      </c>
      <c r="E147" s="11" t="str">
        <f ca="1">+WORLDCUP!BD59</f>
        <v>Catar</v>
      </c>
      <c r="F147" s="11" t="str">
        <f ca="1">+WORLDCUP!BD61</f>
        <v>Australia</v>
      </c>
      <c r="G147" s="11" t="str">
        <f ca="1">+WORLDCUP!BD62</f>
        <v>Costa de Marfil</v>
      </c>
      <c r="H147" s="11" t="str">
        <f ca="1">+WORLDCUP!BD63</f>
        <v>Suecia</v>
      </c>
      <c r="I147" s="11" t="str">
        <f ca="1">+WORLDCUP!BD69</f>
        <v>Ghana</v>
      </c>
      <c r="J147" s="11" t="str">
        <f ca="1">+WORLDCUP!BD68</f>
        <v>Uzbekistán</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Haití</v>
      </c>
      <c r="D148" s="11" t="str">
        <f ca="1">+WORLDCUP!BD62</f>
        <v>Costa de Marfil</v>
      </c>
      <c r="E148" s="11" t="str">
        <f ca="1">+WORLDCUP!BD59</f>
        <v>Catar</v>
      </c>
      <c r="F148" s="11" t="str">
        <f ca="1">+WORLDCUP!BD61</f>
        <v>Australia</v>
      </c>
      <c r="G148" s="11" t="str">
        <f ca="1">+WORLDCUP!BD66</f>
        <v>Irak</v>
      </c>
      <c r="H148" s="11" t="str">
        <f ca="1">+WORLDCUP!BD63</f>
        <v>Suecia</v>
      </c>
      <c r="I148" s="11" t="str">
        <f ca="1">+WORLDCUP!BD69</f>
        <v>Ghana</v>
      </c>
      <c r="J148" s="11" t="str">
        <f ca="1">+WORLDCUP!BD68</f>
        <v>Uzbekistán</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Haití</v>
      </c>
      <c r="D149" s="11" t="str">
        <f ca="1">+WORLDCUP!BD67</f>
        <v>Austria</v>
      </c>
      <c r="E149" s="11" t="str">
        <f ca="1">+WORLDCUP!BD59</f>
        <v>Catar</v>
      </c>
      <c r="F149" s="11" t="str">
        <f ca="1">+WORLDCUP!BD61</f>
        <v>Australia</v>
      </c>
      <c r="G149" s="11" t="str">
        <f ca="1">+WORLDCUP!BD62</f>
        <v>Costa de Marfil</v>
      </c>
      <c r="H149" s="11" t="str">
        <f ca="1">+WORLDCUP!BD63</f>
        <v>Suecia</v>
      </c>
      <c r="I149" s="11" t="str">
        <f ca="1">+WORLDCUP!BD69</f>
        <v>Ghana</v>
      </c>
      <c r="J149" s="11" t="str">
        <f ca="1">+WORLDCUP!BD66</f>
        <v>Irak</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Haití</v>
      </c>
      <c r="D150" s="11" t="str">
        <f ca="1">+WORLDCUP!BD67</f>
        <v>Austria</v>
      </c>
      <c r="E150" s="11" t="str">
        <f ca="1">+WORLDCUP!BD59</f>
        <v>Catar</v>
      </c>
      <c r="F150" s="11" t="str">
        <f ca="1">+WORLDCUP!BD61</f>
        <v>Australia</v>
      </c>
      <c r="G150" s="11" t="str">
        <f ca="1">+WORLDCUP!BD62</f>
        <v>Costa de Marfil</v>
      </c>
      <c r="H150" s="11" t="str">
        <f ca="1">+WORLDCUP!BD63</f>
        <v>Suecia</v>
      </c>
      <c r="I150" s="11" t="str">
        <f ca="1">+WORLDCUP!BD66</f>
        <v>Irak</v>
      </c>
      <c r="J150" s="11" t="str">
        <f ca="1">+WORLDCUP!BD68</f>
        <v>Uzbekistán</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Haití</v>
      </c>
      <c r="D151" s="11" t="str">
        <f ca="1">+WORLDCUP!BD62</f>
        <v>Costa de Marfil</v>
      </c>
      <c r="E151" s="11" t="str">
        <f ca="1">+WORLDCUP!BD59</f>
        <v>Catar</v>
      </c>
      <c r="F151" s="11" t="str">
        <f ca="1">+WORLDCUP!BD61</f>
        <v>Australia</v>
      </c>
      <c r="G151" s="11" t="str">
        <f ca="1">+WORLDCUP!BD65</f>
        <v>Arabia Saudita</v>
      </c>
      <c r="H151" s="11" t="str">
        <f ca="1">+WORLDCUP!BD63</f>
        <v>Suecia</v>
      </c>
      <c r="I151" s="11" t="str">
        <f ca="1">+WORLDCUP!BD69</f>
        <v>Ghana</v>
      </c>
      <c r="J151" s="11" t="str">
        <f ca="1">+WORLDCUP!BD68</f>
        <v>Uzbekistán</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Haití</v>
      </c>
      <c r="D152" s="11" t="str">
        <f ca="1">+WORLDCUP!BD67</f>
        <v>Austria</v>
      </c>
      <c r="E152" s="11" t="str">
        <f ca="1">+WORLDCUP!BD59</f>
        <v>Catar</v>
      </c>
      <c r="F152" s="11" t="str">
        <f ca="1">+WORLDCUP!BD61</f>
        <v>Australia</v>
      </c>
      <c r="G152" s="11" t="str">
        <f ca="1">+WORLDCUP!BD65</f>
        <v>Arabia Saudita</v>
      </c>
      <c r="H152" s="11" t="str">
        <f ca="1">+WORLDCUP!BD63</f>
        <v>Suecia</v>
      </c>
      <c r="I152" s="11" t="str">
        <f ca="1">+WORLDCUP!BD69</f>
        <v>Ghana</v>
      </c>
      <c r="J152" s="11" t="str">
        <f ca="1">+WORLDCUP!BD62</f>
        <v>Costa de Marfil</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Haití</v>
      </c>
      <c r="D153" s="11" t="str">
        <f ca="1">+WORLDCUP!BD67</f>
        <v>Austria</v>
      </c>
      <c r="E153" s="11" t="str">
        <f ca="1">+WORLDCUP!BD59</f>
        <v>Catar</v>
      </c>
      <c r="F153" s="11" t="str">
        <f ca="1">+WORLDCUP!BD61</f>
        <v>Australia</v>
      </c>
      <c r="G153" s="11" t="str">
        <f ca="1">+WORLDCUP!BD65</f>
        <v>Arabia Saudita</v>
      </c>
      <c r="H153" s="11" t="str">
        <f ca="1">+WORLDCUP!BD63</f>
        <v>Suecia</v>
      </c>
      <c r="I153" s="11" t="str">
        <f ca="1">+WORLDCUP!BD62</f>
        <v>Costa de Marfil</v>
      </c>
      <c r="J153" s="11" t="str">
        <f ca="1">+WORLDCUP!BD68</f>
        <v>Uzbekistán</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Haití</v>
      </c>
      <c r="D154" s="11" t="str">
        <f ca="1">+WORLDCUP!BD62</f>
        <v>Costa de Marfil</v>
      </c>
      <c r="E154" s="11" t="str">
        <f ca="1">+WORLDCUP!BD59</f>
        <v>Catar</v>
      </c>
      <c r="F154" s="11" t="str">
        <f ca="1">+WORLDCUP!BD61</f>
        <v>Australia</v>
      </c>
      <c r="G154" s="11" t="str">
        <f ca="1">+WORLDCUP!BD65</f>
        <v>Arabia Saudita</v>
      </c>
      <c r="H154" s="11" t="str">
        <f ca="1">+WORLDCUP!BD63</f>
        <v>Suecia</v>
      </c>
      <c r="I154" s="11" t="str">
        <f ca="1">+WORLDCUP!BD69</f>
        <v>Ghana</v>
      </c>
      <c r="J154" s="11" t="str">
        <f ca="1">+WORLDCUP!BD66</f>
        <v>Irak</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Haití</v>
      </c>
      <c r="D155" s="11" t="str">
        <f ca="1">+WORLDCUP!BD62</f>
        <v>Costa de Marfil</v>
      </c>
      <c r="E155" s="11" t="str">
        <f ca="1">+WORLDCUP!BD59</f>
        <v>Catar</v>
      </c>
      <c r="F155" s="11" t="str">
        <f ca="1">+WORLDCUP!BD61</f>
        <v>Australia</v>
      </c>
      <c r="G155" s="11" t="str">
        <f ca="1">+WORLDCUP!BD65</f>
        <v>Arabia Saudita</v>
      </c>
      <c r="H155" s="11" t="str">
        <f ca="1">+WORLDCUP!BD63</f>
        <v>Suecia</v>
      </c>
      <c r="I155" s="11" t="str">
        <f ca="1">+WORLDCUP!BD66</f>
        <v>Irak</v>
      </c>
      <c r="J155" s="11" t="str">
        <f ca="1">+WORLDCUP!BD68</f>
        <v>Uzbekistán</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Haití</v>
      </c>
      <c r="D156" s="11" t="str">
        <f ca="1">+WORLDCUP!BD67</f>
        <v>Austria</v>
      </c>
      <c r="E156" s="11" t="str">
        <f ca="1">+WORLDCUP!BD59</f>
        <v>Catar</v>
      </c>
      <c r="F156" s="11" t="str">
        <f ca="1">+WORLDCUP!BD61</f>
        <v>Australia</v>
      </c>
      <c r="G156" s="11" t="str">
        <f ca="1">+WORLDCUP!BD65</f>
        <v>Arabia Saudita</v>
      </c>
      <c r="H156" s="11" t="str">
        <f ca="1">+WORLDCUP!BD63</f>
        <v>Suecia</v>
      </c>
      <c r="I156" s="11" t="str">
        <f ca="1">+WORLDCUP!BD62</f>
        <v>Costa de Marfil</v>
      </c>
      <c r="J156" s="11" t="str">
        <f ca="1">+WORLDCUP!BD66</f>
        <v>Irak</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Haití</v>
      </c>
      <c r="D157" s="11" t="str">
        <f ca="1">+WORLDCUP!BD64</f>
        <v>Irán</v>
      </c>
      <c r="E157" s="11" t="str">
        <f ca="1">+WORLDCUP!BD59</f>
        <v>Catar</v>
      </c>
      <c r="F157" s="11" t="str">
        <f ca="1">+WORLDCUP!BD61</f>
        <v>Australia</v>
      </c>
      <c r="G157" s="11" t="str">
        <f ca="1">+WORLDCUP!BD62</f>
        <v>Costa de Marfil</v>
      </c>
      <c r="H157" s="11" t="str">
        <f ca="1">+WORLDCUP!BD63</f>
        <v>Suecia</v>
      </c>
      <c r="I157" s="11" t="str">
        <f ca="1">+WORLDCUP!BD69</f>
        <v>Ghana</v>
      </c>
      <c r="J157" s="11" t="str">
        <f ca="1">+WORLDCUP!BD68</f>
        <v>Uzbekistán</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Haití</v>
      </c>
      <c r="D158" s="11" t="str">
        <f ca="1">+WORLDCUP!BD64</f>
        <v>Irán</v>
      </c>
      <c r="E158" s="11" t="str">
        <f ca="1">+WORLDCUP!BD59</f>
        <v>Catar</v>
      </c>
      <c r="F158" s="11" t="str">
        <f ca="1">+WORLDCUP!BD61</f>
        <v>Australia</v>
      </c>
      <c r="G158" s="11" t="str">
        <f ca="1">+WORLDCUP!BD67</f>
        <v>Austria</v>
      </c>
      <c r="H158" s="11" t="str">
        <f ca="1">+WORLDCUP!BD63</f>
        <v>Suecia</v>
      </c>
      <c r="I158" s="11" t="str">
        <f ca="1">+WORLDCUP!BD69</f>
        <v>Ghana</v>
      </c>
      <c r="J158" s="11" t="str">
        <f ca="1">+WORLDCUP!BD62</f>
        <v>Costa de Marfil</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Haití</v>
      </c>
      <c r="D159" s="11" t="str">
        <f ca="1">+WORLDCUP!BD64</f>
        <v>Irán</v>
      </c>
      <c r="E159" s="11" t="str">
        <f ca="1">+WORLDCUP!BD59</f>
        <v>Catar</v>
      </c>
      <c r="F159" s="11" t="str">
        <f ca="1">+WORLDCUP!BD61</f>
        <v>Australia</v>
      </c>
      <c r="G159" s="11" t="str">
        <f ca="1">+WORLDCUP!BD67</f>
        <v>Austria</v>
      </c>
      <c r="H159" s="11" t="str">
        <f ca="1">+WORLDCUP!BD63</f>
        <v>Suecia</v>
      </c>
      <c r="I159" s="11" t="str">
        <f ca="1">+WORLDCUP!BD62</f>
        <v>Costa de Marfil</v>
      </c>
      <c r="J159" s="11" t="str">
        <f ca="1">+WORLDCUP!BD68</f>
        <v>Uzbekistán</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Haití</v>
      </c>
      <c r="D160" s="11" t="str">
        <f ca="1">+WORLDCUP!BD64</f>
        <v>Irán</v>
      </c>
      <c r="E160" s="11" t="str">
        <f ca="1">+WORLDCUP!BD59</f>
        <v>Catar</v>
      </c>
      <c r="F160" s="11" t="str">
        <f ca="1">+WORLDCUP!BD61</f>
        <v>Australia</v>
      </c>
      <c r="G160" s="11" t="str">
        <f ca="1">+WORLDCUP!BD62</f>
        <v>Costa de Marfil</v>
      </c>
      <c r="H160" s="11" t="str">
        <f ca="1">+WORLDCUP!BD63</f>
        <v>Suecia</v>
      </c>
      <c r="I160" s="11" t="str">
        <f ca="1">+WORLDCUP!BD69</f>
        <v>Ghana</v>
      </c>
      <c r="J160" s="11" t="str">
        <f ca="1">+WORLDCUP!BD66</f>
        <v>Irak</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Haití</v>
      </c>
      <c r="D161" s="11" t="str">
        <f ca="1">+WORLDCUP!BD64</f>
        <v>Irán</v>
      </c>
      <c r="E161" s="11" t="str">
        <f ca="1">+WORLDCUP!BD59</f>
        <v>Catar</v>
      </c>
      <c r="F161" s="11" t="str">
        <f ca="1">+WORLDCUP!BD61</f>
        <v>Australia</v>
      </c>
      <c r="G161" s="11" t="str">
        <f ca="1">+WORLDCUP!BD62</f>
        <v>Costa de Marfil</v>
      </c>
      <c r="H161" s="11" t="str">
        <f ca="1">+WORLDCUP!BD63</f>
        <v>Suecia</v>
      </c>
      <c r="I161" s="11" t="str">
        <f ca="1">+WORLDCUP!BD66</f>
        <v>Irak</v>
      </c>
      <c r="J161" s="11" t="str">
        <f ca="1">+WORLDCUP!BD68</f>
        <v>Uzbekistán</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Haití</v>
      </c>
      <c r="D162" s="11" t="str">
        <f ca="1">+WORLDCUP!BD64</f>
        <v>Irán</v>
      </c>
      <c r="E162" s="11" t="str">
        <f ca="1">+WORLDCUP!BD59</f>
        <v>Catar</v>
      </c>
      <c r="F162" s="11" t="str">
        <f ca="1">+WORLDCUP!BD61</f>
        <v>Australia</v>
      </c>
      <c r="G162" s="11" t="str">
        <f ca="1">+WORLDCUP!BD67</f>
        <v>Austria</v>
      </c>
      <c r="H162" s="11" t="str">
        <f ca="1">+WORLDCUP!BD63</f>
        <v>Suecia</v>
      </c>
      <c r="I162" s="11" t="str">
        <f ca="1">+WORLDCUP!BD62</f>
        <v>Costa de Marfil</v>
      </c>
      <c r="J162" s="11" t="str">
        <f ca="1">+WORLDCUP!BD66</f>
        <v>Irak</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Haití</v>
      </c>
      <c r="D163" s="11" t="str">
        <f ca="1">+WORLDCUP!BD64</f>
        <v>Irán</v>
      </c>
      <c r="E163" s="11" t="str">
        <f ca="1">+WORLDCUP!BD59</f>
        <v>Catar</v>
      </c>
      <c r="F163" s="11" t="str">
        <f ca="1">+WORLDCUP!BD61</f>
        <v>Australia</v>
      </c>
      <c r="G163" s="11" t="str">
        <f ca="1">+WORLDCUP!BD65</f>
        <v>Arabia Saudita</v>
      </c>
      <c r="H163" s="11" t="str">
        <f ca="1">+WORLDCUP!BD63</f>
        <v>Suecia</v>
      </c>
      <c r="I163" s="11" t="str">
        <f ca="1">+WORLDCUP!BD69</f>
        <v>Ghana</v>
      </c>
      <c r="J163" s="11" t="str">
        <f ca="1">+WORLDCUP!BD62</f>
        <v>Costa de Marfil</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Haití</v>
      </c>
      <c r="D164" s="11" t="str">
        <f ca="1">+WORLDCUP!BD64</f>
        <v>Irán</v>
      </c>
      <c r="E164" s="11" t="str">
        <f ca="1">+WORLDCUP!BD59</f>
        <v>Catar</v>
      </c>
      <c r="F164" s="11" t="str">
        <f ca="1">+WORLDCUP!BD61</f>
        <v>Australia</v>
      </c>
      <c r="G164" s="11" t="str">
        <f ca="1">+WORLDCUP!BD65</f>
        <v>Arabia Saudita</v>
      </c>
      <c r="H164" s="11" t="str">
        <f ca="1">+WORLDCUP!BD63</f>
        <v>Suecia</v>
      </c>
      <c r="I164" s="11" t="str">
        <f ca="1">+WORLDCUP!BD62</f>
        <v>Costa de Marfil</v>
      </c>
      <c r="J164" s="11" t="str">
        <f ca="1">+WORLDCUP!BD68</f>
        <v>Uzbekistán</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Arabia Saudita</v>
      </c>
      <c r="D165" s="11" t="str">
        <f ca="1">+WORLDCUP!BD64</f>
        <v>Irán</v>
      </c>
      <c r="E165" s="11" t="str">
        <f ca="1">+WORLDCUP!BD59</f>
        <v>Catar</v>
      </c>
      <c r="F165" s="11" t="str">
        <f ca="1">+WORLDCUP!BD60</f>
        <v>Haití</v>
      </c>
      <c r="G165" s="11" t="str">
        <f ca="1">+WORLDCUP!BD67</f>
        <v>Austria</v>
      </c>
      <c r="H165" s="11" t="str">
        <f ca="1">+WORLDCUP!BD63</f>
        <v>Suecia</v>
      </c>
      <c r="I165" s="11" t="str">
        <f ca="1">+WORLDCUP!BD61</f>
        <v>Australia</v>
      </c>
      <c r="J165" s="11" t="str">
        <f ca="1">+WORLDCUP!BD62</f>
        <v>Costa de Marfil</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Haití</v>
      </c>
      <c r="D166" s="11" t="str">
        <f ca="1">+WORLDCUP!BD64</f>
        <v>Irán</v>
      </c>
      <c r="E166" s="11" t="str">
        <f ca="1">+WORLDCUP!BD59</f>
        <v>Catar</v>
      </c>
      <c r="F166" s="11" t="str">
        <f ca="1">+WORLDCUP!BD61</f>
        <v>Australia</v>
      </c>
      <c r="G166" s="11" t="str">
        <f ca="1">+WORLDCUP!BD65</f>
        <v>Arabia Saudita</v>
      </c>
      <c r="H166" s="11" t="str">
        <f ca="1">+WORLDCUP!BD63</f>
        <v>Suecia</v>
      </c>
      <c r="I166" s="11" t="str">
        <f ca="1">+WORLDCUP!BD62</f>
        <v>Costa de Marfil</v>
      </c>
      <c r="J166" s="11" t="str">
        <f ca="1">+WORLDCUP!BD66</f>
        <v>Irak</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Arabia Saudita</v>
      </c>
      <c r="D167" s="11" t="str">
        <f ca="1">+WORLDCUP!BD67</f>
        <v>Austria</v>
      </c>
      <c r="E167" s="11" t="str">
        <f ca="1">+WORLDCUP!BD66</f>
        <v>Irak</v>
      </c>
      <c r="F167" s="11" t="str">
        <f ca="1">+WORLDCUP!BD63</f>
        <v>Suecia</v>
      </c>
      <c r="G167" s="11" t="str">
        <f ca="1">+WORLDCUP!BD58</f>
        <v>Corea del Sur</v>
      </c>
      <c r="H167" s="11" t="str">
        <f ca="1">+WORLDCUP!BD64</f>
        <v>Irán</v>
      </c>
      <c r="I167" s="11" t="str">
        <f ca="1">+WORLDCUP!BD69</f>
        <v>Ghana</v>
      </c>
      <c r="J167" s="11" t="str">
        <f ca="1">+WORLDCUP!BD68</f>
        <v>Uzbekistán</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Costa de Marfil</v>
      </c>
      <c r="D168" s="11" t="str">
        <f ca="1">+WORLDCUP!BD67</f>
        <v>Austria</v>
      </c>
      <c r="E168" s="11" t="str">
        <f ca="1">+WORLDCUP!BD66</f>
        <v>Irak</v>
      </c>
      <c r="F168" s="11" t="str">
        <f ca="1">+WORLDCUP!BD58</f>
        <v>Corea del Sur</v>
      </c>
      <c r="G168" s="11" t="str">
        <f ca="1">+WORLDCUP!BD65</f>
        <v>Arabia Saudita</v>
      </c>
      <c r="H168" s="11" t="str">
        <f ca="1">+WORLDCUP!BD64</f>
        <v>Irán</v>
      </c>
      <c r="I168" s="11" t="str">
        <f ca="1">+WORLDCUP!BD69</f>
        <v>Ghana</v>
      </c>
      <c r="J168" s="11" t="str">
        <f ca="1">+WORLDCUP!BD68</f>
        <v>Uzbekistán</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Costa de Marfil</v>
      </c>
      <c r="D169" s="11" t="str">
        <f ca="1">+WORLDCUP!BD67</f>
        <v>Austria</v>
      </c>
      <c r="E169" s="11" t="str">
        <f ca="1">+WORLDCUP!BD66</f>
        <v>Irak</v>
      </c>
      <c r="F169" s="11" t="str">
        <f ca="1">+WORLDCUP!BD63</f>
        <v>Suecia</v>
      </c>
      <c r="G169" s="11" t="str">
        <f ca="1">+WORLDCUP!BD58</f>
        <v>Corea del Sur</v>
      </c>
      <c r="H169" s="11" t="str">
        <f ca="1">+WORLDCUP!BD65</f>
        <v>Arabia Saudita</v>
      </c>
      <c r="I169" s="11" t="str">
        <f ca="1">+WORLDCUP!BD69</f>
        <v>Ghana</v>
      </c>
      <c r="J169" s="11" t="str">
        <f ca="1">+WORLDCUP!BD68</f>
        <v>Uzbekistán</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Costa de Marfil</v>
      </c>
      <c r="D170" s="11" t="str">
        <f ca="1">+WORLDCUP!BD67</f>
        <v>Austria</v>
      </c>
      <c r="E170" s="11" t="str">
        <f ca="1">+WORLDCUP!BD66</f>
        <v>Irak</v>
      </c>
      <c r="F170" s="11" t="str">
        <f ca="1">+WORLDCUP!BD63</f>
        <v>Suecia</v>
      </c>
      <c r="G170" s="11" t="str">
        <f ca="1">+WORLDCUP!BD58</f>
        <v>Corea del Sur</v>
      </c>
      <c r="H170" s="11" t="str">
        <f ca="1">+WORLDCUP!BD64</f>
        <v>Irán</v>
      </c>
      <c r="I170" s="11" t="str">
        <f ca="1">+WORLDCUP!BD69</f>
        <v>Ghana</v>
      </c>
      <c r="J170" s="11" t="str">
        <f ca="1">+WORLDCUP!BD68</f>
        <v>Uzbekistán</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Costa de Marfil</v>
      </c>
      <c r="D171" s="11" t="str">
        <f ca="1">+WORLDCUP!BD64</f>
        <v>Irán</v>
      </c>
      <c r="E171" s="11" t="str">
        <f ca="1">+WORLDCUP!BD67</f>
        <v>Austria</v>
      </c>
      <c r="F171" s="11" t="str">
        <f ca="1">+WORLDCUP!BD63</f>
        <v>Suecia</v>
      </c>
      <c r="G171" s="11" t="str">
        <f ca="1">+WORLDCUP!BD58</f>
        <v>Corea del Sur</v>
      </c>
      <c r="H171" s="11" t="str">
        <f ca="1">+WORLDCUP!BD65</f>
        <v>Arabia Saudita</v>
      </c>
      <c r="I171" s="11" t="str">
        <f ca="1">+WORLDCUP!BD69</f>
        <v>Ghana</v>
      </c>
      <c r="J171" s="11" t="str">
        <f ca="1">+WORLDCUP!BD68</f>
        <v>Uzbekistán</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Costa de Marfil</v>
      </c>
      <c r="D172" s="11" t="str">
        <f ca="1">+WORLDCUP!BD64</f>
        <v>Irán</v>
      </c>
      <c r="E172" s="11" t="str">
        <f ca="1">+WORLDCUP!BD66</f>
        <v>Irak</v>
      </c>
      <c r="F172" s="11" t="str">
        <f ca="1">+WORLDCUP!BD63</f>
        <v>Suecia</v>
      </c>
      <c r="G172" s="11" t="str">
        <f ca="1">+WORLDCUP!BD58</f>
        <v>Corea del Sur</v>
      </c>
      <c r="H172" s="11" t="str">
        <f ca="1">+WORLDCUP!BD65</f>
        <v>Arabia Saudita</v>
      </c>
      <c r="I172" s="11" t="str">
        <f ca="1">+WORLDCUP!BD69</f>
        <v>Ghana</v>
      </c>
      <c r="J172" s="11" t="str">
        <f ca="1">+WORLDCUP!BD68</f>
        <v>Uzbekistán</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Costa de Marfil</v>
      </c>
      <c r="D173" s="11" t="str">
        <f ca="1">+WORLDCUP!BD64</f>
        <v>Irán</v>
      </c>
      <c r="E173" s="11" t="str">
        <f ca="1">+WORLDCUP!BD67</f>
        <v>Austria</v>
      </c>
      <c r="F173" s="11" t="str">
        <f ca="1">+WORLDCUP!BD63</f>
        <v>Suecia</v>
      </c>
      <c r="G173" s="11" t="str">
        <f ca="1">+WORLDCUP!BD58</f>
        <v>Corea del Sur</v>
      </c>
      <c r="H173" s="11" t="str">
        <f ca="1">+WORLDCUP!BD65</f>
        <v>Arabia Saudita</v>
      </c>
      <c r="I173" s="11" t="str">
        <f ca="1">+WORLDCUP!BD69</f>
        <v>Ghana</v>
      </c>
      <c r="J173" s="11" t="str">
        <f ca="1">+WORLDCUP!BD66</f>
        <v>Irak</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Costa de Marfil</v>
      </c>
      <c r="D174" s="11" t="str">
        <f ca="1">+WORLDCUP!BD64</f>
        <v>Irán</v>
      </c>
      <c r="E174" s="11" t="str">
        <f ca="1">+WORLDCUP!BD67</f>
        <v>Austria</v>
      </c>
      <c r="F174" s="11" t="str">
        <f ca="1">+WORLDCUP!BD63</f>
        <v>Suecia</v>
      </c>
      <c r="G174" s="11" t="str">
        <f ca="1">+WORLDCUP!BD58</f>
        <v>Corea del Sur</v>
      </c>
      <c r="H174" s="11" t="str">
        <f ca="1">+WORLDCUP!BD65</f>
        <v>Arabia Saudita</v>
      </c>
      <c r="I174" s="11" t="str">
        <f ca="1">+WORLDCUP!BD66</f>
        <v>Irak</v>
      </c>
      <c r="J174" s="11" t="str">
        <f ca="1">+WORLDCUP!BD68</f>
        <v>Uzbekistán</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Arabia Saudita</v>
      </c>
      <c r="D175" s="11" t="str">
        <f ca="1">+WORLDCUP!BD67</f>
        <v>Austria</v>
      </c>
      <c r="E175" s="11" t="str">
        <f ca="1">+WORLDCUP!BD66</f>
        <v>Irak</v>
      </c>
      <c r="F175" s="11" t="str">
        <f ca="1">+WORLDCUP!BD61</f>
        <v>Australia</v>
      </c>
      <c r="G175" s="11" t="str">
        <f ca="1">+WORLDCUP!BD58</f>
        <v>Corea del Sur</v>
      </c>
      <c r="H175" s="11" t="str">
        <f ca="1">+WORLDCUP!BD64</f>
        <v>Irán</v>
      </c>
      <c r="I175" s="11" t="str">
        <f ca="1">+WORLDCUP!BD69</f>
        <v>Ghana</v>
      </c>
      <c r="J175" s="11" t="str">
        <f ca="1">+WORLDCUP!BD68</f>
        <v>Uzbekistán</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Arabia Saudita</v>
      </c>
      <c r="D176" s="11" t="str">
        <f ca="1">+WORLDCUP!BD67</f>
        <v>Austria</v>
      </c>
      <c r="E176" s="11" t="str">
        <f ca="1">+WORLDCUP!BD66</f>
        <v>Irak</v>
      </c>
      <c r="F176" s="11" t="str">
        <f ca="1">+WORLDCUP!BD61</f>
        <v>Australia</v>
      </c>
      <c r="G176" s="11" t="str">
        <f ca="1">+WORLDCUP!BD58</f>
        <v>Corea del Sur</v>
      </c>
      <c r="H176" s="11" t="str">
        <f ca="1">+WORLDCUP!BD63</f>
        <v>Suecia</v>
      </c>
      <c r="I176" s="11" t="str">
        <f ca="1">+WORLDCUP!BD69</f>
        <v>Ghana</v>
      </c>
      <c r="J176" s="11" t="str">
        <f ca="1">+WORLDCUP!BD68</f>
        <v>Uzbekistán</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Irak</v>
      </c>
      <c r="D177" s="11" t="str">
        <f ca="1">+WORLDCUP!BD64</f>
        <v>Irán</v>
      </c>
      <c r="E177" s="11" t="str">
        <f ca="1">+WORLDCUP!BD67</f>
        <v>Austria</v>
      </c>
      <c r="F177" s="11" t="str">
        <f ca="1">+WORLDCUP!BD61</f>
        <v>Australia</v>
      </c>
      <c r="G177" s="11" t="str">
        <f ca="1">+WORLDCUP!BD58</f>
        <v>Corea del Sur</v>
      </c>
      <c r="H177" s="11" t="str">
        <f ca="1">+WORLDCUP!BD63</f>
        <v>Suecia</v>
      </c>
      <c r="I177" s="11" t="str">
        <f ca="1">+WORLDCUP!BD69</f>
        <v>Ghana</v>
      </c>
      <c r="J177" s="11" t="str">
        <f ca="1">+WORLDCUP!BD68</f>
        <v>Uzbekistán</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Arabia Saudita</v>
      </c>
      <c r="D178" s="11" t="str">
        <f ca="1">+WORLDCUP!BD64</f>
        <v>Irán</v>
      </c>
      <c r="E178" s="11" t="str">
        <f ca="1">+WORLDCUP!BD67</f>
        <v>Austria</v>
      </c>
      <c r="F178" s="11" t="str">
        <f ca="1">+WORLDCUP!BD61</f>
        <v>Australia</v>
      </c>
      <c r="G178" s="11" t="str">
        <f ca="1">+WORLDCUP!BD58</f>
        <v>Corea del Sur</v>
      </c>
      <c r="H178" s="11" t="str">
        <f ca="1">+WORLDCUP!BD63</f>
        <v>Suecia</v>
      </c>
      <c r="I178" s="11" t="str">
        <f ca="1">+WORLDCUP!BD69</f>
        <v>Ghana</v>
      </c>
      <c r="J178" s="11" t="str">
        <f ca="1">+WORLDCUP!BD68</f>
        <v>Uzbekistán</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Arabia Saudita</v>
      </c>
      <c r="D179" s="11" t="str">
        <f ca="1">+WORLDCUP!BD64</f>
        <v>Irán</v>
      </c>
      <c r="E179" s="11" t="str">
        <f ca="1">+WORLDCUP!BD66</f>
        <v>Irak</v>
      </c>
      <c r="F179" s="11" t="str">
        <f ca="1">+WORLDCUP!BD61</f>
        <v>Australia</v>
      </c>
      <c r="G179" s="11" t="str">
        <f ca="1">+WORLDCUP!BD58</f>
        <v>Corea del Sur</v>
      </c>
      <c r="H179" s="11" t="str">
        <f ca="1">+WORLDCUP!BD63</f>
        <v>Suecia</v>
      </c>
      <c r="I179" s="11" t="str">
        <f ca="1">+WORLDCUP!BD69</f>
        <v>Ghana</v>
      </c>
      <c r="J179" s="11" t="str">
        <f ca="1">+WORLDCUP!BD68</f>
        <v>Uzbekistán</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Arabia Saudita</v>
      </c>
      <c r="D180" s="11" t="str">
        <f ca="1">+WORLDCUP!BD64</f>
        <v>Irán</v>
      </c>
      <c r="E180" s="11" t="str">
        <f ca="1">+WORLDCUP!BD67</f>
        <v>Austria</v>
      </c>
      <c r="F180" s="11" t="str">
        <f ca="1">+WORLDCUP!BD61</f>
        <v>Australia</v>
      </c>
      <c r="G180" s="11" t="str">
        <f ca="1">+WORLDCUP!BD58</f>
        <v>Corea del Sur</v>
      </c>
      <c r="H180" s="11" t="str">
        <f ca="1">+WORLDCUP!BD63</f>
        <v>Suecia</v>
      </c>
      <c r="I180" s="11" t="str">
        <f ca="1">+WORLDCUP!BD69</f>
        <v>Ghana</v>
      </c>
      <c r="J180" s="11" t="str">
        <f ca="1">+WORLDCUP!BD66</f>
        <v>Irak</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Arabia Saudita</v>
      </c>
      <c r="D181" s="11" t="str">
        <f ca="1">+WORLDCUP!BD64</f>
        <v>Irán</v>
      </c>
      <c r="E181" s="11" t="str">
        <f ca="1">+WORLDCUP!BD67</f>
        <v>Austria</v>
      </c>
      <c r="F181" s="11" t="str">
        <f ca="1">+WORLDCUP!BD61</f>
        <v>Australia</v>
      </c>
      <c r="G181" s="11" t="str">
        <f ca="1">+WORLDCUP!BD58</f>
        <v>Corea del Sur</v>
      </c>
      <c r="H181" s="11" t="str">
        <f ca="1">+WORLDCUP!BD63</f>
        <v>Suecia</v>
      </c>
      <c r="I181" s="11" t="str">
        <f ca="1">+WORLDCUP!BD66</f>
        <v>Irak</v>
      </c>
      <c r="J181" s="11" t="str">
        <f ca="1">+WORLDCUP!BD68</f>
        <v>Uzbekistán</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Costa de Marfil</v>
      </c>
      <c r="D182" s="11" t="str">
        <f ca="1">+WORLDCUP!BD67</f>
        <v>Austria</v>
      </c>
      <c r="E182" s="11" t="str">
        <f ca="1">+WORLDCUP!BD66</f>
        <v>Irak</v>
      </c>
      <c r="F182" s="11" t="str">
        <f ca="1">+WORLDCUP!BD61</f>
        <v>Australia</v>
      </c>
      <c r="G182" s="11" t="str">
        <f ca="1">+WORLDCUP!BD58</f>
        <v>Corea del Sur</v>
      </c>
      <c r="H182" s="11" t="str">
        <f ca="1">+WORLDCUP!BD65</f>
        <v>Arabia Saudita</v>
      </c>
      <c r="I182" s="11" t="str">
        <f ca="1">+WORLDCUP!BD69</f>
        <v>Ghana</v>
      </c>
      <c r="J182" s="11" t="str">
        <f ca="1">+WORLDCUP!BD68</f>
        <v>Uzbekistán</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Costa de Marfil</v>
      </c>
      <c r="D183" s="11" t="str">
        <f ca="1">+WORLDCUP!BD67</f>
        <v>Austria</v>
      </c>
      <c r="E183" s="11" t="str">
        <f ca="1">+WORLDCUP!BD66</f>
        <v>Irak</v>
      </c>
      <c r="F183" s="11" t="str">
        <f ca="1">+WORLDCUP!BD61</f>
        <v>Australia</v>
      </c>
      <c r="G183" s="11" t="str">
        <f ca="1">+WORLDCUP!BD58</f>
        <v>Corea del Sur</v>
      </c>
      <c r="H183" s="11" t="str">
        <f ca="1">+WORLDCUP!BD64</f>
        <v>Irán</v>
      </c>
      <c r="I183" s="11" t="str">
        <f ca="1">+WORLDCUP!BD69</f>
        <v>Ghana</v>
      </c>
      <c r="J183" s="11" t="str">
        <f ca="1">+WORLDCUP!BD68</f>
        <v>Uzbekistán</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Costa de Marfil</v>
      </c>
      <c r="D184" s="11" t="str">
        <f ca="1">+WORLDCUP!BD64</f>
        <v>Irán</v>
      </c>
      <c r="E184" s="11" t="str">
        <f ca="1">+WORLDCUP!BD67</f>
        <v>Austria</v>
      </c>
      <c r="F184" s="11" t="str">
        <f ca="1">+WORLDCUP!BD61</f>
        <v>Australia</v>
      </c>
      <c r="G184" s="11" t="str">
        <f ca="1">+WORLDCUP!BD58</f>
        <v>Corea del Sur</v>
      </c>
      <c r="H184" s="11" t="str">
        <f ca="1">+WORLDCUP!BD65</f>
        <v>Arabia Saudita</v>
      </c>
      <c r="I184" s="11" t="str">
        <f ca="1">+WORLDCUP!BD69</f>
        <v>Ghana</v>
      </c>
      <c r="J184" s="11" t="str">
        <f ca="1">+WORLDCUP!BD68</f>
        <v>Uzbekistán</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Costa de Marfil</v>
      </c>
      <c r="D185" s="11" t="str">
        <f ca="1">+WORLDCUP!BD64</f>
        <v>Irán</v>
      </c>
      <c r="E185" s="11" t="str">
        <f ca="1">+WORLDCUP!BD66</f>
        <v>Irak</v>
      </c>
      <c r="F185" s="11" t="str">
        <f ca="1">+WORLDCUP!BD61</f>
        <v>Australia</v>
      </c>
      <c r="G185" s="11" t="str">
        <f ca="1">+WORLDCUP!BD58</f>
        <v>Corea del Sur</v>
      </c>
      <c r="H185" s="11" t="str">
        <f ca="1">+WORLDCUP!BD65</f>
        <v>Arabia Saudita</v>
      </c>
      <c r="I185" s="11" t="str">
        <f ca="1">+WORLDCUP!BD69</f>
        <v>Ghana</v>
      </c>
      <c r="J185" s="11" t="str">
        <f ca="1">+WORLDCUP!BD68</f>
        <v>Uzbekistán</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Costa de Marfil</v>
      </c>
      <c r="D186" s="11" t="str">
        <f ca="1">+WORLDCUP!BD64</f>
        <v>Irán</v>
      </c>
      <c r="E186" s="11" t="str">
        <f ca="1">+WORLDCUP!BD67</f>
        <v>Austria</v>
      </c>
      <c r="F186" s="11" t="str">
        <f ca="1">+WORLDCUP!BD61</f>
        <v>Australia</v>
      </c>
      <c r="G186" s="11" t="str">
        <f ca="1">+WORLDCUP!BD58</f>
        <v>Corea del Sur</v>
      </c>
      <c r="H186" s="11" t="str">
        <f ca="1">+WORLDCUP!BD65</f>
        <v>Arabia Saudita</v>
      </c>
      <c r="I186" s="11" t="str">
        <f ca="1">+WORLDCUP!BD69</f>
        <v>Ghana</v>
      </c>
      <c r="J186" s="11" t="str">
        <f ca="1">+WORLDCUP!BD66</f>
        <v>Irak</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Costa de Marfil</v>
      </c>
      <c r="D187" s="11" t="str">
        <f ca="1">+WORLDCUP!BD64</f>
        <v>Irán</v>
      </c>
      <c r="E187" s="11" t="str">
        <f ca="1">+WORLDCUP!BD67</f>
        <v>Austria</v>
      </c>
      <c r="F187" s="11" t="str">
        <f ca="1">+WORLDCUP!BD61</f>
        <v>Australia</v>
      </c>
      <c r="G187" s="11" t="str">
        <f ca="1">+WORLDCUP!BD58</f>
        <v>Corea del Sur</v>
      </c>
      <c r="H187" s="11" t="str">
        <f ca="1">+WORLDCUP!BD65</f>
        <v>Arabia Saudita</v>
      </c>
      <c r="I187" s="11" t="str">
        <f ca="1">+WORLDCUP!BD66</f>
        <v>Irak</v>
      </c>
      <c r="J187" s="11" t="str">
        <f ca="1">+WORLDCUP!BD68</f>
        <v>Uzbekistán</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Costa de Marfil</v>
      </c>
      <c r="D188" s="11" t="str">
        <f ca="1">+WORLDCUP!BD67</f>
        <v>Austria</v>
      </c>
      <c r="E188" s="11" t="str">
        <f ca="1">+WORLDCUP!BD66</f>
        <v>Irak</v>
      </c>
      <c r="F188" s="11" t="str">
        <f ca="1">+WORLDCUP!BD61</f>
        <v>Australia</v>
      </c>
      <c r="G188" s="11" t="str">
        <f ca="1">+WORLDCUP!BD58</f>
        <v>Corea del Sur</v>
      </c>
      <c r="H188" s="11" t="str">
        <f ca="1">+WORLDCUP!BD63</f>
        <v>Suecia</v>
      </c>
      <c r="I188" s="11" t="str">
        <f ca="1">+WORLDCUP!BD69</f>
        <v>Ghana</v>
      </c>
      <c r="J188" s="11" t="str">
        <f ca="1">+WORLDCUP!BD68</f>
        <v>Uzbekistán</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Arabia Saudita</v>
      </c>
      <c r="D189" s="11" t="str">
        <f ca="1">+WORLDCUP!BD67</f>
        <v>Austria</v>
      </c>
      <c r="E189" s="11" t="str">
        <f ca="1">+WORLDCUP!BD62</f>
        <v>Costa de Marfil</v>
      </c>
      <c r="F189" s="11" t="str">
        <f ca="1">+WORLDCUP!BD61</f>
        <v>Australia</v>
      </c>
      <c r="G189" s="11" t="str">
        <f ca="1">+WORLDCUP!BD58</f>
        <v>Corea del Sur</v>
      </c>
      <c r="H189" s="11" t="str">
        <f ca="1">+WORLDCUP!BD63</f>
        <v>Suecia</v>
      </c>
      <c r="I189" s="11" t="str">
        <f ca="1">+WORLDCUP!BD69</f>
        <v>Ghana</v>
      </c>
      <c r="J189" s="11" t="str">
        <f ca="1">+WORLDCUP!BD68</f>
        <v>Uzbekistán</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Arabia Saudita</v>
      </c>
      <c r="D190" s="11" t="str">
        <f ca="1">+WORLDCUP!BD62</f>
        <v>Costa de Marfil</v>
      </c>
      <c r="E190" s="11" t="str">
        <f ca="1">+WORLDCUP!BD66</f>
        <v>Irak</v>
      </c>
      <c r="F190" s="11" t="str">
        <f ca="1">+WORLDCUP!BD61</f>
        <v>Australia</v>
      </c>
      <c r="G190" s="11" t="str">
        <f ca="1">+WORLDCUP!BD58</f>
        <v>Corea del Sur</v>
      </c>
      <c r="H190" s="11" t="str">
        <f ca="1">+WORLDCUP!BD63</f>
        <v>Suecia</v>
      </c>
      <c r="I190" s="11" t="str">
        <f ca="1">+WORLDCUP!BD69</f>
        <v>Ghana</v>
      </c>
      <c r="J190" s="11" t="str">
        <f ca="1">+WORLDCUP!BD68</f>
        <v>Uzbekistán</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Arabia Saudita</v>
      </c>
      <c r="D191" s="11" t="str">
        <f ca="1">+WORLDCUP!BD67</f>
        <v>Austria</v>
      </c>
      <c r="E191" s="11" t="str">
        <f ca="1">+WORLDCUP!BD62</f>
        <v>Costa de Marfil</v>
      </c>
      <c r="F191" s="11" t="str">
        <f ca="1">+WORLDCUP!BD61</f>
        <v>Australia</v>
      </c>
      <c r="G191" s="11" t="str">
        <f ca="1">+WORLDCUP!BD58</f>
        <v>Corea del Sur</v>
      </c>
      <c r="H191" s="11" t="str">
        <f ca="1">+WORLDCUP!BD63</f>
        <v>Suecia</v>
      </c>
      <c r="I191" s="11" t="str">
        <f ca="1">+WORLDCUP!BD69</f>
        <v>Ghana</v>
      </c>
      <c r="J191" s="11" t="str">
        <f ca="1">+WORLDCUP!BD66</f>
        <v>Irak</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Arabia Saudita</v>
      </c>
      <c r="D192" s="11" t="str">
        <f ca="1">+WORLDCUP!BD67</f>
        <v>Austria</v>
      </c>
      <c r="E192" s="11" t="str">
        <f ca="1">+WORLDCUP!BD62</f>
        <v>Costa de Marfil</v>
      </c>
      <c r="F192" s="11" t="str">
        <f ca="1">+WORLDCUP!BD61</f>
        <v>Australia</v>
      </c>
      <c r="G192" s="11" t="str">
        <f ca="1">+WORLDCUP!BD58</f>
        <v>Corea del Sur</v>
      </c>
      <c r="H192" s="11" t="str">
        <f ca="1">+WORLDCUP!BD63</f>
        <v>Suecia</v>
      </c>
      <c r="I192" s="11" t="str">
        <f ca="1">+WORLDCUP!BD66</f>
        <v>Irak</v>
      </c>
      <c r="J192" s="11" t="str">
        <f ca="1">+WORLDCUP!BD68</f>
        <v>Uzbekistán</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Costa de Marfil</v>
      </c>
      <c r="D193" s="11" t="str">
        <f ca="1">+WORLDCUP!BD64</f>
        <v>Irán</v>
      </c>
      <c r="E193" s="11" t="str">
        <f ca="1">+WORLDCUP!BD67</f>
        <v>Austria</v>
      </c>
      <c r="F193" s="11" t="str">
        <f ca="1">+WORLDCUP!BD61</f>
        <v>Australia</v>
      </c>
      <c r="G193" s="11" t="str">
        <f ca="1">+WORLDCUP!BD58</f>
        <v>Corea del Sur</v>
      </c>
      <c r="H193" s="11" t="str">
        <f ca="1">+WORLDCUP!BD63</f>
        <v>Suecia</v>
      </c>
      <c r="I193" s="11" t="str">
        <f ca="1">+WORLDCUP!BD69</f>
        <v>Ghana</v>
      </c>
      <c r="J193" s="11" t="str">
        <f ca="1">+WORLDCUP!BD68</f>
        <v>Uzbekistán</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Costa de Marfil</v>
      </c>
      <c r="D194" s="11" t="str">
        <f ca="1">+WORLDCUP!BD64</f>
        <v>Irán</v>
      </c>
      <c r="E194" s="11" t="str">
        <f ca="1">+WORLDCUP!BD66</f>
        <v>Irak</v>
      </c>
      <c r="F194" s="11" t="str">
        <f ca="1">+WORLDCUP!BD61</f>
        <v>Australia</v>
      </c>
      <c r="G194" s="11" t="str">
        <f ca="1">+WORLDCUP!BD58</f>
        <v>Corea del Sur</v>
      </c>
      <c r="H194" s="11" t="str">
        <f ca="1">+WORLDCUP!BD63</f>
        <v>Suecia</v>
      </c>
      <c r="I194" s="11" t="str">
        <f ca="1">+WORLDCUP!BD69</f>
        <v>Ghana</v>
      </c>
      <c r="J194" s="11" t="str">
        <f ca="1">+WORLDCUP!BD68</f>
        <v>Uzbekistán</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Costa de Marfil</v>
      </c>
      <c r="D195" s="11" t="str">
        <f ca="1">+WORLDCUP!BD64</f>
        <v>Irán</v>
      </c>
      <c r="E195" s="11" t="str">
        <f ca="1">+WORLDCUP!BD67</f>
        <v>Austria</v>
      </c>
      <c r="F195" s="11" t="str">
        <f ca="1">+WORLDCUP!BD61</f>
        <v>Australia</v>
      </c>
      <c r="G195" s="11" t="str">
        <f ca="1">+WORLDCUP!BD58</f>
        <v>Corea del Sur</v>
      </c>
      <c r="H195" s="11" t="str">
        <f ca="1">+WORLDCUP!BD63</f>
        <v>Suecia</v>
      </c>
      <c r="I195" s="11" t="str">
        <f ca="1">+WORLDCUP!BD69</f>
        <v>Ghana</v>
      </c>
      <c r="J195" s="11" t="str">
        <f ca="1">+WORLDCUP!BD66</f>
        <v>Irak</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Costa de Marfil</v>
      </c>
      <c r="D196" s="11" t="str">
        <f ca="1">+WORLDCUP!BD64</f>
        <v>Irán</v>
      </c>
      <c r="E196" s="11" t="str">
        <f ca="1">+WORLDCUP!BD67</f>
        <v>Austria</v>
      </c>
      <c r="F196" s="11" t="str">
        <f ca="1">+WORLDCUP!BD61</f>
        <v>Australia</v>
      </c>
      <c r="G196" s="11" t="str">
        <f ca="1">+WORLDCUP!BD58</f>
        <v>Corea del Sur</v>
      </c>
      <c r="H196" s="11" t="str">
        <f ca="1">+WORLDCUP!BD63</f>
        <v>Suecia</v>
      </c>
      <c r="I196" s="11" t="str">
        <f ca="1">+WORLDCUP!BD66</f>
        <v>Irak</v>
      </c>
      <c r="J196" s="11" t="str">
        <f ca="1">+WORLDCUP!BD68</f>
        <v>Uzbekistán</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Arabia Saudita</v>
      </c>
      <c r="D197" s="11" t="str">
        <f ca="1">+WORLDCUP!BD64</f>
        <v>Irán</v>
      </c>
      <c r="E197" s="11" t="str">
        <f ca="1">+WORLDCUP!BD62</f>
        <v>Costa de Marfil</v>
      </c>
      <c r="F197" s="11" t="str">
        <f ca="1">+WORLDCUP!BD61</f>
        <v>Australia</v>
      </c>
      <c r="G197" s="11" t="str">
        <f ca="1">+WORLDCUP!BD58</f>
        <v>Corea del Sur</v>
      </c>
      <c r="H197" s="11" t="str">
        <f ca="1">+WORLDCUP!BD63</f>
        <v>Suecia</v>
      </c>
      <c r="I197" s="11" t="str">
        <f ca="1">+WORLDCUP!BD69</f>
        <v>Ghana</v>
      </c>
      <c r="J197" s="11" t="str">
        <f ca="1">+WORLDCUP!BD68</f>
        <v>Uzbekistán</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Arabia Saudita</v>
      </c>
      <c r="D198" s="11" t="str">
        <f ca="1">+WORLDCUP!BD64</f>
        <v>Irán</v>
      </c>
      <c r="E198" s="11" t="str">
        <f ca="1">+WORLDCUP!BD67</f>
        <v>Austria</v>
      </c>
      <c r="F198" s="11" t="str">
        <f ca="1">+WORLDCUP!BD61</f>
        <v>Australia</v>
      </c>
      <c r="G198" s="11" t="str">
        <f ca="1">+WORLDCUP!BD58</f>
        <v>Corea del Sur</v>
      </c>
      <c r="H198" s="11" t="str">
        <f ca="1">+WORLDCUP!BD63</f>
        <v>Suecia</v>
      </c>
      <c r="I198" s="11" t="str">
        <f ca="1">+WORLDCUP!BD69</f>
        <v>Ghana</v>
      </c>
      <c r="J198" s="11" t="str">
        <f ca="1">+WORLDCUP!BD62</f>
        <v>Costa de Marfil</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Arabia Saudita</v>
      </c>
      <c r="D199" s="11" t="str">
        <f ca="1">+WORLDCUP!BD64</f>
        <v>Irán</v>
      </c>
      <c r="E199" s="11" t="str">
        <f ca="1">+WORLDCUP!BD67</f>
        <v>Austria</v>
      </c>
      <c r="F199" s="11" t="str">
        <f ca="1">+WORLDCUP!BD61</f>
        <v>Australia</v>
      </c>
      <c r="G199" s="11" t="str">
        <f ca="1">+WORLDCUP!BD58</f>
        <v>Corea del Sur</v>
      </c>
      <c r="H199" s="11" t="str">
        <f ca="1">+WORLDCUP!BD63</f>
        <v>Suecia</v>
      </c>
      <c r="I199" s="11" t="str">
        <f ca="1">+WORLDCUP!BD62</f>
        <v>Costa de Marfil</v>
      </c>
      <c r="J199" s="11" t="str">
        <f ca="1">+WORLDCUP!BD68</f>
        <v>Uzbekistán</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Arabia Saudita</v>
      </c>
      <c r="D200" s="11" t="str">
        <f ca="1">+WORLDCUP!BD64</f>
        <v>Irán</v>
      </c>
      <c r="E200" s="11" t="str">
        <f ca="1">+WORLDCUP!BD62</f>
        <v>Costa de Marfil</v>
      </c>
      <c r="F200" s="11" t="str">
        <f ca="1">+WORLDCUP!BD61</f>
        <v>Australia</v>
      </c>
      <c r="G200" s="11" t="str">
        <f ca="1">+WORLDCUP!BD58</f>
        <v>Corea del Sur</v>
      </c>
      <c r="H200" s="11" t="str">
        <f ca="1">+WORLDCUP!BD63</f>
        <v>Suecia</v>
      </c>
      <c r="I200" s="11" t="str">
        <f ca="1">+WORLDCUP!BD69</f>
        <v>Ghana</v>
      </c>
      <c r="J200" s="11" t="str">
        <f ca="1">+WORLDCUP!BD66</f>
        <v>Irak</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Arabia Saudita</v>
      </c>
      <c r="D201" s="11" t="str">
        <f ca="1">+WORLDCUP!BD64</f>
        <v>Irán</v>
      </c>
      <c r="E201" s="11" t="str">
        <f ca="1">+WORLDCUP!BD62</f>
        <v>Costa de Marfil</v>
      </c>
      <c r="F201" s="11" t="str">
        <f ca="1">+WORLDCUP!BD61</f>
        <v>Australia</v>
      </c>
      <c r="G201" s="11" t="str">
        <f ca="1">+WORLDCUP!BD58</f>
        <v>Corea del Sur</v>
      </c>
      <c r="H201" s="11" t="str">
        <f ca="1">+WORLDCUP!BD63</f>
        <v>Suecia</v>
      </c>
      <c r="I201" s="11" t="str">
        <f ca="1">+WORLDCUP!BD66</f>
        <v>Irak</v>
      </c>
      <c r="J201" s="11" t="str">
        <f ca="1">+WORLDCUP!BD68</f>
        <v>Uzbekistán</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Arabia Saudita</v>
      </c>
      <c r="D202" s="11" t="str">
        <f ca="1">+WORLDCUP!BD64</f>
        <v>Irán</v>
      </c>
      <c r="E202" s="11" t="str">
        <f ca="1">+WORLDCUP!BD67</f>
        <v>Austria</v>
      </c>
      <c r="F202" s="11" t="str">
        <f ca="1">+WORLDCUP!BD61</f>
        <v>Australia</v>
      </c>
      <c r="G202" s="11" t="str">
        <f ca="1">+WORLDCUP!BD58</f>
        <v>Corea del Sur</v>
      </c>
      <c r="H202" s="11" t="str">
        <f ca="1">+WORLDCUP!BD63</f>
        <v>Suecia</v>
      </c>
      <c r="I202" s="11" t="str">
        <f ca="1">+WORLDCUP!BD62</f>
        <v>Costa de Marfil</v>
      </c>
      <c r="J202" s="11" t="str">
        <f ca="1">+WORLDCUP!BD66</f>
        <v>Irak</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Arabia Saudita</v>
      </c>
      <c r="D203" s="11" t="str">
        <f ca="1">+WORLDCUP!BD67</f>
        <v>Austria</v>
      </c>
      <c r="E203" s="11" t="str">
        <f ca="1">+WORLDCUP!BD66</f>
        <v>Irak</v>
      </c>
      <c r="F203" s="11" t="str">
        <f ca="1">+WORLDCUP!BD60</f>
        <v>Haití</v>
      </c>
      <c r="G203" s="11" t="str">
        <f ca="1">+WORLDCUP!BD58</f>
        <v>Corea del Sur</v>
      </c>
      <c r="H203" s="11" t="str">
        <f ca="1">+WORLDCUP!BD64</f>
        <v>Irán</v>
      </c>
      <c r="I203" s="11" t="str">
        <f ca="1">+WORLDCUP!BD69</f>
        <v>Ghana</v>
      </c>
      <c r="J203" s="11" t="str">
        <f ca="1">+WORLDCUP!BD68</f>
        <v>Uzbekistán</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Arabia Saudita</v>
      </c>
      <c r="D204" s="11" t="str">
        <f ca="1">+WORLDCUP!BD67</f>
        <v>Austria</v>
      </c>
      <c r="E204" s="11" t="str">
        <f ca="1">+WORLDCUP!BD66</f>
        <v>Irak</v>
      </c>
      <c r="F204" s="11" t="str">
        <f ca="1">+WORLDCUP!BD60</f>
        <v>Haití</v>
      </c>
      <c r="G204" s="11" t="str">
        <f ca="1">+WORLDCUP!BD58</f>
        <v>Corea del Sur</v>
      </c>
      <c r="H204" s="11" t="str">
        <f ca="1">+WORLDCUP!BD63</f>
        <v>Suecia</v>
      </c>
      <c r="I204" s="11" t="str">
        <f ca="1">+WORLDCUP!BD69</f>
        <v>Ghana</v>
      </c>
      <c r="J204" s="11" t="str">
        <f ca="1">+WORLDCUP!BD68</f>
        <v>Uzbekistán</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Irak</v>
      </c>
      <c r="D205" s="11" t="str">
        <f ca="1">+WORLDCUP!BD64</f>
        <v>Irán</v>
      </c>
      <c r="E205" s="11" t="str">
        <f ca="1">+WORLDCUP!BD67</f>
        <v>Austria</v>
      </c>
      <c r="F205" s="11" t="str">
        <f ca="1">+WORLDCUP!BD60</f>
        <v>Haití</v>
      </c>
      <c r="G205" s="11" t="str">
        <f ca="1">+WORLDCUP!BD58</f>
        <v>Corea del Sur</v>
      </c>
      <c r="H205" s="11" t="str">
        <f ca="1">+WORLDCUP!BD63</f>
        <v>Suecia</v>
      </c>
      <c r="I205" s="11" t="str">
        <f ca="1">+WORLDCUP!BD69</f>
        <v>Ghana</v>
      </c>
      <c r="J205" s="11" t="str">
        <f ca="1">+WORLDCUP!BD68</f>
        <v>Uzbekistán</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Arabia Saudita</v>
      </c>
      <c r="D206" s="11" t="str">
        <f ca="1">+WORLDCUP!BD64</f>
        <v>Irán</v>
      </c>
      <c r="E206" s="11" t="str">
        <f ca="1">+WORLDCUP!BD67</f>
        <v>Austria</v>
      </c>
      <c r="F206" s="11" t="str">
        <f ca="1">+WORLDCUP!BD60</f>
        <v>Haití</v>
      </c>
      <c r="G206" s="11" t="str">
        <f ca="1">+WORLDCUP!BD58</f>
        <v>Corea del Sur</v>
      </c>
      <c r="H206" s="11" t="str">
        <f ca="1">+WORLDCUP!BD63</f>
        <v>Suecia</v>
      </c>
      <c r="I206" s="11" t="str">
        <f ca="1">+WORLDCUP!BD69</f>
        <v>Ghana</v>
      </c>
      <c r="J206" s="11" t="str">
        <f ca="1">+WORLDCUP!BD68</f>
        <v>Uzbekistán</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Arabia Saudita</v>
      </c>
      <c r="D207" s="11" t="str">
        <f ca="1">+WORLDCUP!BD64</f>
        <v>Irán</v>
      </c>
      <c r="E207" s="11" t="str">
        <f ca="1">+WORLDCUP!BD66</f>
        <v>Irak</v>
      </c>
      <c r="F207" s="11" t="str">
        <f ca="1">+WORLDCUP!BD60</f>
        <v>Haití</v>
      </c>
      <c r="G207" s="11" t="str">
        <f ca="1">+WORLDCUP!BD58</f>
        <v>Corea del Sur</v>
      </c>
      <c r="H207" s="11" t="str">
        <f ca="1">+WORLDCUP!BD63</f>
        <v>Suecia</v>
      </c>
      <c r="I207" s="11" t="str">
        <f ca="1">+WORLDCUP!BD69</f>
        <v>Ghana</v>
      </c>
      <c r="J207" s="11" t="str">
        <f ca="1">+WORLDCUP!BD68</f>
        <v>Uzbekistán</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Arabia Saudita</v>
      </c>
      <c r="D208" s="11" t="str">
        <f ca="1">+WORLDCUP!BD64</f>
        <v>Irán</v>
      </c>
      <c r="E208" s="11" t="str">
        <f ca="1">+WORLDCUP!BD67</f>
        <v>Austria</v>
      </c>
      <c r="F208" s="11" t="str">
        <f ca="1">+WORLDCUP!BD60</f>
        <v>Haití</v>
      </c>
      <c r="G208" s="11" t="str">
        <f ca="1">+WORLDCUP!BD58</f>
        <v>Corea del Sur</v>
      </c>
      <c r="H208" s="11" t="str">
        <f ca="1">+WORLDCUP!BD63</f>
        <v>Suecia</v>
      </c>
      <c r="I208" s="11" t="str">
        <f ca="1">+WORLDCUP!BD69</f>
        <v>Ghana</v>
      </c>
      <c r="J208" s="11" t="str">
        <f ca="1">+WORLDCUP!BD66</f>
        <v>Irak</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Arabia Saudita</v>
      </c>
      <c r="D209" s="11" t="str">
        <f ca="1">+WORLDCUP!BD64</f>
        <v>Irán</v>
      </c>
      <c r="E209" s="11" t="str">
        <f ca="1">+WORLDCUP!BD67</f>
        <v>Austria</v>
      </c>
      <c r="F209" s="11" t="str">
        <f ca="1">+WORLDCUP!BD60</f>
        <v>Haití</v>
      </c>
      <c r="G209" s="11" t="str">
        <f ca="1">+WORLDCUP!BD58</f>
        <v>Corea del Sur</v>
      </c>
      <c r="H209" s="11" t="str">
        <f ca="1">+WORLDCUP!BD63</f>
        <v>Suecia</v>
      </c>
      <c r="I209" s="11" t="str">
        <f ca="1">+WORLDCUP!BD66</f>
        <v>Irak</v>
      </c>
      <c r="J209" s="11" t="str">
        <f ca="1">+WORLDCUP!BD68</f>
        <v>Uzbekistán</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Costa de Marfil</v>
      </c>
      <c r="D210" s="11" t="str">
        <f ca="1">+WORLDCUP!BD67</f>
        <v>Austria</v>
      </c>
      <c r="E210" s="11" t="str">
        <f ca="1">+WORLDCUP!BD66</f>
        <v>Irak</v>
      </c>
      <c r="F210" s="11" t="str">
        <f ca="1">+WORLDCUP!BD60</f>
        <v>Haití</v>
      </c>
      <c r="G210" s="11" t="str">
        <f ca="1">+WORLDCUP!BD58</f>
        <v>Corea del Sur</v>
      </c>
      <c r="H210" s="11" t="str">
        <f ca="1">+WORLDCUP!BD65</f>
        <v>Arabia Saudita</v>
      </c>
      <c r="I210" s="11" t="str">
        <f ca="1">+WORLDCUP!BD69</f>
        <v>Ghana</v>
      </c>
      <c r="J210" s="11" t="str">
        <f ca="1">+WORLDCUP!BD68</f>
        <v>Uzbekistán</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Costa de Marfil</v>
      </c>
      <c r="D211" s="11" t="str">
        <f ca="1">+WORLDCUP!BD67</f>
        <v>Austria</v>
      </c>
      <c r="E211" s="11" t="str">
        <f ca="1">+WORLDCUP!BD66</f>
        <v>Irak</v>
      </c>
      <c r="F211" s="11" t="str">
        <f ca="1">+WORLDCUP!BD60</f>
        <v>Haití</v>
      </c>
      <c r="G211" s="11" t="str">
        <f ca="1">+WORLDCUP!BD58</f>
        <v>Corea del Sur</v>
      </c>
      <c r="H211" s="11" t="str">
        <f ca="1">+WORLDCUP!BD64</f>
        <v>Irán</v>
      </c>
      <c r="I211" s="11" t="str">
        <f ca="1">+WORLDCUP!BD69</f>
        <v>Ghana</v>
      </c>
      <c r="J211" s="11" t="str">
        <f ca="1">+WORLDCUP!BD68</f>
        <v>Uzbekistán</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Costa de Marfil</v>
      </c>
      <c r="D212" s="11" t="str">
        <f ca="1">+WORLDCUP!BD64</f>
        <v>Irán</v>
      </c>
      <c r="E212" s="11" t="str">
        <f ca="1">+WORLDCUP!BD67</f>
        <v>Austria</v>
      </c>
      <c r="F212" s="11" t="str">
        <f ca="1">+WORLDCUP!BD60</f>
        <v>Haití</v>
      </c>
      <c r="G212" s="11" t="str">
        <f ca="1">+WORLDCUP!BD58</f>
        <v>Corea del Sur</v>
      </c>
      <c r="H212" s="11" t="str">
        <f ca="1">+WORLDCUP!BD65</f>
        <v>Arabia Saudita</v>
      </c>
      <c r="I212" s="11" t="str">
        <f ca="1">+WORLDCUP!BD69</f>
        <v>Ghana</v>
      </c>
      <c r="J212" s="11" t="str">
        <f ca="1">+WORLDCUP!BD68</f>
        <v>Uzbekistán</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Costa de Marfil</v>
      </c>
      <c r="D213" s="11" t="str">
        <f ca="1">+WORLDCUP!BD64</f>
        <v>Irán</v>
      </c>
      <c r="E213" s="11" t="str">
        <f ca="1">+WORLDCUP!BD66</f>
        <v>Irak</v>
      </c>
      <c r="F213" s="11" t="str">
        <f ca="1">+WORLDCUP!BD60</f>
        <v>Haití</v>
      </c>
      <c r="G213" s="11" t="str">
        <f ca="1">+WORLDCUP!BD58</f>
        <v>Corea del Sur</v>
      </c>
      <c r="H213" s="11" t="str">
        <f ca="1">+WORLDCUP!BD65</f>
        <v>Arabia Saudita</v>
      </c>
      <c r="I213" s="11" t="str">
        <f ca="1">+WORLDCUP!BD69</f>
        <v>Ghana</v>
      </c>
      <c r="J213" s="11" t="str">
        <f ca="1">+WORLDCUP!BD68</f>
        <v>Uzbekistán</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Costa de Marfil</v>
      </c>
      <c r="D214" s="11" t="str">
        <f ca="1">+WORLDCUP!BD64</f>
        <v>Irán</v>
      </c>
      <c r="E214" s="11" t="str">
        <f ca="1">+WORLDCUP!BD67</f>
        <v>Austria</v>
      </c>
      <c r="F214" s="11" t="str">
        <f ca="1">+WORLDCUP!BD60</f>
        <v>Haití</v>
      </c>
      <c r="G214" s="11" t="str">
        <f ca="1">+WORLDCUP!BD58</f>
        <v>Corea del Sur</v>
      </c>
      <c r="H214" s="11" t="str">
        <f ca="1">+WORLDCUP!BD65</f>
        <v>Arabia Saudita</v>
      </c>
      <c r="I214" s="11" t="str">
        <f ca="1">+WORLDCUP!BD69</f>
        <v>Ghana</v>
      </c>
      <c r="J214" s="11" t="str">
        <f ca="1">+WORLDCUP!BD66</f>
        <v>Irak</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Costa de Marfil</v>
      </c>
      <c r="D215" s="11" t="str">
        <f ca="1">+WORLDCUP!BD64</f>
        <v>Irán</v>
      </c>
      <c r="E215" s="11" t="str">
        <f ca="1">+WORLDCUP!BD67</f>
        <v>Austria</v>
      </c>
      <c r="F215" s="11" t="str">
        <f ca="1">+WORLDCUP!BD60</f>
        <v>Haití</v>
      </c>
      <c r="G215" s="11" t="str">
        <f ca="1">+WORLDCUP!BD58</f>
        <v>Corea del Sur</v>
      </c>
      <c r="H215" s="11" t="str">
        <f ca="1">+WORLDCUP!BD65</f>
        <v>Arabia Saudita</v>
      </c>
      <c r="I215" s="11" t="str">
        <f ca="1">+WORLDCUP!BD66</f>
        <v>Irak</v>
      </c>
      <c r="J215" s="11" t="str">
        <f ca="1">+WORLDCUP!BD68</f>
        <v>Uzbekistán</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Costa de Marfil</v>
      </c>
      <c r="D216" s="11" t="str">
        <f ca="1">+WORLDCUP!BD67</f>
        <v>Austria</v>
      </c>
      <c r="E216" s="11" t="str">
        <f ca="1">+WORLDCUP!BD66</f>
        <v>Irak</v>
      </c>
      <c r="F216" s="11" t="str">
        <f ca="1">+WORLDCUP!BD60</f>
        <v>Haití</v>
      </c>
      <c r="G216" s="11" t="str">
        <f ca="1">+WORLDCUP!BD58</f>
        <v>Corea del Sur</v>
      </c>
      <c r="H216" s="11" t="str">
        <f ca="1">+WORLDCUP!BD63</f>
        <v>Suecia</v>
      </c>
      <c r="I216" s="11" t="str">
        <f ca="1">+WORLDCUP!BD69</f>
        <v>Ghana</v>
      </c>
      <c r="J216" s="11" t="str">
        <f ca="1">+WORLDCUP!BD68</f>
        <v>Uzbekistán</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Arabia Saudita</v>
      </c>
      <c r="D217" s="11" t="str">
        <f ca="1">+WORLDCUP!BD67</f>
        <v>Austria</v>
      </c>
      <c r="E217" s="11" t="str">
        <f ca="1">+WORLDCUP!BD62</f>
        <v>Costa de Marfil</v>
      </c>
      <c r="F217" s="11" t="str">
        <f ca="1">+WORLDCUP!BD60</f>
        <v>Haití</v>
      </c>
      <c r="G217" s="11" t="str">
        <f ca="1">+WORLDCUP!BD58</f>
        <v>Corea del Sur</v>
      </c>
      <c r="H217" s="11" t="str">
        <f ca="1">+WORLDCUP!BD63</f>
        <v>Suecia</v>
      </c>
      <c r="I217" s="11" t="str">
        <f ca="1">+WORLDCUP!BD69</f>
        <v>Ghana</v>
      </c>
      <c r="J217" s="11" t="str">
        <f ca="1">+WORLDCUP!BD68</f>
        <v>Uzbekistán</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Arabia Saudita</v>
      </c>
      <c r="D218" s="11" t="str">
        <f ca="1">+WORLDCUP!BD62</f>
        <v>Costa de Marfil</v>
      </c>
      <c r="E218" s="11" t="str">
        <f ca="1">+WORLDCUP!BD66</f>
        <v>Irak</v>
      </c>
      <c r="F218" s="11" t="str">
        <f ca="1">+WORLDCUP!BD60</f>
        <v>Haití</v>
      </c>
      <c r="G218" s="11" t="str">
        <f ca="1">+WORLDCUP!BD58</f>
        <v>Corea del Sur</v>
      </c>
      <c r="H218" s="11" t="str">
        <f ca="1">+WORLDCUP!BD63</f>
        <v>Suecia</v>
      </c>
      <c r="I218" s="11" t="str">
        <f ca="1">+WORLDCUP!BD69</f>
        <v>Ghana</v>
      </c>
      <c r="J218" s="11" t="str">
        <f ca="1">+WORLDCUP!BD68</f>
        <v>Uzbekistán</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Arabia Saudita</v>
      </c>
      <c r="D219" s="11" t="str">
        <f ca="1">+WORLDCUP!BD67</f>
        <v>Austria</v>
      </c>
      <c r="E219" s="11" t="str">
        <f ca="1">+WORLDCUP!BD62</f>
        <v>Costa de Marfil</v>
      </c>
      <c r="F219" s="11" t="str">
        <f ca="1">+WORLDCUP!BD60</f>
        <v>Haití</v>
      </c>
      <c r="G219" s="11" t="str">
        <f ca="1">+WORLDCUP!BD58</f>
        <v>Corea del Sur</v>
      </c>
      <c r="H219" s="11" t="str">
        <f ca="1">+WORLDCUP!BD63</f>
        <v>Suecia</v>
      </c>
      <c r="I219" s="11" t="str">
        <f ca="1">+WORLDCUP!BD69</f>
        <v>Ghana</v>
      </c>
      <c r="J219" s="11" t="str">
        <f ca="1">+WORLDCUP!BD66</f>
        <v>Irak</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Arabia Saudita</v>
      </c>
      <c r="D220" s="11" t="str">
        <f ca="1">+WORLDCUP!BD67</f>
        <v>Austria</v>
      </c>
      <c r="E220" s="11" t="str">
        <f ca="1">+WORLDCUP!BD62</f>
        <v>Costa de Marfil</v>
      </c>
      <c r="F220" s="11" t="str">
        <f ca="1">+WORLDCUP!BD60</f>
        <v>Haití</v>
      </c>
      <c r="G220" s="11" t="str">
        <f ca="1">+WORLDCUP!BD58</f>
        <v>Corea del Sur</v>
      </c>
      <c r="H220" s="11" t="str">
        <f ca="1">+WORLDCUP!BD63</f>
        <v>Suecia</v>
      </c>
      <c r="I220" s="11" t="str">
        <f ca="1">+WORLDCUP!BD66</f>
        <v>Irak</v>
      </c>
      <c r="J220" s="11" t="str">
        <f ca="1">+WORLDCUP!BD68</f>
        <v>Uzbekistán</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Costa de Marfil</v>
      </c>
      <c r="D221" s="11" t="str">
        <f ca="1">+WORLDCUP!BD64</f>
        <v>Irán</v>
      </c>
      <c r="E221" s="11" t="str">
        <f ca="1">+WORLDCUP!BD67</f>
        <v>Austria</v>
      </c>
      <c r="F221" s="11" t="str">
        <f ca="1">+WORLDCUP!BD60</f>
        <v>Haití</v>
      </c>
      <c r="G221" s="11" t="str">
        <f ca="1">+WORLDCUP!BD58</f>
        <v>Corea del Sur</v>
      </c>
      <c r="H221" s="11" t="str">
        <f ca="1">+WORLDCUP!BD63</f>
        <v>Suecia</v>
      </c>
      <c r="I221" s="11" t="str">
        <f ca="1">+WORLDCUP!BD69</f>
        <v>Ghana</v>
      </c>
      <c r="J221" s="11" t="str">
        <f ca="1">+WORLDCUP!BD68</f>
        <v>Uzbekistán</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Costa de Marfil</v>
      </c>
      <c r="D222" s="11" t="str">
        <f ca="1">+WORLDCUP!BD64</f>
        <v>Irán</v>
      </c>
      <c r="E222" s="11" t="str">
        <f ca="1">+WORLDCUP!BD66</f>
        <v>Irak</v>
      </c>
      <c r="F222" s="11" t="str">
        <f ca="1">+WORLDCUP!BD60</f>
        <v>Haití</v>
      </c>
      <c r="G222" s="11" t="str">
        <f ca="1">+WORLDCUP!BD58</f>
        <v>Corea del Sur</v>
      </c>
      <c r="H222" s="11" t="str">
        <f ca="1">+WORLDCUP!BD63</f>
        <v>Suecia</v>
      </c>
      <c r="I222" s="11" t="str">
        <f ca="1">+WORLDCUP!BD69</f>
        <v>Ghana</v>
      </c>
      <c r="J222" s="11" t="str">
        <f ca="1">+WORLDCUP!BD68</f>
        <v>Uzbekistán</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Costa de Marfil</v>
      </c>
      <c r="D223" s="11" t="str">
        <f ca="1">+WORLDCUP!BD64</f>
        <v>Irán</v>
      </c>
      <c r="E223" s="11" t="str">
        <f ca="1">+WORLDCUP!BD67</f>
        <v>Austria</v>
      </c>
      <c r="F223" s="11" t="str">
        <f ca="1">+WORLDCUP!BD60</f>
        <v>Haití</v>
      </c>
      <c r="G223" s="11" t="str">
        <f ca="1">+WORLDCUP!BD58</f>
        <v>Corea del Sur</v>
      </c>
      <c r="H223" s="11" t="str">
        <f ca="1">+WORLDCUP!BD63</f>
        <v>Suecia</v>
      </c>
      <c r="I223" s="11" t="str">
        <f ca="1">+WORLDCUP!BD69</f>
        <v>Ghana</v>
      </c>
      <c r="J223" s="11" t="str">
        <f ca="1">+WORLDCUP!BD66</f>
        <v>Irak</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Costa de Marfil</v>
      </c>
      <c r="D224" s="11" t="str">
        <f ca="1">+WORLDCUP!BD64</f>
        <v>Irán</v>
      </c>
      <c r="E224" s="11" t="str">
        <f ca="1">+WORLDCUP!BD67</f>
        <v>Austria</v>
      </c>
      <c r="F224" s="11" t="str">
        <f ca="1">+WORLDCUP!BD60</f>
        <v>Haití</v>
      </c>
      <c r="G224" s="11" t="str">
        <f ca="1">+WORLDCUP!BD58</f>
        <v>Corea del Sur</v>
      </c>
      <c r="H224" s="11" t="str">
        <f ca="1">+WORLDCUP!BD63</f>
        <v>Suecia</v>
      </c>
      <c r="I224" s="11" t="str">
        <f ca="1">+WORLDCUP!BD66</f>
        <v>Irak</v>
      </c>
      <c r="J224" s="11" t="str">
        <f ca="1">+WORLDCUP!BD68</f>
        <v>Uzbekistán</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Arabia Saudita</v>
      </c>
      <c r="D225" s="11" t="str">
        <f ca="1">+WORLDCUP!BD64</f>
        <v>Irán</v>
      </c>
      <c r="E225" s="11" t="str">
        <f ca="1">+WORLDCUP!BD62</f>
        <v>Costa de Marfil</v>
      </c>
      <c r="F225" s="11" t="str">
        <f ca="1">+WORLDCUP!BD60</f>
        <v>Haití</v>
      </c>
      <c r="G225" s="11" t="str">
        <f ca="1">+WORLDCUP!BD58</f>
        <v>Corea del Sur</v>
      </c>
      <c r="H225" s="11" t="str">
        <f ca="1">+WORLDCUP!BD63</f>
        <v>Suecia</v>
      </c>
      <c r="I225" s="11" t="str">
        <f ca="1">+WORLDCUP!BD69</f>
        <v>Ghana</v>
      </c>
      <c r="J225" s="11" t="str">
        <f ca="1">+WORLDCUP!BD68</f>
        <v>Uzbekistán</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Arabia Saudita</v>
      </c>
      <c r="D226" s="11" t="str">
        <f ca="1">+WORLDCUP!BD64</f>
        <v>Irán</v>
      </c>
      <c r="E226" s="11" t="str">
        <f ca="1">+WORLDCUP!BD67</f>
        <v>Austria</v>
      </c>
      <c r="F226" s="11" t="str">
        <f ca="1">+WORLDCUP!BD60</f>
        <v>Haití</v>
      </c>
      <c r="G226" s="11" t="str">
        <f ca="1">+WORLDCUP!BD58</f>
        <v>Corea del Sur</v>
      </c>
      <c r="H226" s="11" t="str">
        <f ca="1">+WORLDCUP!BD63</f>
        <v>Suecia</v>
      </c>
      <c r="I226" s="11" t="str">
        <f ca="1">+WORLDCUP!BD69</f>
        <v>Ghana</v>
      </c>
      <c r="J226" s="11" t="str">
        <f ca="1">+WORLDCUP!BD62</f>
        <v>Costa de Marfil</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Arabia Saudita</v>
      </c>
      <c r="D227" s="11" t="str">
        <f ca="1">+WORLDCUP!BD64</f>
        <v>Irán</v>
      </c>
      <c r="E227" s="11" t="str">
        <f ca="1">+WORLDCUP!BD67</f>
        <v>Austria</v>
      </c>
      <c r="F227" s="11" t="str">
        <f ca="1">+WORLDCUP!BD60</f>
        <v>Haití</v>
      </c>
      <c r="G227" s="11" t="str">
        <f ca="1">+WORLDCUP!BD58</f>
        <v>Corea del Sur</v>
      </c>
      <c r="H227" s="11" t="str">
        <f ca="1">+WORLDCUP!BD63</f>
        <v>Suecia</v>
      </c>
      <c r="I227" s="11" t="str">
        <f ca="1">+WORLDCUP!BD62</f>
        <v>Costa de Marfil</v>
      </c>
      <c r="J227" s="11" t="str">
        <f ca="1">+WORLDCUP!BD68</f>
        <v>Uzbekistán</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Arabia Saudita</v>
      </c>
      <c r="D228" s="11" t="str">
        <f ca="1">+WORLDCUP!BD64</f>
        <v>Irán</v>
      </c>
      <c r="E228" s="11" t="str">
        <f ca="1">+WORLDCUP!BD62</f>
        <v>Costa de Marfil</v>
      </c>
      <c r="F228" s="11" t="str">
        <f ca="1">+WORLDCUP!BD60</f>
        <v>Haití</v>
      </c>
      <c r="G228" s="11" t="str">
        <f ca="1">+WORLDCUP!BD58</f>
        <v>Corea del Sur</v>
      </c>
      <c r="H228" s="11" t="str">
        <f ca="1">+WORLDCUP!BD63</f>
        <v>Suecia</v>
      </c>
      <c r="I228" s="11" t="str">
        <f ca="1">+WORLDCUP!BD69</f>
        <v>Ghana</v>
      </c>
      <c r="J228" s="11" t="str">
        <f ca="1">+WORLDCUP!BD66</f>
        <v>Irak</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Arabia Saudita</v>
      </c>
      <c r="D229" s="11" t="str">
        <f ca="1">+WORLDCUP!BD64</f>
        <v>Irán</v>
      </c>
      <c r="E229" s="11" t="str">
        <f ca="1">+WORLDCUP!BD62</f>
        <v>Costa de Marfil</v>
      </c>
      <c r="F229" s="11" t="str">
        <f ca="1">+WORLDCUP!BD60</f>
        <v>Haití</v>
      </c>
      <c r="G229" s="11" t="str">
        <f ca="1">+WORLDCUP!BD58</f>
        <v>Corea del Sur</v>
      </c>
      <c r="H229" s="11" t="str">
        <f ca="1">+WORLDCUP!BD63</f>
        <v>Suecia</v>
      </c>
      <c r="I229" s="11" t="str">
        <f ca="1">+WORLDCUP!BD66</f>
        <v>Irak</v>
      </c>
      <c r="J229" s="11" t="str">
        <f ca="1">+WORLDCUP!BD68</f>
        <v>Uzbekistán</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Arabia Saudita</v>
      </c>
      <c r="D230" s="11" t="str">
        <f ca="1">+WORLDCUP!BD64</f>
        <v>Irán</v>
      </c>
      <c r="E230" s="11" t="str">
        <f ca="1">+WORLDCUP!BD67</f>
        <v>Austria</v>
      </c>
      <c r="F230" s="11" t="str">
        <f ca="1">+WORLDCUP!BD60</f>
        <v>Haití</v>
      </c>
      <c r="G230" s="11" t="str">
        <f ca="1">+WORLDCUP!BD58</f>
        <v>Corea del Sur</v>
      </c>
      <c r="H230" s="11" t="str">
        <f ca="1">+WORLDCUP!BD63</f>
        <v>Suecia</v>
      </c>
      <c r="I230" s="11" t="str">
        <f ca="1">+WORLDCUP!BD62</f>
        <v>Costa de Marfil</v>
      </c>
      <c r="J230" s="11" t="str">
        <f ca="1">+WORLDCUP!BD66</f>
        <v>Irak</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Arabia Saudita</v>
      </c>
      <c r="D231" s="11" t="str">
        <f ca="1">+WORLDCUP!BD67</f>
        <v>Austria</v>
      </c>
      <c r="E231" s="11" t="str">
        <f ca="1">+WORLDCUP!BD66</f>
        <v>Irak</v>
      </c>
      <c r="F231" s="11" t="str">
        <f ca="1">+WORLDCUP!BD60</f>
        <v>Haití</v>
      </c>
      <c r="G231" s="11" t="str">
        <f ca="1">+WORLDCUP!BD58</f>
        <v>Corea del Sur</v>
      </c>
      <c r="H231" s="11" t="str">
        <f ca="1">+WORLDCUP!BD61</f>
        <v>Australia</v>
      </c>
      <c r="I231" s="11" t="str">
        <f ca="1">+WORLDCUP!BD69</f>
        <v>Ghana</v>
      </c>
      <c r="J231" s="11" t="str">
        <f ca="1">+WORLDCUP!BD68</f>
        <v>Uzbekistán</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Irak</v>
      </c>
      <c r="D232" s="11" t="str">
        <f ca="1">+WORLDCUP!BD64</f>
        <v>Irán</v>
      </c>
      <c r="E232" s="11" t="str">
        <f ca="1">+WORLDCUP!BD67</f>
        <v>Austria</v>
      </c>
      <c r="F232" s="11" t="str">
        <f ca="1">+WORLDCUP!BD60</f>
        <v>Haití</v>
      </c>
      <c r="G232" s="11" t="str">
        <f ca="1">+WORLDCUP!BD58</f>
        <v>Corea del Sur</v>
      </c>
      <c r="H232" s="11" t="str">
        <f ca="1">+WORLDCUP!BD61</f>
        <v>Australia</v>
      </c>
      <c r="I232" s="11" t="str">
        <f ca="1">+WORLDCUP!BD69</f>
        <v>Ghana</v>
      </c>
      <c r="J232" s="11" t="str">
        <f ca="1">+WORLDCUP!BD68</f>
        <v>Uzbekistán</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Arabia Saudita</v>
      </c>
      <c r="D233" s="11" t="str">
        <f ca="1">+WORLDCUP!BD64</f>
        <v>Irán</v>
      </c>
      <c r="E233" s="11" t="str">
        <f ca="1">+WORLDCUP!BD67</f>
        <v>Austria</v>
      </c>
      <c r="F233" s="11" t="str">
        <f ca="1">+WORLDCUP!BD60</f>
        <v>Haití</v>
      </c>
      <c r="G233" s="11" t="str">
        <f ca="1">+WORLDCUP!BD58</f>
        <v>Corea del Sur</v>
      </c>
      <c r="H233" s="11" t="str">
        <f ca="1">+WORLDCUP!BD61</f>
        <v>Australia</v>
      </c>
      <c r="I233" s="11" t="str">
        <f ca="1">+WORLDCUP!BD69</f>
        <v>Ghana</v>
      </c>
      <c r="J233" s="11" t="str">
        <f ca="1">+WORLDCUP!BD68</f>
        <v>Uzbekistán</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Arabia Saudita</v>
      </c>
      <c r="D234" s="11" t="str">
        <f ca="1">+WORLDCUP!BD64</f>
        <v>Irán</v>
      </c>
      <c r="E234" s="11" t="str">
        <f ca="1">+WORLDCUP!BD66</f>
        <v>Irak</v>
      </c>
      <c r="F234" s="11" t="str">
        <f ca="1">+WORLDCUP!BD60</f>
        <v>Haití</v>
      </c>
      <c r="G234" s="11" t="str">
        <f ca="1">+WORLDCUP!BD58</f>
        <v>Corea del Sur</v>
      </c>
      <c r="H234" s="11" t="str">
        <f ca="1">+WORLDCUP!BD61</f>
        <v>Australia</v>
      </c>
      <c r="I234" s="11" t="str">
        <f ca="1">+WORLDCUP!BD69</f>
        <v>Ghana</v>
      </c>
      <c r="J234" s="11" t="str">
        <f ca="1">+WORLDCUP!BD68</f>
        <v>Uzbekistán</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Arabia Saudita</v>
      </c>
      <c r="D235" s="11" t="str">
        <f ca="1">+WORLDCUP!BD64</f>
        <v>Irán</v>
      </c>
      <c r="E235" s="11" t="str">
        <f ca="1">+WORLDCUP!BD67</f>
        <v>Austria</v>
      </c>
      <c r="F235" s="11" t="str">
        <f ca="1">+WORLDCUP!BD60</f>
        <v>Haití</v>
      </c>
      <c r="G235" s="11" t="str">
        <f ca="1">+WORLDCUP!BD58</f>
        <v>Corea del Sur</v>
      </c>
      <c r="H235" s="11" t="str">
        <f ca="1">+WORLDCUP!BD61</f>
        <v>Australia</v>
      </c>
      <c r="I235" s="11" t="str">
        <f ca="1">+WORLDCUP!BD69</f>
        <v>Ghana</v>
      </c>
      <c r="J235" s="11" t="str">
        <f ca="1">+WORLDCUP!BD66</f>
        <v>Irak</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Arabia Saudita</v>
      </c>
      <c r="D236" s="11" t="str">
        <f ca="1">+WORLDCUP!BD64</f>
        <v>Irán</v>
      </c>
      <c r="E236" s="11" t="str">
        <f ca="1">+WORLDCUP!BD67</f>
        <v>Austria</v>
      </c>
      <c r="F236" s="11" t="str">
        <f ca="1">+WORLDCUP!BD60</f>
        <v>Haití</v>
      </c>
      <c r="G236" s="11" t="str">
        <f ca="1">+WORLDCUP!BD58</f>
        <v>Corea del Sur</v>
      </c>
      <c r="H236" s="11" t="str">
        <f ca="1">+WORLDCUP!BD61</f>
        <v>Australia</v>
      </c>
      <c r="I236" s="11" t="str">
        <f ca="1">+WORLDCUP!BD66</f>
        <v>Irak</v>
      </c>
      <c r="J236" s="11" t="str">
        <f ca="1">+WORLDCUP!BD68</f>
        <v>Uzbekistán</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Haití</v>
      </c>
      <c r="D237" s="11" t="str">
        <f ca="1">+WORLDCUP!BD67</f>
        <v>Austria</v>
      </c>
      <c r="E237" s="11" t="str">
        <f ca="1">+WORLDCUP!BD66</f>
        <v>Irak</v>
      </c>
      <c r="F237" s="11" t="str">
        <f ca="1">+WORLDCUP!BD61</f>
        <v>Australia</v>
      </c>
      <c r="G237" s="11" t="str">
        <f ca="1">+WORLDCUP!BD58</f>
        <v>Corea del Sur</v>
      </c>
      <c r="H237" s="11" t="str">
        <f ca="1">+WORLDCUP!BD63</f>
        <v>Suecia</v>
      </c>
      <c r="I237" s="11" t="str">
        <f ca="1">+WORLDCUP!BD69</f>
        <v>Ghana</v>
      </c>
      <c r="J237" s="11" t="str">
        <f ca="1">+WORLDCUP!BD68</f>
        <v>Uzbekistán</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Arabia Saudita</v>
      </c>
      <c r="D238" s="11" t="str">
        <f ca="1">+WORLDCUP!BD67</f>
        <v>Austria</v>
      </c>
      <c r="E238" s="11" t="str">
        <f ca="1">+WORLDCUP!BD63</f>
        <v>Suecia</v>
      </c>
      <c r="F238" s="11" t="str">
        <f ca="1">+WORLDCUP!BD60</f>
        <v>Haití</v>
      </c>
      <c r="G238" s="11" t="str">
        <f ca="1">+WORLDCUP!BD58</f>
        <v>Corea del Sur</v>
      </c>
      <c r="H238" s="11" t="str">
        <f ca="1">+WORLDCUP!BD61</f>
        <v>Australia</v>
      </c>
      <c r="I238" s="11" t="str">
        <f ca="1">+WORLDCUP!BD69</f>
        <v>Ghana</v>
      </c>
      <c r="J238" s="11" t="str">
        <f ca="1">+WORLDCUP!BD68</f>
        <v>Uzbekistán</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Arabia Saudita</v>
      </c>
      <c r="D239" s="11" t="str">
        <f ca="1">+WORLDCUP!BD63</f>
        <v>Suecia</v>
      </c>
      <c r="E239" s="11" t="str">
        <f ca="1">+WORLDCUP!BD66</f>
        <v>Irak</v>
      </c>
      <c r="F239" s="11" t="str">
        <f ca="1">+WORLDCUP!BD60</f>
        <v>Haití</v>
      </c>
      <c r="G239" s="11" t="str">
        <f ca="1">+WORLDCUP!BD58</f>
        <v>Corea del Sur</v>
      </c>
      <c r="H239" s="11" t="str">
        <f ca="1">+WORLDCUP!BD61</f>
        <v>Australia</v>
      </c>
      <c r="I239" s="11" t="str">
        <f ca="1">+WORLDCUP!BD69</f>
        <v>Ghana</v>
      </c>
      <c r="J239" s="11" t="str">
        <f ca="1">+WORLDCUP!BD68</f>
        <v>Uzbekistán</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Arabia Saudita</v>
      </c>
      <c r="D240" s="11" t="str">
        <f ca="1">+WORLDCUP!BD67</f>
        <v>Austria</v>
      </c>
      <c r="E240" s="11" t="str">
        <f ca="1">+WORLDCUP!BD63</f>
        <v>Suecia</v>
      </c>
      <c r="F240" s="11" t="str">
        <f ca="1">+WORLDCUP!BD60</f>
        <v>Haití</v>
      </c>
      <c r="G240" s="11" t="str">
        <f ca="1">+WORLDCUP!BD58</f>
        <v>Corea del Sur</v>
      </c>
      <c r="H240" s="11" t="str">
        <f ca="1">+WORLDCUP!BD61</f>
        <v>Australia</v>
      </c>
      <c r="I240" s="11" t="str">
        <f ca="1">+WORLDCUP!BD69</f>
        <v>Ghana</v>
      </c>
      <c r="J240" s="11" t="str">
        <f ca="1">+WORLDCUP!BD66</f>
        <v>Irak</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Arabia Saudita</v>
      </c>
      <c r="D241" s="11" t="str">
        <f ca="1">+WORLDCUP!BD67</f>
        <v>Austria</v>
      </c>
      <c r="E241" s="11" t="str">
        <f ca="1">+WORLDCUP!BD63</f>
        <v>Suecia</v>
      </c>
      <c r="F241" s="11" t="str">
        <f ca="1">+WORLDCUP!BD60</f>
        <v>Haití</v>
      </c>
      <c r="G241" s="11" t="str">
        <f ca="1">+WORLDCUP!BD58</f>
        <v>Corea del Sur</v>
      </c>
      <c r="H241" s="11" t="str">
        <f ca="1">+WORLDCUP!BD61</f>
        <v>Australia</v>
      </c>
      <c r="I241" s="11" t="str">
        <f ca="1">+WORLDCUP!BD66</f>
        <v>Irak</v>
      </c>
      <c r="J241" s="11" t="str">
        <f ca="1">+WORLDCUP!BD68</f>
        <v>Uzbekistán</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Haití</v>
      </c>
      <c r="D242" s="11" t="str">
        <f ca="1">+WORLDCUP!BD64</f>
        <v>Irán</v>
      </c>
      <c r="E242" s="11" t="str">
        <f ca="1">+WORLDCUP!BD67</f>
        <v>Austria</v>
      </c>
      <c r="F242" s="11" t="str">
        <f ca="1">+WORLDCUP!BD61</f>
        <v>Australia</v>
      </c>
      <c r="G242" s="11" t="str">
        <f ca="1">+WORLDCUP!BD58</f>
        <v>Corea del Sur</v>
      </c>
      <c r="H242" s="11" t="str">
        <f ca="1">+WORLDCUP!BD63</f>
        <v>Suecia</v>
      </c>
      <c r="I242" s="11" t="str">
        <f ca="1">+WORLDCUP!BD69</f>
        <v>Ghana</v>
      </c>
      <c r="J242" s="11" t="str">
        <f ca="1">+WORLDCUP!BD68</f>
        <v>Uzbekistán</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Haití</v>
      </c>
      <c r="D243" s="11" t="str">
        <f ca="1">+WORLDCUP!BD64</f>
        <v>Irán</v>
      </c>
      <c r="E243" s="11" t="str">
        <f ca="1">+WORLDCUP!BD66</f>
        <v>Irak</v>
      </c>
      <c r="F243" s="11" t="str">
        <f ca="1">+WORLDCUP!BD61</f>
        <v>Australia</v>
      </c>
      <c r="G243" s="11" t="str">
        <f ca="1">+WORLDCUP!BD58</f>
        <v>Corea del Sur</v>
      </c>
      <c r="H243" s="11" t="str">
        <f ca="1">+WORLDCUP!BD63</f>
        <v>Suecia</v>
      </c>
      <c r="I243" s="11" t="str">
        <f ca="1">+WORLDCUP!BD69</f>
        <v>Ghana</v>
      </c>
      <c r="J243" s="11" t="str">
        <f ca="1">+WORLDCUP!BD68</f>
        <v>Uzbekistán</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Haití</v>
      </c>
      <c r="D244" s="11" t="str">
        <f ca="1">+WORLDCUP!BD64</f>
        <v>Irán</v>
      </c>
      <c r="E244" s="11" t="str">
        <f ca="1">+WORLDCUP!BD67</f>
        <v>Austria</v>
      </c>
      <c r="F244" s="11" t="str">
        <f ca="1">+WORLDCUP!BD61</f>
        <v>Australia</v>
      </c>
      <c r="G244" s="11" t="str">
        <f ca="1">+WORLDCUP!BD58</f>
        <v>Corea del Sur</v>
      </c>
      <c r="H244" s="11" t="str">
        <f ca="1">+WORLDCUP!BD63</f>
        <v>Suecia</v>
      </c>
      <c r="I244" s="11" t="str">
        <f ca="1">+WORLDCUP!BD69</f>
        <v>Ghana</v>
      </c>
      <c r="J244" s="11" t="str">
        <f ca="1">+WORLDCUP!BD66</f>
        <v>Irak</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Haití</v>
      </c>
      <c r="D245" s="11" t="str">
        <f ca="1">+WORLDCUP!BD64</f>
        <v>Irán</v>
      </c>
      <c r="E245" s="11" t="str">
        <f ca="1">+WORLDCUP!BD67</f>
        <v>Austria</v>
      </c>
      <c r="F245" s="11" t="str">
        <f ca="1">+WORLDCUP!BD61</f>
        <v>Australia</v>
      </c>
      <c r="G245" s="11" t="str">
        <f ca="1">+WORLDCUP!BD58</f>
        <v>Corea del Sur</v>
      </c>
      <c r="H245" s="11" t="str">
        <f ca="1">+WORLDCUP!BD63</f>
        <v>Suecia</v>
      </c>
      <c r="I245" s="11" t="str">
        <f ca="1">+WORLDCUP!BD66</f>
        <v>Irak</v>
      </c>
      <c r="J245" s="11" t="str">
        <f ca="1">+WORLDCUP!BD68</f>
        <v>Uzbekistán</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Arabia Saudita</v>
      </c>
      <c r="D246" s="11" t="str">
        <f ca="1">+WORLDCUP!BD64</f>
        <v>Irán</v>
      </c>
      <c r="E246" s="11" t="str">
        <f ca="1">+WORLDCUP!BD63</f>
        <v>Suecia</v>
      </c>
      <c r="F246" s="11" t="str">
        <f ca="1">+WORLDCUP!BD60</f>
        <v>Haití</v>
      </c>
      <c r="G246" s="11" t="str">
        <f ca="1">+WORLDCUP!BD58</f>
        <v>Corea del Sur</v>
      </c>
      <c r="H246" s="11" t="str">
        <f ca="1">+WORLDCUP!BD61</f>
        <v>Australia</v>
      </c>
      <c r="I246" s="11" t="str">
        <f ca="1">+WORLDCUP!BD69</f>
        <v>Ghana</v>
      </c>
      <c r="J246" s="11" t="str">
        <f ca="1">+WORLDCUP!BD68</f>
        <v>Uzbekistán</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Haití</v>
      </c>
      <c r="D247" s="11" t="str">
        <f ca="1">+WORLDCUP!BD64</f>
        <v>Irán</v>
      </c>
      <c r="E247" s="11" t="str">
        <f ca="1">+WORLDCUP!BD67</f>
        <v>Austria</v>
      </c>
      <c r="F247" s="11" t="str">
        <f ca="1">+WORLDCUP!BD61</f>
        <v>Australia</v>
      </c>
      <c r="G247" s="11" t="str">
        <f ca="1">+WORLDCUP!BD58</f>
        <v>Corea del Sur</v>
      </c>
      <c r="H247" s="11" t="str">
        <f ca="1">+WORLDCUP!BD63</f>
        <v>Suecia</v>
      </c>
      <c r="I247" s="11" t="str">
        <f ca="1">+WORLDCUP!BD69</f>
        <v>Ghana</v>
      </c>
      <c r="J247" s="11" t="str">
        <f ca="1">+WORLDCUP!BD65</f>
        <v>Arabia Saudita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Arabia Saudita</v>
      </c>
      <c r="D248" s="11" t="str">
        <f ca="1">+WORLDCUP!BD64</f>
        <v>Irán</v>
      </c>
      <c r="E248" s="11" t="str">
        <f ca="1">+WORLDCUP!BD67</f>
        <v>Austria</v>
      </c>
      <c r="F248" s="11" t="str">
        <f ca="1">+WORLDCUP!BD60</f>
        <v>Haití</v>
      </c>
      <c r="G248" s="11" t="str">
        <f ca="1">+WORLDCUP!BD58</f>
        <v>Corea del Sur</v>
      </c>
      <c r="H248" s="11" t="str">
        <f ca="1">+WORLDCUP!BD63</f>
        <v>Suecia</v>
      </c>
      <c r="I248" s="11" t="str">
        <f ca="1">+WORLDCUP!BD61</f>
        <v>Australia</v>
      </c>
      <c r="J248" s="11" t="str">
        <f ca="1">+WORLDCUP!BD68</f>
        <v>Uzbekistán</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Arabia Saudita</v>
      </c>
      <c r="D249" s="11" t="str">
        <f ca="1">+WORLDCUP!BD64</f>
        <v>Irán</v>
      </c>
      <c r="E249" s="11" t="str">
        <f ca="1">+WORLDCUP!BD63</f>
        <v>Suecia</v>
      </c>
      <c r="F249" s="11" t="str">
        <f ca="1">+WORLDCUP!BD60</f>
        <v>Haití</v>
      </c>
      <c r="G249" s="11" t="str">
        <f ca="1">+WORLDCUP!BD58</f>
        <v>Corea del Sur</v>
      </c>
      <c r="H249" s="11" t="str">
        <f ca="1">+WORLDCUP!BD61</f>
        <v>Australia</v>
      </c>
      <c r="I249" s="11" t="str">
        <f ca="1">+WORLDCUP!BD69</f>
        <v>Ghana</v>
      </c>
      <c r="J249" s="11" t="str">
        <f ca="1">+WORLDCUP!BD66</f>
        <v>Irak</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Arabia Saudita</v>
      </c>
      <c r="D250" s="11" t="str">
        <f ca="1">+WORLDCUP!BD64</f>
        <v>Irán</v>
      </c>
      <c r="E250" s="11" t="str">
        <f ca="1">+WORLDCUP!BD63</f>
        <v>Suecia</v>
      </c>
      <c r="F250" s="11" t="str">
        <f ca="1">+WORLDCUP!BD60</f>
        <v>Haití</v>
      </c>
      <c r="G250" s="11" t="str">
        <f ca="1">+WORLDCUP!BD58</f>
        <v>Corea del Sur</v>
      </c>
      <c r="H250" s="11" t="str">
        <f ca="1">+WORLDCUP!BD61</f>
        <v>Australia</v>
      </c>
      <c r="I250" s="11" t="str">
        <f ca="1">+WORLDCUP!BD66</f>
        <v>Irak</v>
      </c>
      <c r="J250" s="11" t="str">
        <f ca="1">+WORLDCUP!BD68</f>
        <v>Uzbekistán</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Arabia Saudita</v>
      </c>
      <c r="D251" s="11" t="str">
        <f ca="1">+WORLDCUP!BD64</f>
        <v>Irán</v>
      </c>
      <c r="E251" s="11" t="str">
        <f ca="1">+WORLDCUP!BD67</f>
        <v>Austria</v>
      </c>
      <c r="F251" s="11" t="str">
        <f ca="1">+WORLDCUP!BD60</f>
        <v>Haití</v>
      </c>
      <c r="G251" s="11" t="str">
        <f ca="1">+WORLDCUP!BD58</f>
        <v>Corea del Sur</v>
      </c>
      <c r="H251" s="11" t="str">
        <f ca="1">+WORLDCUP!BD63</f>
        <v>Suecia</v>
      </c>
      <c r="I251" s="11" t="str">
        <f ca="1">+WORLDCUP!BD61</f>
        <v>Australia</v>
      </c>
      <c r="J251" s="11" t="str">
        <f ca="1">+WORLDCUP!BD66</f>
        <v>Irak</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Costa de Marfil</v>
      </c>
      <c r="D252" s="11" t="str">
        <f ca="1">+WORLDCUP!BD67</f>
        <v>Austria</v>
      </c>
      <c r="E252" s="11" t="str">
        <f ca="1">+WORLDCUP!BD66</f>
        <v>Irak</v>
      </c>
      <c r="F252" s="11" t="str">
        <f ca="1">+WORLDCUP!BD60</f>
        <v>Haití</v>
      </c>
      <c r="G252" s="11" t="str">
        <f ca="1">+WORLDCUP!BD58</f>
        <v>Corea del Sur</v>
      </c>
      <c r="H252" s="11" t="str">
        <f ca="1">+WORLDCUP!BD61</f>
        <v>Australia</v>
      </c>
      <c r="I252" s="11" t="str">
        <f ca="1">+WORLDCUP!BD69</f>
        <v>Ghana</v>
      </c>
      <c r="J252" s="11" t="str">
        <f ca="1">+WORLDCUP!BD68</f>
        <v>Uzbekistán</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Arabia Saudita</v>
      </c>
      <c r="D253" s="11" t="str">
        <f ca="1">+WORLDCUP!BD67</f>
        <v>Austria</v>
      </c>
      <c r="E253" s="11" t="str">
        <f ca="1">+WORLDCUP!BD62</f>
        <v>Costa de Marfil</v>
      </c>
      <c r="F253" s="11" t="str">
        <f ca="1">+WORLDCUP!BD60</f>
        <v>Haití</v>
      </c>
      <c r="G253" s="11" t="str">
        <f ca="1">+WORLDCUP!BD58</f>
        <v>Corea del Sur</v>
      </c>
      <c r="H253" s="11" t="str">
        <f ca="1">+WORLDCUP!BD61</f>
        <v>Australia</v>
      </c>
      <c r="I253" s="11" t="str">
        <f ca="1">+WORLDCUP!BD69</f>
        <v>Ghana</v>
      </c>
      <c r="J253" s="11" t="str">
        <f ca="1">+WORLDCUP!BD68</f>
        <v>Uzbekistán</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Arabia Saudita</v>
      </c>
      <c r="D254" s="11" t="str">
        <f ca="1">+WORLDCUP!BD62</f>
        <v>Costa de Marfil</v>
      </c>
      <c r="E254" s="11" t="str">
        <f ca="1">+WORLDCUP!BD66</f>
        <v>Irak</v>
      </c>
      <c r="F254" s="11" t="str">
        <f ca="1">+WORLDCUP!BD60</f>
        <v>Haití</v>
      </c>
      <c r="G254" s="11" t="str">
        <f ca="1">+WORLDCUP!BD58</f>
        <v>Corea del Sur</v>
      </c>
      <c r="H254" s="11" t="str">
        <f ca="1">+WORLDCUP!BD61</f>
        <v>Australia</v>
      </c>
      <c r="I254" s="11" t="str">
        <f ca="1">+WORLDCUP!BD69</f>
        <v>Ghana</v>
      </c>
      <c r="J254" s="11" t="str">
        <f ca="1">+WORLDCUP!BD68</f>
        <v>Uzbekistán</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Arabia Saudita</v>
      </c>
      <c r="D255" s="11" t="str">
        <f ca="1">+WORLDCUP!BD67</f>
        <v>Austria</v>
      </c>
      <c r="E255" s="11" t="str">
        <f ca="1">+WORLDCUP!BD62</f>
        <v>Costa de Marfil</v>
      </c>
      <c r="F255" s="11" t="str">
        <f ca="1">+WORLDCUP!BD60</f>
        <v>Haití</v>
      </c>
      <c r="G255" s="11" t="str">
        <f ca="1">+WORLDCUP!BD58</f>
        <v>Corea del Sur</v>
      </c>
      <c r="H255" s="11" t="str">
        <f ca="1">+WORLDCUP!BD61</f>
        <v>Australia</v>
      </c>
      <c r="I255" s="11" t="str">
        <f ca="1">+WORLDCUP!BD69</f>
        <v>Ghana</v>
      </c>
      <c r="J255" s="11" t="str">
        <f ca="1">+WORLDCUP!BD66</f>
        <v>Irak</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Arabia Saudita</v>
      </c>
      <c r="D256" s="11" t="str">
        <f ca="1">+WORLDCUP!BD67</f>
        <v>Austria</v>
      </c>
      <c r="E256" s="11" t="str">
        <f ca="1">+WORLDCUP!BD62</f>
        <v>Costa de Marfil</v>
      </c>
      <c r="F256" s="11" t="str">
        <f ca="1">+WORLDCUP!BD60</f>
        <v>Haití</v>
      </c>
      <c r="G256" s="11" t="str">
        <f ca="1">+WORLDCUP!BD58</f>
        <v>Corea del Sur</v>
      </c>
      <c r="H256" s="11" t="str">
        <f ca="1">+WORLDCUP!BD61</f>
        <v>Australia</v>
      </c>
      <c r="I256" s="11" t="str">
        <f ca="1">+WORLDCUP!BD66</f>
        <v>Irak</v>
      </c>
      <c r="J256" s="11" t="str">
        <f ca="1">+WORLDCUP!BD68</f>
        <v>Uzbekistán</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Costa de Marfil</v>
      </c>
      <c r="D257" s="11" t="str">
        <f ca="1">+WORLDCUP!BD64</f>
        <v>Irán</v>
      </c>
      <c r="E257" s="11" t="str">
        <f ca="1">+WORLDCUP!BD67</f>
        <v>Austria</v>
      </c>
      <c r="F257" s="11" t="str">
        <f ca="1">+WORLDCUP!BD60</f>
        <v>Haití</v>
      </c>
      <c r="G257" s="11" t="str">
        <f ca="1">+WORLDCUP!BD58</f>
        <v>Corea del Sur</v>
      </c>
      <c r="H257" s="11" t="str">
        <f ca="1">+WORLDCUP!BD61</f>
        <v>Australia</v>
      </c>
      <c r="I257" s="11" t="str">
        <f ca="1">+WORLDCUP!BD69</f>
        <v>Ghana</v>
      </c>
      <c r="J257" s="11" t="str">
        <f ca="1">+WORLDCUP!BD68</f>
        <v>Uzbekistán</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Costa de Marfil</v>
      </c>
      <c r="D258" s="11" t="str">
        <f ca="1">+WORLDCUP!BD64</f>
        <v>Irán</v>
      </c>
      <c r="E258" s="11" t="str">
        <f ca="1">+WORLDCUP!BD66</f>
        <v>Irak</v>
      </c>
      <c r="F258" s="11" t="str">
        <f ca="1">+WORLDCUP!BD60</f>
        <v>Haití</v>
      </c>
      <c r="G258" s="11" t="str">
        <f ca="1">+WORLDCUP!BD58</f>
        <v>Corea del Sur</v>
      </c>
      <c r="H258" s="11" t="str">
        <f ca="1">+WORLDCUP!BD61</f>
        <v>Australia</v>
      </c>
      <c r="I258" s="11" t="str">
        <f ca="1">+WORLDCUP!BD69</f>
        <v>Ghana</v>
      </c>
      <c r="J258" s="11" t="str">
        <f ca="1">+WORLDCUP!BD68</f>
        <v>Uzbekistán</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Costa de Marfil</v>
      </c>
      <c r="D259" s="11" t="str">
        <f ca="1">+WORLDCUP!BD64</f>
        <v>Irán</v>
      </c>
      <c r="E259" s="11" t="str">
        <f ca="1">+WORLDCUP!BD67</f>
        <v>Austria</v>
      </c>
      <c r="F259" s="11" t="str">
        <f ca="1">+WORLDCUP!BD60</f>
        <v>Haití</v>
      </c>
      <c r="G259" s="11" t="str">
        <f ca="1">+WORLDCUP!BD58</f>
        <v>Corea del Sur</v>
      </c>
      <c r="H259" s="11" t="str">
        <f ca="1">+WORLDCUP!BD61</f>
        <v>Australia</v>
      </c>
      <c r="I259" s="11" t="str">
        <f ca="1">+WORLDCUP!BD69</f>
        <v>Ghana</v>
      </c>
      <c r="J259" s="11" t="str">
        <f ca="1">+WORLDCUP!BD66</f>
        <v>Irak</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Costa de Marfil</v>
      </c>
      <c r="D260" s="11" t="str">
        <f ca="1">+WORLDCUP!BD64</f>
        <v>Irán</v>
      </c>
      <c r="E260" s="11" t="str">
        <f ca="1">+WORLDCUP!BD67</f>
        <v>Austria</v>
      </c>
      <c r="F260" s="11" t="str">
        <f ca="1">+WORLDCUP!BD60</f>
        <v>Haití</v>
      </c>
      <c r="G260" s="11" t="str">
        <f ca="1">+WORLDCUP!BD58</f>
        <v>Corea del Sur</v>
      </c>
      <c r="H260" s="11" t="str">
        <f ca="1">+WORLDCUP!BD61</f>
        <v>Australia</v>
      </c>
      <c r="I260" s="11" t="str">
        <f ca="1">+WORLDCUP!BD66</f>
        <v>Irak</v>
      </c>
      <c r="J260" s="11" t="str">
        <f ca="1">+WORLDCUP!BD68</f>
        <v>Uzbekistán</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Arabia Saudita</v>
      </c>
      <c r="D261" s="11" t="str">
        <f ca="1">+WORLDCUP!BD64</f>
        <v>Irán</v>
      </c>
      <c r="E261" s="11" t="str">
        <f ca="1">+WORLDCUP!BD62</f>
        <v>Costa de Marfil</v>
      </c>
      <c r="F261" s="11" t="str">
        <f ca="1">+WORLDCUP!BD60</f>
        <v>Haití</v>
      </c>
      <c r="G261" s="11" t="str">
        <f ca="1">+WORLDCUP!BD58</f>
        <v>Corea del Sur</v>
      </c>
      <c r="H261" s="11" t="str">
        <f ca="1">+WORLDCUP!BD61</f>
        <v>Australia</v>
      </c>
      <c r="I261" s="11" t="str">
        <f ca="1">+WORLDCUP!BD69</f>
        <v>Ghana</v>
      </c>
      <c r="J261" s="11" t="str">
        <f ca="1">+WORLDCUP!BD68</f>
        <v>Uzbekistán</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Arabia Saudita</v>
      </c>
      <c r="D262" s="11" t="str">
        <f ca="1">+WORLDCUP!BD64</f>
        <v>Irán</v>
      </c>
      <c r="E262" s="11" t="str">
        <f ca="1">+WORLDCUP!BD67</f>
        <v>Austria</v>
      </c>
      <c r="F262" s="11" t="str">
        <f ca="1">+WORLDCUP!BD60</f>
        <v>Haití</v>
      </c>
      <c r="G262" s="11" t="str">
        <f ca="1">+WORLDCUP!BD58</f>
        <v>Corea del Sur</v>
      </c>
      <c r="H262" s="11" t="str">
        <f ca="1">+WORLDCUP!BD61</f>
        <v>Australia</v>
      </c>
      <c r="I262" s="11" t="str">
        <f ca="1">+WORLDCUP!BD69</f>
        <v>Ghana</v>
      </c>
      <c r="J262" s="11" t="str">
        <f ca="1">+WORLDCUP!BD62</f>
        <v>Costa de Marfil</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Arabia Saudita</v>
      </c>
      <c r="D263" s="11" t="str">
        <f ca="1">+WORLDCUP!BD64</f>
        <v>Irán</v>
      </c>
      <c r="E263" s="11" t="str">
        <f ca="1">+WORLDCUP!BD67</f>
        <v>Austria</v>
      </c>
      <c r="F263" s="11" t="str">
        <f ca="1">+WORLDCUP!BD60</f>
        <v>Haití</v>
      </c>
      <c r="G263" s="11" t="str">
        <f ca="1">+WORLDCUP!BD58</f>
        <v>Corea del Sur</v>
      </c>
      <c r="H263" s="11" t="str">
        <f ca="1">+WORLDCUP!BD61</f>
        <v>Australia</v>
      </c>
      <c r="I263" s="11" t="str">
        <f ca="1">+WORLDCUP!BD62</f>
        <v>Costa de Marfil</v>
      </c>
      <c r="J263" s="11" t="str">
        <f ca="1">+WORLDCUP!BD68</f>
        <v>Uzbekistán</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Arabia Saudita</v>
      </c>
      <c r="D264" s="11" t="str">
        <f ca="1">+WORLDCUP!BD64</f>
        <v>Irán</v>
      </c>
      <c r="E264" s="11" t="str">
        <f ca="1">+WORLDCUP!BD62</f>
        <v>Costa de Marfil</v>
      </c>
      <c r="F264" s="11" t="str">
        <f ca="1">+WORLDCUP!BD60</f>
        <v>Haití</v>
      </c>
      <c r="G264" s="11" t="str">
        <f ca="1">+WORLDCUP!BD58</f>
        <v>Corea del Sur</v>
      </c>
      <c r="H264" s="11" t="str">
        <f ca="1">+WORLDCUP!BD61</f>
        <v>Australia</v>
      </c>
      <c r="I264" s="11" t="str">
        <f ca="1">+WORLDCUP!BD69</f>
        <v>Ghana</v>
      </c>
      <c r="J264" s="11" t="str">
        <f ca="1">+WORLDCUP!BD66</f>
        <v>Irak</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Arabia Saudita</v>
      </c>
      <c r="D265" s="11" t="str">
        <f ca="1">+WORLDCUP!BD64</f>
        <v>Irán</v>
      </c>
      <c r="E265" s="11" t="str">
        <f ca="1">+WORLDCUP!BD62</f>
        <v>Costa de Marfil</v>
      </c>
      <c r="F265" s="11" t="str">
        <f ca="1">+WORLDCUP!BD60</f>
        <v>Haití</v>
      </c>
      <c r="G265" s="11" t="str">
        <f ca="1">+WORLDCUP!BD58</f>
        <v>Corea del Sur</v>
      </c>
      <c r="H265" s="11" t="str">
        <f ca="1">+WORLDCUP!BD61</f>
        <v>Australia</v>
      </c>
      <c r="I265" s="11" t="str">
        <f ca="1">+WORLDCUP!BD66</f>
        <v>Irak</v>
      </c>
      <c r="J265" s="11" t="str">
        <f ca="1">+WORLDCUP!BD68</f>
        <v>Uzbekistán</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Arabia Saudita</v>
      </c>
      <c r="D266" s="11" t="str">
        <f ca="1">+WORLDCUP!BD64</f>
        <v>Irán</v>
      </c>
      <c r="E266" s="11" t="str">
        <f ca="1">+WORLDCUP!BD67</f>
        <v>Austria</v>
      </c>
      <c r="F266" s="11" t="str">
        <f ca="1">+WORLDCUP!BD60</f>
        <v>Haití</v>
      </c>
      <c r="G266" s="11" t="str">
        <f ca="1">+WORLDCUP!BD58</f>
        <v>Corea del Sur</v>
      </c>
      <c r="H266" s="11" t="str">
        <f ca="1">+WORLDCUP!BD61</f>
        <v>Australia</v>
      </c>
      <c r="I266" s="11" t="str">
        <f ca="1">+WORLDCUP!BD62</f>
        <v>Costa de Marfil</v>
      </c>
      <c r="J266" s="11" t="str">
        <f ca="1">+WORLDCUP!BD66</f>
        <v>Irak</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Haití</v>
      </c>
      <c r="D267" s="11" t="str">
        <f ca="1">+WORLDCUP!BD67</f>
        <v>Austria</v>
      </c>
      <c r="E267" s="11" t="str">
        <f ca="1">+WORLDCUP!BD62</f>
        <v>Costa de Marfil</v>
      </c>
      <c r="F267" s="11" t="str">
        <f ca="1">+WORLDCUP!BD61</f>
        <v>Australia</v>
      </c>
      <c r="G267" s="11" t="str">
        <f ca="1">+WORLDCUP!BD58</f>
        <v>Corea del Sur</v>
      </c>
      <c r="H267" s="11" t="str">
        <f ca="1">+WORLDCUP!BD63</f>
        <v>Suecia</v>
      </c>
      <c r="I267" s="11" t="str">
        <f ca="1">+WORLDCUP!BD69</f>
        <v>Ghana</v>
      </c>
      <c r="J267" s="11" t="str">
        <f ca="1">+WORLDCUP!BD68</f>
        <v>Uzbekistán</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Haití</v>
      </c>
      <c r="D268" s="11" t="str">
        <f ca="1">+WORLDCUP!BD62</f>
        <v>Costa de Marfil</v>
      </c>
      <c r="E268" s="11" t="str">
        <f ca="1">+WORLDCUP!BD66</f>
        <v>Irak</v>
      </c>
      <c r="F268" s="11" t="str">
        <f ca="1">+WORLDCUP!BD61</f>
        <v>Australia</v>
      </c>
      <c r="G268" s="11" t="str">
        <f ca="1">+WORLDCUP!BD58</f>
        <v>Corea del Sur</v>
      </c>
      <c r="H268" s="11" t="str">
        <f ca="1">+WORLDCUP!BD63</f>
        <v>Suecia</v>
      </c>
      <c r="I268" s="11" t="str">
        <f ca="1">+WORLDCUP!BD69</f>
        <v>Ghana</v>
      </c>
      <c r="J268" s="11" t="str">
        <f ca="1">+WORLDCUP!BD68</f>
        <v>Uzbekistán</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Haití</v>
      </c>
      <c r="D269" s="11" t="str">
        <f ca="1">+WORLDCUP!BD67</f>
        <v>Austria</v>
      </c>
      <c r="E269" s="11" t="str">
        <f ca="1">+WORLDCUP!BD62</f>
        <v>Costa de Marfil</v>
      </c>
      <c r="F269" s="11" t="str">
        <f ca="1">+WORLDCUP!BD61</f>
        <v>Australia</v>
      </c>
      <c r="G269" s="11" t="str">
        <f ca="1">+WORLDCUP!BD58</f>
        <v>Corea del Sur</v>
      </c>
      <c r="H269" s="11" t="str">
        <f ca="1">+WORLDCUP!BD63</f>
        <v>Suecia</v>
      </c>
      <c r="I269" s="11" t="str">
        <f ca="1">+WORLDCUP!BD69</f>
        <v>Ghana</v>
      </c>
      <c r="J269" s="11" t="str">
        <f ca="1">+WORLDCUP!BD66</f>
        <v>Irak</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Haití</v>
      </c>
      <c r="D270" s="11" t="str">
        <f ca="1">+WORLDCUP!BD67</f>
        <v>Austria</v>
      </c>
      <c r="E270" s="11" t="str">
        <f ca="1">+WORLDCUP!BD62</f>
        <v>Costa de Marfil</v>
      </c>
      <c r="F270" s="11" t="str">
        <f ca="1">+WORLDCUP!BD61</f>
        <v>Australia</v>
      </c>
      <c r="G270" s="11" t="str">
        <f ca="1">+WORLDCUP!BD58</f>
        <v>Corea del Sur</v>
      </c>
      <c r="H270" s="11" t="str">
        <f ca="1">+WORLDCUP!BD63</f>
        <v>Suecia</v>
      </c>
      <c r="I270" s="11" t="str">
        <f ca="1">+WORLDCUP!BD66</f>
        <v>Irak</v>
      </c>
      <c r="J270" s="11" t="str">
        <f ca="1">+WORLDCUP!BD68</f>
        <v>Uzbekistán</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Arabia Saudita</v>
      </c>
      <c r="D271" s="11" t="str">
        <f ca="1">+WORLDCUP!BD62</f>
        <v>Costa de Marfil</v>
      </c>
      <c r="E271" s="11" t="str">
        <f ca="1">+WORLDCUP!BD63</f>
        <v>Suecia</v>
      </c>
      <c r="F271" s="11" t="str">
        <f ca="1">+WORLDCUP!BD60</f>
        <v>Haití</v>
      </c>
      <c r="G271" s="11" t="str">
        <f ca="1">+WORLDCUP!BD58</f>
        <v>Corea del Sur</v>
      </c>
      <c r="H271" s="11" t="str">
        <f ca="1">+WORLDCUP!BD61</f>
        <v>Australia</v>
      </c>
      <c r="I271" s="11" t="str">
        <f ca="1">+WORLDCUP!BD69</f>
        <v>Ghana</v>
      </c>
      <c r="J271" s="11" t="str">
        <f ca="1">+WORLDCUP!BD68</f>
        <v>Uzbekistán</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Arabia Saudita</v>
      </c>
      <c r="D272" s="11" t="str">
        <f ca="1">+WORLDCUP!BD67</f>
        <v>Austria</v>
      </c>
      <c r="E272" s="11" t="str">
        <f ca="1">+WORLDCUP!BD63</f>
        <v>Suecia</v>
      </c>
      <c r="F272" s="11" t="str">
        <f ca="1">+WORLDCUP!BD60</f>
        <v>Haití</v>
      </c>
      <c r="G272" s="11" t="str">
        <f ca="1">+WORLDCUP!BD58</f>
        <v>Corea del Sur</v>
      </c>
      <c r="H272" s="11" t="str">
        <f ca="1">+WORLDCUP!BD61</f>
        <v>Australia</v>
      </c>
      <c r="I272" s="11" t="str">
        <f ca="1">+WORLDCUP!BD69</f>
        <v>Ghana</v>
      </c>
      <c r="J272" s="11" t="str">
        <f ca="1">+WORLDCUP!BD62</f>
        <v>Costa de Marfil</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Arabia Saudita</v>
      </c>
      <c r="D273" s="11" t="str">
        <f ca="1">+WORLDCUP!BD67</f>
        <v>Austria</v>
      </c>
      <c r="E273" s="11" t="str">
        <f ca="1">+WORLDCUP!BD62</f>
        <v>Costa de Marfil</v>
      </c>
      <c r="F273" s="11" t="str">
        <f ca="1">+WORLDCUP!BD60</f>
        <v>Haití</v>
      </c>
      <c r="G273" s="11" t="str">
        <f ca="1">+WORLDCUP!BD58</f>
        <v>Corea del Sur</v>
      </c>
      <c r="H273" s="11" t="str">
        <f ca="1">+WORLDCUP!BD63</f>
        <v>Suecia</v>
      </c>
      <c r="I273" s="11" t="str">
        <f ca="1">+WORLDCUP!BD61</f>
        <v>Australia</v>
      </c>
      <c r="J273" s="11" t="str">
        <f ca="1">+WORLDCUP!BD68</f>
        <v>Uzbekistán</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Arabia Saudita</v>
      </c>
      <c r="D274" s="11" t="str">
        <f ca="1">+WORLDCUP!BD62</f>
        <v>Costa de Marfil</v>
      </c>
      <c r="E274" s="11" t="str">
        <f ca="1">+WORLDCUP!BD63</f>
        <v>Suecia</v>
      </c>
      <c r="F274" s="11" t="str">
        <f ca="1">+WORLDCUP!BD60</f>
        <v>Haití</v>
      </c>
      <c r="G274" s="11" t="str">
        <f ca="1">+WORLDCUP!BD58</f>
        <v>Corea del Sur</v>
      </c>
      <c r="H274" s="11" t="str">
        <f ca="1">+WORLDCUP!BD61</f>
        <v>Australia</v>
      </c>
      <c r="I274" s="11" t="str">
        <f ca="1">+WORLDCUP!BD69</f>
        <v>Ghana</v>
      </c>
      <c r="J274" s="11" t="str">
        <f ca="1">+WORLDCUP!BD66</f>
        <v>Irak</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Arabia Saudita</v>
      </c>
      <c r="D275" s="11" t="str">
        <f ca="1">+WORLDCUP!BD62</f>
        <v>Costa de Marfil</v>
      </c>
      <c r="E275" s="11" t="str">
        <f ca="1">+WORLDCUP!BD63</f>
        <v>Suecia</v>
      </c>
      <c r="F275" s="11" t="str">
        <f ca="1">+WORLDCUP!BD60</f>
        <v>Haití</v>
      </c>
      <c r="G275" s="11" t="str">
        <f ca="1">+WORLDCUP!BD58</f>
        <v>Corea del Sur</v>
      </c>
      <c r="H275" s="11" t="str">
        <f ca="1">+WORLDCUP!BD61</f>
        <v>Australia</v>
      </c>
      <c r="I275" s="11" t="str">
        <f ca="1">+WORLDCUP!BD66</f>
        <v>Irak</v>
      </c>
      <c r="J275" s="11" t="str">
        <f ca="1">+WORLDCUP!BD68</f>
        <v>Uzbekistán</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Arabia Saudita</v>
      </c>
      <c r="D276" s="11" t="str">
        <f ca="1">+WORLDCUP!BD67</f>
        <v>Austria</v>
      </c>
      <c r="E276" s="11" t="str">
        <f ca="1">+WORLDCUP!BD62</f>
        <v>Costa de Marfil</v>
      </c>
      <c r="F276" s="11" t="str">
        <f ca="1">+WORLDCUP!BD60</f>
        <v>Haití</v>
      </c>
      <c r="G276" s="11" t="str">
        <f ca="1">+WORLDCUP!BD58</f>
        <v>Corea del Sur</v>
      </c>
      <c r="H276" s="11" t="str">
        <f ca="1">+WORLDCUP!BD63</f>
        <v>Suecia</v>
      </c>
      <c r="I276" s="11" t="str">
        <f ca="1">+WORLDCUP!BD61</f>
        <v>Australia</v>
      </c>
      <c r="J276" s="11" t="str">
        <f ca="1">+WORLDCUP!BD66</f>
        <v>Irak</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Haití</v>
      </c>
      <c r="D277" s="11" t="str">
        <f ca="1">+WORLDCUP!BD64</f>
        <v>Irán</v>
      </c>
      <c r="E277" s="11" t="str">
        <f ca="1">+WORLDCUP!BD62</f>
        <v>Costa de Marfil</v>
      </c>
      <c r="F277" s="11" t="str">
        <f ca="1">+WORLDCUP!BD61</f>
        <v>Australia</v>
      </c>
      <c r="G277" s="11" t="str">
        <f ca="1">+WORLDCUP!BD58</f>
        <v>Corea del Sur</v>
      </c>
      <c r="H277" s="11" t="str">
        <f ca="1">+WORLDCUP!BD63</f>
        <v>Suecia</v>
      </c>
      <c r="I277" s="11" t="str">
        <f ca="1">+WORLDCUP!BD69</f>
        <v>Ghana</v>
      </c>
      <c r="J277" s="11" t="str">
        <f ca="1">+WORLDCUP!BD68</f>
        <v>Uzbekistán</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Haití</v>
      </c>
      <c r="D278" s="11" t="str">
        <f ca="1">+WORLDCUP!BD64</f>
        <v>Irán</v>
      </c>
      <c r="E278" s="11" t="str">
        <f ca="1">+WORLDCUP!BD67</f>
        <v>Austria</v>
      </c>
      <c r="F278" s="11" t="str">
        <f ca="1">+WORLDCUP!BD61</f>
        <v>Australia</v>
      </c>
      <c r="G278" s="11" t="str">
        <f ca="1">+WORLDCUP!BD58</f>
        <v>Corea del Sur</v>
      </c>
      <c r="H278" s="11" t="str">
        <f ca="1">+WORLDCUP!BD63</f>
        <v>Suecia</v>
      </c>
      <c r="I278" s="11" t="str">
        <f ca="1">+WORLDCUP!BD69</f>
        <v>Ghana</v>
      </c>
      <c r="J278" s="11" t="str">
        <f ca="1">+WORLDCUP!BD62</f>
        <v>Costa de Marfil</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Haití</v>
      </c>
      <c r="D279" s="11" t="str">
        <f ca="1">+WORLDCUP!BD64</f>
        <v>Irán</v>
      </c>
      <c r="E279" s="11" t="str">
        <f ca="1">+WORLDCUP!BD67</f>
        <v>Austria</v>
      </c>
      <c r="F279" s="11" t="str">
        <f ca="1">+WORLDCUP!BD61</f>
        <v>Australia</v>
      </c>
      <c r="G279" s="11" t="str">
        <f ca="1">+WORLDCUP!BD58</f>
        <v>Corea del Sur</v>
      </c>
      <c r="H279" s="11" t="str">
        <f ca="1">+WORLDCUP!BD63</f>
        <v>Suecia</v>
      </c>
      <c r="I279" s="11" t="str">
        <f ca="1">+WORLDCUP!BD62</f>
        <v>Costa de Marfil</v>
      </c>
      <c r="J279" s="11" t="str">
        <f ca="1">+WORLDCUP!BD68</f>
        <v>Uzbekistán</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Haití</v>
      </c>
      <c r="D280" s="11" t="str">
        <f ca="1">+WORLDCUP!BD64</f>
        <v>Irán</v>
      </c>
      <c r="E280" s="11" t="str">
        <f ca="1">+WORLDCUP!BD62</f>
        <v>Costa de Marfil</v>
      </c>
      <c r="F280" s="11" t="str">
        <f ca="1">+WORLDCUP!BD61</f>
        <v>Australia</v>
      </c>
      <c r="G280" s="11" t="str">
        <f ca="1">+WORLDCUP!BD58</f>
        <v>Corea del Sur</v>
      </c>
      <c r="H280" s="11" t="str">
        <f ca="1">+WORLDCUP!BD63</f>
        <v>Suecia</v>
      </c>
      <c r="I280" s="11" t="str">
        <f ca="1">+WORLDCUP!BD69</f>
        <v>Ghana</v>
      </c>
      <c r="J280" s="11" t="str">
        <f ca="1">+WORLDCUP!BD66</f>
        <v>Irak</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Haití</v>
      </c>
      <c r="D281" s="11" t="str">
        <f ca="1">+WORLDCUP!BD64</f>
        <v>Irán</v>
      </c>
      <c r="E281" s="11" t="str">
        <f ca="1">+WORLDCUP!BD62</f>
        <v>Costa de Marfil</v>
      </c>
      <c r="F281" s="11" t="str">
        <f ca="1">+WORLDCUP!BD61</f>
        <v>Australia</v>
      </c>
      <c r="G281" s="11" t="str">
        <f ca="1">+WORLDCUP!BD58</f>
        <v>Corea del Sur</v>
      </c>
      <c r="H281" s="11" t="str">
        <f ca="1">+WORLDCUP!BD63</f>
        <v>Suecia</v>
      </c>
      <c r="I281" s="11" t="str">
        <f ca="1">+WORLDCUP!BD66</f>
        <v>Irak</v>
      </c>
      <c r="J281" s="11" t="str">
        <f ca="1">+WORLDCUP!BD68</f>
        <v>Uzbekistán</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Haití</v>
      </c>
      <c r="D282" s="11" t="str">
        <f ca="1">+WORLDCUP!BD64</f>
        <v>Irán</v>
      </c>
      <c r="E282" s="11" t="str">
        <f ca="1">+WORLDCUP!BD67</f>
        <v>Austria</v>
      </c>
      <c r="F282" s="11" t="str">
        <f ca="1">+WORLDCUP!BD61</f>
        <v>Australia</v>
      </c>
      <c r="G282" s="11" t="str">
        <f ca="1">+WORLDCUP!BD58</f>
        <v>Corea del Sur</v>
      </c>
      <c r="H282" s="11" t="str">
        <f ca="1">+WORLDCUP!BD63</f>
        <v>Suecia</v>
      </c>
      <c r="I282" s="11" t="str">
        <f ca="1">+WORLDCUP!BD62</f>
        <v>Costa de Marfil</v>
      </c>
      <c r="J282" s="11" t="str">
        <f ca="1">+WORLDCUP!BD66</f>
        <v>Irak</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Arabia Saudita</v>
      </c>
      <c r="D283" s="11" t="str">
        <f ca="1">+WORLDCUP!BD64</f>
        <v>Irán</v>
      </c>
      <c r="E283" s="11" t="str">
        <f ca="1">+WORLDCUP!BD63</f>
        <v>Suecia</v>
      </c>
      <c r="F283" s="11" t="str">
        <f ca="1">+WORLDCUP!BD60</f>
        <v>Haití</v>
      </c>
      <c r="G283" s="11" t="str">
        <f ca="1">+WORLDCUP!BD58</f>
        <v>Corea del Sur</v>
      </c>
      <c r="H283" s="11" t="str">
        <f ca="1">+WORLDCUP!BD61</f>
        <v>Australia</v>
      </c>
      <c r="I283" s="11" t="str">
        <f ca="1">+WORLDCUP!BD69</f>
        <v>Ghana</v>
      </c>
      <c r="J283" s="11" t="str">
        <f ca="1">+WORLDCUP!BD62</f>
        <v>Costa de Marfil</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Arabia Saudita</v>
      </c>
      <c r="D284" s="11" t="str">
        <f ca="1">+WORLDCUP!BD64</f>
        <v>Irán</v>
      </c>
      <c r="E284" s="11" t="str">
        <f ca="1">+WORLDCUP!BD62</f>
        <v>Costa de Marfil</v>
      </c>
      <c r="F284" s="11" t="str">
        <f ca="1">+WORLDCUP!BD60</f>
        <v>Haití</v>
      </c>
      <c r="G284" s="11" t="str">
        <f ca="1">+WORLDCUP!BD58</f>
        <v>Corea del Sur</v>
      </c>
      <c r="H284" s="11" t="str">
        <f ca="1">+WORLDCUP!BD63</f>
        <v>Suecia</v>
      </c>
      <c r="I284" s="11" t="str">
        <f ca="1">+WORLDCUP!BD61</f>
        <v>Australia</v>
      </c>
      <c r="J284" s="11" t="str">
        <f ca="1">+WORLDCUP!BD68</f>
        <v>Uzbekistán</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Arabia Saudita</v>
      </c>
      <c r="D285" s="11" t="str">
        <f ca="1">+WORLDCUP!BD64</f>
        <v>Irán</v>
      </c>
      <c r="E285" s="11" t="str">
        <f ca="1">+WORLDCUP!BD67</f>
        <v>Austria</v>
      </c>
      <c r="F285" s="11" t="str">
        <f ca="1">+WORLDCUP!BD60</f>
        <v>Haití</v>
      </c>
      <c r="G285" s="11" t="str">
        <f ca="1">+WORLDCUP!BD58</f>
        <v>Corea del Sur</v>
      </c>
      <c r="H285" s="11" t="str">
        <f ca="1">+WORLDCUP!BD63</f>
        <v>Suecia</v>
      </c>
      <c r="I285" s="11" t="str">
        <f ca="1">+WORLDCUP!BD61</f>
        <v>Australia</v>
      </c>
      <c r="J285" s="11" t="str">
        <f ca="1">+WORLDCUP!BD62</f>
        <v>Costa de Marfil</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Arabia Saudita</v>
      </c>
      <c r="D286" s="11" t="str">
        <f ca="1">+WORLDCUP!BD64</f>
        <v>Irán</v>
      </c>
      <c r="E286" s="11" t="str">
        <f ca="1">+WORLDCUP!BD62</f>
        <v>Costa de Marfil</v>
      </c>
      <c r="F286" s="11" t="str">
        <f ca="1">+WORLDCUP!BD60</f>
        <v>Haití</v>
      </c>
      <c r="G286" s="11" t="str">
        <f ca="1">+WORLDCUP!BD58</f>
        <v>Corea del Sur</v>
      </c>
      <c r="H286" s="11" t="str">
        <f ca="1">+WORLDCUP!BD63</f>
        <v>Suecia</v>
      </c>
      <c r="I286" s="11" t="str">
        <f ca="1">+WORLDCUP!BD61</f>
        <v>Australia</v>
      </c>
      <c r="J286" s="11" t="str">
        <f ca="1">+WORLDCUP!BD66</f>
        <v>Irak</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Arabia Saudita</v>
      </c>
      <c r="D287" s="11" t="str">
        <f ca="1">+WORLDCUP!BD67</f>
        <v>Austria</v>
      </c>
      <c r="E287" s="11" t="str">
        <f ca="1">+WORLDCUP!BD59</f>
        <v>Catar</v>
      </c>
      <c r="F287" s="11" t="str">
        <f ca="1">+WORLDCUP!BD58</f>
        <v>Corea del Sur</v>
      </c>
      <c r="G287" s="11" t="str">
        <f ca="1">+WORLDCUP!BD66</f>
        <v>Irak</v>
      </c>
      <c r="H287" s="11" t="str">
        <f ca="1">+WORLDCUP!BD64</f>
        <v>Irán</v>
      </c>
      <c r="I287" s="11" t="str">
        <f ca="1">+WORLDCUP!BD69</f>
        <v>Ghana</v>
      </c>
      <c r="J287" s="11" t="str">
        <f ca="1">+WORLDCUP!BD68</f>
        <v>Uzbekistán</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Arabia Saudita</v>
      </c>
      <c r="D288" s="11" t="str">
        <f ca="1">+WORLDCUP!BD67</f>
        <v>Austria</v>
      </c>
      <c r="E288" s="11" t="str">
        <f ca="1">+WORLDCUP!BD59</f>
        <v>Catar</v>
      </c>
      <c r="F288" s="11" t="str">
        <f ca="1">+WORLDCUP!BD58</f>
        <v>Corea del Sur</v>
      </c>
      <c r="G288" s="11" t="str">
        <f ca="1">+WORLDCUP!BD66</f>
        <v>Irak</v>
      </c>
      <c r="H288" s="11" t="str">
        <f ca="1">+WORLDCUP!BD63</f>
        <v>Suecia</v>
      </c>
      <c r="I288" s="11" t="str">
        <f ca="1">+WORLDCUP!BD69</f>
        <v>Ghana</v>
      </c>
      <c r="J288" s="11" t="str">
        <f ca="1">+WORLDCUP!BD68</f>
        <v>Uzbekistán</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Irak</v>
      </c>
      <c r="D289" s="11" t="str">
        <f ca="1">+WORLDCUP!BD67</f>
        <v>Austria</v>
      </c>
      <c r="E289" s="11" t="str">
        <f ca="1">+WORLDCUP!BD59</f>
        <v>Catar</v>
      </c>
      <c r="F289" s="11" t="str">
        <f ca="1">+WORLDCUP!BD63</f>
        <v>Suecia</v>
      </c>
      <c r="G289" s="11" t="str">
        <f ca="1">+WORLDCUP!BD58</f>
        <v>Corea del Sur</v>
      </c>
      <c r="H289" s="11" t="str">
        <f ca="1">+WORLDCUP!BD64</f>
        <v>Irán</v>
      </c>
      <c r="I289" s="11" t="str">
        <f ca="1">+WORLDCUP!BD69</f>
        <v>Ghana</v>
      </c>
      <c r="J289" s="11" t="str">
        <f ca="1">+WORLDCUP!BD68</f>
        <v>Uzbekistán</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Arabia Saudita</v>
      </c>
      <c r="D290" s="11" t="str">
        <f ca="1">+WORLDCUP!BD67</f>
        <v>Austria</v>
      </c>
      <c r="E290" s="11" t="str">
        <f ca="1">+WORLDCUP!BD59</f>
        <v>Catar</v>
      </c>
      <c r="F290" s="11" t="str">
        <f ca="1">+WORLDCUP!BD63</f>
        <v>Suecia</v>
      </c>
      <c r="G290" s="11" t="str">
        <f ca="1">+WORLDCUP!BD58</f>
        <v>Corea del Sur</v>
      </c>
      <c r="H290" s="11" t="str">
        <f ca="1">+WORLDCUP!BD64</f>
        <v>Irán</v>
      </c>
      <c r="I290" s="11" t="str">
        <f ca="1">+WORLDCUP!BD69</f>
        <v>Ghana</v>
      </c>
      <c r="J290" s="11" t="str">
        <f ca="1">+WORLDCUP!BD68</f>
        <v>Uzbekistán</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Arabia Saudita</v>
      </c>
      <c r="D291" s="11" t="str">
        <f ca="1">+WORLDCUP!BD64</f>
        <v>Irán</v>
      </c>
      <c r="E291" s="11" t="str">
        <f ca="1">+WORLDCUP!BD59</f>
        <v>Catar</v>
      </c>
      <c r="F291" s="11" t="str">
        <f ca="1">+WORLDCUP!BD58</f>
        <v>Corea del Sur</v>
      </c>
      <c r="G291" s="11" t="str">
        <f ca="1">+WORLDCUP!BD66</f>
        <v>Irak</v>
      </c>
      <c r="H291" s="11" t="str">
        <f ca="1">+WORLDCUP!BD63</f>
        <v>Suecia</v>
      </c>
      <c r="I291" s="11" t="str">
        <f ca="1">+WORLDCUP!BD69</f>
        <v>Ghana</v>
      </c>
      <c r="J291" s="11" t="str">
        <f ca="1">+WORLDCUP!BD68</f>
        <v>Uzbekistán</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Arabia Saudita</v>
      </c>
      <c r="D292" s="11" t="str">
        <f ca="1">+WORLDCUP!BD67</f>
        <v>Austria</v>
      </c>
      <c r="E292" s="11" t="str">
        <f ca="1">+WORLDCUP!BD59</f>
        <v>Catar</v>
      </c>
      <c r="F292" s="11" t="str">
        <f ca="1">+WORLDCUP!BD63</f>
        <v>Suecia</v>
      </c>
      <c r="G292" s="11" t="str">
        <f ca="1">+WORLDCUP!BD58</f>
        <v>Corea del Sur</v>
      </c>
      <c r="H292" s="11" t="str">
        <f ca="1">+WORLDCUP!BD64</f>
        <v>Irán</v>
      </c>
      <c r="I292" s="11" t="str">
        <f ca="1">+WORLDCUP!BD69</f>
        <v>Ghana</v>
      </c>
      <c r="J292" s="11" t="str">
        <f ca="1">+WORLDCUP!BD66</f>
        <v>Irak</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Arabia Saudita</v>
      </c>
      <c r="D293" s="11" t="str">
        <f ca="1">+WORLDCUP!BD67</f>
        <v>Austria</v>
      </c>
      <c r="E293" s="11" t="str">
        <f ca="1">+WORLDCUP!BD59</f>
        <v>Catar</v>
      </c>
      <c r="F293" s="11" t="str">
        <f ca="1">+WORLDCUP!BD63</f>
        <v>Suecia</v>
      </c>
      <c r="G293" s="11" t="str">
        <f ca="1">+WORLDCUP!BD58</f>
        <v>Corea del Sur</v>
      </c>
      <c r="H293" s="11" t="str">
        <f ca="1">+WORLDCUP!BD64</f>
        <v>Irán</v>
      </c>
      <c r="I293" s="11" t="str">
        <f ca="1">+WORLDCUP!BD66</f>
        <v>Irak</v>
      </c>
      <c r="J293" s="11" t="str">
        <f ca="1">+WORLDCUP!BD68</f>
        <v>Uzbekistán</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Costa de Marfil</v>
      </c>
      <c r="D294" s="11" t="str">
        <f ca="1">+WORLDCUP!BD67</f>
        <v>Austria</v>
      </c>
      <c r="E294" s="11" t="str">
        <f ca="1">+WORLDCUP!BD59</f>
        <v>Catar</v>
      </c>
      <c r="F294" s="11" t="str">
        <f ca="1">+WORLDCUP!BD58</f>
        <v>Corea del Sur</v>
      </c>
      <c r="G294" s="11" t="str">
        <f ca="1">+WORLDCUP!BD66</f>
        <v>Irak</v>
      </c>
      <c r="H294" s="11" t="str">
        <f ca="1">+WORLDCUP!BD65</f>
        <v>Arabia Saudita</v>
      </c>
      <c r="I294" s="11" t="str">
        <f ca="1">+WORLDCUP!BD69</f>
        <v>Ghana</v>
      </c>
      <c r="J294" s="11" t="str">
        <f ca="1">+WORLDCUP!BD68</f>
        <v>Uzbekistán</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Costa de Marfil</v>
      </c>
      <c r="D295" s="11" t="str">
        <f ca="1">+WORLDCUP!BD67</f>
        <v>Austria</v>
      </c>
      <c r="E295" s="11" t="str">
        <f ca="1">+WORLDCUP!BD59</f>
        <v>Catar</v>
      </c>
      <c r="F295" s="11" t="str">
        <f ca="1">+WORLDCUP!BD58</f>
        <v>Corea del Sur</v>
      </c>
      <c r="G295" s="11" t="str">
        <f ca="1">+WORLDCUP!BD66</f>
        <v>Irak</v>
      </c>
      <c r="H295" s="11" t="str">
        <f ca="1">+WORLDCUP!BD64</f>
        <v>Irán</v>
      </c>
      <c r="I295" s="11" t="str">
        <f ca="1">+WORLDCUP!BD69</f>
        <v>Ghana</v>
      </c>
      <c r="J295" s="11" t="str">
        <f ca="1">+WORLDCUP!BD68</f>
        <v>Uzbekistán</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Costa de Marfil</v>
      </c>
      <c r="D296" s="11" t="str">
        <f ca="1">+WORLDCUP!BD67</f>
        <v>Austria</v>
      </c>
      <c r="E296" s="11" t="str">
        <f ca="1">+WORLDCUP!BD59</f>
        <v>Catar</v>
      </c>
      <c r="F296" s="11" t="str">
        <f ca="1">+WORLDCUP!BD58</f>
        <v>Corea del Sur</v>
      </c>
      <c r="G296" s="11" t="str">
        <f ca="1">+WORLDCUP!BD65</f>
        <v>Arabia Saudita</v>
      </c>
      <c r="H296" s="11" t="str">
        <f ca="1">+WORLDCUP!BD64</f>
        <v>Irán</v>
      </c>
      <c r="I296" s="11" t="str">
        <f ca="1">+WORLDCUP!BD69</f>
        <v>Ghana</v>
      </c>
      <c r="J296" s="11" t="str">
        <f ca="1">+WORLDCUP!BD68</f>
        <v>Uzbekistán</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Costa de Marfil</v>
      </c>
      <c r="D297" s="11" t="str">
        <f ca="1">+WORLDCUP!BD64</f>
        <v>Irán</v>
      </c>
      <c r="E297" s="11" t="str">
        <f ca="1">+WORLDCUP!BD59</f>
        <v>Catar</v>
      </c>
      <c r="F297" s="11" t="str">
        <f ca="1">+WORLDCUP!BD58</f>
        <v>Corea del Sur</v>
      </c>
      <c r="G297" s="11" t="str">
        <f ca="1">+WORLDCUP!BD66</f>
        <v>Irak</v>
      </c>
      <c r="H297" s="11" t="str">
        <f ca="1">+WORLDCUP!BD65</f>
        <v>Arabia Saudita</v>
      </c>
      <c r="I297" s="11" t="str">
        <f ca="1">+WORLDCUP!BD69</f>
        <v>Ghana</v>
      </c>
      <c r="J297" s="11" t="str">
        <f ca="1">+WORLDCUP!BD68</f>
        <v>Uzbekistán</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Costa de Marfil</v>
      </c>
      <c r="D298" s="11" t="str">
        <f ca="1">+WORLDCUP!BD67</f>
        <v>Austria</v>
      </c>
      <c r="E298" s="11" t="str">
        <f ca="1">+WORLDCUP!BD59</f>
        <v>Catar</v>
      </c>
      <c r="F298" s="11" t="str">
        <f ca="1">+WORLDCUP!BD58</f>
        <v>Corea del Sur</v>
      </c>
      <c r="G298" s="11" t="str">
        <f ca="1">+WORLDCUP!BD65</f>
        <v>Arabia Saudita</v>
      </c>
      <c r="H298" s="11" t="str">
        <f ca="1">+WORLDCUP!BD64</f>
        <v>Irán</v>
      </c>
      <c r="I298" s="11" t="str">
        <f ca="1">+WORLDCUP!BD69</f>
        <v>Ghana</v>
      </c>
      <c r="J298" s="11" t="str">
        <f ca="1">+WORLDCUP!BD66</f>
        <v>Irak</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Costa de Marfil</v>
      </c>
      <c r="D299" s="11" t="str">
        <f ca="1">+WORLDCUP!BD67</f>
        <v>Austria</v>
      </c>
      <c r="E299" s="11" t="str">
        <f ca="1">+WORLDCUP!BD59</f>
        <v>Catar</v>
      </c>
      <c r="F299" s="11" t="str">
        <f ca="1">+WORLDCUP!BD58</f>
        <v>Corea del Sur</v>
      </c>
      <c r="G299" s="11" t="str">
        <f ca="1">+WORLDCUP!BD65</f>
        <v>Arabia Saudita</v>
      </c>
      <c r="H299" s="11" t="str">
        <f ca="1">+WORLDCUP!BD64</f>
        <v>Irán</v>
      </c>
      <c r="I299" s="11" t="str">
        <f ca="1">+WORLDCUP!BD66</f>
        <v>Irak</v>
      </c>
      <c r="J299" s="11" t="str">
        <f ca="1">+WORLDCUP!BD68</f>
        <v>Uzbekistán</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Costa de Marfil</v>
      </c>
      <c r="D300" s="11" t="str">
        <f ca="1">+WORLDCUP!BD67</f>
        <v>Austria</v>
      </c>
      <c r="E300" s="11" t="str">
        <f ca="1">+WORLDCUP!BD59</f>
        <v>Catar</v>
      </c>
      <c r="F300" s="11" t="str">
        <f ca="1">+WORLDCUP!BD58</f>
        <v>Corea del Sur</v>
      </c>
      <c r="G300" s="11" t="str">
        <f ca="1">+WORLDCUP!BD66</f>
        <v>Irak</v>
      </c>
      <c r="H300" s="11" t="str">
        <f ca="1">+WORLDCUP!BD63</f>
        <v>Suecia</v>
      </c>
      <c r="I300" s="11" t="str">
        <f ca="1">+WORLDCUP!BD69</f>
        <v>Ghana</v>
      </c>
      <c r="J300" s="11" t="str">
        <f ca="1">+WORLDCUP!BD68</f>
        <v>Uzbekistán</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Costa de Marfil</v>
      </c>
      <c r="D301" s="11" t="str">
        <f ca="1">+WORLDCUP!BD67</f>
        <v>Austria</v>
      </c>
      <c r="E301" s="11" t="str">
        <f ca="1">+WORLDCUP!BD59</f>
        <v>Catar</v>
      </c>
      <c r="F301" s="11" t="str">
        <f ca="1">+WORLDCUP!BD63</f>
        <v>Suecia</v>
      </c>
      <c r="G301" s="11" t="str">
        <f ca="1">+WORLDCUP!BD58</f>
        <v>Corea del Sur</v>
      </c>
      <c r="H301" s="11" t="str">
        <f ca="1">+WORLDCUP!BD65</f>
        <v>Arabia Saudita</v>
      </c>
      <c r="I301" s="11" t="str">
        <f ca="1">+WORLDCUP!BD69</f>
        <v>Ghana</v>
      </c>
      <c r="J301" s="11" t="str">
        <f ca="1">+WORLDCUP!BD68</f>
        <v>Uzbekistán</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Costa de Marfil</v>
      </c>
      <c r="D302" s="11" t="str">
        <f ca="1">+WORLDCUP!BD66</f>
        <v>Irak</v>
      </c>
      <c r="E302" s="11" t="str">
        <f ca="1">+WORLDCUP!BD59</f>
        <v>Catar</v>
      </c>
      <c r="F302" s="11" t="str">
        <f ca="1">+WORLDCUP!BD63</f>
        <v>Suecia</v>
      </c>
      <c r="G302" s="11" t="str">
        <f ca="1">+WORLDCUP!BD58</f>
        <v>Corea del Sur</v>
      </c>
      <c r="H302" s="11" t="str">
        <f ca="1">+WORLDCUP!BD65</f>
        <v>Arabia Saudita</v>
      </c>
      <c r="I302" s="11" t="str">
        <f ca="1">+WORLDCUP!BD69</f>
        <v>Ghana</v>
      </c>
      <c r="J302" s="11" t="str">
        <f ca="1">+WORLDCUP!BD68</f>
        <v>Uzbekistán</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Costa de Marfil</v>
      </c>
      <c r="D303" s="11" t="str">
        <f ca="1">+WORLDCUP!BD67</f>
        <v>Austria</v>
      </c>
      <c r="E303" s="11" t="str">
        <f ca="1">+WORLDCUP!BD59</f>
        <v>Catar</v>
      </c>
      <c r="F303" s="11" t="str">
        <f ca="1">+WORLDCUP!BD63</f>
        <v>Suecia</v>
      </c>
      <c r="G303" s="11" t="str">
        <f ca="1">+WORLDCUP!BD58</f>
        <v>Corea del Sur</v>
      </c>
      <c r="H303" s="11" t="str">
        <f ca="1">+WORLDCUP!BD65</f>
        <v>Arabia Saudita</v>
      </c>
      <c r="I303" s="11" t="str">
        <f ca="1">+WORLDCUP!BD69</f>
        <v>Ghana</v>
      </c>
      <c r="J303" s="11" t="str">
        <f ca="1">+WORLDCUP!BD66</f>
        <v>Irak</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Costa de Marfil</v>
      </c>
      <c r="D304" s="11" t="str">
        <f ca="1">+WORLDCUP!BD67</f>
        <v>Austria</v>
      </c>
      <c r="E304" s="11" t="str">
        <f ca="1">+WORLDCUP!BD59</f>
        <v>Catar</v>
      </c>
      <c r="F304" s="11" t="str">
        <f ca="1">+WORLDCUP!BD63</f>
        <v>Suecia</v>
      </c>
      <c r="G304" s="11" t="str">
        <f ca="1">+WORLDCUP!BD58</f>
        <v>Corea del Sur</v>
      </c>
      <c r="H304" s="11" t="str">
        <f ca="1">+WORLDCUP!BD65</f>
        <v>Arabia Saudita</v>
      </c>
      <c r="I304" s="11" t="str">
        <f ca="1">+WORLDCUP!BD66</f>
        <v>Irak</v>
      </c>
      <c r="J304" s="11" t="str">
        <f ca="1">+WORLDCUP!BD68</f>
        <v>Uzbekistán</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Costa de Marfil</v>
      </c>
      <c r="D305" s="11" t="str">
        <f ca="1">+WORLDCUP!BD67</f>
        <v>Austria</v>
      </c>
      <c r="E305" s="11" t="str">
        <f ca="1">+WORLDCUP!BD59</f>
        <v>Catar</v>
      </c>
      <c r="F305" s="11" t="str">
        <f ca="1">+WORLDCUP!BD63</f>
        <v>Suecia</v>
      </c>
      <c r="G305" s="11" t="str">
        <f ca="1">+WORLDCUP!BD58</f>
        <v>Corea del Sur</v>
      </c>
      <c r="H305" s="11" t="str">
        <f ca="1">+WORLDCUP!BD64</f>
        <v>Irán</v>
      </c>
      <c r="I305" s="11" t="str">
        <f ca="1">+WORLDCUP!BD69</f>
        <v>Ghana</v>
      </c>
      <c r="J305" s="11" t="str">
        <f ca="1">+WORLDCUP!BD68</f>
        <v>Uzbekistán</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Costa de Marfil</v>
      </c>
      <c r="D306" s="11" t="str">
        <f ca="1">+WORLDCUP!BD64</f>
        <v>Irán</v>
      </c>
      <c r="E306" s="11" t="str">
        <f ca="1">+WORLDCUP!BD59</f>
        <v>Catar</v>
      </c>
      <c r="F306" s="11" t="str">
        <f ca="1">+WORLDCUP!BD58</f>
        <v>Corea del Sur</v>
      </c>
      <c r="G306" s="11" t="str">
        <f ca="1">+WORLDCUP!BD66</f>
        <v>Irak</v>
      </c>
      <c r="H306" s="11" t="str">
        <f ca="1">+WORLDCUP!BD63</f>
        <v>Suecia</v>
      </c>
      <c r="I306" s="11" t="str">
        <f ca="1">+WORLDCUP!BD69</f>
        <v>Ghana</v>
      </c>
      <c r="J306" s="11" t="str">
        <f ca="1">+WORLDCUP!BD68</f>
        <v>Uzbekistán</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Costa de Marfil</v>
      </c>
      <c r="D307" s="11" t="str">
        <f ca="1">+WORLDCUP!BD67</f>
        <v>Austria</v>
      </c>
      <c r="E307" s="11" t="str">
        <f ca="1">+WORLDCUP!BD59</f>
        <v>Catar</v>
      </c>
      <c r="F307" s="11" t="str">
        <f ca="1">+WORLDCUP!BD63</f>
        <v>Suecia</v>
      </c>
      <c r="G307" s="11" t="str">
        <f ca="1">+WORLDCUP!BD58</f>
        <v>Corea del Sur</v>
      </c>
      <c r="H307" s="11" t="str">
        <f ca="1">+WORLDCUP!BD64</f>
        <v>Irán</v>
      </c>
      <c r="I307" s="11" t="str">
        <f ca="1">+WORLDCUP!BD69</f>
        <v>Ghana</v>
      </c>
      <c r="J307" s="11" t="str">
        <f ca="1">+WORLDCUP!BD66</f>
        <v>Irak</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Costa de Marfil</v>
      </c>
      <c r="D308" s="11" t="str">
        <f ca="1">+WORLDCUP!BD67</f>
        <v>Austria</v>
      </c>
      <c r="E308" s="11" t="str">
        <f ca="1">+WORLDCUP!BD59</f>
        <v>Catar</v>
      </c>
      <c r="F308" s="11" t="str">
        <f ca="1">+WORLDCUP!BD63</f>
        <v>Suecia</v>
      </c>
      <c r="G308" s="11" t="str">
        <f ca="1">+WORLDCUP!BD58</f>
        <v>Corea del Sur</v>
      </c>
      <c r="H308" s="11" t="str">
        <f ca="1">+WORLDCUP!BD64</f>
        <v>Irán</v>
      </c>
      <c r="I308" s="11" t="str">
        <f ca="1">+WORLDCUP!BD66</f>
        <v>Irak</v>
      </c>
      <c r="J308" s="11" t="str">
        <f ca="1">+WORLDCUP!BD68</f>
        <v>Uzbekistán</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Costa de Marfil</v>
      </c>
      <c r="D309" s="11" t="str">
        <f ca="1">+WORLDCUP!BD64</f>
        <v>Irán</v>
      </c>
      <c r="E309" s="11" t="str">
        <f ca="1">+WORLDCUP!BD59</f>
        <v>Catar</v>
      </c>
      <c r="F309" s="11" t="str">
        <f ca="1">+WORLDCUP!BD63</f>
        <v>Suecia</v>
      </c>
      <c r="G309" s="11" t="str">
        <f ca="1">+WORLDCUP!BD58</f>
        <v>Corea del Sur</v>
      </c>
      <c r="H309" s="11" t="str">
        <f ca="1">+WORLDCUP!BD65</f>
        <v>Arabia Saudita</v>
      </c>
      <c r="I309" s="11" t="str">
        <f ca="1">+WORLDCUP!BD69</f>
        <v>Ghana</v>
      </c>
      <c r="J309" s="11" t="str">
        <f ca="1">+WORLDCUP!BD68</f>
        <v>Uzbekistán</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Arabia Saudita</v>
      </c>
      <c r="D310" s="11" t="str">
        <f ca="1">+WORLDCUP!BD67</f>
        <v>Austria</v>
      </c>
      <c r="E310" s="11" t="str">
        <f ca="1">+WORLDCUP!BD59</f>
        <v>Catar</v>
      </c>
      <c r="F310" s="11" t="str">
        <f ca="1">+WORLDCUP!BD63</f>
        <v>Suecia</v>
      </c>
      <c r="G310" s="11" t="str">
        <f ca="1">+WORLDCUP!BD58</f>
        <v>Corea del Sur</v>
      </c>
      <c r="H310" s="11" t="str">
        <f ca="1">+WORLDCUP!BD64</f>
        <v>Irán</v>
      </c>
      <c r="I310" s="11" t="str">
        <f ca="1">+WORLDCUP!BD69</f>
        <v>Ghana</v>
      </c>
      <c r="J310" s="11" t="str">
        <f ca="1">+WORLDCUP!BD62</f>
        <v>Costa de Marfil</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Arabia Saudita</v>
      </c>
      <c r="D311" s="11" t="str">
        <f ca="1">+WORLDCUP!BD67</f>
        <v>Austria</v>
      </c>
      <c r="E311" s="11" t="str">
        <f ca="1">+WORLDCUP!BD59</f>
        <v>Catar</v>
      </c>
      <c r="F311" s="11" t="str">
        <f ca="1">+WORLDCUP!BD63</f>
        <v>Suecia</v>
      </c>
      <c r="G311" s="11" t="str">
        <f ca="1">+WORLDCUP!BD58</f>
        <v>Corea del Sur</v>
      </c>
      <c r="H311" s="11" t="str">
        <f ca="1">+WORLDCUP!BD64</f>
        <v>Irán</v>
      </c>
      <c r="I311" s="11" t="str">
        <f ca="1">+WORLDCUP!BD62</f>
        <v>Costa de Marfil</v>
      </c>
      <c r="J311" s="11" t="str">
        <f ca="1">+WORLDCUP!BD68</f>
        <v>Uzbekistán</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Costa de Marfil</v>
      </c>
      <c r="D312" s="11" t="str">
        <f ca="1">+WORLDCUP!BD64</f>
        <v>Irán</v>
      </c>
      <c r="E312" s="11" t="str">
        <f ca="1">+WORLDCUP!BD59</f>
        <v>Catar</v>
      </c>
      <c r="F312" s="11" t="str">
        <f ca="1">+WORLDCUP!BD63</f>
        <v>Suecia</v>
      </c>
      <c r="G312" s="11" t="str">
        <f ca="1">+WORLDCUP!BD58</f>
        <v>Corea del Sur</v>
      </c>
      <c r="H312" s="11" t="str">
        <f ca="1">+WORLDCUP!BD65</f>
        <v>Arabia Saudita</v>
      </c>
      <c r="I312" s="11" t="str">
        <f ca="1">+WORLDCUP!BD69</f>
        <v>Ghana</v>
      </c>
      <c r="J312" s="11" t="str">
        <f ca="1">+WORLDCUP!BD66</f>
        <v>Irak</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Costa de Marfil</v>
      </c>
      <c r="D313" s="11" t="str">
        <f ca="1">+WORLDCUP!BD64</f>
        <v>Irán</v>
      </c>
      <c r="E313" s="11" t="str">
        <f ca="1">+WORLDCUP!BD59</f>
        <v>Catar</v>
      </c>
      <c r="F313" s="11" t="str">
        <f ca="1">+WORLDCUP!BD63</f>
        <v>Suecia</v>
      </c>
      <c r="G313" s="11" t="str">
        <f ca="1">+WORLDCUP!BD58</f>
        <v>Corea del Sur</v>
      </c>
      <c r="H313" s="11" t="str">
        <f ca="1">+WORLDCUP!BD65</f>
        <v>Arabia Saudita</v>
      </c>
      <c r="I313" s="11" t="str">
        <f ca="1">+WORLDCUP!BD66</f>
        <v>Irak</v>
      </c>
      <c r="J313" s="11" t="str">
        <f ca="1">+WORLDCUP!BD68</f>
        <v>Uzbekistán</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Arabia Saudita</v>
      </c>
      <c r="D314" s="11" t="str">
        <f ca="1">+WORLDCUP!BD67</f>
        <v>Austria</v>
      </c>
      <c r="E314" s="11" t="str">
        <f ca="1">+WORLDCUP!BD59</f>
        <v>Catar</v>
      </c>
      <c r="F314" s="11" t="str">
        <f ca="1">+WORLDCUP!BD63</f>
        <v>Suecia</v>
      </c>
      <c r="G314" s="11" t="str">
        <f ca="1">+WORLDCUP!BD58</f>
        <v>Corea del Sur</v>
      </c>
      <c r="H314" s="11" t="str">
        <f ca="1">+WORLDCUP!BD64</f>
        <v>Irán</v>
      </c>
      <c r="I314" s="11" t="str">
        <f ca="1">+WORLDCUP!BD62</f>
        <v>Costa de Marfil</v>
      </c>
      <c r="J314" s="11" t="str">
        <f ca="1">+WORLDCUP!BD66</f>
        <v>Irak</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Irak</v>
      </c>
      <c r="D315" s="11" t="str">
        <f ca="1">+WORLDCUP!BD67</f>
        <v>Austria</v>
      </c>
      <c r="E315" s="11" t="str">
        <f ca="1">+WORLDCUP!BD59</f>
        <v>Catar</v>
      </c>
      <c r="F315" s="11" t="str">
        <f ca="1">+WORLDCUP!BD61</f>
        <v>Australia</v>
      </c>
      <c r="G315" s="11" t="str">
        <f ca="1">+WORLDCUP!BD58</f>
        <v>Corea del Sur</v>
      </c>
      <c r="H315" s="11" t="str">
        <f ca="1">+WORLDCUP!BD65</f>
        <v>Arabia Saudita</v>
      </c>
      <c r="I315" s="11" t="str">
        <f ca="1">+WORLDCUP!BD69</f>
        <v>Ghana</v>
      </c>
      <c r="J315" s="11" t="str">
        <f ca="1">+WORLDCUP!BD68</f>
        <v>Uzbekistán</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Irak</v>
      </c>
      <c r="D316" s="11" t="str">
        <f ca="1">+WORLDCUP!BD67</f>
        <v>Austria</v>
      </c>
      <c r="E316" s="11" t="str">
        <f ca="1">+WORLDCUP!BD59</f>
        <v>Catar</v>
      </c>
      <c r="F316" s="11" t="str">
        <f ca="1">+WORLDCUP!BD61</f>
        <v>Australia</v>
      </c>
      <c r="G316" s="11" t="str">
        <f ca="1">+WORLDCUP!BD58</f>
        <v>Corea del Sur</v>
      </c>
      <c r="H316" s="11" t="str">
        <f ca="1">+WORLDCUP!BD64</f>
        <v>Irán</v>
      </c>
      <c r="I316" s="11" t="str">
        <f ca="1">+WORLDCUP!BD69</f>
        <v>Ghana</v>
      </c>
      <c r="J316" s="11" t="str">
        <f ca="1">+WORLDCUP!BD68</f>
        <v>Uzbekistán</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Arabia Saudita</v>
      </c>
      <c r="D317" s="11" t="str">
        <f ca="1">+WORLDCUP!BD67</f>
        <v>Austria</v>
      </c>
      <c r="E317" s="11" t="str">
        <f ca="1">+WORLDCUP!BD59</f>
        <v>Catar</v>
      </c>
      <c r="F317" s="11" t="str">
        <f ca="1">+WORLDCUP!BD61</f>
        <v>Australia</v>
      </c>
      <c r="G317" s="11" t="str">
        <f ca="1">+WORLDCUP!BD58</f>
        <v>Corea del Sur</v>
      </c>
      <c r="H317" s="11" t="str">
        <f ca="1">+WORLDCUP!BD64</f>
        <v>Irán</v>
      </c>
      <c r="I317" s="11" t="str">
        <f ca="1">+WORLDCUP!BD69</f>
        <v>Ghana</v>
      </c>
      <c r="J317" s="11" t="str">
        <f ca="1">+WORLDCUP!BD68</f>
        <v>Uzbekistán</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Irak</v>
      </c>
      <c r="D318" s="11" t="str">
        <f ca="1">+WORLDCUP!BD64</f>
        <v>Irán</v>
      </c>
      <c r="E318" s="11" t="str">
        <f ca="1">+WORLDCUP!BD59</f>
        <v>Catar</v>
      </c>
      <c r="F318" s="11" t="str">
        <f ca="1">+WORLDCUP!BD61</f>
        <v>Australia</v>
      </c>
      <c r="G318" s="11" t="str">
        <f ca="1">+WORLDCUP!BD58</f>
        <v>Corea del Sur</v>
      </c>
      <c r="H318" s="11" t="str">
        <f ca="1">+WORLDCUP!BD65</f>
        <v>Arabia Saudita</v>
      </c>
      <c r="I318" s="11" t="str">
        <f ca="1">+WORLDCUP!BD69</f>
        <v>Ghana</v>
      </c>
      <c r="J318" s="11" t="str">
        <f ca="1">+WORLDCUP!BD68</f>
        <v>Uzbekistán</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Arabia Saudita</v>
      </c>
      <c r="D319" s="11" t="str">
        <f ca="1">+WORLDCUP!BD67</f>
        <v>Austria</v>
      </c>
      <c r="E319" s="11" t="str">
        <f ca="1">+WORLDCUP!BD59</f>
        <v>Catar</v>
      </c>
      <c r="F319" s="11" t="str">
        <f ca="1">+WORLDCUP!BD61</f>
        <v>Australia</v>
      </c>
      <c r="G319" s="11" t="str">
        <f ca="1">+WORLDCUP!BD58</f>
        <v>Corea del Sur</v>
      </c>
      <c r="H319" s="11" t="str">
        <f ca="1">+WORLDCUP!BD64</f>
        <v>Irán</v>
      </c>
      <c r="I319" s="11" t="str">
        <f ca="1">+WORLDCUP!BD69</f>
        <v>Ghana</v>
      </c>
      <c r="J319" s="11" t="str">
        <f ca="1">+WORLDCUP!BD66</f>
        <v>Irak</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Arabia Saudita</v>
      </c>
      <c r="D320" s="11" t="str">
        <f ca="1">+WORLDCUP!BD67</f>
        <v>Austria</v>
      </c>
      <c r="E320" s="11" t="str">
        <f ca="1">+WORLDCUP!BD59</f>
        <v>Catar</v>
      </c>
      <c r="F320" s="11" t="str">
        <f ca="1">+WORLDCUP!BD61</f>
        <v>Australia</v>
      </c>
      <c r="G320" s="11" t="str">
        <f ca="1">+WORLDCUP!BD58</f>
        <v>Corea del Sur</v>
      </c>
      <c r="H320" s="11" t="str">
        <f ca="1">+WORLDCUP!BD64</f>
        <v>Irán</v>
      </c>
      <c r="I320" s="11" t="str">
        <f ca="1">+WORLDCUP!BD66</f>
        <v>Irak</v>
      </c>
      <c r="J320" s="11" t="str">
        <f ca="1">+WORLDCUP!BD68</f>
        <v>Uzbekistán</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Irak</v>
      </c>
      <c r="D321" s="11" t="str">
        <f ca="1">+WORLDCUP!BD67</f>
        <v>Austria</v>
      </c>
      <c r="E321" s="11" t="str">
        <f ca="1">+WORLDCUP!BD59</f>
        <v>Catar</v>
      </c>
      <c r="F321" s="11" t="str">
        <f ca="1">+WORLDCUP!BD61</f>
        <v>Australia</v>
      </c>
      <c r="G321" s="11" t="str">
        <f ca="1">+WORLDCUP!BD58</f>
        <v>Corea del Sur</v>
      </c>
      <c r="H321" s="11" t="str">
        <f ca="1">+WORLDCUP!BD63</f>
        <v>Suecia</v>
      </c>
      <c r="I321" s="11" t="str">
        <f ca="1">+WORLDCUP!BD69</f>
        <v>Ghana</v>
      </c>
      <c r="J321" s="11" t="str">
        <f ca="1">+WORLDCUP!BD68</f>
        <v>Uzbekistán</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Arabia Saudita</v>
      </c>
      <c r="D322" s="11" t="str">
        <f ca="1">+WORLDCUP!BD67</f>
        <v>Austria</v>
      </c>
      <c r="E322" s="11" t="str">
        <f ca="1">+WORLDCUP!BD59</f>
        <v>Catar</v>
      </c>
      <c r="F322" s="11" t="str">
        <f ca="1">+WORLDCUP!BD61</f>
        <v>Australia</v>
      </c>
      <c r="G322" s="11" t="str">
        <f ca="1">+WORLDCUP!BD58</f>
        <v>Corea del Sur</v>
      </c>
      <c r="H322" s="11" t="str">
        <f ca="1">+WORLDCUP!BD63</f>
        <v>Suecia</v>
      </c>
      <c r="I322" s="11" t="str">
        <f ca="1">+WORLDCUP!BD69</f>
        <v>Ghana</v>
      </c>
      <c r="J322" s="11" t="str">
        <f ca="1">+WORLDCUP!BD68</f>
        <v>Uzbekistán</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Arabia Saudita</v>
      </c>
      <c r="D323" s="11" t="str">
        <f ca="1">+WORLDCUP!BD66</f>
        <v>Irak</v>
      </c>
      <c r="E323" s="11" t="str">
        <f ca="1">+WORLDCUP!BD59</f>
        <v>Catar</v>
      </c>
      <c r="F323" s="11" t="str">
        <f ca="1">+WORLDCUP!BD61</f>
        <v>Australia</v>
      </c>
      <c r="G323" s="11" t="str">
        <f ca="1">+WORLDCUP!BD58</f>
        <v>Corea del Sur</v>
      </c>
      <c r="H323" s="11" t="str">
        <f ca="1">+WORLDCUP!BD63</f>
        <v>Suecia</v>
      </c>
      <c r="I323" s="11" t="str">
        <f ca="1">+WORLDCUP!BD69</f>
        <v>Ghana</v>
      </c>
      <c r="J323" s="11" t="str">
        <f ca="1">+WORLDCUP!BD68</f>
        <v>Uzbekistán</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Arabia Saudita</v>
      </c>
      <c r="D324" s="11" t="str">
        <f ca="1">+WORLDCUP!BD67</f>
        <v>Austria</v>
      </c>
      <c r="E324" s="11" t="str">
        <f ca="1">+WORLDCUP!BD59</f>
        <v>Catar</v>
      </c>
      <c r="F324" s="11" t="str">
        <f ca="1">+WORLDCUP!BD61</f>
        <v>Australia</v>
      </c>
      <c r="G324" s="11" t="str">
        <f ca="1">+WORLDCUP!BD58</f>
        <v>Corea del Sur</v>
      </c>
      <c r="H324" s="11" t="str">
        <f ca="1">+WORLDCUP!BD63</f>
        <v>Suecia</v>
      </c>
      <c r="I324" s="11" t="str">
        <f ca="1">+WORLDCUP!BD69</f>
        <v>Ghana</v>
      </c>
      <c r="J324" s="11" t="str">
        <f ca="1">+WORLDCUP!BD66</f>
        <v>Irak</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Arabia Saudita</v>
      </c>
      <c r="D325" s="11" t="str">
        <f ca="1">+WORLDCUP!BD67</f>
        <v>Austria</v>
      </c>
      <c r="E325" s="11" t="str">
        <f ca="1">+WORLDCUP!BD59</f>
        <v>Catar</v>
      </c>
      <c r="F325" s="11" t="str">
        <f ca="1">+WORLDCUP!BD61</f>
        <v>Australia</v>
      </c>
      <c r="G325" s="11" t="str">
        <f ca="1">+WORLDCUP!BD58</f>
        <v>Corea del Sur</v>
      </c>
      <c r="H325" s="11" t="str">
        <f ca="1">+WORLDCUP!BD63</f>
        <v>Suecia</v>
      </c>
      <c r="I325" s="11" t="str">
        <f ca="1">+WORLDCUP!BD66</f>
        <v>Irak</v>
      </c>
      <c r="J325" s="11" t="str">
        <f ca="1">+WORLDCUP!BD68</f>
        <v>Uzbekistán</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Suecia</v>
      </c>
      <c r="D326" s="11" t="str">
        <f ca="1">+WORLDCUP!BD67</f>
        <v>Austria</v>
      </c>
      <c r="E326" s="11" t="str">
        <f ca="1">+WORLDCUP!BD59</f>
        <v>Catar</v>
      </c>
      <c r="F326" s="11" t="str">
        <f ca="1">+WORLDCUP!BD61</f>
        <v>Australia</v>
      </c>
      <c r="G326" s="11" t="str">
        <f ca="1">+WORLDCUP!BD58</f>
        <v>Corea del Sur</v>
      </c>
      <c r="H326" s="11" t="str">
        <f ca="1">+WORLDCUP!BD64</f>
        <v>Irán</v>
      </c>
      <c r="I326" s="11" t="str">
        <f ca="1">+WORLDCUP!BD69</f>
        <v>Ghana</v>
      </c>
      <c r="J326" s="11" t="str">
        <f ca="1">+WORLDCUP!BD68</f>
        <v>Uzbekistán</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Irak</v>
      </c>
      <c r="D327" s="11" t="str">
        <f ca="1">+WORLDCUP!BD64</f>
        <v>Irán</v>
      </c>
      <c r="E327" s="11" t="str">
        <f ca="1">+WORLDCUP!BD59</f>
        <v>Catar</v>
      </c>
      <c r="F327" s="11" t="str">
        <f ca="1">+WORLDCUP!BD61</f>
        <v>Australia</v>
      </c>
      <c r="G327" s="11" t="str">
        <f ca="1">+WORLDCUP!BD58</f>
        <v>Corea del Sur</v>
      </c>
      <c r="H327" s="11" t="str">
        <f ca="1">+WORLDCUP!BD63</f>
        <v>Suecia</v>
      </c>
      <c r="I327" s="11" t="str">
        <f ca="1">+WORLDCUP!BD69</f>
        <v>Ghana</v>
      </c>
      <c r="J327" s="11" t="str">
        <f ca="1">+WORLDCUP!BD68</f>
        <v>Uzbekistán</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Suecia</v>
      </c>
      <c r="D328" s="11" t="str">
        <f ca="1">+WORLDCUP!BD67</f>
        <v>Austria</v>
      </c>
      <c r="E328" s="11" t="str">
        <f ca="1">+WORLDCUP!BD59</f>
        <v>Catar</v>
      </c>
      <c r="F328" s="11" t="str">
        <f ca="1">+WORLDCUP!BD61</f>
        <v>Australia</v>
      </c>
      <c r="G328" s="11" t="str">
        <f ca="1">+WORLDCUP!BD58</f>
        <v>Corea del Sur</v>
      </c>
      <c r="H328" s="11" t="str">
        <f ca="1">+WORLDCUP!BD64</f>
        <v>Irán</v>
      </c>
      <c r="I328" s="11" t="str">
        <f ca="1">+WORLDCUP!BD69</f>
        <v>Ghana</v>
      </c>
      <c r="J328" s="11" t="str">
        <f ca="1">+WORLDCUP!BD66</f>
        <v>Irak</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Suecia</v>
      </c>
      <c r="D329" s="11" t="str">
        <f ca="1">+WORLDCUP!BD67</f>
        <v>Austria</v>
      </c>
      <c r="E329" s="11" t="str">
        <f ca="1">+WORLDCUP!BD59</f>
        <v>Catar</v>
      </c>
      <c r="F329" s="11" t="str">
        <f ca="1">+WORLDCUP!BD61</f>
        <v>Australia</v>
      </c>
      <c r="G329" s="11" t="str">
        <f ca="1">+WORLDCUP!BD58</f>
        <v>Corea del Sur</v>
      </c>
      <c r="H329" s="11" t="str">
        <f ca="1">+WORLDCUP!BD64</f>
        <v>Irán</v>
      </c>
      <c r="I329" s="11" t="str">
        <f ca="1">+WORLDCUP!BD66</f>
        <v>Irak</v>
      </c>
      <c r="J329" s="11" t="str">
        <f ca="1">+WORLDCUP!BD68</f>
        <v>Uzbekistán</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Arabia Saudita</v>
      </c>
      <c r="D330" s="11" t="str">
        <f ca="1">+WORLDCUP!BD64</f>
        <v>Irán</v>
      </c>
      <c r="E330" s="11" t="str">
        <f ca="1">+WORLDCUP!BD59</f>
        <v>Catar</v>
      </c>
      <c r="F330" s="11" t="str">
        <f ca="1">+WORLDCUP!BD61</f>
        <v>Australia</v>
      </c>
      <c r="G330" s="11" t="str">
        <f ca="1">+WORLDCUP!BD58</f>
        <v>Corea del Sur</v>
      </c>
      <c r="H330" s="11" t="str">
        <f ca="1">+WORLDCUP!BD63</f>
        <v>Suecia</v>
      </c>
      <c r="I330" s="11" t="str">
        <f ca="1">+WORLDCUP!BD69</f>
        <v>Ghana</v>
      </c>
      <c r="J330" s="11" t="str">
        <f ca="1">+WORLDCUP!BD68</f>
        <v>Uzbekistán</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Arabia Saudita</v>
      </c>
      <c r="D331" s="11" t="str">
        <f ca="1">+WORLDCUP!BD64</f>
        <v>Irán</v>
      </c>
      <c r="E331" s="11" t="str">
        <f ca="1">+WORLDCUP!BD59</f>
        <v>Catar</v>
      </c>
      <c r="F331" s="11" t="str">
        <f ca="1">+WORLDCUP!BD61</f>
        <v>Australia</v>
      </c>
      <c r="G331" s="11" t="str">
        <f ca="1">+WORLDCUP!BD58</f>
        <v>Corea del Sur</v>
      </c>
      <c r="H331" s="11" t="str">
        <f ca="1">+WORLDCUP!BD63</f>
        <v>Suecia</v>
      </c>
      <c r="I331" s="11" t="str">
        <f ca="1">+WORLDCUP!BD69</f>
        <v>Ghana</v>
      </c>
      <c r="J331" s="11" t="str">
        <f ca="1">+WORLDCUP!BD67</f>
        <v>Austria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Arabia Saudita</v>
      </c>
      <c r="D332" s="11" t="str">
        <f ca="1">+WORLDCUP!BD64</f>
        <v>Irán</v>
      </c>
      <c r="E332" s="11" t="str">
        <f ca="1">+WORLDCUP!BD59</f>
        <v>Catar</v>
      </c>
      <c r="F332" s="11" t="str">
        <f ca="1">+WORLDCUP!BD61</f>
        <v>Australia</v>
      </c>
      <c r="G332" s="11" t="str">
        <f ca="1">+WORLDCUP!BD58</f>
        <v>Corea del Sur</v>
      </c>
      <c r="H332" s="11" t="str">
        <f ca="1">+WORLDCUP!BD63</f>
        <v>Suecia</v>
      </c>
      <c r="I332" s="11" t="str">
        <f ca="1">+WORLDCUP!BD67</f>
        <v>Austria</v>
      </c>
      <c r="J332" s="11" t="str">
        <f ca="1">+WORLDCUP!BD68</f>
        <v>Uzbekistán</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Arabia Saudita</v>
      </c>
      <c r="D333" s="11" t="str">
        <f ca="1">+WORLDCUP!BD64</f>
        <v>Irán</v>
      </c>
      <c r="E333" s="11" t="str">
        <f ca="1">+WORLDCUP!BD59</f>
        <v>Catar</v>
      </c>
      <c r="F333" s="11" t="str">
        <f ca="1">+WORLDCUP!BD61</f>
        <v>Australia</v>
      </c>
      <c r="G333" s="11" t="str">
        <f ca="1">+WORLDCUP!BD58</f>
        <v>Corea del Sur</v>
      </c>
      <c r="H333" s="11" t="str">
        <f ca="1">+WORLDCUP!BD63</f>
        <v>Suecia</v>
      </c>
      <c r="I333" s="11" t="str">
        <f ca="1">+WORLDCUP!BD69</f>
        <v>Ghana</v>
      </c>
      <c r="J333" s="11" t="str">
        <f ca="1">+WORLDCUP!BD66</f>
        <v>Irak</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Arabia Saudita</v>
      </c>
      <c r="D334" s="11" t="str">
        <f ca="1">+WORLDCUP!BD64</f>
        <v>Irán</v>
      </c>
      <c r="E334" s="11" t="str">
        <f ca="1">+WORLDCUP!BD59</f>
        <v>Catar</v>
      </c>
      <c r="F334" s="11" t="str">
        <f ca="1">+WORLDCUP!BD61</f>
        <v>Australia</v>
      </c>
      <c r="G334" s="11" t="str">
        <f ca="1">+WORLDCUP!BD58</f>
        <v>Corea del Sur</v>
      </c>
      <c r="H334" s="11" t="str">
        <f ca="1">+WORLDCUP!BD63</f>
        <v>Suecia</v>
      </c>
      <c r="I334" s="11" t="str">
        <f ca="1">+WORLDCUP!BD66</f>
        <v>Irak</v>
      </c>
      <c r="J334" s="11" t="str">
        <f ca="1">+WORLDCUP!BD68</f>
        <v>Uzbekistán</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Arabia Saudita</v>
      </c>
      <c r="D335" s="11" t="str">
        <f ca="1">+WORLDCUP!BD64</f>
        <v>Irán</v>
      </c>
      <c r="E335" s="11" t="str">
        <f ca="1">+WORLDCUP!BD59</f>
        <v>Catar</v>
      </c>
      <c r="F335" s="11" t="str">
        <f ca="1">+WORLDCUP!BD61</f>
        <v>Australia</v>
      </c>
      <c r="G335" s="11" t="str">
        <f ca="1">+WORLDCUP!BD58</f>
        <v>Corea del Sur</v>
      </c>
      <c r="H335" s="11" t="str">
        <f ca="1">+WORLDCUP!BD63</f>
        <v>Suecia</v>
      </c>
      <c r="I335" s="11" t="str">
        <f ca="1">+WORLDCUP!BD66</f>
        <v>Irak</v>
      </c>
      <c r="J335" s="11" t="str">
        <f ca="1">+WORLDCUP!BD67</f>
        <v>Austria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Costa de Marfil</v>
      </c>
      <c r="D336" s="11" t="str">
        <f ca="1">+WORLDCUP!BD67</f>
        <v>Austria</v>
      </c>
      <c r="E336" s="11" t="str">
        <f ca="1">+WORLDCUP!BD59</f>
        <v>Catar</v>
      </c>
      <c r="F336" s="11" t="str">
        <f ca="1">+WORLDCUP!BD58</f>
        <v>Corea del Sur</v>
      </c>
      <c r="G336" s="11" t="str">
        <f ca="1">+WORLDCUP!BD66</f>
        <v>Irak</v>
      </c>
      <c r="H336" s="11" t="str">
        <f ca="1">+WORLDCUP!BD61</f>
        <v>Australia</v>
      </c>
      <c r="I336" s="11" t="str">
        <f ca="1">+WORLDCUP!BD69</f>
        <v>Ghana</v>
      </c>
      <c r="J336" s="11" t="str">
        <f ca="1">+WORLDCUP!BD68</f>
        <v>Uzbekistán</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Costa de Marfil</v>
      </c>
      <c r="D337" s="11" t="str">
        <f ca="1">+WORLDCUP!BD67</f>
        <v>Austria</v>
      </c>
      <c r="E337" s="11" t="str">
        <f ca="1">+WORLDCUP!BD59</f>
        <v>Catar</v>
      </c>
      <c r="F337" s="11" t="str">
        <f ca="1">+WORLDCUP!BD61</f>
        <v>Australia</v>
      </c>
      <c r="G337" s="11" t="str">
        <f ca="1">+WORLDCUP!BD58</f>
        <v>Corea del Sur</v>
      </c>
      <c r="H337" s="11" t="str">
        <f ca="1">+WORLDCUP!BD65</f>
        <v>Arabia Saudita</v>
      </c>
      <c r="I337" s="11" t="str">
        <f ca="1">+WORLDCUP!BD69</f>
        <v>Ghana</v>
      </c>
      <c r="J337" s="11" t="str">
        <f ca="1">+WORLDCUP!BD68</f>
        <v>Uzbekistán</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Costa de Marfil</v>
      </c>
      <c r="D338" s="11" t="str">
        <f ca="1">+WORLDCUP!BD66</f>
        <v>Irak</v>
      </c>
      <c r="E338" s="11" t="str">
        <f ca="1">+WORLDCUP!BD59</f>
        <v>Catar</v>
      </c>
      <c r="F338" s="11" t="str">
        <f ca="1">+WORLDCUP!BD61</f>
        <v>Australia</v>
      </c>
      <c r="G338" s="11" t="str">
        <f ca="1">+WORLDCUP!BD58</f>
        <v>Corea del Sur</v>
      </c>
      <c r="H338" s="11" t="str">
        <f ca="1">+WORLDCUP!BD65</f>
        <v>Arabia Saudita</v>
      </c>
      <c r="I338" s="11" t="str">
        <f ca="1">+WORLDCUP!BD69</f>
        <v>Ghana</v>
      </c>
      <c r="J338" s="11" t="str">
        <f ca="1">+WORLDCUP!BD68</f>
        <v>Uzbekistán</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Costa de Marfil</v>
      </c>
      <c r="D339" s="11" t="str">
        <f ca="1">+WORLDCUP!BD67</f>
        <v>Austria</v>
      </c>
      <c r="E339" s="11" t="str">
        <f ca="1">+WORLDCUP!BD59</f>
        <v>Catar</v>
      </c>
      <c r="F339" s="11" t="str">
        <f ca="1">+WORLDCUP!BD61</f>
        <v>Australia</v>
      </c>
      <c r="G339" s="11" t="str">
        <f ca="1">+WORLDCUP!BD58</f>
        <v>Corea del Sur</v>
      </c>
      <c r="H339" s="11" t="str">
        <f ca="1">+WORLDCUP!BD65</f>
        <v>Arabia Saudita</v>
      </c>
      <c r="I339" s="11" t="str">
        <f ca="1">+WORLDCUP!BD69</f>
        <v>Ghana</v>
      </c>
      <c r="J339" s="11" t="str">
        <f ca="1">+WORLDCUP!BD66</f>
        <v>Irak</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Costa de Marfil</v>
      </c>
      <c r="D340" s="11" t="str">
        <f ca="1">+WORLDCUP!BD67</f>
        <v>Austria</v>
      </c>
      <c r="E340" s="11" t="str">
        <f ca="1">+WORLDCUP!BD59</f>
        <v>Catar</v>
      </c>
      <c r="F340" s="11" t="str">
        <f ca="1">+WORLDCUP!BD61</f>
        <v>Australia</v>
      </c>
      <c r="G340" s="11" t="str">
        <f ca="1">+WORLDCUP!BD58</f>
        <v>Corea del Sur</v>
      </c>
      <c r="H340" s="11" t="str">
        <f ca="1">+WORLDCUP!BD65</f>
        <v>Arabia Saudita</v>
      </c>
      <c r="I340" s="11" t="str">
        <f ca="1">+WORLDCUP!BD66</f>
        <v>Irak</v>
      </c>
      <c r="J340" s="11" t="str">
        <f ca="1">+WORLDCUP!BD68</f>
        <v>Uzbekistán</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Costa de Marfil</v>
      </c>
      <c r="D341" s="11" t="str">
        <f ca="1">+WORLDCUP!BD67</f>
        <v>Austria</v>
      </c>
      <c r="E341" s="11" t="str">
        <f ca="1">+WORLDCUP!BD59</f>
        <v>Catar</v>
      </c>
      <c r="F341" s="11" t="str">
        <f ca="1">+WORLDCUP!BD61</f>
        <v>Australia</v>
      </c>
      <c r="G341" s="11" t="str">
        <f ca="1">+WORLDCUP!BD58</f>
        <v>Corea del Sur</v>
      </c>
      <c r="H341" s="11" t="str">
        <f ca="1">+WORLDCUP!BD64</f>
        <v>Irán</v>
      </c>
      <c r="I341" s="11" t="str">
        <f ca="1">+WORLDCUP!BD69</f>
        <v>Ghana</v>
      </c>
      <c r="J341" s="11" t="str">
        <f ca="1">+WORLDCUP!BD68</f>
        <v>Uzbekistán</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Costa de Marfil</v>
      </c>
      <c r="D342" s="11" t="str">
        <f ca="1">+WORLDCUP!BD64</f>
        <v>Irán</v>
      </c>
      <c r="E342" s="11" t="str">
        <f ca="1">+WORLDCUP!BD59</f>
        <v>Catar</v>
      </c>
      <c r="F342" s="11" t="str">
        <f ca="1">+WORLDCUP!BD58</f>
        <v>Corea del Sur</v>
      </c>
      <c r="G342" s="11" t="str">
        <f ca="1">+WORLDCUP!BD66</f>
        <v>Irak</v>
      </c>
      <c r="H342" s="11" t="str">
        <f ca="1">+WORLDCUP!BD61</f>
        <v>Australia</v>
      </c>
      <c r="I342" s="11" t="str">
        <f ca="1">+WORLDCUP!BD69</f>
        <v>Ghana</v>
      </c>
      <c r="J342" s="11" t="str">
        <f ca="1">+WORLDCUP!BD68</f>
        <v>Uzbekistán</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Costa de Marfil</v>
      </c>
      <c r="D343" s="11" t="str">
        <f ca="1">+WORLDCUP!BD67</f>
        <v>Austria</v>
      </c>
      <c r="E343" s="11" t="str">
        <f ca="1">+WORLDCUP!BD59</f>
        <v>Catar</v>
      </c>
      <c r="F343" s="11" t="str">
        <f ca="1">+WORLDCUP!BD61</f>
        <v>Australia</v>
      </c>
      <c r="G343" s="11" t="str">
        <f ca="1">+WORLDCUP!BD58</f>
        <v>Corea del Sur</v>
      </c>
      <c r="H343" s="11" t="str">
        <f ca="1">+WORLDCUP!BD64</f>
        <v>Irán</v>
      </c>
      <c r="I343" s="11" t="str">
        <f ca="1">+WORLDCUP!BD69</f>
        <v>Ghana</v>
      </c>
      <c r="J343" s="11" t="str">
        <f ca="1">+WORLDCUP!BD66</f>
        <v>Irak</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Costa de Marfil</v>
      </c>
      <c r="D344" s="11" t="str">
        <f ca="1">+WORLDCUP!BD67</f>
        <v>Austria</v>
      </c>
      <c r="E344" s="11" t="str">
        <f ca="1">+WORLDCUP!BD59</f>
        <v>Catar</v>
      </c>
      <c r="F344" s="11" t="str">
        <f ca="1">+WORLDCUP!BD61</f>
        <v>Australia</v>
      </c>
      <c r="G344" s="11" t="str">
        <f ca="1">+WORLDCUP!BD58</f>
        <v>Corea del Sur</v>
      </c>
      <c r="H344" s="11" t="str">
        <f ca="1">+WORLDCUP!BD64</f>
        <v>Irán</v>
      </c>
      <c r="I344" s="11" t="str">
        <f ca="1">+WORLDCUP!BD66</f>
        <v>Irak</v>
      </c>
      <c r="J344" s="11" t="str">
        <f ca="1">+WORLDCUP!BD68</f>
        <v>Uzbekistán</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Costa de Marfil</v>
      </c>
      <c r="D345" s="11" t="str">
        <f ca="1">+WORLDCUP!BD64</f>
        <v>Irán</v>
      </c>
      <c r="E345" s="11" t="str">
        <f ca="1">+WORLDCUP!BD59</f>
        <v>Catar</v>
      </c>
      <c r="F345" s="11" t="str">
        <f ca="1">+WORLDCUP!BD61</f>
        <v>Australia</v>
      </c>
      <c r="G345" s="11" t="str">
        <f ca="1">+WORLDCUP!BD58</f>
        <v>Corea del Sur</v>
      </c>
      <c r="H345" s="11" t="str">
        <f ca="1">+WORLDCUP!BD65</f>
        <v>Arabia Saudita</v>
      </c>
      <c r="I345" s="11" t="str">
        <f ca="1">+WORLDCUP!BD69</f>
        <v>Ghana</v>
      </c>
      <c r="J345" s="11" t="str">
        <f ca="1">+WORLDCUP!BD68</f>
        <v>Uzbekistán</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Arabia Saudita</v>
      </c>
      <c r="D346" s="11" t="str">
        <f ca="1">+WORLDCUP!BD67</f>
        <v>Austria</v>
      </c>
      <c r="E346" s="11" t="str">
        <f ca="1">+WORLDCUP!BD59</f>
        <v>Catar</v>
      </c>
      <c r="F346" s="11" t="str">
        <f ca="1">+WORLDCUP!BD61</f>
        <v>Australia</v>
      </c>
      <c r="G346" s="11" t="str">
        <f ca="1">+WORLDCUP!BD58</f>
        <v>Corea del Sur</v>
      </c>
      <c r="H346" s="11" t="str">
        <f ca="1">+WORLDCUP!BD64</f>
        <v>Irán</v>
      </c>
      <c r="I346" s="11" t="str">
        <f ca="1">+WORLDCUP!BD69</f>
        <v>Ghana</v>
      </c>
      <c r="J346" s="11" t="str">
        <f ca="1">+WORLDCUP!BD62</f>
        <v>Costa de Marfil</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Arabia Saudita</v>
      </c>
      <c r="D347" s="11" t="str">
        <f ca="1">+WORLDCUP!BD67</f>
        <v>Austria</v>
      </c>
      <c r="E347" s="11" t="str">
        <f ca="1">+WORLDCUP!BD59</f>
        <v>Catar</v>
      </c>
      <c r="F347" s="11" t="str">
        <f ca="1">+WORLDCUP!BD61</f>
        <v>Australia</v>
      </c>
      <c r="G347" s="11" t="str">
        <f ca="1">+WORLDCUP!BD58</f>
        <v>Corea del Sur</v>
      </c>
      <c r="H347" s="11" t="str">
        <f ca="1">+WORLDCUP!BD64</f>
        <v>Irán</v>
      </c>
      <c r="I347" s="11" t="str">
        <f ca="1">+WORLDCUP!BD62</f>
        <v>Costa de Marfil</v>
      </c>
      <c r="J347" s="11" t="str">
        <f ca="1">+WORLDCUP!BD68</f>
        <v>Uzbekistán</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Costa de Marfil</v>
      </c>
      <c r="D348" s="11" t="str">
        <f ca="1">+WORLDCUP!BD64</f>
        <v>Irán</v>
      </c>
      <c r="E348" s="11" t="str">
        <f ca="1">+WORLDCUP!BD59</f>
        <v>Catar</v>
      </c>
      <c r="F348" s="11" t="str">
        <f ca="1">+WORLDCUP!BD61</f>
        <v>Australia</v>
      </c>
      <c r="G348" s="11" t="str">
        <f ca="1">+WORLDCUP!BD58</f>
        <v>Corea del Sur</v>
      </c>
      <c r="H348" s="11" t="str">
        <f ca="1">+WORLDCUP!BD65</f>
        <v>Arabia Saudita</v>
      </c>
      <c r="I348" s="11" t="str">
        <f ca="1">+WORLDCUP!BD69</f>
        <v>Ghana</v>
      </c>
      <c r="J348" s="11" t="str">
        <f ca="1">+WORLDCUP!BD66</f>
        <v>Irak</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Costa de Marfil</v>
      </c>
      <c r="D349" s="11" t="str">
        <f ca="1">+WORLDCUP!BD64</f>
        <v>Irán</v>
      </c>
      <c r="E349" s="11" t="str">
        <f ca="1">+WORLDCUP!BD59</f>
        <v>Catar</v>
      </c>
      <c r="F349" s="11" t="str">
        <f ca="1">+WORLDCUP!BD61</f>
        <v>Australia</v>
      </c>
      <c r="G349" s="11" t="str">
        <f ca="1">+WORLDCUP!BD58</f>
        <v>Corea del Sur</v>
      </c>
      <c r="H349" s="11" t="str">
        <f ca="1">+WORLDCUP!BD65</f>
        <v>Arabia Saudita</v>
      </c>
      <c r="I349" s="11" t="str">
        <f ca="1">+WORLDCUP!BD66</f>
        <v>Irak</v>
      </c>
      <c r="J349" s="11" t="str">
        <f ca="1">+WORLDCUP!BD68</f>
        <v>Uzbekistán</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Arabia Saudita</v>
      </c>
      <c r="D350" s="11" t="str">
        <f ca="1">+WORLDCUP!BD67</f>
        <v>Austria</v>
      </c>
      <c r="E350" s="11" t="str">
        <f ca="1">+WORLDCUP!BD59</f>
        <v>Catar</v>
      </c>
      <c r="F350" s="11" t="str">
        <f ca="1">+WORLDCUP!BD61</f>
        <v>Australia</v>
      </c>
      <c r="G350" s="11" t="str">
        <f ca="1">+WORLDCUP!BD58</f>
        <v>Corea del Sur</v>
      </c>
      <c r="H350" s="11" t="str">
        <f ca="1">+WORLDCUP!BD64</f>
        <v>Irán</v>
      </c>
      <c r="I350" s="11" t="str">
        <f ca="1">+WORLDCUP!BD62</f>
        <v>Costa de Marfil</v>
      </c>
      <c r="J350" s="11" t="str">
        <f ca="1">+WORLDCUP!BD66</f>
        <v>Irak</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Costa de Marfil</v>
      </c>
      <c r="D351" s="11" t="str">
        <f ca="1">+WORLDCUP!BD67</f>
        <v>Austria</v>
      </c>
      <c r="E351" s="11" t="str">
        <f ca="1">+WORLDCUP!BD59</f>
        <v>Catar</v>
      </c>
      <c r="F351" s="11" t="str">
        <f ca="1">+WORLDCUP!BD61</f>
        <v>Australia</v>
      </c>
      <c r="G351" s="11" t="str">
        <f ca="1">+WORLDCUP!BD58</f>
        <v>Corea del Sur</v>
      </c>
      <c r="H351" s="11" t="str">
        <f ca="1">+WORLDCUP!BD63</f>
        <v>Suecia</v>
      </c>
      <c r="I351" s="11" t="str">
        <f ca="1">+WORLDCUP!BD69</f>
        <v>Ghana</v>
      </c>
      <c r="J351" s="11" t="str">
        <f ca="1">+WORLDCUP!BD68</f>
        <v>Uzbekistán</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Costa de Marfil</v>
      </c>
      <c r="D352" s="11" t="str">
        <f ca="1">+WORLDCUP!BD66</f>
        <v>Irak</v>
      </c>
      <c r="E352" s="11" t="str">
        <f ca="1">+WORLDCUP!BD59</f>
        <v>Catar</v>
      </c>
      <c r="F352" s="11" t="str">
        <f ca="1">+WORLDCUP!BD61</f>
        <v>Australia</v>
      </c>
      <c r="G352" s="11" t="str">
        <f ca="1">+WORLDCUP!BD58</f>
        <v>Corea del Sur</v>
      </c>
      <c r="H352" s="11" t="str">
        <f ca="1">+WORLDCUP!BD63</f>
        <v>Suecia</v>
      </c>
      <c r="I352" s="11" t="str">
        <f ca="1">+WORLDCUP!BD69</f>
        <v>Ghana</v>
      </c>
      <c r="J352" s="11" t="str">
        <f ca="1">+WORLDCUP!BD68</f>
        <v>Uzbekistán</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Costa de Marfil</v>
      </c>
      <c r="D353" s="11" t="str">
        <f ca="1">+WORLDCUP!BD67</f>
        <v>Austria</v>
      </c>
      <c r="E353" s="11" t="str">
        <f ca="1">+WORLDCUP!BD59</f>
        <v>Catar</v>
      </c>
      <c r="F353" s="11" t="str">
        <f ca="1">+WORLDCUP!BD61</f>
        <v>Australia</v>
      </c>
      <c r="G353" s="11" t="str">
        <f ca="1">+WORLDCUP!BD58</f>
        <v>Corea del Sur</v>
      </c>
      <c r="H353" s="11" t="str">
        <f ca="1">+WORLDCUP!BD63</f>
        <v>Suecia</v>
      </c>
      <c r="I353" s="11" t="str">
        <f ca="1">+WORLDCUP!BD69</f>
        <v>Ghana</v>
      </c>
      <c r="J353" s="11" t="str">
        <f ca="1">+WORLDCUP!BD66</f>
        <v>Irak</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Costa de Marfil</v>
      </c>
      <c r="D354" s="11" t="str">
        <f ca="1">+WORLDCUP!BD67</f>
        <v>Austria</v>
      </c>
      <c r="E354" s="11" t="str">
        <f ca="1">+WORLDCUP!BD59</f>
        <v>Catar</v>
      </c>
      <c r="F354" s="11" t="str">
        <f ca="1">+WORLDCUP!BD61</f>
        <v>Australia</v>
      </c>
      <c r="G354" s="11" t="str">
        <f ca="1">+WORLDCUP!BD58</f>
        <v>Corea del Sur</v>
      </c>
      <c r="H354" s="11" t="str">
        <f ca="1">+WORLDCUP!BD63</f>
        <v>Suecia</v>
      </c>
      <c r="I354" s="11" t="str">
        <f ca="1">+WORLDCUP!BD66</f>
        <v>Irak</v>
      </c>
      <c r="J354" s="11" t="str">
        <f ca="1">+WORLDCUP!BD68</f>
        <v>Uzbekistán</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Arabia Saudita</v>
      </c>
      <c r="D355" s="11" t="str">
        <f ca="1">+WORLDCUP!BD62</f>
        <v>Costa de Marfil</v>
      </c>
      <c r="E355" s="11" t="str">
        <f ca="1">+WORLDCUP!BD59</f>
        <v>Catar</v>
      </c>
      <c r="F355" s="11" t="str">
        <f ca="1">+WORLDCUP!BD61</f>
        <v>Australia</v>
      </c>
      <c r="G355" s="11" t="str">
        <f ca="1">+WORLDCUP!BD58</f>
        <v>Corea del Sur</v>
      </c>
      <c r="H355" s="11" t="str">
        <f ca="1">+WORLDCUP!BD63</f>
        <v>Suecia</v>
      </c>
      <c r="I355" s="11" t="str">
        <f ca="1">+WORLDCUP!BD69</f>
        <v>Ghana</v>
      </c>
      <c r="J355" s="11" t="str">
        <f ca="1">+WORLDCUP!BD68</f>
        <v>Uzbekistán</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Arabia Saudita</v>
      </c>
      <c r="D356" s="11" t="str">
        <f ca="1">+WORLDCUP!BD67</f>
        <v>Austria</v>
      </c>
      <c r="E356" s="11" t="str">
        <f ca="1">+WORLDCUP!BD59</f>
        <v>Catar</v>
      </c>
      <c r="F356" s="11" t="str">
        <f ca="1">+WORLDCUP!BD61</f>
        <v>Australia</v>
      </c>
      <c r="G356" s="11" t="str">
        <f ca="1">+WORLDCUP!BD58</f>
        <v>Corea del Sur</v>
      </c>
      <c r="H356" s="11" t="str">
        <f ca="1">+WORLDCUP!BD63</f>
        <v>Suecia</v>
      </c>
      <c r="I356" s="11" t="str">
        <f ca="1">+WORLDCUP!BD69</f>
        <v>Ghana</v>
      </c>
      <c r="J356" s="11" t="str">
        <f ca="1">+WORLDCUP!BD62</f>
        <v>Costa de Marfil</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Arabia Saudita</v>
      </c>
      <c r="D357" s="11" t="str">
        <f ca="1">+WORLDCUP!BD67</f>
        <v>Austria</v>
      </c>
      <c r="E357" s="11" t="str">
        <f ca="1">+WORLDCUP!BD59</f>
        <v>Catar</v>
      </c>
      <c r="F357" s="11" t="str">
        <f ca="1">+WORLDCUP!BD61</f>
        <v>Australia</v>
      </c>
      <c r="G357" s="11" t="str">
        <f ca="1">+WORLDCUP!BD58</f>
        <v>Corea del Sur</v>
      </c>
      <c r="H357" s="11" t="str">
        <f ca="1">+WORLDCUP!BD63</f>
        <v>Suecia</v>
      </c>
      <c r="I357" s="11" t="str">
        <f ca="1">+WORLDCUP!BD62</f>
        <v>Costa de Marfil</v>
      </c>
      <c r="J357" s="11" t="str">
        <f ca="1">+WORLDCUP!BD68</f>
        <v>Uzbekistán</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Arabia Saudita</v>
      </c>
      <c r="D358" s="11" t="str">
        <f ca="1">+WORLDCUP!BD62</f>
        <v>Costa de Marfil</v>
      </c>
      <c r="E358" s="11" t="str">
        <f ca="1">+WORLDCUP!BD59</f>
        <v>Catar</v>
      </c>
      <c r="F358" s="11" t="str">
        <f ca="1">+WORLDCUP!BD61</f>
        <v>Australia</v>
      </c>
      <c r="G358" s="11" t="str">
        <f ca="1">+WORLDCUP!BD58</f>
        <v>Corea del Sur</v>
      </c>
      <c r="H358" s="11" t="str">
        <f ca="1">+WORLDCUP!BD63</f>
        <v>Suecia</v>
      </c>
      <c r="I358" s="11" t="str">
        <f ca="1">+WORLDCUP!BD69</f>
        <v>Ghana</v>
      </c>
      <c r="J358" s="11" t="str">
        <f ca="1">+WORLDCUP!BD66</f>
        <v>Irak</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Arabia Saudita</v>
      </c>
      <c r="D359" s="11" t="str">
        <f ca="1">+WORLDCUP!BD62</f>
        <v>Costa de Marfil</v>
      </c>
      <c r="E359" s="11" t="str">
        <f ca="1">+WORLDCUP!BD59</f>
        <v>Catar</v>
      </c>
      <c r="F359" s="11" t="str">
        <f ca="1">+WORLDCUP!BD61</f>
        <v>Australia</v>
      </c>
      <c r="G359" s="11" t="str">
        <f ca="1">+WORLDCUP!BD58</f>
        <v>Corea del Sur</v>
      </c>
      <c r="H359" s="11" t="str">
        <f ca="1">+WORLDCUP!BD63</f>
        <v>Suecia</v>
      </c>
      <c r="I359" s="11" t="str">
        <f ca="1">+WORLDCUP!BD66</f>
        <v>Irak</v>
      </c>
      <c r="J359" s="11" t="str">
        <f ca="1">+WORLDCUP!BD68</f>
        <v>Uzbekistán</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Arabia Saudita</v>
      </c>
      <c r="D360" s="11" t="str">
        <f ca="1">+WORLDCUP!BD67</f>
        <v>Austria</v>
      </c>
      <c r="E360" s="11" t="str">
        <f ca="1">+WORLDCUP!BD59</f>
        <v>Catar</v>
      </c>
      <c r="F360" s="11" t="str">
        <f ca="1">+WORLDCUP!BD61</f>
        <v>Australia</v>
      </c>
      <c r="G360" s="11" t="str">
        <f ca="1">+WORLDCUP!BD58</f>
        <v>Corea del Sur</v>
      </c>
      <c r="H360" s="11" t="str">
        <f ca="1">+WORLDCUP!BD63</f>
        <v>Suecia</v>
      </c>
      <c r="I360" s="11" t="str">
        <f ca="1">+WORLDCUP!BD62</f>
        <v>Costa de Marfil</v>
      </c>
      <c r="J360" s="11" t="str">
        <f ca="1">+WORLDCUP!BD66</f>
        <v>Irak</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Costa de Marfil</v>
      </c>
      <c r="D361" s="11" t="str">
        <f ca="1">+WORLDCUP!BD64</f>
        <v>Irán</v>
      </c>
      <c r="E361" s="11" t="str">
        <f ca="1">+WORLDCUP!BD59</f>
        <v>Catar</v>
      </c>
      <c r="F361" s="11" t="str">
        <f ca="1">+WORLDCUP!BD61</f>
        <v>Australia</v>
      </c>
      <c r="G361" s="11" t="str">
        <f ca="1">+WORLDCUP!BD58</f>
        <v>Corea del Sur</v>
      </c>
      <c r="H361" s="11" t="str">
        <f ca="1">+WORLDCUP!BD63</f>
        <v>Suecia</v>
      </c>
      <c r="I361" s="11" t="str">
        <f ca="1">+WORLDCUP!BD69</f>
        <v>Ghana</v>
      </c>
      <c r="J361" s="11" t="str">
        <f ca="1">+WORLDCUP!BD68</f>
        <v>Uzbekistán</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Costa de Marfil</v>
      </c>
      <c r="D362" s="11" t="str">
        <f ca="1">+WORLDCUP!BD64</f>
        <v>Irán</v>
      </c>
      <c r="E362" s="11" t="str">
        <f ca="1">+WORLDCUP!BD59</f>
        <v>Catar</v>
      </c>
      <c r="F362" s="11" t="str">
        <f ca="1">+WORLDCUP!BD61</f>
        <v>Australia</v>
      </c>
      <c r="G362" s="11" t="str">
        <f ca="1">+WORLDCUP!BD58</f>
        <v>Corea del Sur</v>
      </c>
      <c r="H362" s="11" t="str">
        <f ca="1">+WORLDCUP!BD63</f>
        <v>Suecia</v>
      </c>
      <c r="I362" s="11" t="str">
        <f ca="1">+WORLDCUP!BD69</f>
        <v>Ghana</v>
      </c>
      <c r="J362" s="11" t="str">
        <f ca="1">+WORLDCUP!BD67</f>
        <v>Austria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Costa de Marfil</v>
      </c>
      <c r="D363" s="11" t="str">
        <f ca="1">+WORLDCUP!BD64</f>
        <v>Irán</v>
      </c>
      <c r="E363" s="11" t="str">
        <f ca="1">+WORLDCUP!BD59</f>
        <v>Catar</v>
      </c>
      <c r="F363" s="11" t="str">
        <f ca="1">+WORLDCUP!BD61</f>
        <v>Australia</v>
      </c>
      <c r="G363" s="11" t="str">
        <f ca="1">+WORLDCUP!BD58</f>
        <v>Corea del Sur</v>
      </c>
      <c r="H363" s="11" t="str">
        <f ca="1">+WORLDCUP!BD63</f>
        <v>Suecia</v>
      </c>
      <c r="I363" s="11" t="str">
        <f ca="1">+WORLDCUP!BD67</f>
        <v>Austria</v>
      </c>
      <c r="J363" s="11" t="str">
        <f ca="1">+WORLDCUP!BD68</f>
        <v>Uzbekistán</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Costa de Marfil</v>
      </c>
      <c r="D364" s="11" t="str">
        <f ca="1">+WORLDCUP!BD64</f>
        <v>Irán</v>
      </c>
      <c r="E364" s="11" t="str">
        <f ca="1">+WORLDCUP!BD59</f>
        <v>Catar</v>
      </c>
      <c r="F364" s="11" t="str">
        <f ca="1">+WORLDCUP!BD61</f>
        <v>Australia</v>
      </c>
      <c r="G364" s="11" t="str">
        <f ca="1">+WORLDCUP!BD58</f>
        <v>Corea del Sur</v>
      </c>
      <c r="H364" s="11" t="str">
        <f ca="1">+WORLDCUP!BD63</f>
        <v>Suecia</v>
      </c>
      <c r="I364" s="11" t="str">
        <f ca="1">+WORLDCUP!BD69</f>
        <v>Ghana</v>
      </c>
      <c r="J364" s="11" t="str">
        <f ca="1">+WORLDCUP!BD66</f>
        <v>Irak</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Costa de Marfil</v>
      </c>
      <c r="D365" s="11" t="str">
        <f ca="1">+WORLDCUP!BD64</f>
        <v>Irán</v>
      </c>
      <c r="E365" s="11" t="str">
        <f ca="1">+WORLDCUP!BD59</f>
        <v>Catar</v>
      </c>
      <c r="F365" s="11" t="str">
        <f ca="1">+WORLDCUP!BD61</f>
        <v>Australia</v>
      </c>
      <c r="G365" s="11" t="str">
        <f ca="1">+WORLDCUP!BD58</f>
        <v>Corea del Sur</v>
      </c>
      <c r="H365" s="11" t="str">
        <f ca="1">+WORLDCUP!BD63</f>
        <v>Suecia</v>
      </c>
      <c r="I365" s="11" t="str">
        <f ca="1">+WORLDCUP!BD66</f>
        <v>Irak</v>
      </c>
      <c r="J365" s="11" t="str">
        <f ca="1">+WORLDCUP!BD68</f>
        <v>Uzbekistán</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Costa de Marfil</v>
      </c>
      <c r="D366" s="11" t="str">
        <f ca="1">+WORLDCUP!BD64</f>
        <v>Irán</v>
      </c>
      <c r="E366" s="11" t="str">
        <f ca="1">+WORLDCUP!BD59</f>
        <v>Catar</v>
      </c>
      <c r="F366" s="11" t="str">
        <f ca="1">+WORLDCUP!BD61</f>
        <v>Australia</v>
      </c>
      <c r="G366" s="11" t="str">
        <f ca="1">+WORLDCUP!BD58</f>
        <v>Corea del Sur</v>
      </c>
      <c r="H366" s="11" t="str">
        <f ca="1">+WORLDCUP!BD63</f>
        <v>Suecia</v>
      </c>
      <c r="I366" s="11" t="str">
        <f ca="1">+WORLDCUP!BD66</f>
        <v>Irak</v>
      </c>
      <c r="J366" s="11" t="str">
        <f ca="1">+WORLDCUP!BD67</f>
        <v>Austria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Arabia Saudita</v>
      </c>
      <c r="D367" s="11" t="str">
        <f ca="1">+WORLDCUP!BD64</f>
        <v>Irán</v>
      </c>
      <c r="E367" s="11" t="str">
        <f ca="1">+WORLDCUP!BD59</f>
        <v>Catar</v>
      </c>
      <c r="F367" s="11" t="str">
        <f ca="1">+WORLDCUP!BD61</f>
        <v>Australia</v>
      </c>
      <c r="G367" s="11" t="str">
        <f ca="1">+WORLDCUP!BD58</f>
        <v>Corea del Sur</v>
      </c>
      <c r="H367" s="11" t="str">
        <f ca="1">+WORLDCUP!BD63</f>
        <v>Suecia</v>
      </c>
      <c r="I367" s="11" t="str">
        <f ca="1">+WORLDCUP!BD69</f>
        <v>Ghana</v>
      </c>
      <c r="J367" s="11" t="str">
        <f ca="1">+WORLDCUP!BD62</f>
        <v>Costa de Marfil</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Arabia Saudita</v>
      </c>
      <c r="D368" s="11" t="str">
        <f ca="1">+WORLDCUP!BD64</f>
        <v>Irán</v>
      </c>
      <c r="E368" s="11" t="str">
        <f ca="1">+WORLDCUP!BD59</f>
        <v>Catar</v>
      </c>
      <c r="F368" s="11" t="str">
        <f ca="1">+WORLDCUP!BD61</f>
        <v>Australia</v>
      </c>
      <c r="G368" s="11" t="str">
        <f ca="1">+WORLDCUP!BD58</f>
        <v>Corea del Sur</v>
      </c>
      <c r="H368" s="11" t="str">
        <f ca="1">+WORLDCUP!BD63</f>
        <v>Suecia</v>
      </c>
      <c r="I368" s="11" t="str">
        <f ca="1">+WORLDCUP!BD62</f>
        <v>Costa de Marfil</v>
      </c>
      <c r="J368" s="11" t="str">
        <f ca="1">+WORLDCUP!BD68</f>
        <v>Uzbekistán</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Arabia Saudita</v>
      </c>
      <c r="D369" s="11" t="str">
        <f ca="1">+WORLDCUP!BD64</f>
        <v>Irán</v>
      </c>
      <c r="E369" s="11" t="str">
        <f ca="1">+WORLDCUP!BD59</f>
        <v>Catar</v>
      </c>
      <c r="F369" s="11" t="str">
        <f ca="1">+WORLDCUP!BD61</f>
        <v>Australia</v>
      </c>
      <c r="G369" s="11" t="str">
        <f ca="1">+WORLDCUP!BD58</f>
        <v>Corea del Sur</v>
      </c>
      <c r="H369" s="11" t="str">
        <f ca="1">+WORLDCUP!BD63</f>
        <v>Suecia</v>
      </c>
      <c r="I369" s="11" t="str">
        <f ca="1">+WORLDCUP!BD62</f>
        <v>Costa de Marfil</v>
      </c>
      <c r="J369" s="11" t="str">
        <f ca="1">+WORLDCUP!BD67</f>
        <v>Austria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Arabia Saudita</v>
      </c>
      <c r="D370" s="11" t="str">
        <f ca="1">+WORLDCUP!BD64</f>
        <v>Irán</v>
      </c>
      <c r="E370" s="11" t="str">
        <f ca="1">+WORLDCUP!BD59</f>
        <v>Catar</v>
      </c>
      <c r="F370" s="11" t="str">
        <f ca="1">+WORLDCUP!BD61</f>
        <v>Australia</v>
      </c>
      <c r="G370" s="11" t="str">
        <f ca="1">+WORLDCUP!BD58</f>
        <v>Corea del Sur</v>
      </c>
      <c r="H370" s="11" t="str">
        <f ca="1">+WORLDCUP!BD63</f>
        <v>Suecia</v>
      </c>
      <c r="I370" s="11" t="str">
        <f ca="1">+WORLDCUP!BD62</f>
        <v>Costa de Marfil</v>
      </c>
      <c r="J370" s="11" t="str">
        <f ca="1">+WORLDCUP!BD66</f>
        <v>Irak</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Irak</v>
      </c>
      <c r="D371" s="11" t="str">
        <f ca="1">+WORLDCUP!BD67</f>
        <v>Austria</v>
      </c>
      <c r="E371" s="11" t="str">
        <f ca="1">+WORLDCUP!BD59</f>
        <v>Catar</v>
      </c>
      <c r="F371" s="11" t="str">
        <f ca="1">+WORLDCUP!BD60</f>
        <v>Haití</v>
      </c>
      <c r="G371" s="11" t="str">
        <f ca="1">+WORLDCUP!BD58</f>
        <v>Corea del Sur</v>
      </c>
      <c r="H371" s="11" t="str">
        <f ca="1">+WORLDCUP!BD65</f>
        <v>Arabia Saudita</v>
      </c>
      <c r="I371" s="11" t="str">
        <f ca="1">+WORLDCUP!BD69</f>
        <v>Ghana</v>
      </c>
      <c r="J371" s="11" t="str">
        <f ca="1">+WORLDCUP!BD68</f>
        <v>Uzbekistán</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Irak</v>
      </c>
      <c r="D372" s="11" t="str">
        <f ca="1">+WORLDCUP!BD67</f>
        <v>Austria</v>
      </c>
      <c r="E372" s="11" t="str">
        <f ca="1">+WORLDCUP!BD59</f>
        <v>Catar</v>
      </c>
      <c r="F372" s="11" t="str">
        <f ca="1">+WORLDCUP!BD60</f>
        <v>Haití</v>
      </c>
      <c r="G372" s="11" t="str">
        <f ca="1">+WORLDCUP!BD58</f>
        <v>Corea del Sur</v>
      </c>
      <c r="H372" s="11" t="str">
        <f ca="1">+WORLDCUP!BD64</f>
        <v>Irán</v>
      </c>
      <c r="I372" s="11" t="str">
        <f ca="1">+WORLDCUP!BD69</f>
        <v>Ghana</v>
      </c>
      <c r="J372" s="11" t="str">
        <f ca="1">+WORLDCUP!BD68</f>
        <v>Uzbekistán</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Arabia Saudita</v>
      </c>
      <c r="D373" s="11" t="str">
        <f ca="1">+WORLDCUP!BD67</f>
        <v>Austria</v>
      </c>
      <c r="E373" s="11" t="str">
        <f ca="1">+WORLDCUP!BD59</f>
        <v>Catar</v>
      </c>
      <c r="F373" s="11" t="str">
        <f ca="1">+WORLDCUP!BD60</f>
        <v>Haití</v>
      </c>
      <c r="G373" s="11" t="str">
        <f ca="1">+WORLDCUP!BD58</f>
        <v>Corea del Sur</v>
      </c>
      <c r="H373" s="11" t="str">
        <f ca="1">+WORLDCUP!BD64</f>
        <v>Irán</v>
      </c>
      <c r="I373" s="11" t="str">
        <f ca="1">+WORLDCUP!BD69</f>
        <v>Ghana</v>
      </c>
      <c r="J373" s="11" t="str">
        <f ca="1">+WORLDCUP!BD68</f>
        <v>Uzbekistán</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Irak</v>
      </c>
      <c r="D374" s="11" t="str">
        <f ca="1">+WORLDCUP!BD64</f>
        <v>Irán</v>
      </c>
      <c r="E374" s="11" t="str">
        <f ca="1">+WORLDCUP!BD59</f>
        <v>Catar</v>
      </c>
      <c r="F374" s="11" t="str">
        <f ca="1">+WORLDCUP!BD60</f>
        <v>Haití</v>
      </c>
      <c r="G374" s="11" t="str">
        <f ca="1">+WORLDCUP!BD58</f>
        <v>Corea del Sur</v>
      </c>
      <c r="H374" s="11" t="str">
        <f ca="1">+WORLDCUP!BD65</f>
        <v>Arabia Saudita</v>
      </c>
      <c r="I374" s="11" t="str">
        <f ca="1">+WORLDCUP!BD69</f>
        <v>Ghana</v>
      </c>
      <c r="J374" s="11" t="str">
        <f ca="1">+WORLDCUP!BD68</f>
        <v>Uzbekistán</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Arabia Saudita</v>
      </c>
      <c r="D375" s="11" t="str">
        <f ca="1">+WORLDCUP!BD67</f>
        <v>Austria</v>
      </c>
      <c r="E375" s="11" t="str">
        <f ca="1">+WORLDCUP!BD59</f>
        <v>Catar</v>
      </c>
      <c r="F375" s="11" t="str">
        <f ca="1">+WORLDCUP!BD60</f>
        <v>Haití</v>
      </c>
      <c r="G375" s="11" t="str">
        <f ca="1">+WORLDCUP!BD58</f>
        <v>Corea del Sur</v>
      </c>
      <c r="H375" s="11" t="str">
        <f ca="1">+WORLDCUP!BD64</f>
        <v>Irán</v>
      </c>
      <c r="I375" s="11" t="str">
        <f ca="1">+WORLDCUP!BD69</f>
        <v>Ghana</v>
      </c>
      <c r="J375" s="11" t="str">
        <f ca="1">+WORLDCUP!BD66</f>
        <v>Irak</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Arabia Saudita</v>
      </c>
      <c r="D376" s="11" t="str">
        <f ca="1">+WORLDCUP!BD67</f>
        <v>Austria</v>
      </c>
      <c r="E376" s="11" t="str">
        <f ca="1">+WORLDCUP!BD59</f>
        <v>Catar</v>
      </c>
      <c r="F376" s="11" t="str">
        <f ca="1">+WORLDCUP!BD60</f>
        <v>Haití</v>
      </c>
      <c r="G376" s="11" t="str">
        <f ca="1">+WORLDCUP!BD58</f>
        <v>Corea del Sur</v>
      </c>
      <c r="H376" s="11" t="str">
        <f ca="1">+WORLDCUP!BD64</f>
        <v>Irán</v>
      </c>
      <c r="I376" s="11" t="str">
        <f ca="1">+WORLDCUP!BD66</f>
        <v>Irak</v>
      </c>
      <c r="J376" s="11" t="str">
        <f ca="1">+WORLDCUP!BD68</f>
        <v>Uzbekistán</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Irak</v>
      </c>
      <c r="D377" s="11" t="str">
        <f ca="1">+WORLDCUP!BD67</f>
        <v>Austria</v>
      </c>
      <c r="E377" s="11" t="str">
        <f ca="1">+WORLDCUP!BD59</f>
        <v>Catar</v>
      </c>
      <c r="F377" s="11" t="str">
        <f ca="1">+WORLDCUP!BD60</f>
        <v>Haití</v>
      </c>
      <c r="G377" s="11" t="str">
        <f ca="1">+WORLDCUP!BD58</f>
        <v>Corea del Sur</v>
      </c>
      <c r="H377" s="11" t="str">
        <f ca="1">+WORLDCUP!BD63</f>
        <v>Suecia</v>
      </c>
      <c r="I377" s="11" t="str">
        <f ca="1">+WORLDCUP!BD69</f>
        <v>Ghana</v>
      </c>
      <c r="J377" s="11" t="str">
        <f ca="1">+WORLDCUP!BD68</f>
        <v>Uzbekistán</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Arabia Saudita</v>
      </c>
      <c r="D378" s="11" t="str">
        <f ca="1">+WORLDCUP!BD67</f>
        <v>Austria</v>
      </c>
      <c r="E378" s="11" t="str">
        <f ca="1">+WORLDCUP!BD59</f>
        <v>Catar</v>
      </c>
      <c r="F378" s="11" t="str">
        <f ca="1">+WORLDCUP!BD60</f>
        <v>Haití</v>
      </c>
      <c r="G378" s="11" t="str">
        <f ca="1">+WORLDCUP!BD58</f>
        <v>Corea del Sur</v>
      </c>
      <c r="H378" s="11" t="str">
        <f ca="1">+WORLDCUP!BD63</f>
        <v>Suecia</v>
      </c>
      <c r="I378" s="11" t="str">
        <f ca="1">+WORLDCUP!BD69</f>
        <v>Ghana</v>
      </c>
      <c r="J378" s="11" t="str">
        <f ca="1">+WORLDCUP!BD68</f>
        <v>Uzbekistán</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Arabia Saudita</v>
      </c>
      <c r="D379" s="11" t="str">
        <f ca="1">+WORLDCUP!BD66</f>
        <v>Irak</v>
      </c>
      <c r="E379" s="11" t="str">
        <f ca="1">+WORLDCUP!BD59</f>
        <v>Catar</v>
      </c>
      <c r="F379" s="11" t="str">
        <f ca="1">+WORLDCUP!BD60</f>
        <v>Haití</v>
      </c>
      <c r="G379" s="11" t="str">
        <f ca="1">+WORLDCUP!BD58</f>
        <v>Corea del Sur</v>
      </c>
      <c r="H379" s="11" t="str">
        <f ca="1">+WORLDCUP!BD63</f>
        <v>Suecia</v>
      </c>
      <c r="I379" s="11" t="str">
        <f ca="1">+WORLDCUP!BD69</f>
        <v>Ghana</v>
      </c>
      <c r="J379" s="11" t="str">
        <f ca="1">+WORLDCUP!BD68</f>
        <v>Uzbekistán</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Arabia Saudita</v>
      </c>
      <c r="D380" s="11" t="str">
        <f ca="1">+WORLDCUP!BD67</f>
        <v>Austria</v>
      </c>
      <c r="E380" s="11" t="str">
        <f ca="1">+WORLDCUP!BD59</f>
        <v>Catar</v>
      </c>
      <c r="F380" s="11" t="str">
        <f ca="1">+WORLDCUP!BD60</f>
        <v>Haití</v>
      </c>
      <c r="G380" s="11" t="str">
        <f ca="1">+WORLDCUP!BD58</f>
        <v>Corea del Sur</v>
      </c>
      <c r="H380" s="11" t="str">
        <f ca="1">+WORLDCUP!BD63</f>
        <v>Suecia</v>
      </c>
      <c r="I380" s="11" t="str">
        <f ca="1">+WORLDCUP!BD69</f>
        <v>Ghana</v>
      </c>
      <c r="J380" s="11" t="str">
        <f ca="1">+WORLDCUP!BD66</f>
        <v>Irak</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Arabia Saudita</v>
      </c>
      <c r="D381" s="11" t="str">
        <f ca="1">+WORLDCUP!BD67</f>
        <v>Austria</v>
      </c>
      <c r="E381" s="11" t="str">
        <f ca="1">+WORLDCUP!BD59</f>
        <v>Catar</v>
      </c>
      <c r="F381" s="11" t="str">
        <f ca="1">+WORLDCUP!BD60</f>
        <v>Haití</v>
      </c>
      <c r="G381" s="11" t="str">
        <f ca="1">+WORLDCUP!BD58</f>
        <v>Corea del Sur</v>
      </c>
      <c r="H381" s="11" t="str">
        <f ca="1">+WORLDCUP!BD63</f>
        <v>Suecia</v>
      </c>
      <c r="I381" s="11" t="str">
        <f ca="1">+WORLDCUP!BD66</f>
        <v>Irak</v>
      </c>
      <c r="J381" s="11" t="str">
        <f ca="1">+WORLDCUP!BD68</f>
        <v>Uzbekistán</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Haití</v>
      </c>
      <c r="D382" s="11" t="str">
        <f ca="1">+WORLDCUP!BD67</f>
        <v>Austria</v>
      </c>
      <c r="E382" s="11" t="str">
        <f ca="1">+WORLDCUP!BD59</f>
        <v>Catar</v>
      </c>
      <c r="F382" s="11" t="str">
        <f ca="1">+WORLDCUP!BD63</f>
        <v>Suecia</v>
      </c>
      <c r="G382" s="11" t="str">
        <f ca="1">+WORLDCUP!BD58</f>
        <v>Corea del Sur</v>
      </c>
      <c r="H382" s="11" t="str">
        <f ca="1">+WORLDCUP!BD64</f>
        <v>Irán</v>
      </c>
      <c r="I382" s="11" t="str">
        <f ca="1">+WORLDCUP!BD69</f>
        <v>Ghana</v>
      </c>
      <c r="J382" s="11" t="str">
        <f ca="1">+WORLDCUP!BD68</f>
        <v>Uzbekistán</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Irak</v>
      </c>
      <c r="D383" s="11" t="str">
        <f ca="1">+WORLDCUP!BD64</f>
        <v>Irán</v>
      </c>
      <c r="E383" s="11" t="str">
        <f ca="1">+WORLDCUP!BD59</f>
        <v>Catar</v>
      </c>
      <c r="F383" s="11" t="str">
        <f ca="1">+WORLDCUP!BD60</f>
        <v>Haití</v>
      </c>
      <c r="G383" s="11" t="str">
        <f ca="1">+WORLDCUP!BD58</f>
        <v>Corea del Sur</v>
      </c>
      <c r="H383" s="11" t="str">
        <f ca="1">+WORLDCUP!BD63</f>
        <v>Suecia</v>
      </c>
      <c r="I383" s="11" t="str">
        <f ca="1">+WORLDCUP!BD69</f>
        <v>Ghana</v>
      </c>
      <c r="J383" s="11" t="str">
        <f ca="1">+WORLDCUP!BD68</f>
        <v>Uzbekistán</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Haití</v>
      </c>
      <c r="D384" s="11" t="str">
        <f ca="1">+WORLDCUP!BD67</f>
        <v>Austria</v>
      </c>
      <c r="E384" s="11" t="str">
        <f ca="1">+WORLDCUP!BD59</f>
        <v>Catar</v>
      </c>
      <c r="F384" s="11" t="str">
        <f ca="1">+WORLDCUP!BD63</f>
        <v>Suecia</v>
      </c>
      <c r="G384" s="11" t="str">
        <f ca="1">+WORLDCUP!BD58</f>
        <v>Corea del Sur</v>
      </c>
      <c r="H384" s="11" t="str">
        <f ca="1">+WORLDCUP!BD64</f>
        <v>Irán</v>
      </c>
      <c r="I384" s="11" t="str">
        <f ca="1">+WORLDCUP!BD69</f>
        <v>Ghana</v>
      </c>
      <c r="J384" s="11" t="str">
        <f ca="1">+WORLDCUP!BD66</f>
        <v>Irak</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Haití</v>
      </c>
      <c r="D385" s="11" t="str">
        <f ca="1">+WORLDCUP!BD67</f>
        <v>Austria</v>
      </c>
      <c r="E385" s="11" t="str">
        <f ca="1">+WORLDCUP!BD59</f>
        <v>Catar</v>
      </c>
      <c r="F385" s="11" t="str">
        <f ca="1">+WORLDCUP!BD63</f>
        <v>Suecia</v>
      </c>
      <c r="G385" s="11" t="str">
        <f ca="1">+WORLDCUP!BD58</f>
        <v>Corea del Sur</v>
      </c>
      <c r="H385" s="11" t="str">
        <f ca="1">+WORLDCUP!BD64</f>
        <v>Irán</v>
      </c>
      <c r="I385" s="11" t="str">
        <f ca="1">+WORLDCUP!BD66</f>
        <v>Irak</v>
      </c>
      <c r="J385" s="11" t="str">
        <f ca="1">+WORLDCUP!BD68</f>
        <v>Uzbekistán</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Arabia Saudita</v>
      </c>
      <c r="D386" s="11" t="str">
        <f ca="1">+WORLDCUP!BD64</f>
        <v>Irán</v>
      </c>
      <c r="E386" s="11" t="str">
        <f ca="1">+WORLDCUP!BD59</f>
        <v>Catar</v>
      </c>
      <c r="F386" s="11" t="str">
        <f ca="1">+WORLDCUP!BD60</f>
        <v>Haití</v>
      </c>
      <c r="G386" s="11" t="str">
        <f ca="1">+WORLDCUP!BD58</f>
        <v>Corea del Sur</v>
      </c>
      <c r="H386" s="11" t="str">
        <f ca="1">+WORLDCUP!BD63</f>
        <v>Suecia</v>
      </c>
      <c r="I386" s="11" t="str">
        <f ca="1">+WORLDCUP!BD69</f>
        <v>Ghana</v>
      </c>
      <c r="J386" s="11" t="str">
        <f ca="1">+WORLDCUP!BD68</f>
        <v>Uzbekistán</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Arabia Saudita</v>
      </c>
      <c r="D387" s="11" t="str">
        <f ca="1">+WORLDCUP!BD64</f>
        <v>Irán</v>
      </c>
      <c r="E387" s="11" t="str">
        <f ca="1">+WORLDCUP!BD59</f>
        <v>Catar</v>
      </c>
      <c r="F387" s="11" t="str">
        <f ca="1">+WORLDCUP!BD60</f>
        <v>Haití</v>
      </c>
      <c r="G387" s="11" t="str">
        <f ca="1">+WORLDCUP!BD58</f>
        <v>Corea del Sur</v>
      </c>
      <c r="H387" s="11" t="str">
        <f ca="1">+WORLDCUP!BD63</f>
        <v>Suecia</v>
      </c>
      <c r="I387" s="11" t="str">
        <f ca="1">+WORLDCUP!BD69</f>
        <v>Ghana</v>
      </c>
      <c r="J387" s="11" t="str">
        <f ca="1">+WORLDCUP!BD67</f>
        <v>Austria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Arabia Saudita</v>
      </c>
      <c r="D388" s="11" t="str">
        <f ca="1">+WORLDCUP!BD64</f>
        <v>Irán</v>
      </c>
      <c r="E388" s="11" t="str">
        <f ca="1">+WORLDCUP!BD59</f>
        <v>Catar</v>
      </c>
      <c r="F388" s="11" t="str">
        <f ca="1">+WORLDCUP!BD60</f>
        <v>Haití</v>
      </c>
      <c r="G388" s="11" t="str">
        <f ca="1">+WORLDCUP!BD58</f>
        <v>Corea del Sur</v>
      </c>
      <c r="H388" s="11" t="str">
        <f ca="1">+WORLDCUP!BD63</f>
        <v>Suecia</v>
      </c>
      <c r="I388" s="11" t="str">
        <f ca="1">+WORLDCUP!BD67</f>
        <v>Austria</v>
      </c>
      <c r="J388" s="11" t="str">
        <f ca="1">+WORLDCUP!BD68</f>
        <v>Uzbekistán</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Arabia Saudita</v>
      </c>
      <c r="D389" s="11" t="str">
        <f ca="1">+WORLDCUP!BD64</f>
        <v>Irán</v>
      </c>
      <c r="E389" s="11" t="str">
        <f ca="1">+WORLDCUP!BD59</f>
        <v>Catar</v>
      </c>
      <c r="F389" s="11" t="str">
        <f ca="1">+WORLDCUP!BD60</f>
        <v>Haití</v>
      </c>
      <c r="G389" s="11" t="str">
        <f ca="1">+WORLDCUP!BD58</f>
        <v>Corea del Sur</v>
      </c>
      <c r="H389" s="11" t="str">
        <f ca="1">+WORLDCUP!BD63</f>
        <v>Suecia</v>
      </c>
      <c r="I389" s="11" t="str">
        <f ca="1">+WORLDCUP!BD69</f>
        <v>Ghana</v>
      </c>
      <c r="J389" s="11" t="str">
        <f ca="1">+WORLDCUP!BD66</f>
        <v>Irak</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Arabia Saudita</v>
      </c>
      <c r="D390" s="11" t="str">
        <f ca="1">+WORLDCUP!BD64</f>
        <v>Irán</v>
      </c>
      <c r="E390" s="11" t="str">
        <f ca="1">+WORLDCUP!BD59</f>
        <v>Catar</v>
      </c>
      <c r="F390" s="11" t="str">
        <f ca="1">+WORLDCUP!BD60</f>
        <v>Haití</v>
      </c>
      <c r="G390" s="11" t="str">
        <f ca="1">+WORLDCUP!BD58</f>
        <v>Corea del Sur</v>
      </c>
      <c r="H390" s="11" t="str">
        <f ca="1">+WORLDCUP!BD63</f>
        <v>Suecia</v>
      </c>
      <c r="I390" s="11" t="str">
        <f ca="1">+WORLDCUP!BD66</f>
        <v>Irak</v>
      </c>
      <c r="J390" s="11" t="str">
        <f ca="1">+WORLDCUP!BD68</f>
        <v>Uzbekistán</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Arabia Saudita</v>
      </c>
      <c r="D391" s="11" t="str">
        <f ca="1">+WORLDCUP!BD64</f>
        <v>Irán</v>
      </c>
      <c r="E391" s="11" t="str">
        <f ca="1">+WORLDCUP!BD59</f>
        <v>Catar</v>
      </c>
      <c r="F391" s="11" t="str">
        <f ca="1">+WORLDCUP!BD60</f>
        <v>Haití</v>
      </c>
      <c r="G391" s="11" t="str">
        <f ca="1">+WORLDCUP!BD58</f>
        <v>Corea del Sur</v>
      </c>
      <c r="H391" s="11" t="str">
        <f ca="1">+WORLDCUP!BD63</f>
        <v>Suecia</v>
      </c>
      <c r="I391" s="11" t="str">
        <f ca="1">+WORLDCUP!BD66</f>
        <v>Irak</v>
      </c>
      <c r="J391" s="11" t="str">
        <f ca="1">+WORLDCUP!BD67</f>
        <v>Austria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Costa de Marfil</v>
      </c>
      <c r="D392" s="11" t="str">
        <f ca="1">+WORLDCUP!BD67</f>
        <v>Austria</v>
      </c>
      <c r="E392" s="11" t="str">
        <f ca="1">+WORLDCUP!BD59</f>
        <v>Catar</v>
      </c>
      <c r="F392" s="11" t="str">
        <f ca="1">+WORLDCUP!BD58</f>
        <v>Corea del Sur</v>
      </c>
      <c r="G392" s="11" t="str">
        <f ca="1">+WORLDCUP!BD66</f>
        <v>Irak</v>
      </c>
      <c r="H392" s="11" t="str">
        <f ca="1">+WORLDCUP!BD60</f>
        <v>Haití</v>
      </c>
      <c r="I392" s="11" t="str">
        <f ca="1">+WORLDCUP!BD69</f>
        <v>Ghana</v>
      </c>
      <c r="J392" s="11" t="str">
        <f ca="1">+WORLDCUP!BD68</f>
        <v>Uzbekistán</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Costa de Marfil</v>
      </c>
      <c r="D393" s="11" t="str">
        <f ca="1">+WORLDCUP!BD67</f>
        <v>Austria</v>
      </c>
      <c r="E393" s="11" t="str">
        <f ca="1">+WORLDCUP!BD59</f>
        <v>Catar</v>
      </c>
      <c r="F393" s="11" t="str">
        <f ca="1">+WORLDCUP!BD60</f>
        <v>Haití</v>
      </c>
      <c r="G393" s="11" t="str">
        <f ca="1">+WORLDCUP!BD58</f>
        <v>Corea del Sur</v>
      </c>
      <c r="H393" s="11" t="str">
        <f ca="1">+WORLDCUP!BD65</f>
        <v>Arabia Saudita</v>
      </c>
      <c r="I393" s="11" t="str">
        <f ca="1">+WORLDCUP!BD69</f>
        <v>Ghana</v>
      </c>
      <c r="J393" s="11" t="str">
        <f ca="1">+WORLDCUP!BD68</f>
        <v>Uzbekistán</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Costa de Marfil</v>
      </c>
      <c r="D394" s="11" t="str">
        <f ca="1">+WORLDCUP!BD66</f>
        <v>Irak</v>
      </c>
      <c r="E394" s="11" t="str">
        <f ca="1">+WORLDCUP!BD59</f>
        <v>Catar</v>
      </c>
      <c r="F394" s="11" t="str">
        <f ca="1">+WORLDCUP!BD60</f>
        <v>Haití</v>
      </c>
      <c r="G394" s="11" t="str">
        <f ca="1">+WORLDCUP!BD58</f>
        <v>Corea del Sur</v>
      </c>
      <c r="H394" s="11" t="str">
        <f ca="1">+WORLDCUP!BD65</f>
        <v>Arabia Saudita</v>
      </c>
      <c r="I394" s="11" t="str">
        <f ca="1">+WORLDCUP!BD69</f>
        <v>Ghana</v>
      </c>
      <c r="J394" s="11" t="str">
        <f ca="1">+WORLDCUP!BD68</f>
        <v>Uzbekistán</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Costa de Marfil</v>
      </c>
      <c r="D395" s="11" t="str">
        <f ca="1">+WORLDCUP!BD67</f>
        <v>Austria</v>
      </c>
      <c r="E395" s="11" t="str">
        <f ca="1">+WORLDCUP!BD59</f>
        <v>Catar</v>
      </c>
      <c r="F395" s="11" t="str">
        <f ca="1">+WORLDCUP!BD60</f>
        <v>Haití</v>
      </c>
      <c r="G395" s="11" t="str">
        <f ca="1">+WORLDCUP!BD58</f>
        <v>Corea del Sur</v>
      </c>
      <c r="H395" s="11" t="str">
        <f ca="1">+WORLDCUP!BD65</f>
        <v>Arabia Saudita</v>
      </c>
      <c r="I395" s="11" t="str">
        <f ca="1">+WORLDCUP!BD69</f>
        <v>Ghana</v>
      </c>
      <c r="J395" s="11" t="str">
        <f ca="1">+WORLDCUP!BD66</f>
        <v>Irak</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Costa de Marfil</v>
      </c>
      <c r="D396" s="11" t="str">
        <f ca="1">+WORLDCUP!BD67</f>
        <v>Austria</v>
      </c>
      <c r="E396" s="11" t="str">
        <f ca="1">+WORLDCUP!BD59</f>
        <v>Catar</v>
      </c>
      <c r="F396" s="11" t="str">
        <f ca="1">+WORLDCUP!BD60</f>
        <v>Haití</v>
      </c>
      <c r="G396" s="11" t="str">
        <f ca="1">+WORLDCUP!BD58</f>
        <v>Corea del Sur</v>
      </c>
      <c r="H396" s="11" t="str">
        <f ca="1">+WORLDCUP!BD65</f>
        <v>Arabia Saudita</v>
      </c>
      <c r="I396" s="11" t="str">
        <f ca="1">+WORLDCUP!BD66</f>
        <v>Irak</v>
      </c>
      <c r="J396" s="11" t="str">
        <f ca="1">+WORLDCUP!BD68</f>
        <v>Uzbekistán</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Costa de Marfil</v>
      </c>
      <c r="D397" s="11" t="str">
        <f ca="1">+WORLDCUP!BD67</f>
        <v>Austria</v>
      </c>
      <c r="E397" s="11" t="str">
        <f ca="1">+WORLDCUP!BD59</f>
        <v>Catar</v>
      </c>
      <c r="F397" s="11" t="str">
        <f ca="1">+WORLDCUP!BD60</f>
        <v>Haití</v>
      </c>
      <c r="G397" s="11" t="str">
        <f ca="1">+WORLDCUP!BD58</f>
        <v>Corea del Sur</v>
      </c>
      <c r="H397" s="11" t="str">
        <f ca="1">+WORLDCUP!BD64</f>
        <v>Irán</v>
      </c>
      <c r="I397" s="11" t="str">
        <f ca="1">+WORLDCUP!BD69</f>
        <v>Ghana</v>
      </c>
      <c r="J397" s="11" t="str">
        <f ca="1">+WORLDCUP!BD68</f>
        <v>Uzbekistán</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Costa de Marfil</v>
      </c>
      <c r="D398" s="11" t="str">
        <f ca="1">+WORLDCUP!BD64</f>
        <v>Irán</v>
      </c>
      <c r="E398" s="11" t="str">
        <f ca="1">+WORLDCUP!BD59</f>
        <v>Catar</v>
      </c>
      <c r="F398" s="11" t="str">
        <f ca="1">+WORLDCUP!BD58</f>
        <v>Corea del Sur</v>
      </c>
      <c r="G398" s="11" t="str">
        <f ca="1">+WORLDCUP!BD66</f>
        <v>Irak</v>
      </c>
      <c r="H398" s="11" t="str">
        <f ca="1">+WORLDCUP!BD60</f>
        <v>Haití</v>
      </c>
      <c r="I398" s="11" t="str">
        <f ca="1">+WORLDCUP!BD69</f>
        <v>Ghana</v>
      </c>
      <c r="J398" s="11" t="str">
        <f ca="1">+WORLDCUP!BD68</f>
        <v>Uzbekistán</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Costa de Marfil</v>
      </c>
      <c r="D399" s="11" t="str">
        <f ca="1">+WORLDCUP!BD67</f>
        <v>Austria</v>
      </c>
      <c r="E399" s="11" t="str">
        <f ca="1">+WORLDCUP!BD59</f>
        <v>Catar</v>
      </c>
      <c r="F399" s="11" t="str">
        <f ca="1">+WORLDCUP!BD60</f>
        <v>Haití</v>
      </c>
      <c r="G399" s="11" t="str">
        <f ca="1">+WORLDCUP!BD58</f>
        <v>Corea del Sur</v>
      </c>
      <c r="H399" s="11" t="str">
        <f ca="1">+WORLDCUP!BD64</f>
        <v>Irán</v>
      </c>
      <c r="I399" s="11" t="str">
        <f ca="1">+WORLDCUP!BD69</f>
        <v>Ghana</v>
      </c>
      <c r="J399" s="11" t="str">
        <f ca="1">+WORLDCUP!BD66</f>
        <v>Irak</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Costa de Marfil</v>
      </c>
      <c r="D400" s="11" t="str">
        <f ca="1">+WORLDCUP!BD67</f>
        <v>Austria</v>
      </c>
      <c r="E400" s="11" t="str">
        <f ca="1">+WORLDCUP!BD59</f>
        <v>Catar</v>
      </c>
      <c r="F400" s="11" t="str">
        <f ca="1">+WORLDCUP!BD60</f>
        <v>Haití</v>
      </c>
      <c r="G400" s="11" t="str">
        <f ca="1">+WORLDCUP!BD58</f>
        <v>Corea del Sur</v>
      </c>
      <c r="H400" s="11" t="str">
        <f ca="1">+WORLDCUP!BD64</f>
        <v>Irán</v>
      </c>
      <c r="I400" s="11" t="str">
        <f ca="1">+WORLDCUP!BD66</f>
        <v>Irak</v>
      </c>
      <c r="J400" s="11" t="str">
        <f ca="1">+WORLDCUP!BD68</f>
        <v>Uzbekistán</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Costa de Marfil</v>
      </c>
      <c r="D401" s="11" t="str">
        <f ca="1">+WORLDCUP!BD64</f>
        <v>Irán</v>
      </c>
      <c r="E401" s="11" t="str">
        <f ca="1">+WORLDCUP!BD59</f>
        <v>Catar</v>
      </c>
      <c r="F401" s="11" t="str">
        <f ca="1">+WORLDCUP!BD60</f>
        <v>Haití</v>
      </c>
      <c r="G401" s="11" t="str">
        <f ca="1">+WORLDCUP!BD58</f>
        <v>Corea del Sur</v>
      </c>
      <c r="H401" s="11" t="str">
        <f ca="1">+WORLDCUP!BD65</f>
        <v>Arabia Saudita</v>
      </c>
      <c r="I401" s="11" t="str">
        <f ca="1">+WORLDCUP!BD69</f>
        <v>Ghana</v>
      </c>
      <c r="J401" s="11" t="str">
        <f ca="1">+WORLDCUP!BD68</f>
        <v>Uzbekistán</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Arabia Saudita</v>
      </c>
      <c r="D402" s="11" t="str">
        <f ca="1">+WORLDCUP!BD67</f>
        <v>Austria</v>
      </c>
      <c r="E402" s="11" t="str">
        <f ca="1">+WORLDCUP!BD59</f>
        <v>Catar</v>
      </c>
      <c r="F402" s="11" t="str">
        <f ca="1">+WORLDCUP!BD60</f>
        <v>Haití</v>
      </c>
      <c r="G402" s="11" t="str">
        <f ca="1">+WORLDCUP!BD58</f>
        <v>Corea del Sur</v>
      </c>
      <c r="H402" s="11" t="str">
        <f ca="1">+WORLDCUP!BD64</f>
        <v>Irán</v>
      </c>
      <c r="I402" s="11" t="str">
        <f ca="1">+WORLDCUP!BD69</f>
        <v>Ghana</v>
      </c>
      <c r="J402" s="11" t="str">
        <f ca="1">+WORLDCUP!BD62</f>
        <v>Costa de Marfil</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Arabia Saudita</v>
      </c>
      <c r="D403" s="11" t="str">
        <f ca="1">+WORLDCUP!BD67</f>
        <v>Austria</v>
      </c>
      <c r="E403" s="11" t="str">
        <f ca="1">+WORLDCUP!BD59</f>
        <v>Catar</v>
      </c>
      <c r="F403" s="11" t="str">
        <f ca="1">+WORLDCUP!BD60</f>
        <v>Haití</v>
      </c>
      <c r="G403" s="11" t="str">
        <f ca="1">+WORLDCUP!BD58</f>
        <v>Corea del Sur</v>
      </c>
      <c r="H403" s="11" t="str">
        <f ca="1">+WORLDCUP!BD64</f>
        <v>Irán</v>
      </c>
      <c r="I403" s="11" t="str">
        <f ca="1">+WORLDCUP!BD62</f>
        <v>Costa de Marfil</v>
      </c>
      <c r="J403" s="11" t="str">
        <f ca="1">+WORLDCUP!BD68</f>
        <v>Uzbekistán</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Costa de Marfil</v>
      </c>
      <c r="D404" s="11" t="str">
        <f ca="1">+WORLDCUP!BD64</f>
        <v>Irán</v>
      </c>
      <c r="E404" s="11" t="str">
        <f ca="1">+WORLDCUP!BD59</f>
        <v>Catar</v>
      </c>
      <c r="F404" s="11" t="str">
        <f ca="1">+WORLDCUP!BD60</f>
        <v>Haití</v>
      </c>
      <c r="G404" s="11" t="str">
        <f ca="1">+WORLDCUP!BD58</f>
        <v>Corea del Sur</v>
      </c>
      <c r="H404" s="11" t="str">
        <f ca="1">+WORLDCUP!BD65</f>
        <v>Arabia Saudita</v>
      </c>
      <c r="I404" s="11" t="str">
        <f ca="1">+WORLDCUP!BD69</f>
        <v>Ghana</v>
      </c>
      <c r="J404" s="11" t="str">
        <f ca="1">+WORLDCUP!BD66</f>
        <v>Irak</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Costa de Marfil</v>
      </c>
      <c r="D405" s="11" t="str">
        <f ca="1">+WORLDCUP!BD64</f>
        <v>Irán</v>
      </c>
      <c r="E405" s="11" t="str">
        <f ca="1">+WORLDCUP!BD59</f>
        <v>Catar</v>
      </c>
      <c r="F405" s="11" t="str">
        <f ca="1">+WORLDCUP!BD60</f>
        <v>Haití</v>
      </c>
      <c r="G405" s="11" t="str">
        <f ca="1">+WORLDCUP!BD58</f>
        <v>Corea del Sur</v>
      </c>
      <c r="H405" s="11" t="str">
        <f ca="1">+WORLDCUP!BD65</f>
        <v>Arabia Saudita</v>
      </c>
      <c r="I405" s="11" t="str">
        <f ca="1">+WORLDCUP!BD66</f>
        <v>Irak</v>
      </c>
      <c r="J405" s="11" t="str">
        <f ca="1">+WORLDCUP!BD68</f>
        <v>Uzbekistán</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Arabia Saudita</v>
      </c>
      <c r="D406" s="11" t="str">
        <f ca="1">+WORLDCUP!BD67</f>
        <v>Austria</v>
      </c>
      <c r="E406" s="11" t="str">
        <f ca="1">+WORLDCUP!BD59</f>
        <v>Catar</v>
      </c>
      <c r="F406" s="11" t="str">
        <f ca="1">+WORLDCUP!BD60</f>
        <v>Haití</v>
      </c>
      <c r="G406" s="11" t="str">
        <f ca="1">+WORLDCUP!BD58</f>
        <v>Corea del Sur</v>
      </c>
      <c r="H406" s="11" t="str">
        <f ca="1">+WORLDCUP!BD64</f>
        <v>Irán</v>
      </c>
      <c r="I406" s="11" t="str">
        <f ca="1">+WORLDCUP!BD62</f>
        <v>Costa de Marfil</v>
      </c>
      <c r="J406" s="11" t="str">
        <f ca="1">+WORLDCUP!BD66</f>
        <v>Irak</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Costa de Marfil</v>
      </c>
      <c r="D407" s="11" t="str">
        <f ca="1">+WORLDCUP!BD67</f>
        <v>Austria</v>
      </c>
      <c r="E407" s="11" t="str">
        <f ca="1">+WORLDCUP!BD59</f>
        <v>Catar</v>
      </c>
      <c r="F407" s="11" t="str">
        <f ca="1">+WORLDCUP!BD60</f>
        <v>Haití</v>
      </c>
      <c r="G407" s="11" t="str">
        <f ca="1">+WORLDCUP!BD58</f>
        <v>Corea del Sur</v>
      </c>
      <c r="H407" s="11" t="str">
        <f ca="1">+WORLDCUP!BD63</f>
        <v>Suecia</v>
      </c>
      <c r="I407" s="11" t="str">
        <f ca="1">+WORLDCUP!BD69</f>
        <v>Ghana</v>
      </c>
      <c r="J407" s="11" t="str">
        <f ca="1">+WORLDCUP!BD68</f>
        <v>Uzbekistán</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Costa de Marfil</v>
      </c>
      <c r="D408" s="11" t="str">
        <f ca="1">+WORLDCUP!BD66</f>
        <v>Irak</v>
      </c>
      <c r="E408" s="11" t="str">
        <f ca="1">+WORLDCUP!BD59</f>
        <v>Catar</v>
      </c>
      <c r="F408" s="11" t="str">
        <f ca="1">+WORLDCUP!BD60</f>
        <v>Haití</v>
      </c>
      <c r="G408" s="11" t="str">
        <f ca="1">+WORLDCUP!BD58</f>
        <v>Corea del Sur</v>
      </c>
      <c r="H408" s="11" t="str">
        <f ca="1">+WORLDCUP!BD63</f>
        <v>Suecia</v>
      </c>
      <c r="I408" s="11" t="str">
        <f ca="1">+WORLDCUP!BD69</f>
        <v>Ghana</v>
      </c>
      <c r="J408" s="11" t="str">
        <f ca="1">+WORLDCUP!BD68</f>
        <v>Uzbekistán</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Costa de Marfil</v>
      </c>
      <c r="D409" s="11" t="str">
        <f ca="1">+WORLDCUP!BD67</f>
        <v>Austria</v>
      </c>
      <c r="E409" s="11" t="str">
        <f ca="1">+WORLDCUP!BD59</f>
        <v>Catar</v>
      </c>
      <c r="F409" s="11" t="str">
        <f ca="1">+WORLDCUP!BD60</f>
        <v>Haití</v>
      </c>
      <c r="G409" s="11" t="str">
        <f ca="1">+WORLDCUP!BD58</f>
        <v>Corea del Sur</v>
      </c>
      <c r="H409" s="11" t="str">
        <f ca="1">+WORLDCUP!BD63</f>
        <v>Suecia</v>
      </c>
      <c r="I409" s="11" t="str">
        <f ca="1">+WORLDCUP!BD69</f>
        <v>Ghana</v>
      </c>
      <c r="J409" s="11" t="str">
        <f ca="1">+WORLDCUP!BD66</f>
        <v>Irak</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Costa de Marfil</v>
      </c>
      <c r="D410" s="11" t="str">
        <f ca="1">+WORLDCUP!BD67</f>
        <v>Austria</v>
      </c>
      <c r="E410" s="11" t="str">
        <f ca="1">+WORLDCUP!BD59</f>
        <v>Catar</v>
      </c>
      <c r="F410" s="11" t="str">
        <f ca="1">+WORLDCUP!BD60</f>
        <v>Haití</v>
      </c>
      <c r="G410" s="11" t="str">
        <f ca="1">+WORLDCUP!BD58</f>
        <v>Corea del Sur</v>
      </c>
      <c r="H410" s="11" t="str">
        <f ca="1">+WORLDCUP!BD63</f>
        <v>Suecia</v>
      </c>
      <c r="I410" s="11" t="str">
        <f ca="1">+WORLDCUP!BD66</f>
        <v>Irak</v>
      </c>
      <c r="J410" s="11" t="str">
        <f ca="1">+WORLDCUP!BD68</f>
        <v>Uzbekistán</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Arabia Saudita</v>
      </c>
      <c r="D411" s="11" t="str">
        <f ca="1">+WORLDCUP!BD62</f>
        <v>Costa de Marfil</v>
      </c>
      <c r="E411" s="11" t="str">
        <f ca="1">+WORLDCUP!BD59</f>
        <v>Catar</v>
      </c>
      <c r="F411" s="11" t="str">
        <f ca="1">+WORLDCUP!BD60</f>
        <v>Haití</v>
      </c>
      <c r="G411" s="11" t="str">
        <f ca="1">+WORLDCUP!BD58</f>
        <v>Corea del Sur</v>
      </c>
      <c r="H411" s="11" t="str">
        <f ca="1">+WORLDCUP!BD63</f>
        <v>Suecia</v>
      </c>
      <c r="I411" s="11" t="str">
        <f ca="1">+WORLDCUP!BD69</f>
        <v>Ghana</v>
      </c>
      <c r="J411" s="11" t="str">
        <f ca="1">+WORLDCUP!BD68</f>
        <v>Uzbekistán</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Arabia Saudita</v>
      </c>
      <c r="D412" s="11" t="str">
        <f ca="1">+WORLDCUP!BD67</f>
        <v>Austria</v>
      </c>
      <c r="E412" s="11" t="str">
        <f ca="1">+WORLDCUP!BD59</f>
        <v>Catar</v>
      </c>
      <c r="F412" s="11" t="str">
        <f ca="1">+WORLDCUP!BD60</f>
        <v>Haití</v>
      </c>
      <c r="G412" s="11" t="str">
        <f ca="1">+WORLDCUP!BD58</f>
        <v>Corea del Sur</v>
      </c>
      <c r="H412" s="11" t="str">
        <f ca="1">+WORLDCUP!BD63</f>
        <v>Suecia</v>
      </c>
      <c r="I412" s="11" t="str">
        <f ca="1">+WORLDCUP!BD69</f>
        <v>Ghana</v>
      </c>
      <c r="J412" s="11" t="str">
        <f ca="1">+WORLDCUP!BD62</f>
        <v>Costa de Marfil</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Arabia Saudita</v>
      </c>
      <c r="D413" s="11" t="str">
        <f ca="1">+WORLDCUP!BD67</f>
        <v>Austria</v>
      </c>
      <c r="E413" s="11" t="str">
        <f ca="1">+WORLDCUP!BD59</f>
        <v>Catar</v>
      </c>
      <c r="F413" s="11" t="str">
        <f ca="1">+WORLDCUP!BD60</f>
        <v>Haití</v>
      </c>
      <c r="G413" s="11" t="str">
        <f ca="1">+WORLDCUP!BD58</f>
        <v>Corea del Sur</v>
      </c>
      <c r="H413" s="11" t="str">
        <f ca="1">+WORLDCUP!BD63</f>
        <v>Suecia</v>
      </c>
      <c r="I413" s="11" t="str">
        <f ca="1">+WORLDCUP!BD62</f>
        <v>Costa de Marfil</v>
      </c>
      <c r="J413" s="11" t="str">
        <f ca="1">+WORLDCUP!BD68</f>
        <v>Uzbekistán</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Arabia Saudita</v>
      </c>
      <c r="D414" s="11" t="str">
        <f ca="1">+WORLDCUP!BD62</f>
        <v>Costa de Marfil</v>
      </c>
      <c r="E414" s="11" t="str">
        <f ca="1">+WORLDCUP!BD59</f>
        <v>Catar</v>
      </c>
      <c r="F414" s="11" t="str">
        <f ca="1">+WORLDCUP!BD60</f>
        <v>Haití</v>
      </c>
      <c r="G414" s="11" t="str">
        <f ca="1">+WORLDCUP!BD58</f>
        <v>Corea del Sur</v>
      </c>
      <c r="H414" s="11" t="str">
        <f ca="1">+WORLDCUP!BD63</f>
        <v>Suecia</v>
      </c>
      <c r="I414" s="11" t="str">
        <f ca="1">+WORLDCUP!BD69</f>
        <v>Ghana</v>
      </c>
      <c r="J414" s="11" t="str">
        <f ca="1">+WORLDCUP!BD66</f>
        <v>Irak</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Arabia Saudita</v>
      </c>
      <c r="D415" s="11" t="str">
        <f ca="1">+WORLDCUP!BD62</f>
        <v>Costa de Marfil</v>
      </c>
      <c r="E415" s="11" t="str">
        <f ca="1">+WORLDCUP!BD59</f>
        <v>Catar</v>
      </c>
      <c r="F415" s="11" t="str">
        <f ca="1">+WORLDCUP!BD60</f>
        <v>Haití</v>
      </c>
      <c r="G415" s="11" t="str">
        <f ca="1">+WORLDCUP!BD58</f>
        <v>Corea del Sur</v>
      </c>
      <c r="H415" s="11" t="str">
        <f ca="1">+WORLDCUP!BD63</f>
        <v>Suecia</v>
      </c>
      <c r="I415" s="11" t="str">
        <f ca="1">+WORLDCUP!BD66</f>
        <v>Irak</v>
      </c>
      <c r="J415" s="11" t="str">
        <f ca="1">+WORLDCUP!BD68</f>
        <v>Uzbekistán</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Arabia Saudita</v>
      </c>
      <c r="D416" s="11" t="str">
        <f ca="1">+WORLDCUP!BD67</f>
        <v>Austria</v>
      </c>
      <c r="E416" s="11" t="str">
        <f ca="1">+WORLDCUP!BD59</f>
        <v>Catar</v>
      </c>
      <c r="F416" s="11" t="str">
        <f ca="1">+WORLDCUP!BD60</f>
        <v>Haití</v>
      </c>
      <c r="G416" s="11" t="str">
        <f ca="1">+WORLDCUP!BD58</f>
        <v>Corea del Sur</v>
      </c>
      <c r="H416" s="11" t="str">
        <f ca="1">+WORLDCUP!BD63</f>
        <v>Suecia</v>
      </c>
      <c r="I416" s="11" t="str">
        <f ca="1">+WORLDCUP!BD62</f>
        <v>Costa de Marfil</v>
      </c>
      <c r="J416" s="11" t="str">
        <f ca="1">+WORLDCUP!BD66</f>
        <v>Irak</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Costa de Marfil</v>
      </c>
      <c r="D417" s="11" t="str">
        <f ca="1">+WORLDCUP!BD64</f>
        <v>Irán</v>
      </c>
      <c r="E417" s="11" t="str">
        <f ca="1">+WORLDCUP!BD59</f>
        <v>Catar</v>
      </c>
      <c r="F417" s="11" t="str">
        <f ca="1">+WORLDCUP!BD60</f>
        <v>Haití</v>
      </c>
      <c r="G417" s="11" t="str">
        <f ca="1">+WORLDCUP!BD58</f>
        <v>Corea del Sur</v>
      </c>
      <c r="H417" s="11" t="str">
        <f ca="1">+WORLDCUP!BD63</f>
        <v>Suecia</v>
      </c>
      <c r="I417" s="11" t="str">
        <f ca="1">+WORLDCUP!BD69</f>
        <v>Ghana</v>
      </c>
      <c r="J417" s="11" t="str">
        <f ca="1">+WORLDCUP!BD68</f>
        <v>Uzbekistán</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Costa de Marfil</v>
      </c>
      <c r="D418" s="11" t="str">
        <f ca="1">+WORLDCUP!BD64</f>
        <v>Irán</v>
      </c>
      <c r="E418" s="11" t="str">
        <f ca="1">+WORLDCUP!BD59</f>
        <v>Catar</v>
      </c>
      <c r="F418" s="11" t="str">
        <f ca="1">+WORLDCUP!BD60</f>
        <v>Haití</v>
      </c>
      <c r="G418" s="11" t="str">
        <f ca="1">+WORLDCUP!BD58</f>
        <v>Corea del Sur</v>
      </c>
      <c r="H418" s="11" t="str">
        <f ca="1">+WORLDCUP!BD63</f>
        <v>Suecia</v>
      </c>
      <c r="I418" s="11" t="str">
        <f ca="1">+WORLDCUP!BD69</f>
        <v>Ghana</v>
      </c>
      <c r="J418" s="11" t="str">
        <f ca="1">+WORLDCUP!BD67</f>
        <v>Austria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Costa de Marfil</v>
      </c>
      <c r="D419" s="11" t="str">
        <f ca="1">+WORLDCUP!BD64</f>
        <v>Irán</v>
      </c>
      <c r="E419" s="11" t="str">
        <f ca="1">+WORLDCUP!BD59</f>
        <v>Catar</v>
      </c>
      <c r="F419" s="11" t="str">
        <f ca="1">+WORLDCUP!BD60</f>
        <v>Haití</v>
      </c>
      <c r="G419" s="11" t="str">
        <f ca="1">+WORLDCUP!BD58</f>
        <v>Corea del Sur</v>
      </c>
      <c r="H419" s="11" t="str">
        <f ca="1">+WORLDCUP!BD63</f>
        <v>Suecia</v>
      </c>
      <c r="I419" s="11" t="str">
        <f ca="1">+WORLDCUP!BD67</f>
        <v>Austria</v>
      </c>
      <c r="J419" s="11" t="str">
        <f ca="1">+WORLDCUP!BD68</f>
        <v>Uzbekistán</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Costa de Marfil</v>
      </c>
      <c r="D420" s="11" t="str">
        <f ca="1">+WORLDCUP!BD64</f>
        <v>Irán</v>
      </c>
      <c r="E420" s="11" t="str">
        <f ca="1">+WORLDCUP!BD59</f>
        <v>Catar</v>
      </c>
      <c r="F420" s="11" t="str">
        <f ca="1">+WORLDCUP!BD60</f>
        <v>Haití</v>
      </c>
      <c r="G420" s="11" t="str">
        <f ca="1">+WORLDCUP!BD58</f>
        <v>Corea del Sur</v>
      </c>
      <c r="H420" s="11" t="str">
        <f ca="1">+WORLDCUP!BD63</f>
        <v>Suecia</v>
      </c>
      <c r="I420" s="11" t="str">
        <f ca="1">+WORLDCUP!BD69</f>
        <v>Ghana</v>
      </c>
      <c r="J420" s="11" t="str">
        <f ca="1">+WORLDCUP!BD66</f>
        <v>Irak</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Costa de Marfil</v>
      </c>
      <c r="D421" s="11" t="str">
        <f ca="1">+WORLDCUP!BD64</f>
        <v>Irán</v>
      </c>
      <c r="E421" s="11" t="str">
        <f ca="1">+WORLDCUP!BD59</f>
        <v>Catar</v>
      </c>
      <c r="F421" s="11" t="str">
        <f ca="1">+WORLDCUP!BD60</f>
        <v>Haití</v>
      </c>
      <c r="G421" s="11" t="str">
        <f ca="1">+WORLDCUP!BD58</f>
        <v>Corea del Sur</v>
      </c>
      <c r="H421" s="11" t="str">
        <f ca="1">+WORLDCUP!BD63</f>
        <v>Suecia</v>
      </c>
      <c r="I421" s="11" t="str">
        <f ca="1">+WORLDCUP!BD66</f>
        <v>Irak</v>
      </c>
      <c r="J421" s="11" t="str">
        <f ca="1">+WORLDCUP!BD68</f>
        <v>Uzbekistán</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Costa de Marfil</v>
      </c>
      <c r="D422" s="11" t="str">
        <f ca="1">+WORLDCUP!BD64</f>
        <v>Irán</v>
      </c>
      <c r="E422" s="11" t="str">
        <f ca="1">+WORLDCUP!BD59</f>
        <v>Catar</v>
      </c>
      <c r="F422" s="11" t="str">
        <f ca="1">+WORLDCUP!BD60</f>
        <v>Haití</v>
      </c>
      <c r="G422" s="11" t="str">
        <f ca="1">+WORLDCUP!BD58</f>
        <v>Corea del Sur</v>
      </c>
      <c r="H422" s="11" t="str">
        <f ca="1">+WORLDCUP!BD63</f>
        <v>Suecia</v>
      </c>
      <c r="I422" s="11" t="str">
        <f ca="1">+WORLDCUP!BD66</f>
        <v>Irak</v>
      </c>
      <c r="J422" s="11" t="str">
        <f ca="1">+WORLDCUP!BD67</f>
        <v>Austria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Arabia Saudita</v>
      </c>
      <c r="D423" s="11" t="str">
        <f ca="1">+WORLDCUP!BD64</f>
        <v>Irán</v>
      </c>
      <c r="E423" s="11" t="str">
        <f ca="1">+WORLDCUP!BD59</f>
        <v>Catar</v>
      </c>
      <c r="F423" s="11" t="str">
        <f ca="1">+WORLDCUP!BD60</f>
        <v>Haití</v>
      </c>
      <c r="G423" s="11" t="str">
        <f ca="1">+WORLDCUP!BD58</f>
        <v>Corea del Sur</v>
      </c>
      <c r="H423" s="11" t="str">
        <f ca="1">+WORLDCUP!BD63</f>
        <v>Suecia</v>
      </c>
      <c r="I423" s="11" t="str">
        <f ca="1">+WORLDCUP!BD69</f>
        <v>Ghana</v>
      </c>
      <c r="J423" s="11" t="str">
        <f ca="1">+WORLDCUP!BD62</f>
        <v>Costa de Marfil</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0</v>
      </c>
      <c r="C424" s="11" t="str">
        <f ca="1">+WORLDCUP!BD65</f>
        <v>Arabia Saudita</v>
      </c>
      <c r="D424" s="11" t="str">
        <f ca="1">+WORLDCUP!BD64</f>
        <v>Irán</v>
      </c>
      <c r="E424" s="11" t="str">
        <f ca="1">+WORLDCUP!BD59</f>
        <v>Catar</v>
      </c>
      <c r="F424" s="11" t="str">
        <f ca="1">+WORLDCUP!BD60</f>
        <v>Haití</v>
      </c>
      <c r="G424" s="11" t="str">
        <f ca="1">+WORLDCUP!BD58</f>
        <v>Corea del Sur</v>
      </c>
      <c r="H424" s="11" t="str">
        <f ca="1">+WORLDCUP!BD63</f>
        <v>Suecia</v>
      </c>
      <c r="I424" s="11" t="str">
        <f ca="1">+WORLDCUP!BD62</f>
        <v>Costa de Marfil</v>
      </c>
      <c r="J424" s="11" t="str">
        <f ca="1">+WORLDCUP!BD68</f>
        <v>Uzbekistán</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Arabia Saudita</v>
      </c>
      <c r="D425" s="11" t="str">
        <f ca="1">+WORLDCUP!BD64</f>
        <v>Irán</v>
      </c>
      <c r="E425" s="11" t="str">
        <f ca="1">+WORLDCUP!BD59</f>
        <v>Catar</v>
      </c>
      <c r="F425" s="11" t="str">
        <f ca="1">+WORLDCUP!BD60</f>
        <v>Haití</v>
      </c>
      <c r="G425" s="11" t="str">
        <f ca="1">+WORLDCUP!BD58</f>
        <v>Corea del Sur</v>
      </c>
      <c r="H425" s="11" t="str">
        <f ca="1">+WORLDCUP!BD63</f>
        <v>Suecia</v>
      </c>
      <c r="I425" s="11" t="str">
        <f ca="1">+WORLDCUP!BD62</f>
        <v>Costa de Marfil</v>
      </c>
      <c r="J425" s="11" t="str">
        <f ca="1">+WORLDCUP!BD67</f>
        <v>Austria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Arabia Saudita</v>
      </c>
      <c r="D426" s="11" t="str">
        <f ca="1">+WORLDCUP!BD64</f>
        <v>Irán</v>
      </c>
      <c r="E426" s="11" t="str">
        <f ca="1">+WORLDCUP!BD59</f>
        <v>Catar</v>
      </c>
      <c r="F426" s="11" t="str">
        <f ca="1">+WORLDCUP!BD60</f>
        <v>Haití</v>
      </c>
      <c r="G426" s="11" t="str">
        <f ca="1">+WORLDCUP!BD58</f>
        <v>Corea del Sur</v>
      </c>
      <c r="H426" s="11" t="str">
        <f ca="1">+WORLDCUP!BD63</f>
        <v>Suecia</v>
      </c>
      <c r="I426" s="11" t="str">
        <f ca="1">+WORLDCUP!BD62</f>
        <v>Costa de Marfil</v>
      </c>
      <c r="J426" s="11" t="str">
        <f ca="1">+WORLDCUP!BD66</f>
        <v>Irak</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Irak</v>
      </c>
      <c r="D427" s="11" t="str">
        <f ca="1">+WORLDCUP!BD67</f>
        <v>Austria</v>
      </c>
      <c r="E427" s="11" t="str">
        <f ca="1">+WORLDCUP!BD59</f>
        <v>Catar</v>
      </c>
      <c r="F427" s="11" t="str">
        <f ca="1">+WORLDCUP!BD60</f>
        <v>Haití</v>
      </c>
      <c r="G427" s="11" t="str">
        <f ca="1">+WORLDCUP!BD58</f>
        <v>Corea del Sur</v>
      </c>
      <c r="H427" s="11" t="str">
        <f ca="1">+WORLDCUP!BD61</f>
        <v>Australia</v>
      </c>
      <c r="I427" s="11" t="str">
        <f ca="1">+WORLDCUP!BD69</f>
        <v>Ghana</v>
      </c>
      <c r="J427" s="11" t="str">
        <f ca="1">+WORLDCUP!BD68</f>
        <v>Uzbekistán</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Arabia Saudita</v>
      </c>
      <c r="D428" s="11" t="str">
        <f ca="1">+WORLDCUP!BD67</f>
        <v>Austria</v>
      </c>
      <c r="E428" s="11" t="str">
        <f ca="1">+WORLDCUP!BD59</f>
        <v>Catar</v>
      </c>
      <c r="F428" s="11" t="str">
        <f ca="1">+WORLDCUP!BD60</f>
        <v>Haití</v>
      </c>
      <c r="G428" s="11" t="str">
        <f ca="1">+WORLDCUP!BD58</f>
        <v>Corea del Sur</v>
      </c>
      <c r="H428" s="11" t="str">
        <f ca="1">+WORLDCUP!BD61</f>
        <v>Australia</v>
      </c>
      <c r="I428" s="11" t="str">
        <f ca="1">+WORLDCUP!BD69</f>
        <v>Ghana</v>
      </c>
      <c r="J428" s="11" t="str">
        <f ca="1">+WORLDCUP!BD68</f>
        <v>Uzbekistán</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Arabia Saudita</v>
      </c>
      <c r="D429" s="11" t="str">
        <f ca="1">+WORLDCUP!BD66</f>
        <v>Irak</v>
      </c>
      <c r="E429" s="11" t="str">
        <f ca="1">+WORLDCUP!BD59</f>
        <v>Catar</v>
      </c>
      <c r="F429" s="11" t="str">
        <f ca="1">+WORLDCUP!BD60</f>
        <v>Haití</v>
      </c>
      <c r="G429" s="11" t="str">
        <f ca="1">+WORLDCUP!BD58</f>
        <v>Corea del Sur</v>
      </c>
      <c r="H429" s="11" t="str">
        <f ca="1">+WORLDCUP!BD61</f>
        <v>Australia</v>
      </c>
      <c r="I429" s="11" t="str">
        <f ca="1">+WORLDCUP!BD69</f>
        <v>Ghana</v>
      </c>
      <c r="J429" s="11" t="str">
        <f ca="1">+WORLDCUP!BD68</f>
        <v>Uzbekistán</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Arabia Saudita</v>
      </c>
      <c r="D430" s="11" t="str">
        <f ca="1">+WORLDCUP!BD67</f>
        <v>Austria</v>
      </c>
      <c r="E430" s="11" t="str">
        <f ca="1">+WORLDCUP!BD59</f>
        <v>Catar</v>
      </c>
      <c r="F430" s="11" t="str">
        <f ca="1">+WORLDCUP!BD60</f>
        <v>Haití</v>
      </c>
      <c r="G430" s="11" t="str">
        <f ca="1">+WORLDCUP!BD58</f>
        <v>Corea del Sur</v>
      </c>
      <c r="H430" s="11" t="str">
        <f ca="1">+WORLDCUP!BD61</f>
        <v>Australia</v>
      </c>
      <c r="I430" s="11" t="str">
        <f ca="1">+WORLDCUP!BD69</f>
        <v>Ghana</v>
      </c>
      <c r="J430" s="11" t="str">
        <f ca="1">+WORLDCUP!BD66</f>
        <v>Irak</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Arabia Saudita</v>
      </c>
      <c r="D431" s="11" t="str">
        <f ca="1">+WORLDCUP!BD67</f>
        <v>Austria</v>
      </c>
      <c r="E431" s="11" t="str">
        <f ca="1">+WORLDCUP!BD59</f>
        <v>Catar</v>
      </c>
      <c r="F431" s="11" t="str">
        <f ca="1">+WORLDCUP!BD60</f>
        <v>Haití</v>
      </c>
      <c r="G431" s="11" t="str">
        <f ca="1">+WORLDCUP!BD58</f>
        <v>Corea del Sur</v>
      </c>
      <c r="H431" s="11" t="str">
        <f ca="1">+WORLDCUP!BD61</f>
        <v>Australia</v>
      </c>
      <c r="I431" s="11" t="str">
        <f ca="1">+WORLDCUP!BD66</f>
        <v>Irak</v>
      </c>
      <c r="J431" s="11" t="str">
        <f ca="1">+WORLDCUP!BD68</f>
        <v>Uzbekistán</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Haití</v>
      </c>
      <c r="D432" s="11" t="str">
        <f ca="1">+WORLDCUP!BD67</f>
        <v>Austria</v>
      </c>
      <c r="E432" s="11" t="str">
        <f ca="1">+WORLDCUP!BD59</f>
        <v>Catar</v>
      </c>
      <c r="F432" s="11" t="str">
        <f ca="1">+WORLDCUP!BD61</f>
        <v>Australia</v>
      </c>
      <c r="G432" s="11" t="str">
        <f ca="1">+WORLDCUP!BD58</f>
        <v>Corea del Sur</v>
      </c>
      <c r="H432" s="11" t="str">
        <f ca="1">+WORLDCUP!BD64</f>
        <v>Irán</v>
      </c>
      <c r="I432" s="11" t="str">
        <f ca="1">+WORLDCUP!BD69</f>
        <v>Ghana</v>
      </c>
      <c r="J432" s="11" t="str">
        <f ca="1">+WORLDCUP!BD68</f>
        <v>Uzbekistán</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Irak</v>
      </c>
      <c r="D433" s="11" t="str">
        <f ca="1">+WORLDCUP!BD64</f>
        <v>Irán</v>
      </c>
      <c r="E433" s="11" t="str">
        <f ca="1">+WORLDCUP!BD59</f>
        <v>Catar</v>
      </c>
      <c r="F433" s="11" t="str">
        <f ca="1">+WORLDCUP!BD60</f>
        <v>Haití</v>
      </c>
      <c r="G433" s="11" t="str">
        <f ca="1">+WORLDCUP!BD58</f>
        <v>Corea del Sur</v>
      </c>
      <c r="H433" s="11" t="str">
        <f ca="1">+WORLDCUP!BD61</f>
        <v>Australia</v>
      </c>
      <c r="I433" s="11" t="str">
        <f ca="1">+WORLDCUP!BD69</f>
        <v>Ghana</v>
      </c>
      <c r="J433" s="11" t="str">
        <f ca="1">+WORLDCUP!BD68</f>
        <v>Uzbekistán</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Haití</v>
      </c>
      <c r="D434" s="11" t="str">
        <f ca="1">+WORLDCUP!BD67</f>
        <v>Austria</v>
      </c>
      <c r="E434" s="11" t="str">
        <f ca="1">+WORLDCUP!BD59</f>
        <v>Catar</v>
      </c>
      <c r="F434" s="11" t="str">
        <f ca="1">+WORLDCUP!BD61</f>
        <v>Australia</v>
      </c>
      <c r="G434" s="11" t="str">
        <f ca="1">+WORLDCUP!BD58</f>
        <v>Corea del Sur</v>
      </c>
      <c r="H434" s="11" t="str">
        <f ca="1">+WORLDCUP!BD64</f>
        <v>Irán</v>
      </c>
      <c r="I434" s="11" t="str">
        <f ca="1">+WORLDCUP!BD69</f>
        <v>Ghana</v>
      </c>
      <c r="J434" s="11" t="str">
        <f ca="1">+WORLDCUP!BD66</f>
        <v>Irak</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Haití</v>
      </c>
      <c r="D435" s="11" t="str">
        <f ca="1">+WORLDCUP!BD67</f>
        <v>Austria</v>
      </c>
      <c r="E435" s="11" t="str">
        <f ca="1">+WORLDCUP!BD59</f>
        <v>Catar</v>
      </c>
      <c r="F435" s="11" t="str">
        <f ca="1">+WORLDCUP!BD61</f>
        <v>Australia</v>
      </c>
      <c r="G435" s="11" t="str">
        <f ca="1">+WORLDCUP!BD58</f>
        <v>Corea del Sur</v>
      </c>
      <c r="H435" s="11" t="str">
        <f ca="1">+WORLDCUP!BD64</f>
        <v>Irán</v>
      </c>
      <c r="I435" s="11" t="str">
        <f ca="1">+WORLDCUP!BD66</f>
        <v>Irak</v>
      </c>
      <c r="J435" s="11" t="str">
        <f ca="1">+WORLDCUP!BD68</f>
        <v>Uzbekistán</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Arabia Saudita</v>
      </c>
      <c r="D436" s="11" t="str">
        <f ca="1">+WORLDCUP!BD64</f>
        <v>Irán</v>
      </c>
      <c r="E436" s="11" t="str">
        <f ca="1">+WORLDCUP!BD59</f>
        <v>Catar</v>
      </c>
      <c r="F436" s="11" t="str">
        <f ca="1">+WORLDCUP!BD60</f>
        <v>Haití</v>
      </c>
      <c r="G436" s="11" t="str">
        <f ca="1">+WORLDCUP!BD58</f>
        <v>Corea del Sur</v>
      </c>
      <c r="H436" s="11" t="str">
        <f ca="1">+WORLDCUP!BD61</f>
        <v>Australia</v>
      </c>
      <c r="I436" s="11" t="str">
        <f ca="1">+WORLDCUP!BD69</f>
        <v>Ghana</v>
      </c>
      <c r="J436" s="11" t="str">
        <f ca="1">+WORLDCUP!BD68</f>
        <v>Uzbekistán</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Arabia Saudita</v>
      </c>
      <c r="D437" s="11" t="str">
        <f ca="1">+WORLDCUP!BD64</f>
        <v>Irán</v>
      </c>
      <c r="E437" s="11" t="str">
        <f ca="1">+WORLDCUP!BD59</f>
        <v>Catar</v>
      </c>
      <c r="F437" s="11" t="str">
        <f ca="1">+WORLDCUP!BD60</f>
        <v>Haití</v>
      </c>
      <c r="G437" s="11" t="str">
        <f ca="1">+WORLDCUP!BD58</f>
        <v>Corea del Sur</v>
      </c>
      <c r="H437" s="11" t="str">
        <f ca="1">+WORLDCUP!BD61</f>
        <v>Australia</v>
      </c>
      <c r="I437" s="11" t="str">
        <f ca="1">+WORLDCUP!BD69</f>
        <v>Ghana</v>
      </c>
      <c r="J437" s="11" t="str">
        <f ca="1">+WORLDCUP!BD67</f>
        <v>Austria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Arabia Saudita</v>
      </c>
      <c r="D438" s="11" t="str">
        <f ca="1">+WORLDCUP!BD64</f>
        <v>Irán</v>
      </c>
      <c r="E438" s="11" t="str">
        <f ca="1">+WORLDCUP!BD59</f>
        <v>Catar</v>
      </c>
      <c r="F438" s="11" t="str">
        <f ca="1">+WORLDCUP!BD60</f>
        <v>Haití</v>
      </c>
      <c r="G438" s="11" t="str">
        <f ca="1">+WORLDCUP!BD58</f>
        <v>Corea del Sur</v>
      </c>
      <c r="H438" s="11" t="str">
        <f ca="1">+WORLDCUP!BD61</f>
        <v>Australia</v>
      </c>
      <c r="I438" s="11" t="str">
        <f ca="1">+WORLDCUP!BD67</f>
        <v>Austria</v>
      </c>
      <c r="J438" s="11" t="str">
        <f ca="1">+WORLDCUP!BD68</f>
        <v>Uzbekistán</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Arabia Saudita</v>
      </c>
      <c r="D439" s="11" t="str">
        <f ca="1">+WORLDCUP!BD64</f>
        <v>Irán</v>
      </c>
      <c r="E439" s="11" t="str">
        <f ca="1">+WORLDCUP!BD59</f>
        <v>Catar</v>
      </c>
      <c r="F439" s="11" t="str">
        <f ca="1">+WORLDCUP!BD60</f>
        <v>Haití</v>
      </c>
      <c r="G439" s="11" t="str">
        <f ca="1">+WORLDCUP!BD58</f>
        <v>Corea del Sur</v>
      </c>
      <c r="H439" s="11" t="str">
        <f ca="1">+WORLDCUP!BD61</f>
        <v>Australia</v>
      </c>
      <c r="I439" s="11" t="str">
        <f ca="1">+WORLDCUP!BD69</f>
        <v>Ghana</v>
      </c>
      <c r="J439" s="11" t="str">
        <f ca="1">+WORLDCUP!BD66</f>
        <v>Irak</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Arabia Saudita</v>
      </c>
      <c r="D440" s="11" t="str">
        <f ca="1">+WORLDCUP!BD64</f>
        <v>Irán</v>
      </c>
      <c r="E440" s="11" t="str">
        <f ca="1">+WORLDCUP!BD59</f>
        <v>Catar</v>
      </c>
      <c r="F440" s="11" t="str">
        <f ca="1">+WORLDCUP!BD60</f>
        <v>Haití</v>
      </c>
      <c r="G440" s="11" t="str">
        <f ca="1">+WORLDCUP!BD58</f>
        <v>Corea del Sur</v>
      </c>
      <c r="H440" s="11" t="str">
        <f ca="1">+WORLDCUP!BD61</f>
        <v>Australia</v>
      </c>
      <c r="I440" s="11" t="str">
        <f ca="1">+WORLDCUP!BD66</f>
        <v>Irak</v>
      </c>
      <c r="J440" s="11" t="str">
        <f ca="1">+WORLDCUP!BD68</f>
        <v>Uzbekistán</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Arabia Saudita</v>
      </c>
      <c r="D441" s="11" t="str">
        <f ca="1">+WORLDCUP!BD64</f>
        <v>Irán</v>
      </c>
      <c r="E441" s="11" t="str">
        <f ca="1">+WORLDCUP!BD59</f>
        <v>Catar</v>
      </c>
      <c r="F441" s="11" t="str">
        <f ca="1">+WORLDCUP!BD60</f>
        <v>Haití</v>
      </c>
      <c r="G441" s="11" t="str">
        <f ca="1">+WORLDCUP!BD58</f>
        <v>Corea del Sur</v>
      </c>
      <c r="H441" s="11" t="str">
        <f ca="1">+WORLDCUP!BD61</f>
        <v>Australia</v>
      </c>
      <c r="I441" s="11" t="str">
        <f ca="1">+WORLDCUP!BD66</f>
        <v>Irak</v>
      </c>
      <c r="J441" s="11" t="str">
        <f ca="1">+WORLDCUP!BD67</f>
        <v>Austria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Haití</v>
      </c>
      <c r="D442" s="11" t="str">
        <f ca="1">+WORLDCUP!BD67</f>
        <v>Austria</v>
      </c>
      <c r="E442" s="11" t="str">
        <f ca="1">+WORLDCUP!BD59</f>
        <v>Catar</v>
      </c>
      <c r="F442" s="11" t="str">
        <f ca="1">+WORLDCUP!BD61</f>
        <v>Australia</v>
      </c>
      <c r="G442" s="11" t="str">
        <f ca="1">+WORLDCUP!BD58</f>
        <v>Corea del Sur</v>
      </c>
      <c r="H442" s="11" t="str">
        <f ca="1">+WORLDCUP!BD63</f>
        <v>Suecia</v>
      </c>
      <c r="I442" s="11" t="str">
        <f ca="1">+WORLDCUP!BD69</f>
        <v>Ghana</v>
      </c>
      <c r="J442" s="11" t="str">
        <f ca="1">+WORLDCUP!BD68</f>
        <v>Uzbekistán</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Haití</v>
      </c>
      <c r="D443" s="11" t="str">
        <f ca="1">+WORLDCUP!BD66</f>
        <v>Irak</v>
      </c>
      <c r="E443" s="11" t="str">
        <f ca="1">+WORLDCUP!BD59</f>
        <v>Catar</v>
      </c>
      <c r="F443" s="11" t="str">
        <f ca="1">+WORLDCUP!BD61</f>
        <v>Australia</v>
      </c>
      <c r="G443" s="11" t="str">
        <f ca="1">+WORLDCUP!BD58</f>
        <v>Corea del Sur</v>
      </c>
      <c r="H443" s="11" t="str">
        <f ca="1">+WORLDCUP!BD63</f>
        <v>Suecia</v>
      </c>
      <c r="I443" s="11" t="str">
        <f ca="1">+WORLDCUP!BD69</f>
        <v>Ghana</v>
      </c>
      <c r="J443" s="11" t="str">
        <f ca="1">+WORLDCUP!BD68</f>
        <v>Uzbekistán</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Haití</v>
      </c>
      <c r="D444" s="11" t="str">
        <f ca="1">+WORLDCUP!BD67</f>
        <v>Austria</v>
      </c>
      <c r="E444" s="11" t="str">
        <f ca="1">+WORLDCUP!BD59</f>
        <v>Catar</v>
      </c>
      <c r="F444" s="11" t="str">
        <f ca="1">+WORLDCUP!BD61</f>
        <v>Australia</v>
      </c>
      <c r="G444" s="11" t="str">
        <f ca="1">+WORLDCUP!BD58</f>
        <v>Corea del Sur</v>
      </c>
      <c r="H444" s="11" t="str">
        <f ca="1">+WORLDCUP!BD63</f>
        <v>Suecia</v>
      </c>
      <c r="I444" s="11" t="str">
        <f ca="1">+WORLDCUP!BD69</f>
        <v>Ghana</v>
      </c>
      <c r="J444" s="11" t="str">
        <f ca="1">+WORLDCUP!BD66</f>
        <v>Irak</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Haití</v>
      </c>
      <c r="D445" s="11" t="str">
        <f ca="1">+WORLDCUP!BD67</f>
        <v>Austria</v>
      </c>
      <c r="E445" s="11" t="str">
        <f ca="1">+WORLDCUP!BD59</f>
        <v>Catar</v>
      </c>
      <c r="F445" s="11" t="str">
        <f ca="1">+WORLDCUP!BD61</f>
        <v>Australia</v>
      </c>
      <c r="G445" s="11" t="str">
        <f ca="1">+WORLDCUP!BD58</f>
        <v>Corea del Sur</v>
      </c>
      <c r="H445" s="11" t="str">
        <f ca="1">+WORLDCUP!BD63</f>
        <v>Suecia</v>
      </c>
      <c r="I445" s="11" t="str">
        <f ca="1">+WORLDCUP!BD66</f>
        <v>Irak</v>
      </c>
      <c r="J445" s="11" t="str">
        <f ca="1">+WORLDCUP!BD68</f>
        <v>Uzbekistán</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Arabia Saudita</v>
      </c>
      <c r="D446" s="11" t="str">
        <f ca="1">+WORLDCUP!BD63</f>
        <v>Suecia</v>
      </c>
      <c r="E446" s="11" t="str">
        <f ca="1">+WORLDCUP!BD59</f>
        <v>Catar</v>
      </c>
      <c r="F446" s="11" t="str">
        <f ca="1">+WORLDCUP!BD60</f>
        <v>Haití</v>
      </c>
      <c r="G446" s="11" t="str">
        <f ca="1">+WORLDCUP!BD58</f>
        <v>Corea del Sur</v>
      </c>
      <c r="H446" s="11" t="str">
        <f ca="1">+WORLDCUP!BD61</f>
        <v>Australia</v>
      </c>
      <c r="I446" s="11" t="str">
        <f ca="1">+WORLDCUP!BD69</f>
        <v>Ghana</v>
      </c>
      <c r="J446" s="11" t="str">
        <f ca="1">+WORLDCUP!BD68</f>
        <v>Uzbekistán</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Haití</v>
      </c>
      <c r="D447" s="11" t="str">
        <f ca="1">+WORLDCUP!BD67</f>
        <v>Austria</v>
      </c>
      <c r="E447" s="11" t="str">
        <f ca="1">+WORLDCUP!BD59</f>
        <v>Catar</v>
      </c>
      <c r="F447" s="11" t="str">
        <f ca="1">+WORLDCUP!BD61</f>
        <v>Australia</v>
      </c>
      <c r="G447" s="11" t="str">
        <f ca="1">+WORLDCUP!BD58</f>
        <v>Corea del Sur</v>
      </c>
      <c r="H447" s="11" t="str">
        <f ca="1">+WORLDCUP!BD63</f>
        <v>Suecia</v>
      </c>
      <c r="I447" s="11" t="str">
        <f ca="1">+WORLDCUP!BD69</f>
        <v>Ghana</v>
      </c>
      <c r="J447" s="11" t="str">
        <f ca="1">+WORLDCUP!BD65</f>
        <v>Arabia Saudita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Arabia Saudita</v>
      </c>
      <c r="D448" s="11" t="str">
        <f ca="1">+WORLDCUP!BD67</f>
        <v>Austria</v>
      </c>
      <c r="E448" s="11" t="str">
        <f ca="1">+WORLDCUP!BD59</f>
        <v>Catar</v>
      </c>
      <c r="F448" s="11" t="str">
        <f ca="1">+WORLDCUP!BD60</f>
        <v>Haití</v>
      </c>
      <c r="G448" s="11" t="str">
        <f ca="1">+WORLDCUP!BD58</f>
        <v>Corea del Sur</v>
      </c>
      <c r="H448" s="11" t="str">
        <f ca="1">+WORLDCUP!BD63</f>
        <v>Suecia</v>
      </c>
      <c r="I448" s="11" t="str">
        <f ca="1">+WORLDCUP!BD61</f>
        <v>Australia</v>
      </c>
      <c r="J448" s="11" t="str">
        <f ca="1">+WORLDCUP!BD68</f>
        <v>Uzbekistán</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Arabia Saudita</v>
      </c>
      <c r="D449" s="11" t="str">
        <f ca="1">+WORLDCUP!BD63</f>
        <v>Suecia</v>
      </c>
      <c r="E449" s="11" t="str">
        <f ca="1">+WORLDCUP!BD59</f>
        <v>Catar</v>
      </c>
      <c r="F449" s="11" t="str">
        <f ca="1">+WORLDCUP!BD60</f>
        <v>Haití</v>
      </c>
      <c r="G449" s="11" t="str">
        <f ca="1">+WORLDCUP!BD58</f>
        <v>Corea del Sur</v>
      </c>
      <c r="H449" s="11" t="str">
        <f ca="1">+WORLDCUP!BD61</f>
        <v>Australia</v>
      </c>
      <c r="I449" s="11" t="str">
        <f ca="1">+WORLDCUP!BD69</f>
        <v>Ghana</v>
      </c>
      <c r="J449" s="11" t="str">
        <f ca="1">+WORLDCUP!BD66</f>
        <v>Irak</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Arabia Saudita</v>
      </c>
      <c r="D450" s="11" t="str">
        <f ca="1">+WORLDCUP!BD63</f>
        <v>Suecia</v>
      </c>
      <c r="E450" s="11" t="str">
        <f ca="1">+WORLDCUP!BD59</f>
        <v>Catar</v>
      </c>
      <c r="F450" s="11" t="str">
        <f ca="1">+WORLDCUP!BD60</f>
        <v>Haití</v>
      </c>
      <c r="G450" s="11" t="str">
        <f ca="1">+WORLDCUP!BD58</f>
        <v>Corea del Sur</v>
      </c>
      <c r="H450" s="11" t="str">
        <f ca="1">+WORLDCUP!BD61</f>
        <v>Australia</v>
      </c>
      <c r="I450" s="11" t="str">
        <f ca="1">+WORLDCUP!BD66</f>
        <v>Irak</v>
      </c>
      <c r="J450" s="11" t="str">
        <f ca="1">+WORLDCUP!BD68</f>
        <v>Uzbekistán</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Arabia Saudita</v>
      </c>
      <c r="D451" s="11" t="str">
        <f ca="1">+WORLDCUP!BD67</f>
        <v>Austria</v>
      </c>
      <c r="E451" s="11" t="str">
        <f ca="1">+WORLDCUP!BD59</f>
        <v>Catar</v>
      </c>
      <c r="F451" s="11" t="str">
        <f ca="1">+WORLDCUP!BD60</f>
        <v>Haití</v>
      </c>
      <c r="G451" s="11" t="str">
        <f ca="1">+WORLDCUP!BD58</f>
        <v>Corea del Sur</v>
      </c>
      <c r="H451" s="11" t="str">
        <f ca="1">+WORLDCUP!BD63</f>
        <v>Suecia</v>
      </c>
      <c r="I451" s="11" t="str">
        <f ca="1">+WORLDCUP!BD61</f>
        <v>Australia</v>
      </c>
      <c r="J451" s="11" t="str">
        <f ca="1">+WORLDCUP!BD66</f>
        <v>Irak</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Haití</v>
      </c>
      <c r="D452" s="11" t="str">
        <f ca="1">+WORLDCUP!BD64</f>
        <v>Irán</v>
      </c>
      <c r="E452" s="11" t="str">
        <f ca="1">+WORLDCUP!BD59</f>
        <v>Catar</v>
      </c>
      <c r="F452" s="11" t="str">
        <f ca="1">+WORLDCUP!BD61</f>
        <v>Australia</v>
      </c>
      <c r="G452" s="11" t="str">
        <f ca="1">+WORLDCUP!BD58</f>
        <v>Corea del Sur</v>
      </c>
      <c r="H452" s="11" t="str">
        <f ca="1">+WORLDCUP!BD63</f>
        <v>Suecia</v>
      </c>
      <c r="I452" s="11" t="str">
        <f ca="1">+WORLDCUP!BD69</f>
        <v>Ghana</v>
      </c>
      <c r="J452" s="11" t="str">
        <f ca="1">+WORLDCUP!BD68</f>
        <v>Uzbekistán</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Haití</v>
      </c>
      <c r="D453" s="11" t="str">
        <f ca="1">+WORLDCUP!BD64</f>
        <v>Irán</v>
      </c>
      <c r="E453" s="11" t="str">
        <f ca="1">+WORLDCUP!BD59</f>
        <v>Catar</v>
      </c>
      <c r="F453" s="11" t="str">
        <f ca="1">+WORLDCUP!BD61</f>
        <v>Australia</v>
      </c>
      <c r="G453" s="11" t="str">
        <f ca="1">+WORLDCUP!BD58</f>
        <v>Corea del Sur</v>
      </c>
      <c r="H453" s="11" t="str">
        <f ca="1">+WORLDCUP!BD63</f>
        <v>Suecia</v>
      </c>
      <c r="I453" s="11" t="str">
        <f ca="1">+WORLDCUP!BD69</f>
        <v>Ghana</v>
      </c>
      <c r="J453" s="11" t="str">
        <f ca="1">+WORLDCUP!BD67</f>
        <v>Austria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Haití</v>
      </c>
      <c r="D454" s="11" t="str">
        <f ca="1">+WORLDCUP!BD64</f>
        <v>Irán</v>
      </c>
      <c r="E454" s="11" t="str">
        <f ca="1">+WORLDCUP!BD59</f>
        <v>Catar</v>
      </c>
      <c r="F454" s="11" t="str">
        <f ca="1">+WORLDCUP!BD61</f>
        <v>Australia</v>
      </c>
      <c r="G454" s="11" t="str">
        <f ca="1">+WORLDCUP!BD58</f>
        <v>Corea del Sur</v>
      </c>
      <c r="H454" s="11" t="str">
        <f ca="1">+WORLDCUP!BD63</f>
        <v>Suecia</v>
      </c>
      <c r="I454" s="11" t="str">
        <f ca="1">+WORLDCUP!BD67</f>
        <v>Austria</v>
      </c>
      <c r="J454" s="11" t="str">
        <f ca="1">+WORLDCUP!BD68</f>
        <v>Uzbekistán</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Haití</v>
      </c>
      <c r="D455" s="11" t="str">
        <f ca="1">+WORLDCUP!BD64</f>
        <v>Irán</v>
      </c>
      <c r="E455" s="11" t="str">
        <f ca="1">+WORLDCUP!BD59</f>
        <v>Catar</v>
      </c>
      <c r="F455" s="11" t="str">
        <f ca="1">+WORLDCUP!BD61</f>
        <v>Australia</v>
      </c>
      <c r="G455" s="11" t="str">
        <f ca="1">+WORLDCUP!BD58</f>
        <v>Corea del Sur</v>
      </c>
      <c r="H455" s="11" t="str">
        <f ca="1">+WORLDCUP!BD63</f>
        <v>Suecia</v>
      </c>
      <c r="I455" s="11" t="str">
        <f ca="1">+WORLDCUP!BD69</f>
        <v>Ghana</v>
      </c>
      <c r="J455" s="11" t="str">
        <f ca="1">+WORLDCUP!BD66</f>
        <v>Irak</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Haití</v>
      </c>
      <c r="D456" s="11" t="str">
        <f ca="1">+WORLDCUP!BD64</f>
        <v>Irán</v>
      </c>
      <c r="E456" s="11" t="str">
        <f ca="1">+WORLDCUP!BD59</f>
        <v>Catar</v>
      </c>
      <c r="F456" s="11" t="str">
        <f ca="1">+WORLDCUP!BD61</f>
        <v>Australia</v>
      </c>
      <c r="G456" s="11" t="str">
        <f ca="1">+WORLDCUP!BD58</f>
        <v>Corea del Sur</v>
      </c>
      <c r="H456" s="11" t="str">
        <f ca="1">+WORLDCUP!BD63</f>
        <v>Suecia</v>
      </c>
      <c r="I456" s="11" t="str">
        <f ca="1">+WORLDCUP!BD66</f>
        <v>Irak</v>
      </c>
      <c r="J456" s="11" t="str">
        <f ca="1">+WORLDCUP!BD68</f>
        <v>Uzbekistán</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Haití</v>
      </c>
      <c r="D457" s="11" t="str">
        <f ca="1">+WORLDCUP!BD64</f>
        <v>Irán</v>
      </c>
      <c r="E457" s="11" t="str">
        <f ca="1">+WORLDCUP!BD59</f>
        <v>Catar</v>
      </c>
      <c r="F457" s="11" t="str">
        <f ca="1">+WORLDCUP!BD61</f>
        <v>Australia</v>
      </c>
      <c r="G457" s="11" t="str">
        <f ca="1">+WORLDCUP!BD58</f>
        <v>Corea del Sur</v>
      </c>
      <c r="H457" s="11" t="str">
        <f ca="1">+WORLDCUP!BD63</f>
        <v>Suecia</v>
      </c>
      <c r="I457" s="11" t="str">
        <f ca="1">+WORLDCUP!BD66</f>
        <v>Irak</v>
      </c>
      <c r="J457" s="11" t="str">
        <f ca="1">+WORLDCUP!BD67</f>
        <v>Austria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Haití</v>
      </c>
      <c r="D458" s="11" t="str">
        <f ca="1">+WORLDCUP!BD64</f>
        <v>Irán</v>
      </c>
      <c r="E458" s="11" t="str">
        <f ca="1">+WORLDCUP!BD59</f>
        <v>Catar</v>
      </c>
      <c r="F458" s="11" t="str">
        <f ca="1">+WORLDCUP!BD61</f>
        <v>Australia</v>
      </c>
      <c r="G458" s="11" t="str">
        <f ca="1">+WORLDCUP!BD58</f>
        <v>Corea del Sur</v>
      </c>
      <c r="H458" s="11" t="str">
        <f ca="1">+WORLDCUP!BD63</f>
        <v>Suecia</v>
      </c>
      <c r="I458" s="11" t="str">
        <f ca="1">+WORLDCUP!BD69</f>
        <v>Ghana</v>
      </c>
      <c r="J458" s="11" t="str">
        <f ca="1">+WORLDCUP!BD65</f>
        <v>Arabia Saudita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Arabia Saudita</v>
      </c>
      <c r="D459" s="11" t="str">
        <f ca="1">+WORLDCUP!BD64</f>
        <v>Irán</v>
      </c>
      <c r="E459" s="11" t="str">
        <f ca="1">+WORLDCUP!BD59</f>
        <v>Catar</v>
      </c>
      <c r="F459" s="11" t="str">
        <f ca="1">+WORLDCUP!BD60</f>
        <v>Haití</v>
      </c>
      <c r="G459" s="11" t="str">
        <f ca="1">+WORLDCUP!BD58</f>
        <v>Corea del Sur</v>
      </c>
      <c r="H459" s="11" t="str">
        <f ca="1">+WORLDCUP!BD63</f>
        <v>Suecia</v>
      </c>
      <c r="I459" s="11" t="str">
        <f ca="1">+WORLDCUP!BD61</f>
        <v>Australia</v>
      </c>
      <c r="J459" s="11" t="str">
        <f ca="1">+WORLDCUP!BD68</f>
        <v>Uzbekistán</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Arabia Saudita</v>
      </c>
      <c r="D460" s="11" t="str">
        <f ca="1">+WORLDCUP!BD64</f>
        <v>Irán</v>
      </c>
      <c r="E460" s="11" t="str">
        <f ca="1">+WORLDCUP!BD59</f>
        <v>Catar</v>
      </c>
      <c r="F460" s="11" t="str">
        <f ca="1">+WORLDCUP!BD60</f>
        <v>Haití</v>
      </c>
      <c r="G460" s="11" t="str">
        <f ca="1">+WORLDCUP!BD58</f>
        <v>Corea del Sur</v>
      </c>
      <c r="H460" s="11" t="str">
        <f ca="1">+WORLDCUP!BD63</f>
        <v>Suecia</v>
      </c>
      <c r="I460" s="11" t="str">
        <f ca="1">+WORLDCUP!BD61</f>
        <v>Australia</v>
      </c>
      <c r="J460" s="11" t="str">
        <f ca="1">+WORLDCUP!BD67</f>
        <v>Austria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Arabia Saudita</v>
      </c>
      <c r="D461" s="11" t="str">
        <f ca="1">+WORLDCUP!BD64</f>
        <v>Irán</v>
      </c>
      <c r="E461" s="11" t="str">
        <f ca="1">+WORLDCUP!BD59</f>
        <v>Catar</v>
      </c>
      <c r="F461" s="11" t="str">
        <f ca="1">+WORLDCUP!BD60</f>
        <v>Haití</v>
      </c>
      <c r="G461" s="11" t="str">
        <f ca="1">+WORLDCUP!BD58</f>
        <v>Corea del Sur</v>
      </c>
      <c r="H461" s="11" t="str">
        <f ca="1">+WORLDCUP!BD63</f>
        <v>Suecia</v>
      </c>
      <c r="I461" s="11" t="str">
        <f ca="1">+WORLDCUP!BD61</f>
        <v>Australia</v>
      </c>
      <c r="J461" s="11" t="str">
        <f ca="1">+WORLDCUP!BD66</f>
        <v>Irak</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Costa de Marfil</v>
      </c>
      <c r="D462" s="11" t="str">
        <f ca="1">+WORLDCUP!BD67</f>
        <v>Austria</v>
      </c>
      <c r="E462" s="11" t="str">
        <f ca="1">+WORLDCUP!BD59</f>
        <v>Catar</v>
      </c>
      <c r="F462" s="11" t="str">
        <f ca="1">+WORLDCUP!BD60</f>
        <v>Haití</v>
      </c>
      <c r="G462" s="11" t="str">
        <f ca="1">+WORLDCUP!BD58</f>
        <v>Corea del Sur</v>
      </c>
      <c r="H462" s="11" t="str">
        <f ca="1">+WORLDCUP!BD61</f>
        <v>Australia</v>
      </c>
      <c r="I462" s="11" t="str">
        <f ca="1">+WORLDCUP!BD69</f>
        <v>Ghana</v>
      </c>
      <c r="J462" s="11" t="str">
        <f ca="1">+WORLDCUP!BD68</f>
        <v>Uzbekistán</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Costa de Marfil</v>
      </c>
      <c r="D463" s="11" t="str">
        <f ca="1">+WORLDCUP!BD66</f>
        <v>Irak</v>
      </c>
      <c r="E463" s="11" t="str">
        <f ca="1">+WORLDCUP!BD59</f>
        <v>Catar</v>
      </c>
      <c r="F463" s="11" t="str">
        <f ca="1">+WORLDCUP!BD60</f>
        <v>Haití</v>
      </c>
      <c r="G463" s="11" t="str">
        <f ca="1">+WORLDCUP!BD58</f>
        <v>Corea del Sur</v>
      </c>
      <c r="H463" s="11" t="str">
        <f ca="1">+WORLDCUP!BD61</f>
        <v>Australia</v>
      </c>
      <c r="I463" s="11" t="str">
        <f ca="1">+WORLDCUP!BD69</f>
        <v>Ghana</v>
      </c>
      <c r="J463" s="11" t="str">
        <f ca="1">+WORLDCUP!BD68</f>
        <v>Uzbekistán</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Costa de Marfil</v>
      </c>
      <c r="D464" s="11" t="str">
        <f ca="1">+WORLDCUP!BD67</f>
        <v>Austria</v>
      </c>
      <c r="E464" s="11" t="str">
        <f ca="1">+WORLDCUP!BD59</f>
        <v>Catar</v>
      </c>
      <c r="F464" s="11" t="str">
        <f ca="1">+WORLDCUP!BD60</f>
        <v>Haití</v>
      </c>
      <c r="G464" s="11" t="str">
        <f ca="1">+WORLDCUP!BD58</f>
        <v>Corea del Sur</v>
      </c>
      <c r="H464" s="11" t="str">
        <f ca="1">+WORLDCUP!BD61</f>
        <v>Australia</v>
      </c>
      <c r="I464" s="11" t="str">
        <f ca="1">+WORLDCUP!BD69</f>
        <v>Ghana</v>
      </c>
      <c r="J464" s="11" t="str">
        <f ca="1">+WORLDCUP!BD66</f>
        <v>Irak</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Costa de Marfil</v>
      </c>
      <c r="D465" s="11" t="str">
        <f ca="1">+WORLDCUP!BD67</f>
        <v>Austria</v>
      </c>
      <c r="E465" s="11" t="str">
        <f ca="1">+WORLDCUP!BD59</f>
        <v>Catar</v>
      </c>
      <c r="F465" s="11" t="str">
        <f ca="1">+WORLDCUP!BD60</f>
        <v>Haití</v>
      </c>
      <c r="G465" s="11" t="str">
        <f ca="1">+WORLDCUP!BD58</f>
        <v>Corea del Sur</v>
      </c>
      <c r="H465" s="11" t="str">
        <f ca="1">+WORLDCUP!BD61</f>
        <v>Australia</v>
      </c>
      <c r="I465" s="11" t="str">
        <f ca="1">+WORLDCUP!BD66</f>
        <v>Irak</v>
      </c>
      <c r="J465" s="11" t="str">
        <f ca="1">+WORLDCUP!BD68</f>
        <v>Uzbekistán</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Arabia Saudita</v>
      </c>
      <c r="D466" s="11" t="str">
        <f ca="1">+WORLDCUP!BD62</f>
        <v>Costa de Marfil</v>
      </c>
      <c r="E466" s="11" t="str">
        <f ca="1">+WORLDCUP!BD59</f>
        <v>Catar</v>
      </c>
      <c r="F466" s="11" t="str">
        <f ca="1">+WORLDCUP!BD60</f>
        <v>Haití</v>
      </c>
      <c r="G466" s="11" t="str">
        <f ca="1">+WORLDCUP!BD58</f>
        <v>Corea del Sur</v>
      </c>
      <c r="H466" s="11" t="str">
        <f ca="1">+WORLDCUP!BD61</f>
        <v>Australia</v>
      </c>
      <c r="I466" s="11" t="str">
        <f ca="1">+WORLDCUP!BD69</f>
        <v>Ghana</v>
      </c>
      <c r="J466" s="11" t="str">
        <f ca="1">+WORLDCUP!BD68</f>
        <v>Uzbekistán</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Arabia Saudita</v>
      </c>
      <c r="D467" s="11" t="str">
        <f ca="1">+WORLDCUP!BD67</f>
        <v>Austria</v>
      </c>
      <c r="E467" s="11" t="str">
        <f ca="1">+WORLDCUP!BD59</f>
        <v>Catar</v>
      </c>
      <c r="F467" s="11" t="str">
        <f ca="1">+WORLDCUP!BD60</f>
        <v>Haití</v>
      </c>
      <c r="G467" s="11" t="str">
        <f ca="1">+WORLDCUP!BD58</f>
        <v>Corea del Sur</v>
      </c>
      <c r="H467" s="11" t="str">
        <f ca="1">+WORLDCUP!BD61</f>
        <v>Australia</v>
      </c>
      <c r="I467" s="11" t="str">
        <f ca="1">+WORLDCUP!BD69</f>
        <v>Ghana</v>
      </c>
      <c r="J467" s="11" t="str">
        <f ca="1">+WORLDCUP!BD62</f>
        <v>Costa de Marfil</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Arabia Saudita</v>
      </c>
      <c r="D468" s="11" t="str">
        <f ca="1">+WORLDCUP!BD67</f>
        <v>Austria</v>
      </c>
      <c r="E468" s="11" t="str">
        <f ca="1">+WORLDCUP!BD59</f>
        <v>Catar</v>
      </c>
      <c r="F468" s="11" t="str">
        <f ca="1">+WORLDCUP!BD60</f>
        <v>Haití</v>
      </c>
      <c r="G468" s="11" t="str">
        <f ca="1">+WORLDCUP!BD58</f>
        <v>Corea del Sur</v>
      </c>
      <c r="H468" s="11" t="str">
        <f ca="1">+WORLDCUP!BD61</f>
        <v>Australia</v>
      </c>
      <c r="I468" s="11" t="str">
        <f ca="1">+WORLDCUP!BD62</f>
        <v>Costa de Marfil</v>
      </c>
      <c r="J468" s="11" t="str">
        <f ca="1">+WORLDCUP!BD68</f>
        <v>Uzbekistán</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Arabia Saudita</v>
      </c>
      <c r="D469" s="11" t="str">
        <f ca="1">+WORLDCUP!BD62</f>
        <v>Costa de Marfil</v>
      </c>
      <c r="E469" s="11" t="str">
        <f ca="1">+WORLDCUP!BD59</f>
        <v>Catar</v>
      </c>
      <c r="F469" s="11" t="str">
        <f ca="1">+WORLDCUP!BD60</f>
        <v>Haití</v>
      </c>
      <c r="G469" s="11" t="str">
        <f ca="1">+WORLDCUP!BD58</f>
        <v>Corea del Sur</v>
      </c>
      <c r="H469" s="11" t="str">
        <f ca="1">+WORLDCUP!BD61</f>
        <v>Australia</v>
      </c>
      <c r="I469" s="11" t="str">
        <f ca="1">+WORLDCUP!BD69</f>
        <v>Ghana</v>
      </c>
      <c r="J469" s="11" t="str">
        <f ca="1">+WORLDCUP!BD66</f>
        <v>Irak</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Arabia Saudita</v>
      </c>
      <c r="D470" s="11" t="str">
        <f ca="1">+WORLDCUP!BD62</f>
        <v>Costa de Marfil</v>
      </c>
      <c r="E470" s="11" t="str">
        <f ca="1">+WORLDCUP!BD59</f>
        <v>Catar</v>
      </c>
      <c r="F470" s="11" t="str">
        <f ca="1">+WORLDCUP!BD60</f>
        <v>Haití</v>
      </c>
      <c r="G470" s="11" t="str">
        <f ca="1">+WORLDCUP!BD58</f>
        <v>Corea del Sur</v>
      </c>
      <c r="H470" s="11" t="str">
        <f ca="1">+WORLDCUP!BD61</f>
        <v>Australia</v>
      </c>
      <c r="I470" s="11" t="str">
        <f ca="1">+WORLDCUP!BD66</f>
        <v>Irak</v>
      </c>
      <c r="J470" s="11" t="str">
        <f ca="1">+WORLDCUP!BD68</f>
        <v>Uzbekistán</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Arabia Saudita</v>
      </c>
      <c r="D471" s="11" t="str">
        <f ca="1">+WORLDCUP!BD67</f>
        <v>Austria</v>
      </c>
      <c r="E471" s="11" t="str">
        <f ca="1">+WORLDCUP!BD59</f>
        <v>Catar</v>
      </c>
      <c r="F471" s="11" t="str">
        <f ca="1">+WORLDCUP!BD60</f>
        <v>Haití</v>
      </c>
      <c r="G471" s="11" t="str">
        <f ca="1">+WORLDCUP!BD58</f>
        <v>Corea del Sur</v>
      </c>
      <c r="H471" s="11" t="str">
        <f ca="1">+WORLDCUP!BD61</f>
        <v>Australia</v>
      </c>
      <c r="I471" s="11" t="str">
        <f ca="1">+WORLDCUP!BD62</f>
        <v>Costa de Marfil</v>
      </c>
      <c r="J471" s="11" t="str">
        <f ca="1">+WORLDCUP!BD66</f>
        <v>Irak</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Costa de Marfil</v>
      </c>
      <c r="D472" s="11" t="str">
        <f ca="1">+WORLDCUP!BD64</f>
        <v>Irán</v>
      </c>
      <c r="E472" s="11" t="str">
        <f ca="1">+WORLDCUP!BD59</f>
        <v>Catar</v>
      </c>
      <c r="F472" s="11" t="str">
        <f ca="1">+WORLDCUP!BD60</f>
        <v>Haití</v>
      </c>
      <c r="G472" s="11" t="str">
        <f ca="1">+WORLDCUP!BD58</f>
        <v>Corea del Sur</v>
      </c>
      <c r="H472" s="11" t="str">
        <f ca="1">+WORLDCUP!BD61</f>
        <v>Australia</v>
      </c>
      <c r="I472" s="11" t="str">
        <f ca="1">+WORLDCUP!BD69</f>
        <v>Ghana</v>
      </c>
      <c r="J472" s="11" t="str">
        <f ca="1">+WORLDCUP!BD68</f>
        <v>Uzbekistán</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Costa de Marfil</v>
      </c>
      <c r="D473" s="11" t="str">
        <f ca="1">+WORLDCUP!BD64</f>
        <v>Irán</v>
      </c>
      <c r="E473" s="11" t="str">
        <f ca="1">+WORLDCUP!BD59</f>
        <v>Catar</v>
      </c>
      <c r="F473" s="11" t="str">
        <f ca="1">+WORLDCUP!BD60</f>
        <v>Haití</v>
      </c>
      <c r="G473" s="11" t="str">
        <f ca="1">+WORLDCUP!BD58</f>
        <v>Corea del Sur</v>
      </c>
      <c r="H473" s="11" t="str">
        <f ca="1">+WORLDCUP!BD61</f>
        <v>Australia</v>
      </c>
      <c r="I473" s="11" t="str">
        <f ca="1">+WORLDCUP!BD69</f>
        <v>Ghana</v>
      </c>
      <c r="J473" s="11" t="str">
        <f ca="1">+WORLDCUP!BD67</f>
        <v>Austria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Costa de Marfil</v>
      </c>
      <c r="D474" s="11" t="str">
        <f ca="1">+WORLDCUP!BD64</f>
        <v>Irán</v>
      </c>
      <c r="E474" s="11" t="str">
        <f ca="1">+WORLDCUP!BD59</f>
        <v>Catar</v>
      </c>
      <c r="F474" s="11" t="str">
        <f ca="1">+WORLDCUP!BD60</f>
        <v>Haití</v>
      </c>
      <c r="G474" s="11" t="str">
        <f ca="1">+WORLDCUP!BD58</f>
        <v>Corea del Sur</v>
      </c>
      <c r="H474" s="11" t="str">
        <f ca="1">+WORLDCUP!BD61</f>
        <v>Australia</v>
      </c>
      <c r="I474" s="11" t="str">
        <f ca="1">+WORLDCUP!BD67</f>
        <v>Austria</v>
      </c>
      <c r="J474" s="11" t="str">
        <f ca="1">+WORLDCUP!BD68</f>
        <v>Uzbekistán</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Costa de Marfil</v>
      </c>
      <c r="D475" s="11" t="str">
        <f ca="1">+WORLDCUP!BD64</f>
        <v>Irán</v>
      </c>
      <c r="E475" s="11" t="str">
        <f ca="1">+WORLDCUP!BD59</f>
        <v>Catar</v>
      </c>
      <c r="F475" s="11" t="str">
        <f ca="1">+WORLDCUP!BD60</f>
        <v>Haití</v>
      </c>
      <c r="G475" s="11" t="str">
        <f ca="1">+WORLDCUP!BD58</f>
        <v>Corea del Sur</v>
      </c>
      <c r="H475" s="11" t="str">
        <f ca="1">+WORLDCUP!BD61</f>
        <v>Australia</v>
      </c>
      <c r="I475" s="11" t="str">
        <f ca="1">+WORLDCUP!BD69</f>
        <v>Ghana</v>
      </c>
      <c r="J475" s="11" t="str">
        <f ca="1">+WORLDCUP!BD66</f>
        <v>Irak</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Costa de Marfil</v>
      </c>
      <c r="D476" s="11" t="str">
        <f ca="1">+WORLDCUP!BD64</f>
        <v>Irán</v>
      </c>
      <c r="E476" s="11" t="str">
        <f ca="1">+WORLDCUP!BD59</f>
        <v>Catar</v>
      </c>
      <c r="F476" s="11" t="str">
        <f ca="1">+WORLDCUP!BD60</f>
        <v>Haití</v>
      </c>
      <c r="G476" s="11" t="str">
        <f ca="1">+WORLDCUP!BD58</f>
        <v>Corea del Sur</v>
      </c>
      <c r="H476" s="11" t="str">
        <f ca="1">+WORLDCUP!BD61</f>
        <v>Australia</v>
      </c>
      <c r="I476" s="11" t="str">
        <f ca="1">+WORLDCUP!BD66</f>
        <v>Irak</v>
      </c>
      <c r="J476" s="11" t="str">
        <f ca="1">+WORLDCUP!BD68</f>
        <v>Uzbekistán</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Costa de Marfil</v>
      </c>
      <c r="D477" s="11" t="str">
        <f ca="1">+WORLDCUP!BD64</f>
        <v>Irán</v>
      </c>
      <c r="E477" s="11" t="str">
        <f ca="1">+WORLDCUP!BD59</f>
        <v>Catar</v>
      </c>
      <c r="F477" s="11" t="str">
        <f ca="1">+WORLDCUP!BD60</f>
        <v>Haití</v>
      </c>
      <c r="G477" s="11" t="str">
        <f ca="1">+WORLDCUP!BD58</f>
        <v>Corea del Sur</v>
      </c>
      <c r="H477" s="11" t="str">
        <f ca="1">+WORLDCUP!BD61</f>
        <v>Australia</v>
      </c>
      <c r="I477" s="11" t="str">
        <f ca="1">+WORLDCUP!BD66</f>
        <v>Irak</v>
      </c>
      <c r="J477" s="11" t="str">
        <f ca="1">+WORLDCUP!BD67</f>
        <v>Austria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Arabia Saudita</v>
      </c>
      <c r="D478" s="11" t="str">
        <f ca="1">+WORLDCUP!BD64</f>
        <v>Irán</v>
      </c>
      <c r="E478" s="11" t="str">
        <f ca="1">+WORLDCUP!BD59</f>
        <v>Catar</v>
      </c>
      <c r="F478" s="11" t="str">
        <f ca="1">+WORLDCUP!BD60</f>
        <v>Haití</v>
      </c>
      <c r="G478" s="11" t="str">
        <f ca="1">+WORLDCUP!BD58</f>
        <v>Corea del Sur</v>
      </c>
      <c r="H478" s="11" t="str">
        <f ca="1">+WORLDCUP!BD61</f>
        <v>Australia</v>
      </c>
      <c r="I478" s="11" t="str">
        <f ca="1">+WORLDCUP!BD69</f>
        <v>Ghana</v>
      </c>
      <c r="J478" s="11" t="str">
        <f ca="1">+WORLDCUP!BD62</f>
        <v>Costa de Marfil</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Arabia Saudita</v>
      </c>
      <c r="D479" s="11" t="str">
        <f ca="1">+WORLDCUP!BD64</f>
        <v>Irán</v>
      </c>
      <c r="E479" s="11" t="str">
        <f ca="1">+WORLDCUP!BD59</f>
        <v>Catar</v>
      </c>
      <c r="F479" s="11" t="str">
        <f ca="1">+WORLDCUP!BD60</f>
        <v>Haití</v>
      </c>
      <c r="G479" s="11" t="str">
        <f ca="1">+WORLDCUP!BD58</f>
        <v>Corea del Sur</v>
      </c>
      <c r="H479" s="11" t="str">
        <f ca="1">+WORLDCUP!BD61</f>
        <v>Australia</v>
      </c>
      <c r="I479" s="11" t="str">
        <f ca="1">+WORLDCUP!BD62</f>
        <v>Costa de Marfil</v>
      </c>
      <c r="J479" s="11" t="str">
        <f ca="1">+WORLDCUP!BD68</f>
        <v>Uzbekistán</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Arabia Saudita</v>
      </c>
      <c r="D480" s="11" t="str">
        <f ca="1">+WORLDCUP!BD64</f>
        <v>Irán</v>
      </c>
      <c r="E480" s="11" t="str">
        <f ca="1">+WORLDCUP!BD59</f>
        <v>Catar</v>
      </c>
      <c r="F480" s="11" t="str">
        <f ca="1">+WORLDCUP!BD60</f>
        <v>Haití</v>
      </c>
      <c r="G480" s="11" t="str">
        <f ca="1">+WORLDCUP!BD58</f>
        <v>Corea del Sur</v>
      </c>
      <c r="H480" s="11" t="str">
        <f ca="1">+WORLDCUP!BD61</f>
        <v>Australia</v>
      </c>
      <c r="I480" s="11" t="str">
        <f ca="1">+WORLDCUP!BD62</f>
        <v>Costa de Marfil</v>
      </c>
      <c r="J480" s="11" t="str">
        <f ca="1">+WORLDCUP!BD67</f>
        <v>Austria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Arabia Saudita</v>
      </c>
      <c r="D481" s="11" t="str">
        <f ca="1">+WORLDCUP!BD64</f>
        <v>Irán</v>
      </c>
      <c r="E481" s="11" t="str">
        <f ca="1">+WORLDCUP!BD59</f>
        <v>Catar</v>
      </c>
      <c r="F481" s="11" t="str">
        <f ca="1">+WORLDCUP!BD60</f>
        <v>Haití</v>
      </c>
      <c r="G481" s="11" t="str">
        <f ca="1">+WORLDCUP!BD58</f>
        <v>Corea del Sur</v>
      </c>
      <c r="H481" s="11" t="str">
        <f ca="1">+WORLDCUP!BD61</f>
        <v>Australia</v>
      </c>
      <c r="I481" s="11" t="str">
        <f ca="1">+WORLDCUP!BD62</f>
        <v>Costa de Marfil</v>
      </c>
      <c r="J481" s="11" t="str">
        <f ca="1">+WORLDCUP!BD66</f>
        <v>Irak</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Haití</v>
      </c>
      <c r="D482" s="11" t="str">
        <f ca="1">+WORLDCUP!BD62</f>
        <v>Costa de Marfil</v>
      </c>
      <c r="E482" s="11" t="str">
        <f ca="1">+WORLDCUP!BD59</f>
        <v>Catar</v>
      </c>
      <c r="F482" s="11" t="str">
        <f ca="1">+WORLDCUP!BD61</f>
        <v>Australia</v>
      </c>
      <c r="G482" s="11" t="str">
        <f ca="1">+WORLDCUP!BD58</f>
        <v>Corea del Sur</v>
      </c>
      <c r="H482" s="11" t="str">
        <f ca="1">+WORLDCUP!BD63</f>
        <v>Suecia</v>
      </c>
      <c r="I482" s="11" t="str">
        <f ca="1">+WORLDCUP!BD69</f>
        <v>Ghana</v>
      </c>
      <c r="J482" s="11" t="str">
        <f ca="1">+WORLDCUP!BD68</f>
        <v>Uzbekistán</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Haití</v>
      </c>
      <c r="D483" s="11" t="str">
        <f ca="1">+WORLDCUP!BD67</f>
        <v>Austria</v>
      </c>
      <c r="E483" s="11" t="str">
        <f ca="1">+WORLDCUP!BD59</f>
        <v>Catar</v>
      </c>
      <c r="F483" s="11" t="str">
        <f ca="1">+WORLDCUP!BD61</f>
        <v>Australia</v>
      </c>
      <c r="G483" s="11" t="str">
        <f ca="1">+WORLDCUP!BD58</f>
        <v>Corea del Sur</v>
      </c>
      <c r="H483" s="11" t="str">
        <f ca="1">+WORLDCUP!BD63</f>
        <v>Suecia</v>
      </c>
      <c r="I483" s="11" t="str">
        <f ca="1">+WORLDCUP!BD69</f>
        <v>Ghana</v>
      </c>
      <c r="J483" s="11" t="str">
        <f ca="1">+WORLDCUP!BD62</f>
        <v>Costa de Marfil</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Haití</v>
      </c>
      <c r="D484" s="11" t="str">
        <f ca="1">+WORLDCUP!BD67</f>
        <v>Austria</v>
      </c>
      <c r="E484" s="11" t="str">
        <f ca="1">+WORLDCUP!BD59</f>
        <v>Catar</v>
      </c>
      <c r="F484" s="11" t="str">
        <f ca="1">+WORLDCUP!BD61</f>
        <v>Australia</v>
      </c>
      <c r="G484" s="11" t="str">
        <f ca="1">+WORLDCUP!BD58</f>
        <v>Corea del Sur</v>
      </c>
      <c r="H484" s="11" t="str">
        <f ca="1">+WORLDCUP!BD63</f>
        <v>Suecia</v>
      </c>
      <c r="I484" s="11" t="str">
        <f ca="1">+WORLDCUP!BD62</f>
        <v>Costa de Marfil</v>
      </c>
      <c r="J484" s="11" t="str">
        <f ca="1">+WORLDCUP!BD68</f>
        <v>Uzbekistán</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Haití</v>
      </c>
      <c r="D485" s="11" t="str">
        <f ca="1">+WORLDCUP!BD62</f>
        <v>Costa de Marfil</v>
      </c>
      <c r="E485" s="11" t="str">
        <f ca="1">+WORLDCUP!BD59</f>
        <v>Catar</v>
      </c>
      <c r="F485" s="11" t="str">
        <f ca="1">+WORLDCUP!BD61</f>
        <v>Australia</v>
      </c>
      <c r="G485" s="11" t="str">
        <f ca="1">+WORLDCUP!BD58</f>
        <v>Corea del Sur</v>
      </c>
      <c r="H485" s="11" t="str">
        <f ca="1">+WORLDCUP!BD63</f>
        <v>Suecia</v>
      </c>
      <c r="I485" s="11" t="str">
        <f ca="1">+WORLDCUP!BD69</f>
        <v>Ghana</v>
      </c>
      <c r="J485" s="11" t="str">
        <f ca="1">+WORLDCUP!BD66</f>
        <v>Irak</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Haití</v>
      </c>
      <c r="D486" s="11" t="str">
        <f ca="1">+WORLDCUP!BD62</f>
        <v>Costa de Marfil</v>
      </c>
      <c r="E486" s="11" t="str">
        <f ca="1">+WORLDCUP!BD59</f>
        <v>Catar</v>
      </c>
      <c r="F486" s="11" t="str">
        <f ca="1">+WORLDCUP!BD61</f>
        <v>Australia</v>
      </c>
      <c r="G486" s="11" t="str">
        <f ca="1">+WORLDCUP!BD58</f>
        <v>Corea del Sur</v>
      </c>
      <c r="H486" s="11" t="str">
        <f ca="1">+WORLDCUP!BD63</f>
        <v>Suecia</v>
      </c>
      <c r="I486" s="11" t="str">
        <f ca="1">+WORLDCUP!BD66</f>
        <v>Irak</v>
      </c>
      <c r="J486" s="11" t="str">
        <f ca="1">+WORLDCUP!BD68</f>
        <v>Uzbekistán</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Haití</v>
      </c>
      <c r="D487" s="11" t="str">
        <f ca="1">+WORLDCUP!BD67</f>
        <v>Austria</v>
      </c>
      <c r="E487" s="11" t="str">
        <f ca="1">+WORLDCUP!BD59</f>
        <v>Catar</v>
      </c>
      <c r="F487" s="11" t="str">
        <f ca="1">+WORLDCUP!BD61</f>
        <v>Australia</v>
      </c>
      <c r="G487" s="11" t="str">
        <f ca="1">+WORLDCUP!BD58</f>
        <v>Corea del Sur</v>
      </c>
      <c r="H487" s="11" t="str">
        <f ca="1">+WORLDCUP!BD63</f>
        <v>Suecia</v>
      </c>
      <c r="I487" s="11" t="str">
        <f ca="1">+WORLDCUP!BD62</f>
        <v>Costa de Marfil</v>
      </c>
      <c r="J487" s="11" t="str">
        <f ca="1">+WORLDCUP!BD66</f>
        <v>Irak</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Arabia Saudita</v>
      </c>
      <c r="D488" s="11" t="str">
        <f ca="1">+WORLDCUP!BD63</f>
        <v>Suecia</v>
      </c>
      <c r="E488" s="11" t="str">
        <f ca="1">+WORLDCUP!BD59</f>
        <v>Catar</v>
      </c>
      <c r="F488" s="11" t="str">
        <f ca="1">+WORLDCUP!BD60</f>
        <v>Haití</v>
      </c>
      <c r="G488" s="11" t="str">
        <f ca="1">+WORLDCUP!BD58</f>
        <v>Corea del Sur</v>
      </c>
      <c r="H488" s="11" t="str">
        <f ca="1">+WORLDCUP!BD61</f>
        <v>Australia</v>
      </c>
      <c r="I488" s="11" t="str">
        <f ca="1">+WORLDCUP!BD69</f>
        <v>Ghana</v>
      </c>
      <c r="J488" s="11" t="str">
        <f ca="1">+WORLDCUP!BD62</f>
        <v>Costa de Marfil</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Arabia Saudita</v>
      </c>
      <c r="D489" s="11" t="str">
        <f ca="1">+WORLDCUP!BD62</f>
        <v>Costa de Marfil</v>
      </c>
      <c r="E489" s="11" t="str">
        <f ca="1">+WORLDCUP!BD59</f>
        <v>Catar</v>
      </c>
      <c r="F489" s="11" t="str">
        <f ca="1">+WORLDCUP!BD60</f>
        <v>Haití</v>
      </c>
      <c r="G489" s="11" t="str">
        <f ca="1">+WORLDCUP!BD58</f>
        <v>Corea del Sur</v>
      </c>
      <c r="H489" s="11" t="str">
        <f ca="1">+WORLDCUP!BD63</f>
        <v>Suecia</v>
      </c>
      <c r="I489" s="11" t="str">
        <f ca="1">+WORLDCUP!BD61</f>
        <v>Australia</v>
      </c>
      <c r="J489" s="11" t="str">
        <f ca="1">+WORLDCUP!BD68</f>
        <v>Uzbekistán</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Arabia Saudita</v>
      </c>
      <c r="D490" s="11" t="str">
        <f ca="1">+WORLDCUP!BD67</f>
        <v>Austria</v>
      </c>
      <c r="E490" s="11" t="str">
        <f ca="1">+WORLDCUP!BD59</f>
        <v>Catar</v>
      </c>
      <c r="F490" s="11" t="str">
        <f ca="1">+WORLDCUP!BD60</f>
        <v>Haití</v>
      </c>
      <c r="G490" s="11" t="str">
        <f ca="1">+WORLDCUP!BD58</f>
        <v>Corea del Sur</v>
      </c>
      <c r="H490" s="11" t="str">
        <f ca="1">+WORLDCUP!BD63</f>
        <v>Suecia</v>
      </c>
      <c r="I490" s="11" t="str">
        <f ca="1">+WORLDCUP!BD61</f>
        <v>Australia</v>
      </c>
      <c r="J490" s="11" t="str">
        <f ca="1">+WORLDCUP!BD62</f>
        <v>Costa de Marfil</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Arabia Saudita</v>
      </c>
      <c r="D491" s="11" t="str">
        <f ca="1">+WORLDCUP!BD62</f>
        <v>Costa de Marfil</v>
      </c>
      <c r="E491" s="11" t="str">
        <f ca="1">+WORLDCUP!BD59</f>
        <v>Catar</v>
      </c>
      <c r="F491" s="11" t="str">
        <f ca="1">+WORLDCUP!BD60</f>
        <v>Haití</v>
      </c>
      <c r="G491" s="11" t="str">
        <f ca="1">+WORLDCUP!BD58</f>
        <v>Corea del Sur</v>
      </c>
      <c r="H491" s="11" t="str">
        <f ca="1">+WORLDCUP!BD63</f>
        <v>Suecia</v>
      </c>
      <c r="I491" s="11" t="str">
        <f ca="1">+WORLDCUP!BD61</f>
        <v>Australia</v>
      </c>
      <c r="J491" s="11" t="str">
        <f ca="1">+WORLDCUP!BD66</f>
        <v>Irak</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Haití</v>
      </c>
      <c r="D492" s="11" t="str">
        <f ca="1">+WORLDCUP!BD64</f>
        <v>Irán</v>
      </c>
      <c r="E492" s="11" t="str">
        <f ca="1">+WORLDCUP!BD59</f>
        <v>Catar</v>
      </c>
      <c r="F492" s="11" t="str">
        <f ca="1">+WORLDCUP!BD61</f>
        <v>Australia</v>
      </c>
      <c r="G492" s="11" t="str">
        <f ca="1">+WORLDCUP!BD58</f>
        <v>Corea del Sur</v>
      </c>
      <c r="H492" s="11" t="str">
        <f ca="1">+WORLDCUP!BD63</f>
        <v>Suecia</v>
      </c>
      <c r="I492" s="11" t="str">
        <f ca="1">+WORLDCUP!BD69</f>
        <v>Ghana</v>
      </c>
      <c r="J492" s="11" t="str">
        <f ca="1">+WORLDCUP!BD62</f>
        <v>Costa de Marfil</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Haití</v>
      </c>
      <c r="D493" s="11" t="str">
        <f ca="1">+WORLDCUP!BD64</f>
        <v>Irán</v>
      </c>
      <c r="E493" s="11" t="str">
        <f ca="1">+WORLDCUP!BD59</f>
        <v>Catar</v>
      </c>
      <c r="F493" s="11" t="str">
        <f ca="1">+WORLDCUP!BD61</f>
        <v>Australia</v>
      </c>
      <c r="G493" s="11" t="str">
        <f ca="1">+WORLDCUP!BD58</f>
        <v>Corea del Sur</v>
      </c>
      <c r="H493" s="11" t="str">
        <f ca="1">+WORLDCUP!BD63</f>
        <v>Suecia</v>
      </c>
      <c r="I493" s="11" t="str">
        <f ca="1">+WORLDCUP!BD62</f>
        <v>Costa de Marfil</v>
      </c>
      <c r="J493" s="11" t="str">
        <f ca="1">+WORLDCUP!BD68</f>
        <v>Uzbekistán</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Haití</v>
      </c>
      <c r="D494" s="11" t="str">
        <f ca="1">+WORLDCUP!BD64</f>
        <v>Irán</v>
      </c>
      <c r="E494" s="11" t="str">
        <f ca="1">+WORLDCUP!BD59</f>
        <v>Catar</v>
      </c>
      <c r="F494" s="11" t="str">
        <f ca="1">+WORLDCUP!BD61</f>
        <v>Australia</v>
      </c>
      <c r="G494" s="11" t="str">
        <f ca="1">+WORLDCUP!BD58</f>
        <v>Corea del Sur</v>
      </c>
      <c r="H494" s="11" t="str">
        <f ca="1">+WORLDCUP!BD63</f>
        <v>Suecia</v>
      </c>
      <c r="I494" s="11" t="str">
        <f ca="1">+WORLDCUP!BD62</f>
        <v>Costa de Marfil</v>
      </c>
      <c r="J494" s="11" t="str">
        <f ca="1">+WORLDCUP!BD67</f>
        <v>Austria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Haití</v>
      </c>
      <c r="D495" s="11" t="str">
        <f ca="1">+WORLDCUP!BD64</f>
        <v>Irán</v>
      </c>
      <c r="E495" s="11" t="str">
        <f ca="1">+WORLDCUP!BD59</f>
        <v>Catar</v>
      </c>
      <c r="F495" s="11" t="str">
        <f ca="1">+WORLDCUP!BD61</f>
        <v>Australia</v>
      </c>
      <c r="G495" s="11" t="str">
        <f ca="1">+WORLDCUP!BD58</f>
        <v>Corea del Sur</v>
      </c>
      <c r="H495" s="11" t="str">
        <f ca="1">+WORLDCUP!BD63</f>
        <v>Suecia</v>
      </c>
      <c r="I495" s="11" t="str">
        <f ca="1">+WORLDCUP!BD62</f>
        <v>Costa de Marfil</v>
      </c>
      <c r="J495" s="11" t="str">
        <f ca="1">+WORLDCUP!BD66</f>
        <v>Irak</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Arabia Saudita</v>
      </c>
      <c r="D496" s="11" t="str">
        <f ca="1">+WORLDCUP!BD64</f>
        <v>Irán</v>
      </c>
      <c r="E496" s="11" t="str">
        <f ca="1">+WORLDCUP!BD59</f>
        <v>Catar</v>
      </c>
      <c r="F496" s="11" t="str">
        <f ca="1">+WORLDCUP!BD60</f>
        <v>Haití</v>
      </c>
      <c r="G496" s="11" t="str">
        <f ca="1">+WORLDCUP!BD58</f>
        <v>Corea del Sur</v>
      </c>
      <c r="H496" s="11" t="str">
        <f ca="1">+WORLDCUP!BD63</f>
        <v>Suecia</v>
      </c>
      <c r="I496" s="11" t="str">
        <f ca="1">+WORLDCUP!BD61</f>
        <v>Australia</v>
      </c>
      <c r="J496" s="11" t="str">
        <f ca="1">+WORLDCUP!BD62</f>
        <v>Costa de Marfil</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Faltan partidos</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Kevin  Perez</cp:lastModifiedBy>
  <cp:lastPrinted>2018-12-06T18:06:35Z</cp:lastPrinted>
  <dcterms:created xsi:type="dcterms:W3CDTF">2015-10-31T09:41:54Z</dcterms:created>
  <dcterms:modified xsi:type="dcterms:W3CDTF">2026-06-11T15:58:42Z</dcterms:modified>
  <cp:category/>
</cp:coreProperties>
</file>