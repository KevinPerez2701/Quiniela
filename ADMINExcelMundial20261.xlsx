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46F9C655-7F2A-4848-BE10-8F1335702F11}"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4395" yWindow="1575" windowWidth="21585" windowHeight="11055" tabRatio="749" activeTab="2"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Q59" i="46" s="1"/>
  <c r="P58" i="46"/>
  <c r="O58" i="46"/>
  <c r="P57" i="46"/>
  <c r="O57" i="46"/>
  <c r="P56" i="46"/>
  <c r="Q56" i="46" s="1"/>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C10" i="30" s="1"/>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D38" i="36"/>
  <c r="W158" i="3" s="1"/>
  <c r="D468" i="36"/>
  <c r="K248" i="46" s="1"/>
  <c r="D184" i="36"/>
  <c r="K114" i="46" s="1"/>
  <c r="D181" i="36"/>
  <c r="K111" i="46" s="1"/>
  <c r="D138" i="36"/>
  <c r="D197" i="36"/>
  <c r="K127" i="46" s="1"/>
  <c r="D464" i="36"/>
  <c r="N4" i="47" s="1"/>
  <c r="D72" i="36"/>
  <c r="D73" i="36"/>
  <c r="D74" i="36"/>
  <c r="AY3" i="3" s="1"/>
  <c r="D148" i="36"/>
  <c r="K246" i="46" s="1"/>
  <c r="D136" i="36"/>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D194" i="36"/>
  <c r="D186" i="36"/>
  <c r="K116" i="46" s="1"/>
  <c r="D178" i="36"/>
  <c r="K108" i="46" s="1"/>
  <c r="D170" i="36"/>
  <c r="K100" i="46" s="1"/>
  <c r="D162" i="36"/>
  <c r="K92" i="46" s="1"/>
  <c r="D154" i="36"/>
  <c r="K84" i="46" s="1"/>
  <c r="D456" i="36"/>
  <c r="F4" i="47" s="1"/>
  <c r="D34" i="36"/>
  <c r="W152" i="3" s="1"/>
  <c r="D466" i="36"/>
  <c r="P4" i="47" s="1"/>
  <c r="D462" i="36"/>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K79" i="46"/>
  <c r="D93" i="36"/>
  <c r="D104" i="36"/>
  <c r="L32" i="34" s="1"/>
  <c r="D96" i="36"/>
  <c r="L18" i="34" s="1"/>
  <c r="D89" i="36"/>
  <c r="L9" i="34" s="1"/>
  <c r="D95" i="36"/>
  <c r="L15" i="34" s="1"/>
  <c r="D94" i="36"/>
  <c r="L14" i="34" s="1"/>
  <c r="K112" i="46"/>
  <c r="D112" i="36"/>
  <c r="D110" i="36"/>
  <c r="L45" i="34" s="1"/>
  <c r="D86" i="36"/>
  <c r="L4" i="34" s="1"/>
  <c r="D101" i="36"/>
  <c r="L27" i="34" s="1"/>
  <c r="D100" i="36"/>
  <c r="L25" i="34" s="1"/>
  <c r="D103" i="36"/>
  <c r="D99" i="36"/>
  <c r="L23" i="34" s="1"/>
  <c r="D102" i="36"/>
  <c r="D98" i="36"/>
  <c r="L21" i="34" s="1"/>
  <c r="D92" i="36"/>
  <c r="L12" i="34" s="1"/>
  <c r="D97" i="36"/>
  <c r="L20" i="34" s="1"/>
  <c r="D91" i="36"/>
  <c r="L11" i="34" s="1"/>
  <c r="D88" i="36"/>
  <c r="D90" i="36"/>
  <c r="D87" i="36"/>
  <c r="L5" i="34" s="1"/>
  <c r="K199" i="46"/>
  <c r="B1" i="47"/>
  <c r="D509" i="36"/>
  <c r="D445" i="36"/>
  <c r="D446" i="36"/>
  <c r="D444" i="36"/>
  <c r="D302" i="36"/>
  <c r="M66" i="46"/>
  <c r="E222" i="46"/>
  <c r="E207" i="46"/>
  <c r="M207" i="46"/>
  <c r="K94" i="46"/>
  <c r="K181" i="46"/>
  <c r="D366" i="36"/>
  <c r="D443" i="36"/>
  <c r="D43" i="36"/>
  <c r="AA156" i="3" s="1"/>
  <c r="K249" i="46"/>
  <c r="C62" i="46" s="1"/>
  <c r="C39" i="46"/>
  <c r="AZ5" i="3"/>
  <c r="M37" i="46"/>
  <c r="E179" i="46"/>
  <c r="E247" i="46"/>
  <c r="E206" i="46"/>
  <c r="K113" i="46"/>
  <c r="I4" i="47"/>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D442" i="36"/>
  <c r="D50" i="46" s="1"/>
  <c r="D373" i="36"/>
  <c r="D55" i="36"/>
  <c r="AM5" i="3" s="1"/>
  <c r="D61" i="36"/>
  <c r="AS5" i="3" s="1"/>
  <c r="D41" i="36"/>
  <c r="AA154" i="3" s="1"/>
  <c r="D371" i="36"/>
  <c r="D54" i="36"/>
  <c r="BD5" i="3" s="1"/>
  <c r="BD57" i="3" s="1"/>
  <c r="D62" i="36"/>
  <c r="AT5" i="3" s="1"/>
  <c r="D137" i="36"/>
  <c r="H152" i="46" s="1"/>
  <c r="D260" i="36"/>
  <c r="H172" i="46" s="1"/>
  <c r="D42" i="36"/>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Q4" i="47"/>
  <c r="S7" i="51"/>
  <c r="D505" i="36"/>
  <c r="D107" i="36"/>
  <c r="B3" i="30"/>
  <c r="AX18" i="45"/>
  <c r="S267" i="46"/>
  <c r="K128" i="46"/>
  <c r="H228" i="46"/>
  <c r="H257" i="46"/>
  <c r="AZ37" i="3"/>
  <c r="AZ21" i="3"/>
  <c r="AZ13" i="3"/>
  <c r="AZ29" i="3"/>
  <c r="R7" i="51"/>
  <c r="AZ53" i="3"/>
  <c r="AZ77" i="3"/>
  <c r="AZ45" i="3"/>
  <c r="AZ69" i="3"/>
  <c r="AJ3" i="3"/>
  <c r="AJ60" i="3" s="1"/>
  <c r="AZ93" i="3"/>
  <c r="AZ85" i="3"/>
  <c r="H241" i="46"/>
  <c r="K224" i="46"/>
  <c r="L4" i="47"/>
  <c r="K139" i="46"/>
  <c r="K153" i="46"/>
  <c r="K136" i="46"/>
  <c r="K138" i="46"/>
  <c r="K132" i="46"/>
  <c r="K134" i="46"/>
  <c r="K144" i="46"/>
  <c r="K142" i="46"/>
  <c r="K152" i="46"/>
  <c r="K154" i="46"/>
  <c r="K148" i="46"/>
  <c r="K150" i="46"/>
  <c r="K160" i="46"/>
  <c r="K158" i="46"/>
  <c r="K137" i="46"/>
  <c r="H202" i="46"/>
  <c r="H204" i="46"/>
  <c r="H205" i="46"/>
  <c r="H207" i="46"/>
  <c r="Q22" i="6"/>
  <c r="H210" i="46"/>
  <c r="H229" i="46"/>
  <c r="H220" i="46"/>
  <c r="H227" i="46"/>
  <c r="H222" i="46"/>
  <c r="D21" i="36"/>
  <c r="AF3" i="3" s="1"/>
  <c r="AF51" i="3" s="1"/>
  <c r="D507" i="36"/>
  <c r="H221" i="46"/>
  <c r="D20" i="36"/>
  <c r="AD3" i="3" s="1"/>
  <c r="D506" i="36"/>
  <c r="L6" i="34"/>
  <c r="C7" i="46"/>
  <c r="H233" i="46"/>
  <c r="H236" i="46"/>
  <c r="H237" i="46"/>
  <c r="C61" i="46"/>
  <c r="AA155" i="3"/>
  <c r="M254" i="46" s="1"/>
  <c r="T254" i="46" s="1"/>
  <c r="AH155" i="3"/>
  <c r="AM53" i="3"/>
  <c r="AM21" i="3"/>
  <c r="Q23" i="6"/>
  <c r="K5" i="46"/>
  <c r="C56" i="46" s="1"/>
  <c r="AA160" i="3"/>
  <c r="M258" i="46" s="1"/>
  <c r="AL5" i="3"/>
  <c r="AY5" i="3" s="1"/>
  <c r="AR61" i="3"/>
  <c r="H232" i="46"/>
  <c r="AA158" i="3"/>
  <c r="M256" i="46" s="1"/>
  <c r="AH158" i="3"/>
  <c r="H216" i="46"/>
  <c r="AH154" i="3"/>
  <c r="AN45" i="3"/>
  <c r="AJ52" i="3"/>
  <c r="AJ84" i="3"/>
  <c r="M84" i="34"/>
  <c r="AC3" i="3"/>
  <c r="AC130" i="3" s="1"/>
  <c r="AJ36" i="3" l="1"/>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CM244" i="46"/>
  <c r="CM6"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CM232" i="46"/>
  <c r="CM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CM54" i="46"/>
  <c r="D367" i="36"/>
  <c r="AF91" i="3"/>
  <c r="AF67" i="3"/>
  <c r="AL85" i="3"/>
  <c r="AY85" i="3" s="1"/>
  <c r="AJ28" i="3"/>
  <c r="H244" i="46"/>
  <c r="H201" i="46"/>
  <c r="H214" i="46"/>
  <c r="H155" i="46"/>
  <c r="H140" i="46"/>
  <c r="H138" i="46"/>
  <c r="AL253" i="46"/>
  <c r="Z253" i="46"/>
  <c r="BA253" i="46"/>
  <c r="AR253" i="46"/>
  <c r="BJ253" i="46"/>
  <c r="BY253" i="46"/>
  <c r="AC253" i="46"/>
  <c r="AU253" i="46"/>
  <c r="CM253" i="46"/>
  <c r="CN253" i="46" s="1"/>
  <c r="BM253" i="46"/>
  <c r="CB253" i="46"/>
  <c r="AF253" i="46"/>
  <c r="AX253" i="46"/>
  <c r="BP253" i="46"/>
  <c r="CE253" i="46"/>
  <c r="AI253" i="46"/>
  <c r="BS253" i="46"/>
  <c r="BD253" i="46"/>
  <c r="CH253" i="46"/>
  <c r="W253" i="46"/>
  <c r="CK253" i="46"/>
  <c r="AO253" i="46"/>
  <c r="BG253" i="46"/>
  <c r="BV253" i="46"/>
  <c r="K193" i="46"/>
  <c r="K183" i="46"/>
  <c r="CM220" i="46"/>
  <c r="H213" i="46"/>
  <c r="H156" i="46"/>
  <c r="H134" i="46"/>
  <c r="H253" i="46"/>
  <c r="H254" i="46"/>
  <c r="H141" i="46"/>
  <c r="H133" i="46"/>
  <c r="CM200"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DT100" i="3" s="1"/>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AU53" i="46" l="1"/>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CM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9" i="3" l="1"/>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CF33" i="3" s="1"/>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32" i="3"/>
  <c r="CF46" i="3"/>
  <c r="CF53" i="3"/>
  <c r="E9" i="51"/>
  <c r="CF22" i="3"/>
  <c r="CF8" i="3"/>
  <c r="CF26" i="3"/>
  <c r="B46" i="51"/>
  <c r="B47" i="51" s="1"/>
  <c r="E10" i="51"/>
  <c r="E28" i="48"/>
  <c r="F27" i="48" a="1"/>
  <c r="F27" i="48" s="1"/>
  <c r="E12" i="51"/>
  <c r="E11" i="51"/>
  <c r="CF6" i="3" l="1"/>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<sst xmlns="http://schemas.openxmlformats.org/spreadsheetml/2006/main" count="13029" uniqueCount="2585">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</sst>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1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6" sqref="C6"/>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tr">
        <f>Idiomas!D47</f>
        <v>NombreGrupo</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Faltan 1 días para que empiece 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 xml:space="preserve">  </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46183</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4" sqref="AC4"/>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798" t="s">
        <v>0</v>
      </c>
      <c r="X4" s="189">
        <f ca="1">Horarios!C4</f>
        <v>46184.875</v>
      </c>
      <c r="Y4" s="190">
        <f ca="1">Horarios!C4</f>
        <v>46184.875</v>
      </c>
      <c r="Z4" s="191" t="str">
        <f>Idiomas!D63</f>
        <v>J1</v>
      </c>
      <c r="AA4" s="192" t="str">
        <f ca="1">+A5</f>
        <v>México</v>
      </c>
      <c r="AB4" s="480" t="str" cm="1">
        <f t="array" aca="1" ref="AB4" ca="1">Ver_flag_local</f>
        <v/>
      </c>
      <c r="AC4" s="193"/>
      <c r="AD4" s="194"/>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798"/>
      <c r="X5" s="189">
        <f ca="1">Horarios!C5</f>
        <v>46185.166666666664</v>
      </c>
      <c r="Y5" s="190">
        <f ca="1">Horarios!C5</f>
        <v>46185.166666666664</v>
      </c>
      <c r="Z5" s="191" t="str">
        <f>$Z$4</f>
        <v>J1</v>
      </c>
      <c r="AA5" s="192" t="str">
        <f ca="1">A7</f>
        <v>Corea del Sur</v>
      </c>
      <c r="AB5" s="480" t="str" cm="1">
        <f t="array" aca="1" ref="AB5" ca="1">Ver_flag_local</f>
        <v/>
      </c>
      <c r="AC5" s="193"/>
      <c r="AD5" s="194"/>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46191.75</v>
      </c>
      <c r="Y6" s="190">
        <f ca="1">Horarios!C6</f>
        <v>46191.75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46192.125</v>
      </c>
      <c r="Y7" s="190">
        <f ca="1">Horarios!C7</f>
        <v>46192.125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46198.125</v>
      </c>
      <c r="Y8" s="190">
        <f ca="1">Horarios!C8</f>
        <v>46198.125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46198.125</v>
      </c>
      <c r="Y9" s="229">
        <f ca="1">Horarios!C9</f>
        <v>46198.125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46185.875</v>
      </c>
      <c r="Y12" s="190">
        <f ca="1">Horarios!C12</f>
        <v>46185.875</v>
      </c>
      <c r="Z12" s="191" t="str">
        <f>$Z$4</f>
        <v>J1</v>
      </c>
      <c r="AA12" s="192" t="str">
        <f ca="1">A13</f>
        <v>Canadá</v>
      </c>
      <c r="AB12" s="478" t="str" cm="1">
        <f t="array" aca="1" ref="AB12" ca="1">Ver_flag_local</f>
        <v/>
      </c>
      <c r="AC12" s="193"/>
      <c r="AD12" s="194"/>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46186.875</v>
      </c>
      <c r="Y13" s="190">
        <f ca="1">Horarios!C13</f>
        <v>46186.875</v>
      </c>
      <c r="Z13" s="191" t="str">
        <f>$Z$4</f>
        <v>J1</v>
      </c>
      <c r="AA13" s="192" t="str">
        <f ca="1">A15</f>
        <v>Catar</v>
      </c>
      <c r="AB13" s="478" t="str" cm="1">
        <f t="array" aca="1" ref="AB13" ca="1">Ver_flag_local</f>
        <v/>
      </c>
      <c r="AC13" s="193"/>
      <c r="AD13" s="194"/>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46191.875</v>
      </c>
      <c r="Y14" s="190">
        <f ca="1">Horarios!C14</f>
        <v>46191.875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46192</v>
      </c>
      <c r="Y15" s="190">
        <f ca="1">Horarios!C15</f>
        <v>46192</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46197.875</v>
      </c>
      <c r="Y16" s="190">
        <f ca="1">Horarios!C16</f>
        <v>46197.875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46197.875</v>
      </c>
      <c r="Y17" s="229">
        <f ca="1">Horarios!C17</f>
        <v>46197.875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46187</v>
      </c>
      <c r="Y20" s="190">
        <f ca="1">Horarios!C20</f>
        <v>46187</v>
      </c>
      <c r="Z20" s="191" t="str">
        <f>$Z$4</f>
        <v>J1</v>
      </c>
      <c r="AA20" s="192" t="str">
        <f ca="1">A21</f>
        <v>Brasil</v>
      </c>
      <c r="AB20" s="478" t="str" cm="1">
        <f t="array" aca="1" ref="AB20" ca="1">Ver_flag_local</f>
        <v/>
      </c>
      <c r="AC20" s="193"/>
      <c r="AD20" s="194"/>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46187.125</v>
      </c>
      <c r="Y21" s="190">
        <f ca="1">Horarios!C21</f>
        <v>46187.125</v>
      </c>
      <c r="Z21" s="191" t="str">
        <f>$Z$4</f>
        <v>J1</v>
      </c>
      <c r="AA21" s="192" t="str">
        <f ca="1">A23</f>
        <v>Haití</v>
      </c>
      <c r="AB21" s="478" t="str" cm="1">
        <f t="array" aca="1" ref="AB21" ca="1">Ver_flag_local</f>
        <v/>
      </c>
      <c r="AC21" s="193"/>
      <c r="AD21" s="194"/>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46193</v>
      </c>
      <c r="Y22" s="190">
        <f ca="1">Horarios!C22</f>
        <v>46193</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46193.104166666664</v>
      </c>
      <c r="Y23" s="190">
        <f ca="1">Horarios!C23</f>
        <v>46193.104166666664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46198</v>
      </c>
      <c r="Y24" s="190">
        <f ca="1">Horarios!C24</f>
        <v>46198</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46198</v>
      </c>
      <c r="Y25" s="229">
        <f ca="1">Horarios!C25</f>
        <v>46198</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46186.125</v>
      </c>
      <c r="Y28" s="190">
        <f ca="1">Horarios!C28</f>
        <v>46186.125</v>
      </c>
      <c r="Z28" s="191" t="str">
        <f>$Z$4</f>
        <v>J1</v>
      </c>
      <c r="AA28" s="192" t="str">
        <f ca="1">A29</f>
        <v>Estados Unidos</v>
      </c>
      <c r="AB28" s="478" t="str" cm="1">
        <f t="array" aca="1" ref="AB28" ca="1">Ver_flag_local</f>
        <v/>
      </c>
      <c r="AC28" s="193"/>
      <c r="AD28" s="194"/>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46187.25</v>
      </c>
      <c r="Y29" s="190">
        <f ca="1">Horarios!C29</f>
        <v>46187.25</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46192.875</v>
      </c>
      <c r="Y30" s="190">
        <f ca="1">Horarios!C30</f>
        <v>46192.875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46193.208333333336</v>
      </c>
      <c r="Y31" s="190">
        <f ca="1">Horarios!C31</f>
        <v>46193.208333333336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46199.166666666664</v>
      </c>
      <c r="Y32" s="190">
        <f ca="1">Horarios!C32</f>
        <v>46199.166666666664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46199.166666666664</v>
      </c>
      <c r="Y33" s="229">
        <f ca="1">Horarios!C33</f>
        <v>46199.166666666664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46187.791666666664</v>
      </c>
      <c r="Y36" s="190">
        <f ca="1">Horarios!C36</f>
        <v>46187.791666666664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46188.041666666664</v>
      </c>
      <c r="Y37" s="190">
        <f ca="1">Horarios!C37</f>
        <v>46188.041666666664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46193.916666666664</v>
      </c>
      <c r="Y38" s="190">
        <f ca="1">Horarios!C38</f>
        <v>46193.916666666664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46194.083333333336</v>
      </c>
      <c r="Y39" s="190">
        <f ca="1">Horarios!C39</f>
        <v>46194.083333333336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46198.916666666664</v>
      </c>
      <c r="Y40" s="190">
        <f ca="1">Horarios!C40</f>
        <v>46198.916666666664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46198.916666666664</v>
      </c>
      <c r="Y41" s="229">
        <f ca="1">Horarios!C41</f>
        <v>46198.916666666664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46187.916666666664</v>
      </c>
      <c r="Y44" s="190">
        <f ca="1">Horarios!C44</f>
        <v>46187.916666666664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46188.166666666664</v>
      </c>
      <c r="Y45" s="190">
        <f ca="1">Horarios!C45</f>
        <v>46188.166666666664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46193.791666666664</v>
      </c>
      <c r="Y46" s="190">
        <f ca="1">Horarios!C46</f>
        <v>46193.791666666664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46194.25</v>
      </c>
      <c r="Y47" s="190">
        <f ca="1">Horarios!C47</f>
        <v>46194.25</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46199.041666666664</v>
      </c>
      <c r="Y48" s="190">
        <f ca="1">Horarios!C48</f>
        <v>46199.041666666664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46199.041666666664</v>
      </c>
      <c r="Y49" s="229">
        <f ca="1">Horarios!C49</f>
        <v>46199.041666666664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46188.875</v>
      </c>
      <c r="Y52" s="190">
        <f ca="1">Horarios!C52</f>
        <v>46188.875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46189.125</v>
      </c>
      <c r="Y53" s="190">
        <f ca="1">Horarios!C53</f>
        <v>46189.125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46194.875</v>
      </c>
      <c r="Y54" s="190">
        <f ca="1">Horarios!C54</f>
        <v>46194.875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46195.125</v>
      </c>
      <c r="Y55" s="190">
        <f ca="1">Horarios!C55</f>
        <v>46195.125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46200.208333333336</v>
      </c>
      <c r="Y56" s="190">
        <f ca="1">Horarios!C56</f>
        <v>46200.208333333336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46200.208333333336</v>
      </c>
      <c r="Y57" s="229">
        <f ca="1">Horarios!C57</f>
        <v>46200.208333333336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46188.75</v>
      </c>
      <c r="Y60" s="190">
        <f ca="1">Horarios!C60</f>
        <v>46188.75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46189</v>
      </c>
      <c r="Y61" s="190">
        <f ca="1">Horarios!C61</f>
        <v>46189</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46194.75</v>
      </c>
      <c r="Y62" s="190">
        <f ca="1">Horarios!C62</f>
        <v>46194.75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46195</v>
      </c>
      <c r="Y63" s="190">
        <f ca="1">Horarios!C63</f>
        <v>46195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46200.083333333336</v>
      </c>
      <c r="Y64" s="190">
        <f ca="1">Horarios!C64</f>
        <v>46200.083333333336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46200.083333333336</v>
      </c>
      <c r="Y65" s="229">
        <f ca="1">Horarios!C65</f>
        <v>46200.083333333336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46189.875</v>
      </c>
      <c r="Y68" s="190">
        <f ca="1">Horarios!C68</f>
        <v>46189.875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46190</v>
      </c>
      <c r="Y69" s="190">
        <f ca="1">Horarios!C69</f>
        <v>46190</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46195.958333333336</v>
      </c>
      <c r="Y70" s="190">
        <f ca="1">Horarios!C70</f>
        <v>46195.958333333336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46196.083333333336</v>
      </c>
      <c r="Y71" s="190">
        <f ca="1">Horarios!C71</f>
        <v>46196.083333333336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46199.875</v>
      </c>
      <c r="Y72" s="190">
        <f ca="1">Horarios!C72</f>
        <v>46199.875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46199.875</v>
      </c>
      <c r="Y73" s="229">
        <f ca="1">Horarios!C73</f>
        <v>46199.875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46190.125</v>
      </c>
      <c r="Y76" s="190">
        <f ca="1">Horarios!C76</f>
        <v>46190.125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46190.25</v>
      </c>
      <c r="Y77" s="190">
        <f ca="1">Horarios!C77</f>
        <v>46190.25</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46195.791666666664</v>
      </c>
      <c r="Y78" s="190">
        <f ca="1">Horarios!C78</f>
        <v>46195.791666666664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46196.208333333336</v>
      </c>
      <c r="Y79" s="190">
        <f ca="1">Horarios!C79</f>
        <v>46196.208333333336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46201.166666666664</v>
      </c>
      <c r="Y80" s="190">
        <f ca="1">Horarios!C80</f>
        <v>46201.166666666664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46201.166666666664</v>
      </c>
      <c r="Y81" s="229">
        <f ca="1">Horarios!C81</f>
        <v>46201.166666666664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46190.791666666664</v>
      </c>
      <c r="Y84" s="190">
        <f ca="1">Horarios!C84</f>
        <v>46190.791666666664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46191.166666666664</v>
      </c>
      <c r="Y85" s="190">
        <f ca="1">Horarios!C85</f>
        <v>46191.166666666664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46196.791666666664</v>
      </c>
      <c r="Y86" s="190">
        <f ca="1">Horarios!C86</f>
        <v>46196.791666666664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46197.166666666664</v>
      </c>
      <c r="Y87" s="190">
        <f ca="1">Horarios!C87</f>
        <v>46197.166666666664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46201.0625</v>
      </c>
      <c r="Y88" s="190">
        <f ca="1">Horarios!C88</f>
        <v>46201.0625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46201.0625</v>
      </c>
      <c r="Y89" s="229">
        <f ca="1">Horarios!C89</f>
        <v>46201.0625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46190.916666666664</v>
      </c>
      <c r="Y92" s="190">
        <f ca="1">Horarios!C92</f>
        <v>46190.916666666664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46191.041666666664</v>
      </c>
      <c r="Y93" s="190">
        <f ca="1">Horarios!C93</f>
        <v>46191.041666666664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46196.916666666664</v>
      </c>
      <c r="Y94" s="190">
        <f ca="1">Horarios!C94</f>
        <v>46196.916666666664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46197.041666666664</v>
      </c>
      <c r="Y95" s="190">
        <f ca="1">Horarios!C95</f>
        <v>46197.041666666664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46200.958333333336</v>
      </c>
      <c r="Y96" s="190">
        <f ca="1">Horarios!C96</f>
        <v>46200.958333333336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46200.958333333336</v>
      </c>
      <c r="Y97" s="229">
        <f ca="1">Horarios!C97</f>
        <v>46200.958333333336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46201.875</v>
      </c>
      <c r="Y101" s="190">
        <f ca="1">Horarios!C101</f>
        <v>46201.875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46202.791666666664</v>
      </c>
      <c r="Y102" s="190">
        <f ca="1">Horarios!C102</f>
        <v>46202.791666666664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46202.9375</v>
      </c>
      <c r="Y103" s="190">
        <f ca="1">Horarios!C103</f>
        <v>46202.9375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46203.125</v>
      </c>
      <c r="Y104" s="190">
        <f ca="1">Horarios!C104</f>
        <v>46203.125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46203.791666666664</v>
      </c>
      <c r="Y105" s="190">
        <f ca="1">Horarios!C105</f>
        <v>46203.791666666664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46204.125</v>
      </c>
      <c r="Y107" s="190">
        <f ca="1">Horarios!C107</f>
        <v>46204.125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46205.083333333336</v>
      </c>
      <c r="Y110" s="190">
        <f ca="1">Horarios!C110</f>
        <v>46205.083333333336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46206.208333333336</v>
      </c>
      <c r="Y113" s="190">
        <f ca="1">Horarios!C113</f>
        <v>46206.208333333336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46206.833333333336</v>
      </c>
      <c r="Y114" s="190">
        <f ca="1">Horarios!C114</f>
        <v>46206.833333333336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46207.791666666664</v>
      </c>
      <c r="Y120" s="190">
        <f ca="1">Horarios!C120</f>
        <v>46207.791666666664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abSelected="1" topLeftCell="BY1" zoomScaleNormal="100" workbookViewId="0">
      <selection activeCell="CJ9" sqref="CJ9"/>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c r="CN50" s="73">
        <f t="shared" si="57"/>
        <v>0</v>
      </c>
      <c r="CO50" s="65"/>
      <c r="CP50" s="65"/>
    </row>
    <row r="51" spans="1:94">
      <c r="A51" s="49"/>
      <c r="B51" s="49"/>
      <c r="C51" s="17"/>
      <c r="D51" s="17"/>
      <c r="E51" s="89"/>
      <c r="F51" s="445">
        <f t="shared" si="47"/>
        <v>6</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c r="CN51" s="73">
        <f t="shared" si="57"/>
        <v>0</v>
      </c>
      <c r="CO51" s="65"/>
      <c r="CP51" s="65"/>
    </row>
    <row r="52" spans="1:94">
      <c r="A52" s="49"/>
      <c r="B52" s="49"/>
      <c r="C52" s="17"/>
      <c r="D52" s="17"/>
      <c r="E52" s="89"/>
      <c r="F52" s="445">
        <f t="shared" si="47"/>
        <v>6</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c r="CN52" s="73">
        <f t="shared" si="57"/>
        <v>0</v>
      </c>
      <c r="CO52" s="65"/>
      <c r="CP52" s="65"/>
    </row>
    <row r="53" spans="1:94">
      <c r="A53" s="49"/>
      <c r="B53" s="49"/>
      <c r="C53" s="17"/>
      <c r="D53" s="203"/>
      <c r="E53" s="89"/>
      <c r="F53" s="445">
        <f t="shared" si="47"/>
        <v>6</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c r="CN53" s="79">
        <f t="shared" si="57"/>
        <v>0</v>
      </c>
      <c r="CO53" s="65"/>
      <c r="CP53" s="65"/>
    </row>
    <row r="54" spans="1:94">
      <c r="A54" s="49"/>
      <c r="B54" s="49"/>
      <c r="C54" s="17"/>
      <c r="D54" s="203"/>
      <c r="E54" s="89"/>
      <c r="F54" s="445">
        <f t="shared" si="47"/>
        <v>6</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c r="CN62" s="73">
        <f t="shared" si="60"/>
        <v>0</v>
      </c>
      <c r="CO62" s="65"/>
      <c r="CP62" s="65"/>
    </row>
    <row r="63" spans="1:94">
      <c r="A63" s="49"/>
      <c r="B63" s="49"/>
      <c r="C63" s="49"/>
      <c r="D63" s="49"/>
      <c r="E63" s="111"/>
      <c r="F63" s="445">
        <f t="shared" si="47"/>
        <v>6</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c r="CN65" s="73">
        <f t="shared" si="60"/>
        <v>0</v>
      </c>
      <c r="CO65" s="65"/>
      <c r="CP65" s="65"/>
    </row>
    <row r="66" spans="1:94">
      <c r="A66" s="49"/>
      <c r="B66" s="49"/>
      <c r="C66" s="17"/>
      <c r="D66" s="17"/>
      <c r="E66" s="111"/>
      <c r="F66" s="445">
        <f t="shared" si="47"/>
        <v>6</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c r="CN66" s="73">
        <f t="shared" si="62"/>
        <v>0</v>
      </c>
      <c r="CO66" s="65"/>
      <c r="CP66" s="65"/>
    </row>
    <row r="67" spans="1:94">
      <c r="A67" s="49"/>
      <c r="B67" s="49"/>
      <c r="C67" s="17"/>
      <c r="D67" s="17"/>
      <c r="E67" s="111"/>
      <c r="F67" s="445">
        <f t="shared" si="47"/>
        <v>6</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c r="CN67" s="73">
        <f t="shared" si="62"/>
        <v>0</v>
      </c>
      <c r="CO67" s="65"/>
      <c r="CP67" s="65"/>
    </row>
    <row r="68" spans="1:94">
      <c r="A68" s="49"/>
      <c r="B68" s="49"/>
      <c r="C68" s="17"/>
      <c r="D68" s="17"/>
      <c r="E68" s="111"/>
      <c r="F68" s="445">
        <f t="shared" si="47"/>
        <v>6</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c r="CN68" s="73">
        <f t="shared" si="62"/>
        <v>0</v>
      </c>
      <c r="CO68" s="65"/>
      <c r="CP68" s="65"/>
    </row>
    <row r="69" spans="1:94">
      <c r="A69" s="49"/>
      <c r="B69" s="49"/>
      <c r="C69" s="17"/>
      <c r="D69" s="17"/>
      <c r="E69" s="111"/>
      <c r="F69" s="445">
        <f t="shared" si="47"/>
        <v>6</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c r="CN71" s="73">
        <f t="shared" si="62"/>
        <v>0</v>
      </c>
      <c r="CO71" s="65"/>
      <c r="CP71" s="65"/>
    </row>
    <row r="72" spans="1:94">
      <c r="A72" s="49"/>
      <c r="B72" s="49"/>
      <c r="C72" s="17"/>
      <c r="D72" s="17"/>
      <c r="E72" s="111"/>
      <c r="F72" s="445">
        <f t="shared" si="64"/>
        <v>6</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c r="CN72" s="73">
        <f t="shared" si="62"/>
        <v>0</v>
      </c>
      <c r="CO72" s="65"/>
      <c r="CP72" s="65"/>
    </row>
    <row r="73" spans="1:94">
      <c r="A73" s="49"/>
      <c r="B73" s="49"/>
      <c r="C73" s="49"/>
      <c r="D73" s="49"/>
      <c r="E73" s="111"/>
      <c r="F73" s="445">
        <f t="shared" si="64"/>
        <v>6</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c r="CN73" s="73">
        <f t="shared" si="62"/>
        <v>0</v>
      </c>
      <c r="CO73" s="65"/>
      <c r="CP73" s="65"/>
    </row>
    <row r="74" spans="1:94">
      <c r="A74" s="49"/>
      <c r="B74" s="49"/>
      <c r="C74" s="49"/>
      <c r="D74" s="49"/>
      <c r="E74" s="111"/>
      <c r="F74" s="445">
        <f t="shared" si="64"/>
        <v>6</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c r="CN74" s="73">
        <f t="shared" si="62"/>
        <v>0</v>
      </c>
      <c r="CO74" s="65"/>
      <c r="CP74" s="65"/>
    </row>
    <row r="75" spans="1:94">
      <c r="A75" s="49"/>
      <c r="B75" s="49"/>
      <c r="C75" s="49"/>
      <c r="D75" s="49"/>
      <c r="E75" s="111"/>
      <c r="F75" s="445">
        <f t="shared" si="64"/>
        <v>6</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c r="CN75" s="73">
        <f t="shared" si="62"/>
        <v>0</v>
      </c>
      <c r="CO75" s="65"/>
      <c r="CP75" s="65"/>
    </row>
    <row r="76" spans="1:94">
      <c r="A76" s="49"/>
      <c r="B76" s="49"/>
      <c r="C76" s="17"/>
      <c r="D76" s="17"/>
      <c r="E76" s="111"/>
      <c r="F76" s="445">
        <f t="shared" si="64"/>
        <v>6</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c r="CN76" s="73">
        <f t="shared" si="62"/>
        <v>0</v>
      </c>
      <c r="CO76" s="65"/>
      <c r="CP76" s="65"/>
    </row>
    <row r="77" spans="1:94">
      <c r="A77" s="49"/>
      <c r="B77" s="49"/>
      <c r="C77" s="17"/>
      <c r="D77" s="17"/>
      <c r="E77" s="111"/>
      <c r="F77" s="445">
        <f t="shared" si="64"/>
        <v>6</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15</v>
      </c>
      <c r="H80" s="446">
        <f ca="1">$H$54</f>
        <v>46198</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15</v>
      </c>
      <c r="H81" s="446">
        <f ca="1">$H$54</f>
        <v>46198</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15</v>
      </c>
      <c r="H82" s="446">
        <f ca="1">$H$54</f>
        <v>46198</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15</v>
      </c>
      <c r="H83" s="446">
        <f ca="1">$H$54</f>
        <v>46198</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15</v>
      </c>
      <c r="H88" s="446">
        <f ca="1">$H$58</f>
        <v>46198</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15</v>
      </c>
      <c r="H89" s="446">
        <f ca="1">$H$58</f>
        <v>46198</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15</v>
      </c>
      <c r="H90" s="446">
        <f ca="1">$H$58</f>
        <v>46198</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15</v>
      </c>
      <c r="H91" s="446">
        <f ca="1">$H$58</f>
        <v>46198</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16</v>
      </c>
      <c r="H92" s="446">
        <f ca="1">$H$60</f>
        <v>46199</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16</v>
      </c>
      <c r="H93" s="446">
        <f ca="1">$H$60</f>
        <v>46199</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16</v>
      </c>
      <c r="H94" s="446">
        <f ca="1">$H$60</f>
        <v>46199</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16</v>
      </c>
      <c r="H95" s="446">
        <f ca="1">$H$60</f>
        <v>46199</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16</v>
      </c>
      <c r="H96" s="446">
        <f ca="1">$H$62</f>
        <v>46199</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16</v>
      </c>
      <c r="H97" s="446">
        <f ca="1">$H$62</f>
        <v>46199</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16</v>
      </c>
      <c r="H98" s="446">
        <f ca="1">$H$62</f>
        <v>46199</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16</v>
      </c>
      <c r="H99" s="446">
        <f ca="1">$H$62</f>
        <v>46199</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16</v>
      </c>
      <c r="H100" s="446">
        <f ca="1">$H$64</f>
        <v>46199</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16</v>
      </c>
      <c r="H101" s="446">
        <f ca="1">$H$64</f>
        <v>46199</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16</v>
      </c>
      <c r="H102" s="446">
        <f ca="1">$H$64</f>
        <v>46199</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16</v>
      </c>
      <c r="H103" s="446">
        <f ca="1">$H$64</f>
        <v>46199</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17</v>
      </c>
      <c r="H104" s="446">
        <f ca="1">$H$66</f>
        <v>46200</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17</v>
      </c>
      <c r="H105" s="446">
        <f ca="1">$H$66</f>
        <v>46200</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17</v>
      </c>
      <c r="H106" s="446">
        <f ca="1">$H$66</f>
        <v>46200</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17</v>
      </c>
      <c r="H107" s="446">
        <f ca="1">$H$66</f>
        <v>46200</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17</v>
      </c>
      <c r="H108" s="446">
        <f ca="1">$H$68</f>
        <v>46200</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17</v>
      </c>
      <c r="H109" s="446">
        <f ca="1">$H$68</f>
        <v>46200</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17</v>
      </c>
      <c r="H110" s="446">
        <f ca="1">$H$68</f>
        <v>46200</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17</v>
      </c>
      <c r="H111" s="446">
        <f ca="1">$H$68</f>
        <v>46200</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18</v>
      </c>
      <c r="H116" s="446">
        <f ca="1">$H$72</f>
        <v>46201</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18</v>
      </c>
      <c r="H117" s="446">
        <f ca="1">$H$72</f>
        <v>46201</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18</v>
      </c>
      <c r="H118" s="446">
        <f ca="1">$H$72</f>
        <v>46201</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18</v>
      </c>
      <c r="H119" s="446">
        <f ca="1">$H$72</f>
        <v>46201</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18</v>
      </c>
      <c r="H120" s="446">
        <f ca="1">$H$74</f>
        <v>46201</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18</v>
      </c>
      <c r="H121" s="446">
        <f ca="1">$H$74</f>
        <v>46201</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18</v>
      </c>
      <c r="H122" s="446">
        <f ca="1">$H$74</f>
        <v>46201</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18</v>
      </c>
      <c r="H123" s="446">
        <f ca="1">$H$74</f>
        <v>46201</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18</v>
      </c>
      <c r="H124" s="446">
        <f ca="1">$H$76</f>
        <v>46201</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18</v>
      </c>
      <c r="H125" s="446">
        <f ca="1">$H$76</f>
        <v>46201</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18</v>
      </c>
      <c r="H126" s="446">
        <f ca="1">$H$76</f>
        <v>46201</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18</v>
      </c>
      <c r="H127" s="446">
        <f ca="1">$H$76</f>
        <v>46201</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1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NombreGrupo</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Pegar Valores Nombre J25</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Pegar Valores Nombre J25</v>
      </c>
      <c r="G28" s="429" t="str">
        <f ca="1">IFERROR(VLOOKUP(G$2,Rango_Admin_DailyPred,MATCH($F28,Rango_Admin_DailyPred_Primera,0),0),"-")</f>
        <v>Pegar Valores (J1)</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t="str">
        <f ca="1">IFERROR(VLOOKUP(I$2,Rango_Admin_DailyPred,MATCH($F4,Rango_Admin_DailyPred_Primera,0)+1,0),"-")</f>
        <v>-</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t="str">
        <f ca="1">IFERROR(VLOOKUP(I$2,Rango_Admin_DailyPred,MATCH($F5,Rango_Admin_DailyPred_Primera,0)+1,0),"-")</f>
        <v>-</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t="str">
        <f ca="1">IFERROR(VLOOKUP(I$2,Rango_Admin_DailyPred,MATCH($F6,Rango_Admin_DailyPred_Primera,0)+1,0),"-")</f>
        <v>-</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Pegar Valores Nombre J25</v>
      </c>
      <c r="G28" s="22">
        <f ca="1">IFERROR(HLOOKUP(C28,Rango_Admin_DailyClas,4,FALSE),"-")</f>
        <v>0</v>
      </c>
      <c r="H28" s="429">
        <f ca="1">IFERROR(VLOOKUP(H$2,Rango_Admin_DailyPred,MATCH($F28,Rango_Admin_DailyPred_Primera,0)+1,0),"-")</f>
        <v>0</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6</v>
      </c>
      <c r="F8" s="456">
        <f ca="1">IFERROR(E8/$B$46,0)</f>
        <v>4.6439628482972135E-3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1</v>
      </c>
      <c r="N8" s="469">
        <f ca="1">IFERROR(COUNTIF(ADMIN!$S$130:INDEX(ADMIN!$S$130:$HL$161,32,ADMIN!$D$5*3-1),Stats!$L8)-SUM(O8:T8),0)</f>
        <v>2</v>
      </c>
      <c r="O8" s="469">
        <f ca="1">COUNTIF(ADMIN!$S$182:INDEX(ADMIN!$S$182:$HL$197,16,ADMIN!$D$5*3-1),Stats!$L8)-SUM(P8:T8)</f>
        <v>20</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6</v>
      </c>
      <c r="F10" s="456">
        <f ca="1">IFERROR(E10/$B$46,0)</f>
        <v>4.6439628482972135E-3</v>
      </c>
      <c r="G10" s="17"/>
      <c r="H10" s="454"/>
      <c r="I10" s="704"/>
      <c r="J10" s="706"/>
      <c r="K10" s="404"/>
      <c r="L10" s="133" t="str">
        <f ca="1">Horarios!Q5</f>
        <v>Argelia</v>
      </c>
      <c r="M10" s="469">
        <f ca="1">ADMIN!$D$5-SUM(N10:T10)</f>
        <v>10</v>
      </c>
      <c r="N10" s="469">
        <f ca="1">IFERROR(COUNTIF(ADMIN!$S$130:INDEX(ADMIN!$S$130:$HL$161,32,ADMIN!$D$5*3-1),Stats!$L10)-SUM(O10:T10),0)</f>
        <v>13</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1286</v>
      </c>
      <c r="F11" s="456">
        <f ca="1">IFERROR(1-F10,0)</f>
        <v>0.99535603715170273</v>
      </c>
      <c r="G11" s="17"/>
      <c r="H11" s="457"/>
      <c r="I11" s="704"/>
      <c r="J11" s="706"/>
      <c r="K11" s="404"/>
      <c r="L11" s="132" t="str">
        <f ca="1">Horarios!Q6</f>
        <v>Argentina</v>
      </c>
      <c r="M11" s="471">
        <f ca="1">ADMIN!$D$5-SUM(N11:T11)</f>
        <v>1</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2</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150</v>
      </c>
      <c r="F12" s="456">
        <f ca="1">IFERROR(E12/B47,0)</f>
        <v>4.6439628482972135E-3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2</v>
      </c>
      <c r="N13" s="471">
        <f ca="1">IFERROR(COUNTIF(ADMIN!$S$130:INDEX(ADMIN!$S$130:$HL$161,32,ADMIN!$D$5*3-1),Stats!$L13)-SUM(O13:T13),0)</f>
        <v>23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1</v>
      </c>
      <c r="N14" s="469">
        <f ca="1">IFERROR(COUNTIF(ADMIN!$S$130:INDEX(ADMIN!$S$130:$HL$161,32,ADMIN!$D$5*3-1),Stats!$L14)-SUM(O14:T14),0)</f>
        <v>2</v>
      </c>
      <c r="O14" s="469">
        <f ca="1">COUNTIF(ADMIN!$S$182:INDEX(ADMIN!$S$182:$HL$197,16,ADMIN!$D$5*3-1),Stats!$L14)-SUM(P14:T14)</f>
        <v>9</v>
      </c>
      <c r="P14" s="469">
        <f ca="1">COUNTIF(ADMIN!$S$210:INDEX(ADMIN!$S$210:$HL$217,8,ADMIN!$D$5*3-1),Stats!$L14)-SUM(Q14:T14)</f>
        <v>13</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8</v>
      </c>
      <c r="N15" s="471">
        <f ca="1">IFERROR(COUNTIF(ADMIN!$S$130:INDEX(ADMIN!$S$130:$HL$161,32,ADMIN!$D$5*3-1),Stats!$L15)-SUM(O15:T15),0)</f>
        <v>16</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1</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3</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3</v>
      </c>
      <c r="N18" s="469">
        <f ca="1">IFERROR(COUNTIF(ADMIN!$S$130:INDEX(ADMIN!$S$130:$HL$161,32,ADMIN!$D$5*3-1),Stats!$L18)-SUM(O18:T18),0)</f>
        <v>9</v>
      </c>
      <c r="O18" s="469">
        <f ca="1">COUNTIF(ADMIN!$S$182:INDEX(ADMIN!$S$182:$HL$197,16,ADMIN!$D$5*3-1),Stats!$L18)-SUM(P18:T18)</f>
        <v>13</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1</v>
      </c>
      <c r="N20" s="469">
        <f ca="1">IFERROR(COUNTIF(ADMIN!$S$130:INDEX(ADMIN!$S$130:$HL$161,32,ADMIN!$D$5*3-1),Stats!$L20)-SUM(O20:T20),0)</f>
        <v>6</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5</v>
      </c>
      <c r="N21" s="471">
        <f ca="1">IFERROR(COUNTIF(ADMIN!$S$130:INDEX(ADMIN!$S$130:$HL$161,32,ADMIN!$D$5*3-1),Stats!$L21)-SUM(O21:T21),0)</f>
        <v>11</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6</v>
      </c>
      <c r="C22" s="17"/>
      <c r="D22" s="17"/>
      <c r="E22" s="17"/>
      <c r="F22" s="17"/>
      <c r="G22" s="17"/>
      <c r="H22" s="454"/>
      <c r="I22" s="704"/>
      <c r="J22" s="475"/>
      <c r="K22" s="475"/>
      <c r="L22" s="133" t="str">
        <f ca="1">Horarios!Q17</f>
        <v>Costa de Marfil</v>
      </c>
      <c r="M22" s="469">
        <f ca="1">ADMIN!$D$5-SUM(N22:T22)</f>
        <v>6</v>
      </c>
      <c r="N22" s="469">
        <f ca="1">IFERROR(COUNTIF(ADMIN!$S$130:INDEX(ADMIN!$S$130:$HL$161,32,ADMIN!$D$5*3-1),Stats!$L22)-SUM(O22:T22),0)</f>
        <v>16</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1</v>
      </c>
      <c r="N23" s="471">
        <f ca="1">IFERROR(COUNTIF(ADMIN!$S$130:INDEX(ADMIN!$S$130:$HL$161,32,ADMIN!$D$5*3-1),Stats!$L23)-SUM(O23:T23),0)</f>
        <v>19</v>
      </c>
      <c r="O23" s="471">
        <f ca="1">COUNTIF(ADMIN!$S$182:INDEX(ADMIN!$S$182:$HL$197,16,ADMIN!$D$5*3-1),Stats!$L23)-SUM(P23:T23)</f>
        <v>4</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12</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1</v>
      </c>
      <c r="N25" s="471">
        <f ca="1">IFERROR(COUNTIF(ADMIN!$S$130:INDEX(ADMIN!$S$130:$HL$161,32,ADMIN!$D$5*3-1),Stats!$L25)-SUM(O25:T25),0)</f>
        <v>11</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30</v>
      </c>
      <c r="C26" s="17"/>
      <c r="D26" s="17"/>
      <c r="E26" s="17"/>
      <c r="F26" s="17"/>
      <c r="G26" s="17"/>
      <c r="H26" s="454"/>
      <c r="I26" s="704"/>
      <c r="J26" s="475"/>
      <c r="K26" s="475"/>
      <c r="L26" s="133" t="str">
        <f ca="1">Horarios!Q21</f>
        <v>Egipto</v>
      </c>
      <c r="M26" s="469">
        <f ca="1">ADMIN!$D$5-SUM(N26:T26)</f>
        <v>7</v>
      </c>
      <c r="N26" s="469">
        <f ca="1">IFERROR(COUNTIF(ADMIN!$S$130:INDEX(ADMIN!$S$130:$HL$161,32,ADMIN!$D$5*3-1),Stats!$L26)-SUM(O26:T26),0)</f>
        <v>14</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18</v>
      </c>
      <c r="C27" s="17"/>
      <c r="D27" s="17"/>
      <c r="E27" s="17"/>
      <c r="F27" s="17"/>
      <c r="G27" s="17"/>
      <c r="H27" s="457"/>
      <c r="I27" s="704"/>
      <c r="J27" s="475"/>
      <c r="K27" s="475"/>
      <c r="L27" s="132" t="str">
        <f ca="1">Horarios!Q22</f>
        <v>Escocia</v>
      </c>
      <c r="M27" s="471">
        <f ca="1">ADMIN!$D$5-SUM(N27:T27)</f>
        <v>10</v>
      </c>
      <c r="N27" s="471">
        <f ca="1">IFERROR(COUNTIF(ADMIN!$S$130:INDEX(ADMIN!$S$130:$HL$161,32,ADMIN!$D$5*3-1),Stats!$L27)-SUM(O27:T27),0)</f>
        <v>15</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1</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1</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30</v>
      </c>
      <c r="C29" s="17"/>
      <c r="D29" s="17"/>
      <c r="E29" s="17"/>
      <c r="F29" s="17"/>
      <c r="G29" s="17"/>
      <c r="H29" s="457"/>
      <c r="I29" s="704"/>
      <c r="J29" s="475"/>
      <c r="K29" s="475"/>
      <c r="L29" s="132" t="str">
        <f ca="1">Horarios!Q24</f>
        <v>Estados Unidos</v>
      </c>
      <c r="M29" s="471">
        <f ca="1">ADMIN!$D$5-SUM(N29:T29)</f>
        <v>3</v>
      </c>
      <c r="N29" s="471">
        <f ca="1">IFERROR(COUNTIF(ADMIN!$S$130:INDEX(ADMIN!$S$130:$HL$161,32,ADMIN!$D$5*3-1),Stats!$L29)-SUM(O29:T29),0)</f>
        <v>11</v>
      </c>
      <c r="O29" s="471">
        <f ca="1">COUNTIF(ADMIN!$S$182:INDEX(ADMIN!$S$182:$HL$197,16,ADMIN!$D$5*3-1),Stats!$L29)-SUM(P29:T29)</f>
        <v>10</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18</v>
      </c>
      <c r="C30" s="17"/>
      <c r="D30" s="17"/>
      <c r="E30" s="17"/>
      <c r="F30" s="17"/>
      <c r="G30" s="17"/>
      <c r="H30" s="454"/>
      <c r="I30" s="704"/>
      <c r="J30" s="475"/>
      <c r="K30" s="475"/>
      <c r="L30" s="133" t="str">
        <f ca="1">Horarios!Q25</f>
        <v>Francia</v>
      </c>
      <c r="M30" s="469">
        <f ca="1">ADMIN!$D$5-SUM(N30:T30)</f>
        <v>1</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4</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10</v>
      </c>
      <c r="N31" s="471">
        <f ca="1">IFERROR(COUNTIF(ADMIN!$S$130:INDEX(ADMIN!$S$130:$HL$161,32,ADMIN!$D$5*3-1),Stats!$L31)-SUM(O31:T31),0)</f>
        <v>14</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30</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18</v>
      </c>
      <c r="C33" s="17"/>
      <c r="D33" s="17"/>
      <c r="E33" s="17"/>
      <c r="F33" s="17"/>
      <c r="G33" s="17"/>
      <c r="H33" s="17"/>
      <c r="I33" s="17"/>
      <c r="J33" s="475"/>
      <c r="K33" s="475"/>
      <c r="L33" s="132" t="str">
        <f ca="1">Horarios!Q28</f>
        <v>Inglaterra</v>
      </c>
      <c r="M33" s="471">
        <f ca="1">ADMIN!$D$5-SUM(N33:T33)</f>
        <v>1</v>
      </c>
      <c r="N33" s="471">
        <f ca="1">IFERROR(COUNTIF(ADMIN!$S$130:INDEX(ADMIN!$S$130:$HL$161,32,ADMIN!$D$5*3-1),Stats!$L33)-SUM(O33:T33),0)</f>
        <v>1</v>
      </c>
      <c r="O33" s="471">
        <f ca="1">COUNTIF(ADMIN!$S$182:INDEX(ADMIN!$S$182:$HL$197,16,ADMIN!$D$5*3-1),Stats!$L33)-SUM(P33:T33)</f>
        <v>1</v>
      </c>
      <c r="P33" s="471">
        <f ca="1">COUNTIF(ADMIN!$S$210:INDEX(ADMIN!$S$210:$HL$217,8,ADMIN!$D$5*3-1),Stats!$L33)-SUM(Q33:T33)</f>
        <v>13</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43</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50</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2</v>
      </c>
      <c r="N36" s="469">
        <f ca="1">IFERROR(COUNTIF(ADMIN!$S$130:INDEX(ADMIN!$S$130:$HL$161,32,ADMIN!$D$5*3-1),Stats!$L36)-SUM(O36:T36),0)</f>
        <v>20</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100</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50</v>
      </c>
      <c r="C38" s="17"/>
      <c r="D38" s="25"/>
      <c r="E38" s="25"/>
      <c r="F38" s="25"/>
      <c r="G38" s="17"/>
      <c r="H38" s="17"/>
      <c r="I38" s="17"/>
      <c r="J38" s="25"/>
      <c r="K38" s="25"/>
      <c r="L38" s="133" t="str">
        <f ca="1">Horarios!Q33</f>
        <v>Marruecos</v>
      </c>
      <c r="M38" s="469">
        <f ca="1">ADMIN!$D$5-SUM(N38:T38)</f>
        <v>4</v>
      </c>
      <c r="N38" s="469">
        <f ca="1">IFERROR(COUNTIF(ADMIN!$S$130:INDEX(ADMIN!$S$130:$HL$161,32,ADMIN!$D$5*3-1),Stats!$L38)-SUM(O38:T38),0)</f>
        <v>15</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75</v>
      </c>
      <c r="C39" s="17"/>
      <c r="D39" s="453"/>
      <c r="E39" s="453"/>
      <c r="F39" s="453"/>
      <c r="G39" s="17"/>
      <c r="H39" s="17"/>
      <c r="I39" s="17"/>
      <c r="J39" s="25"/>
      <c r="K39" s="25"/>
      <c r="L39" s="132" t="str">
        <f ca="1">Horarios!Q34</f>
        <v>México</v>
      </c>
      <c r="M39" s="471">
        <f ca="1">ADMIN!$D$5-SUM(N39:T39)</f>
        <v>2</v>
      </c>
      <c r="N39" s="471">
        <f ca="1">IFERROR(COUNTIF(ADMIN!$S$130:INDEX(ADMIN!$S$130:$HL$161,32,ADMIN!$D$5*3-1),Stats!$L39)-SUM(O39:T39),0)</f>
        <v>7</v>
      </c>
      <c r="O39" s="471">
        <f ca="1">COUNTIF(ADMIN!$S$182:INDEX(ADMIN!$S$182:$HL$197,16,ADMIN!$D$5*3-1),Stats!$L39)-SUM(P39:T39)</f>
        <v>16</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2</v>
      </c>
      <c r="N40" s="469">
        <f ca="1">IFERROR(COUNTIF(ADMIN!$S$130:INDEX(ADMIN!$S$130:$HL$161,32,ADMIN!$D$5*3-1),Stats!$L40)-SUM(O40:T40),0)</f>
        <v>12</v>
      </c>
      <c r="O40" s="469">
        <f ca="1">COUNTIF(ADMIN!$S$182:INDEX(ADMIN!$S$182:$HL$197,16,ADMIN!$D$5*3-1),Stats!$L40)-SUM(P40:T40)</f>
        <v>7</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1</v>
      </c>
      <c r="N42" s="469">
        <f ca="1">IFERROR(COUNTIF(ADMIN!$S$130:INDEX(ADMIN!$S$130:$HL$161,32,ADMIN!$D$5*3-1),Stats!$L42)-SUM(O42:T42),0)</f>
        <v>8</v>
      </c>
      <c r="O42" s="469">
        <f ca="1">COUNTIF(ADMIN!$S$182:INDEX(ADMIN!$S$182:$HL$197,16,ADMIN!$D$5*3-1),Stats!$L42)-SUM(P42:T42)</f>
        <v>0</v>
      </c>
      <c r="P42" s="469">
        <f ca="1">COUNTIF(ADMIN!$S$210:INDEX(ADMIN!$S$210:$HL$217,8,ADMIN!$D$5*3-1),Stats!$L42)-SUM(Q42:T42)</f>
        <v>14</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7</v>
      </c>
      <c r="N44" s="469">
        <f ca="1">IFERROR(COUNTIF(ADMIN!$S$130:INDEX(ADMIN!$S$130:$HL$161,32,ADMIN!$D$5*3-1),Stats!$L44)-SUM(O44:T44),0)</f>
        <v>6</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
      </c>
      <c r="F45" s="453"/>
      <c r="G45" s="17"/>
      <c r="H45" s="17"/>
      <c r="I45" s="17"/>
      <c r="J45" s="25"/>
      <c r="K45" s="25"/>
      <c r="L45" s="132" t="str">
        <f ca="1">Horarios!Q40</f>
        <v>Portugal</v>
      </c>
      <c r="M45" s="471">
        <f ca="1">ADMIN!$D$5-SUM(N45:T45)</f>
        <v>1</v>
      </c>
      <c r="N45" s="471">
        <f ca="1">IFERROR(COUNTIF(ADMIN!$S$130:INDEX(ADMIN!$S$130:$HL$161,32,ADMIN!$D$5*3-1),Stats!$L45)-SUM(O45:T45),0)</f>
        <v>0</v>
      </c>
      <c r="O45" s="471">
        <f ca="1">COUNTIF(ADMIN!$S$182:INDEX(ADMIN!$S$182:$HL$197,16,ADMIN!$D$5*3-1),Stats!$L45)-SUM(P45:T45)</f>
        <v>1</v>
      </c>
      <c r="P45" s="471">
        <f ca="1">COUNTIF(ADMIN!$S$210:INDEX(ADMIN!$S$210:$HL$217,8,ADMIN!$D$5*3-1),Stats!$L45)-SUM(Q45:T45)</f>
        <v>8</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8</v>
      </c>
      <c r="N47" s="471">
        <f ca="1">IFERROR(COUNTIF(ADMIN!$S$130:INDEX(ADMIN!$S$130:$HL$161,32,ADMIN!$D$5*3-1),Stats!$L47)-SUM(O47:T47),0)</f>
        <v>11</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6</v>
      </c>
      <c r="N48" s="469">
        <f ca="1">IFERROR(COUNTIF(ADMIN!$S$130:INDEX(ADMIN!$S$130:$HL$161,32,ADMIN!$D$5*3-1),Stats!$L48)-SUM(O48:T48),0)</f>
        <v>16</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2</v>
      </c>
      <c r="N51" s="471">
        <f ca="1">IFERROR(COUNTIF(ADMIN!$S$130:INDEX(ADMIN!$S$130:$HL$161,32,ADMIN!$D$5*3-1),Stats!$L51)-SUM(O51:T51),0)</f>
        <v>3</v>
      </c>
      <c r="O51" s="471">
        <f ca="1">COUNTIF(ADMIN!$S$182:INDEX(ADMIN!$S$182:$HL$197,16,ADMIN!$D$5*3-1),Stats!$L51)-SUM(P51:T51)</f>
        <v>20</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4</v>
      </c>
      <c r="N53" s="471">
        <f ca="1">IFERROR(COUNTIF(ADMIN!$S$130:INDEX(ADMIN!$S$130:$HL$161,32,ADMIN!$D$5*3-1),Stats!$L53)-SUM(O53:T53),0)</f>
        <v>2</v>
      </c>
      <c r="O53" s="471">
        <f ca="1">COUNTIF(ADMIN!$S$182:INDEX(ADMIN!$S$182:$HL$197,16,ADMIN!$D$5*3-1),Stats!$L53)-SUM(P53:T53)</f>
        <v>14</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1</v>
      </c>
      <c r="N54" s="469">
        <f ca="1">IFERROR(COUNTIF(ADMIN!$S$130:INDEX(ADMIN!$S$130:$HL$161,32,ADMIN!$D$5*3-1),Stats!$L54)-SUM(O54:T54),0)</f>
        <v>19</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46201</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cm="1">
        <f t="array" aca="1" ref="Q57" ca="1">IFERROR(INDEX($Q$2:$Q$25,SMALL(IF(($Q$2:$Q$25)=0,"",ROW($Q$2:$Q$25)),ROW(Q18))-MIN(ROW($Q$2:$Q$25))+1),"")</f>
        <v>46201</v>
      </c>
      <c r="R57" s="790">
        <f ca="1"/>
        <v>46201</v>
      </c>
      <c r="T57" s="723"/>
    </row>
    <row r="58" spans="1:20" ht="15" customHeight="1">
      <c r="O58" s="722"/>
      <c r="Q58" s="790" t="str" cm="1">
        <f t="array" aca="1" ref="Q58" ca="1">IFERROR(INDEX($Q$2:$Q$25,SMALL(IF(($Q$2:$Q$25)=0,"",ROW($Q$2:$Q$25)),ROW(Q19))-MIN(ROW($Q$2:$Q$25))+1),"")</f>
        <v>Clasificados Para Dieciseisavos</v>
      </c>
      <c r="R58" s="786" t="str">
        <f ca="1"/>
        <v>Clasificados Para Dieciseisavos</v>
      </c>
      <c r="T58" s="723"/>
    </row>
    <row r="59" spans="1:20" ht="15" customHeight="1">
      <c r="O59" s="722"/>
      <c r="Q59" s="790" t="str" cm="1">
        <f t="array" aca="1" ref="Q59" ca="1">IFERROR(INDEX($Q$2:$Q$25,SMALL(IF(($Q$2:$Q$25)=0,"",ROW($Q$2:$Q$25)),ROW(Q20))-MIN(ROW($Q$2:$Q$25))+1),"")</f>
        <v>Dieciseisavos de final</v>
      </c>
      <c r="R59" s="786" t="str">
        <f ca="1"/>
        <v>Dieciseisavos de final</v>
      </c>
      <c r="T59" s="723"/>
    </row>
    <row r="60" spans="1:20" ht="15" customHeight="1">
      <c r="O60" s="722"/>
      <c r="Q60" s="790" t="str" cm="1">
        <f t="array" aca="1" ref="Q60" ca="1">IFERROR(INDEX($Q$2:$Q$25,SMALL(IF(($Q$2:$Q$25)=0,"",ROW($Q$2:$Q$25)),ROW(Q21))-MIN(ROW($Q$2:$Q$25))+1),"")</f>
        <v>Octavos de final</v>
      </c>
      <c r="R60" s="786" t="str">
        <f ca="1"/>
        <v>Octavos de final</v>
      </c>
      <c r="T60" s="723"/>
    </row>
    <row r="61" spans="1:20" ht="15" customHeight="1">
      <c r="O61" s="722"/>
      <c r="Q61" s="790" t="str" cm="1">
        <f t="array" aca="1" ref="Q61" ca="1">IFERROR(INDEX($Q$2:$Q$25,SMALL(IF(($Q$2:$Q$25)=0,"",ROW($Q$2:$Q$25)),ROW(Q22))-MIN(ROW($Q$2:$Q$25))+1),"")</f>
        <v>Cuartos de final</v>
      </c>
      <c r="R61" s="786" t="str">
        <f ca="1"/>
        <v>Cuartos de final</v>
      </c>
    </row>
    <row r="62" spans="1:20" ht="15" customHeight="1">
      <c r="O62" s="722"/>
      <c r="Q62" s="790" t="str" cm="1">
        <f t="array" aca="1" ref="Q62" ca="1">IFERROR(INDEX($Q$2:$Q$25,SMALL(IF(($Q$2:$Q$25)=0,"",ROW($Q$2:$Q$25)),ROW(Q23))-MIN(ROW($Q$2:$Q$25))+1),"")</f>
        <v>Semifinales</v>
      </c>
      <c r="R62" s="786" t="str">
        <f ca="1"/>
        <v>Semifinales</v>
      </c>
    </row>
    <row r="63" spans="1:20" ht="15" customHeight="1">
      <c r="O63" s="722"/>
      <c r="Q63" s="790" t="str" cm="1">
        <f t="array" aca="1" ref="Q63" ca="1">IFERROR(INDEX($Q$2:$Q$25,SMALL(IF(($Q$2:$Q$25)=0,"",ROW($Q$2:$Q$25)),ROW(Q24))-MIN(ROW($Q$2:$Q$25))+1),"")</f>
        <v>3-4 &amp; Final</v>
      </c>
      <c r="R63" s="786" t="str">
        <f ca="1"/>
        <v>3-4 &amp; Final</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21</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46184.875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46185.166666666664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46191.75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46192.125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46198.125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46198.125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46185.875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46186.875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46191.875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46192</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46197.875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46197.875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46187</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46187.125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46193</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46193.104166666664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46198</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46198</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46186.125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46187.25</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46192.875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46193.208333333336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46199.166666666664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46199.166666666664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46187.791666666664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46188.041666666664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46193.916666666664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46194.083333333336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46198.916666666664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46198.916666666664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46187.916666666664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46188.166666666664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46193.791666666664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46194.25</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46199.041666666664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46199.041666666664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46188.875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46189.125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46194.875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46195.125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46200.208333333336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46200.208333333336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46188.75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46189</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46194.75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46200.083333333336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46200.083333333336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46189.875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46190</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46195.958333333336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46196.083333333336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46199.875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46199.875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46190.125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46190.25</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46195.791666666664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46196.208333333336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46201.166666666664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46201.166666666664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46190.791666666664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46191.166666666664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46196.791666666664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46197.166666666664</v>
      </c>
    </row>
    <row r="88" spans="1:36">
      <c r="A88" s="710">
        <v>46200.8125</v>
      </c>
      <c r="C88" s="710">
        <f t="shared" ca="1" si="34"/>
        <v>46201.0625</v>
      </c>
    </row>
    <row r="89" spans="1:36">
      <c r="A89" s="710">
        <v>46200.8125</v>
      </c>
      <c r="C89" s="710">
        <f t="shared" ca="1" si="34"/>
        <v>46201.0625</v>
      </c>
    </row>
    <row r="90" spans="1:36">
      <c r="C90" s="710"/>
    </row>
    <row r="91" spans="1:36">
      <c r="A91" s="5" t="s">
        <v>489</v>
      </c>
      <c r="C91" s="710"/>
    </row>
    <row r="92" spans="1:36">
      <c r="A92" s="710">
        <v>46190.666666666664</v>
      </c>
      <c r="C92" s="710">
        <f t="shared" ref="C92:C97" ca="1" si="35">A92+INDEX($V$3:$V$86,MATCH($C$3,$P$3:$P$86,0))*INDEX($W$3:$W$86,MATCH($C$3,$P$3:$P$86,0))</f>
        <v>46190.916666666664</v>
      </c>
    </row>
    <row r="93" spans="1:36">
      <c r="A93" s="710">
        <v>46190.791666666664</v>
      </c>
      <c r="C93" s="710">
        <f t="shared" ca="1" si="35"/>
        <v>46191.041666666664</v>
      </c>
    </row>
    <row r="94" spans="1:36">
      <c r="A94" s="710">
        <v>46196.666666666664</v>
      </c>
      <c r="C94" s="710">
        <f t="shared" ca="1" si="35"/>
        <v>46196.916666666664</v>
      </c>
    </row>
    <row r="95" spans="1:36">
      <c r="A95" s="710">
        <v>46196.791666666664</v>
      </c>
      <c r="C95" s="710">
        <f t="shared" ca="1" si="35"/>
        <v>46197.041666666664</v>
      </c>
    </row>
    <row r="96" spans="1:36">
      <c r="A96" s="710">
        <v>46200.708333333336</v>
      </c>
      <c r="C96" s="710">
        <f t="shared" ca="1" si="35"/>
        <v>46200.958333333336</v>
      </c>
    </row>
    <row r="97" spans="1:3">
      <c r="A97" s="710">
        <v>46200.708333333336</v>
      </c>
      <c r="C97" s="710">
        <f t="shared" ca="1" si="35"/>
        <v>46200.958333333336</v>
      </c>
    </row>
    <row r="100" spans="1:3">
      <c r="A100" s="714"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4"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5"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6" t="s">
        <v>493</v>
      </c>
    </row>
    <row r="143" spans="1:3">
      <c r="A143" s="710">
        <v>46221.708333333336</v>
      </c>
      <c r="C143" s="710">
        <f ca="1">A143+INDEX($V$3:$V$86,MATCH($C$3,$P$3:$P$86,0))*INDEX($W$3:$W$86,MATCH($C$3,$P$3:$P$86,0))</f>
        <v>46221.958333333336</v>
      </c>
    </row>
    <row r="146" spans="1:3">
      <c r="A146" s="717" t="s">
        <v>4</v>
      </c>
      <c r="C146" s="710"/>
    </row>
    <row r="147" spans="1:3">
      <c r="A147" s="710">
        <v>46222.625</v>
      </c>
      <c r="C147" s="710">
        <f ca="1">A147+INDEX($V$3:$V$86,MATCH($C$3,$P$3:$P$86,0))*INDEX($W$3:$W$86,MATCH($C$3,$P$3:$P$86,0))</f>
        <v>46222.875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2026-06-10T18:06:10Z</dcterms:modified>
  <cp:category/>
</cp:coreProperties>
</file>