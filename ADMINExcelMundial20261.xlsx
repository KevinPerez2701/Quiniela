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<sst xmlns="http://schemas.openxmlformats.org/spreadsheetml/2006/main" count="13256" uniqueCount="2599">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</sst>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inlineStr">
        <is>
          <t>Kylian Mbappé</t>
        </is>
      </c>
      <c r="T253" s="73">
        <f>COUNTIF($M$253,S253)*$D$42</f>
        <v>0</v>
      </c>
      <c r="U253" s="64"/>
      <c r="V253" s="74" t="inlineStr">
        <is>
          <t>Kylian Mbappé</t>
        </is>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inlineStr">
        <is>
          <t>Kylian Mbappé</t>
        </is>
      </c>
      <c r="AF253" s="73">
        <f t="shared" ref="AF253" si="1206">COUNTIF($M$253,AE253)*$D$42</f>
        <v>0</v>
      </c>
      <c r="AG253" s="64"/>
      <c r="AH253" s="74" t="inlineStr">
        <is>
          <t>Cristiano Ronaldo</t>
        </is>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inlineStr">
        <is>
          <t>Kylian Mbappé</t>
        </is>
      </c>
      <c r="AX253" s="73">
        <f t="shared" ref="AX253" si="1212">COUNTIF($M$253,AW253)*$D$42</f>
        <v>0</v>
      </c>
      <c r="AY253" s="64"/>
      <c r="AZ253" s="74" t="inlineStr">
        <is>
          <t>Kylian Mbappé</t>
        </is>
      </c>
      <c r="BA253" s="73">
        <f t="shared" ref="BA253" si="1213">COUNTIF($M$253,AZ253)*$D$42</f>
        <v>0</v>
      </c>
      <c r="BB253" s="64"/>
      <c r="BC253" s="74" t="inlineStr">
        <is>
          <t>Kylian Mbappé</t>
        </is>
      </c>
      <c r="BD253" s="73">
        <f t="shared" ref="BD253" si="1214">COUNTIF($M$253,BC253)*$D$42</f>
        <v>0</v>
      </c>
      <c r="BE253" s="64"/>
      <c r="BF253" s="74" t="inlineStr">
        <is>
          <t>Erling Haaland</t>
        </is>
      </c>
      <c r="BG253" s="73">
        <f t="shared" ref="BG253" si="1215">COUNTIF($M$253,BF253)*$D$42</f>
        <v>0</v>
      </c>
      <c r="BH253" s="64"/>
      <c r="BI253" s="74" t="inlineStr">
        <is>
          <t>Michael Olise</t>
        </is>
      </c>
      <c r="BJ253" s="73">
        <f t="shared" ref="BJ253" si="1216">COUNTIF($M$253,BI253)*$D$42</f>
        <v>0</v>
      </c>
      <c r="BK253" s="64"/>
      <c r="BL253" s="74" t="inlineStr">
        <is>
          <t>Cristiano Ronaldo</t>
        </is>
      </c>
      <c r="BM253" s="73">
        <f t="shared" ref="BM253" si="1217">COUNTIF($M$253,BL253)*$D$42</f>
        <v>0</v>
      </c>
      <c r="BN253" s="64"/>
      <c r="BO253" s="74" t="s">
        <v>2167</v>
      </c>
      <c r="BP253" s="73">
        <f t="shared" ref="BP253" si="1218">COUNTIF($M$253,BO253)*$D$42</f>
        <v>0</v>
      </c>
      <c r="BQ253" s="64"/>
      <c r="BR253" s="74" t="inlineStr">
        <is>
          <t>Michael Olise</t>
        </is>
      </c>
      <c r="BS253" s="73">
        <f t="shared" ref="BS253" si="1219">COUNTIF($M$253,BR253)*$D$42</f>
        <v>0</v>
      </c>
      <c r="BT253" s="64"/>
      <c r="BU253" s="74" t="inlineStr">
        <is>
          <t>Kylian Mbappé</t>
        </is>
      </c>
      <c r="BV253" s="73">
        <f t="shared" ref="BV253" si="1220">COUNTIF($M$253,BU253)*$D$42</f>
        <v>0</v>
      </c>
      <c r="BW253" s="64"/>
      <c r="BX253" s="74" t="inlineStr">
        <is>
          <t>Kylian Mbappé</t>
        </is>
      </c>
      <c r="BY253" s="73">
        <f t="shared" ref="BY253" si="1221">COUNTIF($M$253,BX253)*$D$42</f>
        <v>0</v>
      </c>
      <c r="BZ253" s="64"/>
      <c r="CA253" s="74" t="s">
        <v>2103</v>
      </c>
      <c r="CB253" s="73">
        <f t="shared" ref="CB253" si="1222">COUNTIF($M$253,CA253)*$D$42</f>
        <v>0</v>
      </c>
      <c r="CC253" s="64"/>
      <c r="CD253" s="74" t="inlineStr">
        <is>
          <t>Kylian Mbappé</t>
        </is>
      </c>
      <c r="CE253" s="73">
        <f t="shared" ref="CE253" si="1223">COUNTIF($M$253,CD253)*$D$42</f>
        <v>0</v>
      </c>
      <c r="CF253" s="64"/>
      <c r="CG253" s="74" t="inlineStr">
        <is>
          <t>Kylian Mbappé</t>
        </is>
      </c>
      <c r="CH253" s="73">
        <f t="shared" ref="CH253" si="1224">COUNTIF($M$253,CG253)*$D$42</f>
        <v>0</v>
      </c>
      <c r="CI253" s="64"/>
      <c r="CJ253" s="74" t="inlineStr">
        <is>
          <t>Kylian Mbappé</t>
        </is>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inlineStr">
        <is>
          <t>Vinícius Júnior</t>
        </is>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inlineStr">
        <is>
          <t>Harry Kane</t>
        </is>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inlineStr">
        <is>
          <t>Kylian Mbappé</t>
        </is>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inlineStr">
        <is>
          <t>Lamine Yamal</t>
        </is>
      </c>
      <c r="AX254" s="73">
        <f t="shared" ref="AX254" si="1236">COUNTIF($M$254,AW254)*$D$43</f>
        <v>0</v>
      </c>
      <c r="AY254" s="64"/>
      <c r="AZ254" s="74" t="inlineStr">
        <is>
          <t>Michael Olise</t>
        </is>
      </c>
      <c r="BA254" s="73">
        <f t="shared" ref="BA254" si="1237">COUNTIF($M$254,AZ254)*$D$43</f>
        <v>0</v>
      </c>
      <c r="BB254" s="64"/>
      <c r="BC254" s="74" t="inlineStr">
        <is>
          <t>Endrick</t>
        </is>
      </c>
      <c r="BD254" s="73">
        <f t="shared" ref="BD254" si="1238">COUNTIF($M$254,BC254)*$D$43</f>
        <v>0</v>
      </c>
      <c r="BE254" s="64"/>
      <c r="BF254" s="74" t="s">
        <v>2358</v>
      </c>
      <c r="BG254" s="73">
        <f t="shared" ref="BG254" si="1239">COUNTIF($M$254,BF254)*$D$43</f>
        <v>0</v>
      </c>
      <c r="BH254" s="64"/>
      <c r="BI254" s="74" t="inlineStr">
        <is>
          <t>Endrick</t>
        </is>
      </c>
      <c r="BJ254" s="73">
        <f t="shared" ref="BJ254" si="1240">COUNTIF($M$254,BI254)*$D$43</f>
        <v>0</v>
      </c>
      <c r="BK254" s="64"/>
      <c r="BL254" s="74" t="inlineStr">
        <is>
          <t>Vinícius Júnior</t>
        </is>
      </c>
      <c r="BM254" s="73">
        <f t="shared" ref="BM254" si="1241">COUNTIF($M$254,BL254)*$D$43</f>
        <v>0</v>
      </c>
      <c r="BN254" s="64"/>
      <c r="BO254" s="74" t="s">
        <v>2190</v>
      </c>
      <c r="BP254" s="73">
        <f t="shared" ref="BP254" si="1242">COUNTIF($M$254,BO254)*$D$43</f>
        <v>0</v>
      </c>
      <c r="BQ254" s="64"/>
      <c r="BR254" s="74" t="inlineStr">
        <is>
          <t>Kai Havertz</t>
        </is>
      </c>
      <c r="BS254" s="73">
        <f t="shared" ref="BS254" si="1243">COUNTIF($M$254,BR254)*$D$43</f>
        <v>0</v>
      </c>
      <c r="BT254" s="64"/>
      <c r="BU254" s="74" t="inlineStr">
        <is>
          <t>Cristiano Ronaldo</t>
        </is>
      </c>
      <c r="BV254" s="73">
        <f t="shared" ref="BV254" si="1244">COUNTIF($M$254,BU254)*$D$43</f>
        <v>0</v>
      </c>
      <c r="BW254" s="64"/>
      <c r="BX254" s="74" t="inlineStr">
        <is>
          <t>Harry Kane</t>
        </is>
      </c>
      <c r="BY254" s="73">
        <f t="shared" ref="BY254" si="1245">COUNTIF($M$254,BX254)*$D$43</f>
        <v>0</v>
      </c>
      <c r="BZ254" s="64"/>
      <c r="CA254" s="74" t="inlineStr">
        <is>
          <t>Luis Suárez</t>
        </is>
      </c>
      <c r="CB254" s="73">
        <f t="shared" ref="CB254" si="1246">COUNTIF($M$254,CA254)*$D$43</f>
        <v>0</v>
      </c>
      <c r="CC254" s="64"/>
      <c r="CD254" s="74" t="inlineStr">
        <is>
          <t>Erling Haaland</t>
        </is>
      </c>
      <c r="CE254" s="73">
        <f t="shared" ref="CE254" si="1247">COUNTIF($M$254,CD254)*$D$43</f>
        <v>0</v>
      </c>
      <c r="CF254" s="64"/>
      <c r="CG254" s="74" t="inlineStr">
        <is>
          <t>Lionel Messi</t>
        </is>
      </c>
      <c r="CH254" s="73">
        <f t="shared" ref="CH254" si="1248">COUNTIF($M$254,CG254)*$D$43</f>
        <v>0</v>
      </c>
      <c r="CI254" s="64"/>
      <c r="CJ254" s="74" t="inlineStr">
        <is>
          <t>Harry Kane</t>
        </is>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inlineStr">
        <is>
          <t>Alexander Sørloth</t>
        </is>
      </c>
      <c r="Z255" s="73">
        <f t="shared" ref="Z255" si="1252">COUNTIF($M$255,Y255)*$D$44</f>
        <v>0</v>
      </c>
      <c r="AA255" s="64"/>
      <c r="AB255" s="74" t="inlineStr">
        <is>
          <t>Kylian Mbappé</t>
        </is>
      </c>
      <c r="AC255" s="73">
        <f t="shared" ref="AC255" si="1253">COUNTIF($M$255,AB255)*$D$44</f>
        <v>0</v>
      </c>
      <c r="AD255" s="64"/>
      <c r="AE255" s="74" t="inlineStr">
        <is>
          <t>Erling Haaland</t>
        </is>
      </c>
      <c r="AF255" s="73">
        <f t="shared" ref="AF255" si="1254">COUNTIF($M$255,AE255)*$D$44</f>
        <v>0</v>
      </c>
      <c r="AG255" s="64"/>
      <c r="AH255" s="74" t="s">
        <v>1989</v>
      </c>
      <c r="AI255" s="73">
        <f t="shared" ref="AI255" si="1255">COUNTIF($M$255,AH255)*$D$44</f>
        <v>0</v>
      </c>
      <c r="AJ255" s="64"/>
      <c r="AK255" s="74" t="inlineStr">
        <is>
          <t>Lautaro Martínez</t>
        </is>
      </c>
      <c r="AL255" s="73">
        <f t="shared" ref="AL255" si="1256">COUNTIF($M$255,AK255)*$D$44</f>
        <v>0</v>
      </c>
      <c r="AM255" s="64"/>
      <c r="AN255" s="74" t="inlineStr">
        <is>
          <t>Julián Álvarez</t>
        </is>
      </c>
      <c r="AO255" s="73">
        <f t="shared" ref="AO255" si="1257">COUNTIF($M$255,AN255)*$D$44</f>
        <v>0</v>
      </c>
      <c r="AP255" s="64"/>
      <c r="AQ255" s="74" t="s">
        <v>2167</v>
      </c>
      <c r="AR255" s="73">
        <f t="shared" ref="AR255" si="1258">COUNTIF($M$255,AQ255)*$D$44</f>
        <v>0</v>
      </c>
      <c r="AS255" s="64"/>
      <c r="AT255" s="74" t="inlineStr">
        <is>
          <t>Lamine Yamal</t>
        </is>
      </c>
      <c r="AU255" s="73">
        <f t="shared" ref="AU255" si="1259">COUNTIF($M$255,AT255)*$D$44</f>
        <v>0</v>
      </c>
      <c r="AV255" s="64"/>
      <c r="AW255" s="74" t="inlineStr">
        <is>
          <t>Lionel Messi</t>
        </is>
      </c>
      <c r="AX255" s="73">
        <f t="shared" ref="AX255" si="1260">COUNTIF($M$255,AW255)*$D$44</f>
        <v>0</v>
      </c>
      <c r="AY255" s="64"/>
      <c r="AZ255" s="74" t="inlineStr">
        <is>
          <t>Lamine Yamal</t>
        </is>
      </c>
      <c r="BA255" s="73">
        <f t="shared" ref="BA255" si="1261">COUNTIF($M$255,AZ255)*$D$44</f>
        <v>0</v>
      </c>
      <c r="BB255" s="64"/>
      <c r="BC255" s="74" t="inlineStr">
        <is>
          <t>Cristiano Ronaldo</t>
        </is>
      </c>
      <c r="BD255" s="73">
        <f t="shared" ref="BD255" si="1262">COUNTIF($M$255,BC255)*$D$44</f>
        <v>0</v>
      </c>
      <c r="BE255" s="64"/>
      <c r="BF255" s="74" t="inlineStr">
        <is>
          <t>Cristiano Ronaldo</t>
        </is>
      </c>
      <c r="BG255" s="73">
        <f t="shared" ref="BG255" si="1263">COUNTIF($M$255,BF255)*$D$44</f>
        <v>0</v>
      </c>
      <c r="BH255" s="64"/>
      <c r="BI255" s="74" t="inlineStr">
        <is>
          <t>Vinícius Júnior</t>
        </is>
      </c>
      <c r="BJ255" s="73">
        <f t="shared" ref="BJ255" si="1264">COUNTIF($M$255,BI255)*$D$44</f>
        <v>0</v>
      </c>
      <c r="BK255" s="64"/>
      <c r="BL255" s="74" t="inlineStr">
        <is>
          <t>Ferran Torres</t>
        </is>
      </c>
      <c r="BM255" s="73">
        <f t="shared" ref="BM255" si="1265">COUNTIF($M$255,BL255)*$D$44</f>
        <v>0</v>
      </c>
      <c r="BN255" s="64"/>
      <c r="BO255" s="74" t="s">
        <v>2065</v>
      </c>
      <c r="BP255" s="73">
        <f t="shared" ref="BP255" si="1266">COUNTIF($M$255,BO255)*$D$44</f>
        <v>0</v>
      </c>
      <c r="BQ255" s="64"/>
      <c r="BR255" s="74" t="inlineStr">
        <is>
          <t>Harry Kane</t>
        </is>
      </c>
      <c r="BS255" s="73">
        <f t="shared" ref="BS255" si="1267">COUNTIF($M$255,BR255)*$D$44</f>
        <v>0</v>
      </c>
      <c r="BT255" s="64"/>
      <c r="BU255" s="74" t="inlineStr">
        <is>
          <t>Mikel Oyarzabal</t>
        </is>
      </c>
      <c r="BV255" s="73">
        <f t="shared" ref="BV255" si="1268">COUNTIF($M$255,BU255)*$D$44</f>
        <v>0</v>
      </c>
      <c r="BW255" s="64"/>
      <c r="BX255" s="74" t="inlineStr">
        <is>
          <t>Erling Haaland</t>
        </is>
      </c>
      <c r="BY255" s="73">
        <f t="shared" ref="BY255" si="1269">COUNTIF($M$255,BX255)*$D$44</f>
        <v>0</v>
      </c>
      <c r="BZ255" s="64"/>
      <c r="CA255" s="74" t="inlineStr">
        <is>
          <t>Dion Drena Beljo</t>
        </is>
      </c>
      <c r="CB255" s="73">
        <f t="shared" ref="CB255" si="1270">COUNTIF($M$255,CA255)*$D$44</f>
        <v>0</v>
      </c>
      <c r="CC255" s="64"/>
      <c r="CD255" s="74" t="inlineStr">
        <is>
          <t>Mikel Oyarzabal</t>
        </is>
      </c>
      <c r="CE255" s="73">
        <f t="shared" ref="CE255" si="1271">COUNTIF($M$255,CD255)*$D$44</f>
        <v>0</v>
      </c>
      <c r="CF255" s="64"/>
      <c r="CG255" s="74" t="inlineStr">
        <is>
          <t>Harry Kane</t>
        </is>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inlineStr">
        <is>
          <t>Vinícius Júnior</t>
        </is>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inlineStr">
        <is>
          <t>Kylian Mbappé</t>
        </is>
      </c>
      <c r="AF256" s="73">
        <f t="shared" ref="AF256" si="1278">COUNTIF($M$256,AE256)*$D$45</f>
        <v>0</v>
      </c>
      <c r="AG256" s="64"/>
      <c r="AH256" s="74" t="inlineStr">
        <is>
          <t>Cristiano Ronaldo</t>
        </is>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inlineStr">
        <is>
          <t>Lamine Yamal</t>
        </is>
      </c>
      <c r="AX256" s="73">
        <f t="shared" ref="AX256" si="1284">COUNTIF($M$256,AW256)*$D$45</f>
        <v>0</v>
      </c>
      <c r="AY256" s="64"/>
      <c r="AZ256" s="74" t="s">
        <v>2211</v>
      </c>
      <c r="BA256" s="73">
        <f t="shared" ref="BA256" si="1285">COUNTIF($M$256,AZ256)*$D$45</f>
        <v>0</v>
      </c>
      <c r="BB256" s="64"/>
      <c r="BC256" s="74" t="inlineStr">
        <is>
          <t>Vitinha</t>
        </is>
      </c>
      <c r="BD256" s="73">
        <f t="shared" ref="BD256" si="1286">COUNTIF($M$256,BC256)*$D$45</f>
        <v>0</v>
      </c>
      <c r="BE256" s="64"/>
      <c r="BF256" s="74" t="s">
        <v>2211</v>
      </c>
      <c r="BG256" s="73">
        <f t="shared" ref="BG256" si="1287">COUNTIF($M$256,BF256)*$D$45</f>
        <v>0</v>
      </c>
      <c r="BH256" s="64"/>
      <c r="BI256" s="74" t="inlineStr">
        <is>
          <t>Ousmane Dembélé</t>
        </is>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inlineStr">
        <is>
          <t>Michael Olise</t>
        </is>
      </c>
      <c r="BS256" s="73">
        <f t="shared" ref="BS256" si="1291">COUNTIF($M$256,BR256)*$D$45</f>
        <v>0</v>
      </c>
      <c r="BT256" s="64"/>
      <c r="BU256" s="74" t="s">
        <v>2438</v>
      </c>
      <c r="BV256" s="73">
        <f t="shared" ref="BV256" si="1292">COUNTIF($M$256,BU256)*$D$45</f>
        <v>0</v>
      </c>
      <c r="BW256" s="64"/>
      <c r="BX256" s="74" t="inlineStr">
        <is>
          <t>Kylian Mbappé</t>
        </is>
      </c>
      <c r="BY256" s="73">
        <f t="shared" ref="BY256" si="1293">COUNTIF($M$256,BX256)*$D$45</f>
        <v>0</v>
      </c>
      <c r="BZ256" s="64"/>
      <c r="CA256" s="74" t="s">
        <v>2167</v>
      </c>
      <c r="CB256" s="73">
        <f t="shared" ref="CB256" si="1294">COUNTIF($M$256,CA256)*$D$45</f>
        <v>0</v>
      </c>
      <c r="CC256" s="64"/>
      <c r="CD256" s="74" t="inlineStr">
        <is>
          <t>Vitinha</t>
        </is>
      </c>
      <c r="CE256" s="73">
        <f t="shared" ref="CE256" si="1295">COUNTIF($M$256,CD256)*$D$45</f>
        <v>0</v>
      </c>
      <c r="CF256" s="64"/>
      <c r="CG256" s="74" t="inlineStr">
        <is>
          <t>Julián Álvarez</t>
        </is>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inlineStr">
        <is>
          <t>Kylian Mbappé</t>
        </is>
      </c>
      <c r="W257" s="73">
        <f t="shared" ref="W257" si="1299">COUNTIF($M$257,V257)*$D$46</f>
        <v>0</v>
      </c>
      <c r="X257" s="64"/>
      <c r="Y257" s="74" t="inlineStr">
        <is>
          <t>Vinícius Júnior</t>
        </is>
      </c>
      <c r="Z257" s="73">
        <f t="shared" ref="Z257" si="1300">COUNTIF($M$257,Y257)*$D$46</f>
        <v>0</v>
      </c>
      <c r="AA257" s="64"/>
      <c r="AB257" s="74" t="inlineStr">
        <is>
          <t>Kylian Mbappé</t>
        </is>
      </c>
      <c r="AC257" s="73">
        <f t="shared" ref="AC257" si="1301">COUNTIF($M$257,AB257)*$D$46</f>
        <v>0</v>
      </c>
      <c r="AD257" s="64"/>
      <c r="AE257" s="74" t="inlineStr">
        <is>
          <t>Vitinha</t>
        </is>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inlineStr">
        <is>
          <t>Kylian Mbappé</t>
        </is>
      </c>
      <c r="AX257" s="73">
        <f t="shared" ref="AX257" si="1308">COUNTIF($M$257,AW257)*$D$46</f>
        <v>0</v>
      </c>
      <c r="AY257" s="64"/>
      <c r="AZ257" s="74" t="inlineStr">
        <is>
          <t>Cristiano Ronaldo</t>
        </is>
      </c>
      <c r="BA257" s="73">
        <f t="shared" ref="BA257" si="1309">COUNTIF($M$257,AZ257)*$D$46</f>
        <v>0</v>
      </c>
      <c r="BB257" s="64"/>
      <c r="BC257" s="74" t="inlineStr">
        <is>
          <t>João Neves</t>
        </is>
      </c>
      <c r="BD257" s="73">
        <f t="shared" ref="BD257" si="1310">COUNTIF($M$257,BC257)*$D$46</f>
        <v>0</v>
      </c>
      <c r="BE257" s="64"/>
      <c r="BF257" s="74" t="inlineStr">
        <is>
          <t>Cristiano Ronaldo</t>
        </is>
      </c>
      <c r="BG257" s="73">
        <f t="shared" ref="BG257" si="1311">COUNTIF($M$257,BF257)*$D$46</f>
        <v>0</v>
      </c>
      <c r="BH257" s="64"/>
      <c r="BI257" s="74" t="inlineStr">
        <is>
          <t>Kylian Mbappé</t>
        </is>
      </c>
      <c r="BJ257" s="73">
        <f t="shared" ref="BJ257" si="1312">COUNTIF($M$257,BI257)*$D$46</f>
        <v>0</v>
      </c>
      <c r="BK257" s="64"/>
      <c r="BL257" s="74" t="inlineStr">
        <is>
          <t>Lamine Yamal</t>
        </is>
      </c>
      <c r="BM257" s="73">
        <f t="shared" ref="BM257" si="1313">COUNTIF($M$257,BL257)*$D$46</f>
        <v>0</v>
      </c>
      <c r="BN257" s="64"/>
      <c r="BO257" s="74" t="s">
        <v>2190</v>
      </c>
      <c r="BP257" s="73">
        <f t="shared" ref="BP257" si="1314">COUNTIF($M$257,BO257)*$D$46</f>
        <v>0</v>
      </c>
      <c r="BQ257" s="64"/>
      <c r="BR257" s="74" t="inlineStr">
        <is>
          <t>Jérémy Doku</t>
        </is>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inlineStr">
        <is>
          <t>Kylian Mbappé</t>
        </is>
      </c>
      <c r="CE257" s="73">
        <f t="shared" ref="CE257" si="1319">COUNTIF($M$257,CD257)*$D$46</f>
        <v>0</v>
      </c>
      <c r="CF257" s="64"/>
      <c r="CG257" s="74" t="inlineStr">
        <is>
          <t>Lamine Yamal</t>
        </is>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inlineStr">
        <is>
          <t>Vinícius Júnior</t>
        </is>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inlineStr">
        <is>
          <t>Bruno Fernandes</t>
        </is>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inlineStr">
        <is>
          <t>Pedri</t>
        </is>
      </c>
      <c r="AX258" s="81">
        <f t="shared" ref="AX258" si="1332">COUNTIF($M$258,AW258)*$D$47</f>
        <v>0</v>
      </c>
      <c r="AY258" s="64"/>
      <c r="AZ258" s="80" t="inlineStr">
        <is>
          <t>Kylian Mbappé</t>
        </is>
      </c>
      <c r="BA258" s="81">
        <f t="shared" ref="BA258" si="1333">COUNTIF($M$258,AZ258)*$D$47</f>
        <v>0</v>
      </c>
      <c r="BB258" s="64"/>
      <c r="BC258" s="80" t="inlineStr">
        <is>
          <t>Kylian Mbappé</t>
        </is>
      </c>
      <c r="BD258" s="81">
        <f t="shared" ref="BD258" si="1334">COUNTIF($M$258,BC258)*$D$47</f>
        <v>0</v>
      </c>
      <c r="BE258" s="64"/>
      <c r="BF258" s="80" t="s">
        <v>2358</v>
      </c>
      <c r="BG258" s="81">
        <f t="shared" ref="BG258" si="1335">COUNTIF($M$258,BF258)*$D$47</f>
        <v>0</v>
      </c>
      <c r="BH258" s="64"/>
      <c r="BI258" s="80" t="inlineStr">
        <is>
          <t>Raphinha</t>
        </is>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inlineStr">
        <is>
          <t>Kylian Mbappé</t>
        </is>
      </c>
      <c r="BS258" s="81">
        <f t="shared" ref="BS258" si="1339">COUNTIF($M$258,BR258)*$D$47</f>
        <v>0</v>
      </c>
      <c r="BT258" s="64"/>
      <c r="BU258" s="80" t="inlineStr">
        <is>
          <t>Kylian Mbappé</t>
        </is>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inlineStr">
        <is>
          <t>Nuno Mendes</t>
        </is>
      </c>
      <c r="CE258" s="81">
        <f t="shared" ref="CE258" si="1343">COUNTIF($M$258,CD258)*$D$47</f>
        <v>0</v>
      </c>
      <c r="CF258" s="64"/>
      <c r="CG258" s="80" t="inlineStr">
        <is>
          <t>Kylian Mbappé</t>
        </is>
      </c>
      <c r="CH258" s="81">
        <f t="shared" ref="CH258" si="1344">COUNTIF($M$258,CG258)*$D$47</f>
        <v>0</v>
      </c>
      <c r="CI258" s="64"/>
      <c r="CJ258" s="80" t="inlineStr">
        <is>
          <t>Lionel Messi</t>
        </is>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