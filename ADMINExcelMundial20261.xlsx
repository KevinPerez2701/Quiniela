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Override PartName="/xl/richData/rdRichValueTypes.xml" ContentType="application/vnd.ms-excel.rdrichvaluetyp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222D2D8E-AB2C-4ED7-A3F7-43AE1CD966EE}"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845" yWindow="1725" windowWidth="21585" windowHeight="11055"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workbook>
</file>

<file path=xl/calcChain.xml><?xml version="1.0" encoding="utf-8"?>
<calcChain xmlns="http://schemas.openxmlformats.org/spreadsheetml/2006/main">
  <c r="AG89" i="3" l="1"/>
  <c r="BO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C10" i="30" s="1"/>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D444" i="36"/>
  <c r="D302" i="36"/>
  <c r="M66" i="46"/>
  <c r="E222" i="46"/>
  <c r="E207" i="46"/>
  <c r="M207" i="46"/>
  <c r="K94" i="46"/>
  <c r="K181"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04" i="46"/>
  <c r="H205" i="46"/>
  <c r="H207" i="46"/>
  <c r="Q22" i="6"/>
  <c r="H210"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84" i="3"/>
  <c r="M84" i="34"/>
  <c r="AC3" i="3"/>
  <c r="AC130" i="3" s="1"/>
  <c r="AJ36" i="3" l="1"/>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CJ244" i="46"/>
  <c r="BO244" i="46"/>
  <c r="CM244" i="46"/>
  <c r="CJ6" i="46"/>
  <c r="BO6" i="46"/>
  <c r="CM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CJ232" i="46"/>
  <c r="CM232" i="46"/>
  <c r="BO232" i="46"/>
  <c r="BO30" i="46"/>
  <c r="CM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BO54" i="46"/>
  <c r="CJ54" i="46"/>
  <c r="CM54" i="46"/>
  <c r="D367" i="36"/>
  <c r="AF91" i="3"/>
  <c r="AF67" i="3"/>
  <c r="AL85" i="3"/>
  <c r="AY85" i="3" s="1"/>
  <c r="AJ28" i="3"/>
  <c r="H244" i="46"/>
  <c r="H201" i="46"/>
  <c r="H214" i="46"/>
  <c r="H155" i="46"/>
  <c r="H140" i="46"/>
  <c r="H138" i="46"/>
  <c r="AL253" i="46"/>
  <c r="Z253" i="46"/>
  <c r="BA253" i="46"/>
  <c r="AR253" i="46"/>
  <c r="BJ253" i="46"/>
  <c r="BY253" i="46"/>
  <c r="AC253" i="46"/>
  <c r="AU253" i="46"/>
  <c r="CM253" i="46"/>
  <c r="CN253" i="46" s="1"/>
  <c r="BM253" i="46"/>
  <c r="CB253" i="46"/>
  <c r="AF253" i="46"/>
  <c r="AX253" i="46"/>
  <c r="BO253" i="46"/>
  <c r="BP253" i="46" s="1"/>
  <c r="CE253" i="46"/>
  <c r="AI253" i="46"/>
  <c r="BS253" i="46"/>
  <c r="BD253" i="46"/>
  <c r="CH253" i="46"/>
  <c r="W253" i="46"/>
  <c r="CJ253" i="46"/>
  <c r="CK253" i="46" s="1"/>
  <c r="AO253" i="46"/>
  <c r="BG253" i="46"/>
  <c r="BV253" i="46"/>
  <c r="K193" i="46"/>
  <c r="K183" i="46"/>
  <c r="CJ220" i="46"/>
  <c r="BO220" i="46"/>
  <c r="CM220" i="46"/>
  <c r="H213" i="46"/>
  <c r="H156" i="46"/>
  <c r="H134" i="46"/>
  <c r="H253" i="46"/>
  <c r="H254" i="46"/>
  <c r="H141" i="46"/>
  <c r="H133" i="46"/>
  <c r="CJ200" i="46"/>
  <c r="BO200"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AU53" i="46" l="1"/>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CJ164" i="46"/>
  <c r="BO164" i="46"/>
  <c r="CM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9" i="3" l="1"/>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CF33" i="3" s="1"/>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32" i="3"/>
  <c r="CF46" i="3"/>
  <c r="CF53" i="3"/>
  <c r="E9" i="51"/>
  <c r="CF22" i="3"/>
  <c r="CF8" i="3"/>
  <c r="CF26" i="3"/>
  <c r="B46" i="51"/>
  <c r="B47" i="51" s="1"/>
  <c r="E10" i="51"/>
  <c r="E28" i="48"/>
  <c r="F27" i="48" a="1"/>
  <c r="F27" i="48" s="1"/>
  <c r="E12" i="51"/>
  <c r="E11" i="51"/>
  <c r="CF6" i="3" l="1"/>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<sst xmlns="http://schemas.openxmlformats.org/spreadsheetml/2006/main" count="12577" uniqueCount="2548">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</sst>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5"/>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6" sqref="C6"/>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tr">
        <f>Idiomas!D47</f>
        <v>NombreGrupo</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Faltan 1 días para que empiece 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 xml:space="preserve">  </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46183</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4" sqref="AC4"/>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46184.875</v>
      </c>
      <c r="Y4" s="190">
        <f ca="1">Horarios!C4</f>
        <v>46184.875</v>
      </c>
      <c r="Z4" s="191" t="str">
        <f>Idiomas!D63</f>
        <v>J1</v>
      </c>
      <c r="AA4" s="192" t="str">
        <f ca="1">+A5</f>
        <v>México</v>
      </c>
      <c r="AB4" s="480" t="str" cm="1">
        <f t="array" aca="1" ref="AB4" ca="1">Ver_flag_local</f>
        <v/>
      </c>
      <c r="AC4" s="193"/>
      <c r="AD4" s="194"/>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46185.166666666664</v>
      </c>
      <c r="Y5" s="190">
        <f ca="1">Horarios!C5</f>
        <v>46185.166666666664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46191.75</v>
      </c>
      <c r="Y6" s="190">
        <f ca="1">Horarios!C6</f>
        <v>46191.75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46192.125</v>
      </c>
      <c r="Y7" s="190">
        <f ca="1">Horarios!C7</f>
        <v>46192.125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46198.125</v>
      </c>
      <c r="Y8" s="190">
        <f ca="1">Horarios!C8</f>
        <v>46198.125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46198.125</v>
      </c>
      <c r="Y9" s="229">
        <f ca="1">Horarios!C9</f>
        <v>46198.125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46185.875</v>
      </c>
      <c r="Y12" s="190">
        <f ca="1">Horarios!C12</f>
        <v>46185.875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46186.875</v>
      </c>
      <c r="Y13" s="190">
        <f ca="1">Horarios!C13</f>
        <v>46186.875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46191.875</v>
      </c>
      <c r="Y14" s="190">
        <f ca="1">Horarios!C14</f>
        <v>46191.875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46192</v>
      </c>
      <c r="Y15" s="190">
        <f ca="1">Horarios!C15</f>
        <v>46192</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46197.875</v>
      </c>
      <c r="Y16" s="190">
        <f ca="1">Horarios!C16</f>
        <v>46197.875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46197.875</v>
      </c>
      <c r="Y17" s="229">
        <f ca="1">Horarios!C17</f>
        <v>46197.875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46187</v>
      </c>
      <c r="Y20" s="190">
        <f ca="1">Horarios!C20</f>
        <v>46187</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46187.125</v>
      </c>
      <c r="Y21" s="190">
        <f ca="1">Horarios!C21</f>
        <v>46187.125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46193</v>
      </c>
      <c r="Y22" s="190">
        <f ca="1">Horarios!C22</f>
        <v>46193</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46193.104166666664</v>
      </c>
      <c r="Y23" s="190">
        <f ca="1">Horarios!C23</f>
        <v>46193.104166666664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46198</v>
      </c>
      <c r="Y24" s="190">
        <f ca="1">Horarios!C24</f>
        <v>46198</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46198</v>
      </c>
      <c r="Y25" s="229">
        <f ca="1">Horarios!C25</f>
        <v>46198</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46186.125</v>
      </c>
      <c r="Y28" s="190">
        <f ca="1">Horarios!C28</f>
        <v>46186.125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46187.25</v>
      </c>
      <c r="Y29" s="190">
        <f ca="1">Horarios!C29</f>
        <v>46187.25</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46192.875</v>
      </c>
      <c r="Y30" s="190">
        <f ca="1">Horarios!C30</f>
        <v>46192.875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46193.208333333336</v>
      </c>
      <c r="Y31" s="190">
        <f ca="1">Horarios!C31</f>
        <v>46193.208333333336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46199.166666666664</v>
      </c>
      <c r="Y32" s="190">
        <f ca="1">Horarios!C32</f>
        <v>46199.166666666664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46199.166666666664</v>
      </c>
      <c r="Y33" s="229">
        <f ca="1">Horarios!C33</f>
        <v>46199.166666666664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46187.791666666664</v>
      </c>
      <c r="Y36" s="190">
        <f ca="1">Horarios!C36</f>
        <v>46187.791666666664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46188.041666666664</v>
      </c>
      <c r="Y37" s="190">
        <f ca="1">Horarios!C37</f>
        <v>46188.041666666664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46193.916666666664</v>
      </c>
      <c r="Y38" s="190">
        <f ca="1">Horarios!C38</f>
        <v>46193.916666666664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46194.083333333336</v>
      </c>
      <c r="Y39" s="190">
        <f ca="1">Horarios!C39</f>
        <v>46194.083333333336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46198.916666666664</v>
      </c>
      <c r="Y40" s="190">
        <f ca="1">Horarios!C40</f>
        <v>46198.916666666664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46198.916666666664</v>
      </c>
      <c r="Y41" s="229">
        <f ca="1">Horarios!C41</f>
        <v>46198.916666666664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46188.166666666664</v>
      </c>
      <c r="Y45" s="190">
        <f ca="1">Horarios!C45</f>
        <v>46188.166666666664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46193.791666666664</v>
      </c>
      <c r="Y46" s="190">
        <f ca="1">Horarios!C46</f>
        <v>46193.791666666664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46194.25</v>
      </c>
      <c r="Y47" s="190">
        <f ca="1">Horarios!C47</f>
        <v>46194.25</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46199.041666666664</v>
      </c>
      <c r="Y48" s="190">
        <f ca="1">Horarios!C48</f>
        <v>46199.041666666664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46199.041666666664</v>
      </c>
      <c r="Y49" s="229">
        <f ca="1">Horarios!C49</f>
        <v>46199.041666666664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46188.875</v>
      </c>
      <c r="Y52" s="190">
        <f ca="1">Horarios!C52</f>
        <v>46188.875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46189.125</v>
      </c>
      <c r="Y53" s="190">
        <f ca="1">Horarios!C53</f>
        <v>46189.125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46194.875</v>
      </c>
      <c r="Y54" s="190">
        <f ca="1">Horarios!C54</f>
        <v>46194.875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46195.125</v>
      </c>
      <c r="Y55" s="190">
        <f ca="1">Horarios!C55</f>
        <v>46195.125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46200.208333333336</v>
      </c>
      <c r="Y56" s="190">
        <f ca="1">Horarios!C56</f>
        <v>46200.208333333336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46200.208333333336</v>
      </c>
      <c r="Y57" s="229">
        <f ca="1">Horarios!C57</f>
        <v>46200.208333333336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46188.75</v>
      </c>
      <c r="Y60" s="190">
        <f ca="1">Horarios!C60</f>
        <v>46188.75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46189</v>
      </c>
      <c r="Y61" s="190">
        <f ca="1">Horarios!C61</f>
        <v>46189</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46194.75</v>
      </c>
      <c r="Y62" s="190">
        <f ca="1">Horarios!C62</f>
        <v>46194.75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46195</v>
      </c>
      <c r="Y63" s="190">
        <f ca="1">Horarios!C63</f>
        <v>46195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46200.083333333336</v>
      </c>
      <c r="Y64" s="190">
        <f ca="1">Horarios!C64</f>
        <v>46200.083333333336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46200.083333333336</v>
      </c>
      <c r="Y65" s="229">
        <f ca="1">Horarios!C65</f>
        <v>46200.083333333336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46189.875</v>
      </c>
      <c r="Y68" s="190">
        <f ca="1">Horarios!C68</f>
        <v>46189.875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46190</v>
      </c>
      <c r="Y69" s="190">
        <f ca="1">Horarios!C69</f>
        <v>46190</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46195.958333333336</v>
      </c>
      <c r="Y70" s="190">
        <f ca="1">Horarios!C70</f>
        <v>46195.958333333336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46196.083333333336</v>
      </c>
      <c r="Y71" s="190">
        <f ca="1">Horarios!C71</f>
        <v>46196.083333333336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46199.875</v>
      </c>
      <c r="Y72" s="190">
        <f ca="1">Horarios!C72</f>
        <v>46199.875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46199.875</v>
      </c>
      <c r="Y73" s="229">
        <f ca="1">Horarios!C73</f>
        <v>46199.875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46190.125</v>
      </c>
      <c r="Y76" s="190">
        <f ca="1">Horarios!C76</f>
        <v>46190.125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46190.25</v>
      </c>
      <c r="Y77" s="190">
        <f ca="1">Horarios!C77</f>
        <v>46190.25</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46195.791666666664</v>
      </c>
      <c r="Y78" s="190">
        <f ca="1">Horarios!C78</f>
        <v>46195.791666666664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46196.208333333336</v>
      </c>
      <c r="Y79" s="190">
        <f ca="1">Horarios!C79</f>
        <v>46196.208333333336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46201.166666666664</v>
      </c>
      <c r="Y80" s="190">
        <f ca="1">Horarios!C80</f>
        <v>46201.166666666664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46201.166666666664</v>
      </c>
      <c r="Y81" s="229">
        <f ca="1">Horarios!C81</f>
        <v>46201.166666666664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46190.791666666664</v>
      </c>
      <c r="Y84" s="190">
        <f ca="1">Horarios!C84</f>
        <v>46190.791666666664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46191.166666666664</v>
      </c>
      <c r="Y85" s="190">
        <f ca="1">Horarios!C85</f>
        <v>46191.166666666664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46196.791666666664</v>
      </c>
      <c r="Y86" s="190">
        <f ca="1">Horarios!C86</f>
        <v>46196.791666666664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46197.166666666664</v>
      </c>
      <c r="Y87" s="190">
        <f ca="1">Horarios!C87</f>
        <v>46197.166666666664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46201.0625</v>
      </c>
      <c r="Y88" s="190">
        <f ca="1">Horarios!C88</f>
        <v>46201.0625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46201.0625</v>
      </c>
      <c r="Y89" s="229">
        <f ca="1">Horarios!C89</f>
        <v>46201.0625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46191.041666666664</v>
      </c>
      <c r="Y93" s="190">
        <f ca="1">Horarios!C93</f>
        <v>46191.041666666664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46196.916666666664</v>
      </c>
      <c r="Y94" s="190">
        <f ca="1">Horarios!C94</f>
        <v>46196.916666666664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46197.041666666664</v>
      </c>
      <c r="Y95" s="190">
        <f ca="1">Horarios!C95</f>
        <v>46197.041666666664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46200.958333333336</v>
      </c>
      <c r="Y96" s="190">
        <f ca="1">Horarios!C96</f>
        <v>46200.958333333336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46200.958333333336</v>
      </c>
      <c r="Y97" s="229">
        <f ca="1">Horarios!C97</f>
        <v>46200.958333333336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R1" zoomScaleNormal="100" workbookViewId="0">
      <selection activeCell="BU9" sqref="BU9"/>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tr">
        <f>Idiomas!$G$363&amp;ADMIN!BQ5</f>
        <v>Pegar Valores Nombre J17</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tr">
        <f>Idiomas!$D$365</f>
        <v>Pegar Valores (J2)</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tr">
        <f>Idiomas!$D$366</f>
        <v>Pegar Valores (J3)</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15</v>
      </c>
      <c r="H80" s="446">
        <f ca="1">$H$54</f>
        <v>46198</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15</v>
      </c>
      <c r="H81" s="446">
        <f ca="1">$H$54</f>
        <v>46198</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15</v>
      </c>
      <c r="H82" s="446">
        <f ca="1">$H$54</f>
        <v>46198</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15</v>
      </c>
      <c r="H88" s="446">
        <f ca="1">$H$58</f>
        <v>46198</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15</v>
      </c>
      <c r="H89" s="446">
        <f ca="1">$H$58</f>
        <v>46198</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15</v>
      </c>
      <c r="H90" s="446">
        <f ca="1">$H$58</f>
        <v>46198</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16</v>
      </c>
      <c r="H92" s="446">
        <f ca="1">$H$60</f>
        <v>46199</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16</v>
      </c>
      <c r="H93" s="446">
        <f ca="1">$H$60</f>
        <v>46199</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16</v>
      </c>
      <c r="H94" s="446">
        <f ca="1">$H$60</f>
        <v>46199</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16</v>
      </c>
      <c r="H96" s="446">
        <f ca="1">$H$62</f>
        <v>46199</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16</v>
      </c>
      <c r="H97" s="446">
        <f ca="1">$H$62</f>
        <v>46199</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16</v>
      </c>
      <c r="H98" s="446">
        <f ca="1">$H$62</f>
        <v>46199</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16</v>
      </c>
      <c r="H100" s="446">
        <f ca="1">$H$64</f>
        <v>46199</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16</v>
      </c>
      <c r="H101" s="446">
        <f ca="1">$H$64</f>
        <v>46199</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16</v>
      </c>
      <c r="H102" s="446">
        <f ca="1">$H$64</f>
        <v>46199</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17</v>
      </c>
      <c r="H104" s="446">
        <f ca="1">$H$66</f>
        <v>46200</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17</v>
      </c>
      <c r="H105" s="446">
        <f ca="1">$H$66</f>
        <v>46200</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17</v>
      </c>
      <c r="H106" s="446">
        <f ca="1">$H$66</f>
        <v>46200</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17</v>
      </c>
      <c r="H108" s="446">
        <f ca="1">$H$68</f>
        <v>46200</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17</v>
      </c>
      <c r="H109" s="446">
        <f ca="1">$H$68</f>
        <v>46200</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17</v>
      </c>
      <c r="H110" s="446">
        <f ca="1">$H$68</f>
        <v>46200</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18</v>
      </c>
      <c r="H116" s="446">
        <f ca="1">$H$72</f>
        <v>46201</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18</v>
      </c>
      <c r="H117" s="446">
        <f ca="1">$H$72</f>
        <v>46201</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18</v>
      </c>
      <c r="H118" s="446">
        <f ca="1">$H$72</f>
        <v>46201</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18</v>
      </c>
      <c r="H120" s="446">
        <f ca="1">$H$74</f>
        <v>46201</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18</v>
      </c>
      <c r="H121" s="446">
        <f ca="1">$H$74</f>
        <v>46201</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18</v>
      </c>
      <c r="H122" s="446">
        <f ca="1">$H$74</f>
        <v>46201</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18</v>
      </c>
      <c r="H124" s="446">
        <f ca="1">$H$76</f>
        <v>46201</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18</v>
      </c>
      <c r="H125" s="446">
        <f ca="1">$H$76</f>
        <v>46201</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18</v>
      </c>
      <c r="H126" s="446">
        <f ca="1">$H$76</f>
        <v>46201</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tr">
        <f>Idiomas!$D$373</f>
        <v>Pegar Valores Cuadro de Honor</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Pegar Valores Nombre J17</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1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NombreGrupo</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Pegar Valores Nombre J17</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Pegar Valores Nombre J24</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Pegar Valores Nombre J25</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Pegar Valores Nombre J17</v>
      </c>
      <c r="G20" s="429" t="str">
        <f ca="1">IFERROR(VLOOKUP(G$2,Rango_Admin_DailyPred,MATCH($F20,Rango_Admin_DailyPred_Primera,0),0),"-")</f>
        <v>Pegar Valores (J1)</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Pegar Valores Nombre J24</v>
      </c>
      <c r="G27" s="429" t="str">
        <f ca="1">IFERROR(VLOOKUP(G$2,Rango_Admin_DailyPred,MATCH($F27,Rango_Admin_DailyPred_Primera,0),0),"-")</f>
        <v>Pegar Valores (J1)</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Pegar Valores Nombre J25</v>
      </c>
      <c r="G28" s="429" t="str">
        <f ca="1">IFERROR(VLOOKUP(G$2,Rango_Admin_DailyPred,MATCH($F28,Rango_Admin_DailyPred_Primera,0),0),"-")</f>
        <v>Pegar Valores (J1)</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Pegar Valores Nombre J17</v>
      </c>
      <c r="G20" s="22">
        <f ca="1">IFERROR(HLOOKUP(C20,Rango_Admin_DailyClas,4,FALSE),"-")</f>
        <v>0</v>
      </c>
      <c r="H20" s="429">
        <f ca="1">IFERROR(VLOOKUP(H$2,Rango_Admin_DailyPred,MATCH($F20,Rango_Admin_DailyPred_Primera,0)+1,0),"-")</f>
        <v>0</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Pegar Valores Nombre J24</v>
      </c>
      <c r="G27" s="22">
        <f ca="1">IFERROR(HLOOKUP(C27,Rango_Admin_DailyClas,4,FALSE),"-")</f>
        <v>0</v>
      </c>
      <c r="H27" s="429">
        <f ca="1">IFERROR(VLOOKUP(H$2,Rango_Admin_DailyPred,MATCH($F27,Rango_Admin_DailyPred_Primera,0)+1,0),"-")</f>
        <v>0</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Pegar Valores Nombre J25</v>
      </c>
      <c r="G28" s="22">
        <f ca="1">IFERROR(HLOOKUP(C28,Rango_Admin_DailyClas,4,FALSE),"-")</f>
        <v>0</v>
      </c>
      <c r="H28" s="429">
        <f ca="1">IFERROR(VLOOKUP(H$2,Rango_Admin_DailyPred,MATCH($F28,Rango_Admin_DailyPred_Primera,0)+1,0),"-")</f>
        <v>0</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6</v>
      </c>
      <c r="F8" s="456">
        <f ca="1">IFERROR(E8/$B$46,0)</f>
        <v>4.6439628482972135E-3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3</v>
      </c>
      <c r="N8" s="469">
        <f ca="1">IFERROR(COUNTIF(ADMIN!$S$130:INDEX(ADMIN!$S$130:$HL$161,32,ADMIN!$D$5*3-1),Stats!$L8)-SUM(O8:T8),0)</f>
        <v>2</v>
      </c>
      <c r="O8" s="469">
        <f ca="1">COUNTIF(ADMIN!$S$182:INDEX(ADMIN!$S$182:$HL$197,16,ADMIN!$D$5*3-1),Stats!$L8)-SUM(P8:T8)</f>
        <v>18</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16</v>
      </c>
      <c r="N9" s="471">
        <f ca="1">IFERROR(COUNTIF(ADMIN!$S$130:INDEX(ADMIN!$S$130:$HL$161,32,ADMIN!$D$5*3-1),Stats!$L9)-SUM(O9:T9),0)</f>
        <v>8</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6</v>
      </c>
      <c r="F10" s="456">
        <f ca="1">IFERROR(E10/$B$46,0)</f>
        <v>4.6439628482972135E-3</v>
      </c>
      <c r="G10" s="17"/>
      <c r="H10" s="454"/>
      <c r="I10" s="704"/>
      <c r="J10" s="706"/>
      <c r="K10" s="404"/>
      <c r="L10" s="133" t="str">
        <f ca="1">Horarios!Q5</f>
        <v>Argelia</v>
      </c>
      <c r="M10" s="469">
        <f ca="1">ADMIN!$D$5-SUM(N10:T10)</f>
        <v>11</v>
      </c>
      <c r="N10" s="469">
        <f ca="1">IFERROR(COUNTIF(ADMIN!$S$130:INDEX(ADMIN!$S$130:$HL$161,32,ADMIN!$D$5*3-1),Stats!$L10)-SUM(O10:T10),0)</f>
        <v>12</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1286</v>
      </c>
      <c r="F11" s="456">
        <f ca="1">IFERROR(1-F10,0)</f>
        <v>0.99535603715170273</v>
      </c>
      <c r="G11" s="17"/>
      <c r="H11" s="457"/>
      <c r="I11" s="704"/>
      <c r="J11" s="706"/>
      <c r="K11" s="404"/>
      <c r="L11" s="132" t="str">
        <f ca="1">Horarios!Q6</f>
        <v>Argentina</v>
      </c>
      <c r="M11" s="471">
        <f ca="1">ADMIN!$D$5-SUM(N11:T11)</f>
        <v>3</v>
      </c>
      <c r="N11" s="471">
        <f ca="1">IFERROR(COUNTIF(ADMIN!$S$130:INDEX(ADMIN!$S$130:$HL$161,32,ADMIN!$D$5*3-1),Stats!$L11)-SUM(O11:T11),0)</f>
        <v>4</v>
      </c>
      <c r="O11" s="471">
        <f ca="1">COUNTIF(ADMIN!$S$182:INDEX(ADMIN!$S$182:$HL$197,16,ADMIN!$D$5*3-1),Stats!$L11)-SUM(P11:T11)</f>
        <v>0</v>
      </c>
      <c r="P11" s="471">
        <f ca="1">COUNTIF(ADMIN!$S$210:INDEX(ADMIN!$S$210:$HL$217,8,ADMIN!$D$5*3-1),Stats!$L11)-SUM(Q11:T11)</f>
        <v>11</v>
      </c>
      <c r="Q11" s="471">
        <f ca="1">COUNTIF(ADMIN!$S$226:INDEX(ADMIN!$S$226:$HL$229,4,ADMIN!$D$5*3-1),Stats!$L11)-SUM(R11:T11)</f>
        <v>1</v>
      </c>
      <c r="R11" s="471">
        <f ca="1">IFERROR(COUNTIF(ADMIN!$S$252:INDEX(ADMIN!$S$252:$HL$252,1,ADMIN!$D$5*3-1),Stats!$L11),0)</f>
        <v>2</v>
      </c>
      <c r="S11" s="471">
        <f ca="1">IFERROR(COUNTIF(ADMIN!$S$251:INDEX(ADMIN!$S$251:$HL$251,1,ADMIN!$D$5*3-1),Stats!$L11),0)</f>
        <v>2</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150</v>
      </c>
      <c r="F12" s="456">
        <f ca="1">IFERROR(E12/B47,0)</f>
        <v>4.6439628482972135E-3</v>
      </c>
      <c r="G12" s="17"/>
      <c r="H12" s="454"/>
      <c r="I12" s="704"/>
      <c r="J12" s="706"/>
      <c r="K12" s="404"/>
      <c r="L12" s="133" t="str">
        <f ca="1">Horarios!Q7</f>
        <v>Australia</v>
      </c>
      <c r="M12" s="469">
        <f ca="1">ADMIN!$D$5-SUM(N12:T12)</f>
        <v>22</v>
      </c>
      <c r="N12" s="469">
        <f ca="1">IFERROR(COUNTIF(ADMIN!$S$130:INDEX(ADMIN!$S$130:$HL$161,32,ADMIN!$D$5*3-1),Stats!$L12)-SUM(O12:T12),0)</f>
        <v>3</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4</v>
      </c>
      <c r="N13" s="471">
        <f ca="1">IFERROR(COUNTIF(ADMIN!$S$130:INDEX(ADMIN!$S$130:$HL$161,32,ADMIN!$D$5*3-1),Stats!$L13)-SUM(O13:T13),0)</f>
        <v>21</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3</v>
      </c>
      <c r="N14" s="469">
        <f ca="1">IFERROR(COUNTIF(ADMIN!$S$130:INDEX(ADMIN!$S$130:$HL$161,32,ADMIN!$D$5*3-1),Stats!$L14)-SUM(O14:T14),0)</f>
        <v>1</v>
      </c>
      <c r="O14" s="469">
        <f ca="1">COUNTIF(ADMIN!$S$182:INDEX(ADMIN!$S$182:$HL$197,16,ADMIN!$D$5*3-1),Stats!$L14)-SUM(P14:T14)</f>
        <v>8</v>
      </c>
      <c r="P14" s="469">
        <f ca="1">COUNTIF(ADMIN!$S$210:INDEX(ADMIN!$S$210:$HL$217,8,ADMIN!$D$5*3-1),Stats!$L14)-SUM(Q14:T14)</f>
        <v>13</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9</v>
      </c>
      <c r="N15" s="471">
        <f ca="1">IFERROR(COUNTIF(ADMIN!$S$130:INDEX(ADMIN!$S$130:$HL$161,32,ADMIN!$D$5*3-1),Stats!$L15)-SUM(O15:T15),0)</f>
        <v>15</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3</v>
      </c>
      <c r="N16" s="469">
        <f ca="1">IFERROR(COUNTIF(ADMIN!$S$130:INDEX(ADMIN!$S$130:$HL$161,32,ADMIN!$D$5*3-1),Stats!$L16)-SUM(O16:T16),0)</f>
        <v>1</v>
      </c>
      <c r="O16" s="469">
        <f ca="1">COUNTIF(ADMIN!$S$182:INDEX(ADMIN!$S$182:$HL$197,16,ADMIN!$D$5*3-1),Stats!$L16)-SUM(P16:T16)</f>
        <v>3</v>
      </c>
      <c r="P16" s="469">
        <f ca="1">COUNTIF(ADMIN!$S$210:INDEX(ADMIN!$S$210:$HL$217,8,ADMIN!$D$5*3-1),Stats!$L16)-SUM(Q16:T16)</f>
        <v>6</v>
      </c>
      <c r="Q16" s="469">
        <f ca="1">COUNTIF(ADMIN!$S$226:INDEX(ADMIN!$S$226:$HL$229,4,ADMIN!$D$5*3-1),Stats!$L16)-SUM(R16:T16)</f>
        <v>4</v>
      </c>
      <c r="R16" s="469">
        <f ca="1">IFERROR(COUNTIF(ADMIN!$S$252:INDEX(ADMIN!$S$252:$HL$252,1,ADMIN!$D$5*3-1),Stats!$L16),0)</f>
        <v>5</v>
      </c>
      <c r="S16" s="469">
        <f ca="1">IFERROR(COUNTIF(ADMIN!$S$251:INDEX(ADMIN!$S$251:$HL$251,1,ADMIN!$D$5*3-1),Stats!$L16),0)</f>
        <v>3</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5</v>
      </c>
      <c r="N18" s="469">
        <f ca="1">IFERROR(COUNTIF(ADMIN!$S$130:INDEX(ADMIN!$S$130:$HL$161,32,ADMIN!$D$5*3-1),Stats!$L18)-SUM(O18:T18),0)</f>
        <v>8</v>
      </c>
      <c r="O18" s="469">
        <f ca="1">COUNTIF(ADMIN!$S$182:INDEX(ADMIN!$S$182:$HL$197,16,ADMIN!$D$5*3-1),Stats!$L18)-SUM(P18:T18)</f>
        <v>12</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19</v>
      </c>
      <c r="N19" s="471">
        <f ca="1">IFERROR(COUNTIF(ADMIN!$S$130:INDEX(ADMIN!$S$130:$HL$161,32,ADMIN!$D$5*3-1),Stats!$L19)-SUM(O19:T19),0)</f>
        <v>5</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3</v>
      </c>
      <c r="N20" s="469">
        <f ca="1">IFERROR(COUNTIF(ADMIN!$S$130:INDEX(ADMIN!$S$130:$HL$161,32,ADMIN!$D$5*3-1),Stats!$L20)-SUM(O20:T20),0)</f>
        <v>5</v>
      </c>
      <c r="O20" s="469">
        <f ca="1">COUNTIF(ADMIN!$S$182:INDEX(ADMIN!$S$182:$HL$197,16,ADMIN!$D$5*3-1),Stats!$L20)-SUM(P20:T20)</f>
        <v>15</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7</v>
      </c>
      <c r="N21" s="471">
        <f ca="1">IFERROR(COUNTIF(ADMIN!$S$130:INDEX(ADMIN!$S$130:$HL$161,32,ADMIN!$D$5*3-1),Stats!$L21)-SUM(O21:T21),0)</f>
        <v>10</v>
      </c>
      <c r="O21" s="471">
        <f ca="1">COUNTIF(ADMIN!$S$182:INDEX(ADMIN!$S$182:$HL$197,16,ADMIN!$D$5*3-1),Stats!$L21)-SUM(P21:T21)</f>
        <v>8</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6</v>
      </c>
      <c r="C22" s="17"/>
      <c r="D22" s="17"/>
      <c r="E22" s="17"/>
      <c r="F22" s="17"/>
      <c r="G22" s="17"/>
      <c r="H22" s="454"/>
      <c r="I22" s="704"/>
      <c r="J22" s="475"/>
      <c r="K22" s="475"/>
      <c r="L22" s="133" t="str">
        <f ca="1">Horarios!Q17</f>
        <v>Costa de Marfil</v>
      </c>
      <c r="M22" s="469">
        <f ca="1">ADMIN!$D$5-SUM(N22:T22)</f>
        <v>8</v>
      </c>
      <c r="N22" s="469">
        <f ca="1">IFERROR(COUNTIF(ADMIN!$S$130:INDEX(ADMIN!$S$130:$HL$161,32,ADMIN!$D$5*3-1),Stats!$L22)-SUM(O22:T22),0)</f>
        <v>14</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3</v>
      </c>
      <c r="N23" s="471">
        <f ca="1">IFERROR(COUNTIF(ADMIN!$S$130:INDEX(ADMIN!$S$130:$HL$161,32,ADMIN!$D$5*3-1),Stats!$L23)-SUM(O23:T23),0)</f>
        <v>18</v>
      </c>
      <c r="O23" s="471">
        <f ca="1">COUNTIF(ADMIN!$S$182:INDEX(ADMIN!$S$182:$HL$197,16,ADMIN!$D$5*3-1),Stats!$L23)-SUM(P23:T23)</f>
        <v>3</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12</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3</v>
      </c>
      <c r="N25" s="471">
        <f ca="1">IFERROR(COUNTIF(ADMIN!$S$130:INDEX(ADMIN!$S$130:$HL$161,32,ADMIN!$D$5*3-1),Stats!$L25)-SUM(O25:T25),0)</f>
        <v>9</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30</v>
      </c>
      <c r="C26" s="17"/>
      <c r="D26" s="17"/>
      <c r="E26" s="17"/>
      <c r="F26" s="17"/>
      <c r="G26" s="17"/>
      <c r="H26" s="454"/>
      <c r="I26" s="704"/>
      <c r="J26" s="475"/>
      <c r="K26" s="475"/>
      <c r="L26" s="133" t="str">
        <f ca="1">Horarios!Q21</f>
        <v>Egipto</v>
      </c>
      <c r="M26" s="469">
        <f ca="1">ADMIN!$D$5-SUM(N26:T26)</f>
        <v>8</v>
      </c>
      <c r="N26" s="469">
        <f ca="1">IFERROR(COUNTIF(ADMIN!$S$130:INDEX(ADMIN!$S$130:$HL$161,32,ADMIN!$D$5*3-1),Stats!$L26)-SUM(O26:T26),0)</f>
        <v>14</v>
      </c>
      <c r="O26" s="469">
        <f ca="1">COUNTIF(ADMIN!$S$182:INDEX(ADMIN!$S$182:$HL$197,16,ADMIN!$D$5*3-1),Stats!$L26)-SUM(P26:T26)</f>
        <v>2</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18</v>
      </c>
      <c r="C27" s="17"/>
      <c r="D27" s="17"/>
      <c r="E27" s="17"/>
      <c r="F27" s="17"/>
      <c r="G27" s="17"/>
      <c r="H27" s="457"/>
      <c r="I27" s="704"/>
      <c r="J27" s="475"/>
      <c r="K27" s="475"/>
      <c r="L27" s="132" t="str">
        <f ca="1">Horarios!Q22</f>
        <v>Escocia</v>
      </c>
      <c r="M27" s="471">
        <f ca="1">ADMIN!$D$5-SUM(N27:T27)</f>
        <v>11</v>
      </c>
      <c r="N27" s="471">
        <f ca="1">IFERROR(COUNTIF(ADMIN!$S$130:INDEX(ADMIN!$S$130:$HL$161,32,ADMIN!$D$5*3-1),Stats!$L27)-SUM(O27:T27),0)</f>
        <v>14</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3</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0</v>
      </c>
      <c r="R28" s="469">
        <f ca="1">IFERROR(COUNTIF(ADMIN!$S$252:INDEX(ADMIN!$S$252:$HL$252,1,ADMIN!$D$5*3-1),Stats!$L28),0)</f>
        <v>6</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30</v>
      </c>
      <c r="C29" s="17"/>
      <c r="D29" s="17"/>
      <c r="E29" s="17"/>
      <c r="F29" s="17"/>
      <c r="G29" s="17"/>
      <c r="H29" s="457"/>
      <c r="I29" s="704"/>
      <c r="J29" s="475"/>
      <c r="K29" s="475"/>
      <c r="L29" s="132" t="str">
        <f ca="1">Horarios!Q24</f>
        <v>Estados Unidos</v>
      </c>
      <c r="M29" s="471">
        <f ca="1">ADMIN!$D$5-SUM(N29:T29)</f>
        <v>5</v>
      </c>
      <c r="N29" s="471">
        <f ca="1">IFERROR(COUNTIF(ADMIN!$S$130:INDEX(ADMIN!$S$130:$HL$161,32,ADMIN!$D$5*3-1),Stats!$L29)-SUM(O29:T29),0)</f>
        <v>10</v>
      </c>
      <c r="O29" s="471">
        <f ca="1">COUNTIF(ADMIN!$S$182:INDEX(ADMIN!$S$182:$HL$197,16,ADMIN!$D$5*3-1),Stats!$L29)-SUM(P29:T29)</f>
        <v>10</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18</v>
      </c>
      <c r="C30" s="17"/>
      <c r="D30" s="17"/>
      <c r="E30" s="17"/>
      <c r="F30" s="17"/>
      <c r="G30" s="17"/>
      <c r="H30" s="454"/>
      <c r="I30" s="704"/>
      <c r="J30" s="475"/>
      <c r="K30" s="475"/>
      <c r="L30" s="133" t="str">
        <f ca="1">Horarios!Q25</f>
        <v>Francia</v>
      </c>
      <c r="M30" s="469">
        <f ca="1">ADMIN!$D$5-SUM(N30:T30)</f>
        <v>3</v>
      </c>
      <c r="N30" s="469">
        <f ca="1">IFERROR(COUNTIF(ADMIN!$S$130:INDEX(ADMIN!$S$130:$HL$161,32,ADMIN!$D$5*3-1),Stats!$L30)-SUM(O30:T30),0)</f>
        <v>0</v>
      </c>
      <c r="O30" s="469">
        <f ca="1">COUNTIF(ADMIN!$S$182:INDEX(ADMIN!$S$182:$HL$197,16,ADMIN!$D$5*3-1),Stats!$L30)-SUM(P30:T30)</f>
        <v>2</v>
      </c>
      <c r="P30" s="469">
        <f ca="1">COUNTIF(ADMIN!$S$210:INDEX(ADMIN!$S$210:$HL$217,8,ADMIN!$D$5*3-1),Stats!$L30)-SUM(Q30:T30)</f>
        <v>3</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3</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11</v>
      </c>
      <c r="N31" s="471">
        <f ca="1">IFERROR(COUNTIF(ADMIN!$S$130:INDEX(ADMIN!$S$130:$HL$161,32,ADMIN!$D$5*3-1),Stats!$L31)-SUM(O31:T31),0)</f>
        <v>13</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30</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18</v>
      </c>
      <c r="C33" s="17"/>
      <c r="D33" s="17"/>
      <c r="E33" s="17"/>
      <c r="F33" s="17"/>
      <c r="G33" s="17"/>
      <c r="H33" s="17"/>
      <c r="I33" s="17"/>
      <c r="J33" s="475"/>
      <c r="K33" s="475"/>
      <c r="L33" s="132" t="str">
        <f ca="1">Horarios!Q28</f>
        <v>Inglaterra</v>
      </c>
      <c r="M33" s="471">
        <f ca="1">ADMIN!$D$5-SUM(N33:T33)</f>
        <v>3</v>
      </c>
      <c r="N33" s="471">
        <f ca="1">IFERROR(COUNTIF(ADMIN!$S$130:INDEX(ADMIN!$S$130:$HL$161,32,ADMIN!$D$5*3-1),Stats!$L33)-SUM(O33:T33),0)</f>
        <v>1</v>
      </c>
      <c r="O33" s="471">
        <f ca="1">COUNTIF(ADMIN!$S$182:INDEX(ADMIN!$S$182:$HL$197,16,ADMIN!$D$5*3-1),Stats!$L33)-SUM(P33:T33)</f>
        <v>1</v>
      </c>
      <c r="P33" s="471">
        <f ca="1">COUNTIF(ADMIN!$S$210:INDEX(ADMIN!$S$210:$HL$217,8,ADMIN!$D$5*3-1),Stats!$L33)-SUM(Q33:T33)</f>
        <v>12</v>
      </c>
      <c r="Q33" s="471">
        <f ca="1">COUNTIF(ADMIN!$S$226:INDEX(ADMIN!$S$226:$HL$229,4,ADMIN!$D$5*3-1),Stats!$L33)-SUM(R33:T33)</f>
        <v>6</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43</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14</v>
      </c>
      <c r="N35" s="471">
        <f ca="1">IFERROR(COUNTIF(ADMIN!$S$130:INDEX(ADMIN!$S$130:$HL$161,32,ADMIN!$D$5*3-1),Stats!$L35)-SUM(O35:T35),0)</f>
        <v>11</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50</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4</v>
      </c>
      <c r="N36" s="469">
        <f ca="1">IFERROR(COUNTIF(ADMIN!$S$130:INDEX(ADMIN!$S$130:$HL$161,32,ADMIN!$D$5*3-1),Stats!$L36)-SUM(O36:T36),0)</f>
        <v>18</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100</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50</v>
      </c>
      <c r="C38" s="17"/>
      <c r="D38" s="25"/>
      <c r="E38" s="25"/>
      <c r="F38" s="25"/>
      <c r="G38" s="17"/>
      <c r="H38" s="17"/>
      <c r="I38" s="17"/>
      <c r="J38" s="25"/>
      <c r="K38" s="25"/>
      <c r="L38" s="133" t="str">
        <f ca="1">Horarios!Q33</f>
        <v>Marruecos</v>
      </c>
      <c r="M38" s="469">
        <f ca="1">ADMIN!$D$5-SUM(N38:T38)</f>
        <v>6</v>
      </c>
      <c r="N38" s="469">
        <f ca="1">IFERROR(COUNTIF(ADMIN!$S$130:INDEX(ADMIN!$S$130:$HL$161,32,ADMIN!$D$5*3-1),Stats!$L38)-SUM(O38:T38),0)</f>
        <v>13</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75</v>
      </c>
      <c r="C39" s="17"/>
      <c r="D39" s="453"/>
      <c r="E39" s="453"/>
      <c r="F39" s="453"/>
      <c r="G39" s="17"/>
      <c r="H39" s="17"/>
      <c r="I39" s="17"/>
      <c r="J39" s="25"/>
      <c r="K39" s="25"/>
      <c r="L39" s="132" t="str">
        <f ca="1">Horarios!Q34</f>
        <v>México</v>
      </c>
      <c r="M39" s="471">
        <f ca="1">ADMIN!$D$5-SUM(N39:T39)</f>
        <v>4</v>
      </c>
      <c r="N39" s="471">
        <f ca="1">IFERROR(COUNTIF(ADMIN!$S$130:INDEX(ADMIN!$S$130:$HL$161,32,ADMIN!$D$5*3-1),Stats!$L39)-SUM(O39:T39),0)</f>
        <v>6</v>
      </c>
      <c r="O39" s="471">
        <f ca="1">COUNTIF(ADMIN!$S$182:INDEX(ADMIN!$S$182:$HL$197,16,ADMIN!$D$5*3-1),Stats!$L39)-SUM(P39:T39)</f>
        <v>15</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4</v>
      </c>
      <c r="N40" s="469">
        <f ca="1">IFERROR(COUNTIF(ADMIN!$S$130:INDEX(ADMIN!$S$130:$HL$161,32,ADMIN!$D$5*3-1),Stats!$L40)-SUM(O40:T40),0)</f>
        <v>12</v>
      </c>
      <c r="O40" s="469">
        <f ca="1">COUNTIF(ADMIN!$S$182:INDEX(ADMIN!$S$182:$HL$197,16,ADMIN!$D$5*3-1),Stats!$L40)-SUM(P40:T40)</f>
        <v>6</v>
      </c>
      <c r="P40" s="469">
        <f ca="1">COUNTIF(ADMIN!$S$210:INDEX(ADMIN!$S$210:$HL$217,8,ADMIN!$D$5*3-1),Stats!$L40)-SUM(Q40:T40)</f>
        <v>1</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3</v>
      </c>
      <c r="N42" s="469">
        <f ca="1">IFERROR(COUNTIF(ADMIN!$S$130:INDEX(ADMIN!$S$130:$HL$161,32,ADMIN!$D$5*3-1),Stats!$L42)-SUM(O42:T42),0)</f>
        <v>8</v>
      </c>
      <c r="O42" s="469">
        <f ca="1">COUNTIF(ADMIN!$S$182:INDEX(ADMIN!$S$182:$HL$197,16,ADMIN!$D$5*3-1),Stats!$L42)-SUM(P42:T42)</f>
        <v>0</v>
      </c>
      <c r="P42" s="469">
        <f ca="1">COUNTIF(ADMIN!$S$210:INDEX(ADMIN!$S$210:$HL$217,8,ADMIN!$D$5*3-1),Stats!$L42)-SUM(Q42:T42)</f>
        <v>13</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7</v>
      </c>
      <c r="N44" s="469">
        <f ca="1">IFERROR(COUNTIF(ADMIN!$S$130:INDEX(ADMIN!$S$130:$HL$161,32,ADMIN!$D$5*3-1),Stats!$L44)-SUM(O44:T44),0)</f>
        <v>6</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
      </c>
      <c r="F45" s="453"/>
      <c r="G45" s="17"/>
      <c r="H45" s="17"/>
      <c r="I45" s="17"/>
      <c r="J45" s="25"/>
      <c r="K45" s="25"/>
      <c r="L45" s="132" t="str">
        <f ca="1">Horarios!Q40</f>
        <v>Portugal</v>
      </c>
      <c r="M45" s="471">
        <f ca="1">ADMIN!$D$5-SUM(N45:T45)</f>
        <v>3</v>
      </c>
      <c r="N45" s="471">
        <f ca="1">IFERROR(COUNTIF(ADMIN!$S$130:INDEX(ADMIN!$S$130:$HL$161,32,ADMIN!$D$5*3-1),Stats!$L45)-SUM(O45:T45),0)</f>
        <v>0</v>
      </c>
      <c r="O45" s="471">
        <f ca="1">COUNTIF(ADMIN!$S$182:INDEX(ADMIN!$S$182:$HL$197,16,ADMIN!$D$5*3-1),Stats!$L45)-SUM(P45:T45)</f>
        <v>1</v>
      </c>
      <c r="P45" s="471">
        <f ca="1">COUNTIF(ADMIN!$S$210:INDEX(ADMIN!$S$210:$HL$217,8,ADMIN!$D$5*3-1),Stats!$L45)-SUM(Q45:T45)</f>
        <v>7</v>
      </c>
      <c r="Q45" s="471">
        <f ca="1">COUNTIF(ADMIN!$S$226:INDEX(ADMIN!$S$226:$HL$229,4,ADMIN!$D$5*3-1),Stats!$L45)-SUM(R45:T45)</f>
        <v>0</v>
      </c>
      <c r="R45" s="471">
        <f ca="1">IFERROR(COUNTIF(ADMIN!$S$252:INDEX(ADMIN!$S$252:$HL$252,1,ADMIN!$D$5*3-1),Stats!$L45),0)</f>
        <v>1</v>
      </c>
      <c r="S45" s="471">
        <f ca="1">IFERROR(COUNTIF(ADMIN!$S$251:INDEX(ADMIN!$S$251:$HL$251,1,ADMIN!$D$5*3-1),Stats!$L45),0)</f>
        <v>4</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23</v>
      </c>
      <c r="N46" s="469">
        <f ca="1">IFERROR(COUNTIF(ADMIN!$S$130:INDEX(ADMIN!$S$130:$HL$161,32,ADMIN!$D$5*3-1),Stats!$L46)-SUM(O46:T46),0)</f>
        <v>2</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9</v>
      </c>
      <c r="N47" s="471">
        <f ca="1">IFERROR(COUNTIF(ADMIN!$S$130:INDEX(ADMIN!$S$130:$HL$161,32,ADMIN!$D$5*3-1),Stats!$L47)-SUM(O47:T47),0)</f>
        <v>11</v>
      </c>
      <c r="O47" s="471">
        <f ca="1">COUNTIF(ADMIN!$S$182:INDEX(ADMIN!$S$182:$HL$197,16,ADMIN!$D$5*3-1),Stats!$L47)-SUM(P47:T47)</f>
        <v>5</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8</v>
      </c>
      <c r="N48" s="469">
        <f ca="1">IFERROR(COUNTIF(ADMIN!$S$130:INDEX(ADMIN!$S$130:$HL$161,32,ADMIN!$D$5*3-1),Stats!$L48)-SUM(O48:T48),0)</f>
        <v>15</v>
      </c>
      <c r="O48" s="469">
        <f ca="1">COUNTIF(ADMIN!$S$182:INDEX(ADMIN!$S$182:$HL$197,16,ADMIN!$D$5*3-1),Stats!$L48)-SUM(P48:T48)</f>
        <v>2</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8</v>
      </c>
      <c r="N50" s="469">
        <f ca="1">IFERROR(COUNTIF(ADMIN!$S$130:INDEX(ADMIN!$S$130:$HL$161,32,ADMIN!$D$5*3-1),Stats!$L50)-SUM(O50:T50),0)</f>
        <v>16</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4</v>
      </c>
      <c r="N51" s="471">
        <f ca="1">IFERROR(COUNTIF(ADMIN!$S$130:INDEX(ADMIN!$S$130:$HL$161,32,ADMIN!$D$5*3-1),Stats!$L51)-SUM(O51:T51),0)</f>
        <v>3</v>
      </c>
      <c r="O51" s="471">
        <f ca="1">COUNTIF(ADMIN!$S$182:INDEX(ADMIN!$S$182:$HL$197,16,ADMIN!$D$5*3-1),Stats!$L51)-SUM(P51:T51)</f>
        <v>18</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5</v>
      </c>
      <c r="N53" s="471">
        <f ca="1">IFERROR(COUNTIF(ADMIN!$S$130:INDEX(ADMIN!$S$130:$HL$161,32,ADMIN!$D$5*3-1),Stats!$L53)-SUM(O53:T53),0)</f>
        <v>2</v>
      </c>
      <c r="O53" s="471">
        <f ca="1">COUNTIF(ADMIN!$S$182:INDEX(ADMIN!$S$182:$HL$197,16,ADMIN!$D$5*3-1),Stats!$L53)-SUM(P53:T53)</f>
        <v>13</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3</v>
      </c>
      <c r="N54" s="469">
        <f ca="1">IFERROR(COUNTIF(ADMIN!$S$130:INDEX(ADMIN!$S$130:$HL$161,32,ADMIN!$D$5*3-1),Stats!$L54)-SUM(O54:T54),0)</f>
        <v>17</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2026-06-10T17:57:33Z</dcterms:modified>
  <cp:category/>
</cp:coreProperties>
</file>