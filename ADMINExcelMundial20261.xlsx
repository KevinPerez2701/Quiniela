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9436F547-FC91-4D33-A4D4-3C5D441ADD2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665" yWindow="2115"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AR61"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M84" i="34" s="1"/>
  <c r="B3" i="30"/>
  <c r="AX18" i="45"/>
  <c r="S267" i="46"/>
  <c r="K128" i="46"/>
  <c r="H257" i="46"/>
  <c r="AZ37" i="3"/>
  <c r="AZ21" i="3"/>
  <c r="AZ13" i="3"/>
  <c r="AZ29" i="3"/>
  <c r="R7" i="51"/>
  <c r="AZ53" i="3"/>
  <c r="AZ77" i="3"/>
  <c r="AZ45" i="3"/>
  <c r="AZ69" i="3"/>
  <c r="AJ3" i="3"/>
  <c r="AJ60" i="3" s="1"/>
  <c r="AZ93" i="3"/>
  <c r="AZ85" i="3"/>
  <c r="K224" i="46"/>
  <c r="K139" i="46"/>
  <c r="K153" i="46"/>
  <c r="K136" i="46"/>
  <c r="K138" i="46"/>
  <c r="K132" i="46"/>
  <c r="K134" i="46"/>
  <c r="K144" i="46"/>
  <c r="K142" i="46"/>
  <c r="K152" i="46"/>
  <c r="K154" i="46"/>
  <c r="K148" i="46"/>
  <c r="K150" i="46"/>
  <c r="K160" i="46"/>
  <c r="K158" i="46"/>
  <c r="K137" i="46"/>
  <c r="H202" i="46"/>
  <c r="H204" i="46"/>
  <c r="H205" i="46"/>
  <c r="H207" i="46"/>
  <c r="Q22" i="6"/>
  <c r="H210" i="46"/>
  <c r="D21" i="36"/>
  <c r="AF3" i="3" s="1"/>
  <c r="AF51" i="3" s="1"/>
  <c r="D507" i="36"/>
  <c r="D20" i="36"/>
  <c r="AD3" i="3" s="1"/>
  <c r="D506" i="36"/>
  <c r="H233" i="46"/>
  <c r="AA160" i="3"/>
  <c r="M258" i="46" s="1"/>
  <c r="AL5" i="3"/>
  <c r="AY5" i="3" s="1"/>
  <c r="AA158" i="3"/>
  <c r="M256" i="46" s="1"/>
  <c r="AH158" i="3"/>
  <c r="H216" i="46"/>
  <c r="AH154" i="3"/>
  <c r="AN45" i="3"/>
  <c r="C61" i="46" l="1"/>
  <c r="AC3" i="3"/>
  <c r="AC130" i="3" s="1"/>
  <c r="H237" i="46"/>
  <c r="H236" i="46"/>
  <c r="H220" i="46"/>
  <c r="H241" i="46"/>
  <c r="Q45" i="46"/>
  <c r="M20" i="46"/>
  <c r="M7" i="46"/>
  <c r="H232" i="46"/>
  <c r="H229" i="46"/>
  <c r="AM21" i="3"/>
  <c r="H228" i="46"/>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H28" i="3"/>
  <c r="CA19" i="3" s="1"/>
  <c r="I93" i="3"/>
  <c r="CA52" i="3" s="1"/>
  <c r="H52" i="3"/>
  <c r="I28" i="3"/>
  <c r="CA18" i="3" s="1"/>
  <c r="H54" i="3"/>
  <c r="I40" i="3"/>
  <c r="CB23" i="3" s="1"/>
  <c r="I71" i="3"/>
  <c r="I76" i="3"/>
  <c r="CB42" i="3" s="1"/>
  <c r="H96" i="3"/>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B31" i="3" l="1"/>
  <c r="CA50" i="3"/>
  <c r="CA11" i="3"/>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11" i="3" l="1"/>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CF50" i="3" s="1"/>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K87" i="3"/>
  <c r="CF47" i="3" s="1"/>
  <c r="K61" i="3"/>
  <c r="CF37" i="3" s="1"/>
  <c r="L47" i="3"/>
  <c r="CF29" i="3" s="1"/>
  <c r="CF49" i="3"/>
  <c r="CF45" i="3"/>
  <c r="CF16" i="3"/>
  <c r="CF46" i="3"/>
  <c r="CF53" i="3"/>
  <c r="E9" i="51"/>
  <c r="CF22" i="3"/>
  <c r="CF26" i="3"/>
  <c r="B46" i="51"/>
  <c r="B47" i="51" s="1"/>
  <c r="E10" i="51"/>
  <c r="E28" i="48"/>
  <c r="F27" i="48" a="1"/>
  <c r="F27" i="48" s="1"/>
  <c r="E12" i="51"/>
  <c r="E11" i="51"/>
  <c r="CF33" i="3" l="1"/>
  <c r="CF32" i="3"/>
  <c r="CF27" i="3"/>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CI20" i="3" s="1"/>
  <c r="O71" i="3"/>
  <c r="N69" i="3"/>
  <c r="O37" i="3"/>
  <c r="O60" i="3"/>
  <c r="O47" i="3"/>
  <c r="N8" i="3"/>
  <c r="N31" i="3"/>
  <c r="N48" i="3"/>
  <c r="O54" i="3"/>
  <c r="CK30" i="3" s="1"/>
  <c r="N16" i="3"/>
  <c r="O56" i="3"/>
  <c r="O38" i="3"/>
  <c r="N73" i="3"/>
  <c r="N24" i="3"/>
  <c r="N64" i="3"/>
  <c r="O5" i="3"/>
  <c r="O70" i="3"/>
  <c r="CJ38" i="3" s="1"/>
  <c r="N39" i="3"/>
  <c r="O40" i="3"/>
  <c r="O13" i="3"/>
  <c r="CJ12" i="3" s="1"/>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<sst xmlns="http://schemas.openxmlformats.org/spreadsheetml/2006/main" count="13256" uniqueCount="2599">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</sst>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3"/>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798"/>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09"/>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11"/>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41"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41"/>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v>1</v>
      </c>
      <c r="AD56" s="194">
        <v>1</v>
      </c>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v>1</v>
      </c>
      <c r="AD57" s="233">
        <v>5</v>
      </c>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23"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23"/>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v>0</v>
      </c>
      <c r="AD64" s="194">
        <v>0</v>
      </c>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v>0</v>
      </c>
      <c r="AD65" s="233">
        <v>1</v>
      </c>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29"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29"/>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25"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25"/>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v>3</v>
      </c>
      <c r="AD80" s="194">
        <v>3</v>
      </c>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v>1</v>
      </c>
      <c r="AD81" s="233">
        <v>3</v>
      </c>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v>0</v>
      </c>
      <c r="AD88" s="194">
        <v>0</v>
      </c>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v>3</v>
      </c>
      <c r="AD89" s="233">
        <v>1</v>
      </c>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27"/>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v>0</v>
      </c>
      <c r="AD96" s="194">
        <v>2</v>
      </c>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v>2</v>
      </c>
      <c r="AD97" s="233">
        <v>1</v>
      </c>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v>0</v>
      </c>
      <c r="AD101" s="194">
        <v>1</v>
      </c>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v>2</v>
      </c>
      <c r="AD102" s="281">
        <v>1</v>
      </c>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v>5</v>
      </c>
      <c r="AC103" s="281">
        <v>1</v>
      </c>
      <c r="AD103" s="281">
        <v>1</v>
      </c>
      <c r="AE103" s="278">
        <v>6</v>
      </c>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v>2</v>
      </c>
      <c r="AC104" s="281">
        <v>1</v>
      </c>
      <c r="AD104" s="281">
        <v>1</v>
      </c>
      <c r="AE104" s="278">
        <v>3</v>
      </c>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v>1</v>
      </c>
      <c r="AD105" s="281">
        <v>2</v>
      </c>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v>3</v>
      </c>
      <c r="AD106" s="281">
        <v>0</v>
      </c>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v>2</v>
      </c>
      <c r="AD107" s="281">
        <v>0</v>
      </c>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v>2</v>
      </c>
      <c r="AD108" s="281">
        <v>1</v>
      </c>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v>3</v>
      </c>
      <c r="AD109" s="281">
        <v>2</v>
      </c>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v>2</v>
      </c>
      <c r="AD110" s="281">
        <v>0</v>
      </c>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v>3</v>
      </c>
      <c r="AD111" s="281">
        <v>0</v>
      </c>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v>2</v>
      </c>
      <c r="AD112" s="281">
        <v>1</v>
      </c>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v>2</v>
      </c>
      <c r="AD113" s="281">
        <v>0</v>
      </c>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v>2</v>
      </c>
      <c r="AC114" s="281">
        <v>1</v>
      </c>
      <c r="AD114" s="281">
        <v>1</v>
      </c>
      <c r="AE114" s="278">
        <v>4</v>
      </c>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v>3</v>
      </c>
      <c r="AD115" s="281">
        <v>2</v>
      </c>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v>1</v>
      </c>
      <c r="AD116" s="302">
        <v>0</v>
      </c>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v>0</v>
      </c>
      <c r="AD120" s="305">
        <v>3</v>
      </c>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v>0</v>
      </c>
      <c r="AD121" s="307">
        <v>1</v>
      </c>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v>1</v>
      </c>
      <c r="AD122" s="307">
        <v>2</v>
      </c>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v>2</v>
      </c>
      <c r="AD123" s="307">
        <v>3</v>
      </c>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v>0</v>
      </c>
      <c r="AD124" s="307">
        <v>1</v>
      </c>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v>1</v>
      </c>
      <c r="AD125" s="309">
        <v>4</v>
      </c>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v>3</v>
      </c>
      <c r="AD126" s="309">
        <v>2</v>
      </c>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v>4</v>
      </c>
      <c r="AC127" s="310">
        <v>0</v>
      </c>
      <c r="AD127" s="310">
        <v>0</v>
      </c>
      <c r="AE127" s="301">
        <v>3</v>
      </c>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v>2</v>
      </c>
      <c r="AD131" s="305">
        <v>0</v>
      </c>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v>2</v>
      </c>
      <c r="AD132" s="309">
        <v>1</v>
      </c>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v>1</v>
      </c>
      <c r="AD133" s="309">
        <v>2</v>
      </c>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10</v>
      </c>
      <c r="T1" s="87"/>
      <c r="U1" s="65"/>
      <c r="V1" s="87">
        <f ca="1">+IFERROR(RANK(V2,OFFSET($S$2,0,0,1,$D$5*3),0),"-")</f>
        <v>23</v>
      </c>
      <c r="W1" s="87"/>
      <c r="X1" s="65"/>
      <c r="Y1" s="87">
        <f ca="1">+IFERROR(RANK(Y2,OFFSET($S$2,0,0,1,$D$5*3),0),"-")</f>
        <v>14</v>
      </c>
      <c r="Z1" s="87"/>
      <c r="AA1" s="65"/>
      <c r="AB1" s="87">
        <f ca="1">+IFERROR(RANK(AB2,OFFSET($S$2,0,0,1,$D$5*3),0),"-")</f>
        <v>24</v>
      </c>
      <c r="AC1" s="87"/>
      <c r="AD1" s="65"/>
      <c r="AE1" s="87">
        <f ca="1">+IFERROR(RANK(AE2,OFFSET($S$2,0,0,1,$D$5*3),0),"-")</f>
        <v>22</v>
      </c>
      <c r="AF1" s="87"/>
      <c r="AG1" s="65"/>
      <c r="AH1" s="87">
        <f ca="1">+IFERROR(RANK(AH2,OFFSET($S$2,0,0,1,$D$5*3),0),"-")</f>
        <v>11</v>
      </c>
      <c r="AI1" s="87"/>
      <c r="AJ1" s="65"/>
      <c r="AK1" s="87">
        <f ca="1">+IFERROR(RANK(AK2,OFFSET($S$2,0,0,1,$D$5*3),0),"-")</f>
        <v>21</v>
      </c>
      <c r="AL1" s="87"/>
      <c r="AM1" s="65"/>
      <c r="AN1" s="87">
        <f ca="1">+IFERROR(RANK(AN2,OFFSET($S$2,0,0,1,$D$5*3),0),"-")</f>
        <v>12</v>
      </c>
      <c r="AO1" s="87"/>
      <c r="AP1" s="65"/>
      <c r="AQ1" s="87">
        <f ca="1">+IFERROR(RANK(AQ2,OFFSET($S$2,0,0,1,$D$5*3),0),"-")</f>
        <v>16</v>
      </c>
      <c r="AR1" s="87"/>
      <c r="AS1" s="65"/>
      <c r="AT1" s="87">
        <f ca="1">+IFERROR(RANK(AT2,OFFSET($S$2,0,0,1,$D$5*3),0),"-")</f>
        <v>15</v>
      </c>
      <c r="AU1" s="87"/>
      <c r="AV1" s="65"/>
      <c r="AW1" s="87">
        <f ca="1">+IFERROR(RANK(AW2,OFFSET($S$2,0,0,1,$D$5*3),0),"-")</f>
        <v>25</v>
      </c>
      <c r="AX1" s="87"/>
      <c r="AY1" s="65"/>
      <c r="AZ1" s="87">
        <f ca="1">+IFERROR(RANK(AZ2,OFFSET($S$2,0,0,1,$D$5*3),0),"-")</f>
        <v>2</v>
      </c>
      <c r="BA1" s="87"/>
      <c r="BB1" s="65"/>
      <c r="BC1" s="87">
        <f ca="1">+IFERROR(RANK(BC2,OFFSET($S$2,0,0,1,$D$5*3),0),"-")</f>
        <v>4</v>
      </c>
      <c r="BD1" s="87"/>
      <c r="BE1" s="65"/>
      <c r="BF1" s="87">
        <f ca="1">+IFERROR(RANK(BF2,OFFSET($S$2,0,0,1,$D$5*3),0),"-")</f>
        <v>18</v>
      </c>
      <c r="BG1" s="87"/>
      <c r="BH1" s="65"/>
      <c r="BI1" s="87">
        <f ca="1">+IFERROR(RANK(BI2,OFFSET($S$2,0,0,1,$D$5*3),0),"-")</f>
        <v>3</v>
      </c>
      <c r="BJ1" s="87"/>
      <c r="BK1" s="65"/>
      <c r="BL1" s="87">
        <f ca="1">+IFERROR(RANK(BL2,OFFSET($S$2,0,0,1,$D$5*3),0),"-")</f>
        <v>13</v>
      </c>
      <c r="BM1" s="87"/>
      <c r="BN1" s="65"/>
      <c r="BO1" s="87">
        <f ca="1">+IFERROR(RANK(BO2,OFFSET($S$2,0,0,1,$D$5*3),0),"-")</f>
        <v>1</v>
      </c>
      <c r="BP1" s="87"/>
      <c r="BQ1" s="65"/>
      <c r="BR1" s="87">
        <f ca="1">+IFERROR(RANK(BR2,OFFSET($S$2,0,0,1,$D$5*3),0),"-")</f>
        <v>17</v>
      </c>
      <c r="BS1" s="87"/>
      <c r="BT1" s="65"/>
      <c r="BU1" s="87">
        <f ca="1">+IFERROR(RANK(BU2,OFFSET($S$2,0,0,1,$D$5*3),0),"-")</f>
        <v>8</v>
      </c>
      <c r="BV1" s="87"/>
      <c r="BW1" s="65"/>
      <c r="BX1" s="87">
        <f ca="1">+IFERROR(RANK(BX2,OFFSET($S$2,0,0,1,$D$5*3),0),"-")</f>
        <v>20</v>
      </c>
      <c r="BY1" s="87"/>
      <c r="BZ1" s="65"/>
      <c r="CA1" s="87">
        <f ca="1">+IFERROR(RANK(CA2,OFFSET($S$2,0,0,1,$D$5*3),0),"-")</f>
        <v>9</v>
      </c>
      <c r="CB1" s="87"/>
      <c r="CC1" s="65"/>
      <c r="CD1" s="87">
        <f ca="1">+IFERROR(RANK(CD2,OFFSET($S$2,0,0,1,$D$5*3),0),"-")</f>
        <v>5</v>
      </c>
      <c r="CE1" s="87"/>
      <c r="CF1" s="65"/>
      <c r="CG1" s="87">
        <f ca="1">+IFERROR(RANK(CG2,OFFSET($S$2,0,0,1,$D$5*3),0),"-")</f>
        <v>6</v>
      </c>
      <c r="CH1" s="87"/>
      <c r="CI1" s="65"/>
      <c r="CJ1" s="87">
        <f ca="1">+IFERROR(RANK(CJ2,OFFSET($S$2,0,0,1,$D$5*3),0),"-")</f>
        <v>7</v>
      </c>
      <c r="CK1" s="87"/>
      <c r="CL1" s="65"/>
      <c r="CM1" s="87">
        <f ca="1">+IFERROR(RANK(CM2,OFFSET($S$2,0,0,1,$D$5*3),0),"-")</f>
        <v>19</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33.998100000000001</v>
      </c>
      <c r="T2" s="87"/>
      <c r="U2" s="65"/>
      <c r="V2" s="87">
        <f t="shared" ref="V2" ca="1" si="0">V4-(COLUMN()/10000)</f>
        <v>19.997800000000002</v>
      </c>
      <c r="W2" s="87"/>
      <c r="X2" s="65"/>
      <c r="Y2" s="87">
        <f t="shared" ref="Y2" ca="1" si="1">Y4-(COLUMN()/10000)</f>
        <v>31.997499999999999</v>
      </c>
      <c r="Z2" s="87"/>
      <c r="AA2" s="65"/>
      <c r="AB2" s="87">
        <f t="shared" ref="AB2" ca="1" si="2">AB4-(COLUMN()/10000)</f>
        <v>19.997199999999999</v>
      </c>
      <c r="AC2" s="87"/>
      <c r="AD2" s="65"/>
      <c r="AE2" s="87">
        <f t="shared" ref="AE2" ca="1" si="3">AE4-(COLUMN()/10000)</f>
        <v>21.9969</v>
      </c>
      <c r="AF2" s="87"/>
      <c r="AG2" s="65"/>
      <c r="AH2" s="87">
        <f t="shared" ref="AH2" ca="1" si="4">AH4-(COLUMN()/10000)</f>
        <v>33.996600000000001</v>
      </c>
      <c r="AI2" s="87"/>
      <c r="AJ2" s="65"/>
      <c r="AK2" s="87">
        <f t="shared" ref="AK2" ca="1" si="5">AK4-(COLUMN()/10000)</f>
        <v>23.996300000000002</v>
      </c>
      <c r="AL2" s="87"/>
      <c r="AM2" s="65"/>
      <c r="AN2" s="87">
        <f t="shared" ref="AN2" ca="1" si="6">AN4-(COLUMN()/10000)</f>
        <v>33.996000000000002</v>
      </c>
      <c r="AO2" s="87"/>
      <c r="AP2" s="65"/>
      <c r="AQ2" s="87">
        <f t="shared" ref="AQ2" ca="1" si="7">AQ4-(COLUMN()/10000)</f>
        <v>29.995699999999999</v>
      </c>
      <c r="AR2" s="87"/>
      <c r="AS2" s="65"/>
      <c r="AT2" s="87">
        <f t="shared" ref="AT2" ca="1" si="8">AT4-(COLUMN()/10000)</f>
        <v>31.9954</v>
      </c>
      <c r="AU2" s="87"/>
      <c r="AV2" s="65"/>
      <c r="AW2" s="87">
        <f t="shared" ref="AW2" ca="1" si="9">AW4-(COLUMN()/10000)</f>
        <v>17.995100000000001</v>
      </c>
      <c r="AX2" s="87"/>
      <c r="AY2" s="65"/>
      <c r="AZ2" s="87">
        <f t="shared" ref="AZ2" ca="1" si="10">AZ4-(COLUMN()/10000)</f>
        <v>51.994799999999998</v>
      </c>
      <c r="BA2" s="87"/>
      <c r="BB2" s="65"/>
      <c r="BC2" s="87">
        <f t="shared" ref="BC2" ca="1" si="11">BC4-(COLUMN()/10000)</f>
        <v>41.994500000000002</v>
      </c>
      <c r="BD2" s="87"/>
      <c r="BE2" s="65"/>
      <c r="BF2" s="87">
        <f t="shared" ref="BF2" ca="1" si="12">BF4-(COLUMN()/10000)</f>
        <v>27.994199999999999</v>
      </c>
      <c r="BG2" s="87"/>
      <c r="BH2" s="65"/>
      <c r="BI2" s="87">
        <f t="shared" ref="BI2" ca="1" si="13">BI4-(COLUMN()/10000)</f>
        <v>51.993899999999996</v>
      </c>
      <c r="BJ2" s="87"/>
      <c r="BK2" s="65"/>
      <c r="BL2" s="87">
        <f t="shared" ref="BL2" ca="1" si="14">BL4-(COLUMN()/10000)</f>
        <v>33.993600000000001</v>
      </c>
      <c r="BM2" s="87"/>
      <c r="BN2" s="65"/>
      <c r="BO2" s="87">
        <f t="shared" ref="BO2" ca="1" si="15">BO4-(COLUMN()/10000)</f>
        <v>57.993299999999998</v>
      </c>
      <c r="BP2" s="87"/>
      <c r="BQ2" s="65"/>
      <c r="BR2" s="87">
        <f t="shared" ref="BR2" ca="1" si="16">BR4-(COLUMN()/10000)</f>
        <v>29.992999999999999</v>
      </c>
      <c r="BS2" s="87"/>
      <c r="BT2" s="65"/>
      <c r="BU2" s="87">
        <f t="shared" ref="BU2" ca="1" si="17">BU4-(COLUMN()/10000)</f>
        <v>35.992699999999999</v>
      </c>
      <c r="BV2" s="87"/>
      <c r="BW2" s="65"/>
      <c r="BX2" s="87">
        <f t="shared" ref="BX2" ca="1" si="18">BX4-(COLUMN()/10000)</f>
        <v>25.9924</v>
      </c>
      <c r="BY2" s="87"/>
      <c r="BZ2" s="65"/>
      <c r="CA2" s="87">
        <f t="shared" ref="CA2" ca="1" si="19">CA4-(COLUMN()/10000)</f>
        <v>35.992100000000001</v>
      </c>
      <c r="CB2" s="87"/>
      <c r="CC2" s="65"/>
      <c r="CD2" s="87">
        <f t="shared" ref="CD2" ca="1" si="20">CD4-(COLUMN()/10000)</f>
        <v>39.991799999999998</v>
      </c>
      <c r="CE2" s="87"/>
      <c r="CF2" s="65"/>
      <c r="CG2" s="87">
        <f t="shared" ref="CG2" ca="1" si="21">CG4-(COLUMN()/10000)</f>
        <v>39.991500000000002</v>
      </c>
      <c r="CH2" s="87"/>
      <c r="CI2" s="65"/>
      <c r="CJ2" s="87">
        <f t="shared" ref="CJ2" ca="1" si="22">CJ4-(COLUMN()/10000)</f>
        <v>39.991199999999999</v>
      </c>
      <c r="CK2" s="87"/>
      <c r="CL2" s="65"/>
      <c r="CM2" s="87">
        <f t="shared" ref="CM2" ca="1" si="23">CM4-(COLUMN()/10000)</f>
        <v>27.9909</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10</v>
      </c>
      <c r="T3" s="87"/>
      <c r="U3" s="65"/>
      <c r="V3" s="87">
        <f ca="1">RANK(V4,OFFSET($S$4,0,0,1,$D$5*3),0)</f>
        <v>23</v>
      </c>
      <c r="W3" s="87"/>
      <c r="X3" s="65"/>
      <c r="Y3" s="87">
        <f ca="1">RANK(Y4,OFFSET($S$4,0,0,1,$D$5*3),0)</f>
        <v>14</v>
      </c>
      <c r="Z3" s="87"/>
      <c r="AA3" s="65"/>
      <c r="AB3" s="87">
        <f ca="1">RANK(AB4,OFFSET($S$4,0,0,1,$D$5*3),0)</f>
        <v>23</v>
      </c>
      <c r="AC3" s="87"/>
      <c r="AD3" s="65"/>
      <c r="AE3" s="87">
        <f ca="1">RANK(AE4,OFFSET($S$4,0,0,1,$D$5*3),0)</f>
        <v>22</v>
      </c>
      <c r="AF3" s="87"/>
      <c r="AG3" s="65"/>
      <c r="AH3" s="87">
        <f ca="1">RANK(AH4,OFFSET($S$4,0,0,1,$D$5*3),0)</f>
        <v>10</v>
      </c>
      <c r="AI3" s="87"/>
      <c r="AJ3" s="65"/>
      <c r="AK3" s="87">
        <f ca="1">RANK(AK4,OFFSET($S$4,0,0,1,$D$5*3),0)</f>
        <v>21</v>
      </c>
      <c r="AL3" s="87"/>
      <c r="AM3" s="65"/>
      <c r="AN3" s="87">
        <f ca="1">RANK(AN4,OFFSET($S$4,0,0,1,$D$5*3),0)</f>
        <v>10</v>
      </c>
      <c r="AO3" s="87"/>
      <c r="AP3" s="65"/>
      <c r="AQ3" s="87">
        <f ca="1">RANK(AQ4,OFFSET($S$4,0,0,1,$D$5*3),0)</f>
        <v>16</v>
      </c>
      <c r="AR3" s="87"/>
      <c r="AS3" s="65"/>
      <c r="AT3" s="87">
        <f ca="1">RANK(AT4,OFFSET($S$4,0,0,1,$D$5*3),0)</f>
        <v>14</v>
      </c>
      <c r="AU3" s="87"/>
      <c r="AV3" s="65"/>
      <c r="AW3" s="87">
        <f ca="1">RANK(AW4,OFFSET($S$4,0,0,1,$D$5*3),0)</f>
        <v>25</v>
      </c>
      <c r="AX3" s="87"/>
      <c r="AY3" s="65"/>
      <c r="AZ3" s="87">
        <f ca="1">RANK(AZ4,OFFSET($S$4,0,0,1,$D$5*3),0)</f>
        <v>2</v>
      </c>
      <c r="BA3" s="87"/>
      <c r="BB3" s="65"/>
      <c r="BC3" s="87">
        <f ca="1">RANK(BC4,OFFSET($S$4,0,0,1,$D$5*3),0)</f>
        <v>4</v>
      </c>
      <c r="BD3" s="87"/>
      <c r="BE3" s="65"/>
      <c r="BF3" s="87">
        <f ca="1">RANK(BF4,OFFSET($S$4,0,0,1,$D$5*3),0)</f>
        <v>18</v>
      </c>
      <c r="BG3" s="87"/>
      <c r="BH3" s="65"/>
      <c r="BI3" s="87">
        <f ca="1">RANK(BI4,OFFSET($S$4,0,0,1,$D$5*3),0)</f>
        <v>2</v>
      </c>
      <c r="BJ3" s="87"/>
      <c r="BK3" s="65"/>
      <c r="BL3" s="87">
        <f ca="1">RANK(BL4,OFFSET($S$4,0,0,1,$D$5*3),0)</f>
        <v>10</v>
      </c>
      <c r="BM3" s="87"/>
      <c r="BN3" s="65"/>
      <c r="BO3" s="87">
        <f ca="1">RANK(BO4,OFFSET($S$4,0,0,1,$D$5*3),0)</f>
        <v>1</v>
      </c>
      <c r="BP3" s="87"/>
      <c r="BQ3" s="65"/>
      <c r="BR3" s="87">
        <f ca="1">RANK(BR4,OFFSET($S$4,0,0,1,$D$5*3),0)</f>
        <v>16</v>
      </c>
      <c r="BS3" s="87"/>
      <c r="BT3" s="65"/>
      <c r="BU3" s="87">
        <f ca="1">RANK(BU4,OFFSET($S$4,0,0,1,$D$5*3),0)</f>
        <v>8</v>
      </c>
      <c r="BV3" s="87"/>
      <c r="BW3" s="65"/>
      <c r="BX3" s="87">
        <f ca="1">RANK(BX4,OFFSET($S$4,0,0,1,$D$5*3),0)</f>
        <v>20</v>
      </c>
      <c r="BY3" s="87"/>
      <c r="BZ3" s="65"/>
      <c r="CA3" s="87">
        <f ca="1">RANK(CA4,OFFSET($S$4,0,0,1,$D$5*3),0)</f>
        <v>8</v>
      </c>
      <c r="CB3" s="87"/>
      <c r="CC3" s="65"/>
      <c r="CD3" s="87">
        <f ca="1">RANK(CD4,OFFSET($S$4,0,0,1,$D$5*3),0)</f>
        <v>5</v>
      </c>
      <c r="CE3" s="87"/>
      <c r="CF3" s="65"/>
      <c r="CG3" s="87">
        <f ca="1">RANK(CG4,OFFSET($S$4,0,0,1,$D$5*3),0)</f>
        <v>5</v>
      </c>
      <c r="CH3" s="87"/>
      <c r="CI3" s="65"/>
      <c r="CJ3" s="87">
        <f ca="1">RANK(CJ4,OFFSET($S$4,0,0,1,$D$5*3),0)</f>
        <v>5</v>
      </c>
      <c r="CK3" s="87"/>
      <c r="CL3" s="65"/>
      <c r="CM3" s="87">
        <f ca="1">RANK(CM4,OFFSET($S$4,0,0,1,$D$5*3),0)</f>
        <v>18</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34</v>
      </c>
      <c r="T4" s="68"/>
      <c r="U4" s="65"/>
      <c r="V4" s="67">
        <f ca="1">SUM(W6:W259)/2</f>
        <v>20</v>
      </c>
      <c r="W4" s="68"/>
      <c r="X4" s="65"/>
      <c r="Y4" s="67">
        <f ca="1">SUM(Z6:Z259)/2</f>
        <v>32</v>
      </c>
      <c r="Z4" s="68"/>
      <c r="AA4" s="65"/>
      <c r="AB4" s="67">
        <f ca="1">SUM(AC6:AC259)/2</f>
        <v>20</v>
      </c>
      <c r="AC4" s="68"/>
      <c r="AD4" s="65"/>
      <c r="AE4" s="67">
        <f ca="1">SUM(AF6:AF259)/2</f>
        <v>22</v>
      </c>
      <c r="AF4" s="68"/>
      <c r="AG4" s="65"/>
      <c r="AH4" s="67">
        <f ca="1">SUM(AI6:AI259)/2</f>
        <v>34</v>
      </c>
      <c r="AI4" s="68"/>
      <c r="AJ4" s="65"/>
      <c r="AK4" s="67">
        <f ca="1">SUM(AL6:AL259)/2</f>
        <v>24</v>
      </c>
      <c r="AL4" s="68"/>
      <c r="AM4" s="65"/>
      <c r="AN4" s="67">
        <f ca="1">SUM(AO6:AO259)/2</f>
        <v>34</v>
      </c>
      <c r="AO4" s="68"/>
      <c r="AP4" s="65"/>
      <c r="AQ4" s="67">
        <f ca="1">SUM(AR6:AR259)/2</f>
        <v>30</v>
      </c>
      <c r="AR4" s="68"/>
      <c r="AS4" s="65"/>
      <c r="AT4" s="67">
        <f ca="1">SUM(AU6:AU259)/2</f>
        <v>32</v>
      </c>
      <c r="AU4" s="68"/>
      <c r="AV4" s="65"/>
      <c r="AW4" s="67">
        <f ca="1">SUM(AX6:AX259)/2</f>
        <v>18</v>
      </c>
      <c r="AX4" s="68"/>
      <c r="AY4" s="65"/>
      <c r="AZ4" s="67">
        <f ca="1">SUM(BA6:BA259)/2</f>
        <v>52</v>
      </c>
      <c r="BA4" s="68"/>
      <c r="BB4" s="65"/>
      <c r="BC4" s="67">
        <f ca="1">SUM(BD6:BD259)/2</f>
        <v>42</v>
      </c>
      <c r="BD4" s="68"/>
      <c r="BE4" s="65"/>
      <c r="BF4" s="67">
        <f ca="1">SUM(BG6:BG259)/2</f>
        <v>28</v>
      </c>
      <c r="BG4" s="68"/>
      <c r="BH4" s="65"/>
      <c r="BI4" s="67">
        <f ca="1">SUM(BJ6:BJ259)/2</f>
        <v>52</v>
      </c>
      <c r="BJ4" s="68"/>
      <c r="BK4" s="65"/>
      <c r="BL4" s="67">
        <f ca="1">SUM(BM6:BM259)/2</f>
        <v>34</v>
      </c>
      <c r="BM4" s="68"/>
      <c r="BN4" s="65"/>
      <c r="BO4" s="67">
        <f ca="1">SUM(BP6:BP259)/2</f>
        <v>58</v>
      </c>
      <c r="BP4" s="68"/>
      <c r="BQ4" s="65"/>
      <c r="BR4" s="67">
        <f ca="1">SUM(BS6:BS259)/2</f>
        <v>30</v>
      </c>
      <c r="BS4" s="68"/>
      <c r="BT4" s="65"/>
      <c r="BU4" s="67">
        <f ca="1">SUM(BV6:BV259)/2</f>
        <v>36</v>
      </c>
      <c r="BV4" s="68"/>
      <c r="BW4" s="65"/>
      <c r="BX4" s="67">
        <f ca="1">SUM(BY6:BY259)/2</f>
        <v>26</v>
      </c>
      <c r="BY4" s="68"/>
      <c r="BZ4" s="65"/>
      <c r="CA4" s="67">
        <f ca="1">SUM(CB6:CB259)/2</f>
        <v>36</v>
      </c>
      <c r="CB4" s="68"/>
      <c r="CC4" s="65"/>
      <c r="CD4" s="67">
        <f ca="1">SUM(CE6:CE259)/2</f>
        <v>40</v>
      </c>
      <c r="CE4" s="68"/>
      <c r="CF4" s="65"/>
      <c r="CG4" s="67">
        <f ca="1">SUM(CH6:CH259)/2</f>
        <v>40</v>
      </c>
      <c r="CH4" s="68"/>
      <c r="CI4" s="65"/>
      <c r="CJ4" s="67">
        <f ca="1">SUM(CK6:CK259)/2</f>
        <v>40</v>
      </c>
      <c r="CK4" s="68"/>
      <c r="CL4" s="65"/>
      <c r="CM4" s="67">
        <f ca="1">SUM(CN6:CN259)/2</f>
        <v>28</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1941</v>
      </c>
      <c r="T6" s="73">
        <f>IFERROR(IF($M6=S6,($D$8+$D$9+$D$10)*$I6,IF($N6=LEFT(S6,1),($D$8+MAX(0,IF($D$50=1,$D$9*(1-(ABS($Q6-ABS(VALUE(MID(S6,FIND("|",S6)+1,FIND("-",S6)-FIND("|",S6)-1))-VALUE(MID(S6,FIND("-",S6)+1,10)))))*$D$50),$D$9*(1-(IF($N6="X",ABS($O6-VALUE(MID(S6,FIND("|",S6)+1,FIND("-",S6)-FIND("|",S6)-1))),ABS($Q6-ABS(VALUE(MID(S6,FIND("|",S6)+1,FIND("-",S6)-FIND("|",S6)-1))-VALUE(MID(S6,FIND("-",S6)+1,10)))))*$D$50)))))*$I6,0)),0)</f>
        <v>6</v>
      </c>
      <c r="U6" s="111"/>
      <c r="V6" s="72" t="s">
        <v>1950</v>
      </c>
      <c r="W6" s="73">
        <f>IFERROR(IF($M6=V6,($D$8+$D$9+$D$10)*$I6,IF($N6=LEFT(V6,1),($D$8+MAX(0,IF($D$50=1,$D$9*(1-(ABS($Q6-ABS(VALUE(MID(V6,FIND("|",V6)+1,FIND("-",V6)-FIND("|",V6)-1))-VALUE(MID(V6,FIND("-",V6)+1,10)))))*$D$50),$D$9*(1-(IF($N6="X",ABS($O6-VALUE(MID(V6,FIND("|",V6)+1,FIND("-",V6)-FIND("|",V6)-1))),ABS($Q6-ABS(VALUE(MID(V6,FIND("|",V6)+1,FIND("-",V6)-FIND("|",V6)-1))-VALUE(MID(V6,FIND("-",V6)+1,10)))))*$D$50)))))*$I6,0)),0)</f>
        <v>2</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2</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2</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2</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6</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2</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6</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6</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2</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6</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2</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6</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2</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6</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6</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2</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6</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2</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2</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2</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6</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2</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6</v>
      </c>
      <c r="AP7" s="111"/>
      <c r="AQ7" s="72" t="s">
        <v>1944</v>
      </c>
      <c r="AR7" s="73">
        <f t="shared" si="50"/>
        <v>0</v>
      </c>
      <c r="AS7" s="111"/>
      <c r="AT7" s="72" t="s">
        <v>1942</v>
      </c>
      <c r="AU7" s="73">
        <f t="shared" si="50"/>
        <v>0</v>
      </c>
      <c r="AV7" s="111"/>
      <c r="AW7" s="72" t="s">
        <v>1945</v>
      </c>
      <c r="AX7" s="73">
        <f t="shared" si="50"/>
        <v>0</v>
      </c>
      <c r="AY7" s="111"/>
      <c r="AZ7" s="72" t="s">
        <v>1943</v>
      </c>
      <c r="BA7" s="73">
        <f t="shared" si="50"/>
        <v>2</v>
      </c>
      <c r="BB7" s="111"/>
      <c r="BC7" s="72" t="s">
        <v>1954</v>
      </c>
      <c r="BD7" s="73">
        <f t="shared" si="50"/>
        <v>0</v>
      </c>
      <c r="BE7" s="111"/>
      <c r="BF7" s="72" t="s">
        <v>1941</v>
      </c>
      <c r="BG7" s="73">
        <f t="shared" si="50"/>
        <v>2</v>
      </c>
      <c r="BH7" s="111"/>
      <c r="BI7" s="72" t="s">
        <v>1943</v>
      </c>
      <c r="BJ7" s="73">
        <f t="shared" si="50"/>
        <v>2</v>
      </c>
      <c r="BK7" s="111"/>
      <c r="BL7" s="72" t="s">
        <v>1941</v>
      </c>
      <c r="BM7" s="73">
        <f t="shared" si="50"/>
        <v>2</v>
      </c>
      <c r="BN7" s="111"/>
      <c r="BO7" s="72" t="s">
        <v>1948</v>
      </c>
      <c r="BP7" s="73">
        <f t="shared" si="50"/>
        <v>6</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2</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6</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6</v>
      </c>
      <c r="BK8" s="65"/>
      <c r="BL8" s="74" t="s">
        <v>1942</v>
      </c>
      <c r="BM8" s="73">
        <f t="shared" si="50"/>
        <v>6</v>
      </c>
      <c r="BN8" s="65"/>
      <c r="BO8" s="74" t="s">
        <v>1941</v>
      </c>
      <c r="BP8" s="73">
        <f t="shared" si="50"/>
        <v>0</v>
      </c>
      <c r="BQ8" s="65"/>
      <c r="BR8" s="74" t="s">
        <v>1948</v>
      </c>
      <c r="BS8" s="73">
        <f t="shared" si="50"/>
        <v>0</v>
      </c>
      <c r="BT8" s="65"/>
      <c r="BU8" s="74" t="s">
        <v>1942</v>
      </c>
      <c r="BV8" s="73">
        <f t="shared" si="50"/>
        <v>6</v>
      </c>
      <c r="BW8" s="65"/>
      <c r="BX8" s="74" t="s">
        <v>1941</v>
      </c>
      <c r="BY8" s="73">
        <f t="shared" si="50"/>
        <v>0</v>
      </c>
      <c r="BZ8" s="65"/>
      <c r="CA8" s="74" t="s">
        <v>1941</v>
      </c>
      <c r="CB8" s="73">
        <f t="shared" si="50"/>
        <v>0</v>
      </c>
      <c r="CC8" s="65"/>
      <c r="CD8" s="74" t="s">
        <v>1942</v>
      </c>
      <c r="CE8" s="73">
        <f t="shared" si="50"/>
        <v>6</v>
      </c>
      <c r="CF8" s="65"/>
      <c r="CG8" s="74" t="s">
        <v>1941</v>
      </c>
      <c r="CH8" s="73">
        <f t="shared" si="50"/>
        <v>0</v>
      </c>
      <c r="CI8" s="65"/>
      <c r="CJ8" s="74" t="s">
        <v>1942</v>
      </c>
      <c r="CK8" s="73">
        <f t="shared" si="45"/>
        <v>6</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6</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6</v>
      </c>
      <c r="BQ9" s="65"/>
      <c r="BR9" s="75" t="s">
        <v>1953</v>
      </c>
      <c r="BS9" s="73">
        <f t="shared" si="50"/>
        <v>0</v>
      </c>
      <c r="BT9" s="65"/>
      <c r="BU9" s="75" t="s">
        <v>1952</v>
      </c>
      <c r="BV9" s="73">
        <f t="shared" si="50"/>
        <v>0</v>
      </c>
      <c r="BW9" s="65"/>
      <c r="BX9" s="75" t="s">
        <v>1952</v>
      </c>
      <c r="BY9" s="73">
        <f t="shared" si="50"/>
        <v>0</v>
      </c>
      <c r="BZ9" s="65"/>
      <c r="CA9" s="75" t="s">
        <v>1942</v>
      </c>
      <c r="CB9" s="73">
        <f t="shared" si="50"/>
        <v>6</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1943</v>
      </c>
      <c r="T10" s="73">
        <f t="shared" si="48"/>
        <v>0</v>
      </c>
      <c r="U10" s="65"/>
      <c r="V10" s="74" t="s">
        <v>1947</v>
      </c>
      <c r="W10" s="73">
        <f t="shared" si="49"/>
        <v>0</v>
      </c>
      <c r="X10" s="65"/>
      <c r="Y10" s="74" t="s">
        <v>1942</v>
      </c>
      <c r="Z10" s="73">
        <f t="shared" si="50"/>
        <v>6</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2</v>
      </c>
      <c r="BB10" s="65"/>
      <c r="BC10" s="74" t="s">
        <v>1941</v>
      </c>
      <c r="BD10" s="73">
        <f t="shared" si="50"/>
        <v>0</v>
      </c>
      <c r="BE10" s="65"/>
      <c r="BF10" s="74" t="s">
        <v>1954</v>
      </c>
      <c r="BG10" s="73">
        <f t="shared" si="50"/>
        <v>0</v>
      </c>
      <c r="BH10" s="65"/>
      <c r="BI10" s="74" t="s">
        <v>1942</v>
      </c>
      <c r="BJ10" s="73">
        <f t="shared" si="50"/>
        <v>6</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2</v>
      </c>
      <c r="CF10" s="65"/>
      <c r="CG10" s="74" t="s">
        <v>2522</v>
      </c>
      <c r="CH10" s="73">
        <f t="shared" si="50"/>
        <v>2</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1945</v>
      </c>
      <c r="W11" s="73">
        <f t="shared" si="49"/>
        <v>2</v>
      </c>
      <c r="X11" s="65"/>
      <c r="Y11" s="74" t="s">
        <v>1944</v>
      </c>
      <c r="Z11" s="73">
        <f t="shared" si="50"/>
        <v>6</v>
      </c>
      <c r="AA11" s="65"/>
      <c r="AB11" s="74" t="s">
        <v>1954</v>
      </c>
      <c r="AC11" s="73">
        <f t="shared" si="50"/>
        <v>2</v>
      </c>
      <c r="AD11" s="65"/>
      <c r="AE11" s="74" t="s">
        <v>1945</v>
      </c>
      <c r="AF11" s="73">
        <f t="shared" si="50"/>
        <v>2</v>
      </c>
      <c r="AG11" s="65"/>
      <c r="AH11" s="74" t="s">
        <v>1945</v>
      </c>
      <c r="AI11" s="73">
        <f t="shared" si="50"/>
        <v>2</v>
      </c>
      <c r="AJ11" s="65"/>
      <c r="AK11" s="74" t="s">
        <v>1945</v>
      </c>
      <c r="AL11" s="73">
        <f t="shared" si="50"/>
        <v>2</v>
      </c>
      <c r="AM11" s="65"/>
      <c r="AN11" s="74" t="s">
        <v>2071</v>
      </c>
      <c r="AO11" s="73">
        <f t="shared" si="50"/>
        <v>2</v>
      </c>
      <c r="AP11" s="65"/>
      <c r="AQ11" s="74" t="s">
        <v>1953</v>
      </c>
      <c r="AR11" s="73">
        <f t="shared" si="50"/>
        <v>2</v>
      </c>
      <c r="AS11" s="65"/>
      <c r="AT11" s="74" t="s">
        <v>1945</v>
      </c>
      <c r="AU11" s="73">
        <f t="shared" si="50"/>
        <v>2</v>
      </c>
      <c r="AV11" s="65"/>
      <c r="AW11" s="74" t="s">
        <v>1942</v>
      </c>
      <c r="AX11" s="73">
        <f t="shared" si="50"/>
        <v>0</v>
      </c>
      <c r="AY11" s="65"/>
      <c r="AZ11" s="74" t="s">
        <v>1946</v>
      </c>
      <c r="BA11" s="73">
        <f t="shared" si="50"/>
        <v>0</v>
      </c>
      <c r="BB11" s="65"/>
      <c r="BC11" s="74" t="s">
        <v>1953</v>
      </c>
      <c r="BD11" s="73">
        <f t="shared" si="50"/>
        <v>2</v>
      </c>
      <c r="BE11" s="65"/>
      <c r="BF11" s="74" t="s">
        <v>1945</v>
      </c>
      <c r="BG11" s="73">
        <f t="shared" si="50"/>
        <v>2</v>
      </c>
      <c r="BH11" s="65"/>
      <c r="BI11" s="74" t="s">
        <v>1945</v>
      </c>
      <c r="BJ11" s="73">
        <f t="shared" si="50"/>
        <v>2</v>
      </c>
      <c r="BK11" s="65"/>
      <c r="BL11" s="74" t="s">
        <v>1945</v>
      </c>
      <c r="BM11" s="73">
        <f t="shared" si="50"/>
        <v>2</v>
      </c>
      <c r="BN11" s="65"/>
      <c r="BO11" s="74" t="s">
        <v>1944</v>
      </c>
      <c r="BP11" s="73">
        <f t="shared" si="50"/>
        <v>6</v>
      </c>
      <c r="BQ11" s="65"/>
      <c r="BR11" s="74" t="s">
        <v>1953</v>
      </c>
      <c r="BS11" s="73">
        <f t="shared" si="50"/>
        <v>2</v>
      </c>
      <c r="BT11" s="65"/>
      <c r="BU11" s="74" t="s">
        <v>1945</v>
      </c>
      <c r="BV11" s="73">
        <f t="shared" si="50"/>
        <v>2</v>
      </c>
      <c r="BW11" s="65"/>
      <c r="BX11" s="74" t="s">
        <v>1953</v>
      </c>
      <c r="BY11" s="73">
        <f t="shared" si="50"/>
        <v>2</v>
      </c>
      <c r="BZ11" s="65"/>
      <c r="CA11" s="74" t="s">
        <v>1954</v>
      </c>
      <c r="CB11" s="73">
        <f t="shared" si="50"/>
        <v>2</v>
      </c>
      <c r="CC11" s="65"/>
      <c r="CD11" s="74" t="s">
        <v>1952</v>
      </c>
      <c r="CE11" s="73">
        <f t="shared" si="50"/>
        <v>2</v>
      </c>
      <c r="CF11" s="65"/>
      <c r="CG11" s="74" t="s">
        <v>1943</v>
      </c>
      <c r="CH11" s="73">
        <f t="shared" si="50"/>
        <v>0</v>
      </c>
      <c r="CI11" s="65"/>
      <c r="CJ11" s="74" t="s">
        <v>1942</v>
      </c>
      <c r="CK11" s="73">
        <f t="shared" si="45"/>
        <v>0</v>
      </c>
      <c r="CL11" s="65"/>
      <c r="CM11" s="74" t="s">
        <v>1945</v>
      </c>
      <c r="CN11" s="73">
        <f t="shared" si="45"/>
        <v>2</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0</v>
      </c>
      <c r="U12" s="65"/>
      <c r="V12" s="74" t="s">
        <v>1992</v>
      </c>
      <c r="W12" s="73">
        <f t="shared" si="49"/>
        <v>0</v>
      </c>
      <c r="X12" s="65"/>
      <c r="Y12" s="74" t="s">
        <v>1943</v>
      </c>
      <c r="Z12" s="73">
        <f t="shared" si="50"/>
        <v>2</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2</v>
      </c>
      <c r="AV12" s="65"/>
      <c r="AW12" s="74" t="s">
        <v>1948</v>
      </c>
      <c r="AX12" s="73">
        <f t="shared" si="50"/>
        <v>2</v>
      </c>
      <c r="AY12" s="65"/>
      <c r="AZ12" s="74" t="s">
        <v>1948</v>
      </c>
      <c r="BA12" s="73">
        <f t="shared" si="50"/>
        <v>2</v>
      </c>
      <c r="BB12" s="65"/>
      <c r="BC12" s="74" t="s">
        <v>1948</v>
      </c>
      <c r="BD12" s="73">
        <f t="shared" si="50"/>
        <v>2</v>
      </c>
      <c r="BE12" s="65"/>
      <c r="BF12" s="74" t="s">
        <v>1948</v>
      </c>
      <c r="BG12" s="73">
        <f t="shared" si="50"/>
        <v>2</v>
      </c>
      <c r="BH12" s="65"/>
      <c r="BI12" s="74" t="s">
        <v>1944</v>
      </c>
      <c r="BJ12" s="73">
        <f t="shared" si="50"/>
        <v>0</v>
      </c>
      <c r="BK12" s="65"/>
      <c r="BL12" s="74" t="s">
        <v>1943</v>
      </c>
      <c r="BM12" s="73">
        <f t="shared" si="50"/>
        <v>2</v>
      </c>
      <c r="BN12" s="65"/>
      <c r="BO12" s="74" t="s">
        <v>1943</v>
      </c>
      <c r="BP12" s="73">
        <f t="shared" si="50"/>
        <v>2</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2</v>
      </c>
      <c r="CI12" s="65"/>
      <c r="CJ12" s="74" t="s">
        <v>1948</v>
      </c>
      <c r="CK12" s="73">
        <f t="shared" si="45"/>
        <v>2</v>
      </c>
      <c r="CL12" s="65"/>
      <c r="CM12" s="74" t="s">
        <v>1941</v>
      </c>
      <c r="CN12" s="73">
        <f t="shared" si="45"/>
        <v>2</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1944</v>
      </c>
      <c r="T13" s="73">
        <f t="shared" si="48"/>
        <v>0</v>
      </c>
      <c r="U13" s="65"/>
      <c r="V13" s="74" t="s">
        <v>1948</v>
      </c>
      <c r="W13" s="73">
        <f t="shared" si="49"/>
        <v>2</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2</v>
      </c>
      <c r="BQ13" s="65"/>
      <c r="BR13" s="74" t="s">
        <v>1945</v>
      </c>
      <c r="BS13" s="73">
        <f t="shared" si="50"/>
        <v>0</v>
      </c>
      <c r="BT13" s="65"/>
      <c r="BU13" s="74" t="s">
        <v>1953</v>
      </c>
      <c r="BV13" s="73">
        <f t="shared" si="50"/>
        <v>0</v>
      </c>
      <c r="BW13" s="65"/>
      <c r="BX13" s="74" t="s">
        <v>1948</v>
      </c>
      <c r="BY13" s="73">
        <f t="shared" si="50"/>
        <v>2</v>
      </c>
      <c r="BZ13" s="65"/>
      <c r="CA13" s="74" t="s">
        <v>1941</v>
      </c>
      <c r="CB13" s="73">
        <f t="shared" si="50"/>
        <v>6</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1993</v>
      </c>
      <c r="W14" s="73">
        <f t="shared" si="49"/>
        <v>2</v>
      </c>
      <c r="X14" s="65"/>
      <c r="Y14" s="74" t="s">
        <v>1941</v>
      </c>
      <c r="Z14" s="73">
        <f t="shared" si="50"/>
        <v>2</v>
      </c>
      <c r="AA14" s="65"/>
      <c r="AB14" s="74" t="s">
        <v>1950</v>
      </c>
      <c r="AC14" s="73">
        <f t="shared" si="50"/>
        <v>2</v>
      </c>
      <c r="AD14" s="65"/>
      <c r="AE14" s="74" t="s">
        <v>1950</v>
      </c>
      <c r="AF14" s="73">
        <f t="shared" si="50"/>
        <v>2</v>
      </c>
      <c r="AG14" s="65"/>
      <c r="AH14" s="74" t="s">
        <v>1949</v>
      </c>
      <c r="AI14" s="73">
        <f t="shared" si="50"/>
        <v>2</v>
      </c>
      <c r="AJ14" s="65"/>
      <c r="AK14" s="74" t="s">
        <v>1949</v>
      </c>
      <c r="AL14" s="73">
        <f t="shared" si="50"/>
        <v>2</v>
      </c>
      <c r="AM14" s="65"/>
      <c r="AN14" s="74" t="s">
        <v>1947</v>
      </c>
      <c r="AO14" s="73">
        <f t="shared" si="50"/>
        <v>2</v>
      </c>
      <c r="AP14" s="65"/>
      <c r="AQ14" s="74" t="s">
        <v>1947</v>
      </c>
      <c r="AR14" s="73">
        <f t="shared" si="50"/>
        <v>2</v>
      </c>
      <c r="AS14" s="65"/>
      <c r="AT14" s="74" t="s">
        <v>1947</v>
      </c>
      <c r="AU14" s="73">
        <f t="shared" si="50"/>
        <v>2</v>
      </c>
      <c r="AV14" s="65"/>
      <c r="AW14" s="74" t="s">
        <v>1947</v>
      </c>
      <c r="AX14" s="73">
        <f t="shared" si="50"/>
        <v>2</v>
      </c>
      <c r="AY14" s="65"/>
      <c r="AZ14" s="74" t="s">
        <v>1947</v>
      </c>
      <c r="BA14" s="73">
        <f t="shared" si="50"/>
        <v>2</v>
      </c>
      <c r="BB14" s="65"/>
      <c r="BC14" s="74" t="s">
        <v>1947</v>
      </c>
      <c r="BD14" s="73">
        <f t="shared" si="50"/>
        <v>2</v>
      </c>
      <c r="BE14" s="65"/>
      <c r="BF14" s="74" t="s">
        <v>2332</v>
      </c>
      <c r="BG14" s="73">
        <f t="shared" si="50"/>
        <v>2</v>
      </c>
      <c r="BH14" s="65"/>
      <c r="BI14" s="74" t="s">
        <v>2070</v>
      </c>
      <c r="BJ14" s="73">
        <f t="shared" si="50"/>
        <v>2</v>
      </c>
      <c r="BK14" s="65"/>
      <c r="BL14" s="74" t="s">
        <v>1949</v>
      </c>
      <c r="BM14" s="73">
        <f t="shared" si="50"/>
        <v>2</v>
      </c>
      <c r="BN14" s="65"/>
      <c r="BO14" s="74" t="s">
        <v>2070</v>
      </c>
      <c r="BP14" s="73">
        <f t="shared" si="50"/>
        <v>2</v>
      </c>
      <c r="BQ14" s="65"/>
      <c r="BR14" s="74" t="s">
        <v>1947</v>
      </c>
      <c r="BS14" s="73">
        <f t="shared" si="50"/>
        <v>2</v>
      </c>
      <c r="BT14" s="65"/>
      <c r="BU14" s="74" t="s">
        <v>1947</v>
      </c>
      <c r="BV14" s="73">
        <f t="shared" si="50"/>
        <v>2</v>
      </c>
      <c r="BW14" s="65"/>
      <c r="BX14" s="74" t="s">
        <v>1947</v>
      </c>
      <c r="BY14" s="73">
        <f t="shared" si="50"/>
        <v>2</v>
      </c>
      <c r="BZ14" s="65"/>
      <c r="CA14" s="74" t="s">
        <v>2070</v>
      </c>
      <c r="CB14" s="73">
        <f t="shared" si="50"/>
        <v>2</v>
      </c>
      <c r="CC14" s="65"/>
      <c r="CD14" s="74" t="s">
        <v>2489</v>
      </c>
      <c r="CE14" s="73">
        <f t="shared" si="50"/>
        <v>2</v>
      </c>
      <c r="CF14" s="65"/>
      <c r="CG14" s="74" t="s">
        <v>1950</v>
      </c>
      <c r="CH14" s="73">
        <f t="shared" si="50"/>
        <v>2</v>
      </c>
      <c r="CI14" s="65"/>
      <c r="CJ14" s="74" t="s">
        <v>1947</v>
      </c>
      <c r="CK14" s="73">
        <f t="shared" si="45"/>
        <v>2</v>
      </c>
      <c r="CL14" s="65"/>
      <c r="CM14" s="74" t="s">
        <v>1947</v>
      </c>
      <c r="CN14" s="73">
        <f t="shared" si="45"/>
        <v>2</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1948</v>
      </c>
      <c r="T15" s="73">
        <f t="shared" si="48"/>
        <v>2</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2</v>
      </c>
      <c r="BH15" s="65"/>
      <c r="BI15" s="74" t="s">
        <v>1948</v>
      </c>
      <c r="BJ15" s="73">
        <f t="shared" si="50"/>
        <v>2</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6</v>
      </c>
      <c r="BE16" s="65"/>
      <c r="BF16" s="74" t="s">
        <v>1950</v>
      </c>
      <c r="BG16" s="73">
        <f t="shared" si="50"/>
        <v>0</v>
      </c>
      <c r="BH16" s="65"/>
      <c r="BI16" s="74" t="s">
        <v>1948</v>
      </c>
      <c r="BJ16" s="73">
        <f t="shared" si="50"/>
        <v>0</v>
      </c>
      <c r="BK16" s="65"/>
      <c r="BL16" s="74" t="s">
        <v>1995</v>
      </c>
      <c r="BM16" s="73">
        <f t="shared" si="50"/>
        <v>6</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0</v>
      </c>
      <c r="U17" s="65"/>
      <c r="V17" s="74" t="s">
        <v>1950</v>
      </c>
      <c r="W17" s="73">
        <f t="shared" si="49"/>
        <v>2</v>
      </c>
      <c r="X17" s="65"/>
      <c r="Y17" s="74" t="s">
        <v>1946</v>
      </c>
      <c r="Z17" s="73">
        <f t="shared" si="50"/>
        <v>0</v>
      </c>
      <c r="AA17" s="65"/>
      <c r="AB17" s="74" t="s">
        <v>1943</v>
      </c>
      <c r="AC17" s="73">
        <f t="shared" si="50"/>
        <v>2</v>
      </c>
      <c r="AD17" s="65"/>
      <c r="AE17" s="74" t="s">
        <v>1942</v>
      </c>
      <c r="AF17" s="73">
        <f t="shared" si="50"/>
        <v>0</v>
      </c>
      <c r="AG17" s="65"/>
      <c r="AH17" s="74" t="s">
        <v>1941</v>
      </c>
      <c r="AI17" s="73">
        <f t="shared" si="50"/>
        <v>2</v>
      </c>
      <c r="AJ17" s="65"/>
      <c r="AK17" s="74" t="s">
        <v>1948</v>
      </c>
      <c r="AL17" s="73">
        <f t="shared" si="50"/>
        <v>2</v>
      </c>
      <c r="AM17" s="65"/>
      <c r="AN17" s="74" t="s">
        <v>1943</v>
      </c>
      <c r="AO17" s="73">
        <f t="shared" si="50"/>
        <v>2</v>
      </c>
      <c r="AP17" s="65"/>
      <c r="AQ17" s="74" t="s">
        <v>1941</v>
      </c>
      <c r="AR17" s="73">
        <f t="shared" si="50"/>
        <v>2</v>
      </c>
      <c r="AS17" s="65"/>
      <c r="AT17" s="74" t="s">
        <v>1941</v>
      </c>
      <c r="AU17" s="73">
        <f t="shared" si="50"/>
        <v>2</v>
      </c>
      <c r="AV17" s="65"/>
      <c r="AW17" s="74" t="s">
        <v>1943</v>
      </c>
      <c r="AX17" s="73">
        <f t="shared" si="50"/>
        <v>2</v>
      </c>
      <c r="AY17" s="65"/>
      <c r="AZ17" s="74" t="s">
        <v>1950</v>
      </c>
      <c r="BA17" s="73">
        <f t="shared" si="50"/>
        <v>2</v>
      </c>
      <c r="BB17" s="65"/>
      <c r="BC17" s="74" t="s">
        <v>1950</v>
      </c>
      <c r="BD17" s="73">
        <f t="shared" si="50"/>
        <v>2</v>
      </c>
      <c r="BE17" s="65"/>
      <c r="BF17" s="74" t="s">
        <v>1941</v>
      </c>
      <c r="BG17" s="73">
        <f t="shared" si="50"/>
        <v>2</v>
      </c>
      <c r="BH17" s="65"/>
      <c r="BI17" s="74" t="s">
        <v>1943</v>
      </c>
      <c r="BJ17" s="73">
        <f t="shared" si="50"/>
        <v>2</v>
      </c>
      <c r="BK17" s="65"/>
      <c r="BL17" s="74" t="s">
        <v>1943</v>
      </c>
      <c r="BM17" s="73">
        <f t="shared" si="50"/>
        <v>2</v>
      </c>
      <c r="BN17" s="65"/>
      <c r="BO17" s="74" t="s">
        <v>1941</v>
      </c>
      <c r="BP17" s="73">
        <f t="shared" si="50"/>
        <v>2</v>
      </c>
      <c r="BQ17" s="65"/>
      <c r="BR17" s="74" t="s">
        <v>1948</v>
      </c>
      <c r="BS17" s="73">
        <f t="shared" si="50"/>
        <v>2</v>
      </c>
      <c r="BT17" s="65"/>
      <c r="BU17" s="74" t="s">
        <v>1948</v>
      </c>
      <c r="BV17" s="73">
        <f t="shared" si="50"/>
        <v>2</v>
      </c>
      <c r="BW17" s="65"/>
      <c r="BX17" s="74" t="s">
        <v>1950</v>
      </c>
      <c r="BY17" s="73">
        <f t="shared" si="50"/>
        <v>2</v>
      </c>
      <c r="BZ17" s="65"/>
      <c r="CA17" s="74" t="s">
        <v>1949</v>
      </c>
      <c r="CB17" s="73">
        <f t="shared" si="50"/>
        <v>2</v>
      </c>
      <c r="CC17" s="65"/>
      <c r="CD17" s="74" t="s">
        <v>1942</v>
      </c>
      <c r="CE17" s="73">
        <f t="shared" si="50"/>
        <v>0</v>
      </c>
      <c r="CF17" s="65"/>
      <c r="CG17" s="74" t="s">
        <v>1942</v>
      </c>
      <c r="CH17" s="73">
        <f t="shared" si="50"/>
        <v>0</v>
      </c>
      <c r="CI17" s="65"/>
      <c r="CJ17" s="74" t="s">
        <v>1948</v>
      </c>
      <c r="CK17" s="73">
        <f t="shared" si="45"/>
        <v>2</v>
      </c>
      <c r="CL17" s="65"/>
      <c r="CM17" s="74" t="s">
        <v>1943</v>
      </c>
      <c r="CN17" s="73">
        <f t="shared" si="45"/>
        <v>2</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2</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6</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2</v>
      </c>
      <c r="AD19" s="65"/>
      <c r="AE19" s="74" t="s">
        <v>1946</v>
      </c>
      <c r="AF19" s="73">
        <f t="shared" si="53"/>
        <v>2</v>
      </c>
      <c r="AG19" s="65"/>
      <c r="AH19" s="74" t="s">
        <v>1943</v>
      </c>
      <c r="AI19" s="73">
        <f t="shared" si="53"/>
        <v>0</v>
      </c>
      <c r="AJ19" s="65"/>
      <c r="AK19" s="74" t="s">
        <v>1943</v>
      </c>
      <c r="AL19" s="73">
        <f t="shared" si="53"/>
        <v>0</v>
      </c>
      <c r="AM19" s="65"/>
      <c r="AN19" s="74" t="s">
        <v>1942</v>
      </c>
      <c r="AO19" s="73">
        <f t="shared" si="53"/>
        <v>2</v>
      </c>
      <c r="AP19" s="65"/>
      <c r="AQ19" s="74" t="s">
        <v>1948</v>
      </c>
      <c r="AR19" s="73">
        <f t="shared" si="53"/>
        <v>0</v>
      </c>
      <c r="AS19" s="65"/>
      <c r="AT19" s="74" t="s">
        <v>1943</v>
      </c>
      <c r="AU19" s="73">
        <f t="shared" si="53"/>
        <v>0</v>
      </c>
      <c r="AV19" s="65"/>
      <c r="AW19" s="74" t="s">
        <v>1942</v>
      </c>
      <c r="AX19" s="73">
        <f t="shared" si="53"/>
        <v>2</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2</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6</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2</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6</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6</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1950</v>
      </c>
      <c r="T22" s="73">
        <f t="shared" si="48"/>
        <v>6</v>
      </c>
      <c r="U22" s="65"/>
      <c r="V22" s="74" t="s">
        <v>1994</v>
      </c>
      <c r="W22" s="73">
        <f t="shared" si="49"/>
        <v>2</v>
      </c>
      <c r="X22" s="65"/>
      <c r="Y22" s="74" t="s">
        <v>1943</v>
      </c>
      <c r="Z22" s="73">
        <f t="shared" si="53"/>
        <v>2</v>
      </c>
      <c r="AA22" s="65"/>
      <c r="AB22" s="74" t="s">
        <v>1951</v>
      </c>
      <c r="AC22" s="73">
        <f t="shared" si="53"/>
        <v>2</v>
      </c>
      <c r="AD22" s="65"/>
      <c r="AE22" s="74" t="s">
        <v>1948</v>
      </c>
      <c r="AF22" s="73">
        <f t="shared" si="53"/>
        <v>2</v>
      </c>
      <c r="AG22" s="65"/>
      <c r="AH22" s="74" t="s">
        <v>1950</v>
      </c>
      <c r="AI22" s="73">
        <f t="shared" si="53"/>
        <v>6</v>
      </c>
      <c r="AJ22" s="65"/>
      <c r="AK22" s="74" t="s">
        <v>1948</v>
      </c>
      <c r="AL22" s="73">
        <f t="shared" si="53"/>
        <v>2</v>
      </c>
      <c r="AM22" s="65"/>
      <c r="AN22" s="74" t="s">
        <v>1950</v>
      </c>
      <c r="AO22" s="73">
        <f t="shared" si="53"/>
        <v>6</v>
      </c>
      <c r="AP22" s="65"/>
      <c r="AQ22" s="74" t="s">
        <v>1941</v>
      </c>
      <c r="AR22" s="73">
        <f t="shared" si="53"/>
        <v>2</v>
      </c>
      <c r="AS22" s="65"/>
      <c r="AT22" s="74" t="s">
        <v>1950</v>
      </c>
      <c r="AU22" s="73">
        <f t="shared" si="53"/>
        <v>6</v>
      </c>
      <c r="AV22" s="65"/>
      <c r="AW22" s="74" t="s">
        <v>1993</v>
      </c>
      <c r="AX22" s="73">
        <f t="shared" si="53"/>
        <v>2</v>
      </c>
      <c r="AY22" s="65"/>
      <c r="AZ22" s="74" t="s">
        <v>1950</v>
      </c>
      <c r="BA22" s="73">
        <f t="shared" si="53"/>
        <v>6</v>
      </c>
      <c r="BB22" s="65"/>
      <c r="BC22" s="74" t="s">
        <v>1949</v>
      </c>
      <c r="BD22" s="73">
        <f t="shared" si="53"/>
        <v>2</v>
      </c>
      <c r="BE22" s="65"/>
      <c r="BF22" s="74" t="s">
        <v>1948</v>
      </c>
      <c r="BG22" s="73">
        <f t="shared" si="53"/>
        <v>2</v>
      </c>
      <c r="BH22" s="65"/>
      <c r="BI22" s="74" t="s">
        <v>1948</v>
      </c>
      <c r="BJ22" s="73">
        <f t="shared" si="53"/>
        <v>2</v>
      </c>
      <c r="BK22" s="65"/>
      <c r="BL22" s="74" t="s">
        <v>1949</v>
      </c>
      <c r="BM22" s="73">
        <f t="shared" si="53"/>
        <v>2</v>
      </c>
      <c r="BN22" s="65"/>
      <c r="BO22" s="74" t="s">
        <v>1950</v>
      </c>
      <c r="BP22" s="73">
        <f t="shared" si="53"/>
        <v>6</v>
      </c>
      <c r="BQ22" s="65"/>
      <c r="BR22" s="74" t="s">
        <v>1950</v>
      </c>
      <c r="BS22" s="73">
        <f t="shared" si="53"/>
        <v>6</v>
      </c>
      <c r="BT22" s="65"/>
      <c r="BU22" s="74" t="s">
        <v>1941</v>
      </c>
      <c r="BV22" s="73">
        <f t="shared" si="53"/>
        <v>2</v>
      </c>
      <c r="BW22" s="65"/>
      <c r="BX22" s="74" t="s">
        <v>1950</v>
      </c>
      <c r="BY22" s="73">
        <f t="shared" si="53"/>
        <v>6</v>
      </c>
      <c r="BZ22" s="65"/>
      <c r="CA22" s="74" t="s">
        <v>2070</v>
      </c>
      <c r="CB22" s="73">
        <f t="shared" si="53"/>
        <v>2</v>
      </c>
      <c r="CC22" s="65"/>
      <c r="CD22" s="74" t="s">
        <v>1950</v>
      </c>
      <c r="CE22" s="73">
        <f t="shared" si="53"/>
        <v>6</v>
      </c>
      <c r="CF22" s="65"/>
      <c r="CG22" s="74" t="s">
        <v>1950</v>
      </c>
      <c r="CH22" s="73">
        <f t="shared" si="53"/>
        <v>6</v>
      </c>
      <c r="CI22" s="65"/>
      <c r="CJ22" s="74" t="s">
        <v>1943</v>
      </c>
      <c r="CK22" s="73">
        <f t="shared" si="52"/>
        <v>2</v>
      </c>
      <c r="CL22" s="65"/>
      <c r="CM22" s="74" t="s">
        <v>1941</v>
      </c>
      <c r="CN22" s="73">
        <f t="shared" si="52"/>
        <v>2</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1942</v>
      </c>
      <c r="T23" s="73">
        <f t="shared" si="48"/>
        <v>0</v>
      </c>
      <c r="U23" s="65"/>
      <c r="V23" s="74" t="s">
        <v>1954</v>
      </c>
      <c r="W23" s="73">
        <f t="shared" si="49"/>
        <v>2</v>
      </c>
      <c r="X23" s="65"/>
      <c r="Y23" s="74" t="s">
        <v>1992</v>
      </c>
      <c r="Z23" s="73">
        <f t="shared" si="53"/>
        <v>2</v>
      </c>
      <c r="AA23" s="65"/>
      <c r="AB23" s="74" t="s">
        <v>2071</v>
      </c>
      <c r="AC23" s="73">
        <f t="shared" si="53"/>
        <v>2</v>
      </c>
      <c r="AD23" s="65"/>
      <c r="AE23" s="74" t="s">
        <v>1945</v>
      </c>
      <c r="AF23" s="73">
        <f t="shared" si="53"/>
        <v>2</v>
      </c>
      <c r="AG23" s="65"/>
      <c r="AH23" s="74" t="s">
        <v>1945</v>
      </c>
      <c r="AI23" s="73">
        <f t="shared" si="53"/>
        <v>2</v>
      </c>
      <c r="AJ23" s="65"/>
      <c r="AK23" s="74" t="s">
        <v>1945</v>
      </c>
      <c r="AL23" s="73">
        <f t="shared" si="53"/>
        <v>2</v>
      </c>
      <c r="AM23" s="65"/>
      <c r="AN23" s="74" t="s">
        <v>1945</v>
      </c>
      <c r="AO23" s="73">
        <f t="shared" si="53"/>
        <v>2</v>
      </c>
      <c r="AP23" s="65"/>
      <c r="AQ23" s="74" t="s">
        <v>1953</v>
      </c>
      <c r="AR23" s="73">
        <f t="shared" si="53"/>
        <v>2</v>
      </c>
      <c r="AS23" s="65"/>
      <c r="AT23" s="74" t="s">
        <v>1945</v>
      </c>
      <c r="AU23" s="73">
        <f t="shared" si="53"/>
        <v>2</v>
      </c>
      <c r="AV23" s="65"/>
      <c r="AW23" s="74" t="s">
        <v>1948</v>
      </c>
      <c r="AX23" s="73">
        <f t="shared" si="53"/>
        <v>0</v>
      </c>
      <c r="AY23" s="65"/>
      <c r="AZ23" s="74" t="s">
        <v>1945</v>
      </c>
      <c r="BA23" s="73">
        <f t="shared" si="53"/>
        <v>2</v>
      </c>
      <c r="BB23" s="65"/>
      <c r="BC23" s="74" t="s">
        <v>1953</v>
      </c>
      <c r="BD23" s="73">
        <f t="shared" si="53"/>
        <v>2</v>
      </c>
      <c r="BE23" s="65"/>
      <c r="BF23" s="74" t="s">
        <v>1953</v>
      </c>
      <c r="BG23" s="73">
        <f t="shared" si="53"/>
        <v>2</v>
      </c>
      <c r="BH23" s="65"/>
      <c r="BI23" s="74" t="s">
        <v>1953</v>
      </c>
      <c r="BJ23" s="73">
        <f t="shared" si="53"/>
        <v>2</v>
      </c>
      <c r="BK23" s="65"/>
      <c r="BL23" s="74" t="s">
        <v>1992</v>
      </c>
      <c r="BM23" s="73">
        <f t="shared" si="53"/>
        <v>2</v>
      </c>
      <c r="BN23" s="65"/>
      <c r="BO23" s="74" t="s">
        <v>1945</v>
      </c>
      <c r="BP23" s="73">
        <f t="shared" si="53"/>
        <v>2</v>
      </c>
      <c r="BQ23" s="65"/>
      <c r="BR23" s="74" t="s">
        <v>1945</v>
      </c>
      <c r="BS23" s="73">
        <f t="shared" si="53"/>
        <v>2</v>
      </c>
      <c r="BT23" s="65"/>
      <c r="BU23" s="74" t="s">
        <v>1953</v>
      </c>
      <c r="BV23" s="73">
        <f t="shared" si="53"/>
        <v>2</v>
      </c>
      <c r="BW23" s="65"/>
      <c r="BX23" s="74" t="s">
        <v>1945</v>
      </c>
      <c r="BY23" s="73">
        <f t="shared" si="53"/>
        <v>2</v>
      </c>
      <c r="BZ23" s="65"/>
      <c r="CA23" s="74" t="s">
        <v>1992</v>
      </c>
      <c r="CB23" s="73">
        <f t="shared" si="53"/>
        <v>2</v>
      </c>
      <c r="CC23" s="65"/>
      <c r="CD23" s="74" t="s">
        <v>1996</v>
      </c>
      <c r="CE23" s="73">
        <f t="shared" si="53"/>
        <v>6</v>
      </c>
      <c r="CF23" s="65"/>
      <c r="CG23" s="74" t="s">
        <v>1996</v>
      </c>
      <c r="CH23" s="73">
        <f t="shared" si="53"/>
        <v>6</v>
      </c>
      <c r="CI23" s="65"/>
      <c r="CJ23" s="74" t="s">
        <v>1952</v>
      </c>
      <c r="CK23" s="73">
        <f t="shared" si="52"/>
        <v>2</v>
      </c>
      <c r="CL23" s="65"/>
      <c r="CM23" s="74" t="s">
        <v>1953</v>
      </c>
      <c r="CN23" s="73">
        <f t="shared" si="52"/>
        <v>2</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1995</v>
      </c>
      <c r="W24" s="77">
        <f t="shared" si="49"/>
        <v>0</v>
      </c>
      <c r="X24" s="65"/>
      <c r="Y24" s="76" t="s">
        <v>1941</v>
      </c>
      <c r="Z24" s="77">
        <f t="shared" si="53"/>
        <v>2</v>
      </c>
      <c r="AA24" s="65"/>
      <c r="AB24" s="76" t="s">
        <v>1943</v>
      </c>
      <c r="AC24" s="77">
        <f t="shared" si="53"/>
        <v>2</v>
      </c>
      <c r="AD24" s="65"/>
      <c r="AE24" s="76" t="s">
        <v>1942</v>
      </c>
      <c r="AF24" s="77">
        <f t="shared" si="53"/>
        <v>0</v>
      </c>
      <c r="AG24" s="65"/>
      <c r="AH24" s="76" t="s">
        <v>1949</v>
      </c>
      <c r="AI24" s="77">
        <f t="shared" si="53"/>
        <v>6</v>
      </c>
      <c r="AJ24" s="65"/>
      <c r="AK24" s="76" t="s">
        <v>1948</v>
      </c>
      <c r="AL24" s="77">
        <f t="shared" si="53"/>
        <v>2</v>
      </c>
      <c r="AM24" s="65"/>
      <c r="AN24" s="76" t="s">
        <v>1950</v>
      </c>
      <c r="AO24" s="77">
        <f t="shared" si="53"/>
        <v>2</v>
      </c>
      <c r="AP24" s="65"/>
      <c r="AQ24" s="76" t="s">
        <v>1948</v>
      </c>
      <c r="AR24" s="77">
        <f t="shared" si="53"/>
        <v>2</v>
      </c>
      <c r="AS24" s="65"/>
      <c r="AT24" s="76" t="s">
        <v>1941</v>
      </c>
      <c r="AU24" s="77">
        <f t="shared" si="53"/>
        <v>2</v>
      </c>
      <c r="AV24" s="65"/>
      <c r="AW24" s="76" t="s">
        <v>1943</v>
      </c>
      <c r="AX24" s="77">
        <f t="shared" si="53"/>
        <v>2</v>
      </c>
      <c r="AY24" s="65"/>
      <c r="AZ24" s="76" t="s">
        <v>1949</v>
      </c>
      <c r="BA24" s="77">
        <f t="shared" si="53"/>
        <v>6</v>
      </c>
      <c r="BB24" s="65"/>
      <c r="BC24" s="76" t="s">
        <v>1949</v>
      </c>
      <c r="BD24" s="77">
        <f t="shared" si="53"/>
        <v>6</v>
      </c>
      <c r="BE24" s="65"/>
      <c r="BF24" s="76" t="s">
        <v>1950</v>
      </c>
      <c r="BG24" s="77">
        <f t="shared" si="53"/>
        <v>2</v>
      </c>
      <c r="BH24" s="65"/>
      <c r="BI24" s="76" t="s">
        <v>1949</v>
      </c>
      <c r="BJ24" s="77">
        <f t="shared" si="53"/>
        <v>6</v>
      </c>
      <c r="BK24" s="65"/>
      <c r="BL24" s="76" t="s">
        <v>1950</v>
      </c>
      <c r="BM24" s="77">
        <f t="shared" si="53"/>
        <v>2</v>
      </c>
      <c r="BN24" s="65"/>
      <c r="BO24" s="76" t="s">
        <v>1941</v>
      </c>
      <c r="BP24" s="77">
        <f t="shared" si="53"/>
        <v>2</v>
      </c>
      <c r="BQ24" s="65"/>
      <c r="BR24" s="76" t="s">
        <v>1941</v>
      </c>
      <c r="BS24" s="77">
        <f t="shared" si="53"/>
        <v>2</v>
      </c>
      <c r="BT24" s="65"/>
      <c r="BU24" s="76" t="s">
        <v>1941</v>
      </c>
      <c r="BV24" s="77">
        <f t="shared" si="53"/>
        <v>2</v>
      </c>
      <c r="BW24" s="65"/>
      <c r="BX24" s="76" t="s">
        <v>1950</v>
      </c>
      <c r="BY24" s="77">
        <f t="shared" si="53"/>
        <v>2</v>
      </c>
      <c r="BZ24" s="65"/>
      <c r="CA24" s="76" t="s">
        <v>2070</v>
      </c>
      <c r="CB24" s="77">
        <f t="shared" si="53"/>
        <v>2</v>
      </c>
      <c r="CC24" s="65"/>
      <c r="CD24" s="76" t="s">
        <v>1947</v>
      </c>
      <c r="CE24" s="77">
        <f t="shared" si="53"/>
        <v>2</v>
      </c>
      <c r="CF24" s="65"/>
      <c r="CG24" s="76" t="s">
        <v>1949</v>
      </c>
      <c r="CH24" s="77">
        <f t="shared" si="53"/>
        <v>6</v>
      </c>
      <c r="CI24" s="65"/>
      <c r="CJ24" s="76" t="s">
        <v>1949</v>
      </c>
      <c r="CK24" s="77">
        <f t="shared" si="52"/>
        <v>6</v>
      </c>
      <c r="CL24" s="65"/>
      <c r="CM24" s="76" t="s">
        <v>1941</v>
      </c>
      <c r="CN24" s="77">
        <f t="shared" si="52"/>
        <v>2</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1946</v>
      </c>
      <c r="T25" s="73">
        <f t="shared" si="48"/>
        <v>0</v>
      </c>
      <c r="U25" s="65"/>
      <c r="V25" s="74" t="s">
        <v>1943</v>
      </c>
      <c r="W25" s="73">
        <f t="shared" si="49"/>
        <v>2</v>
      </c>
      <c r="X25" s="65"/>
      <c r="Y25" s="74" t="s">
        <v>1941</v>
      </c>
      <c r="Z25" s="73">
        <f t="shared" si="53"/>
        <v>2</v>
      </c>
      <c r="AA25" s="65"/>
      <c r="AB25" s="74" t="s">
        <v>1943</v>
      </c>
      <c r="AC25" s="73">
        <f t="shared" si="53"/>
        <v>2</v>
      </c>
      <c r="AD25" s="65"/>
      <c r="AE25" s="74" t="s">
        <v>1941</v>
      </c>
      <c r="AF25" s="73">
        <f t="shared" si="53"/>
        <v>2</v>
      </c>
      <c r="AG25" s="65"/>
      <c r="AH25" s="74" t="s">
        <v>1941</v>
      </c>
      <c r="AI25" s="73">
        <f t="shared" si="53"/>
        <v>2</v>
      </c>
      <c r="AJ25" s="65"/>
      <c r="AK25" s="74" t="s">
        <v>1943</v>
      </c>
      <c r="AL25" s="73">
        <f t="shared" si="53"/>
        <v>2</v>
      </c>
      <c r="AM25" s="65"/>
      <c r="AN25" s="74" t="s">
        <v>1943</v>
      </c>
      <c r="AO25" s="73">
        <f t="shared" si="53"/>
        <v>2</v>
      </c>
      <c r="AP25" s="65"/>
      <c r="AQ25" s="74" t="s">
        <v>1941</v>
      </c>
      <c r="AR25" s="73">
        <f t="shared" si="53"/>
        <v>2</v>
      </c>
      <c r="AS25" s="65"/>
      <c r="AT25" s="74" t="s">
        <v>1948</v>
      </c>
      <c r="AU25" s="73">
        <f t="shared" si="53"/>
        <v>2</v>
      </c>
      <c r="AV25" s="65"/>
      <c r="AW25" s="74" t="s">
        <v>1943</v>
      </c>
      <c r="AX25" s="73">
        <f t="shared" si="53"/>
        <v>2</v>
      </c>
      <c r="AY25" s="65"/>
      <c r="AZ25" s="74" t="s">
        <v>1944</v>
      </c>
      <c r="BA25" s="73">
        <f t="shared" si="53"/>
        <v>0</v>
      </c>
      <c r="BB25" s="65"/>
      <c r="BC25" s="74" t="s">
        <v>1943</v>
      </c>
      <c r="BD25" s="73">
        <f t="shared" si="53"/>
        <v>2</v>
      </c>
      <c r="BE25" s="65"/>
      <c r="BF25" s="74" t="s">
        <v>1948</v>
      </c>
      <c r="BG25" s="73">
        <f t="shared" si="53"/>
        <v>2</v>
      </c>
      <c r="BH25" s="65"/>
      <c r="BI25" s="74" t="s">
        <v>1943</v>
      </c>
      <c r="BJ25" s="73">
        <f t="shared" si="53"/>
        <v>2</v>
      </c>
      <c r="BK25" s="65"/>
      <c r="BL25" s="74" t="s">
        <v>1941</v>
      </c>
      <c r="BM25" s="73">
        <f t="shared" si="53"/>
        <v>2</v>
      </c>
      <c r="BN25" s="65"/>
      <c r="BO25" s="74" t="s">
        <v>1943</v>
      </c>
      <c r="BP25" s="73">
        <f t="shared" si="53"/>
        <v>2</v>
      </c>
      <c r="BQ25" s="65"/>
      <c r="BR25" s="74" t="s">
        <v>1948</v>
      </c>
      <c r="BS25" s="73">
        <f t="shared" si="53"/>
        <v>2</v>
      </c>
      <c r="BT25" s="65"/>
      <c r="BU25" s="74" t="s">
        <v>1949</v>
      </c>
      <c r="BV25" s="73">
        <f t="shared" si="53"/>
        <v>2</v>
      </c>
      <c r="BW25" s="65"/>
      <c r="BX25" s="74" t="s">
        <v>1941</v>
      </c>
      <c r="BY25" s="73">
        <f t="shared" si="53"/>
        <v>2</v>
      </c>
      <c r="BZ25" s="65"/>
      <c r="CA25" s="74" t="s">
        <v>1949</v>
      </c>
      <c r="CB25" s="73">
        <f t="shared" si="53"/>
        <v>2</v>
      </c>
      <c r="CC25" s="65"/>
      <c r="CD25" s="74" t="s">
        <v>1948</v>
      </c>
      <c r="CE25" s="73">
        <f t="shared" si="53"/>
        <v>2</v>
      </c>
      <c r="CF25" s="65"/>
      <c r="CG25" s="74" t="s">
        <v>1948</v>
      </c>
      <c r="CH25" s="73">
        <f t="shared" si="53"/>
        <v>2</v>
      </c>
      <c r="CI25" s="65"/>
      <c r="CJ25" s="74" t="s">
        <v>1941</v>
      </c>
      <c r="CK25" s="73">
        <f t="shared" si="52"/>
        <v>2</v>
      </c>
      <c r="CL25" s="65"/>
      <c r="CM25" s="74" t="s">
        <v>1949</v>
      </c>
      <c r="CN25" s="73">
        <f t="shared" si="52"/>
        <v>2</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1944</v>
      </c>
      <c r="T27" s="73">
        <f t="shared" si="48"/>
        <v>2</v>
      </c>
      <c r="U27" s="65"/>
      <c r="V27" s="74" t="s">
        <v>1945</v>
      </c>
      <c r="W27" s="73">
        <f t="shared" si="49"/>
        <v>2</v>
      </c>
      <c r="X27" s="65"/>
      <c r="Y27" s="74" t="s">
        <v>1944</v>
      </c>
      <c r="Z27" s="73">
        <f t="shared" si="53"/>
        <v>2</v>
      </c>
      <c r="AA27" s="65"/>
      <c r="AB27" s="74" t="s">
        <v>1942</v>
      </c>
      <c r="AC27" s="73">
        <f t="shared" si="53"/>
        <v>0</v>
      </c>
      <c r="AD27" s="65"/>
      <c r="AE27" s="74" t="s">
        <v>1942</v>
      </c>
      <c r="AF27" s="73">
        <f t="shared" si="53"/>
        <v>0</v>
      </c>
      <c r="AG27" s="65"/>
      <c r="AH27" s="74" t="s">
        <v>1945</v>
      </c>
      <c r="AI27" s="73">
        <f t="shared" si="53"/>
        <v>2</v>
      </c>
      <c r="AJ27" s="65"/>
      <c r="AK27" s="74" t="s">
        <v>1945</v>
      </c>
      <c r="AL27" s="73">
        <f t="shared" si="53"/>
        <v>2</v>
      </c>
      <c r="AM27" s="65"/>
      <c r="AN27" s="74" t="s">
        <v>1953</v>
      </c>
      <c r="AO27" s="73">
        <f t="shared" si="53"/>
        <v>2</v>
      </c>
      <c r="AP27" s="65"/>
      <c r="AQ27" s="74" t="s">
        <v>1954</v>
      </c>
      <c r="AR27" s="73">
        <f t="shared" si="53"/>
        <v>2</v>
      </c>
      <c r="AS27" s="65"/>
      <c r="AT27" s="74" t="s">
        <v>1954</v>
      </c>
      <c r="AU27" s="73">
        <f t="shared" si="53"/>
        <v>2</v>
      </c>
      <c r="AV27" s="65"/>
      <c r="AW27" s="74" t="s">
        <v>1953</v>
      </c>
      <c r="AX27" s="73">
        <f t="shared" si="53"/>
        <v>2</v>
      </c>
      <c r="AY27" s="65"/>
      <c r="AZ27" s="74" t="s">
        <v>1945</v>
      </c>
      <c r="BA27" s="73">
        <f t="shared" si="53"/>
        <v>2</v>
      </c>
      <c r="BB27" s="65"/>
      <c r="BC27" s="74" t="s">
        <v>1944</v>
      </c>
      <c r="BD27" s="73">
        <f t="shared" si="53"/>
        <v>2</v>
      </c>
      <c r="BE27" s="65"/>
      <c r="BF27" s="74" t="s">
        <v>1954</v>
      </c>
      <c r="BG27" s="73">
        <f t="shared" si="53"/>
        <v>2</v>
      </c>
      <c r="BH27" s="65"/>
      <c r="BI27" s="74" t="s">
        <v>1945</v>
      </c>
      <c r="BJ27" s="73">
        <f t="shared" si="53"/>
        <v>2</v>
      </c>
      <c r="BK27" s="65"/>
      <c r="BL27" s="74" t="s">
        <v>1945</v>
      </c>
      <c r="BM27" s="73">
        <f t="shared" si="53"/>
        <v>2</v>
      </c>
      <c r="BN27" s="65"/>
      <c r="BO27" s="74" t="s">
        <v>1944</v>
      </c>
      <c r="BP27" s="73">
        <f t="shared" si="53"/>
        <v>2</v>
      </c>
      <c r="BQ27" s="65"/>
      <c r="BR27" s="74" t="s">
        <v>1945</v>
      </c>
      <c r="BS27" s="73">
        <f t="shared" si="53"/>
        <v>2</v>
      </c>
      <c r="BT27" s="65"/>
      <c r="BU27" s="74" t="s">
        <v>1952</v>
      </c>
      <c r="BV27" s="73">
        <f t="shared" si="53"/>
        <v>6</v>
      </c>
      <c r="BW27" s="65"/>
      <c r="BX27" s="74" t="s">
        <v>1953</v>
      </c>
      <c r="BY27" s="73">
        <f t="shared" si="53"/>
        <v>2</v>
      </c>
      <c r="BZ27" s="65"/>
      <c r="CA27" s="74" t="s">
        <v>1953</v>
      </c>
      <c r="CB27" s="73">
        <f t="shared" si="53"/>
        <v>2</v>
      </c>
      <c r="CC27" s="65"/>
      <c r="CD27" s="74" t="s">
        <v>1952</v>
      </c>
      <c r="CE27" s="73">
        <f t="shared" si="53"/>
        <v>6</v>
      </c>
      <c r="CF27" s="65"/>
      <c r="CG27" s="74" t="s">
        <v>1945</v>
      </c>
      <c r="CH27" s="73">
        <f t="shared" si="53"/>
        <v>2</v>
      </c>
      <c r="CI27" s="65"/>
      <c r="CJ27" s="74" t="s">
        <v>1952</v>
      </c>
      <c r="CK27" s="73">
        <f t="shared" si="52"/>
        <v>6</v>
      </c>
      <c r="CL27" s="65"/>
      <c r="CM27" s="74" t="s">
        <v>1945</v>
      </c>
      <c r="CN27" s="73">
        <f t="shared" si="52"/>
        <v>2</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2</v>
      </c>
      <c r="AA28" s="65"/>
      <c r="AB28" s="74" t="s">
        <v>1948</v>
      </c>
      <c r="AC28" s="73">
        <f t="shared" si="53"/>
        <v>2</v>
      </c>
      <c r="AD28" s="65"/>
      <c r="AE28" s="74" t="s">
        <v>1948</v>
      </c>
      <c r="AF28" s="73">
        <f t="shared" si="53"/>
        <v>2</v>
      </c>
      <c r="AG28" s="65"/>
      <c r="AH28" s="74" t="s">
        <v>1948</v>
      </c>
      <c r="AI28" s="73">
        <f t="shared" si="53"/>
        <v>2</v>
      </c>
      <c r="AJ28" s="65"/>
      <c r="AK28" s="74" t="s">
        <v>1948</v>
      </c>
      <c r="AL28" s="73">
        <f t="shared" si="53"/>
        <v>2</v>
      </c>
      <c r="AM28" s="65"/>
      <c r="AN28" s="74" t="s">
        <v>1948</v>
      </c>
      <c r="AO28" s="73">
        <f t="shared" si="53"/>
        <v>2</v>
      </c>
      <c r="AP28" s="65"/>
      <c r="AQ28" s="74" t="s">
        <v>1941</v>
      </c>
      <c r="AR28" s="73">
        <f t="shared" si="53"/>
        <v>2</v>
      </c>
      <c r="AS28" s="65"/>
      <c r="AT28" s="74" t="s">
        <v>1950</v>
      </c>
      <c r="AU28" s="73">
        <f t="shared" si="53"/>
        <v>2</v>
      </c>
      <c r="AV28" s="65"/>
      <c r="AW28" s="74" t="s">
        <v>1943</v>
      </c>
      <c r="AX28" s="73">
        <f t="shared" si="53"/>
        <v>2</v>
      </c>
      <c r="AY28" s="65"/>
      <c r="AZ28" s="74" t="s">
        <v>1948</v>
      </c>
      <c r="BA28" s="73">
        <f t="shared" si="53"/>
        <v>2</v>
      </c>
      <c r="BB28" s="65"/>
      <c r="BC28" s="74" t="s">
        <v>1995</v>
      </c>
      <c r="BD28" s="73">
        <f t="shared" si="53"/>
        <v>0</v>
      </c>
      <c r="BE28" s="65"/>
      <c r="BF28" s="74" t="s">
        <v>1941</v>
      </c>
      <c r="BG28" s="73">
        <f t="shared" si="53"/>
        <v>2</v>
      </c>
      <c r="BH28" s="65"/>
      <c r="BI28" s="74" t="s">
        <v>1948</v>
      </c>
      <c r="BJ28" s="73">
        <f t="shared" si="53"/>
        <v>2</v>
      </c>
      <c r="BK28" s="65"/>
      <c r="BL28" s="74" t="s">
        <v>1942</v>
      </c>
      <c r="BM28" s="73">
        <f t="shared" si="53"/>
        <v>0</v>
      </c>
      <c r="BN28" s="65"/>
      <c r="BO28" s="74" t="s">
        <v>1942</v>
      </c>
      <c r="BP28" s="73">
        <f t="shared" si="53"/>
        <v>0</v>
      </c>
      <c r="BQ28" s="65"/>
      <c r="BR28" s="74" t="s">
        <v>1943</v>
      </c>
      <c r="BS28" s="73">
        <f t="shared" si="53"/>
        <v>2</v>
      </c>
      <c r="BT28" s="65"/>
      <c r="BU28" s="74" t="s">
        <v>1941</v>
      </c>
      <c r="BV28" s="73">
        <f t="shared" si="53"/>
        <v>2</v>
      </c>
      <c r="BW28" s="65"/>
      <c r="BX28" s="74" t="s">
        <v>1995</v>
      </c>
      <c r="BY28" s="73">
        <f t="shared" si="53"/>
        <v>0</v>
      </c>
      <c r="BZ28" s="65"/>
      <c r="CA28" s="74" t="s">
        <v>1947</v>
      </c>
      <c r="CB28" s="73">
        <f t="shared" si="53"/>
        <v>2</v>
      </c>
      <c r="CC28" s="65"/>
      <c r="CD28" s="74" t="s">
        <v>1948</v>
      </c>
      <c r="CE28" s="73">
        <f t="shared" si="53"/>
        <v>2</v>
      </c>
      <c r="CF28" s="65"/>
      <c r="CG28" s="74" t="s">
        <v>1995</v>
      </c>
      <c r="CH28" s="73">
        <f t="shared" si="53"/>
        <v>0</v>
      </c>
      <c r="CI28" s="65"/>
      <c r="CJ28" s="74" t="s">
        <v>1948</v>
      </c>
      <c r="CK28" s="73">
        <f t="shared" si="52"/>
        <v>2</v>
      </c>
      <c r="CL28" s="65"/>
      <c r="CM28" s="74" t="s">
        <v>1943</v>
      </c>
      <c r="CN28" s="73">
        <f t="shared" si="52"/>
        <v>2</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1943</v>
      </c>
      <c r="T29" s="79">
        <f t="shared" si="54"/>
        <v>6</v>
      </c>
      <c r="U29" s="65"/>
      <c r="V29" s="78" t="s">
        <v>1950</v>
      </c>
      <c r="W29" s="79">
        <f t="shared" si="49"/>
        <v>2</v>
      </c>
      <c r="X29" s="65"/>
      <c r="Y29" s="78" t="s">
        <v>1942</v>
      </c>
      <c r="Z29" s="79">
        <f t="shared" si="53"/>
        <v>0</v>
      </c>
      <c r="AA29" s="65"/>
      <c r="AB29" s="78" t="s">
        <v>1995</v>
      </c>
      <c r="AC29" s="79">
        <f t="shared" si="53"/>
        <v>0</v>
      </c>
      <c r="AD29" s="65"/>
      <c r="AE29" s="78" t="s">
        <v>1948</v>
      </c>
      <c r="AF29" s="79">
        <f t="shared" si="53"/>
        <v>2</v>
      </c>
      <c r="AG29" s="65"/>
      <c r="AH29" s="78" t="s">
        <v>1943</v>
      </c>
      <c r="AI29" s="79">
        <f t="shared" si="53"/>
        <v>6</v>
      </c>
      <c r="AJ29" s="65"/>
      <c r="AK29" s="78" t="s">
        <v>1942</v>
      </c>
      <c r="AL29" s="79">
        <f t="shared" si="53"/>
        <v>0</v>
      </c>
      <c r="AM29" s="65"/>
      <c r="AN29" s="78" t="s">
        <v>1941</v>
      </c>
      <c r="AO29" s="79">
        <f t="shared" si="53"/>
        <v>2</v>
      </c>
      <c r="AP29" s="65"/>
      <c r="AQ29" s="78" t="s">
        <v>1942</v>
      </c>
      <c r="AR29" s="79">
        <f t="shared" si="53"/>
        <v>0</v>
      </c>
      <c r="AS29" s="65"/>
      <c r="AT29" s="78" t="s">
        <v>1941</v>
      </c>
      <c r="AU29" s="79">
        <f t="shared" si="53"/>
        <v>2</v>
      </c>
      <c r="AV29" s="65"/>
      <c r="AW29" s="78" t="s">
        <v>1944</v>
      </c>
      <c r="AX29" s="79">
        <f t="shared" si="53"/>
        <v>0</v>
      </c>
      <c r="AY29" s="65"/>
      <c r="AZ29" s="78" t="s">
        <v>1943</v>
      </c>
      <c r="BA29" s="79">
        <f t="shared" si="53"/>
        <v>6</v>
      </c>
      <c r="BB29" s="65"/>
      <c r="BC29" s="78" t="s">
        <v>1948</v>
      </c>
      <c r="BD29" s="79">
        <f t="shared" si="53"/>
        <v>2</v>
      </c>
      <c r="BE29" s="65"/>
      <c r="BF29" s="78" t="s">
        <v>1949</v>
      </c>
      <c r="BG29" s="79">
        <f t="shared" si="53"/>
        <v>2</v>
      </c>
      <c r="BH29" s="65"/>
      <c r="BI29" s="78" t="s">
        <v>1941</v>
      </c>
      <c r="BJ29" s="79">
        <f t="shared" si="53"/>
        <v>2</v>
      </c>
      <c r="BK29" s="65"/>
      <c r="BL29" s="78" t="s">
        <v>1941</v>
      </c>
      <c r="BM29" s="79">
        <f t="shared" si="53"/>
        <v>2</v>
      </c>
      <c r="BN29" s="65"/>
      <c r="BO29" s="78" t="s">
        <v>1941</v>
      </c>
      <c r="BP29" s="79">
        <f t="shared" si="53"/>
        <v>2</v>
      </c>
      <c r="BQ29" s="65"/>
      <c r="BR29" s="78" t="s">
        <v>1941</v>
      </c>
      <c r="BS29" s="79">
        <f t="shared" si="53"/>
        <v>2</v>
      </c>
      <c r="BT29" s="65"/>
      <c r="BU29" s="78" t="s">
        <v>1948</v>
      </c>
      <c r="BV29" s="79">
        <f t="shared" si="53"/>
        <v>2</v>
      </c>
      <c r="BW29" s="65"/>
      <c r="BX29" s="78" t="s">
        <v>1950</v>
      </c>
      <c r="BY29" s="79">
        <f t="shared" si="53"/>
        <v>2</v>
      </c>
      <c r="BZ29" s="65"/>
      <c r="CA29" s="78" t="s">
        <v>1944</v>
      </c>
      <c r="CB29" s="79">
        <f t="shared" si="53"/>
        <v>0</v>
      </c>
      <c r="CC29" s="65"/>
      <c r="CD29" s="78" t="s">
        <v>1947</v>
      </c>
      <c r="CE29" s="79">
        <f t="shared" si="53"/>
        <v>2</v>
      </c>
      <c r="CF29" s="65"/>
      <c r="CG29" s="78" t="s">
        <v>1954</v>
      </c>
      <c r="CH29" s="79">
        <f t="shared" si="53"/>
        <v>0</v>
      </c>
      <c r="CI29" s="65"/>
      <c r="CJ29" s="78" t="s">
        <v>1942</v>
      </c>
      <c r="CK29" s="79">
        <f t="shared" si="52"/>
        <v>0</v>
      </c>
      <c r="CL29" s="65"/>
      <c r="CM29" s="78" t="s">
        <v>1948</v>
      </c>
      <c r="CN29" s="79">
        <f t="shared" si="52"/>
        <v>2</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1942</v>
      </c>
      <c r="T30" s="77">
        <f t="shared" si="54"/>
        <v>6</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6</v>
      </c>
      <c r="BB30" s="65"/>
      <c r="BC30" s="76" t="s">
        <v>1942</v>
      </c>
      <c r="BD30" s="77">
        <f t="shared" si="53"/>
        <v>6</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6</v>
      </c>
      <c r="BK30" s="65"/>
      <c r="BL30" s="76" t="s">
        <v>1952</v>
      </c>
      <c r="BM30" s="77">
        <f t="shared" si="55"/>
        <v>0</v>
      </c>
      <c r="BN30" s="65"/>
      <c r="BO30" s="76" t="s">
        <v>1946</v>
      </c>
      <c r="BP30" s="77">
        <f t="shared" si="55"/>
        <v>2</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6</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34</v>
      </c>
      <c r="U78" s="64"/>
      <c r="V78" s="82"/>
      <c r="W78" s="83">
        <f>SUM(W6:W77)</f>
        <v>20</v>
      </c>
      <c r="X78" s="64"/>
      <c r="Y78" s="82"/>
      <c r="Z78" s="83">
        <f t="shared" ref="Z78" si="68">SUM(Z6:Z77)</f>
        <v>32</v>
      </c>
      <c r="AA78" s="64"/>
      <c r="AB78" s="82"/>
      <c r="AC78" s="83">
        <f t="shared" ref="AC78" si="69">SUM(AC6:AC77)</f>
        <v>20</v>
      </c>
      <c r="AD78" s="64"/>
      <c r="AE78" s="82"/>
      <c r="AF78" s="83">
        <f t="shared" ref="AF78" si="70">SUM(AF6:AF77)</f>
        <v>22</v>
      </c>
      <c r="AG78" s="64"/>
      <c r="AH78" s="82"/>
      <c r="AI78" s="83">
        <f t="shared" ref="AI78" si="71">SUM(AI6:AI77)</f>
        <v>34</v>
      </c>
      <c r="AJ78" s="64"/>
      <c r="AK78" s="82"/>
      <c r="AL78" s="83">
        <f t="shared" ref="AL78" si="72">SUM(AL6:AL77)</f>
        <v>24</v>
      </c>
      <c r="AM78" s="64"/>
      <c r="AN78" s="82"/>
      <c r="AO78" s="83">
        <f t="shared" ref="AO78" si="73">SUM(AO6:AO77)</f>
        <v>34</v>
      </c>
      <c r="AP78" s="64"/>
      <c r="AQ78" s="82"/>
      <c r="AR78" s="83">
        <f t="shared" ref="AR78" si="74">SUM(AR6:AR77)</f>
        <v>30</v>
      </c>
      <c r="AS78" s="64"/>
      <c r="AT78" s="82"/>
      <c r="AU78" s="83">
        <f t="shared" ref="AU78" si="75">SUM(AU6:AU77)</f>
        <v>32</v>
      </c>
      <c r="AV78" s="64"/>
      <c r="AW78" s="82"/>
      <c r="AX78" s="83">
        <f t="shared" ref="AX78" si="76">SUM(AX6:AX77)</f>
        <v>18</v>
      </c>
      <c r="AY78" s="64"/>
      <c r="AZ78" s="82"/>
      <c r="BA78" s="83">
        <f t="shared" ref="BA78" si="77">SUM(BA6:BA77)</f>
        <v>52</v>
      </c>
      <c r="BB78" s="64"/>
      <c r="BC78" s="82"/>
      <c r="BD78" s="83">
        <f t="shared" ref="BD78" si="78">SUM(BD6:BD77)</f>
        <v>42</v>
      </c>
      <c r="BE78" s="64"/>
      <c r="BF78" s="82"/>
      <c r="BG78" s="83">
        <f t="shared" ref="BG78" si="79">SUM(BG6:BG77)</f>
        <v>28</v>
      </c>
      <c r="BH78" s="64"/>
      <c r="BI78" s="82"/>
      <c r="BJ78" s="83">
        <f t="shared" ref="BJ78" si="80">SUM(BJ6:BJ77)</f>
        <v>52</v>
      </c>
      <c r="BK78" s="64"/>
      <c r="BL78" s="82"/>
      <c r="BM78" s="83">
        <f t="shared" ref="BM78" si="81">SUM(BM6:BM77)</f>
        <v>34</v>
      </c>
      <c r="BN78" s="64"/>
      <c r="BO78" s="82"/>
      <c r="BP78" s="83">
        <f t="shared" ref="BP78" si="82">SUM(BP6:BP77)</f>
        <v>58</v>
      </c>
      <c r="BQ78" s="64"/>
      <c r="BR78" s="82"/>
      <c r="BS78" s="83">
        <f t="shared" ref="BS78" si="83">SUM(BS6:BS77)</f>
        <v>30</v>
      </c>
      <c r="BT78" s="64"/>
      <c r="BU78" s="82"/>
      <c r="BV78" s="83">
        <f t="shared" ref="BV78" si="84">SUM(BV6:BV77)</f>
        <v>36</v>
      </c>
      <c r="BW78" s="64"/>
      <c r="BX78" s="82"/>
      <c r="BY78" s="83">
        <f t="shared" ref="BY78" si="85">SUM(BY6:BY77)</f>
        <v>26</v>
      </c>
      <c r="BZ78" s="64"/>
      <c r="CA78" s="82"/>
      <c r="CB78" s="83">
        <f t="shared" ref="CB78" si="86">SUM(CB6:CB77)</f>
        <v>36</v>
      </c>
      <c r="CC78" s="64"/>
      <c r="CD78" s="82"/>
      <c r="CE78" s="83">
        <f t="shared" ref="CE78" si="87">SUM(CE6:CE77)</f>
        <v>40</v>
      </c>
      <c r="CF78" s="64"/>
      <c r="CG78" s="82"/>
      <c r="CH78" s="83">
        <f t="shared" ref="CH78" si="88">SUM(CH6:CH77)</f>
        <v>40</v>
      </c>
      <c r="CI78" s="64"/>
      <c r="CJ78" s="82"/>
      <c r="CK78" s="83">
        <f t="shared" ref="CK78" si="89">SUM(CK6:CK77)</f>
        <v>40</v>
      </c>
      <c r="CL78" s="64"/>
      <c r="CM78" s="82"/>
      <c r="CN78" s="83">
        <f t="shared" ref="CN78" si="90">SUM(CN6:CN77)</f>
        <v>28</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inlineStr">
        <is>
          <t>Kylian Mbappé</t>
        </is>
      </c>
      <c r="T253" s="73">
        <f>COUNTIF($M$253,S253)*$D$42</f>
        <v>0</v>
      </c>
      <c r="U253" s="64"/>
      <c r="V253" s="74" t="inlineStr">
        <is>
          <t>Kylian Mbappé</t>
        </is>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inlineStr">
        <is>
          <t>Kylian Mbappé</t>
        </is>
      </c>
      <c r="AF253" s="73">
        <f t="shared" ref="AF253" si="1206">COUNTIF($M$253,AE253)*$D$42</f>
        <v>0</v>
      </c>
      <c r="AG253" s="64"/>
      <c r="AH253" s="74" t="inlineStr">
        <is>
          <t>Cristiano Ronaldo</t>
        </is>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inlineStr">
        <is>
          <t>Kylian Mbappé</t>
        </is>
      </c>
      <c r="AX253" s="73">
        <f t="shared" ref="AX253" si="1212">COUNTIF($M$253,AW253)*$D$42</f>
        <v>0</v>
      </c>
      <c r="AY253" s="64"/>
      <c r="AZ253" s="74" t="inlineStr">
        <is>
          <t>Kylian Mbappé</t>
        </is>
      </c>
      <c r="BA253" s="73">
        <f t="shared" ref="BA253" si="1213">COUNTIF($M$253,AZ253)*$D$42</f>
        <v>0</v>
      </c>
      <c r="BB253" s="64"/>
      <c r="BC253" s="74" t="inlineStr">
        <is>
          <t>Kylian Mbappé</t>
        </is>
      </c>
      <c r="BD253" s="73">
        <f t="shared" ref="BD253" si="1214">COUNTIF($M$253,BC253)*$D$42</f>
        <v>0</v>
      </c>
      <c r="BE253" s="64"/>
      <c r="BF253" s="74" t="inlineStr">
        <is>
          <t>Erling Haaland</t>
        </is>
      </c>
      <c r="BG253" s="73">
        <f t="shared" ref="BG253" si="1215">COUNTIF($M$253,BF253)*$D$42</f>
        <v>0</v>
      </c>
      <c r="BH253" s="64"/>
      <c r="BI253" s="74" t="inlineStr">
        <is>
          <t>Michael Olise</t>
        </is>
      </c>
      <c r="BJ253" s="73">
        <f t="shared" ref="BJ253" si="1216">COUNTIF($M$253,BI253)*$D$42</f>
        <v>0</v>
      </c>
      <c r="BK253" s="64"/>
      <c r="BL253" s="74" t="inlineStr">
        <is>
          <t>Cristiano Ronaldo</t>
        </is>
      </c>
      <c r="BM253" s="73">
        <f t="shared" ref="BM253" si="1217">COUNTIF($M$253,BL253)*$D$42</f>
        <v>0</v>
      </c>
      <c r="BN253" s="64"/>
      <c r="BO253" s="74" t="s">
        <v>2167</v>
      </c>
      <c r="BP253" s="73">
        <f t="shared" ref="BP253" si="1218">COUNTIF($M$253,BO253)*$D$42</f>
        <v>0</v>
      </c>
      <c r="BQ253" s="64"/>
      <c r="BR253" s="74" t="inlineStr">
        <is>
          <t>Michael Olise</t>
        </is>
      </c>
      <c r="BS253" s="73">
        <f t="shared" ref="BS253" si="1219">COUNTIF($M$253,BR253)*$D$42</f>
        <v>0</v>
      </c>
      <c r="BT253" s="64"/>
      <c r="BU253" s="74" t="inlineStr">
        <is>
          <t>Kylian Mbappé</t>
        </is>
      </c>
      <c r="BV253" s="73">
        <f t="shared" ref="BV253" si="1220">COUNTIF($M$253,BU253)*$D$42</f>
        <v>0</v>
      </c>
      <c r="BW253" s="64"/>
      <c r="BX253" s="74" t="inlineStr">
        <is>
          <t>Kylian Mbappé</t>
        </is>
      </c>
      <c r="BY253" s="73">
        <f t="shared" ref="BY253" si="1221">COUNTIF($M$253,BX253)*$D$42</f>
        <v>0</v>
      </c>
      <c r="BZ253" s="64"/>
      <c r="CA253" s="74" t="s">
        <v>2103</v>
      </c>
      <c r="CB253" s="73">
        <f t="shared" ref="CB253" si="1222">COUNTIF($M$253,CA253)*$D$42</f>
        <v>0</v>
      </c>
      <c r="CC253" s="64"/>
      <c r="CD253" s="74" t="inlineStr">
        <is>
          <t>Kylian Mbappé</t>
        </is>
      </c>
      <c r="CE253" s="73">
        <f t="shared" ref="CE253" si="1223">COUNTIF($M$253,CD253)*$D$42</f>
        <v>0</v>
      </c>
      <c r="CF253" s="64"/>
      <c r="CG253" s="74" t="inlineStr">
        <is>
          <t>Kylian Mbappé</t>
        </is>
      </c>
      <c r="CH253" s="73">
        <f t="shared" ref="CH253" si="1224">COUNTIF($M$253,CG253)*$D$42</f>
        <v>0</v>
      </c>
      <c r="CI253" s="64"/>
      <c r="CJ253" s="74" t="inlineStr">
        <is>
          <t>Kylian Mbappé</t>
        </is>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inlineStr">
        <is>
          <t>Vinícius Júnior</t>
        </is>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inlineStr">
        <is>
          <t>Harry Kane</t>
        </is>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inlineStr">
        <is>
          <t>Kylian Mbappé</t>
        </is>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inlineStr">
        <is>
          <t>Lamine Yamal</t>
        </is>
      </c>
      <c r="AX254" s="73">
        <f t="shared" ref="AX254" si="1236">COUNTIF($M$254,AW254)*$D$43</f>
        <v>0</v>
      </c>
      <c r="AY254" s="64"/>
      <c r="AZ254" s="74" t="inlineStr">
        <is>
          <t>Michael Olise</t>
        </is>
      </c>
      <c r="BA254" s="73">
        <f t="shared" ref="BA254" si="1237">COUNTIF($M$254,AZ254)*$D$43</f>
        <v>0</v>
      </c>
      <c r="BB254" s="64"/>
      <c r="BC254" s="74" t="inlineStr">
        <is>
          <t>Endrick</t>
        </is>
      </c>
      <c r="BD254" s="73">
        <f t="shared" ref="BD254" si="1238">COUNTIF($M$254,BC254)*$D$43</f>
        <v>0</v>
      </c>
      <c r="BE254" s="64"/>
      <c r="BF254" s="74" t="s">
        <v>2358</v>
      </c>
      <c r="BG254" s="73">
        <f t="shared" ref="BG254" si="1239">COUNTIF($M$254,BF254)*$D$43</f>
        <v>0</v>
      </c>
      <c r="BH254" s="64"/>
      <c r="BI254" s="74" t="inlineStr">
        <is>
          <t>Endrick</t>
        </is>
      </c>
      <c r="BJ254" s="73">
        <f t="shared" ref="BJ254" si="1240">COUNTIF($M$254,BI254)*$D$43</f>
        <v>0</v>
      </c>
      <c r="BK254" s="64"/>
      <c r="BL254" s="74" t="inlineStr">
        <is>
          <t>Vinícius Júnior</t>
        </is>
      </c>
      <c r="BM254" s="73">
        <f t="shared" ref="BM254" si="1241">COUNTIF($M$254,BL254)*$D$43</f>
        <v>0</v>
      </c>
      <c r="BN254" s="64"/>
      <c r="BO254" s="74" t="s">
        <v>2190</v>
      </c>
      <c r="BP254" s="73">
        <f t="shared" ref="BP254" si="1242">COUNTIF($M$254,BO254)*$D$43</f>
        <v>0</v>
      </c>
      <c r="BQ254" s="64"/>
      <c r="BR254" s="74" t="inlineStr">
        <is>
          <t>Kai Havertz</t>
        </is>
      </c>
      <c r="BS254" s="73">
        <f t="shared" ref="BS254" si="1243">COUNTIF($M$254,BR254)*$D$43</f>
        <v>0</v>
      </c>
      <c r="BT254" s="64"/>
      <c r="BU254" s="74" t="inlineStr">
        <is>
          <t>Cristiano Ronaldo</t>
        </is>
      </c>
      <c r="BV254" s="73">
        <f t="shared" ref="BV254" si="1244">COUNTIF($M$254,BU254)*$D$43</f>
        <v>0</v>
      </c>
      <c r="BW254" s="64"/>
      <c r="BX254" s="74" t="inlineStr">
        <is>
          <t>Harry Kane</t>
        </is>
      </c>
      <c r="BY254" s="73">
        <f t="shared" ref="BY254" si="1245">COUNTIF($M$254,BX254)*$D$43</f>
        <v>0</v>
      </c>
      <c r="BZ254" s="64"/>
      <c r="CA254" s="74" t="inlineStr">
        <is>
          <t>Luis Suárez</t>
        </is>
      </c>
      <c r="CB254" s="73">
        <f t="shared" ref="CB254" si="1246">COUNTIF($M$254,CA254)*$D$43</f>
        <v>0</v>
      </c>
      <c r="CC254" s="64"/>
      <c r="CD254" s="74" t="inlineStr">
        <is>
          <t>Erling Haaland</t>
        </is>
      </c>
      <c r="CE254" s="73">
        <f t="shared" ref="CE254" si="1247">COUNTIF($M$254,CD254)*$D$43</f>
        <v>0</v>
      </c>
      <c r="CF254" s="64"/>
      <c r="CG254" s="74" t="inlineStr">
        <is>
          <t>Lionel Messi</t>
        </is>
      </c>
      <c r="CH254" s="73">
        <f t="shared" ref="CH254" si="1248">COUNTIF($M$254,CG254)*$D$43</f>
        <v>0</v>
      </c>
      <c r="CI254" s="64"/>
      <c r="CJ254" s="74" t="inlineStr">
        <is>
          <t>Harry Kane</t>
        </is>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inlineStr">
        <is>
          <t>Alexander Sørloth</t>
        </is>
      </c>
      <c r="Z255" s="73">
        <f t="shared" ref="Z255" si="1252">COUNTIF($M$255,Y255)*$D$44</f>
        <v>0</v>
      </c>
      <c r="AA255" s="64"/>
      <c r="AB255" s="74" t="inlineStr">
        <is>
          <t>Kylian Mbappé</t>
        </is>
      </c>
      <c r="AC255" s="73">
        <f t="shared" ref="AC255" si="1253">COUNTIF($M$255,AB255)*$D$44</f>
        <v>0</v>
      </c>
      <c r="AD255" s="64"/>
      <c r="AE255" s="74" t="inlineStr">
        <is>
          <t>Erling Haaland</t>
        </is>
      </c>
      <c r="AF255" s="73">
        <f t="shared" ref="AF255" si="1254">COUNTIF($M$255,AE255)*$D$44</f>
        <v>0</v>
      </c>
      <c r="AG255" s="64"/>
      <c r="AH255" s="74" t="s">
        <v>1989</v>
      </c>
      <c r="AI255" s="73">
        <f t="shared" ref="AI255" si="1255">COUNTIF($M$255,AH255)*$D$44</f>
        <v>0</v>
      </c>
      <c r="AJ255" s="64"/>
      <c r="AK255" s="74" t="inlineStr">
        <is>
          <t>Lautaro Martínez</t>
        </is>
      </c>
      <c r="AL255" s="73">
        <f t="shared" ref="AL255" si="1256">COUNTIF($M$255,AK255)*$D$44</f>
        <v>0</v>
      </c>
      <c r="AM255" s="64"/>
      <c r="AN255" s="74" t="inlineStr">
        <is>
          <t>Julián Álvarez</t>
        </is>
      </c>
      <c r="AO255" s="73">
        <f t="shared" ref="AO255" si="1257">COUNTIF($M$255,AN255)*$D$44</f>
        <v>0</v>
      </c>
      <c r="AP255" s="64"/>
      <c r="AQ255" s="74" t="s">
        <v>2167</v>
      </c>
      <c r="AR255" s="73">
        <f t="shared" ref="AR255" si="1258">COUNTIF($M$255,AQ255)*$D$44</f>
        <v>0</v>
      </c>
      <c r="AS255" s="64"/>
      <c r="AT255" s="74" t="inlineStr">
        <is>
          <t>Lamine Yamal</t>
        </is>
      </c>
      <c r="AU255" s="73">
        <f t="shared" ref="AU255" si="1259">COUNTIF($M$255,AT255)*$D$44</f>
        <v>0</v>
      </c>
      <c r="AV255" s="64"/>
      <c r="AW255" s="74" t="inlineStr">
        <is>
          <t>Lionel Messi</t>
        </is>
      </c>
      <c r="AX255" s="73">
        <f t="shared" ref="AX255" si="1260">COUNTIF($M$255,AW255)*$D$44</f>
        <v>0</v>
      </c>
      <c r="AY255" s="64"/>
      <c r="AZ255" s="74" t="inlineStr">
        <is>
          <t>Lamine Yamal</t>
        </is>
      </c>
      <c r="BA255" s="73">
        <f t="shared" ref="BA255" si="1261">COUNTIF($M$255,AZ255)*$D$44</f>
        <v>0</v>
      </c>
      <c r="BB255" s="64"/>
      <c r="BC255" s="74" t="inlineStr">
        <is>
          <t>Cristiano Ronaldo</t>
        </is>
      </c>
      <c r="BD255" s="73">
        <f t="shared" ref="BD255" si="1262">COUNTIF($M$255,BC255)*$D$44</f>
        <v>0</v>
      </c>
      <c r="BE255" s="64"/>
      <c r="BF255" s="74" t="inlineStr">
        <is>
          <t>Cristiano Ronaldo</t>
        </is>
      </c>
      <c r="BG255" s="73">
        <f t="shared" ref="BG255" si="1263">COUNTIF($M$255,BF255)*$D$44</f>
        <v>0</v>
      </c>
      <c r="BH255" s="64"/>
      <c r="BI255" s="74" t="inlineStr">
        <is>
          <t>Vinícius Júnior</t>
        </is>
      </c>
      <c r="BJ255" s="73">
        <f t="shared" ref="BJ255" si="1264">COUNTIF($M$255,BI255)*$D$44</f>
        <v>0</v>
      </c>
      <c r="BK255" s="64"/>
      <c r="BL255" s="74" t="inlineStr">
        <is>
          <t>Ferran Torres</t>
        </is>
      </c>
      <c r="BM255" s="73">
        <f t="shared" ref="BM255" si="1265">COUNTIF($M$255,BL255)*$D$44</f>
        <v>0</v>
      </c>
      <c r="BN255" s="64"/>
      <c r="BO255" s="74" t="s">
        <v>2065</v>
      </c>
      <c r="BP255" s="73">
        <f t="shared" ref="BP255" si="1266">COUNTIF($M$255,BO255)*$D$44</f>
        <v>0</v>
      </c>
      <c r="BQ255" s="64"/>
      <c r="BR255" s="74" t="inlineStr">
        <is>
          <t>Harry Kane</t>
        </is>
      </c>
      <c r="BS255" s="73">
        <f t="shared" ref="BS255" si="1267">COUNTIF($M$255,BR255)*$D$44</f>
        <v>0</v>
      </c>
      <c r="BT255" s="64"/>
      <c r="BU255" s="74" t="inlineStr">
        <is>
          <t>Mikel Oyarzabal</t>
        </is>
      </c>
      <c r="BV255" s="73">
        <f t="shared" ref="BV255" si="1268">COUNTIF($M$255,BU255)*$D$44</f>
        <v>0</v>
      </c>
      <c r="BW255" s="64"/>
      <c r="BX255" s="74" t="inlineStr">
        <is>
          <t>Erling Haaland</t>
        </is>
      </c>
      <c r="BY255" s="73">
        <f t="shared" ref="BY255" si="1269">COUNTIF($M$255,BX255)*$D$44</f>
        <v>0</v>
      </c>
      <c r="BZ255" s="64"/>
      <c r="CA255" s="74" t="inlineStr">
        <is>
          <t>Dion Drena Beljo</t>
        </is>
      </c>
      <c r="CB255" s="73">
        <f t="shared" ref="CB255" si="1270">COUNTIF($M$255,CA255)*$D$44</f>
        <v>0</v>
      </c>
      <c r="CC255" s="64"/>
      <c r="CD255" s="74" t="inlineStr">
        <is>
          <t>Mikel Oyarzabal</t>
        </is>
      </c>
      <c r="CE255" s="73">
        <f t="shared" ref="CE255" si="1271">COUNTIF($M$255,CD255)*$D$44</f>
        <v>0</v>
      </c>
      <c r="CF255" s="64"/>
      <c r="CG255" s="74" t="inlineStr">
        <is>
          <t>Harry Kane</t>
        </is>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inlineStr">
        <is>
          <t>Vinícius Júnior</t>
        </is>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inlineStr">
        <is>
          <t>Kylian Mbappé</t>
        </is>
      </c>
      <c r="AF256" s="73">
        <f t="shared" ref="AF256" si="1278">COUNTIF($M$256,AE256)*$D$45</f>
        <v>0</v>
      </c>
      <c r="AG256" s="64"/>
      <c r="AH256" s="74" t="inlineStr">
        <is>
          <t>Cristiano Ronaldo</t>
        </is>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inlineStr">
        <is>
          <t>Lamine Yamal</t>
        </is>
      </c>
      <c r="AX256" s="73">
        <f t="shared" ref="AX256" si="1284">COUNTIF($M$256,AW256)*$D$45</f>
        <v>0</v>
      </c>
      <c r="AY256" s="64"/>
      <c r="AZ256" s="74" t="s">
        <v>2211</v>
      </c>
      <c r="BA256" s="73">
        <f t="shared" ref="BA256" si="1285">COUNTIF($M$256,AZ256)*$D$45</f>
        <v>0</v>
      </c>
      <c r="BB256" s="64"/>
      <c r="BC256" s="74" t="inlineStr">
        <is>
          <t>Vitinha</t>
        </is>
      </c>
      <c r="BD256" s="73">
        <f t="shared" ref="BD256" si="1286">COUNTIF($M$256,BC256)*$D$45</f>
        <v>0</v>
      </c>
      <c r="BE256" s="64"/>
      <c r="BF256" s="74" t="s">
        <v>2211</v>
      </c>
      <c r="BG256" s="73">
        <f t="shared" ref="BG256" si="1287">COUNTIF($M$256,BF256)*$D$45</f>
        <v>0</v>
      </c>
      <c r="BH256" s="64"/>
      <c r="BI256" s="74" t="inlineStr">
        <is>
          <t>Ousmane Dembélé</t>
        </is>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inlineStr">
        <is>
          <t>Michael Olise</t>
        </is>
      </c>
      <c r="BS256" s="73">
        <f t="shared" ref="BS256" si="1291">COUNTIF($M$256,BR256)*$D$45</f>
        <v>0</v>
      </c>
      <c r="BT256" s="64"/>
      <c r="BU256" s="74" t="s">
        <v>2438</v>
      </c>
      <c r="BV256" s="73">
        <f t="shared" ref="BV256" si="1292">COUNTIF($M$256,BU256)*$D$45</f>
        <v>0</v>
      </c>
      <c r="BW256" s="64"/>
      <c r="BX256" s="74" t="inlineStr">
        <is>
          <t>Kylian Mbappé</t>
        </is>
      </c>
      <c r="BY256" s="73">
        <f t="shared" ref="BY256" si="1293">COUNTIF($M$256,BX256)*$D$45</f>
        <v>0</v>
      </c>
      <c r="BZ256" s="64"/>
      <c r="CA256" s="74" t="s">
        <v>2167</v>
      </c>
      <c r="CB256" s="73">
        <f t="shared" ref="CB256" si="1294">COUNTIF($M$256,CA256)*$D$45</f>
        <v>0</v>
      </c>
      <c r="CC256" s="64"/>
      <c r="CD256" s="74" t="inlineStr">
        <is>
          <t>Vitinha</t>
        </is>
      </c>
      <c r="CE256" s="73">
        <f t="shared" ref="CE256" si="1295">COUNTIF($M$256,CD256)*$D$45</f>
        <v>0</v>
      </c>
      <c r="CF256" s="64"/>
      <c r="CG256" s="74" t="inlineStr">
        <is>
          <t>Julián Álvarez</t>
        </is>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inlineStr">
        <is>
          <t>Kylian Mbappé</t>
        </is>
      </c>
      <c r="W257" s="73">
        <f t="shared" ref="W257" si="1299">COUNTIF($M$257,V257)*$D$46</f>
        <v>0</v>
      </c>
      <c r="X257" s="64"/>
      <c r="Y257" s="74" t="inlineStr">
        <is>
          <t>Vinícius Júnior</t>
        </is>
      </c>
      <c r="Z257" s="73">
        <f t="shared" ref="Z257" si="1300">COUNTIF($M$257,Y257)*$D$46</f>
        <v>0</v>
      </c>
      <c r="AA257" s="64"/>
      <c r="AB257" s="74" t="inlineStr">
        <is>
          <t>Kylian Mbappé</t>
        </is>
      </c>
      <c r="AC257" s="73">
        <f t="shared" ref="AC257" si="1301">COUNTIF($M$257,AB257)*$D$46</f>
        <v>0</v>
      </c>
      <c r="AD257" s="64"/>
      <c r="AE257" s="74" t="inlineStr">
        <is>
          <t>Vitinha</t>
        </is>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inlineStr">
        <is>
          <t>Kylian Mbappé</t>
        </is>
      </c>
      <c r="AX257" s="73">
        <f t="shared" ref="AX257" si="1308">COUNTIF($M$257,AW257)*$D$46</f>
        <v>0</v>
      </c>
      <c r="AY257" s="64"/>
      <c r="AZ257" s="74" t="inlineStr">
        <is>
          <t>Cristiano Ronaldo</t>
        </is>
      </c>
      <c r="BA257" s="73">
        <f t="shared" ref="BA257" si="1309">COUNTIF($M$257,AZ257)*$D$46</f>
        <v>0</v>
      </c>
      <c r="BB257" s="64"/>
      <c r="BC257" s="74" t="inlineStr">
        <is>
          <t>João Neves</t>
        </is>
      </c>
      <c r="BD257" s="73">
        <f t="shared" ref="BD257" si="1310">COUNTIF($M$257,BC257)*$D$46</f>
        <v>0</v>
      </c>
      <c r="BE257" s="64"/>
      <c r="BF257" s="74" t="inlineStr">
        <is>
          <t>Cristiano Ronaldo</t>
        </is>
      </c>
      <c r="BG257" s="73">
        <f t="shared" ref="BG257" si="1311">COUNTIF($M$257,BF257)*$D$46</f>
        <v>0</v>
      </c>
      <c r="BH257" s="64"/>
      <c r="BI257" s="74" t="inlineStr">
        <is>
          <t>Kylian Mbappé</t>
        </is>
      </c>
      <c r="BJ257" s="73">
        <f t="shared" ref="BJ257" si="1312">COUNTIF($M$257,BI257)*$D$46</f>
        <v>0</v>
      </c>
      <c r="BK257" s="64"/>
      <c r="BL257" s="74" t="inlineStr">
        <is>
          <t>Lamine Yamal</t>
        </is>
      </c>
      <c r="BM257" s="73">
        <f t="shared" ref="BM257" si="1313">COUNTIF($M$257,BL257)*$D$46</f>
        <v>0</v>
      </c>
      <c r="BN257" s="64"/>
      <c r="BO257" s="74" t="s">
        <v>2190</v>
      </c>
      <c r="BP257" s="73">
        <f t="shared" ref="BP257" si="1314">COUNTIF($M$257,BO257)*$D$46</f>
        <v>0</v>
      </c>
      <c r="BQ257" s="64"/>
      <c r="BR257" s="74" t="inlineStr">
        <is>
          <t>Jérémy Doku</t>
        </is>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inlineStr">
        <is>
          <t>Kylian Mbappé</t>
        </is>
      </c>
      <c r="CE257" s="73">
        <f t="shared" ref="CE257" si="1319">COUNTIF($M$257,CD257)*$D$46</f>
        <v>0</v>
      </c>
      <c r="CF257" s="64"/>
      <c r="CG257" s="74" t="inlineStr">
        <is>
          <t>Lamine Yamal</t>
        </is>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inlineStr">
        <is>
          <t>Vinícius Júnior</t>
        </is>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inlineStr">
        <is>
          <t>Bruno Fernandes</t>
        </is>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inlineStr">
        <is>
          <t>Pedri</t>
        </is>
      </c>
      <c r="AX258" s="81">
        <f t="shared" ref="AX258" si="1332">COUNTIF($M$258,AW258)*$D$47</f>
        <v>0</v>
      </c>
      <c r="AY258" s="64"/>
      <c r="AZ258" s="80" t="inlineStr">
        <is>
          <t>Kylian Mbappé</t>
        </is>
      </c>
      <c r="BA258" s="81">
        <f t="shared" ref="BA258" si="1333">COUNTIF($M$258,AZ258)*$D$47</f>
        <v>0</v>
      </c>
      <c r="BB258" s="64"/>
      <c r="BC258" s="80" t="inlineStr">
        <is>
          <t>Kylian Mbappé</t>
        </is>
      </c>
      <c r="BD258" s="81">
        <f t="shared" ref="BD258" si="1334">COUNTIF($M$258,BC258)*$D$47</f>
        <v>0</v>
      </c>
      <c r="BE258" s="64"/>
      <c r="BF258" s="80" t="s">
        <v>2358</v>
      </c>
      <c r="BG258" s="81">
        <f t="shared" ref="BG258" si="1335">COUNTIF($M$258,BF258)*$D$47</f>
        <v>0</v>
      </c>
      <c r="BH258" s="64"/>
      <c r="BI258" s="80" t="inlineStr">
        <is>
          <t>Raphinha</t>
        </is>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inlineStr">
        <is>
          <t>Kylian Mbappé</t>
        </is>
      </c>
      <c r="BS258" s="81">
        <f t="shared" ref="BS258" si="1339">COUNTIF($M$258,BR258)*$D$47</f>
        <v>0</v>
      </c>
      <c r="BT258" s="64"/>
      <c r="BU258" s="80" t="inlineStr">
        <is>
          <t>Kylian Mbappé</t>
        </is>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inlineStr">
        <is>
          <t>Nuno Mendes</t>
        </is>
      </c>
      <c r="CE258" s="81">
        <f t="shared" ref="CE258" si="1343">COUNTIF($M$258,CD258)*$D$47</f>
        <v>0</v>
      </c>
      <c r="CF258" s="64"/>
      <c r="CG258" s="80" t="inlineStr">
        <is>
          <t>Kylian Mbappé</t>
        </is>
      </c>
      <c r="CH258" s="81">
        <f t="shared" ref="CH258" si="1344">COUNTIF($M$258,CG258)*$D$47</f>
        <v>0</v>
      </c>
      <c r="CI258" s="64"/>
      <c r="CJ258" s="80" t="inlineStr">
        <is>
          <t>Lionel Messi</t>
        </is>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4</v>
      </c>
      <c r="T263" s="25"/>
      <c r="U263" s="25"/>
      <c r="V263" s="25">
        <f ca="1">RANK(V264,OFFSET($S$264,0,0,1,$D$5*3),0)</f>
        <v>17</v>
      </c>
      <c r="W263" s="25"/>
      <c r="X263" s="25"/>
      <c r="Y263" s="25">
        <f ca="1">RANK(Y264,OFFSET($S$264,0,0,1,$D$5*3),0)</f>
        <v>13</v>
      </c>
      <c r="Z263" s="25"/>
      <c r="AA263" s="25"/>
      <c r="AB263" s="25">
        <f ca="1">RANK(AB264,OFFSET($S$264,0,0,1,$D$5*3),0)</f>
        <v>18</v>
      </c>
      <c r="AC263" s="25"/>
      <c r="AD263" s="25"/>
      <c r="AE263" s="25">
        <f ca="1">RANK(AE264,OFFSET($S$264,0,0,1,$D$5*3),0)</f>
        <v>24</v>
      </c>
      <c r="AF263" s="25"/>
      <c r="AG263" s="25"/>
      <c r="AH263" s="25">
        <f ca="1">RANK(AH264,OFFSET($S$264,0,0,1,$D$5*3),0)</f>
        <v>19</v>
      </c>
      <c r="AI263" s="25"/>
      <c r="AJ263" s="25"/>
      <c r="AK263" s="25">
        <f ca="1">RANK(AK264,OFFSET($S$264,0,0,1,$D$5*3),0)</f>
        <v>5</v>
      </c>
      <c r="AL263" s="25"/>
      <c r="AM263" s="25"/>
      <c r="AN263" s="25">
        <f ca="1">RANK(AN264,OFFSET($S$264,0,0,1,$D$5*3),0)</f>
        <v>1</v>
      </c>
      <c r="AO263" s="25"/>
      <c r="AP263" s="25"/>
      <c r="AQ263" s="25">
        <f ca="1">RANK(AQ264,OFFSET($S$264,0,0,1,$D$5*3),0)</f>
        <v>6</v>
      </c>
      <c r="AR263" s="25"/>
      <c r="AS263" s="25"/>
      <c r="AT263" s="25">
        <f ca="1">RANK(AT264,OFFSET($S$264,0,0,1,$D$5*3),0)</f>
        <v>7</v>
      </c>
      <c r="AU263" s="25"/>
      <c r="AV263" s="25"/>
      <c r="AW263" s="25">
        <f ca="1">RANK(AW264,OFFSET($S$264,0,0,1,$D$5*3),0)</f>
        <v>25</v>
      </c>
      <c r="AX263" s="25"/>
      <c r="AY263" s="25"/>
      <c r="AZ263" s="25">
        <f ca="1">RANK(AZ264,OFFSET($S$264,0,0,1,$D$5*3),0)</f>
        <v>14</v>
      </c>
      <c r="BA263" s="25"/>
      <c r="BB263" s="25"/>
      <c r="BC263" s="25">
        <f ca="1">RANK(BC264,OFFSET($S$264,0,0,1,$D$5*3),0)</f>
        <v>8</v>
      </c>
      <c r="BD263" s="25"/>
      <c r="BE263" s="25"/>
      <c r="BF263" s="25">
        <f ca="1">RANK(BF264,OFFSET($S$264,0,0,1,$D$5*3),0)</f>
        <v>15</v>
      </c>
      <c r="BG263" s="25"/>
      <c r="BH263" s="25"/>
      <c r="BI263" s="25">
        <f ca="1">RANK(BI264,OFFSET($S$264,0,0,1,$D$5*3),0)</f>
        <v>2</v>
      </c>
      <c r="BJ263" s="25"/>
      <c r="BK263" s="25"/>
      <c r="BL263" s="25">
        <f ca="1">RANK(BL264,OFFSET($S$264,0,0,1,$D$5*3),0)</f>
        <v>20</v>
      </c>
      <c r="BM263" s="25"/>
      <c r="BN263" s="25"/>
      <c r="BO263" s="25">
        <f ca="1">RANK(BO264,OFFSET($S$264,0,0,1,$D$5*3),0)</f>
        <v>3</v>
      </c>
      <c r="BP263" s="25"/>
      <c r="BQ263" s="25"/>
      <c r="BR263" s="25">
        <f ca="1">RANK(BR264,OFFSET($S$264,0,0,1,$D$5*3),0)</f>
        <v>9</v>
      </c>
      <c r="BS263" s="25"/>
      <c r="BT263" s="25"/>
      <c r="BU263" s="25">
        <f ca="1">RANK(BU264,OFFSET($S$264,0,0,1,$D$5*3),0)</f>
        <v>10</v>
      </c>
      <c r="BV263" s="25"/>
      <c r="BW263" s="25"/>
      <c r="BX263" s="25">
        <f ca="1">RANK(BX264,OFFSET($S$264,0,0,1,$D$5*3),0)</f>
        <v>21</v>
      </c>
      <c r="BY263" s="25"/>
      <c r="BZ263" s="25"/>
      <c r="CA263" s="25">
        <f ca="1">RANK(CA264,OFFSET($S$264,0,0,1,$D$5*3),0)</f>
        <v>11</v>
      </c>
      <c r="CB263" s="25"/>
      <c r="CC263" s="25"/>
      <c r="CD263" s="25">
        <f ca="1">RANK(CD264,OFFSET($S$264,0,0,1,$D$5*3),0)</f>
        <v>22</v>
      </c>
      <c r="CE263" s="25"/>
      <c r="CF263" s="25"/>
      <c r="CG263" s="25">
        <f ca="1">RANK(CG264,OFFSET($S$264,0,0,1,$D$5*3),0)</f>
        <v>16</v>
      </c>
      <c r="CH263" s="25"/>
      <c r="CI263" s="25"/>
      <c r="CJ263" s="25">
        <f ca="1">RANK(CJ264,OFFSET($S$264,0,0,1,$D$5*3),0)</f>
        <v>23</v>
      </c>
      <c r="CK263" s="25"/>
      <c r="CL263" s="25"/>
      <c r="CM263" s="25">
        <f ca="1">RANK(CM264,OFFSET($S$264,0,0,1,$D$5*3),0)</f>
        <v>12</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5.9981</v>
      </c>
      <c r="T264" s="25"/>
      <c r="U264" s="25"/>
      <c r="V264" s="25">
        <f t="shared" ref="V264" ca="1" si="1371">V266-(COLUMN()/10000)</f>
        <v>1.9978</v>
      </c>
      <c r="W264" s="25"/>
      <c r="X264" s="25"/>
      <c r="Y264" s="25">
        <f t="shared" ref="Y264" ca="1" si="1372">Y266-(COLUMN()/10000)</f>
        <v>3.9975000000000001</v>
      </c>
      <c r="Z264" s="25"/>
      <c r="AA264" s="25"/>
      <c r="AB264" s="25">
        <f t="shared" ref="AB264" ca="1" si="1373">AB266-(COLUMN()/10000)</f>
        <v>1.9972000000000001</v>
      </c>
      <c r="AC264" s="25"/>
      <c r="AD264" s="25"/>
      <c r="AE264" s="25">
        <f t="shared" ref="AE264" ca="1" si="1374">AE266-(COLUMN()/10000)</f>
        <v>-3.0999999999999999E-3</v>
      </c>
      <c r="AF264" s="25"/>
      <c r="AG264" s="25"/>
      <c r="AH264" s="25">
        <f t="shared" ref="AH264" ca="1" si="1375">AH266-(COLUMN()/10000)</f>
        <v>1.9965999999999999</v>
      </c>
      <c r="AI264" s="25"/>
      <c r="AJ264" s="25"/>
      <c r="AK264" s="25">
        <f t="shared" ref="AK264" ca="1" si="1376">AK266-(COLUMN()/10000)</f>
        <v>5.9962999999999997</v>
      </c>
      <c r="AL264" s="25"/>
      <c r="AM264" s="25"/>
      <c r="AN264" s="25">
        <f t="shared" ref="AN264" ca="1" si="1377">AN266-(COLUMN()/10000)</f>
        <v>7.9960000000000004</v>
      </c>
      <c r="AO264" s="25"/>
      <c r="AP264" s="25"/>
      <c r="AQ264" s="25">
        <f t="shared" ref="AQ264" ca="1" si="1378">AQ266-(COLUMN()/10000)</f>
        <v>5.9957000000000003</v>
      </c>
      <c r="AR264" s="25"/>
      <c r="AS264" s="25"/>
      <c r="AT264" s="25">
        <f t="shared" ref="AT264" ca="1" si="1379">AT266-(COLUMN()/10000)</f>
        <v>5.9954000000000001</v>
      </c>
      <c r="AU264" s="25"/>
      <c r="AV264" s="25"/>
      <c r="AW264" s="25">
        <f t="shared" ref="AW264" ca="1" si="1380">AW266-(COLUMN()/10000)</f>
        <v>-4.8999999999999998E-3</v>
      </c>
      <c r="AX264" s="25"/>
      <c r="AY264" s="25"/>
      <c r="AZ264" s="25">
        <f t="shared" ref="AZ264" ca="1" si="1381">AZ266-(COLUMN()/10000)</f>
        <v>3.9948000000000001</v>
      </c>
      <c r="BA264" s="25"/>
      <c r="BB264" s="25"/>
      <c r="BC264" s="25">
        <f t="shared" ref="BC264" ca="1" si="1382">BC266-(COLUMN()/10000)</f>
        <v>5.9945000000000004</v>
      </c>
      <c r="BD264" s="25"/>
      <c r="BE264" s="25"/>
      <c r="BF264" s="25">
        <f t="shared" ref="BF264" ca="1" si="1383">BF266-(COLUMN()/10000)</f>
        <v>3.9942000000000002</v>
      </c>
      <c r="BG264" s="25"/>
      <c r="BH264" s="25"/>
      <c r="BI264" s="25">
        <f t="shared" ref="BI264" ca="1" si="1384">BI266-(COLUMN()/10000)</f>
        <v>7.9939</v>
      </c>
      <c r="BJ264" s="25"/>
      <c r="BK264" s="25"/>
      <c r="BL264" s="25">
        <f t="shared" ref="BL264" ca="1" si="1385">BL266-(COLUMN()/10000)</f>
        <v>1.9936</v>
      </c>
      <c r="BM264" s="25"/>
      <c r="BN264" s="25"/>
      <c r="BO264" s="25">
        <f t="shared" ref="BO264" ca="1" si="1386">BO266-(COLUMN()/10000)</f>
        <v>7.9932999999999996</v>
      </c>
      <c r="BP264" s="25"/>
      <c r="BQ264" s="25"/>
      <c r="BR264" s="25">
        <f t="shared" ref="BR264" ca="1" si="1387">BR266-(COLUMN()/10000)</f>
        <v>5.9930000000000003</v>
      </c>
      <c r="BS264" s="25"/>
      <c r="BT264" s="25"/>
      <c r="BU264" s="25">
        <f t="shared" ref="BU264" ca="1" si="1388">BU266-(COLUMN()/10000)</f>
        <v>5.9927000000000001</v>
      </c>
      <c r="BV264" s="25"/>
      <c r="BW264" s="25"/>
      <c r="BX264" s="25">
        <f t="shared" ref="BX264" ca="1" si="1389">BX266-(COLUMN()/10000)</f>
        <v>1.9923999999999999</v>
      </c>
      <c r="BY264" s="25"/>
      <c r="BZ264" s="25"/>
      <c r="CA264" s="25">
        <f t="shared" ref="CA264" ca="1" si="1390">CA266-(COLUMN()/10000)</f>
        <v>5.9920999999999998</v>
      </c>
      <c r="CB264" s="25"/>
      <c r="CC264" s="25"/>
      <c r="CD264" s="25">
        <f t="shared" ref="CD264" ca="1" si="1391">CD266-(COLUMN()/10000)</f>
        <v>1.9918</v>
      </c>
      <c r="CE264" s="25"/>
      <c r="CF264" s="25"/>
      <c r="CG264" s="25">
        <f t="shared" ref="CG264" ca="1" si="1392">CG266-(COLUMN()/10000)</f>
        <v>3.9914999999999998</v>
      </c>
      <c r="CH264" s="25"/>
      <c r="CI264" s="25"/>
      <c r="CJ264" s="25">
        <f t="shared" ref="CJ264" ca="1" si="1393">CJ266-(COLUMN()/10000)</f>
        <v>1.9912000000000001</v>
      </c>
      <c r="CK264" s="25"/>
      <c r="CL264" s="25"/>
      <c r="CM264" s="25">
        <f t="shared" ref="CM264" ca="1" si="1394">CM266-(COLUMN()/10000)</f>
        <v>5.9908999999999999</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4</v>
      </c>
      <c r="T265" s="25"/>
      <c r="U265" s="25"/>
      <c r="V265" s="25">
        <f ca="1">RANK(V266,OFFSET($S$266,0,0,1,$D$5*3),0)</f>
        <v>17</v>
      </c>
      <c r="W265" s="25"/>
      <c r="X265" s="25"/>
      <c r="Y265" s="25">
        <f ca="1">RANK(Y266,OFFSET($S$266,0,0,1,$D$5*3),0)</f>
        <v>13</v>
      </c>
      <c r="Z265" s="25"/>
      <c r="AA265" s="25"/>
      <c r="AB265" s="25">
        <f ca="1">RANK(AB266,OFFSET($S$266,0,0,1,$D$5*3),0)</f>
        <v>17</v>
      </c>
      <c r="AC265" s="25"/>
      <c r="AD265" s="25"/>
      <c r="AE265" s="25">
        <f ca="1">RANK(AE266,OFFSET($S$266,0,0,1,$D$5*3),0)</f>
        <v>24</v>
      </c>
      <c r="AF265" s="25"/>
      <c r="AG265" s="25"/>
      <c r="AH265" s="25">
        <f ca="1">RANK(AH266,OFFSET($S$266,0,0,1,$D$5*3),0)</f>
        <v>17</v>
      </c>
      <c r="AI265" s="25"/>
      <c r="AJ265" s="25"/>
      <c r="AK265" s="25">
        <f ca="1">RANK(AK266,OFFSET($S$266,0,0,1,$D$5*3),0)</f>
        <v>4</v>
      </c>
      <c r="AL265" s="25"/>
      <c r="AM265" s="25"/>
      <c r="AN265" s="25">
        <f ca="1">RANK(AN266,OFFSET($S$266,0,0,1,$D$5*3),0)</f>
        <v>1</v>
      </c>
      <c r="AO265" s="25"/>
      <c r="AP265" s="25"/>
      <c r="AQ265" s="25">
        <f ca="1">RANK(AQ266,OFFSET($S$266,0,0,1,$D$5*3),0)</f>
        <v>4</v>
      </c>
      <c r="AR265" s="25"/>
      <c r="AS265" s="25"/>
      <c r="AT265" s="25">
        <f ca="1">RANK(AT266,OFFSET($S$266,0,0,1,$D$5*3),0)</f>
        <v>4</v>
      </c>
      <c r="AU265" s="25"/>
      <c r="AV265" s="25"/>
      <c r="AW265" s="25">
        <f ca="1">RANK(AW266,OFFSET($S$266,0,0,1,$D$5*3),0)</f>
        <v>24</v>
      </c>
      <c r="AX265" s="25"/>
      <c r="AY265" s="25"/>
      <c r="AZ265" s="25">
        <f ca="1">RANK(AZ266,OFFSET($S$266,0,0,1,$D$5*3),0)</f>
        <v>13</v>
      </c>
      <c r="BA265" s="25"/>
      <c r="BB265" s="25"/>
      <c r="BC265" s="25">
        <f ca="1">RANK(BC266,OFFSET($S$266,0,0,1,$D$5*3),0)</f>
        <v>4</v>
      </c>
      <c r="BD265" s="25"/>
      <c r="BE265" s="25"/>
      <c r="BF265" s="25">
        <f ca="1">RANK(BF266,OFFSET($S$266,0,0,1,$D$5*3),0)</f>
        <v>13</v>
      </c>
      <c r="BG265" s="25"/>
      <c r="BH265" s="25"/>
      <c r="BI265" s="25">
        <f ca="1">RANK(BI266,OFFSET($S$266,0,0,1,$D$5*3),0)</f>
        <v>1</v>
      </c>
      <c r="BJ265" s="25"/>
      <c r="BK265" s="25"/>
      <c r="BL265" s="25">
        <f ca="1">RANK(BL266,OFFSET($S$266,0,0,1,$D$5*3),0)</f>
        <v>17</v>
      </c>
      <c r="BM265" s="25"/>
      <c r="BN265" s="25"/>
      <c r="BO265" s="25">
        <f ca="1">RANK(BO266,OFFSET($S$266,0,0,1,$D$5*3),0)</f>
        <v>1</v>
      </c>
      <c r="BP265" s="25"/>
      <c r="BQ265" s="25"/>
      <c r="BR265" s="25">
        <f ca="1">RANK(BR266,OFFSET($S$266,0,0,1,$D$5*3),0)</f>
        <v>4</v>
      </c>
      <c r="BS265" s="25"/>
      <c r="BT265" s="25"/>
      <c r="BU265" s="25">
        <f ca="1">RANK(BU266,OFFSET($S$266,0,0,1,$D$5*3),0)</f>
        <v>4</v>
      </c>
      <c r="BV265" s="25"/>
      <c r="BW265" s="25"/>
      <c r="BX265" s="25">
        <f ca="1">RANK(BX266,OFFSET($S$266,0,0,1,$D$5*3),0)</f>
        <v>17</v>
      </c>
      <c r="BY265" s="25"/>
      <c r="BZ265" s="25"/>
      <c r="CA265" s="25">
        <f ca="1">RANK(CA266,OFFSET($S$266,0,0,1,$D$5*3),0)</f>
        <v>4</v>
      </c>
      <c r="CB265" s="25"/>
      <c r="CC265" s="25"/>
      <c r="CD265" s="25">
        <f ca="1">RANK(CD266,OFFSET($S$266,0,0,1,$D$5*3),0)</f>
        <v>17</v>
      </c>
      <c r="CE265" s="25"/>
      <c r="CF265" s="25"/>
      <c r="CG265" s="25">
        <f ca="1">RANK(CG266,OFFSET($S$266,0,0,1,$D$5*3),0)</f>
        <v>13</v>
      </c>
      <c r="CH265" s="25"/>
      <c r="CI265" s="25"/>
      <c r="CJ265" s="25">
        <f ca="1">RANK(CJ266,OFFSET($S$266,0,0,1,$D$5*3),0)</f>
        <v>17</v>
      </c>
      <c r="CK265" s="25"/>
      <c r="CL265" s="25"/>
      <c r="CM265" s="25">
        <f ca="1">RANK(CM266,OFFSET($S$266,0,0,1,$D$5*3),0)</f>
        <v>4</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6</v>
      </c>
      <c r="T266" s="25"/>
      <c r="U266" s="25"/>
      <c r="V266" s="25">
        <f ca="1">SUMIFS((W6:W259),$H$6:$H$259,$M$262)</f>
        <v>2</v>
      </c>
      <c r="W266" s="25"/>
      <c r="X266" s="25"/>
      <c r="Y266" s="25">
        <f ca="1">SUMIFS((Z6:Z259),$H$6:$H$259,$M$262)</f>
        <v>4</v>
      </c>
      <c r="Z266" s="25"/>
      <c r="AA266" s="25"/>
      <c r="AB266" s="25">
        <f ca="1">SUMIFS((AC6:AC259),$H$6:$H$259,$M$262)</f>
        <v>2</v>
      </c>
      <c r="AC266" s="25"/>
      <c r="AD266" s="25"/>
      <c r="AE266" s="25">
        <f ca="1">SUMIFS((AF6:AF259),$H$6:$H$259,$M$262)</f>
        <v>0</v>
      </c>
      <c r="AF266" s="25"/>
      <c r="AG266" s="25"/>
      <c r="AH266" s="25">
        <f ca="1">SUMIFS((AI6:AI259),$H$6:$H$259,$M$262)</f>
        <v>2</v>
      </c>
      <c r="AI266" s="25"/>
      <c r="AJ266" s="25"/>
      <c r="AK266" s="25">
        <f ca="1">SUMIFS((AL6:AL259),$H$6:$H$259,$M$262)</f>
        <v>6</v>
      </c>
      <c r="AL266" s="25"/>
      <c r="AM266" s="25"/>
      <c r="AN266" s="25">
        <f ca="1">SUMIFS((AO6:AO259),$H$6:$H$259,$M$262)</f>
        <v>8</v>
      </c>
      <c r="AO266" s="25"/>
      <c r="AP266" s="25"/>
      <c r="AQ266" s="25">
        <f ca="1">SUMIFS((AR6:AR259),$H$6:$H$259,$M$262)</f>
        <v>6</v>
      </c>
      <c r="AR266" s="25"/>
      <c r="AS266" s="25"/>
      <c r="AT266" s="25">
        <f ca="1">SUMIFS((AU6:AU259),$H$6:$H$259,$M$262)</f>
        <v>6</v>
      </c>
      <c r="AU266" s="25"/>
      <c r="AV266" s="25"/>
      <c r="AW266" s="25">
        <f ca="1">SUMIFS((AX6:AX259),$H$6:$H$259,$M$262)</f>
        <v>0</v>
      </c>
      <c r="AX266" s="25"/>
      <c r="AY266" s="25"/>
      <c r="AZ266" s="25">
        <f ca="1">SUMIFS((BA6:BA259),$H$6:$H$259,$M$262)</f>
        <v>4</v>
      </c>
      <c r="BA266" s="25"/>
      <c r="BB266" s="25"/>
      <c r="BC266" s="25">
        <f ca="1">SUMIFS((BD6:BD259),$H$6:$H$259,$M$262)</f>
        <v>6</v>
      </c>
      <c r="BD266" s="25"/>
      <c r="BE266" s="25"/>
      <c r="BF266" s="25">
        <f ca="1">SUMIFS((BG6:BG259),$H$6:$H$259,$M$262)</f>
        <v>4</v>
      </c>
      <c r="BG266" s="25"/>
      <c r="BH266" s="25"/>
      <c r="BI266" s="25">
        <f ca="1">SUMIFS((BJ6:BJ259),$H$6:$H$259,$M$262)</f>
        <v>8</v>
      </c>
      <c r="BJ266" s="25"/>
      <c r="BK266" s="25"/>
      <c r="BL266" s="25">
        <f ca="1">SUMIFS((BM6:BM259),$H$6:$H$259,$M$262)</f>
        <v>2</v>
      </c>
      <c r="BM266" s="25"/>
      <c r="BN266" s="25"/>
      <c r="BO266" s="25">
        <f ca="1">SUMIFS((BP6:BP259),$H$6:$H$259,$M$262)</f>
        <v>8</v>
      </c>
      <c r="BP266" s="25"/>
      <c r="BQ266" s="25"/>
      <c r="BR266" s="25">
        <f ca="1">SUMIFS((BS6:BS259),$H$6:$H$259,$M$262)</f>
        <v>6</v>
      </c>
      <c r="BS266" s="25"/>
      <c r="BT266" s="25"/>
      <c r="BU266" s="25">
        <f ca="1">SUMIFS((BV6:BV259),$H$6:$H$259,$M$262)</f>
        <v>6</v>
      </c>
      <c r="BV266" s="25"/>
      <c r="BW266" s="25"/>
      <c r="BX266" s="25">
        <f ca="1">SUMIFS((BY6:BY259),$H$6:$H$259,$M$262)</f>
        <v>2</v>
      </c>
      <c r="BY266" s="25"/>
      <c r="BZ266" s="25"/>
      <c r="CA266" s="25">
        <f ca="1">SUMIFS((CB6:CB259),$H$6:$H$259,$M$262)</f>
        <v>6</v>
      </c>
      <c r="CB266" s="25"/>
      <c r="CC266" s="25"/>
      <c r="CD266" s="25">
        <f ca="1">SUMIFS((CE6:CE259),$H$6:$H$259,$M$262)</f>
        <v>2</v>
      </c>
      <c r="CE266" s="25"/>
      <c r="CF266" s="25"/>
      <c r="CG266" s="25">
        <f ca="1">SUMIFS((CH6:CH259),$H$6:$H$259,$M$262)</f>
        <v>4</v>
      </c>
      <c r="CH266" s="25"/>
      <c r="CI266" s="25"/>
      <c r="CJ266" s="25">
        <f ca="1">SUMIFS((CK6:CK259),$H$6:$H$259,$M$262)</f>
        <v>2</v>
      </c>
      <c r="CK266" s="25"/>
      <c r="CL266" s="25"/>
      <c r="CM266" s="25">
        <f ca="1">SUMIFS((CN6:CN259),$H$6:$H$259,$M$262)</f>
        <v>6</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Fermin</v>
      </c>
      <c r="D5" s="91">
        <f ca="1">IFERROR(HLOOKUP(A5,Rango_Admin_Clas,4,FALSE),"-")</f>
        <v>58</v>
      </c>
      <c r="E5" s="92" cm="1">
        <f t="array" aca="1" ref="E5" ca="1">IFERROR(INDEX(Rango_Admin_Clas_Total,E$2,MATCH($A5,Rango_Admin_Clas_Primera,0)+1),"-")</f>
        <v>58</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Jorge Rojas</v>
      </c>
      <c r="D6" s="91">
        <f ca="1">IFERROR(HLOOKUP(A6,Rango_Admin_Clas,4,FALSE),"-")</f>
        <v>52</v>
      </c>
      <c r="E6" s="92" cm="1">
        <f t="array" aca="1" ref="E6" ca="1">IFERROR(INDEX(Rango_Admin_Clas_Total,E$2,MATCH($A6,Rango_Admin_Clas_Primera,0)+1),"-")</f>
        <v>52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2</v>
      </c>
      <c r="C7" s="18" t="str">
        <f ca="1">IFERROR(HLOOKUP(A7,Rango_Admin_Clas,5,FALSE),"-")</f>
        <v>Mariana Suarez (Samuel 2)</v>
      </c>
      <c r="D7" s="91">
        <f ca="1">IFERROR(HLOOKUP(A7,Rango_Admin_Clas,4,FALSE),"-")</f>
        <v>52</v>
      </c>
      <c r="E7" s="92" cm="1">
        <f t="array" aca="1" ref="E7" ca="1">IFERROR(INDEX(Rango_Admin_Clas_Total,E$2,MATCH($A7,Rango_Admin_Clas_Primera,0)+1),"-")</f>
        <v>52</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Freddy Parra (1)</v>
      </c>
      <c r="D8" s="91">
        <f ca="1">IFERROR(HLOOKUP(A8,Rango_Admin_Clas,4,FALSE),"-")</f>
        <v>42</v>
      </c>
      <c r="E8" s="92" cm="1">
        <f t="array" aca="1" ref="E8" ca="1">IFERROR(INDEX(Rango_Admin_Clas_Total,E$2,MATCH($A8,Rango_Admin_Clas_Primera,0)+1),"-")</f>
        <v>42</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Xavier (Kevin 2)</v>
      </c>
      <c r="D9" s="91">
        <f ca="1">IFERROR(HLOOKUP(A9,Rango_Admin_Clas,4,FALSE),"-")</f>
        <v>40</v>
      </c>
      <c r="E9" s="92" cm="1">
        <f t="array" aca="1" ref="E9" ca="1">IFERROR(INDEX(Rango_Admin_Clas_Total,E$2,MATCH($A9,Rango_Admin_Clas_Primera,0)+1),"-")</f>
        <v>40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5</v>
      </c>
      <c r="C10" s="18" t="str">
        <f ca="1">IFERROR(HLOOKUP(A10,Rango_Admin_Clas,5,FALSE),"-")</f>
        <v>Jared Oropeza</v>
      </c>
      <c r="D10" s="91">
        <f ca="1">IFERROR(HLOOKUP(A10,Rango_Admin_Clas,4,FALSE),"-")</f>
        <v>40</v>
      </c>
      <c r="E10" s="92" cm="1">
        <f t="array" aca="1" ref="E10" ca="1">IFERROR(INDEX(Rango_Admin_Clas_Total,E$2,MATCH($A10,Rango_Admin_Clas_Primera,0)+1),"-")</f>
        <v>40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5</v>
      </c>
      <c r="C11" s="18" t="str">
        <f ca="1">IFERROR(HLOOKUP(A11,Rango_Admin_Clas,5,FALSE),"-")</f>
        <v>Juan Dorante</v>
      </c>
      <c r="D11" s="91">
        <f ca="1">IFERROR(HLOOKUP(A11,Rango_Admin_Clas,4,FALSE),"-")</f>
        <v>40</v>
      </c>
      <c r="E11" s="92" cm="1">
        <f t="array" aca="1" ref="E11" ca="1">IFERROR(INDEX(Rango_Admin_Clas_Total,E$2,MATCH($A11,Rango_Admin_Clas_Primera,0)+1),"-")</f>
        <v>40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8</v>
      </c>
      <c r="C12" s="18" t="str">
        <f ca="1">IFERROR(HLOOKUP(A12,Rango_Admin_Clas,5,FALSE),"-")</f>
        <v>Alvaro Urdaneta</v>
      </c>
      <c r="D12" s="91">
        <f ca="1">IFERROR(HLOOKUP(A12,Rango_Admin_Clas,4,FALSE),"-")</f>
        <v>36</v>
      </c>
      <c r="E12" s="92" cm="1">
        <f t="array" aca="1" ref="E12" ca="1">IFERROR(INDEX(Rango_Admin_Clas_Total,E$2,MATCH($A12,Rango_Admin_Clas_Primera,0)+1),"-")</f>
        <v>36</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8</v>
      </c>
      <c r="C13" s="18" t="str">
        <f ca="1">IFERROR(HLOOKUP(A13,Rango_Admin_Clas,5,FALSE),"-")</f>
        <v>Ricardo Ortega</v>
      </c>
      <c r="D13" s="91">
        <f ca="1">IFERROR(HLOOKUP(A13,Rango_Admin_Clas,4,FALSE),"-")</f>
        <v>36</v>
      </c>
      <c r="E13" s="92" cm="1">
        <f t="array" aca="1" ref="E13" ca="1">IFERROR(INDEX(Rango_Admin_Clas_Total,E$2,MATCH($A13,Rango_Admin_Clas_Primera,0)+1),"-")</f>
        <v>36</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10</v>
      </c>
      <c r="C14" s="18" t="str">
        <f ca="1">IFERROR(HLOOKUP(A14,Rango_Admin_Clas,5,FALSE),"-")</f>
        <v>Kevin Perez</v>
      </c>
      <c r="D14" s="91">
        <f ca="1">IFERROR(HLOOKUP(A14,Rango_Admin_Clas,4,FALSE),"-")</f>
        <v>34</v>
      </c>
      <c r="E14" s="92" cm="1">
        <f t="array" aca="1" ref="E14" ca="1">IFERROR(INDEX(Rango_Admin_Clas_Total,E$2,MATCH($A14,Rango_Admin_Clas_Primera,0)+1),"-")</f>
        <v>34</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10</v>
      </c>
      <c r="C15" s="18" t="str">
        <f ca="1">IFERROR(HLOOKUP(A15,Rango_Admin_Clas,5,FALSE),"-")</f>
        <v>Edicxon Mendoza</v>
      </c>
      <c r="D15" s="91">
        <f ca="1">IFERROR(HLOOKUP(A15,Rango_Admin_Clas,4,FALSE),"-")</f>
        <v>34</v>
      </c>
      <c r="E15" s="92" cm="1">
        <f t="array" aca="1" ref="E15" ca="1">IFERROR(INDEX(Rango_Admin_Clas_Total,E$2,MATCH($A15,Rango_Admin_Clas_Primera,0)+1),"-")</f>
        <v>34</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10</v>
      </c>
      <c r="C16" s="18" t="str">
        <f ca="1">IFERROR(HLOOKUP(A16,Rango_Admin_Clas,5,FALSE),"-")</f>
        <v>Rafael Aguilar</v>
      </c>
      <c r="D16" s="91">
        <f ca="1">IFERROR(HLOOKUP(A16,Rango_Admin_Clas,4,FALSE),"-")</f>
        <v>34</v>
      </c>
      <c r="E16" s="92" cm="1">
        <f t="array" aca="1" ref="E16" ca="1">IFERROR(INDEX(Rango_Admin_Clas_Total,E$2,MATCH($A16,Rango_Admin_Clas_Primera,0)+1),"-")</f>
        <v>34</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10</v>
      </c>
      <c r="C17" s="18" t="str">
        <f ca="1">IFERROR(HLOOKUP(A17,Rango_Admin_Clas,5,FALSE),"-")</f>
        <v>Samuel Montes</v>
      </c>
      <c r="D17" s="91">
        <f ca="1">IFERROR(HLOOKUP(A17,Rango_Admin_Clas,4,FALSE),"-")</f>
        <v>34</v>
      </c>
      <c r="E17" s="92" cm="1">
        <f t="array" aca="1" ref="E17" ca="1">IFERROR(INDEX(Rango_Admin_Clas_Total,E$2,MATCH($A17,Rango_Admin_Clas_Primera,0)+1),"-")</f>
        <v>34</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14</v>
      </c>
      <c r="C18" s="18" t="str">
        <f ca="1">IFERROR(HLOOKUP(A18,Rango_Admin_Clas,5,FALSE),"-")</f>
        <v>RICARDO RIVERO</v>
      </c>
      <c r="D18" s="91">
        <f ca="1">IFERROR(HLOOKUP(A18,Rango_Admin_Clas,4,FALSE),"-")</f>
        <v>32</v>
      </c>
      <c r="E18" s="92" cm="1">
        <f t="array" aca="1" ref="E18" ca="1">IFERROR(INDEX(Rango_Admin_Clas_Total,E$2,MATCH($A18,Rango_Admin_Clas_Primera,0)+1),"-")</f>
        <v>32</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14</v>
      </c>
      <c r="C19" s="18" t="str">
        <f ca="1">IFERROR(HLOOKUP(A19,Rango_Admin_Clas,5,FALSE),"-")</f>
        <v>Dixon Torrealba</v>
      </c>
      <c r="D19" s="91">
        <f ca="1">IFERROR(HLOOKUP(A19,Rango_Admin_Clas,4,FALSE),"-")</f>
        <v>32</v>
      </c>
      <c r="E19" s="92" cm="1">
        <f t="array" aca="1" ref="E19" ca="1">IFERROR(INDEX(Rango_Admin_Clas_Total,E$2,MATCH($A19,Rango_Admin_Clas_Primera,0)+1),"-")</f>
        <v>32</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16</v>
      </c>
      <c r="C20" s="18" t="str">
        <f ca="1">IFERROR(HLOOKUP(A20,Rango_Admin_Clas,5,FALSE),"-")</f>
        <v>Luis Pinto</v>
      </c>
      <c r="D20" s="91">
        <f ca="1">IFERROR(HLOOKUP(A20,Rango_Admin_Clas,4,FALSE),"-")</f>
        <v>30</v>
      </c>
      <c r="E20" s="92" cm="1">
        <f t="array" aca="1" ref="E20" ca="1">IFERROR(INDEX(Rango_Admin_Clas_Total,E$2,MATCH($A20,Rango_Admin_Clas_Primera,0)+1),"-")</f>
        <v>30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16</v>
      </c>
      <c r="C21" s="18" t="str">
        <f ca="1">IFERROR(HLOOKUP(A21,Rango_Admin_Clas,5,FALSE),"-")</f>
        <v>Luis Márquez</v>
      </c>
      <c r="D21" s="91">
        <f ca="1">IFERROR(HLOOKUP(A21,Rango_Admin_Clas,4,FALSE),"-")</f>
        <v>30</v>
      </c>
      <c r="E21" s="92" cm="1">
        <f t="array" aca="1" ref="E21" ca="1">IFERROR(INDEX(Rango_Admin_Clas_Total,E$2,MATCH($A21,Rango_Admin_Clas_Primera,0)+1),"-")</f>
        <v>30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18</v>
      </c>
      <c r="C22" s="18" t="str">
        <f ca="1">IFERROR(HLOOKUP(A22,Rango_Admin_Clas,5,FALSE),"-")</f>
        <v>Freddy Parra (2)</v>
      </c>
      <c r="D22" s="91">
        <f ca="1">IFERROR(HLOOKUP(A22,Rango_Admin_Clas,4,FALSE),"-")</f>
        <v>28</v>
      </c>
      <c r="E22" s="92" cm="1">
        <f t="array" aca="1" ref="E22" ca="1">IFERROR(INDEX(Rango_Admin_Clas_Total,E$2,MATCH($A22,Rango_Admin_Clas_Primera,0)+1),"-")</f>
        <v>28</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18</v>
      </c>
      <c r="C23" s="18" t="str">
        <f ca="1">IFERROR(HLOOKUP(A23,Rango_Admin_Clas,5,FALSE),"-")</f>
        <v>Carlos Gimenez</v>
      </c>
      <c r="D23" s="91">
        <f ca="1">IFERROR(HLOOKUP(A23,Rango_Admin_Clas,4,FALSE),"-")</f>
        <v>28</v>
      </c>
      <c r="E23" s="92" cm="1">
        <f t="array" aca="1" ref="E23" ca="1">IFERROR(INDEX(Rango_Admin_Clas_Total,E$2,MATCH($A23,Rango_Admin_Clas_Primera,0)+1),"-")</f>
        <v>28</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Fernando (Jessika)</v>
      </c>
      <c r="D24" s="91">
        <f ca="1">IFERROR(HLOOKUP(A24,Rango_Admin_Clas,4,FALSE),"-")</f>
        <v>26</v>
      </c>
      <c r="E24" s="92" cm="1">
        <f t="array" aca="1" ref="E24" ca="1">IFERROR(INDEX(Rango_Admin_Clas_Total,E$2,MATCH($A24,Rango_Admin_Clas_Primera,0)+1),"-")</f>
        <v>26</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21</v>
      </c>
      <c r="C25" s="18" t="str">
        <f ca="1">IFERROR(HLOOKUP(A25,Rango_Admin_Clas,5,FALSE),"-")</f>
        <v>RICARDO DEFENDINI</v>
      </c>
      <c r="D25" s="91">
        <f ca="1">IFERROR(HLOOKUP(A25,Rango_Admin_Clas,4,FALSE),"-")</f>
        <v>24</v>
      </c>
      <c r="E25" s="92" cm="1">
        <f t="array" aca="1" ref="E25" ca="1">IFERROR(INDEX(Rango_Admin_Clas_Total,E$2,MATCH($A25,Rango_Admin_Clas_Primera,0)+1),"-")</f>
        <v>24</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EDUARDO PINTO</v>
      </c>
      <c r="D26" s="91">
        <f ca="1">IFERROR(HLOOKUP(A26,Rango_Admin_Clas,4,FALSE),"-")</f>
        <v>22</v>
      </c>
      <c r="E26" s="92" cm="1">
        <f t="array" aca="1" ref="E26" ca="1">IFERROR(INDEX(Rango_Admin_Clas_Total,E$2,MATCH($A26,Rango_Admin_Clas_Primera,0)+1),"-")</f>
        <v>22</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Ylich</v>
      </c>
      <c r="D27" s="91">
        <f ca="1">IFERROR(HLOOKUP(A27,Rango_Admin_Clas,4,FALSE),"-")</f>
        <v>20</v>
      </c>
      <c r="E27" s="92" cm="1">
        <f t="array" aca="1" ref="E27" ca="1">IFERROR(INDEX(Rango_Admin_Clas_Total,E$2,MATCH($A27,Rango_Admin_Clas_Primera,0)+1),"-")</f>
        <v>20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23</v>
      </c>
      <c r="C28" s="18" t="str">
        <f ca="1">IFERROR(HLOOKUP(A28,Rango_Admin_Clas,5,FALSE),"-")</f>
        <v>Simon Melendez</v>
      </c>
      <c r="D28" s="91">
        <f ca="1">IFERROR(HLOOKUP(A28,Rango_Admin_Clas,4,FALSE),"-")</f>
        <v>20</v>
      </c>
      <c r="E28" s="92" cm="1">
        <f t="array" aca="1" ref="E28" ca="1">IFERROR(INDEX(Rango_Admin_Clas_Total,E$2,MATCH($A28,Rango_Admin_Clas_Primera,0)+1),"-")</f>
        <v>20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25</v>
      </c>
      <c r="C29" s="18" t="str">
        <f ca="1">IFERROR(HLOOKUP(A29,Rango_Admin_Clas,5,FALSE),"-")</f>
        <v xml:space="preserve">jaidali </v>
      </c>
      <c r="D29" s="91">
        <f ca="1">IFERROR(HLOOKUP(A29,Rango_Admin_Clas,4,FALSE),"-")</f>
        <v>18</v>
      </c>
      <c r="E29" s="92" cm="1">
        <f t="array" aca="1" ref="E29" ca="1">IFERROR(INDEX(Rango_Admin_Clas_Total,E$2,MATCH($A29,Rango_Admin_Clas_Primera,0)+1),"-")</f>
        <v>18</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Rafael Aguilar</v>
      </c>
      <c r="G4" s="22">
        <f ca="1">IFERROR(HLOOKUP(C4,Rango_Admin_DailyClas,4,FALSE),"-")</f>
        <v>8</v>
      </c>
      <c r="H4" s="429">
        <f ca="1">IFERROR(VLOOKUP(H$2,Rango_Admin_DailyPred,MATCH($F4,Rango_Admin_DailyPred_Primera,0)+1,0),"-")</f>
        <v>2</v>
      </c>
      <c r="I4" s="429">
        <f ca="1">IFERROR(VLOOKUP(I$2,Rango_Admin_DailyPred,MATCH($F4,Rango_Admin_DailyPred_Primera,0)+1,0),"-")</f>
        <v>6</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Mariana Suarez (Samuel 2)</v>
      </c>
      <c r="G5" s="22">
        <f ca="1">IFERROR(HLOOKUP(C5,Rango_Admin_DailyClas,4,FALSE),"-")</f>
        <v>8</v>
      </c>
      <c r="H5" s="429">
        <f ca="1">IFERROR(VLOOKUP(H$2,Rango_Admin_DailyPred,MATCH($F5,Rango_Admin_DailyPred_Primera,0)+1,0),"-")</f>
        <v>6</v>
      </c>
      <c r="I5" s="429">
        <f ca="1">IFERROR(VLOOKUP(I$2,Rango_Admin_DailyPred,MATCH($F5,Rango_Admin_DailyPred_Primera,0)+1,0),"-")</f>
        <v>2</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Andres Fermin</v>
      </c>
      <c r="G6" s="22">
        <f ca="1">IFERROR(HLOOKUP(C6,Rango_Admin_DailyClas,4,FALSE),"-")</f>
        <v>8</v>
      </c>
      <c r="H6" s="429">
        <f ca="1">IFERROR(VLOOKUP(H$2,Rango_Admin_DailyPred,MATCH($F6,Rango_Admin_DailyPred_Primera,0)+1,0),"-")</f>
        <v>2</v>
      </c>
      <c r="I6" s="429">
        <f ca="1">IFERROR(VLOOKUP(I$2,Rango_Admin_DailyPred,MATCH($F6,Rango_Admin_DailyPred_Primera,0)+1,0),"-")</f>
        <v>6</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4</v>
      </c>
      <c r="F7" s="448" t="str">
        <f ca="1">IFERROR(HLOOKUP(C7,Rango_Admin_DailyClas,5,FALSE),"-")</f>
        <v>Kevin Perez</v>
      </c>
      <c r="G7" s="22">
        <f ca="1">IFERROR(HLOOKUP(C7,Rango_Admin_DailyClas,4,FALSE),"-")</f>
        <v>6</v>
      </c>
      <c r="H7" s="429">
        <f ca="1">IFERROR(VLOOKUP(H$2,Rango_Admin_DailyPred,MATCH($F7,Rango_Admin_DailyPred_Primera,0)+1,0),"-")</f>
        <v>6</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4</v>
      </c>
      <c r="F8" s="448" t="str">
        <f ca="1">IFERROR(HLOOKUP(C8,Rango_Admin_DailyClas,5,FALSE),"-")</f>
        <v>RICARDO DEFENDINI</v>
      </c>
      <c r="G8" s="22">
        <f ca="1">IFERROR(HLOOKUP(C8,Rango_Admin_DailyClas,4,FALSE),"-")</f>
        <v>6</v>
      </c>
      <c r="H8" s="429">
        <f ca="1">IFERROR(VLOOKUP(H$2,Rango_Admin_DailyPred,MATCH($F8,Rango_Admin_DailyPred_Primera,0)+1,0),"-")</f>
        <v>6</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4</v>
      </c>
      <c r="F9" s="448" t="str">
        <f ca="1">IFERROR(HLOOKUP(C9,Rango_Admin_DailyClas,5,FALSE),"-")</f>
        <v>Luis Pinto</v>
      </c>
      <c r="G9" s="22">
        <f ca="1">IFERROR(HLOOKUP(C9,Rango_Admin_DailyClas,4,FALSE),"-")</f>
        <v>6</v>
      </c>
      <c r="H9" s="429">
        <f ca="1">IFERROR(VLOOKUP(H$2,Rango_Admin_DailyPred,MATCH($F9,Rango_Admin_DailyPred_Primera,0)+1,0),"-")</f>
        <v>6</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4</v>
      </c>
      <c r="F10" s="448" t="str">
        <f ca="1">IFERROR(HLOOKUP(C10,Rango_Admin_DailyClas,5,FALSE),"-")</f>
        <v>Dixon Torrealba</v>
      </c>
      <c r="G10" s="22">
        <f ca="1">IFERROR(HLOOKUP(C10,Rango_Admin_DailyClas,4,FALSE),"-")</f>
        <v>6</v>
      </c>
      <c r="H10" s="429">
        <f ca="1">IFERROR(VLOOKUP(H$2,Rango_Admin_DailyPred,MATCH($F10,Rango_Admin_DailyPred_Primera,0)+1,0),"-")</f>
        <v>6</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4</v>
      </c>
      <c r="F11" s="448" t="str">
        <f ca="1">IFERROR(HLOOKUP(C11,Rango_Admin_DailyClas,5,FALSE),"-")</f>
        <v>Freddy Parra (1)</v>
      </c>
      <c r="G11" s="22">
        <f ca="1">IFERROR(HLOOKUP(C11,Rango_Admin_DailyClas,4,FALSE),"-")</f>
        <v>6</v>
      </c>
      <c r="H11" s="429">
        <f ca="1">IFERROR(VLOOKUP(H$2,Rango_Admin_DailyPred,MATCH($F11,Rango_Admin_DailyPred_Primera,0)+1,0),"-")</f>
        <v>6</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4</v>
      </c>
      <c r="F12" s="448" t="str">
        <f ca="1">IFERROR(HLOOKUP(C12,Rango_Admin_DailyClas,5,FALSE),"-")</f>
        <v>Luis Márquez</v>
      </c>
      <c r="G12" s="22">
        <f ca="1">IFERROR(HLOOKUP(C12,Rango_Admin_DailyClas,4,FALSE),"-")</f>
        <v>6</v>
      </c>
      <c r="H12" s="429">
        <f ca="1">IFERROR(VLOOKUP(H$2,Rango_Admin_DailyPred,MATCH($F12,Rango_Admin_DailyPred_Primera,0)+1,0),"-")</f>
        <v>6</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4</v>
      </c>
      <c r="F13" s="448" t="str">
        <f ca="1">IFERROR(HLOOKUP(C13,Rango_Admin_DailyClas,5,FALSE),"-")</f>
        <v>Alvaro Urdaneta</v>
      </c>
      <c r="G13" s="22">
        <f ca="1">IFERROR(HLOOKUP(C13,Rango_Admin_DailyClas,4,FALSE),"-")</f>
        <v>6</v>
      </c>
      <c r="H13" s="429">
        <f ca="1">IFERROR(VLOOKUP(H$2,Rango_Admin_DailyPred,MATCH($F13,Rango_Admin_DailyPred_Primera,0)+1,0),"-")</f>
        <v>6</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4</v>
      </c>
      <c r="F14" s="448" t="str">
        <f ca="1">IFERROR(HLOOKUP(C14,Rango_Admin_DailyClas,5,FALSE),"-")</f>
        <v>Ricardo Ortega</v>
      </c>
      <c r="G14" s="22">
        <f ca="1">IFERROR(HLOOKUP(C14,Rango_Admin_DailyClas,4,FALSE),"-")</f>
        <v>6</v>
      </c>
      <c r="H14" s="429">
        <f ca="1">IFERROR(VLOOKUP(H$2,Rango_Admin_DailyPred,MATCH($F14,Rango_Admin_DailyPred_Primera,0)+1,0),"-")</f>
        <v>6</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4</v>
      </c>
      <c r="F15" s="448" t="str">
        <f ca="1">IFERROR(HLOOKUP(C15,Rango_Admin_DailyClas,5,FALSE),"-")</f>
        <v>Carlos Gimenez</v>
      </c>
      <c r="G15" s="22">
        <f ca="1">IFERROR(HLOOKUP(C15,Rango_Admin_DailyClas,4,FALSE),"-")</f>
        <v>6</v>
      </c>
      <c r="H15" s="429">
        <f ca="1">IFERROR(VLOOKUP(H$2,Rango_Admin_DailyPred,MATCH($F15,Rango_Admin_DailyPred_Primera,0)+1,0),"-")</f>
        <v>6</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13</v>
      </c>
      <c r="F16" s="448" t="str">
        <f ca="1">IFERROR(HLOOKUP(C16,Rango_Admin_DailyClas,5,FALSE),"-")</f>
        <v>RICARDO RIVERO</v>
      </c>
      <c r="G16" s="22">
        <f ca="1">IFERROR(HLOOKUP(C16,Rango_Admin_DailyClas,4,FALSE),"-")</f>
        <v>4</v>
      </c>
      <c r="H16" s="429">
        <f ca="1">IFERROR(VLOOKUP(H$2,Rango_Admin_DailyPred,MATCH($F16,Rango_Admin_DailyPred_Primera,0)+1,0),"-")</f>
        <v>2</v>
      </c>
      <c r="I16" s="429">
        <f ca="1">IFERROR(VLOOKUP(I$2,Rango_Admin_DailyPred,MATCH($F16,Rango_Admin_DailyPred_Primera,0)+1,0),"-")</f>
        <v>2</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13</v>
      </c>
      <c r="F17" s="448" t="str">
        <f ca="1">IFERROR(HLOOKUP(C17,Rango_Admin_DailyClas,5,FALSE),"-")</f>
        <v>Jorge Rojas</v>
      </c>
      <c r="G17" s="22">
        <f ca="1">IFERROR(HLOOKUP(C17,Rango_Admin_DailyClas,4,FALSE),"-")</f>
        <v>4</v>
      </c>
      <c r="H17" s="429">
        <f ca="1">IFERROR(VLOOKUP(H$2,Rango_Admin_DailyPred,MATCH($F17,Rango_Admin_DailyPred_Primera,0)+1,0),"-")</f>
        <v>2</v>
      </c>
      <c r="I17" s="429">
        <f ca="1">IFERROR(VLOOKUP(I$2,Rango_Admin_DailyPred,MATCH($F17,Rango_Admin_DailyPred_Primera,0)+1,0),"-")</f>
        <v>2</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13</v>
      </c>
      <c r="F18" s="448" t="str">
        <f ca="1">IFERROR(HLOOKUP(C18,Rango_Admin_DailyClas,5,FALSE),"-")</f>
        <v>Freddy Parra (2)</v>
      </c>
      <c r="G18" s="22">
        <f ca="1">IFERROR(HLOOKUP(C18,Rango_Admin_DailyClas,4,FALSE),"-")</f>
        <v>4</v>
      </c>
      <c r="H18" s="429">
        <f ca="1">IFERROR(VLOOKUP(H$2,Rango_Admin_DailyPred,MATCH($F18,Rango_Admin_DailyPred_Primera,0)+1,0),"-")</f>
        <v>2</v>
      </c>
      <c r="I18" s="429">
        <f ca="1">IFERROR(VLOOKUP(I$2,Rango_Admin_DailyPred,MATCH($F18,Rango_Admin_DailyPred_Primera,0)+1,0),"-")</f>
        <v>2</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13</v>
      </c>
      <c r="F19" s="448" t="str">
        <f ca="1">IFERROR(HLOOKUP(C19,Rango_Admin_DailyClas,5,FALSE),"-")</f>
        <v>Jared Oropeza</v>
      </c>
      <c r="G19" s="22">
        <f ca="1">IFERROR(HLOOKUP(C19,Rango_Admin_DailyClas,4,FALSE),"-")</f>
        <v>4</v>
      </c>
      <c r="H19" s="429">
        <f ca="1">IFERROR(VLOOKUP(H$2,Rango_Admin_DailyPred,MATCH($F19,Rango_Admin_DailyPred_Primera,0)+1,0),"-")</f>
        <v>2</v>
      </c>
      <c r="I19" s="429">
        <f ca="1">IFERROR(VLOOKUP(I$2,Rango_Admin_DailyPred,MATCH($F19,Rango_Admin_DailyPred_Primera,0)+1,0),"-")</f>
        <v>2</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17</v>
      </c>
      <c r="F20" s="448" t="str">
        <f ca="1">IFERROR(HLOOKUP(C20,Rango_Admin_DailyClas,5,FALSE),"-")</f>
        <v>Ylich</v>
      </c>
      <c r="G20" s="22">
        <f ca="1">IFERROR(HLOOKUP(C20,Rango_Admin_DailyClas,4,FALSE),"-")</f>
        <v>2</v>
      </c>
      <c r="H20" s="429">
        <f ca="1">IFERROR(VLOOKUP(H$2,Rango_Admin_DailyPred,MATCH($F20,Rango_Admin_DailyPred_Primera,0)+1,0),"-")</f>
        <v>2</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17</v>
      </c>
      <c r="F21" s="448" t="str">
        <f ca="1">IFERROR(HLOOKUP(C21,Rango_Admin_DailyClas,5,FALSE),"-")</f>
        <v>Simon Melendez</v>
      </c>
      <c r="G21" s="22">
        <f ca="1">IFERROR(HLOOKUP(C21,Rango_Admin_DailyClas,4,FALSE),"-")</f>
        <v>2</v>
      </c>
      <c r="H21" s="429">
        <f ca="1">IFERROR(VLOOKUP(H$2,Rango_Admin_DailyPred,MATCH($F21,Rango_Admin_DailyPred_Primera,0)+1,0),"-")</f>
        <v>2</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17</v>
      </c>
      <c r="F22" s="448" t="str">
        <f ca="1">IFERROR(HLOOKUP(C22,Rango_Admin_DailyClas,5,FALSE),"-")</f>
        <v>Edicxon Mendoza</v>
      </c>
      <c r="G22" s="22">
        <f ca="1">IFERROR(HLOOKUP(C22,Rango_Admin_DailyClas,4,FALSE),"-")</f>
        <v>2</v>
      </c>
      <c r="H22" s="429">
        <f ca="1">IFERROR(VLOOKUP(H$2,Rango_Admin_DailyPred,MATCH($F22,Rango_Admin_DailyPred_Primera,0)+1,0),"-")</f>
        <v>2</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17</v>
      </c>
      <c r="F23" s="448" t="str">
        <f ca="1">IFERROR(HLOOKUP(C23,Rango_Admin_DailyClas,5,FALSE),"-")</f>
        <v>Samuel Montes</v>
      </c>
      <c r="G23" s="22">
        <f ca="1">IFERROR(HLOOKUP(C23,Rango_Admin_DailyClas,4,FALSE),"-")</f>
        <v>2</v>
      </c>
      <c r="H23" s="429">
        <f ca="1">IFERROR(VLOOKUP(H$2,Rango_Admin_DailyPred,MATCH($F23,Rango_Admin_DailyPred_Primera,0)+1,0),"-")</f>
        <v>0</v>
      </c>
      <c r="I23" s="429">
        <f ca="1">IFERROR(VLOOKUP(I$2,Rango_Admin_DailyPred,MATCH($F23,Rango_Admin_DailyPred_Primera,0)+1,0),"-")</f>
        <v>2</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17</v>
      </c>
      <c r="F24" s="448" t="str">
        <f ca="1">IFERROR(HLOOKUP(C24,Rango_Admin_DailyClas,5,FALSE),"-")</f>
        <v>Fernando (Jessika)</v>
      </c>
      <c r="G24" s="22">
        <f ca="1">IFERROR(HLOOKUP(C24,Rango_Admin_DailyClas,4,FALSE),"-")</f>
        <v>2</v>
      </c>
      <c r="H24" s="429">
        <f ca="1">IFERROR(VLOOKUP(H$2,Rango_Admin_DailyPred,MATCH($F24,Rango_Admin_DailyPred_Primera,0)+1,0),"-")</f>
        <v>2</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17</v>
      </c>
      <c r="F25" s="448" t="str">
        <f ca="1">IFERROR(HLOOKUP(C25,Rango_Admin_DailyClas,5,FALSE),"-")</f>
        <v>Xavier (Kevin 2)</v>
      </c>
      <c r="G25" s="22">
        <f ca="1">IFERROR(HLOOKUP(C25,Rango_Admin_DailyClas,4,FALSE),"-")</f>
        <v>2</v>
      </c>
      <c r="H25" s="429">
        <f ca="1">IFERROR(VLOOKUP(H$2,Rango_Admin_DailyPred,MATCH($F25,Rango_Admin_DailyPred_Primera,0)+1,0),"-")</f>
        <v>2</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17</v>
      </c>
      <c r="F26" s="448" t="str">
        <f ca="1">IFERROR(HLOOKUP(C26,Rango_Admin_DailyClas,5,FALSE),"-")</f>
        <v>Juan Dorante</v>
      </c>
      <c r="G26" s="22">
        <f ca="1">IFERROR(HLOOKUP(C26,Rango_Admin_DailyClas,4,FALSE),"-")</f>
        <v>2</v>
      </c>
      <c r="H26" s="429">
        <f ca="1">IFERROR(VLOOKUP(H$2,Rango_Admin_DailyPred,MATCH($F26,Rango_Admin_DailyPred_Primera,0)+1,0),"-")</f>
        <v>2</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24</v>
      </c>
      <c r="F27" s="448" t="str">
        <f ca="1">IFERROR(HLOOKUP(C27,Rango_Admin_DailyClas,5,FALSE),"-")</f>
        <v>EDUARDO PINTO</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24</v>
      </c>
      <c r="F28" s="448" t="str">
        <f ca="1">IFERROR(HLOOKUP(C28,Rango_Admin_DailyClas,5,FALSE),"-")</f>
        <v xml:space="preserve">jaidali </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108</v>
      </c>
      <c r="F13" s="456">
        <f ca="1">IFERROR(E13/E12,0)</f>
        <v>0.36</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23</v>
      </c>
      <c r="F15" s="456">
        <f ca="1">IFERROR(E15/ADMIN!$D$5,0)</f>
        <v>0.92</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v>
      </c>
      <c r="F16" s="456">
        <f ca="1">IFERROR(E16/ADMIN!$D$5,0)</f>
        <v>0.08</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4.32</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2026-06-18T18:12:00Z</dcterms:modified>
  <cp:category/>
</cp:coreProperties>
</file>