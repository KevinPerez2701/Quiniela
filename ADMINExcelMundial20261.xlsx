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codeName="ThisWorkbook" autoCompressPictures="0" defaultThemeVersion="124226"/>
  <mc:AlternateContent xmlns:mc="http://schemas.openxmlformats.org/markup-compatibility/2006">
    <mc:Choice Requires="x15">
      <x15ac:absPath xmlns:x15ac="http://schemas.microsoft.com/office/spreadsheetml/2010/11/ac" url="C:\Users\kevin\Downloads\Quiniela\"/>
    </mc:Choice>
  </mc:AlternateContent>
  <xr:revisionPtr revIDLastSave="0" documentId="13_ncr:1_{983EC119-7FFD-4137-A65E-C03B2FC75B94}"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685" yWindow="2685" windowWidth="28800" windowHeight="1534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6"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28" i="36"/>
  <c r="C32" i="46" s="1"/>
  <c r="D327" i="36"/>
  <c r="C31" i="46" s="1"/>
  <c r="D325" i="36"/>
  <c r="C29" i="46" s="1"/>
  <c r="D322" i="36"/>
  <c r="C26" i="46" s="1"/>
  <c r="D313" i="36"/>
  <c r="C17" i="46" s="1"/>
  <c r="D312" i="36"/>
  <c r="C16" i="46" s="1"/>
  <c r="D299" i="36"/>
  <c r="C5" i="46" s="1"/>
  <c r="D10" i="36"/>
  <c r="D9" i="36"/>
  <c r="M180" i="46"/>
  <c r="M128" i="46"/>
  <c r="D164" i="46"/>
  <c r="D451" i="36"/>
  <c r="D440" i="36"/>
  <c r="D433" i="36"/>
  <c r="D339" i="36"/>
  <c r="C43" i="46" s="1"/>
  <c r="D340" i="36"/>
  <c r="C44" i="46" s="1"/>
  <c r="D303" i="36"/>
  <c r="D7" i="46" s="1"/>
  <c r="D344" i="36"/>
  <c r="M7" i="51" s="1"/>
  <c r="D350" i="36"/>
  <c r="D351" i="36"/>
  <c r="D352" i="36"/>
  <c r="D353" i="36"/>
  <c r="D359" i="36"/>
  <c r="D360" i="36"/>
  <c r="D376" i="36"/>
  <c r="D377" i="36"/>
  <c r="D378" i="36"/>
  <c r="D379" i="36"/>
  <c r="D385" i="36"/>
  <c r="D386" i="36"/>
  <c r="D392" i="36"/>
  <c r="D393" i="36"/>
  <c r="D394" i="36"/>
  <c r="D395" i="36"/>
  <c r="D401" i="36"/>
  <c r="D402" i="36"/>
  <c r="D408" i="36"/>
  <c r="D409" i="36"/>
  <c r="D410" i="36"/>
  <c r="D411" i="36"/>
  <c r="D417" i="36"/>
  <c r="D418" i="36"/>
  <c r="D424" i="36"/>
  <c r="D425" i="36"/>
  <c r="D426" i="36"/>
  <c r="D427" i="36"/>
  <c r="D431" i="36"/>
  <c r="D6"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6" i="3"/>
  <c r="D7" i="3"/>
  <c r="D8" i="3"/>
  <c r="D15" i="3"/>
  <c r="D14" i="3"/>
  <c r="D16" i="3"/>
  <c r="D23" i="3"/>
  <c r="D22" i="3"/>
  <c r="D24" i="3"/>
  <c r="D71" i="36"/>
  <c r="AI6" i="3"/>
  <c r="AI7" i="3"/>
  <c r="AI8" i="3"/>
  <c r="AI9" i="3"/>
  <c r="D5" i="3"/>
  <c r="D12" i="3"/>
  <c r="D13" i="3"/>
  <c r="D21" i="3"/>
  <c r="D20" i="3"/>
  <c r="D12" i="36"/>
  <c r="D28" i="36"/>
  <c r="W136" i="3" s="1"/>
  <c r="D26" i="36"/>
  <c r="W118"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K199" i="46" s="1"/>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B1" i="47"/>
  <c r="D509" i="36"/>
  <c r="D445" i="36"/>
  <c r="D446" i="36"/>
  <c r="K87" i="46"/>
  <c r="D444" i="36"/>
  <c r="D302" i="36"/>
  <c r="K12" i="30" s="1"/>
  <c r="M66" i="46"/>
  <c r="E222" i="46"/>
  <c r="E207" i="46"/>
  <c r="M207" i="46"/>
  <c r="K94" i="46"/>
  <c r="H1" i="50"/>
  <c r="K181" i="46"/>
  <c r="K235" i="46"/>
  <c r="D366" i="36"/>
  <c r="D443" i="36"/>
  <c r="D43" i="36"/>
  <c r="AA156" i="3" s="1"/>
  <c r="K249" i="46"/>
  <c r="C62" i="46" s="1"/>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AA158" i="3" s="1"/>
  <c r="M256" i="46" s="1"/>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J4" i="47"/>
  <c r="R4" i="47"/>
  <c r="K259" i="46"/>
  <c r="D505" i="36"/>
  <c r="D107" i="36"/>
  <c r="S267" i="46"/>
  <c r="K128" i="46"/>
  <c r="K234" i="46"/>
  <c r="H228" i="46"/>
  <c r="AZ37" i="3"/>
  <c r="AZ21" i="3"/>
  <c r="AZ13" i="3"/>
  <c r="AZ29" i="3"/>
  <c r="R7" i="51"/>
  <c r="AZ53" i="3"/>
  <c r="AZ77" i="3"/>
  <c r="AZ45" i="3"/>
  <c r="AZ69" i="3"/>
  <c r="AJ3" i="3"/>
  <c r="AJ60" i="3" s="1"/>
  <c r="AZ93" i="3"/>
  <c r="AZ85" i="3"/>
  <c r="H241" i="46"/>
  <c r="K139" i="46"/>
  <c r="K153" i="46"/>
  <c r="K136" i="46"/>
  <c r="K138" i="46"/>
  <c r="K132" i="46"/>
  <c r="K134" i="46"/>
  <c r="K144" i="46"/>
  <c r="K142" i="46"/>
  <c r="K152" i="46"/>
  <c r="K154" i="46"/>
  <c r="K148" i="46"/>
  <c r="K150" i="46"/>
  <c r="K160" i="46"/>
  <c r="K158" i="46"/>
  <c r="K137" i="46"/>
  <c r="H212" i="46"/>
  <c r="H204" i="46"/>
  <c r="H229" i="46"/>
  <c r="H220" i="46"/>
  <c r="H227" i="46"/>
  <c r="H222" i="46"/>
  <c r="D21" i="36"/>
  <c r="AF3" i="3" s="1"/>
  <c r="AF51" i="3" s="1"/>
  <c r="D507" i="36"/>
  <c r="H221" i="46"/>
  <c r="D20" i="36"/>
  <c r="AD3" i="3" s="1"/>
  <c r="D506" i="36"/>
  <c r="L6" i="34"/>
  <c r="H237" i="46"/>
  <c r="C61" i="46"/>
  <c r="AA155" i="3"/>
  <c r="M254" i="46" s="1"/>
  <c r="T254" i="46" s="1"/>
  <c r="AH155" i="3"/>
  <c r="AM53" i="3"/>
  <c r="AM21" i="3"/>
  <c r="Q23" i="6"/>
  <c r="K5" i="46"/>
  <c r="C56" i="46" s="1"/>
  <c r="AA160" i="3"/>
  <c r="M258" i="46" s="1"/>
  <c r="AH154" i="3"/>
  <c r="AN45" i="3"/>
  <c r="AJ52" i="3"/>
  <c r="AJ36" i="3"/>
  <c r="M84" i="34"/>
  <c r="C40" i="46" l="1"/>
  <c r="S7" i="51"/>
  <c r="H236" i="46"/>
  <c r="H233" i="46"/>
  <c r="AC3" i="3"/>
  <c r="AC130" i="3" s="1"/>
  <c r="AL5" i="3"/>
  <c r="AY5" i="3" s="1"/>
  <c r="H210" i="46"/>
  <c r="K224" i="46"/>
  <c r="Q4" i="47"/>
  <c r="D131" i="36"/>
  <c r="D430" i="36"/>
  <c r="D416" i="36"/>
  <c r="D400" i="36"/>
  <c r="D384" i="36"/>
  <c r="D358" i="36"/>
  <c r="D301" i="36"/>
  <c r="C7" i="46" s="1"/>
  <c r="D452" i="36"/>
  <c r="B4" i="47" s="1"/>
  <c r="D316" i="36"/>
  <c r="C20" i="46" s="1"/>
  <c r="Q22" i="6"/>
  <c r="AJ84" i="3"/>
  <c r="H207" i="46"/>
  <c r="H257" i="46"/>
  <c r="D47" i="36"/>
  <c r="D429" i="36"/>
  <c r="D415" i="36"/>
  <c r="D399" i="36"/>
  <c r="D383" i="36"/>
  <c r="D357" i="36"/>
  <c r="D300" i="36"/>
  <c r="D453" i="36"/>
  <c r="C4" i="47" s="1"/>
  <c r="D320" i="36"/>
  <c r="C24" i="46" s="1"/>
  <c r="H215" i="46"/>
  <c r="D428" i="36"/>
  <c r="D412" i="36"/>
  <c r="D396" i="36"/>
  <c r="D380" i="36"/>
  <c r="D354" i="36"/>
  <c r="D341" i="36"/>
  <c r="C45" i="46" s="1"/>
  <c r="D321" i="36"/>
  <c r="C25" i="46" s="1"/>
  <c r="AN38" i="45"/>
  <c r="AO37" i="45"/>
  <c r="AN37" i="45"/>
  <c r="AJ31" i="45"/>
  <c r="AF46" i="45"/>
  <c r="AF28" i="45"/>
  <c r="AF10" i="45"/>
  <c r="AB45" i="45"/>
  <c r="AB36" i="45"/>
  <c r="AB27" i="45"/>
  <c r="AB18" i="45"/>
  <c r="AB9" i="45"/>
  <c r="AN14" i="45"/>
  <c r="AF23" i="45"/>
  <c r="AB43" i="45"/>
  <c r="AB34" i="45"/>
  <c r="AB16" i="45"/>
  <c r="AC18" i="45"/>
  <c r="AW26" i="45"/>
  <c r="AO14" i="45"/>
  <c r="AK20" i="45"/>
  <c r="AG41" i="45"/>
  <c r="AG23" i="45"/>
  <c r="AG5" i="45"/>
  <c r="AC43" i="45"/>
  <c r="AC34" i="45"/>
  <c r="AC25" i="45"/>
  <c r="AC16" i="45"/>
  <c r="AC7" i="45"/>
  <c r="AJ20" i="45"/>
  <c r="AF41" i="45"/>
  <c r="AF5" i="45"/>
  <c r="AB25" i="45"/>
  <c r="AB7" i="45"/>
  <c r="AV26" i="45"/>
  <c r="AW25" i="45"/>
  <c r="AO13" i="45"/>
  <c r="AK19" i="45"/>
  <c r="AG40" i="45"/>
  <c r="AG22" i="45"/>
  <c r="AG4" i="45"/>
  <c r="AC42" i="45"/>
  <c r="AC33" i="45"/>
  <c r="AC24" i="45"/>
  <c r="AC15" i="45"/>
  <c r="AC6" i="45"/>
  <c r="AF22" i="45"/>
  <c r="AB42" i="45"/>
  <c r="AB33" i="45"/>
  <c r="AB15" i="45"/>
  <c r="AB6" i="45"/>
  <c r="AB40" i="45"/>
  <c r="AB22" i="45"/>
  <c r="AV25" i="45"/>
  <c r="AN13" i="45"/>
  <c r="AJ19" i="45"/>
  <c r="AF40" i="45"/>
  <c r="AF4" i="45"/>
  <c r="AB24" i="45"/>
  <c r="AB49" i="45"/>
  <c r="AB4" i="45"/>
  <c r="AS32" i="45"/>
  <c r="AK44" i="45"/>
  <c r="AK8" i="45"/>
  <c r="AG35" i="45"/>
  <c r="AG17" i="45"/>
  <c r="AC49" i="45"/>
  <c r="AC40" i="45"/>
  <c r="AC31" i="45"/>
  <c r="AC22" i="45"/>
  <c r="AC13" i="45"/>
  <c r="AC4" i="45"/>
  <c r="AJ44" i="45"/>
  <c r="AJ8" i="45"/>
  <c r="AF35" i="45"/>
  <c r="AF17" i="45"/>
  <c r="AB31" i="45"/>
  <c r="AB13" i="45"/>
  <c r="AR32" i="45"/>
  <c r="AS31" i="45"/>
  <c r="AK43" i="45"/>
  <c r="AK7" i="45"/>
  <c r="AG34" i="45"/>
  <c r="AG16" i="45"/>
  <c r="AC48" i="45"/>
  <c r="AC39" i="45"/>
  <c r="AC30" i="45"/>
  <c r="AC21" i="45"/>
  <c r="AC12" i="45"/>
  <c r="AC3" i="45"/>
  <c r="AF47" i="45"/>
  <c r="AB37" i="45"/>
  <c r="AB10" i="45"/>
  <c r="AG28" i="45"/>
  <c r="AC36" i="45"/>
  <c r="AR31" i="45"/>
  <c r="AJ43" i="45"/>
  <c r="AJ7" i="45"/>
  <c r="AF34" i="45"/>
  <c r="AF16" i="45"/>
  <c r="AB48" i="45"/>
  <c r="AB39" i="45"/>
  <c r="AB30" i="45"/>
  <c r="AB21" i="45"/>
  <c r="AB12" i="45"/>
  <c r="AB3" i="45"/>
  <c r="AF29" i="45"/>
  <c r="AB46" i="45"/>
  <c r="AB28" i="45"/>
  <c r="AG46" i="45"/>
  <c r="AC45" i="45"/>
  <c r="AC9" i="45"/>
  <c r="AO38" i="45"/>
  <c r="AK32" i="45"/>
  <c r="AG47" i="45"/>
  <c r="AG29" i="45"/>
  <c r="AG11" i="45"/>
  <c r="AC46" i="45"/>
  <c r="AC37" i="45"/>
  <c r="AC28" i="45"/>
  <c r="AC19" i="45"/>
  <c r="AC10" i="45"/>
  <c r="AJ32" i="45"/>
  <c r="AF11" i="45"/>
  <c r="AB19" i="45"/>
  <c r="AK31" i="45"/>
  <c r="AG10" i="45"/>
  <c r="AC27" i="45"/>
  <c r="H205" i="46"/>
  <c r="Q63" i="46"/>
  <c r="Q75" i="46"/>
  <c r="AH158" i="3"/>
  <c r="D25" i="36"/>
  <c r="W99" i="3" s="1"/>
  <c r="D423" i="36"/>
  <c r="D407" i="36"/>
  <c r="D391" i="36"/>
  <c r="D375" i="36"/>
  <c r="D349" i="36"/>
  <c r="D439" i="36"/>
  <c r="D308" i="36"/>
  <c r="C12" i="46" s="1"/>
  <c r="D331" i="36"/>
  <c r="C35" i="46" s="1"/>
  <c r="D85" i="36"/>
  <c r="C19" i="34" s="1"/>
  <c r="D420" i="36"/>
  <c r="D404" i="36"/>
  <c r="D388" i="36"/>
  <c r="D362" i="36"/>
  <c r="D346" i="36"/>
  <c r="D436" i="36"/>
  <c r="D309" i="36"/>
  <c r="C13" i="46" s="1"/>
  <c r="D335" i="36"/>
  <c r="D146" i="36"/>
  <c r="K239" i="46" s="1"/>
  <c r="H232" i="46"/>
  <c r="L13" i="34"/>
  <c r="D27" i="36"/>
  <c r="W129" i="3" s="1"/>
  <c r="D285" i="36"/>
  <c r="D8" i="36"/>
  <c r="D419" i="36"/>
  <c r="D403" i="36"/>
  <c r="D387" i="36"/>
  <c r="D361" i="36"/>
  <c r="D345" i="36"/>
  <c r="D434" i="36"/>
  <c r="D311" i="36"/>
  <c r="C15" i="46" s="1"/>
  <c r="H216" i="46"/>
  <c r="H202" i="46"/>
  <c r="H211" i="46"/>
  <c r="Q60" i="46"/>
  <c r="Q45" i="46"/>
  <c r="Q27" i="46"/>
  <c r="Q201" i="46"/>
  <c r="Q59" i="46"/>
  <c r="Q56" i="46"/>
  <c r="W56" i="46" s="1"/>
  <c r="Q26" i="46"/>
  <c r="AC26" i="46" s="1"/>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AI7" i="46" s="1"/>
  <c r="Q52" i="46"/>
  <c r="AR52" i="46" s="1"/>
  <c r="Q53" i="46"/>
  <c r="AC53" i="46" s="1"/>
  <c r="Q58" i="46"/>
  <c r="BP58" i="46" s="1"/>
  <c r="Q62" i="46"/>
  <c r="Z62" i="46" s="1"/>
  <c r="Q66" i="46"/>
  <c r="AX66" i="46" s="1"/>
  <c r="Q74" i="46"/>
  <c r="W74" i="46" s="1"/>
  <c r="Q9" i="46"/>
  <c r="Q36" i="46"/>
  <c r="Q40" i="46"/>
  <c r="Q44" i="46"/>
  <c r="T44" i="46" s="1"/>
  <c r="Q30" i="46"/>
  <c r="P203" i="46"/>
  <c r="Q203" i="46"/>
  <c r="Q207" i="46"/>
  <c r="Q65" i="46"/>
  <c r="BP65" i="46" s="1"/>
  <c r="Q232" i="46"/>
  <c r="Q33" i="46"/>
  <c r="BM33" i="46" s="1"/>
  <c r="Q37" i="46"/>
  <c r="AU37" i="46" s="1"/>
  <c r="Q41" i="46"/>
  <c r="Q49" i="46"/>
  <c r="P204" i="46"/>
  <c r="P247" i="46"/>
  <c r="Q39" i="46"/>
  <c r="Q77" i="46"/>
  <c r="BM77" i="46" s="1"/>
  <c r="P222" i="46"/>
  <c r="T77" i="46"/>
  <c r="M177" i="46"/>
  <c r="M169" i="46"/>
  <c r="AG154" i="3"/>
  <c r="M253" i="46"/>
  <c r="AG156" i="3"/>
  <c r="M255" i="46"/>
  <c r="CB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T257" i="46" s="1"/>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D244" i="46"/>
  <c r="CG244" i="46"/>
  <c r="CJ244" i="46"/>
  <c r="CM244" i="46"/>
  <c r="CA244" i="46"/>
  <c r="BX244" i="46"/>
  <c r="BX6" i="46"/>
  <c r="CA6" i="46"/>
  <c r="CD6" i="46"/>
  <c r="CG6" i="46"/>
  <c r="CJ6"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AX255" i="46"/>
  <c r="BV255" i="46"/>
  <c r="AC255" i="46"/>
  <c r="BA255" i="46"/>
  <c r="BY255" i="46"/>
  <c r="AF255" i="46"/>
  <c r="BD255" i="46"/>
  <c r="AI255" i="46"/>
  <c r="BG255" i="46"/>
  <c r="CE255" i="46"/>
  <c r="BJ255" i="46"/>
  <c r="CH255" i="46"/>
  <c r="AO255" i="46"/>
  <c r="BM255" i="46"/>
  <c r="CK255" i="46"/>
  <c r="AR255" i="46"/>
  <c r="AU255" i="46"/>
  <c r="BS255" i="46"/>
  <c r="CN255" i="46"/>
  <c r="W255" i="46"/>
  <c r="AF75" i="3"/>
  <c r="K129" i="46"/>
  <c r="H131" i="46"/>
  <c r="H250" i="46"/>
  <c r="H158" i="46"/>
  <c r="H151" i="46"/>
  <c r="H137" i="46"/>
  <c r="H206" i="46"/>
  <c r="CA232" i="46"/>
  <c r="CJ232" i="46"/>
  <c r="CM232" i="46"/>
  <c r="BX232" i="46"/>
  <c r="CD232" i="46"/>
  <c r="CG232" i="46"/>
  <c r="BX30" i="46"/>
  <c r="CA30" i="46"/>
  <c r="CD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BX54" i="46"/>
  <c r="CA54" i="46"/>
  <c r="CD54" i="46"/>
  <c r="CG54" i="46"/>
  <c r="CJ54" i="46"/>
  <c r="CM54" i="46"/>
  <c r="D367" i="36"/>
  <c r="AF91" i="3"/>
  <c r="AF67" i="3"/>
  <c r="AL85" i="3"/>
  <c r="AY85" i="3" s="1"/>
  <c r="AJ28" i="3"/>
  <c r="H244" i="46"/>
  <c r="H201" i="46"/>
  <c r="H214" i="46"/>
  <c r="H155" i="46"/>
  <c r="H140" i="46"/>
  <c r="H138" i="46"/>
  <c r="AR253" i="46"/>
  <c r="BX253" i="46"/>
  <c r="CM253" i="46"/>
  <c r="CA253" i="46"/>
  <c r="CD253" i="46"/>
  <c r="AI253" i="46"/>
  <c r="CG253" i="46"/>
  <c r="CJ253" i="46"/>
  <c r="T253" i="46"/>
  <c r="K193" i="46"/>
  <c r="K183" i="46"/>
  <c r="CJ220" i="46"/>
  <c r="CM220" i="46"/>
  <c r="BX220" i="46"/>
  <c r="CA220" i="46"/>
  <c r="CD220" i="46"/>
  <c r="CG220" i="46"/>
  <c r="H213" i="46"/>
  <c r="H156" i="46"/>
  <c r="H134" i="46"/>
  <c r="H253" i="46"/>
  <c r="H254" i="46"/>
  <c r="H141" i="46"/>
  <c r="H133" i="46"/>
  <c r="CG200" i="46"/>
  <c r="CJ200" i="46"/>
  <c r="BX200" i="46"/>
  <c r="CA200" i="46"/>
  <c r="CD200" i="46"/>
  <c r="CM200" i="46"/>
  <c r="K186" i="46"/>
  <c r="Q55" i="46"/>
  <c r="Q247" i="46"/>
  <c r="P232" i="46"/>
  <c r="M203" i="46"/>
  <c r="E203" i="46"/>
  <c r="M202" i="46"/>
  <c r="W45" i="46"/>
  <c r="W36" i="46"/>
  <c r="W75" i="46"/>
  <c r="W17" i="46"/>
  <c r="W41" i="46"/>
  <c r="W49" i="46"/>
  <c r="W63" i="46"/>
  <c r="W47" i="46"/>
  <c r="W21" i="46"/>
  <c r="W13" i="46"/>
  <c r="E165" i="46"/>
  <c r="AR13" i="46"/>
  <c r="BP13" i="46"/>
  <c r="CN13" i="46"/>
  <c r="AU13" i="46"/>
  <c r="BS13" i="46"/>
  <c r="Z13" i="46"/>
  <c r="AX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X21" i="46"/>
  <c r="BP21" i="46"/>
  <c r="CB26" i="46"/>
  <c r="CE26" i="46"/>
  <c r="Z21" i="46"/>
  <c r="AF26" i="46"/>
  <c r="AO33" i="46"/>
  <c r="AI36" i="46"/>
  <c r="BG36" i="46"/>
  <c r="CE36" i="46"/>
  <c r="AL36" i="46"/>
  <c r="BJ36" i="46"/>
  <c r="CH36" i="46"/>
  <c r="AO36" i="46"/>
  <c r="BM36" i="46"/>
  <c r="CK36" i="46"/>
  <c r="AR36" i="46"/>
  <c r="BP36" i="46"/>
  <c r="CN36" i="46"/>
  <c r="AU36" i="46"/>
  <c r="BS36" i="46"/>
  <c r="BA36" i="46"/>
  <c r="AO41" i="46"/>
  <c r="BM41" i="46"/>
  <c r="CK41" i="46"/>
  <c r="BD36" i="46"/>
  <c r="AR41" i="46"/>
  <c r="BP41" i="46"/>
  <c r="CN41" i="46"/>
  <c r="AO45" i="46"/>
  <c r="BM45" i="46"/>
  <c r="CK45"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AX45" i="46"/>
  <c r="BY45" i="46"/>
  <c r="AR47" i="46"/>
  <c r="BP47" i="46"/>
  <c r="CN47" i="46"/>
  <c r="Z49" i="46"/>
  <c r="AX49" i="46"/>
  <c r="BV49" i="46"/>
  <c r="Z36" i="46"/>
  <c r="AF41" i="46"/>
  <c r="BJ41" i="46"/>
  <c r="Z45" i="46"/>
  <c r="BA45" i="46"/>
  <c r="CB45" i="46"/>
  <c r="AU47" i="46"/>
  <c r="BS47" i="46"/>
  <c r="AC49" i="46"/>
  <c r="BA49" i="46"/>
  <c r="BY49" i="46"/>
  <c r="BS41" i="46"/>
  <c r="AF45" i="46"/>
  <c r="BD47" i="46"/>
  <c r="CB49" i="46"/>
  <c r="AC36" i="46"/>
  <c r="AI45" i="46"/>
  <c r="BV47" i="46"/>
  <c r="CE49" i="46"/>
  <c r="BM52" i="46"/>
  <c r="BD56" i="46"/>
  <c r="CB56" i="46"/>
  <c r="AF36" i="46"/>
  <c r="BY41" i="46"/>
  <c r="BD45" i="46"/>
  <c r="BY47" i="46"/>
  <c r="AF49" i="46"/>
  <c r="CH49" i="46"/>
  <c r="AI56" i="46"/>
  <c r="BG56" i="46"/>
  <c r="AX36" i="46"/>
  <c r="Z37" i="46"/>
  <c r="BG45" i="46"/>
  <c r="Z47" i="46"/>
  <c r="CB47" i="46"/>
  <c r="AI49" i="46"/>
  <c r="BJ45" i="46"/>
  <c r="AC47" i="46"/>
  <c r="AL49" i="46"/>
  <c r="AO56" i="46"/>
  <c r="BM56" i="46"/>
  <c r="CK56" i="46"/>
  <c r="CN45" i="46"/>
  <c r="AX47" i="46"/>
  <c r="AL63" i="46"/>
  <c r="BJ63" i="46"/>
  <c r="CH63" i="46"/>
  <c r="BA47" i="46"/>
  <c r="Z56" i="46"/>
  <c r="AO63" i="46"/>
  <c r="BM63" i="46"/>
  <c r="CK63" i="46"/>
  <c r="AI41" i="46"/>
  <c r="BY52" i="46"/>
  <c r="AR63" i="46"/>
  <c r="BP63" i="46"/>
  <c r="CN63" i="46"/>
  <c r="AL41" i="46"/>
  <c r="AU63" i="46"/>
  <c r="BS63" i="46"/>
  <c r="AU41" i="46"/>
  <c r="BD49" i="46"/>
  <c r="CE52" i="46"/>
  <c r="AX56" i="46"/>
  <c r="Z63" i="46"/>
  <c r="AX63" i="46"/>
  <c r="BA63" i="46"/>
  <c r="BD63" i="46"/>
  <c r="BM66" i="46"/>
  <c r="CK66" i="46"/>
  <c r="BG63" i="46"/>
  <c r="BG49" i="46"/>
  <c r="BY63" i="46"/>
  <c r="BJ49" i="46"/>
  <c r="BP56" i="46"/>
  <c r="CB63" i="46"/>
  <c r="Z66" i="46"/>
  <c r="AC45" i="46"/>
  <c r="CE63" i="46"/>
  <c r="AL75" i="46"/>
  <c r="BJ75" i="46"/>
  <c r="CH75" i="46"/>
  <c r="CH45" i="46"/>
  <c r="AR75" i="46"/>
  <c r="BP75" i="46"/>
  <c r="CN75" i="46"/>
  <c r="AF52" i="46"/>
  <c r="AU75" i="46"/>
  <c r="BS75" i="46"/>
  <c r="AF47" i="46"/>
  <c r="BG66" i="46"/>
  <c r="AI74" i="46"/>
  <c r="Z75" i="46"/>
  <c r="AX75" i="46"/>
  <c r="BV75" i="46"/>
  <c r="AC63" i="46"/>
  <c r="BV74" i="46"/>
  <c r="BM75" i="46"/>
  <c r="AO77" i="46"/>
  <c r="AC75" i="46"/>
  <c r="BY75" i="46"/>
  <c r="CE45" i="46"/>
  <c r="AF75" i="46"/>
  <c r="CB75" i="46"/>
  <c r="CN74" i="46"/>
  <c r="AI75" i="46"/>
  <c r="CE75" i="46"/>
  <c r="AF63" i="46"/>
  <c r="AO75" i="46"/>
  <c r="CK75" i="46"/>
  <c r="AC77" i="46"/>
  <c r="AI63" i="46"/>
  <c r="BA75" i="46"/>
  <c r="CE66" i="46"/>
  <c r="CH77" i="46"/>
  <c r="BD75" i="46"/>
  <c r="BG75" i="46"/>
  <c r="Q46" i="46"/>
  <c r="P221" i="46"/>
  <c r="Q222" i="46"/>
  <c r="Q68" i="46"/>
  <c r="T256" i="46"/>
  <c r="Q16" i="46"/>
  <c r="Q29" i="46"/>
  <c r="Q220" i="46"/>
  <c r="Q14" i="46"/>
  <c r="Q233" i="46"/>
  <c r="Q8" i="46"/>
  <c r="P178" i="46"/>
  <c r="P174" i="46"/>
  <c r="Q173" i="46"/>
  <c r="Q169" i="46"/>
  <c r="T47" i="46"/>
  <c r="Q50" i="46"/>
  <c r="T75" i="46"/>
  <c r="Q70" i="46"/>
  <c r="Q71" i="46"/>
  <c r="Q23" i="46"/>
  <c r="M46" i="46"/>
  <c r="M71" i="46"/>
  <c r="M70" i="46"/>
  <c r="M23" i="46"/>
  <c r="Q22" i="46"/>
  <c r="M22" i="46"/>
  <c r="Q200" i="46"/>
  <c r="Q72" i="46"/>
  <c r="Q43" i="46"/>
  <c r="T17" i="46"/>
  <c r="Q64" i="46"/>
  <c r="T36" i="46"/>
  <c r="T13" i="46"/>
  <c r="Q34" i="46"/>
  <c r="F5" i="48" a="1"/>
  <c r="F5" i="48" s="1"/>
  <c r="V267" i="46"/>
  <c r="T2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Q48" i="46"/>
  <c r="T48" i="46" s="1"/>
  <c r="M27" i="46"/>
  <c r="M19" i="46"/>
  <c r="D65" i="46"/>
  <c r="M59" i="46"/>
  <c r="T59" i="46" s="1"/>
  <c r="M15" i="46"/>
  <c r="P170" i="46"/>
  <c r="M60" i="46"/>
  <c r="M68" i="46"/>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M18" i="46"/>
  <c r="T49" i="46"/>
  <c r="M42" i="46"/>
  <c r="T41" i="46"/>
  <c r="Q38" i="46"/>
  <c r="M34" i="46"/>
  <c r="Q32" i="46"/>
  <c r="Q31" i="46"/>
  <c r="Q25" i="46"/>
  <c r="Q24" i="46"/>
  <c r="T21" i="46"/>
  <c r="Q20" i="46"/>
  <c r="Q19" i="46"/>
  <c r="Q15" i="46"/>
  <c r="Q10" i="46"/>
  <c r="M9" i="46"/>
  <c r="T9" i="46" s="1"/>
  <c r="Q67"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T7" i="51" l="1"/>
  <c r="C39" i="46"/>
  <c r="W1" i="3"/>
  <c r="B3" i="30"/>
  <c r="AX18" i="45"/>
  <c r="BJ77" i="46"/>
  <c r="AF7" i="46"/>
  <c r="T52" i="46"/>
  <c r="T26" i="46"/>
  <c r="AU77" i="46"/>
  <c r="CH56" i="46"/>
  <c r="BY56" i="46"/>
  <c r="AX26" i="46"/>
  <c r="BM7" i="46"/>
  <c r="W26" i="46"/>
  <c r="AU56" i="46"/>
  <c r="BJ56" i="46"/>
  <c r="BA56" i="46"/>
  <c r="Z26" i="46"/>
  <c r="AO7" i="46"/>
  <c r="W7" i="46"/>
  <c r="BS77" i="46"/>
  <c r="BY77" i="46"/>
  <c r="AC56" i="46"/>
  <c r="CN44" i="46"/>
  <c r="BS26" i="46"/>
  <c r="AC52" i="46"/>
  <c r="CE77" i="46"/>
  <c r="AR7" i="46"/>
  <c r="BS7" i="46"/>
  <c r="BV26" i="46"/>
  <c r="T40" i="46"/>
  <c r="BA77" i="46"/>
  <c r="BP26" i="46"/>
  <c r="Z7" i="46"/>
  <c r="BV77" i="46"/>
  <c r="BP77" i="46"/>
  <c r="CH7" i="46"/>
  <c r="BA7" i="46"/>
  <c r="CN77" i="46"/>
  <c r="T7" i="46"/>
  <c r="CB77" i="46"/>
  <c r="AX77" i="46"/>
  <c r="AR77" i="46"/>
  <c r="BG52" i="46"/>
  <c r="BP7" i="46"/>
  <c r="AC7" i="46"/>
  <c r="W52" i="46"/>
  <c r="BG77" i="46"/>
  <c r="BD77" i="46"/>
  <c r="Z77" i="46"/>
  <c r="BJ7" i="46"/>
  <c r="AL77" i="46"/>
  <c r="AF77" i="46"/>
  <c r="CN7" i="46"/>
  <c r="AC58" i="46"/>
  <c r="BY7" i="46"/>
  <c r="AI77" i="46"/>
  <c r="CK77" i="46"/>
  <c r="AX7" i="46"/>
  <c r="W77" i="46"/>
  <c r="AL52" i="46"/>
  <c r="CB7" i="46"/>
  <c r="AF56" i="46"/>
  <c r="CH52" i="46"/>
  <c r="BG26" i="46"/>
  <c r="AU26" i="46"/>
  <c r="BD65" i="46"/>
  <c r="BS65" i="46"/>
  <c r="AF58" i="46"/>
  <c r="CK58" i="46"/>
  <c r="W62" i="46"/>
  <c r="AC65" i="46"/>
  <c r="AR56" i="46"/>
  <c r="BM58" i="46"/>
  <c r="BS56" i="46"/>
  <c r="AO65" i="46"/>
  <c r="AU53" i="46"/>
  <c r="CE56" i="46"/>
  <c r="CK52" i="46"/>
  <c r="BJ52" i="46"/>
  <c r="BD26" i="46"/>
  <c r="CN26" i="46"/>
  <c r="BV7" i="46"/>
  <c r="CK7" i="46"/>
  <c r="AL255" i="46"/>
  <c r="Z255" i="46"/>
  <c r="CE65" i="46"/>
  <c r="T68" i="46"/>
  <c r="CH26" i="46"/>
  <c r="AR26" i="46"/>
  <c r="BA58" i="46"/>
  <c r="CB52" i="46"/>
  <c r="CN56" i="46"/>
  <c r="AL56" i="46"/>
  <c r="CK26" i="46"/>
  <c r="BD7" i="46"/>
  <c r="CE7" i="46"/>
  <c r="AL55" i="46"/>
  <c r="AO52" i="46"/>
  <c r="AL26" i="46"/>
  <c r="CN62" i="46"/>
  <c r="BD52" i="46"/>
  <c r="BY26" i="46"/>
  <c r="BM26" i="46"/>
  <c r="AU7" i="46"/>
  <c r="BG7" i="46"/>
  <c r="BP255" i="46"/>
  <c r="CH65" i="46"/>
  <c r="BP62" i="46"/>
  <c r="Z58" i="46"/>
  <c r="BJ65" i="46"/>
  <c r="AL62" i="46"/>
  <c r="BJ26" i="46"/>
  <c r="BA26" i="46"/>
  <c r="AO26" i="46"/>
  <c r="AL7" i="46"/>
  <c r="AI65" i="46"/>
  <c r="T18" i="46"/>
  <c r="AI52" i="46"/>
  <c r="BS58" i="46"/>
  <c r="AI26" i="46"/>
  <c r="AC33" i="46"/>
  <c r="Z253" i="46"/>
  <c r="AX58" i="46"/>
  <c r="BY74" i="46"/>
  <c r="AR65" i="46"/>
  <c r="AO62" i="46"/>
  <c r="AL74" i="46"/>
  <c r="AC74" i="46"/>
  <c r="AF65" i="46"/>
  <c r="AR66" i="46"/>
  <c r="CH62" i="46"/>
  <c r="BS52" i="46"/>
  <c r="CH58" i="46"/>
  <c r="BM37" i="46"/>
  <c r="AX33" i="46"/>
  <c r="BP33" i="46"/>
  <c r="CE33" i="46"/>
  <c r="AO253" i="46"/>
  <c r="BM253" i="46"/>
  <c r="CN66" i="46"/>
  <c r="CH74" i="46"/>
  <c r="CN37" i="46"/>
  <c r="CN33" i="46"/>
  <c r="T65" i="46"/>
  <c r="BM74" i="46"/>
  <c r="BA52" i="46"/>
  <c r="CK65" i="46"/>
  <c r="CB74" i="46"/>
  <c r="BA66" i="46"/>
  <c r="BY65" i="46"/>
  <c r="BD58" i="46"/>
  <c r="CE62" i="46"/>
  <c r="CB62" i="46"/>
  <c r="AU52" i="46"/>
  <c r="BJ58" i="46"/>
  <c r="Z33" i="46"/>
  <c r="AR33" i="46"/>
  <c r="BG33" i="46"/>
  <c r="W65" i="46"/>
  <c r="CK253" i="46"/>
  <c r="CN253" i="46"/>
  <c r="Z74" i="46"/>
  <c r="BJ62" i="46"/>
  <c r="AL33" i="46"/>
  <c r="BA74" i="46"/>
  <c r="BP66" i="46"/>
  <c r="Z65" i="46"/>
  <c r="BJ53" i="46"/>
  <c r="BD74" i="46"/>
  <c r="AL65" i="46"/>
  <c r="AR62" i="46"/>
  <c r="BS66" i="46"/>
  <c r="AU65" i="46"/>
  <c r="CH66" i="46"/>
  <c r="BG62" i="46"/>
  <c r="BD62" i="46"/>
  <c r="BV52" i="46"/>
  <c r="CE53" i="46"/>
  <c r="AL58" i="46"/>
  <c r="CE58" i="46"/>
  <c r="AI33" i="46"/>
  <c r="W253" i="46"/>
  <c r="AU253" i="46"/>
  <c r="T74" i="46"/>
  <c r="CE253" i="46"/>
  <c r="BS74" i="46"/>
  <c r="BY66" i="46"/>
  <c r="BS33" i="46"/>
  <c r="BJ33" i="46"/>
  <c r="AX253" i="46"/>
  <c r="AX74" i="46"/>
  <c r="AO58" i="46"/>
  <c r="BV253" i="46"/>
  <c r="BG253" i="46"/>
  <c r="CB66" i="46"/>
  <c r="CK74" i="46"/>
  <c r="AF74" i="46"/>
  <c r="BM62" i="46"/>
  <c r="AU66" i="46"/>
  <c r="BJ66" i="46"/>
  <c r="AI62" i="46"/>
  <c r="AF62" i="46"/>
  <c r="BY62" i="46"/>
  <c r="BS62" i="46"/>
  <c r="AX52" i="46"/>
  <c r="CN52" i="46"/>
  <c r="BG58" i="46"/>
  <c r="CB33" i="46"/>
  <c r="BY33" i="46"/>
  <c r="W58" i="46"/>
  <c r="CH253" i="46"/>
  <c r="AC253" i="46"/>
  <c r="AR74" i="46"/>
  <c r="BA33" i="46"/>
  <c r="CH33" i="46"/>
  <c r="W33" i="46"/>
  <c r="BP74" i="46"/>
  <c r="BM65" i="46"/>
  <c r="AX65" i="46"/>
  <c r="AF253" i="46"/>
  <c r="T58" i="46"/>
  <c r="CB253" i="46"/>
  <c r="T62" i="46"/>
  <c r="T66" i="46"/>
  <c r="AO74" i="46"/>
  <c r="CE74" i="46"/>
  <c r="BD66" i="46"/>
  <c r="BV66" i="46"/>
  <c r="CB65" i="46"/>
  <c r="CK62" i="46"/>
  <c r="AL66" i="46"/>
  <c r="CB58" i="46"/>
  <c r="BY58" i="46"/>
  <c r="BA62" i="46"/>
  <c r="AX62" i="46"/>
  <c r="AU62" i="46"/>
  <c r="Z52" i="46"/>
  <c r="BP52" i="46"/>
  <c r="AI58" i="46"/>
  <c r="BD33" i="46"/>
  <c r="AF33" i="46"/>
  <c r="CK33" i="46"/>
  <c r="W66" i="46"/>
  <c r="BD253" i="46"/>
  <c r="BY253" i="46"/>
  <c r="BA253" i="46"/>
  <c r="AC66" i="46"/>
  <c r="AO66" i="46"/>
  <c r="BP253" i="46"/>
  <c r="AU74" i="46"/>
  <c r="AL253" i="46"/>
  <c r="AF66" i="46"/>
  <c r="AU33" i="46"/>
  <c r="AI66" i="46"/>
  <c r="CN65" i="46"/>
  <c r="BJ74" i="46"/>
  <c r="T33" i="46"/>
  <c r="BG74" i="46"/>
  <c r="BG65" i="46"/>
  <c r="BA65" i="46"/>
  <c r="CN58" i="46"/>
  <c r="AU58" i="46"/>
  <c r="AR58" i="46"/>
  <c r="AC62" i="46"/>
  <c r="BS253" i="46"/>
  <c r="BJ253" i="46"/>
  <c r="AX53" i="46"/>
  <c r="Z53" i="46"/>
  <c r="AL53" i="46"/>
  <c r="BG53" i="46"/>
  <c r="BP44" i="46"/>
  <c r="BM44" i="46"/>
  <c r="AX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P14" i="46"/>
  <c r="AF14" i="46"/>
  <c r="AL14" i="46"/>
  <c r="BD14" i="46"/>
  <c r="BM14" i="46"/>
  <c r="AO14" i="46"/>
  <c r="CN14" i="46"/>
  <c r="CK14" i="46"/>
  <c r="BG72" i="46"/>
  <c r="AU70" i="46"/>
  <c r="BG73" i="46"/>
  <c r="BP67" i="46"/>
  <c r="AI73" i="46"/>
  <c r="W38" i="46"/>
  <c r="BP38" i="46"/>
  <c r="AX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AU64" i="46"/>
  <c r="CH64" i="46"/>
  <c r="CK64" i="46"/>
  <c r="BS76" i="46"/>
  <c r="AO76" i="46"/>
  <c r="CH73" i="46"/>
  <c r="AO68" i="46"/>
  <c r="Z68" i="46"/>
  <c r="BS69" i="46"/>
  <c r="BY68" i="46"/>
  <c r="BG69" i="46"/>
  <c r="CE68" i="46"/>
  <c r="BG68" i="46"/>
  <c r="BD69" i="46"/>
  <c r="AL68" i="46"/>
  <c r="AF69" i="46"/>
  <c r="CB68" i="46"/>
  <c r="AF68" i="46"/>
  <c r="W9" i="46"/>
  <c r="AI9" i="46"/>
  <c r="AO9" i="46"/>
  <c r="Z9" i="46"/>
  <c r="BM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BX164" i="46"/>
  <c r="CA164" i="46"/>
  <c r="CD164" i="46"/>
  <c r="CJ164" i="46"/>
  <c r="CM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A30" i="46"/>
  <c r="BM30" i="46"/>
  <c r="AU30" i="46"/>
  <c r="CN30" i="46"/>
  <c r="AC30"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W34" i="46"/>
  <c r="AF11" i="46"/>
  <c r="CE11" i="46"/>
  <c r="AU11" i="46"/>
  <c r="CN59" i="46"/>
  <c r="CK59" i="46"/>
  <c r="AO59" i="46"/>
  <c r="BS59" i="46"/>
  <c r="BJ59" i="46"/>
  <c r="BM59" i="46"/>
  <c r="AL59" i="46"/>
  <c r="AF59" i="46"/>
  <c r="BD59" i="46"/>
  <c r="Z59" i="46"/>
  <c r="AC59" i="46"/>
  <c r="CB59" i="46"/>
  <c r="AX59" i="46"/>
  <c r="BA59" i="46"/>
  <c r="W59" i="46"/>
  <c r="BY59" i="46"/>
  <c r="BA35" i="46"/>
  <c r="CB35" i="46"/>
  <c r="AI35" i="46"/>
  <c r="BJ35" i="46"/>
  <c r="W35" i="46"/>
  <c r="BY35" i="46"/>
  <c r="CK35" i="46"/>
  <c r="CE35" i="46"/>
  <c r="AL35" i="46"/>
  <c r="AR35" i="46"/>
  <c r="Z35" i="46"/>
  <c r="BM35" i="46"/>
  <c r="BP35" i="46"/>
  <c r="AU35" i="46"/>
  <c r="AX35" i="46"/>
  <c r="BG35" i="46"/>
  <c r="CN35" i="46"/>
  <c r="BS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M10" i="46"/>
  <c r="BP10" i="46"/>
  <c r="AC10" i="46"/>
  <c r="AX10" i="46"/>
  <c r="AU10" i="46"/>
  <c r="AO10" i="46"/>
  <c r="BG10" i="46"/>
  <c r="AL10" i="46"/>
  <c r="BJ10" i="46"/>
  <c r="CN10" i="46"/>
  <c r="T34" i="46"/>
  <c r="CK34" i="46"/>
  <c r="CB34" i="46"/>
  <c r="BM34" i="46"/>
  <c r="AR34" i="46"/>
  <c r="BD34" i="46"/>
  <c r="AF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7" i="32" l="1"/>
  <c r="W14"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Y101"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K99"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39" i="3" l="1"/>
  <c r="BX45" i="3"/>
  <c r="BX23"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B18" i="3" s="1"/>
  <c r="H54" i="3"/>
  <c r="I40" i="3"/>
  <c r="CB23" i="3" s="1"/>
  <c r="I71" i="3"/>
  <c r="I76" i="3"/>
  <c r="CB42" i="3" s="1"/>
  <c r="H96" i="3"/>
  <c r="CA50" i="3" s="1"/>
  <c r="I68" i="3"/>
  <c r="H80" i="3"/>
  <c r="H5" i="3"/>
  <c r="I49" i="3"/>
  <c r="H85" i="3"/>
  <c r="CB49" i="3" s="1"/>
  <c r="I70" i="3"/>
  <c r="I8" i="3"/>
  <c r="CB9" i="3" s="1"/>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A45" i="3"/>
  <c r="CB45" i="3"/>
  <c r="CB27" i="3"/>
  <c r="CB36" i="3"/>
  <c r="CA36" i="3"/>
  <c r="CA27" i="3"/>
  <c r="E23" i="48"/>
  <c r="F22" i="48" a="1"/>
  <c r="F22" i="48" s="1"/>
  <c r="CA11" i="3" l="1"/>
  <c r="CA34" i="3"/>
  <c r="CA18"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11"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CF50" i="3" s="1"/>
  <c r="K93" i="3"/>
  <c r="K54" i="3"/>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32" i="3"/>
  <c r="CF46" i="3"/>
  <c r="CF53" i="3"/>
  <c r="CF21" i="3"/>
  <c r="E9" i="51"/>
  <c r="CF22" i="3"/>
  <c r="CF8" i="3"/>
  <c r="CF26" i="3"/>
  <c r="B46" i="51"/>
  <c r="B47" i="51" s="1"/>
  <c r="E10" i="51"/>
  <c r="E28" i="48"/>
  <c r="F27" i="48" a="1"/>
  <c r="F27" i="48" s="1"/>
  <c r="E12" i="51"/>
  <c r="E11" i="51"/>
  <c r="CF6" i="3" l="1"/>
  <c r="CF27" i="3"/>
  <c r="CF14"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AI85" i="46"/>
  <c r="BS85" i="46"/>
  <c r="AC85" i="46"/>
  <c r="BJ85" i="46"/>
  <c r="Z85" i="46"/>
  <c r="BG85" i="46"/>
  <c r="W85" i="46"/>
  <c r="BA85" i="46"/>
  <c r="T126" i="46"/>
  <c r="CE126" i="46"/>
  <c r="BG126" i="46"/>
  <c r="AI126" i="46"/>
  <c r="CH126" i="46"/>
  <c r="BD126" i="46"/>
  <c r="AC126" i="46"/>
  <c r="CB126" i="46"/>
  <c r="BA126" i="46"/>
  <c r="Z126" i="46"/>
  <c r="BY126" i="46"/>
  <c r="AX126" i="46"/>
  <c r="W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AU98" i="46"/>
  <c r="BS98" i="46"/>
  <c r="AR98" i="46"/>
  <c r="BP98" i="46"/>
  <c r="AO98" i="46"/>
  <c r="CN98" i="46"/>
  <c r="CK98" i="46"/>
  <c r="BM98" i="46"/>
  <c r="BG98" i="46"/>
  <c r="AI98" i="46"/>
  <c r="AF98" i="46"/>
  <c r="T122" i="46"/>
  <c r="CE122" i="46"/>
  <c r="BG122" i="46"/>
  <c r="AI122" i="46"/>
  <c r="CH122" i="46"/>
  <c r="BD122" i="46"/>
  <c r="AC122" i="46"/>
  <c r="CB122" i="46"/>
  <c r="BA122" i="46"/>
  <c r="Z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AX121" i="46"/>
  <c r="Z121" i="46"/>
  <c r="BS121" i="46"/>
  <c r="W121" i="46"/>
  <c r="BP121" i="46"/>
  <c r="BM121" i="46"/>
  <c r="BJ121" i="46"/>
  <c r="AU121" i="46"/>
  <c r="CN121" i="46"/>
  <c r="CK121" i="46"/>
  <c r="CH121" i="46"/>
  <c r="AR121" i="46"/>
  <c r="AO121" i="46"/>
  <c r="AL121" i="46"/>
  <c r="T95" i="46"/>
  <c r="BY95" i="46"/>
  <c r="BA95" i="46"/>
  <c r="AC95" i="46"/>
  <c r="CH95" i="46"/>
  <c r="BJ95" i="46"/>
  <c r="AL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AU118" i="46"/>
  <c r="AX118" i="46"/>
  <c r="CN124" i="46"/>
  <c r="BP124" i="46"/>
  <c r="AR124" i="46"/>
  <c r="CK124" i="46"/>
  <c r="BM124" i="46"/>
  <c r="AO124" i="46"/>
  <c r="CH124" i="46"/>
  <c r="BJ124" i="46"/>
  <c r="AL124" i="46"/>
  <c r="AF124" i="46"/>
  <c r="BS124" i="46"/>
  <c r="AC124" i="46"/>
  <c r="BG124" i="46"/>
  <c r="Z124" i="46"/>
  <c r="BD124" i="46"/>
  <c r="W124" i="46"/>
  <c r="CB124" i="46"/>
  <c r="BY124" i="46"/>
  <c r="BA124" i="46"/>
  <c r="AX124" i="46"/>
  <c r="AU124" i="46"/>
  <c r="AI124" i="46"/>
  <c r="CE124" i="46"/>
  <c r="T97" i="46"/>
  <c r="BS97" i="46"/>
  <c r="AU97" i="46"/>
  <c r="W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Z94" i="46"/>
  <c r="BG94" i="46"/>
  <c r="W94" i="46"/>
  <c r="BD94" i="46"/>
  <c r="BA94" i="46"/>
  <c r="CK94" i="46"/>
  <c r="AX94" i="46"/>
  <c r="T91" i="46"/>
  <c r="CH91" i="46"/>
  <c r="BJ91" i="46"/>
  <c r="AL91" i="46"/>
  <c r="CE91" i="46"/>
  <c r="BG91" i="46"/>
  <c r="AI91" i="46"/>
  <c r="CB91" i="46"/>
  <c r="BD91" i="46"/>
  <c r="AF91" i="46"/>
  <c r="BY91" i="46"/>
  <c r="BA91" i="46"/>
  <c r="AC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AX116" i="46"/>
  <c r="AO116" i="46"/>
  <c r="AL116" i="46"/>
  <c r="T96" i="46"/>
  <c r="CB96" i="46"/>
  <c r="BD96" i="46"/>
  <c r="AF96" i="46"/>
  <c r="CK96" i="46"/>
  <c r="BJ96" i="46"/>
  <c r="AI96" i="46"/>
  <c r="CH96" i="46"/>
  <c r="BG96" i="46"/>
  <c r="AC96" i="46"/>
  <c r="BY96" i="46"/>
  <c r="AX96" i="46"/>
  <c r="W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P104" i="46"/>
  <c r="AU104" i="46"/>
  <c r="AO104" i="46"/>
  <c r="AL104" i="46"/>
  <c r="BY104" i="46"/>
  <c r="T123" i="46"/>
  <c r="BS123" i="46"/>
  <c r="AU123" i="46"/>
  <c r="W123" i="46"/>
  <c r="CK123" i="46"/>
  <c r="BJ123" i="46"/>
  <c r="AI123" i="46"/>
  <c r="CH123" i="46"/>
  <c r="BG123" i="46"/>
  <c r="AF123" i="46"/>
  <c r="CE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AR93" i="46"/>
  <c r="BP93" i="46"/>
  <c r="AO93" i="46"/>
  <c r="T108" i="46"/>
  <c r="BY108" i="46"/>
  <c r="BA108" i="46"/>
  <c r="AC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AU117" i="46"/>
  <c r="CK117" i="46"/>
  <c r="BJ117" i="46"/>
  <c r="AI117" i="46"/>
  <c r="CH117" i="46"/>
  <c r="AO117" i="46"/>
  <c r="CE117" i="46"/>
  <c r="AL117" i="46"/>
  <c r="CB117" i="46"/>
  <c r="AF117" i="46"/>
  <c r="BS117" i="46"/>
  <c r="AC117" i="46"/>
  <c r="BM117" i="46"/>
  <c r="Z117" i="46"/>
  <c r="BG117" i="46"/>
  <c r="BD117" i="46"/>
  <c r="BA117" i="46"/>
  <c r="BY84" i="46"/>
  <c r="BA84" i="46"/>
  <c r="AC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AX83" i="46"/>
  <c r="Z83" i="46"/>
  <c r="BS83" i="46"/>
  <c r="AU83" i="46"/>
  <c r="W83" i="46"/>
  <c r="CN83" i="46"/>
  <c r="BP83" i="46"/>
  <c r="AR83" i="46"/>
  <c r="AO83" i="46"/>
  <c r="CK83" i="46"/>
  <c r="BM83" i="46"/>
  <c r="T110" i="46"/>
  <c r="CB110" i="46"/>
  <c r="BD110" i="46"/>
  <c r="AF110" i="46"/>
  <c r="BY110" i="46"/>
  <c r="BA110" i="46"/>
  <c r="AC110" i="46"/>
  <c r="CE110" i="46"/>
  <c r="AU110" i="46"/>
  <c r="AR110" i="46"/>
  <c r="BS110" i="46"/>
  <c r="AO110" i="46"/>
  <c r="BP110" i="46"/>
  <c r="AL110" i="46"/>
  <c r="BM110" i="46"/>
  <c r="AI110" i="46"/>
  <c r="CK110" i="46"/>
  <c r="CH110" i="46"/>
  <c r="BJ110" i="46"/>
  <c r="BG110" i="46"/>
  <c r="AX110" i="46"/>
  <c r="Z110" i="46"/>
  <c r="W110" i="46"/>
  <c r="CN110" i="46"/>
  <c r="T92" i="46"/>
  <c r="BY92" i="46"/>
  <c r="BA92" i="46"/>
  <c r="AC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S113" i="46"/>
  <c r="BP113" i="46"/>
  <c r="AU113" i="46"/>
  <c r="AR113" i="46"/>
  <c r="AO113" i="46"/>
  <c r="T119" i="46"/>
  <c r="BY119" i="46"/>
  <c r="BA119" i="46"/>
  <c r="AC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Z86" i="46"/>
  <c r="BP86" i="46"/>
  <c r="BM86" i="46"/>
  <c r="BJ86" i="46"/>
  <c r="AX86" i="46"/>
  <c r="T81" i="46"/>
  <c r="CB81" i="46"/>
  <c r="BD81" i="46"/>
  <c r="AF81" i="46"/>
  <c r="BY81" i="46"/>
  <c r="BA81" i="46"/>
  <c r="AC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AX82" i="46"/>
  <c r="Z82" i="46"/>
  <c r="T109" i="46"/>
  <c r="CN109" i="46"/>
  <c r="BP109" i="46"/>
  <c r="AR109" i="46"/>
  <c r="CK109" i="46"/>
  <c r="BM109" i="46"/>
  <c r="AO109" i="46"/>
  <c r="CH109" i="46"/>
  <c r="BJ109" i="46"/>
  <c r="AL109" i="46"/>
  <c r="CE109" i="46"/>
  <c r="BG109" i="46"/>
  <c r="AI109" i="46"/>
  <c r="CB109" i="46"/>
  <c r="BD109" i="46"/>
  <c r="AF109" i="46"/>
  <c r="BS109" i="46"/>
  <c r="BA109" i="46"/>
  <c r="AX109" i="46"/>
  <c r="AU109" i="46"/>
  <c r="AC109" i="46"/>
  <c r="BY109" i="46"/>
  <c r="Z109" i="46"/>
  <c r="W109" i="46"/>
  <c r="T107" i="46"/>
  <c r="CH107" i="46"/>
  <c r="BJ107" i="46"/>
  <c r="AL107" i="46"/>
  <c r="BY107" i="46"/>
  <c r="BA107" i="46"/>
  <c r="AC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AU127" i="46"/>
  <c r="BS127" i="46"/>
  <c r="AR127" i="46"/>
  <c r="BP127" i="46"/>
  <c r="AO127" i="46"/>
  <c r="CH127" i="46"/>
  <c r="BM127" i="46"/>
  <c r="BJ127" i="46"/>
  <c r="BG127" i="46"/>
  <c r="AL127" i="46"/>
  <c r="AI127" i="46"/>
  <c r="CN127" i="46"/>
  <c r="AC127" i="46"/>
  <c r="CK127" i="46"/>
  <c r="T99" i="46"/>
  <c r="BY99" i="46"/>
  <c r="BA99" i="46"/>
  <c r="AC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T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W88" i="46"/>
  <c r="CN88" i="46"/>
  <c r="BS88" i="46"/>
  <c r="BP88" i="46"/>
  <c r="AX88" i="46"/>
  <c r="AU88" i="46"/>
  <c r="AR88" i="46"/>
  <c r="Z88" i="46"/>
  <c r="T111" i="46"/>
  <c r="BS111" i="46"/>
  <c r="AU111" i="46"/>
  <c r="W111" i="46"/>
  <c r="CN111" i="46"/>
  <c r="BP111" i="46"/>
  <c r="AR111" i="46"/>
  <c r="CH111" i="46"/>
  <c r="BJ111" i="46"/>
  <c r="AL111" i="46"/>
  <c r="BY111" i="46"/>
  <c r="AI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CH128" i="46" l="1"/>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20" i="45"/>
  <c r="BN47" i="45"/>
  <c r="BN11" i="45"/>
  <c r="BN26" i="45"/>
  <c r="BN14" i="45"/>
  <c r="BN33" i="45"/>
  <c r="BN24" i="45"/>
  <c r="BN39" i="45"/>
  <c r="BN31" i="45"/>
  <c r="BN19" i="45"/>
  <c r="BN29" i="45"/>
  <c r="BN38" i="45"/>
  <c r="BN23" i="45"/>
  <c r="BN12" i="45"/>
  <c r="BN5" i="45"/>
  <c r="BN21" i="45"/>
  <c r="BN28" i="45"/>
  <c r="BN27" i="45"/>
  <c r="BN41" i="45"/>
  <c r="BN42" i="45"/>
  <c r="BN4" i="45"/>
  <c r="BN16" i="45"/>
  <c r="BN17" i="45"/>
  <c r="BN34" i="45"/>
  <c r="BN51" i="45"/>
  <c r="BN6" i="45"/>
  <c r="BN15" i="45"/>
  <c r="BN36" i="45"/>
  <c r="BN30" i="45"/>
  <c r="BN44" i="45"/>
  <c r="BN48" i="45"/>
  <c r="BN50" i="45"/>
  <c r="BN8" i="45"/>
  <c r="BN9" i="45"/>
  <c r="BN7" i="45"/>
  <c r="BN32" i="45"/>
  <c r="BN45" i="45"/>
  <c r="BN43" i="45"/>
  <c r="BN49" i="45"/>
  <c r="BN13" i="45"/>
  <c r="BN10" i="45"/>
  <c r="BN25" i="45"/>
  <c r="BN22" i="45"/>
  <c r="BN35" i="45"/>
  <c r="BN37" i="45"/>
  <c r="BN46" i="45"/>
  <c r="BN40"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CN259" i="46" s="1"/>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V2" i="46" l="1"/>
  <c r="H24" i="50" l="1"/>
  <c r="H25" i="50"/>
  <c r="H23" i="50"/>
  <c r="H9" i="50"/>
  <c r="H20" i="50"/>
  <c r="H7" i="50"/>
  <c r="H18" i="50"/>
  <c r="H17" i="50"/>
  <c r="H10" i="50"/>
  <c r="H8" i="50"/>
  <c r="H6" i="50"/>
  <c r="H19" i="50"/>
  <c r="H12" i="50"/>
  <c r="H14" i="50"/>
  <c r="H4" i="50"/>
  <c r="H22" i="50"/>
  <c r="H16" i="50"/>
  <c r="H15" i="50"/>
  <c r="H27" i="50"/>
  <c r="H5" i="50"/>
  <c r="H11" i="50"/>
  <c r="H13" i="50"/>
  <c r="H26" i="50"/>
  <c r="H21" i="50"/>
  <c r="AM28" i="50" s="1"/>
  <c r="AL28" i="50" s="1"/>
  <c r="AK28" i="50" s="1"/>
  <c r="AJ28" i="50" s="1"/>
  <c r="AI28" i="50" s="1"/>
  <c r="AH28" i="50" s="1"/>
  <c r="AG28" i="50" s="1"/>
  <c r="AF28" i="50" s="1"/>
  <c r="AE28" i="50" s="1"/>
  <c r="AD28" i="50" s="1"/>
  <c r="AC28" i="50" s="1"/>
  <c r="AB28" i="50" s="1"/>
  <c r="AA28" i="50" s="1"/>
  <c r="Z28" i="50" s="1"/>
  <c r="Y28" i="50" s="1"/>
  <c r="X28" i="50" s="1"/>
  <c r="W28" i="50" s="1"/>
  <c r="V28" i="50" s="1"/>
  <c r="U28" i="50" s="1"/>
  <c r="T28" i="50" s="1"/>
  <c r="S28" i="50" s="1"/>
  <c r="R28" i="50" s="1"/>
  <c r="Q28" i="50" s="1"/>
  <c r="P28" i="50" s="1"/>
  <c r="O28" i="50" s="1"/>
  <c r="N28" i="50" s="1"/>
  <c r="M28" i="50" s="1"/>
  <c r="L28" i="50" s="1"/>
  <c r="K28" i="50" s="1"/>
  <c r="J28" i="50" s="1"/>
  <c r="I28" i="50" s="1"/>
  <c r="L6" i="50" l="1"/>
  <c r="AJ25" i="50"/>
  <c r="M4" i="50"/>
  <c r="AJ13" i="50"/>
  <c r="AK17" i="50"/>
  <c r="M21" i="50"/>
  <c r="K5" i="50"/>
  <c r="AI14" i="50"/>
  <c r="AH17" i="50"/>
  <c r="Y24" i="50"/>
  <c r="AF5" i="50"/>
  <c r="AK21" i="50"/>
  <c r="AF27" i="50"/>
  <c r="W12" i="50"/>
  <c r="X26" i="50"/>
  <c r="AL12" i="50"/>
  <c r="W25" i="50"/>
  <c r="N15" i="50"/>
  <c r="W20" i="50"/>
  <c r="T13" i="50"/>
  <c r="AL26" i="50"/>
  <c r="V20" i="50"/>
  <c r="K12" i="50"/>
  <c r="X13" i="50"/>
  <c r="AH16" i="50"/>
  <c r="N6" i="50"/>
  <c r="AJ21" i="50"/>
  <c r="AH13" i="50"/>
  <c r="AH5" i="50"/>
  <c r="L16" i="50"/>
  <c r="N4" i="50"/>
  <c r="AK12" i="50"/>
  <c r="M8" i="50"/>
  <c r="J18" i="50"/>
  <c r="M20" i="50"/>
  <c r="AG24" i="50"/>
  <c r="P27" i="50"/>
  <c r="I16" i="50"/>
  <c r="AJ4" i="50"/>
  <c r="K19" i="50"/>
  <c r="AH8" i="50"/>
  <c r="AG18" i="50"/>
  <c r="I9" i="50"/>
  <c r="AH24" i="50"/>
  <c r="O18" i="50"/>
  <c r="P26" i="50"/>
  <c r="N11" i="50"/>
  <c r="V27" i="50"/>
  <c r="Z16" i="50"/>
  <c r="X19" i="50"/>
  <c r="J8" i="50"/>
  <c r="Z18" i="50"/>
  <c r="Z9" i="50"/>
  <c r="L26" i="50"/>
  <c r="K11" i="50"/>
  <c r="AJ27" i="50"/>
  <c r="AF14" i="50"/>
  <c r="M19" i="50"/>
  <c r="W10" i="50"/>
  <c r="N9" i="50"/>
  <c r="AA21" i="50"/>
  <c r="AK26" i="50"/>
  <c r="Y11" i="50"/>
  <c r="AM27" i="50"/>
  <c r="L22" i="50"/>
  <c r="AA14" i="50"/>
  <c r="AI19" i="50"/>
  <c r="AJ10" i="50"/>
  <c r="AB7" i="50"/>
  <c r="AA23" i="50"/>
  <c r="AB11" i="50"/>
  <c r="X22" i="50"/>
  <c r="AM10" i="50"/>
  <c r="AG13" i="50"/>
  <c r="AL11" i="50"/>
  <c r="AK15" i="50"/>
  <c r="V22" i="50"/>
  <c r="AL14" i="50"/>
  <c r="AL6" i="50"/>
  <c r="AG7" i="50"/>
  <c r="AB23" i="50"/>
  <c r="AM5" i="50"/>
  <c r="P15" i="50"/>
  <c r="O4" i="50"/>
  <c r="Z21" i="50"/>
  <c r="O13" i="50"/>
  <c r="L15" i="50"/>
  <c r="M22" i="50"/>
  <c r="AB14" i="50"/>
  <c r="O6" i="50"/>
  <c r="Z17" i="50"/>
  <c r="X7" i="50"/>
  <c r="AH25" i="50"/>
  <c r="L21" i="50"/>
  <c r="M26" i="50"/>
  <c r="AI13" i="50"/>
  <c r="J13" i="50"/>
  <c r="X11" i="50"/>
  <c r="AG5" i="50"/>
  <c r="AL27" i="50"/>
  <c r="X15" i="50"/>
  <c r="AM16" i="50"/>
  <c r="AL22" i="50"/>
  <c r="I4" i="50"/>
  <c r="M14" i="50"/>
  <c r="Y12" i="50"/>
  <c r="AL19" i="50"/>
  <c r="AG8" i="50"/>
  <c r="AB10" i="50"/>
  <c r="AI17" i="50"/>
  <c r="Y18" i="50"/>
  <c r="U7" i="50"/>
  <c r="AL20" i="50"/>
  <c r="M9" i="50"/>
  <c r="S25" i="50"/>
  <c r="U24" i="50"/>
  <c r="AA26" i="50"/>
  <c r="M13" i="50"/>
  <c r="AB13" i="50"/>
  <c r="AM11" i="50"/>
  <c r="AL5" i="50"/>
  <c r="O27" i="50"/>
  <c r="Z15" i="50"/>
  <c r="K16" i="50"/>
  <c r="W4" i="50"/>
  <c r="AM14" i="50"/>
  <c r="AJ12" i="50"/>
  <c r="Z19" i="50"/>
  <c r="AB6" i="50"/>
  <c r="W8" i="50"/>
  <c r="Z10" i="50"/>
  <c r="K17" i="50"/>
  <c r="AL18" i="50"/>
  <c r="AM7" i="50"/>
  <c r="AK9" i="50"/>
  <c r="N25" i="50"/>
  <c r="T24" i="50"/>
  <c r="J22" i="50"/>
  <c r="Z4" i="50"/>
  <c r="V19" i="50"/>
  <c r="AH6" i="50"/>
  <c r="AK8" i="50"/>
  <c r="AJ17" i="50"/>
  <c r="AH18" i="50"/>
  <c r="M7" i="50"/>
  <c r="W9" i="50"/>
  <c r="K23" i="50"/>
  <c r="AK24" i="50"/>
  <c r="S10" i="50"/>
  <c r="W21" i="50"/>
  <c r="AB26" i="50"/>
  <c r="Y13" i="50"/>
  <c r="AJ11" i="50"/>
  <c r="AB5" i="50"/>
  <c r="T27" i="50"/>
  <c r="AH15" i="50"/>
  <c r="N16" i="50"/>
  <c r="AK22" i="50"/>
  <c r="AL4" i="50"/>
  <c r="AK14" i="50"/>
  <c r="M12" i="50"/>
  <c r="W19" i="50"/>
  <c r="K6" i="50"/>
  <c r="AM8" i="50"/>
  <c r="N10" i="50"/>
  <c r="AB17" i="50"/>
  <c r="AM18" i="50"/>
  <c r="I7" i="50"/>
  <c r="AG9" i="50"/>
  <c r="X23" i="50"/>
  <c r="M25" i="50"/>
  <c r="P21" i="50"/>
  <c r="T21" i="50"/>
  <c r="Z26" i="50"/>
  <c r="S13" i="50"/>
  <c r="Z11" i="50"/>
  <c r="AJ5" i="50"/>
  <c r="M27" i="50"/>
  <c r="AL15" i="50"/>
  <c r="V16" i="50"/>
  <c r="Y16" i="50"/>
  <c r="P22" i="50"/>
  <c r="L4" i="50"/>
  <c r="L14" i="50"/>
  <c r="AF12" i="50"/>
  <c r="V8" i="50"/>
  <c r="AL8" i="50"/>
  <c r="AK10" i="50"/>
  <c r="M17" i="50"/>
  <c r="N18" i="50"/>
  <c r="V7" i="50"/>
  <c r="P9" i="50"/>
  <c r="AL23" i="50"/>
  <c r="AA25" i="50"/>
  <c r="U13" i="50"/>
  <c r="AG27" i="50"/>
  <c r="V21" i="50"/>
  <c r="K21" i="50"/>
  <c r="AE26" i="50"/>
  <c r="I13" i="50"/>
  <c r="AG11" i="50"/>
  <c r="AK27" i="50"/>
  <c r="T15" i="50"/>
  <c r="AJ16" i="50"/>
  <c r="Y22" i="50"/>
  <c r="AH4" i="50"/>
  <c r="AG4" i="50"/>
  <c r="AI12" i="50"/>
  <c r="L12" i="50"/>
  <c r="AA19" i="50"/>
  <c r="AE8" i="50"/>
  <c r="AI8" i="50"/>
  <c r="P10" i="50"/>
  <c r="P18" i="50"/>
  <c r="AB20" i="50"/>
  <c r="AH9" i="50"/>
  <c r="AI23" i="50"/>
  <c r="I25" i="50"/>
  <c r="J21" i="50"/>
  <c r="N21" i="50"/>
  <c r="N26" i="50"/>
  <c r="AL13" i="50"/>
  <c r="O11" i="50"/>
  <c r="L5" i="50"/>
  <c r="W27" i="50"/>
  <c r="Y15" i="50"/>
  <c r="M16" i="50"/>
  <c r="K22" i="50"/>
  <c r="O14" i="50"/>
  <c r="J12" i="50"/>
  <c r="P12" i="50"/>
  <c r="P19" i="50"/>
  <c r="T8" i="50"/>
  <c r="Y10" i="50"/>
  <c r="X17" i="50"/>
  <c r="M18" i="50"/>
  <c r="W7" i="50"/>
  <c r="N20" i="50"/>
  <c r="V23" i="50"/>
  <c r="I24" i="50"/>
  <c r="AB21" i="50"/>
  <c r="AL21" i="50"/>
  <c r="K26" i="50"/>
  <c r="L13" i="50"/>
  <c r="AK11" i="50"/>
  <c r="M5" i="50"/>
  <c r="AI27" i="50"/>
  <c r="W15" i="50"/>
  <c r="O16" i="50"/>
  <c r="AM22" i="50"/>
  <c r="AB4" i="50"/>
  <c r="AH12" i="50"/>
  <c r="O19" i="50"/>
  <c r="P6" i="50"/>
  <c r="N8" i="50"/>
  <c r="I10" i="50"/>
  <c r="W17" i="50"/>
  <c r="AB18" i="50"/>
  <c r="AK7" i="50"/>
  <c r="Y20" i="50"/>
  <c r="AM9" i="50"/>
  <c r="AK23" i="50"/>
  <c r="M24" i="50"/>
  <c r="AC8" i="50"/>
  <c r="AD10" i="50"/>
  <c r="T6" i="50"/>
  <c r="U11" i="50"/>
  <c r="O25" i="50"/>
  <c r="AE24" i="50"/>
  <c r="AD26" i="50"/>
  <c r="V13" i="50"/>
  <c r="AF13" i="50"/>
  <c r="AG19" i="50"/>
  <c r="T19" i="50"/>
  <c r="AA6" i="50"/>
  <c r="R7" i="50"/>
  <c r="S20" i="50"/>
  <c r="O20" i="50"/>
  <c r="AM20" i="50"/>
  <c r="Q9" i="50"/>
  <c r="AI9" i="50"/>
  <c r="Q23" i="50"/>
  <c r="Z25" i="50"/>
  <c r="AE25" i="50"/>
  <c r="AM24" i="50"/>
  <c r="K24" i="50"/>
  <c r="P24" i="50"/>
  <c r="AC13" i="50"/>
  <c r="AD22" i="50"/>
  <c r="R19" i="50"/>
  <c r="AE27" i="50"/>
  <c r="AD17" i="50"/>
  <c r="AC20" i="50"/>
  <c r="AE20" i="50"/>
  <c r="S26" i="50"/>
  <c r="Q15" i="50"/>
  <c r="AD16" i="50"/>
  <c r="AC4" i="50"/>
  <c r="R6" i="50"/>
  <c r="AM21" i="50"/>
  <c r="J5" i="50"/>
  <c r="AH22" i="50"/>
  <c r="AD8" i="50"/>
  <c r="AH26" i="50"/>
  <c r="N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Q26" i="50"/>
  <c r="S11" i="50"/>
  <c r="R8" i="50"/>
  <c r="AC9" i="50"/>
  <c r="AE21" i="50"/>
  <c r="AC10" i="50"/>
  <c r="T10" i="50"/>
  <c r="J6" i="48"/>
  <c r="J8" i="48"/>
  <c r="J4" i="48"/>
  <c r="J7" i="48"/>
  <c r="J5" i="48"/>
  <c r="J25" i="48"/>
  <c r="J15" i="48"/>
  <c r="J19" i="48"/>
  <c r="J18" i="48"/>
  <c r="J13" i="48"/>
  <c r="J9" i="48"/>
  <c r="J17" i="48"/>
  <c r="J14" i="48"/>
  <c r="J20" i="48"/>
  <c r="J24" i="48"/>
  <c r="J22" i="48"/>
  <c r="J26" i="48"/>
  <c r="J23" i="48"/>
  <c r="J12" i="48"/>
  <c r="J28" i="48"/>
  <c r="J11" i="48"/>
  <c r="J16" i="48"/>
  <c r="J27" i="48"/>
  <c r="J10" i="48"/>
  <c r="J21" i="48"/>
  <c r="AC26" i="50"/>
  <c r="U5" i="50"/>
  <c r="T7"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4" i="48"/>
  <c r="W5" i="48"/>
  <c r="W8" i="48"/>
  <c r="W7" i="48"/>
  <c r="W11" i="48"/>
  <c r="W10" i="48"/>
  <c r="W20" i="48"/>
  <c r="W9" i="48"/>
  <c r="W12" i="48"/>
  <c r="W13" i="48"/>
  <c r="W23" i="48"/>
  <c r="W28" i="48"/>
  <c r="W21" i="48"/>
  <c r="W14" i="48"/>
  <c r="W22" i="48"/>
  <c r="W19" i="48"/>
  <c r="W17" i="48"/>
  <c r="W27" i="48"/>
  <c r="W26" i="48"/>
  <c r="W18" i="48"/>
  <c r="W24" i="48"/>
  <c r="W25" i="48"/>
  <c r="W16" i="48"/>
  <c r="W15" i="48"/>
  <c r="AI8" i="48"/>
  <c r="AI7" i="48"/>
  <c r="AI6" i="48"/>
  <c r="AI4" i="48"/>
  <c r="AI5" i="48"/>
  <c r="AI12" i="48"/>
  <c r="AI11" i="48"/>
  <c r="AI27" i="48"/>
  <c r="AI10" i="48"/>
  <c r="AI9" i="48"/>
  <c r="AI13" i="48"/>
  <c r="AI24" i="48"/>
  <c r="AI15" i="48"/>
  <c r="AI19" i="48"/>
  <c r="AI18" i="48"/>
  <c r="AI28" i="48"/>
  <c r="AI25" i="48"/>
  <c r="AI26" i="48"/>
  <c r="AI17" i="48"/>
  <c r="AI16" i="48"/>
  <c r="AI14" i="48"/>
  <c r="AI23" i="48"/>
  <c r="AI22" i="48"/>
  <c r="AI20" i="48"/>
  <c r="AI21" i="48"/>
  <c r="AF26" i="50"/>
  <c r="Q27" i="50"/>
  <c r="J10" i="50"/>
  <c r="AG17" i="50"/>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AC21" i="50"/>
  <c r="H7" i="48"/>
  <c r="H22" i="48"/>
  <c r="H18" i="48"/>
  <c r="H20" i="48"/>
  <c r="H13" i="48"/>
  <c r="H9" i="48"/>
  <c r="H19" i="48"/>
  <c r="H5" i="48"/>
  <c r="H14" i="48"/>
  <c r="H25" i="48"/>
  <c r="H23" i="48"/>
  <c r="H15" i="48"/>
  <c r="H12" i="48"/>
  <c r="H10" i="48"/>
  <c r="H11" i="48"/>
  <c r="H16" i="48"/>
  <c r="H24" i="48"/>
  <c r="H17" i="48"/>
  <c r="H4" i="48"/>
  <c r="H26" i="48"/>
  <c r="H27" i="48"/>
  <c r="H8" i="48"/>
  <c r="H6" i="48"/>
  <c r="H28" i="48"/>
  <c r="H21" i="48"/>
  <c r="T8" i="48"/>
  <c r="T7" i="48"/>
  <c r="T6" i="48"/>
  <c r="T5" i="48"/>
  <c r="T4" i="48"/>
  <c r="T23" i="48"/>
  <c r="T16" i="48"/>
  <c r="T27" i="48"/>
  <c r="T21" i="48"/>
  <c r="T22" i="48"/>
  <c r="T11" i="48"/>
  <c r="T12" i="48"/>
  <c r="T14" i="48"/>
  <c r="T28" i="48"/>
  <c r="T13" i="48"/>
  <c r="T10" i="48"/>
  <c r="T20" i="48"/>
  <c r="T26" i="48"/>
  <c r="T24" i="48"/>
  <c r="T15" i="48"/>
  <c r="T17" i="48"/>
  <c r="T25" i="48"/>
  <c r="T18" i="48"/>
  <c r="T19" i="48"/>
  <c r="T9" i="48"/>
  <c r="AF7" i="48"/>
  <c r="AF4" i="48"/>
  <c r="AF6" i="48"/>
  <c r="AF5" i="48"/>
  <c r="AF8" i="48"/>
  <c r="AF10" i="48"/>
  <c r="AF22" i="48"/>
  <c r="AF12" i="48"/>
  <c r="AF13" i="48"/>
  <c r="AF11" i="48"/>
  <c r="AF24" i="48"/>
  <c r="AF19" i="48"/>
  <c r="AF25" i="48"/>
  <c r="AF28" i="48"/>
  <c r="AF27" i="48"/>
  <c r="AF20" i="48"/>
  <c r="AF18" i="48"/>
  <c r="AF26" i="48"/>
  <c r="AF9" i="48"/>
  <c r="AF23" i="48"/>
  <c r="AF14" i="48"/>
  <c r="AF21" i="48"/>
  <c r="AF17" i="48"/>
  <c r="AF15" i="48"/>
  <c r="AF16" i="48"/>
  <c r="R12" i="50"/>
  <c r="S7" i="50"/>
  <c r="R24" i="50"/>
  <c r="AG14" i="50"/>
  <c r="AC17" i="50"/>
  <c r="T18" i="50"/>
  <c r="AD9" i="50"/>
  <c r="Q25" i="50"/>
  <c r="AH11" i="50"/>
  <c r="T11" i="50"/>
  <c r="AE16" i="50"/>
  <c r="S16" i="50"/>
  <c r="AA12" i="50"/>
  <c r="Q18" i="50"/>
  <c r="AC18" i="50"/>
  <c r="L4" i="48"/>
  <c r="L7" i="48"/>
  <c r="L6" i="48"/>
  <c r="L8" i="48"/>
  <c r="L5" i="48"/>
  <c r="L17" i="48"/>
  <c r="L11" i="48"/>
  <c r="L22" i="48"/>
  <c r="L10" i="48"/>
  <c r="L12" i="48"/>
  <c r="L25" i="48"/>
  <c r="L16" i="48"/>
  <c r="L15" i="48"/>
  <c r="L18" i="48"/>
  <c r="L26" i="48"/>
  <c r="L9" i="48"/>
  <c r="L13" i="48"/>
  <c r="L27" i="48"/>
  <c r="L21" i="48"/>
  <c r="L28" i="48"/>
  <c r="L14" i="48"/>
  <c r="L24" i="48"/>
  <c r="L20" i="48"/>
  <c r="L19" i="48"/>
  <c r="L23" i="48"/>
  <c r="X4" i="48"/>
  <c r="X7" i="48"/>
  <c r="X6" i="48"/>
  <c r="X8" i="48"/>
  <c r="X5" i="48"/>
  <c r="X28" i="48"/>
  <c r="X11" i="48"/>
  <c r="X22" i="48"/>
  <c r="X20" i="48"/>
  <c r="X17" i="48"/>
  <c r="X9" i="48"/>
  <c r="X24" i="48"/>
  <c r="X25" i="48"/>
  <c r="X19" i="48"/>
  <c r="X21" i="48"/>
  <c r="X23" i="48"/>
  <c r="X26" i="48"/>
  <c r="X18" i="48"/>
  <c r="X10" i="48"/>
  <c r="X13" i="48"/>
  <c r="X12" i="48"/>
  <c r="X15" i="48"/>
  <c r="X16" i="48"/>
  <c r="X27" i="48"/>
  <c r="X14" i="48"/>
  <c r="AJ6" i="48"/>
  <c r="AJ8" i="48"/>
  <c r="AJ7" i="48"/>
  <c r="AJ5" i="48"/>
  <c r="AJ4" i="48"/>
  <c r="AJ27" i="48"/>
  <c r="AJ14" i="48"/>
  <c r="AJ9" i="48"/>
  <c r="AJ11" i="48"/>
  <c r="AJ17" i="48"/>
  <c r="AJ28" i="48"/>
  <c r="AJ23" i="48"/>
  <c r="AJ26" i="48"/>
  <c r="AJ25" i="48"/>
  <c r="AJ12" i="48"/>
  <c r="AJ24" i="48"/>
  <c r="AJ19" i="48"/>
  <c r="AJ13" i="48"/>
  <c r="AJ15" i="48"/>
  <c r="AJ21" i="48"/>
  <c r="AJ10" i="48"/>
  <c r="AJ16" i="48"/>
  <c r="AJ18" i="48"/>
  <c r="AJ22" i="48"/>
  <c r="AJ20" i="48"/>
  <c r="M6" i="48"/>
  <c r="M7" i="48"/>
  <c r="M5" i="48"/>
  <c r="M4" i="48"/>
  <c r="M8" i="48"/>
  <c r="M20" i="48"/>
  <c r="M24" i="48"/>
  <c r="M17" i="48"/>
  <c r="M22" i="48"/>
  <c r="M14" i="48"/>
  <c r="M23" i="48"/>
  <c r="M26" i="48"/>
  <c r="M15" i="48"/>
  <c r="M25" i="48"/>
  <c r="M11" i="48"/>
  <c r="M13" i="48"/>
  <c r="M10" i="48"/>
  <c r="M18" i="48"/>
  <c r="M12" i="48"/>
  <c r="M21" i="48"/>
  <c r="M16" i="48"/>
  <c r="M28" i="48"/>
  <c r="M9" i="48"/>
  <c r="M27" i="48"/>
  <c r="M19" i="48"/>
  <c r="Y5" i="48"/>
  <c r="Y6" i="48"/>
  <c r="Y7" i="48"/>
  <c r="Y4" i="48"/>
  <c r="Y8" i="48"/>
  <c r="Y23" i="48"/>
  <c r="Y22" i="48"/>
  <c r="Y12" i="48"/>
  <c r="Y26" i="48"/>
  <c r="Y25" i="48"/>
  <c r="Y18" i="48"/>
  <c r="Y13" i="48"/>
  <c r="Y27" i="48"/>
  <c r="Y14" i="48"/>
  <c r="Y15" i="48"/>
  <c r="Y24" i="48"/>
  <c r="Y21" i="48"/>
  <c r="Y16" i="48"/>
  <c r="Y28" i="48"/>
  <c r="Y11" i="48"/>
  <c r="Y10" i="48"/>
  <c r="Y20" i="48"/>
  <c r="Y19" i="48"/>
  <c r="Y17" i="48"/>
  <c r="Y9" i="48"/>
  <c r="AK7" i="48"/>
  <c r="AK5" i="48"/>
  <c r="AK8" i="48"/>
  <c r="AK4" i="48"/>
  <c r="AK6" i="48"/>
  <c r="AK22" i="48"/>
  <c r="AK25" i="48"/>
  <c r="AK10" i="48"/>
  <c r="AK27" i="48"/>
  <c r="AK15" i="48"/>
  <c r="AK12" i="48"/>
  <c r="AK11" i="48"/>
  <c r="AK9" i="48"/>
  <c r="AK24" i="48"/>
  <c r="AK17" i="48"/>
  <c r="AK19" i="48"/>
  <c r="AK21" i="48"/>
  <c r="AK18" i="48"/>
  <c r="AK16" i="48"/>
  <c r="AK14" i="48"/>
  <c r="AK20" i="48"/>
  <c r="AK23" i="48"/>
  <c r="AK13" i="48"/>
  <c r="AK26" i="48"/>
  <c r="AK28" i="48"/>
  <c r="N8" i="48"/>
  <c r="N6" i="48"/>
  <c r="N7" i="48"/>
  <c r="N4" i="48"/>
  <c r="N5" i="48"/>
  <c r="N22" i="48"/>
  <c r="N26" i="48"/>
  <c r="N21" i="48"/>
  <c r="N27" i="48"/>
  <c r="N15" i="48"/>
  <c r="N25" i="48"/>
  <c r="N24" i="48"/>
  <c r="N18" i="48"/>
  <c r="N12" i="48"/>
  <c r="N28" i="48"/>
  <c r="N9" i="48"/>
  <c r="N16" i="48"/>
  <c r="N13" i="48"/>
  <c r="N11" i="48"/>
  <c r="N14" i="48"/>
  <c r="N17" i="48"/>
  <c r="N20" i="48"/>
  <c r="N23" i="48"/>
  <c r="N10" i="48"/>
  <c r="N19" i="48"/>
  <c r="Z6" i="48"/>
  <c r="Z7" i="48"/>
  <c r="Z4" i="48"/>
  <c r="Z8" i="48"/>
  <c r="Z5" i="48"/>
  <c r="Z21" i="48"/>
  <c r="Z12" i="48"/>
  <c r="Z26" i="48"/>
  <c r="Z14" i="48"/>
  <c r="Z16" i="48"/>
  <c r="Z20" i="48"/>
  <c r="Z28" i="48"/>
  <c r="Z23" i="48"/>
  <c r="Z19" i="48"/>
  <c r="Z25" i="48"/>
  <c r="Z17" i="48"/>
  <c r="Z15" i="48"/>
  <c r="Z22" i="48"/>
  <c r="Z27" i="48"/>
  <c r="Z18" i="48"/>
  <c r="Z10" i="48"/>
  <c r="Z24" i="48"/>
  <c r="Z11" i="48"/>
  <c r="Z9" i="48"/>
  <c r="Z13" i="48"/>
  <c r="AL7" i="48"/>
  <c r="AL5" i="48"/>
  <c r="AL6" i="48"/>
  <c r="AL4" i="48"/>
  <c r="AL8" i="48"/>
  <c r="AL24" i="48"/>
  <c r="AL27" i="48"/>
  <c r="AL10" i="48"/>
  <c r="AL21" i="48"/>
  <c r="AL16" i="48"/>
  <c r="AL25" i="48"/>
  <c r="AL19" i="48"/>
  <c r="AL22" i="48"/>
  <c r="AL28" i="48"/>
  <c r="AL20" i="48"/>
  <c r="AL15" i="48"/>
  <c r="AL9" i="48"/>
  <c r="AL12" i="48"/>
  <c r="AL11" i="48"/>
  <c r="AL23" i="48"/>
  <c r="AL17" i="48"/>
  <c r="AL14" i="48"/>
  <c r="AL26" i="48"/>
  <c r="AL13"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5" i="48"/>
  <c r="S7" i="48"/>
  <c r="S4" i="48"/>
  <c r="S8" i="48"/>
  <c r="S6" i="48"/>
  <c r="S24" i="48"/>
  <c r="S28" i="48"/>
  <c r="S18" i="48"/>
  <c r="S23" i="48"/>
  <c r="S9" i="48"/>
  <c r="S13" i="48"/>
  <c r="S25" i="48"/>
  <c r="S27" i="48"/>
  <c r="S10" i="48"/>
  <c r="S19" i="48"/>
  <c r="S22" i="48"/>
  <c r="S20" i="48"/>
  <c r="S21" i="48"/>
  <c r="S17" i="48"/>
  <c r="S11" i="48"/>
  <c r="S26" i="48"/>
  <c r="S14" i="48"/>
  <c r="S12" i="48"/>
  <c r="S16" i="48"/>
  <c r="S15" i="48"/>
  <c r="AE7" i="48"/>
  <c r="AE6" i="48"/>
  <c r="AE5" i="48"/>
  <c r="AE4" i="48"/>
  <c r="AE8" i="48"/>
  <c r="AE14" i="48"/>
  <c r="AE21" i="48"/>
  <c r="AE22" i="48"/>
  <c r="AE10" i="48"/>
  <c r="AE11" i="48"/>
  <c r="AE12" i="48"/>
  <c r="AE16" i="48"/>
  <c r="AE28" i="48"/>
  <c r="AE23" i="48"/>
  <c r="AE20" i="48"/>
  <c r="AE13" i="48"/>
  <c r="AE15" i="48"/>
  <c r="AE25" i="48"/>
  <c r="AE9" i="48"/>
  <c r="AE27" i="48"/>
  <c r="AE18" i="48"/>
  <c r="AE26" i="48"/>
  <c r="AE17" i="48"/>
  <c r="AE24" i="48"/>
  <c r="AE19" i="48"/>
  <c r="AC22" i="50"/>
  <c r="T9" i="50"/>
  <c r="S9" i="50"/>
  <c r="S23" i="50"/>
  <c r="AD13" i="50"/>
  <c r="AC16" i="50"/>
  <c r="AE12" i="50"/>
  <c r="AF20" i="50"/>
  <c r="AA24" i="50"/>
  <c r="J27" i="50"/>
  <c r="R15" i="50"/>
  <c r="AF15" i="50"/>
  <c r="T4" i="50"/>
  <c r="R14" i="50"/>
  <c r="AH14" i="50"/>
  <c r="V10" i="50"/>
  <c r="I21" i="50"/>
  <c r="R21" i="50"/>
  <c r="O5" i="48"/>
  <c r="O6" i="48"/>
  <c r="O8" i="48"/>
  <c r="O4" i="48"/>
  <c r="O7" i="48"/>
  <c r="O9" i="48"/>
  <c r="O26" i="48"/>
  <c r="O17" i="48"/>
  <c r="O16" i="48"/>
  <c r="O14" i="48"/>
  <c r="O27" i="48"/>
  <c r="O22" i="48"/>
  <c r="O24" i="48"/>
  <c r="O23" i="48"/>
  <c r="O19" i="48"/>
  <c r="O21" i="48"/>
  <c r="O18" i="48"/>
  <c r="O15" i="48"/>
  <c r="O20" i="48"/>
  <c r="O10" i="48"/>
  <c r="O28" i="48"/>
  <c r="O12" i="48"/>
  <c r="O13" i="48"/>
  <c r="O11" i="48"/>
  <c r="O25" i="48"/>
  <c r="AA4" i="48"/>
  <c r="AA7" i="48"/>
  <c r="AA8" i="48"/>
  <c r="AA5" i="48"/>
  <c r="AA6" i="48"/>
  <c r="AA16" i="48"/>
  <c r="AA13" i="48"/>
  <c r="AA20" i="48"/>
  <c r="AA9" i="48"/>
  <c r="AA25" i="48"/>
  <c r="AA26" i="48"/>
  <c r="AA21" i="48"/>
  <c r="AA14" i="48"/>
  <c r="AA23" i="48"/>
  <c r="AA12" i="48"/>
  <c r="AA11" i="48"/>
  <c r="AA18" i="48"/>
  <c r="AA27" i="48"/>
  <c r="AA28" i="48"/>
  <c r="AA10" i="48"/>
  <c r="AA22" i="48"/>
  <c r="AA15" i="48"/>
  <c r="AA19" i="48"/>
  <c r="AA24"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R5" i="48"/>
  <c r="R4" i="48"/>
  <c r="R7" i="48"/>
  <c r="R8" i="48"/>
  <c r="R6" i="48"/>
  <c r="R21" i="48"/>
  <c r="R16" i="48"/>
  <c r="R9" i="48"/>
  <c r="R22" i="48"/>
  <c r="R17" i="48"/>
  <c r="R14" i="48"/>
  <c r="R15" i="48"/>
  <c r="R25" i="48"/>
  <c r="R18" i="48"/>
  <c r="R19" i="48"/>
  <c r="R27" i="48"/>
  <c r="R24" i="48"/>
  <c r="R10" i="48"/>
  <c r="R11" i="48"/>
  <c r="R28" i="48"/>
  <c r="R26" i="48"/>
  <c r="R12" i="48"/>
  <c r="R13" i="48"/>
  <c r="R23" i="48"/>
  <c r="R20" i="48"/>
  <c r="AD8" i="48"/>
  <c r="AD5" i="48"/>
  <c r="AD6" i="48"/>
  <c r="AD4" i="48"/>
  <c r="AD7" i="48"/>
  <c r="AD21" i="48"/>
  <c r="AD27" i="48"/>
  <c r="AD20" i="48"/>
  <c r="AD12" i="48"/>
  <c r="AD11" i="48"/>
  <c r="AD22" i="48"/>
  <c r="AD19" i="48"/>
  <c r="AD25" i="48"/>
  <c r="AD9" i="48"/>
  <c r="AD16" i="48"/>
  <c r="AD26" i="48"/>
  <c r="AD10" i="48"/>
  <c r="AD23" i="48"/>
  <c r="AD17" i="48"/>
  <c r="AD13" i="48"/>
  <c r="AD15" i="48"/>
  <c r="AD18" i="48"/>
  <c r="AD24" i="48"/>
  <c r="AD28" i="48"/>
  <c r="AD14" i="48"/>
  <c r="AD27" i="50"/>
  <c r="R23" i="50"/>
  <c r="AF22" i="50"/>
  <c r="S22" i="50"/>
  <c r="Q19" i="50"/>
  <c r="Q6" i="50"/>
  <c r="AC27" i="50"/>
  <c r="AE15" i="50"/>
  <c r="T26" i="50"/>
  <c r="J11" i="50"/>
  <c r="S27" i="50"/>
  <c r="AE4" i="50"/>
  <c r="K4" i="50"/>
  <c r="V4" i="50"/>
  <c r="AD19" i="50"/>
  <c r="AC19"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AD5" i="50"/>
  <c r="Q12" i="50"/>
  <c r="R17" i="50"/>
  <c r="AD23" i="50"/>
  <c r="AD21" i="50"/>
  <c r="R4" i="50"/>
  <c r="S19" i="50"/>
  <c r="AE18" i="50"/>
  <c r="I4" i="48"/>
  <c r="I8" i="48"/>
  <c r="I5" i="48"/>
  <c r="I6" i="48"/>
  <c r="I7" i="48"/>
  <c r="I10" i="48"/>
  <c r="I27" i="48"/>
  <c r="I23" i="48"/>
  <c r="I16" i="48"/>
  <c r="I20" i="48"/>
  <c r="I18" i="48"/>
  <c r="I15" i="48"/>
  <c r="I17" i="48"/>
  <c r="I28" i="48"/>
  <c r="I24" i="48"/>
  <c r="I21" i="48"/>
  <c r="I19" i="48"/>
  <c r="I25" i="48"/>
  <c r="I12" i="48"/>
  <c r="I9" i="48"/>
  <c r="I14" i="48"/>
  <c r="I26" i="48"/>
  <c r="I11" i="48"/>
  <c r="I13" i="48"/>
  <c r="I22" i="48"/>
  <c r="U7" i="48"/>
  <c r="U4" i="48"/>
  <c r="U5" i="48"/>
  <c r="U6" i="48"/>
  <c r="U8" i="48"/>
  <c r="U23" i="48"/>
  <c r="U27" i="48"/>
  <c r="U22" i="48"/>
  <c r="U9" i="48"/>
  <c r="U20" i="48"/>
  <c r="U17" i="48"/>
  <c r="U11" i="48"/>
  <c r="U26" i="48"/>
  <c r="U28" i="48"/>
  <c r="U16" i="48"/>
  <c r="U13" i="48"/>
  <c r="U24" i="48"/>
  <c r="U10" i="48"/>
  <c r="U25" i="48"/>
  <c r="U21" i="48"/>
  <c r="U12" i="48"/>
  <c r="U18" i="48"/>
  <c r="U15" i="48"/>
  <c r="U14" i="48"/>
  <c r="U19" i="48"/>
  <c r="AG8" i="48"/>
  <c r="AG7" i="48"/>
  <c r="AG4" i="48"/>
  <c r="AG6" i="48"/>
  <c r="AG5" i="48"/>
  <c r="AG11" i="48"/>
  <c r="AG10" i="48"/>
  <c r="AG25" i="48"/>
  <c r="AG13" i="48"/>
  <c r="AG14" i="48"/>
  <c r="AG24" i="48"/>
  <c r="AG26" i="48"/>
  <c r="AG12" i="48"/>
  <c r="AG20" i="48"/>
  <c r="AG18" i="48"/>
  <c r="AG22" i="48"/>
  <c r="AG21" i="48"/>
  <c r="AG16" i="48"/>
  <c r="AG9" i="48"/>
  <c r="AG15" i="48"/>
  <c r="AG28" i="48"/>
  <c r="AG27" i="48"/>
  <c r="AG19" i="48"/>
  <c r="AG17" i="48"/>
  <c r="AG23" i="48"/>
  <c r="AF11" i="50"/>
  <c r="S14" i="50"/>
  <c r="Q8" i="50"/>
  <c r="V4" i="48"/>
  <c r="V8" i="48"/>
  <c r="V5" i="48"/>
  <c r="V7" i="48"/>
  <c r="V6" i="48"/>
  <c r="V24" i="48"/>
  <c r="V14" i="48"/>
  <c r="V18" i="48"/>
  <c r="V21" i="48"/>
  <c r="V28" i="48"/>
  <c r="V22" i="48"/>
  <c r="V15" i="48"/>
  <c r="V20" i="48"/>
  <c r="V12" i="48"/>
  <c r="V13" i="48"/>
  <c r="V9" i="48"/>
  <c r="V26" i="48"/>
  <c r="V23" i="48"/>
  <c r="V17" i="48"/>
  <c r="V11" i="48"/>
  <c r="V10" i="48"/>
  <c r="V19" i="48"/>
  <c r="V25" i="48"/>
  <c r="V16" i="48"/>
  <c r="V27" i="48"/>
  <c r="AH5" i="48"/>
  <c r="AH8" i="48"/>
  <c r="AH7" i="48"/>
  <c r="AH4" i="48"/>
  <c r="AH6" i="48"/>
  <c r="AH27" i="48"/>
  <c r="AH19" i="48"/>
  <c r="AH21" i="48"/>
  <c r="AH28" i="48"/>
  <c r="AH15" i="48"/>
  <c r="AH23" i="48"/>
  <c r="AH9" i="48"/>
  <c r="AH25" i="48"/>
  <c r="AH16" i="48"/>
  <c r="AH14" i="48"/>
  <c r="AH20" i="48"/>
  <c r="AH17" i="48"/>
  <c r="AH22" i="48"/>
  <c r="AH11" i="48"/>
  <c r="AH13" i="48"/>
  <c r="AH12" i="48"/>
  <c r="AH24" i="48"/>
  <c r="AH26" i="48"/>
  <c r="AH10" i="48"/>
  <c r="AH18" i="48"/>
  <c r="AG15" i="50"/>
  <c r="P6" i="48"/>
  <c r="P7" i="48"/>
  <c r="P4" i="48"/>
  <c r="P5" i="48"/>
  <c r="P8" i="48"/>
  <c r="P19" i="48"/>
  <c r="P13" i="48"/>
  <c r="P11" i="48"/>
  <c r="P24" i="48"/>
  <c r="P14" i="48"/>
  <c r="P21" i="48"/>
  <c r="P23" i="48"/>
  <c r="P26" i="48"/>
  <c r="P15" i="48"/>
  <c r="P12" i="48"/>
  <c r="P18" i="48"/>
  <c r="P25" i="48"/>
  <c r="P28" i="48"/>
  <c r="P16" i="48"/>
  <c r="P22" i="48"/>
  <c r="P27" i="48"/>
  <c r="P20" i="48"/>
  <c r="P17" i="48"/>
  <c r="P10" i="48"/>
  <c r="P9" i="48"/>
  <c r="AB8" i="48"/>
  <c r="AB5" i="48"/>
  <c r="AB7" i="48"/>
  <c r="AB4" i="48"/>
  <c r="AB6" i="48"/>
  <c r="AB19" i="48"/>
  <c r="AB21" i="48"/>
  <c r="AB20" i="48"/>
  <c r="AB27" i="48"/>
  <c r="AB9" i="48"/>
  <c r="AB24" i="48"/>
  <c r="AB15" i="48"/>
  <c r="AB10" i="48"/>
  <c r="AB17" i="48"/>
  <c r="AB28" i="48"/>
  <c r="AB23" i="48"/>
  <c r="AB11" i="48"/>
  <c r="AB26" i="48"/>
  <c r="AB12" i="48"/>
  <c r="AB13" i="48"/>
  <c r="AB18" i="48"/>
  <c r="AB14" i="48"/>
  <c r="AB25" i="48"/>
  <c r="AB22" i="48"/>
  <c r="AB16" i="48"/>
  <c r="AC5" i="50"/>
  <c r="S5" i="50"/>
  <c r="AM15" i="50"/>
  <c r="AE22" i="50"/>
  <c r="AE14" i="50"/>
  <c r="S12" i="50"/>
  <c r="Q6" i="48"/>
  <c r="Q4" i="48"/>
  <c r="Q7" i="48"/>
  <c r="Q8" i="48"/>
  <c r="Q5" i="48"/>
  <c r="Q9" i="48"/>
  <c r="Q23" i="48"/>
  <c r="Q10" i="48"/>
  <c r="Q24" i="48"/>
  <c r="Q14" i="48"/>
  <c r="Q15" i="48"/>
  <c r="Q28" i="48"/>
  <c r="Q11" i="48"/>
  <c r="Q21" i="48"/>
  <c r="Q17" i="48"/>
  <c r="Q22" i="48"/>
  <c r="Q19" i="48"/>
  <c r="Q13" i="48"/>
  <c r="Q16" i="48"/>
  <c r="Q25" i="48"/>
  <c r="Q18" i="48"/>
  <c r="Q27" i="48"/>
  <c r="Q12" i="48"/>
  <c r="Q20" i="48"/>
  <c r="Q26" i="48"/>
  <c r="AC4" i="48"/>
  <c r="AC6" i="48"/>
  <c r="AC8" i="48"/>
  <c r="AC7" i="48"/>
  <c r="AC5" i="48"/>
  <c r="AC20" i="48"/>
  <c r="AC24" i="48"/>
  <c r="AC28" i="48"/>
  <c r="AC10" i="48"/>
  <c r="AC18" i="48"/>
  <c r="AC16" i="48"/>
  <c r="AC12" i="48"/>
  <c r="AC13" i="48"/>
  <c r="AC19" i="48"/>
  <c r="AC26" i="48"/>
  <c r="AC23" i="48"/>
  <c r="AC21" i="48"/>
  <c r="AC9" i="48"/>
  <c r="AC11" i="48"/>
  <c r="AC27" i="48"/>
  <c r="AC15" i="48"/>
  <c r="AC17" i="48"/>
  <c r="AC25" i="48"/>
  <c r="AC22" i="48"/>
  <c r="AC14"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R26" i="50"/>
  <c r="R13" i="50"/>
  <c r="AE11" i="50"/>
  <c r="AE5" i="50"/>
  <c r="R27" i="50"/>
  <c r="AD15" i="50"/>
  <c r="S15" i="50"/>
  <c r="R22" i="50"/>
  <c r="T22" i="50"/>
  <c r="T14" i="50"/>
  <c r="U12" i="50"/>
  <c r="I19" i="50"/>
  <c r="AC6" i="50"/>
  <c r="AF6" i="50"/>
  <c r="S8" i="50"/>
  <c r="AA18" i="50"/>
  <c r="AF7" i="50"/>
  <c r="AA7" i="50"/>
  <c r="Q7" i="50"/>
  <c r="AI20" i="50"/>
  <c r="AA9" i="50"/>
  <c r="K9" i="50"/>
  <c r="Y23" i="50"/>
  <c r="AG23" i="50"/>
  <c r="AF23" i="50"/>
  <c r="J25" i="50"/>
  <c r="R25" i="50"/>
  <c r="Z24" i="50"/>
  <c r="V24" i="50"/>
  <c r="AD24" i="50"/>
  <c r="BV37" i="46" l="1"/>
  <c r="BV12" i="46"/>
  <c r="BV30" i="46"/>
  <c r="BV13" i="46"/>
  <c r="BV63" i="46"/>
  <c r="BV55" i="46"/>
  <c r="BV10" i="46"/>
  <c r="BV9" i="46"/>
  <c r="BV35" i="46"/>
  <c r="BV36" i="46"/>
  <c r="BV32" i="46"/>
  <c r="BV57" i="46" l="1"/>
  <c r="BV31" i="46"/>
  <c r="BV18" i="46"/>
  <c r="BV15" i="46"/>
  <c r="BV54" i="46"/>
  <c r="BV11" i="46"/>
  <c r="BV58" i="46"/>
  <c r="BV56" i="46"/>
  <c r="BV65" i="46"/>
  <c r="BV19" i="46"/>
  <c r="BV8" i="46"/>
  <c r="BV34" i="46"/>
  <c r="BV38" i="46"/>
  <c r="BV39" i="46"/>
  <c r="BV62" i="46"/>
  <c r="BV41" i="46"/>
  <c r="BV59" i="46"/>
  <c r="BV17" i="46"/>
  <c r="BV16" i="46"/>
  <c r="BV40" i="46"/>
  <c r="BV64" i="46"/>
  <c r="BV61" i="46"/>
  <c r="BV60" i="46"/>
  <c r="BV14" i="46"/>
  <c r="BV33" i="46"/>
  <c r="BV78" i="46" l="1"/>
  <c r="BV83" i="46" l="1"/>
  <c r="BV88" i="46" l="1"/>
  <c r="BV90" i="46"/>
  <c r="BV91" i="46"/>
  <c r="BV89" i="46"/>
  <c r="BV95" i="46"/>
  <c r="BV94" i="46"/>
  <c r="BV93" i="46"/>
  <c r="BV92" i="46"/>
  <c r="BV80" i="46"/>
  <c r="BV81" i="46"/>
  <c r="BV87" i="46"/>
  <c r="BV86" i="46"/>
  <c r="BV85" i="46"/>
  <c r="BV84" i="46"/>
  <c r="BV82" i="46"/>
  <c r="BV99" i="46"/>
  <c r="BV98" i="46"/>
  <c r="BV97" i="46"/>
  <c r="BV96" i="46"/>
  <c r="BV124" i="46" l="1"/>
  <c r="BV126" i="46"/>
  <c r="BV127" i="46"/>
  <c r="BV125" i="46"/>
  <c r="BV119" i="46"/>
  <c r="BV118" i="46"/>
  <c r="BV117" i="46"/>
  <c r="BV116" i="46"/>
  <c r="BV107" i="46"/>
  <c r="BV106" i="46"/>
  <c r="BV105" i="46"/>
  <c r="BV104" i="46"/>
  <c r="BV111" i="46"/>
  <c r="BV110" i="46"/>
  <c r="BV109" i="46"/>
  <c r="BV108" i="46"/>
  <c r="BV112" i="46"/>
  <c r="BV114" i="46"/>
  <c r="BV115" i="46"/>
  <c r="BV113" i="46"/>
  <c r="BV123" i="46"/>
  <c r="BV122" i="46"/>
  <c r="BV121" i="46"/>
  <c r="BV120" i="46"/>
  <c r="BV102" i="46"/>
  <c r="BV101" i="46"/>
  <c r="BV100" i="46"/>
  <c r="BV103" i="46"/>
  <c r="BV128" i="46" l="1"/>
  <c r="BU4" i="46"/>
  <c r="BU2" i="46" l="1"/>
  <c r="BU3" i="46"/>
  <c r="S3" i="46"/>
  <c r="CG3" i="46"/>
  <c r="CJ3" i="46"/>
  <c r="AK3" i="46"/>
  <c r="Y3" i="46"/>
  <c r="BF3" i="46"/>
  <c r="BC3" i="46"/>
  <c r="AQ3" i="46"/>
  <c r="BL3" i="46"/>
  <c r="AZ3" i="46"/>
  <c r="BI3" i="46"/>
  <c r="AE3" i="46"/>
  <c r="CD3" i="46"/>
  <c r="BO3" i="46"/>
  <c r="BR3" i="46"/>
  <c r="CM3" i="46"/>
  <c r="AB3" i="46"/>
  <c r="BX3" i="46"/>
  <c r="AW3" i="46"/>
  <c r="V3" i="46"/>
  <c r="AH3" i="46"/>
  <c r="AN3" i="46"/>
  <c r="CA3" i="46"/>
  <c r="AT3" i="46"/>
  <c r="AK1" i="46" l="1"/>
  <c r="AZ1" i="46"/>
  <c r="CG1" i="46"/>
  <c r="CJ1" i="46"/>
  <c r="AH1" i="46"/>
  <c r="BU1" i="46"/>
  <c r="AN1" i="46"/>
  <c r="CA1" i="46"/>
  <c r="AB1" i="46"/>
  <c r="BI1" i="46"/>
  <c r="CM1" i="46"/>
  <c r="Y1" i="46"/>
  <c r="S1" i="46"/>
  <c r="AT1" i="46"/>
  <c r="BX1" i="46"/>
  <c r="BL1" i="46"/>
  <c r="BC1" i="46"/>
  <c r="BO1" i="46"/>
  <c r="AW1" i="46"/>
  <c r="AE1" i="46"/>
  <c r="BF1" i="46"/>
  <c r="CD1" i="46"/>
  <c r="V1" i="46"/>
  <c r="BR1" i="46"/>
  <c r="AQ1" i="46"/>
  <c r="H5" i="47" l="1" a="1"/>
  <c r="H5" i="47" s="1"/>
  <c r="R14" i="47" a="1"/>
  <c r="R14" i="47" s="1"/>
  <c r="Q10" i="47" a="1"/>
  <c r="Q10" i="47" s="1"/>
  <c r="Q7" i="47" a="1"/>
  <c r="Q7" i="47" s="1"/>
  <c r="N10" i="47" a="1"/>
  <c r="N10" i="47" s="1"/>
  <c r="S5" i="47" a="1"/>
  <c r="S5" i="47" s="1"/>
  <c r="N14" i="47" a="1"/>
  <c r="N14" i="47" s="1"/>
  <c r="K12" i="47" a="1"/>
  <c r="K12" i="47" s="1"/>
  <c r="L23" i="47" a="1"/>
  <c r="L23" i="47" s="1"/>
  <c r="R19" i="47" a="1"/>
  <c r="R19" i="47" s="1"/>
  <c r="M26" i="47" a="1"/>
  <c r="M26" i="47" s="1"/>
  <c r="M27" i="47" a="1"/>
  <c r="M27" i="47" s="1"/>
  <c r="Q19" i="47" a="1"/>
  <c r="Q19" i="47" s="1"/>
  <c r="L22" i="47" a="1"/>
  <c r="L22" i="47" s="1"/>
  <c r="I8" i="47" a="1"/>
  <c r="I8" i="47" s="1"/>
  <c r="G7" i="47" a="1"/>
  <c r="G7" i="47" s="1"/>
  <c r="E6" i="47" a="1"/>
  <c r="E6" i="47" s="1"/>
  <c r="G8" i="47" a="1"/>
  <c r="G8" i="47" s="1"/>
  <c r="C9" i="47"/>
  <c r="B21" i="47"/>
  <c r="I9" i="47" a="1"/>
  <c r="I9" i="47" s="1"/>
  <c r="G26" i="47" a="1"/>
  <c r="G26" i="47" s="1"/>
  <c r="C22" i="47"/>
  <c r="F20" i="47" a="1"/>
  <c r="F20" i="47" s="1"/>
  <c r="E21" i="47" a="1"/>
  <c r="E21" i="47" s="1"/>
  <c r="B20" i="47"/>
  <c r="J9" i="47" a="1"/>
  <c r="J9" i="47" s="1"/>
  <c r="K28" i="47" a="1"/>
  <c r="K28" i="47" s="1"/>
  <c r="I23" i="47" a="1"/>
  <c r="I23" i="47" s="1"/>
  <c r="O16" i="47" a="1"/>
  <c r="O16" i="47" s="1"/>
  <c r="E25" i="47" a="1"/>
  <c r="E25" i="47" s="1"/>
  <c r="F27" i="47" a="1"/>
  <c r="F27" i="47" s="1"/>
  <c r="C23" i="47"/>
  <c r="H10" i="47" a="1"/>
  <c r="H10" i="47" s="1"/>
  <c r="S10" i="47" a="1"/>
  <c r="S10" i="47" s="1"/>
  <c r="E26" i="47" a="1"/>
  <c r="E26" i="47" s="1"/>
  <c r="J10" i="47" a="1"/>
  <c r="J10" i="47" s="1"/>
  <c r="B17" i="47"/>
  <c r="P20" i="47" a="1"/>
  <c r="P20" i="47" s="1"/>
  <c r="M5" i="47" a="1"/>
  <c r="M5" i="47" s="1"/>
  <c r="F5" i="47" a="1"/>
  <c r="F5" i="47" s="1"/>
  <c r="J5" i="47" a="1"/>
  <c r="J5" i="47" s="1"/>
  <c r="S6" i="47" a="1"/>
  <c r="S6" i="47" s="1"/>
  <c r="R8" i="47" a="1"/>
  <c r="R8" i="47" s="1"/>
  <c r="O13" i="47" a="1"/>
  <c r="O13" i="47" s="1"/>
  <c r="R7" i="47" a="1"/>
  <c r="R7" i="47" s="1"/>
  <c r="E24" i="47" a="1"/>
  <c r="E24" i="47" s="1"/>
  <c r="P21" i="47" a="1"/>
  <c r="P21" i="47" s="1"/>
  <c r="F26" i="47" a="1"/>
  <c r="F26" i="47" s="1"/>
  <c r="L17" i="47" a="1"/>
  <c r="L17" i="47" s="1"/>
  <c r="Q21" i="47" a="1"/>
  <c r="Q21" i="47" s="1"/>
  <c r="L18" i="47" a="1"/>
  <c r="L18" i="47" s="1"/>
  <c r="L6" i="47" a="1"/>
  <c r="L6" i="47" s="1"/>
  <c r="B7" i="47"/>
  <c r="D7" i="47"/>
  <c r="H7" i="47" a="1"/>
  <c r="H7" i="47" s="1"/>
  <c r="C21" i="47"/>
  <c r="D25" i="47"/>
  <c r="B27" i="47"/>
  <c r="B25" i="47"/>
  <c r="G21" i="47" a="1"/>
  <c r="G21" i="47" s="1"/>
  <c r="E22" i="47" a="1"/>
  <c r="E22" i="47" s="1"/>
  <c r="F24" i="47" a="1"/>
  <c r="F24" i="47" s="1"/>
  <c r="I15" i="47" a="1"/>
  <c r="I15" i="47" s="1"/>
  <c r="I29" i="47" a="1"/>
  <c r="I29" i="47" s="1"/>
  <c r="G17" i="47" a="1"/>
  <c r="G17" i="47" s="1"/>
  <c r="M28" i="47" a="1"/>
  <c r="M28" i="47" s="1"/>
  <c r="S18" i="47" a="1"/>
  <c r="S18" i="47" s="1"/>
  <c r="J23" i="47" a="1"/>
  <c r="J23" i="47" s="1"/>
  <c r="F18" i="47" a="1"/>
  <c r="F18" i="47" s="1"/>
  <c r="S25" i="47" a="1"/>
  <c r="S25" i="47" s="1"/>
  <c r="N11" i="47" a="1"/>
  <c r="N11" i="47" s="1"/>
  <c r="H29" i="47" a="1"/>
  <c r="H29" i="47" s="1"/>
  <c r="S28" i="47" a="1"/>
  <c r="S28" i="47" s="1"/>
  <c r="Q25" i="47" a="1"/>
  <c r="Q25" i="47" s="1"/>
  <c r="H23" i="47" a="1"/>
  <c r="H23" i="47" s="1"/>
  <c r="P12" i="47" a="1"/>
  <c r="P12" i="47" s="1"/>
  <c r="K10" i="47" a="1"/>
  <c r="K10" i="47" s="1"/>
  <c r="O11" i="47" a="1"/>
  <c r="O11" i="47" s="1"/>
  <c r="P15" i="47" a="1"/>
  <c r="P15" i="47" s="1"/>
  <c r="I5" i="47" a="1"/>
  <c r="I5" i="47" s="1"/>
  <c r="L14" i="47" a="1"/>
  <c r="L14" i="47" s="1"/>
  <c r="L12" i="47" a="1"/>
  <c r="L12" i="47" s="1"/>
  <c r="N5" i="47" a="1"/>
  <c r="N5" i="47" s="1"/>
  <c r="J19" i="47" a="1"/>
  <c r="J19" i="47" s="1"/>
  <c r="K18" i="47" a="1"/>
  <c r="K18" i="47" s="1"/>
  <c r="P19" i="47" a="1"/>
  <c r="P19" i="47" s="1"/>
  <c r="M24" i="47" a="1"/>
  <c r="M24" i="47" s="1"/>
  <c r="R17" i="47" a="1"/>
  <c r="R17" i="47" s="1"/>
  <c r="Q23" i="47" a="1"/>
  <c r="Q23" i="47" s="1"/>
  <c r="J8" i="47" a="1"/>
  <c r="J8" i="47" s="1"/>
  <c r="O6" i="47" a="1"/>
  <c r="O6" i="47" s="1"/>
  <c r="C7" i="47"/>
  <c r="N9" i="47" a="1"/>
  <c r="N9" i="47" s="1"/>
  <c r="B26" i="47"/>
  <c r="F21" i="47" a="1"/>
  <c r="F21" i="47" s="1"/>
  <c r="Q9" i="47" a="1"/>
  <c r="Q9" i="47" s="1"/>
  <c r="O26" i="47" a="1"/>
  <c r="O26" i="47" s="1"/>
  <c r="D15" i="47"/>
  <c r="G11" i="47" a="1"/>
  <c r="G11" i="47" s="1"/>
  <c r="J16" i="47" a="1"/>
  <c r="J16" i="47" s="1"/>
  <c r="C26" i="47"/>
  <c r="G12" i="47" a="1"/>
  <c r="G12" i="47" s="1"/>
  <c r="I19" i="47" a="1"/>
  <c r="I19" i="47" s="1"/>
  <c r="D21" i="47"/>
  <c r="H28" i="47" a="1"/>
  <c r="H28" i="47" s="1"/>
  <c r="L15" i="47" a="1"/>
  <c r="L15" i="47" s="1"/>
  <c r="D13" i="47"/>
  <c r="B11" i="47"/>
  <c r="I11" i="47" a="1"/>
  <c r="I11" i="47" s="1"/>
  <c r="K17" i="47" a="1"/>
  <c r="K17" i="47" s="1"/>
  <c r="F13" i="47" a="1"/>
  <c r="F13" i="47" s="1"/>
  <c r="E20" i="47" a="1"/>
  <c r="E20" i="47" s="1"/>
  <c r="L11" i="47" a="1"/>
  <c r="L11" i="47" s="1"/>
  <c r="J22" i="47" a="1"/>
  <c r="J22" i="47" s="1"/>
  <c r="G5" i="47" a="1"/>
  <c r="G5" i="47" s="1"/>
  <c r="Q15" i="47" a="1"/>
  <c r="Q15" i="47" s="1"/>
  <c r="M6" i="47" a="1"/>
  <c r="M6" i="47" s="1"/>
  <c r="I7" i="47" a="1"/>
  <c r="I7" i="47" s="1"/>
  <c r="L10" i="47" a="1"/>
  <c r="L10" i="47" s="1"/>
  <c r="H6" i="47" a="1"/>
  <c r="H6" i="47" s="1"/>
  <c r="N20" i="47" a="1"/>
  <c r="N20" i="47" s="1"/>
  <c r="N24" i="47" a="1"/>
  <c r="N24" i="47" s="1"/>
  <c r="Q18" i="47" a="1"/>
  <c r="Q18" i="47" s="1"/>
  <c r="S19" i="47" a="1"/>
  <c r="S19" i="47" s="1"/>
  <c r="I26" i="47" a="1"/>
  <c r="I26" i="47" s="1"/>
  <c r="M20" i="47" a="1"/>
  <c r="M20" i="47" s="1"/>
  <c r="R25" i="47" a="1"/>
  <c r="R25" i="47" s="1"/>
  <c r="K8" i="47" a="1"/>
  <c r="K8" i="47" s="1"/>
  <c r="D8" i="47"/>
  <c r="F7" i="47" a="1"/>
  <c r="F7" i="47" s="1"/>
  <c r="H14" i="47" a="1"/>
  <c r="H14" i="47" s="1"/>
  <c r="B9" i="47"/>
  <c r="B29" i="47"/>
  <c r="E28" i="47" a="1"/>
  <c r="E28" i="47" s="1"/>
  <c r="C18" i="47"/>
  <c r="R9" i="47" a="1"/>
  <c r="R9" i="47" s="1"/>
  <c r="D28" i="47"/>
  <c r="S23" i="47" a="1"/>
  <c r="S23" i="47" s="1"/>
  <c r="C28" i="47"/>
  <c r="F15" i="47" a="1"/>
  <c r="F15" i="47" s="1"/>
  <c r="G20" i="47" a="1"/>
  <c r="G20" i="47" s="1"/>
  <c r="K19" i="47" a="1"/>
  <c r="K19" i="47" s="1"/>
  <c r="R26" i="47" a="1"/>
  <c r="R26" i="47" s="1"/>
  <c r="H11" i="47" a="1"/>
  <c r="H11" i="47" s="1"/>
  <c r="Q28" i="47" a="1"/>
  <c r="Q28" i="47" s="1"/>
  <c r="C19" i="47"/>
  <c r="P17" i="47" a="1"/>
  <c r="P17" i="47" s="1"/>
  <c r="G27" i="47" a="1"/>
  <c r="G27" i="47" s="1"/>
  <c r="I14" i="47" a="1"/>
  <c r="I14" i="47" s="1"/>
  <c r="J26" i="47" a="1"/>
  <c r="J26" i="47" s="1"/>
  <c r="I18" i="47" a="1"/>
  <c r="I18" i="47" s="1"/>
  <c r="O14" i="47" a="1"/>
  <c r="O14" i="47" s="1"/>
  <c r="O7" i="47" a="1"/>
  <c r="O7" i="47" s="1"/>
  <c r="R13" i="47" a="1"/>
  <c r="R13" i="47" s="1"/>
  <c r="D5" i="47"/>
  <c r="R15" i="47" a="1"/>
  <c r="R15" i="47" s="1"/>
  <c r="S15" i="47" a="1"/>
  <c r="S15" i="47" s="1"/>
  <c r="D6" i="47"/>
  <c r="Q27" i="47" a="1"/>
  <c r="Q27" i="47" s="1"/>
  <c r="R23" i="47" a="1"/>
  <c r="R23" i="47" s="1"/>
  <c r="Q29" i="47" a="1"/>
  <c r="Q29" i="47" s="1"/>
  <c r="N28" i="47" a="1"/>
  <c r="N28" i="47" s="1"/>
  <c r="K25" i="47" a="1"/>
  <c r="K25" i="47" s="1"/>
  <c r="N17" i="47" a="1"/>
  <c r="N17" i="47" s="1"/>
  <c r="Q14" i="47" a="1"/>
  <c r="Q14" i="47" s="1"/>
  <c r="E8" i="47" a="1"/>
  <c r="E8" i="47" s="1"/>
  <c r="C8" i="47"/>
  <c r="M10" i="47" a="1"/>
  <c r="M10" i="47" s="1"/>
  <c r="F19" i="47" a="1"/>
  <c r="F19" i="47" s="1"/>
  <c r="G18" i="47" a="1"/>
  <c r="G18" i="47" s="1"/>
  <c r="H20" i="47" a="1"/>
  <c r="H20" i="47" s="1"/>
  <c r="L9" i="47" a="1"/>
  <c r="L9" i="47" s="1"/>
  <c r="M9" i="47" a="1"/>
  <c r="M9" i="47" s="1"/>
  <c r="C11" i="47"/>
  <c r="D24" i="47"/>
  <c r="K9" i="47" a="1"/>
  <c r="K9" i="47" s="1"/>
  <c r="I21" i="47" a="1"/>
  <c r="I21" i="47" s="1"/>
  <c r="H18" i="47" a="1"/>
  <c r="H18" i="47" s="1"/>
  <c r="B12" i="47"/>
  <c r="K15" i="47" a="1"/>
  <c r="K15" i="47" s="1"/>
  <c r="P24" i="47" a="1"/>
  <c r="P24" i="47" s="1"/>
  <c r="C29" i="47"/>
  <c r="B18" i="47"/>
  <c r="C17" i="47"/>
  <c r="O23" i="47" a="1"/>
  <c r="O23" i="47" s="1"/>
  <c r="S11" i="47" a="1"/>
  <c r="S11" i="47" s="1"/>
  <c r="O19" i="47" a="1"/>
  <c r="O19" i="47" s="1"/>
  <c r="F14" i="47" a="1"/>
  <c r="F14" i="47" s="1"/>
  <c r="J28" i="47" a="1"/>
  <c r="J28" i="47" s="1"/>
  <c r="E10" i="47" a="1"/>
  <c r="E10" i="47" s="1"/>
  <c r="H16" i="47" a="1"/>
  <c r="H16" i="47" s="1"/>
  <c r="S13" i="47" a="1"/>
  <c r="S13" i="47" s="1"/>
  <c r="O5" i="47" a="1"/>
  <c r="O5" i="47" s="1"/>
  <c r="M8" i="47" a="1"/>
  <c r="M8" i="47" s="1"/>
  <c r="S8" i="47" a="1"/>
  <c r="S8" i="47" s="1"/>
  <c r="C5" i="47"/>
  <c r="S29" i="47" a="1"/>
  <c r="S29" i="47" s="1"/>
  <c r="E18" i="47" a="1"/>
  <c r="E18" i="47" s="1"/>
  <c r="N22" i="47" a="1"/>
  <c r="N22" i="47" s="1"/>
  <c r="P23" i="47" a="1"/>
  <c r="P23" i="47" s="1"/>
  <c r="O18" i="47" a="1"/>
  <c r="O18" i="47" s="1"/>
  <c r="Q20" i="47" a="1"/>
  <c r="Q20" i="47" s="1"/>
  <c r="H17" i="47" a="1"/>
  <c r="H17" i="47" s="1"/>
  <c r="L8" i="47" a="1"/>
  <c r="L8" i="47" s="1"/>
  <c r="Q24" i="47" a="1"/>
  <c r="Q24" i="47" s="1"/>
  <c r="P6" i="47" a="1"/>
  <c r="P6" i="47" s="1"/>
  <c r="F10" i="47" a="1"/>
  <c r="F10" i="47" s="1"/>
  <c r="B13" i="47"/>
  <c r="B14" i="47"/>
  <c r="D10" i="47"/>
  <c r="F25" i="47" a="1"/>
  <c r="F25" i="47" s="1"/>
  <c r="H9" i="47" a="1"/>
  <c r="H9" i="47" s="1"/>
  <c r="H12" i="47" a="1"/>
  <c r="H12" i="47" s="1"/>
  <c r="D20" i="47"/>
  <c r="E13" i="47" a="1"/>
  <c r="E13" i="47" s="1"/>
  <c r="E19" i="47" a="1"/>
  <c r="E19" i="47" s="1"/>
  <c r="G24" i="47" a="1"/>
  <c r="G24" i="47" s="1"/>
  <c r="R28" i="47" a="1"/>
  <c r="R28" i="47" s="1"/>
  <c r="D17" i="47"/>
  <c r="Q13" i="47" a="1"/>
  <c r="Q13" i="47" s="1"/>
  <c r="B24" i="47"/>
  <c r="E27" i="47" a="1"/>
  <c r="E27" i="47" s="1"/>
  <c r="P10" i="47" a="1"/>
  <c r="P10" i="47" s="1"/>
  <c r="G16" i="47" a="1"/>
  <c r="G16" i="47" s="1"/>
  <c r="N15" i="47" a="1"/>
  <c r="N15" i="47" s="1"/>
  <c r="K13" i="47" a="1"/>
  <c r="K13" i="47" s="1"/>
  <c r="P29" i="47" a="1"/>
  <c r="P29" i="47" s="1"/>
  <c r="P8" i="47" a="1"/>
  <c r="P8" i="47" s="1"/>
  <c r="P13" i="47" a="1"/>
  <c r="P13" i="47" s="1"/>
  <c r="R16" i="47" a="1"/>
  <c r="R16" i="47" s="1"/>
  <c r="B5" i="47"/>
  <c r="R12" i="47" a="1"/>
  <c r="R12" i="47" s="1"/>
  <c r="J15" i="47" a="1"/>
  <c r="J15" i="47" s="1"/>
  <c r="M21" i="47" a="1"/>
  <c r="M21" i="47" s="1"/>
  <c r="Q22" i="47" a="1"/>
  <c r="Q22" i="47" s="1"/>
  <c r="O21" i="47" a="1"/>
  <c r="O21" i="47" s="1"/>
  <c r="R22" i="47" a="1"/>
  <c r="R22" i="47" s="1"/>
  <c r="J17" i="47" a="1"/>
  <c r="J17" i="47" s="1"/>
  <c r="L25" i="47" a="1"/>
  <c r="L25" i="47" s="1"/>
  <c r="H26" i="47" a="1"/>
  <c r="H26" i="47" s="1"/>
  <c r="M25" i="47" a="1"/>
  <c r="M25" i="47" s="1"/>
  <c r="S27" i="47" a="1"/>
  <c r="S27" i="47" s="1"/>
  <c r="J7" i="47" a="1"/>
  <c r="J7" i="47" s="1"/>
  <c r="D27" i="47"/>
  <c r="E9" i="47" a="1"/>
  <c r="E9" i="47" s="1"/>
  <c r="H19" i="47" a="1"/>
  <c r="H19" i="47" s="1"/>
  <c r="C24" i="47"/>
  <c r="D11" i="47"/>
  <c r="F16" i="47" a="1"/>
  <c r="F16" i="47" s="1"/>
  <c r="I20" i="47" a="1"/>
  <c r="I20" i="47" s="1"/>
  <c r="E15" i="47" a="1"/>
  <c r="E15" i="47" s="1"/>
  <c r="G15" i="47" a="1"/>
  <c r="G15" i="47" s="1"/>
  <c r="C13" i="47"/>
  <c r="S12" i="47" a="1"/>
  <c r="S12" i="47" s="1"/>
  <c r="M29" i="47" a="1"/>
  <c r="M29" i="47" s="1"/>
  <c r="G13" i="47" a="1"/>
  <c r="G13" i="47" s="1"/>
  <c r="N13" i="47" a="1"/>
  <c r="N13" i="47" s="1"/>
  <c r="P14" i="47" a="1"/>
  <c r="P14" i="47" s="1"/>
  <c r="L19" i="47" a="1"/>
  <c r="L19" i="47" s="1"/>
  <c r="M18" i="47" a="1"/>
  <c r="M18" i="47" s="1"/>
  <c r="P16" i="47" a="1"/>
  <c r="P16" i="47" s="1"/>
  <c r="K24" i="47" a="1"/>
  <c r="K24" i="47" s="1"/>
  <c r="J25" i="47" a="1"/>
  <c r="J25" i="47" s="1"/>
  <c r="S17" i="47" a="1"/>
  <c r="S17" i="47" s="1"/>
  <c r="J13" i="47" a="1"/>
  <c r="J13" i="47" s="1"/>
  <c r="K7" i="47" a="1"/>
  <c r="K7" i="47" s="1"/>
  <c r="L5" i="47" a="1"/>
  <c r="L5" i="47" s="1"/>
  <c r="J12" i="47" a="1"/>
  <c r="J12" i="47" s="1"/>
  <c r="P5" i="47" a="1"/>
  <c r="P5" i="47" s="1"/>
  <c r="N16" i="47" a="1"/>
  <c r="N16" i="47" s="1"/>
  <c r="O24" i="47" a="1"/>
  <c r="O24" i="47" s="1"/>
  <c r="L28" i="47" a="1"/>
  <c r="L28" i="47" s="1"/>
  <c r="O27" i="47" a="1"/>
  <c r="O27" i="47" s="1"/>
  <c r="R27" i="47" a="1"/>
  <c r="R27" i="47" s="1"/>
  <c r="H25" i="47" a="1"/>
  <c r="H25" i="47" s="1"/>
  <c r="J24" i="47" a="1"/>
  <c r="J24" i="47" s="1"/>
  <c r="O20" i="47" a="1"/>
  <c r="O20" i="47" s="1"/>
  <c r="Q6" i="47" a="1"/>
  <c r="Q6" i="47" s="1"/>
  <c r="O25" i="47" a="1"/>
  <c r="O25" i="47" s="1"/>
  <c r="B10" i="47"/>
  <c r="D14" i="47"/>
  <c r="D22" i="47"/>
  <c r="P9" i="47" a="1"/>
  <c r="P9" i="47" s="1"/>
  <c r="I13" i="47" a="1"/>
  <c r="I13" i="47" s="1"/>
  <c r="I17" i="47" a="1"/>
  <c r="I17" i="47" s="1"/>
  <c r="D26" i="47"/>
  <c r="O10" i="47" a="1"/>
  <c r="O10" i="47" s="1"/>
  <c r="F28" i="47" a="1"/>
  <c r="F28" i="47" s="1"/>
  <c r="I16" i="47" a="1"/>
  <c r="I16" i="47" s="1"/>
  <c r="C25" i="47"/>
  <c r="C27" i="47"/>
  <c r="I22" i="47" a="1"/>
  <c r="I22" i="47" s="1"/>
  <c r="P22" i="47" a="1"/>
  <c r="P22" i="47" s="1"/>
  <c r="D18" i="47"/>
  <c r="K22" i="47" a="1"/>
  <c r="K22" i="47" s="1"/>
  <c r="J18" i="47" a="1"/>
  <c r="J18" i="47" s="1"/>
  <c r="N23" i="47" a="1"/>
  <c r="N23" i="47" s="1"/>
  <c r="O22" i="47" a="1"/>
  <c r="O22" i="47" s="1"/>
  <c r="H15" i="47" a="1"/>
  <c r="H15" i="47" s="1"/>
  <c r="G10" i="47" a="1"/>
  <c r="G10" i="47" s="1"/>
  <c r="S22" i="47" a="1"/>
  <c r="S22" i="47" s="1"/>
  <c r="M12" i="47" a="1"/>
  <c r="M12" i="47" s="1"/>
  <c r="N6" i="47" a="1"/>
  <c r="N6" i="47" s="1"/>
  <c r="K5" i="47" a="1"/>
  <c r="K5" i="47" s="1"/>
  <c r="M7" i="47" a="1"/>
  <c r="M7" i="47" s="1"/>
  <c r="K16" i="47" a="1"/>
  <c r="K16" i="47" s="1"/>
  <c r="N7" i="47" a="1"/>
  <c r="N7" i="47" s="1"/>
  <c r="S16" i="47" a="1"/>
  <c r="S16" i="47" s="1"/>
  <c r="N18" i="47" a="1"/>
  <c r="N18" i="47" s="1"/>
  <c r="K27" i="47" a="1"/>
  <c r="K27" i="47" s="1"/>
  <c r="L27" i="47" a="1"/>
  <c r="L27" i="47" s="1"/>
  <c r="M23" i="47" a="1"/>
  <c r="M23" i="47" s="1"/>
  <c r="S21" i="47" a="1"/>
  <c r="S21" i="47" s="1"/>
  <c r="K29" i="47" a="1"/>
  <c r="K29" i="47" s="1"/>
  <c r="M19" i="47" a="1"/>
  <c r="M19" i="47" s="1"/>
  <c r="F6" i="47" a="1"/>
  <c r="F6" i="47" s="1"/>
  <c r="N8" i="47" a="1"/>
  <c r="N8" i="47" s="1"/>
  <c r="B8" i="47"/>
  <c r="B19" i="47"/>
  <c r="F9" i="47" a="1"/>
  <c r="F9" i="47" s="1"/>
  <c r="C12" i="47"/>
  <c r="G14" i="47" a="1"/>
  <c r="G14" i="47" s="1"/>
  <c r="E29" i="47" a="1"/>
  <c r="E29" i="47" s="1"/>
  <c r="G29" i="47" a="1"/>
  <c r="G29" i="47" s="1"/>
  <c r="E12" i="47" a="1"/>
  <c r="E12" i="47" s="1"/>
  <c r="Q16" i="47" a="1"/>
  <c r="Q16" i="47" s="1"/>
  <c r="E16" i="47" a="1"/>
  <c r="E16" i="47" s="1"/>
  <c r="D9" i="47"/>
  <c r="L29" i="47" a="1"/>
  <c r="L29" i="47" s="1"/>
  <c r="F29" i="47" a="1"/>
  <c r="F29" i="47" s="1"/>
  <c r="D29" i="47"/>
  <c r="E17" i="47" a="1"/>
  <c r="E17" i="47" s="1"/>
  <c r="R10" i="47" a="1"/>
  <c r="R10" i="47" s="1"/>
  <c r="O15" i="47" a="1"/>
  <c r="O15" i="47" s="1"/>
  <c r="K14" i="47" a="1"/>
  <c r="K14" i="47" s="1"/>
  <c r="K23" i="47" a="1"/>
  <c r="K23" i="47" s="1"/>
  <c r="I27" i="47" a="1"/>
  <c r="I27" i="47" s="1"/>
  <c r="L21" i="47" a="1"/>
  <c r="L21" i="47" s="1"/>
  <c r="B15" i="47"/>
  <c r="S14" i="47" a="1"/>
  <c r="S14" i="47" s="1"/>
  <c r="E5" i="47" a="1"/>
  <c r="E5" i="47" s="1"/>
  <c r="N12" i="47" a="1"/>
  <c r="N12" i="47" s="1"/>
  <c r="R6" i="47" a="1"/>
  <c r="R6" i="47" s="1"/>
  <c r="J6" i="47" a="1"/>
  <c r="J6" i="47" s="1"/>
  <c r="K11" i="47" a="1"/>
  <c r="K11" i="47" s="1"/>
  <c r="J27" i="47" a="1"/>
  <c r="J27" i="47" s="1"/>
  <c r="L20" i="47" a="1"/>
  <c r="L20" i="47" s="1"/>
  <c r="P28" i="47" a="1"/>
  <c r="P28" i="47" s="1"/>
  <c r="J20" i="47" a="1"/>
  <c r="J20" i="47" s="1"/>
  <c r="N19" i="47" a="1"/>
  <c r="N19" i="47" s="1"/>
  <c r="L24" i="47" a="1"/>
  <c r="L24" i="47" s="1"/>
  <c r="S20" i="47" a="1"/>
  <c r="S20" i="47" s="1"/>
  <c r="B6" i="47"/>
  <c r="K6" i="47" a="1"/>
  <c r="K6" i="47" s="1"/>
  <c r="C6" i="47"/>
  <c r="D23" i="47"/>
  <c r="E14" i="47" a="1"/>
  <c r="E14" i="47" s="1"/>
  <c r="C15" i="47"/>
  <c r="D12" i="47"/>
  <c r="S9" i="47" a="1"/>
  <c r="S9" i="47" s="1"/>
  <c r="I28" i="47" a="1"/>
  <c r="I28" i="47" s="1"/>
  <c r="C20" i="47"/>
  <c r="C14" i="47"/>
  <c r="I24" i="47" a="1"/>
  <c r="I24" i="47" s="1"/>
  <c r="C16" i="47"/>
  <c r="N27" i="47" a="1"/>
  <c r="N27" i="47" s="1"/>
  <c r="L16" i="47" a="1"/>
  <c r="L16" i="47" s="1"/>
  <c r="Q11" i="47" a="1"/>
  <c r="Q11" i="47" s="1"/>
  <c r="N26" i="47" a="1"/>
  <c r="N26" i="47" s="1"/>
  <c r="G28" i="47" a="1"/>
  <c r="G28" i="47" s="1"/>
  <c r="M15" i="47" a="1"/>
  <c r="M15" i="47" s="1"/>
  <c r="F12" i="47" a="1"/>
  <c r="F12" i="47" s="1"/>
  <c r="O29" i="47" a="1"/>
  <c r="O29" i="47" s="1"/>
  <c r="H13" i="47" a="1"/>
  <c r="H13" i="47" s="1"/>
  <c r="R11" i="47" a="1"/>
  <c r="R11" i="47" s="1"/>
  <c r="M14" i="47" a="1"/>
  <c r="M14" i="47" s="1"/>
  <c r="E7" i="47" a="1"/>
  <c r="E7" i="47" s="1"/>
  <c r="L13" i="47" a="1"/>
  <c r="L13" i="47" s="1"/>
  <c r="R5" i="47" a="1"/>
  <c r="R5" i="47" s="1"/>
  <c r="S7" i="47" a="1"/>
  <c r="S7" i="47" s="1"/>
  <c r="J11" i="47" a="1"/>
  <c r="J11" i="47" s="1"/>
  <c r="L26" i="47" a="1"/>
  <c r="L26" i="47" s="1"/>
  <c r="M22" i="47" a="1"/>
  <c r="M22" i="47" s="1"/>
  <c r="R29" i="47" a="1"/>
  <c r="R29" i="47" s="1"/>
  <c r="P26" i="47" a="1"/>
  <c r="P26" i="47" s="1"/>
  <c r="O28" i="47" a="1"/>
  <c r="O28" i="47" s="1"/>
  <c r="Q26" i="47" a="1"/>
  <c r="Q26" i="47" s="1"/>
  <c r="K26" i="47" a="1"/>
  <c r="K26" i="47" s="1"/>
  <c r="H8" i="47" a="1"/>
  <c r="H8" i="47" s="1"/>
  <c r="I6" i="47" a="1"/>
  <c r="I6" i="47" s="1"/>
  <c r="F8" i="47" a="1"/>
  <c r="F8" i="47" s="1"/>
  <c r="O9" i="47" a="1"/>
  <c r="O9" i="47" s="1"/>
  <c r="B16" i="47"/>
  <c r="G9" i="47" a="1"/>
  <c r="G9" i="47" s="1"/>
  <c r="F11" i="47" a="1"/>
  <c r="F11" i="47" s="1"/>
  <c r="D16" i="47"/>
  <c r="E11" i="47" a="1"/>
  <c r="E11" i="47" s="1"/>
  <c r="G19" i="47" a="1"/>
  <c r="G19" i="47" s="1"/>
  <c r="I25" i="47" a="1"/>
  <c r="I25" i="47" s="1"/>
  <c r="E23" i="47" a="1"/>
  <c r="E23" i="47" s="1"/>
  <c r="G25" i="47" a="1"/>
  <c r="G25" i="47" s="1"/>
  <c r="P11" i="47" a="1"/>
  <c r="P11" i="47" s="1"/>
  <c r="H22" i="47" a="1"/>
  <c r="H22" i="47" s="1"/>
  <c r="M16" i="47" a="1"/>
  <c r="M16" i="47" s="1"/>
  <c r="B28" i="47"/>
  <c r="F17" i="47" a="1"/>
  <c r="F17" i="47" s="1"/>
  <c r="O12" i="47" a="1"/>
  <c r="O12" i="47" s="1"/>
  <c r="N21" i="47" a="1"/>
  <c r="N21" i="47" s="1"/>
  <c r="F23" i="47" a="1"/>
  <c r="F23" i="47" s="1"/>
  <c r="Q17" i="47" a="1"/>
  <c r="Q17" i="47" s="1"/>
  <c r="M11" i="47" a="1"/>
  <c r="M11" i="47" s="1"/>
  <c r="J14" i="47" a="1"/>
  <c r="J14" i="47" s="1"/>
  <c r="J29" i="47" a="1"/>
  <c r="J29" i="47" s="1"/>
  <c r="M13" i="47" a="1"/>
  <c r="M13" i="47" s="1"/>
  <c r="Q8" i="47" a="1"/>
  <c r="Q8" i="47" s="1"/>
  <c r="Q5" i="47" a="1"/>
  <c r="Q5" i="47" s="1"/>
  <c r="Q12" i="47" a="1"/>
  <c r="Q12" i="47" s="1"/>
  <c r="P7" i="47" a="1"/>
  <c r="P7" i="47" s="1"/>
  <c r="L7" i="47" a="1"/>
  <c r="L7" i="47" s="1"/>
  <c r="K20" i="47" a="1"/>
  <c r="K20" i="47" s="1"/>
  <c r="R18" i="47" a="1"/>
  <c r="R18" i="47" s="1"/>
  <c r="S24" i="47" a="1"/>
  <c r="S24" i="47" s="1"/>
  <c r="R20" i="47" a="1"/>
  <c r="R20" i="47" s="1"/>
  <c r="P25" i="47" a="1"/>
  <c r="P25" i="47" s="1"/>
  <c r="J21" i="47" a="1"/>
  <c r="J21" i="47" s="1"/>
  <c r="O17" i="47" a="1"/>
  <c r="O17" i="47" s="1"/>
  <c r="G6" i="47" a="1"/>
  <c r="G6" i="47" s="1"/>
  <c r="I10" i="47" a="1"/>
  <c r="I10" i="47" s="1"/>
  <c r="O8" i="47" a="1"/>
  <c r="O8" i="47" s="1"/>
  <c r="G23" i="47" a="1"/>
  <c r="G23" i="47" s="1"/>
  <c r="B22" i="47"/>
  <c r="G22" i="47" a="1"/>
  <c r="G22" i="47" s="1"/>
  <c r="F22" i="47" a="1"/>
  <c r="F22" i="47" s="1"/>
  <c r="D19" i="47"/>
  <c r="C10" i="47"/>
  <c r="K21" i="47" a="1"/>
  <c r="K21" i="47" s="1"/>
  <c r="H24" i="47" a="1"/>
  <c r="H24" i="47" s="1"/>
  <c r="P18" i="47" a="1"/>
  <c r="P18" i="47" s="1"/>
  <c r="B23" i="47"/>
  <c r="I12" i="47" a="1"/>
  <c r="I12" i="47" s="1"/>
  <c r="N25" i="47" a="1"/>
  <c r="N25" i="47" s="1"/>
  <c r="H21" i="47" a="1"/>
  <c r="H21" i="47" s="1"/>
  <c r="P27" i="47" a="1"/>
  <c r="P27" i="47" s="1"/>
  <c r="R21" i="47" a="1"/>
  <c r="R21" i="47" s="1"/>
  <c r="H27" i="47" a="1"/>
  <c r="H27" i="47" s="1"/>
  <c r="M17" i="47" a="1"/>
  <c r="M17" i="47" s="1"/>
  <c r="S26" i="47" a="1"/>
  <c r="S26" i="47" s="1"/>
  <c r="N29" i="47" a="1"/>
  <c r="N29" i="47" s="1"/>
  <c r="R24" i="47" a="1"/>
  <c r="R24" i="4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<sst xmlns="http://schemas.openxmlformats.org/spreadsheetml/2006/main" count="11900" uniqueCount="2457">
  <si>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</si>
  <si>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</si>
  <si>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</si>
  <si>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</si>
  <si>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</si>
  <si>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</si>
  <si>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</si>
  <si>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</si>
  <si>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</si>
  <si>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</si>
  <si>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</si>
  <si>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</si>
  <si>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</si>
  <si>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</si>
  <si>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</si>
  <si>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</si>
  <si>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</si>
  <si>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</si>
  <si>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</si>
  <si>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</si>
  <si>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</si>
  <si>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</si>
  <si>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</si>
  <si>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</si>
  <si>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</si>
  <si>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</si>
  <si>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</si>
  <si>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</si>
  <si>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</si>
  <si>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</si>
  <si>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</si>
  <si>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</si>
  <si>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</si>
  <si>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</si>
  <si>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</si>
  <si>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</si>
  <si>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</si>
  <si>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</si>
  <si>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</si>
  <si>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</si>
  <si>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</si>
  <si>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</si>
  <si>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</si>
  <si>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</si>
  <si>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</si>
  <si>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</si>
  <si>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</si>
  <si>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</si>
  <si>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</si>
  <si>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</si>
  <si>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</si>
  <si>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</si>
  <si>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</si>
  <si>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</si>
  <si>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</si>
  <si>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</si>
  <si>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</si>
  <si>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</si>
  <si>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</si>
  <si>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</si>
  <si>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</si>
  <si>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</si>
  <si>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</si>
  <si>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</si>
  <si>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</si>
  <si>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</si>
  <si>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</si>
  <si>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</si>
  <si>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</si>
  <si>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</si>
  <si>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</si>
  <si>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</si>
  <si>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</si>
  <si>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</si>
  <si>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</si>
  <si>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</si>
  <si>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</si>
  <si>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</si>
  <si>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</si>
  <si>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</si>
  <si>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</si>
  <si>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</si>
  <si>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</si>
  <si>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</si>
  <si>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</si>
  <si>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</si>
  <si>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</si>
  <si>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</si>
  <si>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</si>
  <si>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</si>
  <si>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</si>
  <si>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</si>
  <si>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</si>
  <si>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</si>
  <si>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</si>
  <si>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</si>
  <si>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</si>
  <si>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</si>
  <si>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</si>
  <si>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</si>
  <si>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</si>
  <si>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</si>
  <si>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</si>
  <si>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</si>
  <si>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</si>
  <si>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</si>
  <si>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</si>
  <si>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</si>
  <si>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</si>
  <si>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</si>
  <si>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</si>
  <si>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</si>
  <si>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</si>
  <si>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</si>
  <si>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</si>
  <si>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</si>
  <si>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</si>
  <si>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</si>
  <si>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</si>
  <si>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</si>
  <si>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</si>
  <si>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</si>
  <si>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</si>
  <si>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</si>
  <si>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</si>
  <si>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</si>
  <si>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</si>
  <si>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</si>
  <si>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</si>
  <si>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</si>
  <si>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</si>
  <si>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</si>
  <si>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</si>
  <si>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</si>
  <si>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</si>
  <si>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</si>
  <si>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</si>
  <si>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</si>
  <si>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</si>
  <si>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</si>
  <si>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</si>
  <si>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</si>
  <si>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</si>
  <si>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</si>
  <si>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</si>
  <si>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</si>
  <si>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</si>
  <si>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</si>
  <si>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</si>
  <si>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</si>
  <si>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</si>
  <si>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</si>
  <si>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</si>
  <si>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</si>
  <si>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</si>
  <si>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</si>
  <si>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</si>
  <si>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</si>
  <si>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</si>
  <si>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</si>
  <si>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</si>
  <si>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</si>
  <si>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</si>
  <si>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</si>
  <si>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</si>
  <si>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</si>
  <si>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</si>
  <si>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</si>
  <si>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</si>
  <si>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</si>
  <si>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</si>
  <si>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</si>
  <si>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</si>
  <si>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</si>
  <si>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</si>
  <si>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</si>
  <si>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</si>
  <si>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</si>
  <si>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</si>
  <si>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</si>
  <si>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</si>
  <si>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</si>
  <si>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</si>
  <si>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</si>
  <si>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</si>
  <si>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</si>
  <si>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</si>
  <si>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</si>
  <si>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</si>
  <si>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</si>
  <si>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</si>
  <si>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</si>
  <si>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</si>
  <si>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</si>
  <si>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</si>
  <si>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</si>
  <si>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</si>
  <si>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</si>
  <si>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</si>
  <si>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</si>
  <si>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</si>
  <si>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</si>
  <si>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</si>
  <si>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</si>
  <si>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</si>
  <si>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</si>
  <si>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</si>
  <si>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</si>
  <si>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</si>
  <si>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</si>
  <si>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</si>
  <si>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</si>
  <si>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</si>
  <si>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</si>
  <si>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</si>
  <si>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</si>
  <si>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</si>
  <si>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</si>
  <si>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</si>
  <si>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</si>
  <si>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</si>
  <si>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</si>
  <si>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</si>
  <si>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</si>
  <si>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</si>
  <si>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</si>
  <si>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</si>
  <si>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</si>
  <si>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</si>
  <si>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</si>
  <si>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</si>
  <si>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</si>
  <si>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</si>
  <si>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</si>
  <si>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</si>
  <si>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</si>
  <si>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</si>
  <si>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</si>
  <si>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</si>
  <si>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</si>
  <si>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</si>
  <si>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</si>
  <si>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</si>
  <si>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</si>
  <si>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</si>
  <si>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</si>
  <si>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</si>
  <si>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</si>
  <si>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</si>
  <si>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</si>
  <si>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</si>
  <si>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</si>
  <si>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</si>
  <si>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</si>
  <si>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</si>
  <si>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</si>
  <si>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</si>
  <si>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</si>
  <si>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</si>
  <si>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</si>
  <si>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</si>
  <si>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</si>
  <si>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</si>
  <si>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</si>
  <si>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</si>
  <si>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</si>
  <si>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</si>
  <si>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</si>
  <si>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</si>
  <si>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</si>
  <si>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</si>
  <si>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</si>
  <si>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</si>
  <si>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</si>
  <si>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</si>
  <si>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</si>
  <si>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</si>
  <si>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</si>
  <si>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</si>
  <si>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</si>
  <si>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</si>
  <si>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</si>
  <si>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</si>
  <si>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</si>
  <si>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</si>
  <si>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</si>
  <si>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</si>
  <si>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</si>
  <si>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</si>
  <si>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</si>
  <si>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</si>
  <si>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</si>
  <si>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</si>
  <si>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</si>
  <si>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</si>
  <si>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</si>
  <si>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</si>
  <si>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</si>
  <si>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</si>
  <si>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</si>
  <si>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</si>
  <si>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</si>
  <si>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</si>
  <si>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</si>
  <si>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</si>
  <si>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</si>
  <si>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</si>
  <si>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</si>
  <si>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</si>
  <si>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</si>
  <si>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</si>
  <si>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</si>
  <si>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</si>
  <si>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</si>
  <si>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</si>
  <si>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</si>
  <si>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</si>
  <si>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</si>
  <si>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</si>
  <si>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</si>
  <si>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</si>
  <si>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</si>
  <si>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</si>
  <si>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</si>
  <si>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</si>
  <si>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</si>
  <si>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</si>
  <si>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</si>
  <si>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</si>
  <si>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</si>
  <si>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</si>
  <si>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</si>
  <si>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</si>
  <si>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</si>
  <si>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</si>
  <si>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</si>
  <si>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</si>
  <si>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</si>
  <si>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</si>
  <si>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</si>
  <si>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</si>
  <si>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</si>
  <si>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</si>
  <si>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</si>
  <si>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</si>
  <si>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</si>
  <si>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</si>
  <si>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</si>
  <si>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</si>
  <si>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</si>
  <si>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</si>
  <si>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</si>
  <si>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</si>
  <si>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</si>
  <si>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</si>
  <si>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</si>
  <si>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</si>
  <si>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</si>
  <si>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</si>
  <si>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</si>
  <si>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</si>
  <si>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</si>
  <si>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</si>
  <si>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</si>
  <si>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</si>
  <si>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</si>
  <si>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</si>
  <si>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</si>
  <si>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</si>
  <si>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</si>
  <si>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</si>
  <si>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</si>
  <si>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</si>
  <si>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</si>
  <si>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</si>
  <si>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</si>
  <si>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</si>
  <si>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</si>
  <si>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</si>
  <si>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</si>
  <si>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</si>
  <si>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</si>
  <si>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</si>
  <si>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</si>
  <si>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</si>
  <si>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</si>
  <si>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</si>
  <si>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</si>
  <si>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</si>
  <si>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</si>
  <si>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</si>
  <si>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</si>
  <si>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</si>
  <si>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</si>
  <si>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</si>
  <si>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</si>
  <si>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</si>
  <si>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</si>
  <si>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</si>
  <si>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</si>
  <si>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</si>
  <si>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</si>
  <si>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</si>
  <si>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</si>
  <si>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</si>
  <si>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</si>
  <si>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</si>
  <si>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</si>
  <si>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</si>
  <si>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</si>
  <si>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</si>
  <si>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</si>
  <si>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</si>
  <si>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</si>
  <si>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</si>
  <si>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</si>
  <si>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</si>
  <si>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</si>
  <si>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</si>
  <si>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</si>
  <si>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</si>
  <si>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</si>
  <si>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</si>
  <si>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</si>
  <si>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</si>
  <si>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</si>
  <si>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</si>
  <si>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</si>
  <si>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</si>
  <si>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</si>
  <si>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</si>
  <si>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</si>
  <si>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</si>
  <si>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</si>
  <si>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</si>
  <si>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</si>
  <si>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</si>
  <si>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</si>
  <si>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</si>
  <si>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</si>
  <si>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</si>
  <si>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</si>
  <si>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</si>
  <si>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</si>
  <si>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</si>
  <si>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</si>
  <si>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</si>
  <si>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</si>
  <si>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</si>
  <si>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</si>
  <si>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</si>
  <si>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</si>
  <si>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</si>
  <si>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</si>
  <si>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</si>
  <si>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</si>
  <si>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</si>
  <si>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</si>
  <si>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</si>
  <si>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</si>
  <si>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</si>
  <si>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</si>
  <si>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</si>
  <si>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</si>
  <si>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</si>
  <si>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</si>
  <si>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</si>
  <si>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</si>
  <si>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</si>
  <si>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</si>
  <si>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</si>
  <si>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</si>
  <si>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</si>
  <si>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</si>
  <si>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</si>
  <si>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</si>
  <si>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</si>
  <si>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</si>
  <si>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</si>
  <si>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</si>
  <si>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</si>
  <si>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</si>
  <si>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</si>
  <si>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</si>
  <si>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</si>
  <si>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</si>
  <si>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</si>
  <si>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</si>
  <si>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</si>
  <si>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</si>
  <si>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</si>
  <si>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</si>
  <si>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</si>
  <si>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</si>
  <si>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</si>
  <si>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</si>
  <si>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</si>
  <si>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</si>
  <si>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</si>
  <si>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</si>
  <si>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</si>
  <si>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</si>
  <si>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</si>
  <si>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</si>
  <si>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</si>
  <si>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</si>
  <si>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</si>
  <si>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</si>
  <si>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</si>
  <si>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</si>
  <si>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</si>
  <si>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</si>
  <si>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</si>
  <si>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</si>
  <si>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</si>
  <si>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</si>
  <si>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</si>
  <si>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</si>
  <si>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</si>
  <si>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</si>
  <si>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</si>
  <si>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</si>
  <si>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</si>
  <si>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</si>
  <si>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</si>
  <si>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</si>
  <si>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</si>
  <si>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</si>
  <si>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</si>
  <si>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</si>
  <si>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</si>
  <si>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</si>
  <si>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</si>
  <si>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</si>
  <si>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</si>
  <si>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</si>
  <si>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</si>
  <si>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</si>
  <si>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</si>
  <si>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</si>
  <si>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</si>
  <si>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</si>
  <si>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</si>
  <si>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</si>
  <si>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</si>
  <si>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</si>
  <si>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</si>
  <si>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</si>
  <si>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</si>
  <si>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</si>
  <si>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</si>
  <si>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</si>
  <si>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</si>
  <si>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</si>
  <si>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</si>
  <si>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</si>
  <si>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</si>
  <si>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</si>
  <si>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</si>
  <si>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</si>
  <si>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</si>
  <si>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</si>
  <si>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</si>
  <si>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</si>
  <si>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</si>
  <si>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</si>
  <si>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</si>
  <si>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</si>
  <si>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</si>
  <si>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</si>
  <si>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</si>
  <si>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</si>
  <si>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</si>
  <si>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</si>
  <si>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</si>
  <si>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</si>
  <si>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</si>
  <si>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</si>
  <si>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</si>
  <si>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</si>
  <si>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</si>
  <si>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</si>
  <si>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</si>
  <si>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</si>
  <si>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</si>
  <si>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</si>
  <si>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</si>
  <si>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</si>
  <si>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</si>
  <si>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</si>
  <si>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</si>
  <si>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</si>
  <si>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</si>
  <si>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</si>
  <si>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</si>
  <si>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</si>
  <si>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</si>
  <si>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</si>
  <si>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</si>
  <si>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</si>
  <si>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</si>
  <si>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</si>
  <si>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</si>
  <si>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</si>
  <si>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</si>
  <si>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</si>
  <si>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</si>
  <si>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</si>
  <si>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</si>
  <si>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</si>
  <si>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</si>
  <si>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</si>
  <si>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</si>
  <si>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</si>
  <si>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</si>
  <si>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</si>
  <si>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</si>
  <si>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</si>
  <si>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</si>
  <si>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</si>
  <si>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</si>
  <si>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</si>
  <si>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</si>
  <si>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</si>
  <si>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</si>
  <si>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</si>
  <si>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</si>
  <si>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</si>
  <si>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</si>
  <si>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</si>
  <si>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</si>
  <si>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</si>
  <si>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</si>
  <si>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</si>
  <si>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</si>
  <si>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</si>
  <si>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</si>
  <si>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</si>
  <si>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</si>
  <si>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</si>
  <si>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</si>
  <si>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</si>
  <si>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</si>
  <si>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</si>
  <si>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</si>
  <si>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</si>
  <si>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</si>
  <si>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</si>
  <si>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</si>
  <si>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</si>
  <si>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</si>
  <si>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</si>
  <si>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</si>
  <si>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</si>
  <si>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</si>
  <si>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</si>
  <si>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</si>
  <si>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</si>
  <si>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</si>
  <si>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</si>
  <si>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</si>
  <si>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</si>
  <si>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</si>
  <si>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</si>
  <si>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</si>
  <si>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</si>
  <si>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</si>
  <si>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</si>
  <si>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</si>
  <si>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</si>
  <si>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</si>
  <si>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</si>
  <si>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</si>
  <si>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</si>
  <si>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</si>
  <si>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</si>
  <si>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</si>
  <si>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</si>
  <si>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</si>
  <si>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</si>
  <si>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</si>
  <si>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</si>
  <si>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</si>
  <si>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</si>
  <si>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</si>
  <si>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</si>
  <si>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</si>
  <si>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</si>
  <si>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</si>
  <si>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</si>
  <si>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</si>
  <si>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</si>
  <si>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</si>
  <si>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</si>
  <si>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</si>
  <si>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</si>
  <si>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</si>
  <si>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</si>
  <si>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</si>
  <si>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</si>
  <si>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</si>
  <si>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</si>
  <si>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</si>
  <si>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</si>
  <si>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</si>
  <si>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</si>
  <si>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</si>
  <si>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</si>
  <si>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</si>
  <si>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</si>
  <si>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</si>
  <si>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</si>
  <si>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</si>
  <si>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</si>
  <si>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</si>
  <si>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</si>
  <si>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</si>
  <si>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</si>
  <si>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</si>
  <si>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</si>
  <si>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</si>
  <si>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</si>
  <si>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</si>
  <si>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</si>
  <si>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</si>
  <si>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</si>
  <si>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</si>
  <si>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</si>
  <si>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</si>
  <si>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</si>
  <si>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</si>
  <si>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</si>
  <si>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</si>
  <si>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</si>
  <si>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</si>
  <si>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</si>
  <si>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</si>
  <si>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</si>
  <si>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</si>
  <si>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</si>
  <si>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</si>
  <si>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</si>
  <si>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</si>
  <si>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</si>
  <si>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</si>
  <si>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</si>
  <si>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</si>
  <si>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</si>
  <si>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</si>
  <si>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</si>
  <si>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</si>
  <si>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</si>
  <si>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</si>
  <si>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</si>
  <si>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</si>
  <si>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</si>
  <si>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</si>
  <si>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</si>
  <si>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</si>
  <si>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</si>
  <si>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</si>
  <si>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</si>
  <si>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</si>
  <si>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</si>
  <si>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</si>
  <si>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</si>
  <si>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</si>
  <si>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</si>
  <si>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</si>
  <si>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</si>
  <si>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</si>
  <si>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</si>
  <si>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</si>
  <si>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</si>
  <si>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</si>
  <si>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</si>
  <si>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</si>
  <si>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</si>
  <si>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</si>
  <si>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</si>
  <si>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</si>
  <si>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</si>
  <si>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</si>
  <si>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</si>
  <si>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</si>
  <si>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</si>
  <si>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</si>
  <si>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</si>
  <si>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</si>
  <si>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</si>
  <si>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</si>
  <si>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</si>
  <si>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</si>
  <si>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</si>
  <si>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</si>
  <si>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</si>
  <si>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</si>
  <si>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</si>
  <si>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</si>
  <si>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</si>
  <si>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</si>
  <si>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</si>
  <si>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</si>
  <si>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</si>
  <si>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</si>
  <si>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</si>
  <si>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</si>
  <si>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</si>
  <si>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</si>
  <si>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</si>
  <si>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</si>
  <si>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</si>
  <si>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</si>
  <si>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</si>
  <si>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</si>
  <si>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</si>
  <si>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</si>
  <si>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</si>
  <si>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</si>
  <si>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</si>
  <si>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</si>
  <si>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</si>
  <si>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</si>
  <si>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</si>
  <si>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</si>
  <si>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</si>
  <si>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</si>
  <si>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</si>
  <si>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</si>
  <si>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</si>
  <si>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</si>
  <si>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</si>
  <si>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</si>
  <si>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</si>
  <si>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</si>
  <si>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</si>
  <si>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</si>
  <si>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</si>
  <si>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</si>
  <si>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</si>
  <si>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</si>
  <si>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</si>
  <si>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</si>
  <si>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</si>
  <si>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</si>
  <si>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</si>
  <si>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</si>
  <si>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</si>
  <si>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</si>
  <si>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</si>
  <si>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</si>
  <si>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</si>
  <si>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</si>
  <si>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</si>
  <si>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</si>
  <si>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</si>
  <si>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</si>
  <si>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</si>
  <si>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</si>
  <si>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</si>
  <si>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</si>
  <si>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</si>
  <si>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</si>
  <si>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</si>
  <si>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</si>
  <si>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</si>
  <si>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</si>
  <si>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</si>
  <si>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</si>
  <si>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</si>
  <si>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</si>
  <si>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</si>
  <si>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</si>
  <si>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</si>
  <si>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</si>
  <si>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</si>
  <si>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</si>
  <si>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</si>
  <si>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</si>
  <si>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</si>
  <si>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</si>
  <si>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</si>
  <si>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</si>
  <si>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</si>
  <si>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</si>
  <si>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</si>
  <si>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</si>
  <si>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</si>
  <si>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</si>
  <si>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</si>
  <si>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</si>
  <si>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</si>
  <si>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</si>
  <si>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</si>
  <si>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</si>
  <si>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</si>
  <si>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</si>
  <si>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</si>
  <si>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</si>
  <si>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</si>
  <si>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</si>
  <si>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</si>
  <si>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</si>
  <si>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</si>
  <si>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</si>
  <si>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</si>
  <si>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</si>
  <si>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</si>
  <si>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</si>
  <si>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</si>
  <si>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</si>
  <si>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</si>
  <si>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</si>
  <si>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</si>
  <si>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</si>
  <si>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</si>
  <si>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</si>
  <si>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</si>
  <si>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</si>
  <si>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</si>
  <si>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</si>
  <si>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</si>
  <si>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</si>
  <si>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</si>
  <si>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</si>
  <si>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</si>
  <si>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</si>
  <si>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</si>
  <si>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</si>
  <si>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</si>
  <si>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</si>
  <si>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</si>
  <si>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</si>
  <si>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</si>
  <si>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</si>
  <si>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</si>
  <si>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</si>
  <si>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</si>
  <si>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</si>
  <si>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</si>
  <si>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</si>
  <si>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</si>
  <si>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</si>
  <si>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</si>
  <si>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</si>
  <si>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</si>
  <si>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</si>
  <si>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</si>
  <si>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</si>
  <si>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</si>
  <si>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</si>
  <si>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</si>
  <si>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</si>
  <si>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</si>
  <si>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</si>
  <si>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</si>
  <si>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</si>
  <si>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</si>
  <si>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</si>
  <si>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</si>
  <si>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</si>
  <si>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</si>
  <si>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</si>
  <si>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</si>
  <si>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</si>
  <si>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</si>
  <si>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</si>
  <si>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</si>
  <si>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</si>
  <si>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</si>
  <si>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</si>
  <si>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</si>
  <si>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</si>
  <si>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</si>
  <si>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</si>
  <si>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</si>
  <si>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</si>
  <si>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</si>
  <si>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</si>
  <si>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</si>
  <si>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</si>
  <si>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</si>
  <si>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</si>
  <si>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</si>
  <si>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</si>
  <si>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</si>
  <si>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</si>
  <si>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</si>
  <si>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</si>
  <si>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</si>
  <si>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</si>
  <si>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</si>
  <si>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</si>
  <si>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</si>
  <si>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</si>
  <si>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</si>
  <si>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</si>
  <si>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</si>
  <si>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</si>
  <si>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</si>
  <si>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</si>
  <si>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</si>
  <si>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</si>
  <si>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</si>
  <si>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</si>
  <si>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</si>
  <si>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</si>
  <si>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</si>
  <si>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</si>
  <si>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</si>
  <si>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</si>
  <si>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</si>
  <si>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</si>
  <si>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</si>
  <si>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</si>
  <si>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</si>
  <si>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</si>
  <si>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</si>
  <si>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</si>
  <si>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</si>
  <si>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</si>
  <si>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</si>
  <si>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</si>
  <si>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</si>
  <si>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</si>
  <si>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</si>
  <si>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</si>
  <si>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</si>
  <si>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</si>
  <si>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</si>
  <si>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</si>
  <si>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</si>
  <si>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</si>
  <si>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</si>
  <si>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</si>
  <si>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</si>
  <si>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</si>
  <si>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</si>
  <si>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</si>
  <si>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</si>
  <si>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</si>
  <si>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</si>
  <si>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</si>
  <si>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</si>
  <si>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</si>
  <si>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</si>
  <si>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</si>
  <si>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</si>
  <si>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</si>
  <si>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</si>
  <si>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</si>
  <si>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</si>
  <si>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</si>
  <si>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</si>
  <si>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</si>
  <si>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</si>
  <si>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</si>
  <si>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</si>
  <si>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</si>
  <si>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</si>
  <si>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</si>
  <si>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</si>
  <si>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</si>
  <si>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</si>
  <si>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</si>
  <si>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</si>
  <si>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</si>
  <si>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</si>
  <si>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</si>
  <si>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</si>
  <si>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</si>
  <si>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</si>
  <si>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</si>
  <si>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</si>
  <si>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</si>
  <si>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</si>
  <si>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</si>
  <si>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</si>
  <si>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</si>
  <si>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</si>
  <si>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</si>
  <si>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</si>
  <si>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</si>
  <si>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</si>
  <si>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</si>
  <si>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</si>
  <si>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</si>
  <si>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</si>
  <si>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</si>
  <si>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</si>
  <si>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</si>
  <si>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</si>
  <si>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</si>
  <si>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</si>
  <si>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</si>
  <si>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</si>
  <si>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</si>
  <si>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</si>
  <si>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</si>
  <si>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</si>
  <si>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</si>
  <si>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</si>
  <si>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</si>
  <si>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</si>
  <si>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</si>
  <si>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</si>
  <si>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</si>
  <si>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</si>
  <si>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</si>
  <si>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</si>
  <si>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</si>
  <si>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</si>
  <si>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</si>
  <si>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</si>
  <si>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</si>
  <si>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</si>
  <si>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</si>
  <si>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</si>
  <si>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</si>
  <si>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</si>
  <si>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</si>
  <si>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</si>
  <si>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</si>
  <si>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</si>
  <si>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</si>
  <si>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</si>
  <si>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</si>
  <si>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</si>
  <si>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</si>
  <si>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</si>
  <si>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</si>
  <si>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</si>
  <si>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</si>
  <si>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</si>
  <si>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</si>
  <si>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</si>
  <si>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</si>
  <si>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</si>
  <si>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</si>
  <si>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</si>
  <si>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</si>
  <si>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</si>
  <si>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</si>
  <si>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</si>
  <si>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</si>
  <si>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</si>
  <si>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</si>
  <si>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</si>
  <si>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</si>
  <si>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</si>
  <si>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</si>
  <si>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</si>
  <si>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</si>
  <si>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</si>
  <si>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</si>
  <si>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</si>
  <si>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</si>
  <si>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</si>
  <si>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</si>
  <si>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</si>
  <si>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</si>
  <si>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</si>
  <si>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</si>
  <si>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</si>
  <si>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</si>
  <si>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</si>
  <si>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</si>
  <si>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</si>
  <si>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</si>
  <si>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</si>
  <si>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</si>
  <si>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</si>
  <si>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</si>
  <si>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</si>
  <si>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</si>
  <si>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</si>
  <si>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</si>
  <si>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</si>
  <si>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</si>
  <si>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</si>
  <si>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</si>
  <si>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</si>
  <si>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</si>
  <si>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</si>
  <si>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</si>
  <si>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</si>
  <si>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</si>
  <si>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</si>
  <si>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</si>
  <si>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</si>
  <si>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</si>
  <si>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</si>
  <si>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</si>
  <si>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</si>
  <si>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</si>
  <si>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</si>
  <si>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</si>
  <si>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</si>
  <si>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</si>
  <si>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</si>
  <si>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</si>
  <si>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</si>
  <si>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</si>
  <si>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</si>
  <si>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</si>
  <si>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</si>
  <si>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</si>
  <si>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</si>
  <si>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</si>
  <si>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</si>
  <si>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</si>
  <si>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</si>
  <si>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</si>
  <si>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</si>
  <si>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</si>
  <si>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</si>
  <si>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</si>
  <si>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</si>
  <si>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</si>
  <si>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</si>
  <si>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</si>
  <si>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</si>
  <si>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</si>
  <si>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</si>
  <si>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</si>
  <si>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</si>
  <si>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</si>
  <si>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</si>
  <si>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</si>
  <si>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</si>
  <si>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</si>
  <si>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</si>
  <si>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</si>
  <si>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</si>
  <si>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</si>
  <si>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</si>
  <si>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</si>
  <si>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</si>
  <si>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</si>
  <si>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</si>
  <si>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</si>
  <si>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</si>
  <si>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</si>
  <si>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</si>
  <si>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</si>
  <si>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</si>
  <si>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</si>
  <si>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</si>
  <si>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</si>
  <si>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</si>
  <si>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</si>
  <si>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</si>
  <si>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</si>
  <si>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</si>
  <si>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</si>
  <si>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</si>
  <si>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</si>
  <si>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</si>
  <si>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</si>
  <si>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</si>
  <si>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</si>
  <si>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</si>
  <si>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</si>
  <si>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</si>
  <si>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</si>
  <si>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</si>
  <si>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</si>
  <si>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</si>
  <si>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</si>
  <si>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</si>
  <si>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</si>
  <si>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</si>
  <si>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</si>
  <si>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</si>
  <si>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</si>
  <si>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</si>
  <si>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</si>
  <si>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</si>
  <si>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</si>
  <si>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</si>
  <si>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</si>
  <si>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</si>
  <si>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</si>
  <si>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</si>
  <si>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</si>
  <si>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</si>
  <si>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</si>
  <si>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</si>
  <si>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</si>
  <si>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</si>
  <si>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</si>
  <si>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</si>
  <si>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</si>
  <si>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</si>
  <si>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</si>
  <si>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</si>
  <si>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</si>
  <si>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</si>
  <si>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</si>
  <si>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</si>
  <si>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</si>
  <si>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</si>
  <si>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</si>
  <si>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</si>
  <si>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</si>
  <si>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</si>
  <si>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</si>
  <si>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</si>
  <si>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</si>
  <si>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</si>
  <si>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</si>
  <si>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</si>
  <si>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</si>
  <si>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</si>
  <si>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</si>
  <si>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</si>
  <si>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</si>
  <si>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</si>
  <si>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</si>
  <si>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</si>
  <si>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</si>
  <si>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</si>
  <si>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</si>
  <si>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</si>
  <si>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</si>
  <si>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</si>
  <si>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</si>
  <si>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</si>
  <si>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</si>
  <si>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</si>
  <si>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</si>
  <si>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</si>
  <si>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</si>
  <si>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</si>
  <si>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</si>
  <si>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</si>
  <si>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</si>
  <si>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</si>
  <si>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</si>
  <si>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</si>
  <si>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</si>
  <si>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</si>
  <si>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</si>
  <si>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</si>
  <si>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</si>
  <si>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</si>
  <si>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</si>
  <si>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</si>
  <si>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</si>
  <si>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</si>
  <si>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</si>
  <si>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</si>
  <si>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</si>
  <si>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</si>
  <si>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</si>
  <si>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</si>
  <si>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</si>
  <si>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</si>
  <si>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</si>
  <si>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</si>
  <si>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</si>
  <si>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</si>
  <si>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</si>
  <si>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</si>
  <si>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</si>
  <si>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</si>
  <si>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</si>
  <si>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</si>
  <si>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</si>
  <si>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</si>
  <si>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</si>
  <si>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</si>
  <si>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</si>
  <si>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</si>
  <si>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</si>
  <si>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</si>
  <si>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</si>
  <si>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</si>
  <si>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</si>
  <si>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</si>
  <si>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</si>
  <si>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</si>
  <si>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</si>
  <si>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</si>
  <si>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</si>
  <si>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</si>
  <si>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</si>
  <si>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</si>
  <si>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</si>
  <si>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</si>
  <si>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</si>
  <si>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</si>
  <si>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</si>
  <si>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</si>
  <si>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</si>
  <si>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</si>
  <si>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</si>
  <si>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</si>
  <si>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</si>
  <si>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</si>
  <si>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</si>
  <si>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</si>
  <si>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</si>
  <si>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</si>
  <si>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</si>
  <si>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</si>
  <si>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</si>
  <si>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</si>
  <si>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</si>
  <si>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</si>
  <si>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</si>
  <si>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</si>
  <si>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</si>
  <si>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</si>
  <si>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</si>
  <si>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</si>
  <si>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</si>
  <si>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</si>
  <si>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</si>
  <si>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</si>
  <si>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</si>
  <si>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</si>
  <si>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</si>
  <si>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</si>
  <si>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</si>
  <si>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</si>
  <si>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</si>
  <si>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</si>
  <si>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</si>
  <si>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</si>
  <si>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</si>
  <si>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</si>
  <si>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</si>
  <si>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</si>
  <si>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</si>
  <si>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</si>
  <si>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</si>
  <si>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</si>
  <si>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</si>
  <si>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</si>
  <si>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</si>
  <si>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</si>
  <si>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</si>
  <si>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</si>
  <si>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</si>
  <si>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</si>
  <si>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</si>
  <si>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</si>
  <si>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</si>
  <si>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</si>
  <si>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</si>
  <si>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</si>
  <si>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</si>
  <si>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</si>
  <si>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</si>
  <si>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</si>
  <si>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</si>
  <si>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</si>
  <si>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</si>
  <si>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</si>
  <si>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</si>
  <si>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</si>
  <si>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</si>
  <si>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</si>
  <si>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</si>
  <si>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</si>
  <si>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</si>
  <si>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</si>
  <si>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</si>
  <si>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</si>
  <si>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</si>
  <si>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</si>
  <si>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</si>
  <si>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</si>
  <si>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</si>
  <si>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</si>
  <si>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</si>
  <si>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</si>
  <si>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</si>
  <si>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</si>
  <si>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</si>
  <si>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</si>
  <si>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</si>
  <si>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</si>
  <si>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</si>
  <si>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</si>
  <si>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</si>
  <si>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</si>
  <si>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</si>
  <si>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</si>
  <si>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</si>
  <si>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</si>
  <si>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</si>
  <si>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</si>
  <si>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</si>
  <si>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</si>
  <si>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</si>
  <si>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</si>
  <si>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</si>
  <si>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</si>
  <si>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</si>
  <si>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</si>
  <si>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</si>
  <si>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</si>
  <si>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</si>
  <si>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</si>
  <si>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</si>
  <si>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</si>
  <si>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</si>
  <si>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</si>
  <si>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</si>
  <si>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</si>
  <si>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</si>
  <si>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</si>
  <si>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</si>
  <si>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</si>
  <si>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</si>
  <si>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</si>
  <si>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</si>
  <si>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</si>
  <si>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</si>
  <si>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</si>
  <si>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</si>
  <si>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</si>
  <si>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</si>
  <si>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</si>
  <si>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</si>
  <si>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</si>
  <si>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</si>
  <si>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</si>
  <si>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</si>
  <si>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</si>
  <si>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</si>
  <si>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</si>
  <si>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</si>
  <si>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</si>
  <si>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</si>
  <si>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</si>
  <si>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</si>
  <si>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</si>
  <si>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</si>
  <si>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</si>
  <si>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</si>
  <si>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</si>
  <si>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</si>
  <si>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</si>
  <si>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</si>
  <si>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</si>
  <si>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</si>
  <si>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</si>
  <si>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</si>
  <si>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</si>
  <si>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</si>
  <si>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</si>
  <si>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</si>
  <si>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</si>
  <si>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</si>
  <si>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</si>
  <si>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</si>
  <si>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</si>
  <si>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</si>
  <si>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</si>
  <si>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</si>
  <si>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</si>
  <si>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</si>
  <si>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</si>
  <si>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</si>
  <si>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</si>
  <si>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</si>
  <si>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</si>
  <si>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</si>
  <si>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</si>
  <si>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</si>
  <si>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</si>
  <si>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</si>
  <si>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</si>
  <si>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</si>
  <si>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</si>
  <si>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</si>
  <si>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</si>
  <si>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</si>
  <si>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</si>
  <si>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</si>
  <si>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</si>
  <si>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</si>
  <si>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</si>
  <si>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</si>
  <si>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</si>
  <si>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</si>
  <si>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</si>
  <si>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</si>
  <si>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</si>
  <si>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</si>
  <si>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</si>
  <si>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</si>
  <si>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</si>
  <si>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</si>
  <si>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</si>
  <si>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</si>
  <si>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</si>
  <si>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</si>
  <si>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</si>
  <si>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</si>
  <si>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</si>
  <si>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</si>
  <si>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</si>
  <si>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</si>
  <si>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</si>
  <si>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</si>
  <si>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</si>
  <si>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</si>
  <si>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</si>
  <si>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</si>
  <si>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</si>
  <si>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</si>
  <si>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</si>
  <si>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</si>
  <si>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</si>
  <si>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</si>
  <si>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</si>
  <si>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</si>
  <si>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</si>
  <si>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</si>
  <si>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</si>
  <si>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</si>
  <si>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</si>
  <si>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</si>
  <si>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</si>
  <si>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</si>
  <si>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</si>
  <si>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</si>
  <si>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</si>
  <si>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</si>
  <si>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</si>
  <si>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</si>
  <si>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</si>
  <si>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</si>
  <si>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</si>
  <si>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</si>
  <si>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</si>
  <si>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</si>
  <si>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</si>
  <si>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</si>
  <si>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</si>
  <si>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</si>
  <si>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</si>
  <si>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</si>
  <si>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</si>
  <si>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</si>
  <si>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</si>
  <si>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</si>
  <si>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</si>
  <si>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</si>
  <si>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</si>
  <si>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</si>
  <si>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</si>
  <si>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</si>
  <si>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</si>
  <si>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</si>
  <si>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</si>
  <si>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</si>
  <si>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</si>
  <si>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</si>
  <si>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</si>
  <si>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</si>
  <si>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</si>
  <si>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</si>
  <si>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</si>
  <si>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</si>
  <si>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</si>
  <si>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</si>
  <si>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</si>
  <si>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</si>
  <si>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</si>
  <si>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</si>
  <si>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</si>
  <si>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</si>
  <si>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</si>
  <si>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</si>
  <si>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</si>
  <si>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</si>
  <si>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</si>
  <si>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</si>
  <si>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</si>
  <si>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</si>
  <si>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</si>
  <si>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</si>
  <si>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</si>
  <si>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</si>
  <si>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</si>
  <si>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</si>
  <si>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</si>
  <si>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</si>
  <si>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</si>
  <si>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</si>
  <si>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</si>
  <si>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</si>
  <si>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</si>
  <si>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</si>
  <si>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</si>
  <si>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</si>
  <si>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</si>
  <si>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</si>
  <si>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</si>
  <si>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</si>
  <si>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</si>
  <si>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</si>
  <si>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</si>
  <si>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</si>
  <si>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</si>
  <si>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</si>
  <si>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</si>
  <si>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</si>
  <si>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</si>
  <si>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</si>
  <si>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</si>
  <si>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</si>
  <si>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</si>
  <si>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</si>
  <si>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</si>
  <si>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</si>
  <si>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</si>
  <si>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</si>
  <si>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</si>
  <si>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</si>
  <si>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</si>
  <si>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</si>
  <si>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</si>
  <si>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</si>
  <si>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</si>
  <si>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</si>
  <si>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</si>
  <si>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</si>
  <si>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</si>
  <si>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</si>
  <si>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</si>
  <si>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</si>
  <si>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</si>
  <si>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</si>
  <si>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</si>
  <si>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</si>
  <si>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</si>
  <si>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</si>
  <si>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</si>
  <si>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</si>
  <si>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</si>
  <si>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</si>
  <si>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</si>
  <si>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</si>
  <si>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</si>
  <si>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</si>
  <si>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</si>
  <si>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</si>
  <si>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</si>
  <si>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</si>
  <si>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</si>
  <si>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</si>
  <si>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</si>
  <si>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</si>
  <si>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</si>
  <si>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</si>
  <si>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</si>
  <si>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</si>
  <si>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</si>
  <si>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</si>
  <si>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</si>
  <si>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</si>
  <si>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</si>
  <si>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</si>
  <si>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</si>
  <si>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</si>
  <si>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</si>
  <si>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</si>
  <si>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</si>
  <si>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</si>
  <si>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</si>
  <si>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</si>
  <si>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</si>
  <si>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</si>
  <si>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</si>
  <si>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</si>
  <si>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</si>
  <si>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</si>
  <si>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</si>
  <si>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</si>
  <si>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</si>
  <si>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</si>
  <si>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</si>
  <si>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</si>
  <si>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</si>
  <si>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</si>
  <si>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</si>
  <si>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</si>
  <si>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</si>
  <si>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</si>
  <si>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</si>
  <si>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</si>
  <si>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</si>
  <si>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</si>
  <si>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</si>
  <si>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</si>
  <si>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</si>
  <si>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</si>
  <si>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</si>
  <si>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</si>
  <si>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</si>
  <si>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</si>
  <si>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</si>
  <si>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</si>
  <si>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</si>
  <si>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</si>
  <si>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</si>
  <si>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</si>
  <si>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</si>
  <si>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</si>
  <si>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</si>
  <si>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</si>
  <si>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</si>
  <si>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</si>
  <si>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</si>
  <si>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</si>
  <si>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</si>
  <si>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</si>
  <si>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</si>
  <si>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</si>
  <si>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</si>
  <si>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</si>
  <si>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</si>
  <si>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</si>
  <si>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</si>
  <si>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</si>
  <si>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</si>
  <si>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</si>
  <si>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</si>
  <si>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</si>
  <si>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</si>
  <si>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</si>
  <si>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</si>
  <si>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</si>
  <si>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</si>
  <si>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</si>
  <si>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</si>
  <si>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</si>
  <si>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</si>
  <si>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</si>
  <si>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</si>
  <si>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</si>
  <si>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</si>
  <si>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</si>
  <si>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</si>
  <si>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</si>
  <si>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</si>
  <si>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</si>
  <si>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</si>
  <si>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</si>
  <si>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</si>
  <si>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</si>
  <si>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</si>
  <si>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</si>
  <si>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</si>
  <si>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</si>
  <si>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</si>
  <si>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</si>
  <si>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</si>
  <si>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</si>
  <si>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</si>
  <si>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</si>
  <si>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</si>
  <si>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</si>
  <si>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</si>
  <si>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</si>
  <si>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</si>
  <si>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</si>
  <si>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</si>
  <si>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</si>
  <si>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</si>
  <si>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</si>
  <si>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</si>
  <si>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</si>
  <si>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</si>
  <si>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</si>
  <si>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</si>
  <si>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</si>
  <si>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</si>
  <si>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</si>
  <si>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</si>
  <si>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</si>
  <si>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</si>
  <si>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</si>
  <si>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</si>
  <si>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</si>
  <si>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</si>
  <si>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</si>
  <si>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</si>
  <si>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</si>
  <si>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</si>
  <si>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</si>
  <si>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</si>
  <si>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</si>
  <si>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</si>
  <si>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</si>
  <si>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</si>
  <si>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</si>
  <si>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</si>
  <si>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</si>
  <si>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</si>
  <si>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</si>
  <si>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</si>
  <si>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</si>
  <si>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</si>
  <si>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</si>
  <si>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</si>
  <si>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</si>
  <si>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</si>
  <si>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</si>
  <si>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</si>
  <si>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</si>
  <si>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</si>
  <si>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</si>
  <si>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</si>
  <si>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</si>
  <si>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</si>
  <si>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</si>
  <si>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</si>
  <si>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</si>
  <si>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</si>
  <si>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</si>
  <si>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</si>
  <si>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</si>
  <si>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</si>
  <si>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</si>
  <si>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</si>
  <si>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</si>
  <si>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</si>
  <si>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</si>
  <si>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</si>
  <si>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</si>
  <si>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</si>
  <si>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</si>
  <si>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</si>
  <si>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Luis Pinto</t>
  </si>
  <si>
    <t>Rafael Aguilar</t>
  </si>
  <si>
    <t>Samuel Montes</t>
  </si>
  <si>
    <t>Edicxon Mendoza</t>
  </si>
  <si>
    <t>Simon Melendez</t>
  </si>
  <si>
    <t>Inter</t>
  </si>
  <si>
    <t>Ylich</t>
  </si>
  <si>
    <t>1|3-1</t>
  </si>
  <si>
    <t>X|1-1</t>
  </si>
  <si>
    <t>1|1-0</t>
  </si>
  <si>
    <t>1|4-0</t>
  </si>
  <si>
    <t>2|0-2</t>
  </si>
  <si>
    <t>2|2-3</t>
  </si>
  <si>
    <t>1|2-1</t>
  </si>
  <si>
    <t>1|3-2</t>
  </si>
  <si>
    <t>2|1-2</t>
  </si>
  <si>
    <t>1|4-1</t>
  </si>
  <si>
    <t>1|4-2</t>
  </si>
  <si>
    <t>X|2-2</t>
  </si>
  <si>
    <t>2|1-4</t>
  </si>
  <si>
    <t>2|0-3</t>
  </si>
  <si>
    <t>2|0-1</t>
  </si>
  <si>
    <t>1|2-0</t>
  </si>
  <si>
    <t>1|3-0</t>
  </si>
  <si>
    <t>2|2-4</t>
  </si>
  <si>
    <t>X|0-0</t>
  </si>
  <si>
    <t>1|4-3</t>
  </si>
  <si>
    <t>2|1-3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</si>
  <si>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</si>
  <si>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</si>
  <si>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</si>
  <si>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</si>
  <si>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</si>
  <si>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</si>
  <si>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</si>
  <si>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</si>
  <si>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</si>
  <si>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</si>
  <si>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</si>
  <si>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</si>
  <si>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</si>
  <si>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</si>
  <si>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</si>
  <si>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</si>
  <si>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</si>
  <si>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</si>
  <si>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</si>
  <si>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</si>
  <si>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</si>
  <si>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</si>
  <si>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</si>
  <si>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</si>
  <si>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</si>
  <si>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</si>
  <si>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</si>
  <si>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</si>
  <si>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</si>
  <si>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</si>
  <si>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</si>
  <si>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</si>
  <si>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</si>
  <si>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</si>
  <si>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</si>
  <si>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</si>
  <si>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</si>
  <si>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</si>
  <si>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</si>
  <si>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</si>
  <si>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</si>
  <si>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</si>
  <si>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</si>
  <si>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</si>
  <si>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</si>
  <si>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</si>
  <si>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España-Austria·1|2-0</t>
  </si>
  <si>
    <t>RD Congo-Croacia·2|0-1</t>
  </si>
  <si>
    <t>Suiza-Argelia·X|0-0</t>
  </si>
  <si>
    <t>Turquía-Irán·1|2-0</t>
  </si>
  <si>
    <t>Argentina-Uruguay·1|1-0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</si>
  <si>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</si>
  <si>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</si>
  <si>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</si>
  <si>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</si>
  <si>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</si>
  <si>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</si>
  <si>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</si>
  <si>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</si>
  <si>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</si>
  <si>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</si>
  <si>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</si>
  <si>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</si>
  <si>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</si>
  <si>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</si>
  <si>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</si>
  <si>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</si>
  <si>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España-Portugal·1|1-0</t>
  </si>
  <si>
    <t>Julián Álvarez</t>
  </si>
  <si>
    <t>Harry Kane</t>
  </si>
  <si>
    <t>Alexander Sorloth</t>
  </si>
  <si>
    <t>Lamine Yamal</t>
  </si>
  <si>
    <t>Vinicius Jr</t>
  </si>
  <si>
    <t>Takefusa Kubo</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</si>
  <si>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</si>
  <si>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</si>
  <si>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</si>
  <si>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</si>
  <si>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</si>
  <si>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</si>
  <si>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</si>
  <si>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</si>
  <si>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</si>
  <si>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</si>
  <si>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</si>
  <si>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</si>
  <si>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</si>
  <si>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</si>
  <si>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</si>
  <si>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</si>
  <si>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</si>
  <si>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</si>
  <si>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</si>
  <si>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</si>
  <si>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</si>
  <si>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</si>
  <si>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Colombia-España·2|1-2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</si>
  <si>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</si>
  <si>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</si>
  <si>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</si>
  <si>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</si>
  <si>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</si>
  <si>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</si>
  <si>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</si>
  <si>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</si>
  <si>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</si>
  <si>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</si>
  <si>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</si>
  <si>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</si>
  <si>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</si>
  <si>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Cristiano Ronaldo</t>
  </si>
  <si>
    <t>EDUARDO PINTO</t>
  </si>
  <si>
    <t>Corea del Sur-Suiza·2|1-2</t>
  </si>
  <si>
    <t>Brasil-Japón·1|2-1</t>
  </si>
  <si>
    <t>Alemania-Escocia·1|3-1</t>
  </si>
  <si>
    <t>Países Bajos-Marruecos·X|1-1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</si>
  <si>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</si>
  <si>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</si>
  <si>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</si>
  <si>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</si>
  <si>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</si>
  <si>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</si>
  <si>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</si>
  <si>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</si>
  <si>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</si>
  <si>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</si>
  <si>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</si>
  <si>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</si>
  <si>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</si>
  <si>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Alemania-Francia·2|1-2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</si>
  <si>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</si>
  <si>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</si>
  <si>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</si>
  <si>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</si>
  <si>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</si>
  <si>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</si>
  <si>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</si>
  <si>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</si>
  <si>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</si>
  <si>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</si>
  <si>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</si>
  <si>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</si>
  <si>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</si>
  <si>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</si>
  <si>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</si>
  <si>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</si>
  <si>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</si>
  <si>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</si>
  <si>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</si>
  <si>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</si>
  <si>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</si>
  <si>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</si>
  <si>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</si>
  <si>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</si>
  <si>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</si>
  <si>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</si>
  <si>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</si>
  <si>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</si>
  <si>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</si>
  <si>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</si>
  <si>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</si>
  <si>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</si>
  <si>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</si>
  <si>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</si>
  <si>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</si>
  <si>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</si>
  <si>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</si>
  <si>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</si>
  <si>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</si>
  <si>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</si>
  <si>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</si>
  <si>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</si>
  <si>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</si>
  <si>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</si>
  <si>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</si>
  <si>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</si>
  <si>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</si>
  <si>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Brasil-Japón·1|3-1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</si>
  <si>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</si>
  <si>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</si>
  <si>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</si>
  <si>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</si>
  <si>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</si>
  <si>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</si>
  <si>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</si>
  <si>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</si>
  <si>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</si>
  <si>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</si>
  <si>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</si>
  <si>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</si>
  <si>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</si>
  <si>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</si>
  <si>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</si>
  <si>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</si>
  <si>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</si>
  <si>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</si>
  <si>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</si>
  <si>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</si>
  <si>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</si>
  <si>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México-Bosnia y Herzegovina·1|1-0</t>
  </si>
  <si>
    <t>Alemania-Estados Unidos·1|2-1</t>
  </si>
  <si>
    <t>Francia-Suecia·1|3-0</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</si>
  <si>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</si>
  <si>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</si>
  <si>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</si>
  <si>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</si>
  <si>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</si>
  <si>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</si>
  <si>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</si>
  <si>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</si>
  <si>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</si>
  <si>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</si>
  <si>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</si>
  <si>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Suiza-Portugal·2|1-2</t>
  </si>
  <si>
    <t>España-Paraguay·1|3-1</t>
  </si>
  <si>
    <t>Brasil-Inglaterra·1|3-2</t>
  </si>
  <si>
    <t>Brasil-Portugal·2|1-2</t>
  </si>
  <si>
    <t>España-Portugal·2|0-1</t>
  </si>
  <si>
    <t>Mbappe</t>
  </si>
  <si>
    <t>Julian Alvarez</t>
  </si>
  <si>
    <t>Vitinha</t>
  </si>
  <si>
    <t>Bruno Fernandez</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</si>
  <si>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</si>
  <si>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</si>
  <si>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</si>
  <si>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</si>
  <si>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</si>
  <si>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</si>
  <si>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</si>
  <si>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</si>
  <si>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</si>
  <si>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</si>
  <si>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</si>
  <si>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</si>
  <si>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</si>
  <si>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</si>
  <si>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</si>
  <si>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</si>
  <si>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</si>
  <si>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</si>
  <si>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</si>
  <si>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</si>
  <si>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</si>
  <si>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</si>
  <si>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</si>
  <si>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</si>
  <si>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</si>
  <si>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</si>
  <si>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</si>
  <si>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</si>
  <si>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</si>
  <si>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</si>
  <si>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</si>
  <si>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</si>
  <si>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</si>
  <si>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</si>
  <si>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</si>
  <si>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</si>
  <si>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</si>
  <si>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</si>
  <si>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</si>
  <si>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</si>
  <si>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</si>
  <si>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</si>
  <si>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</si>
  <si>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</si>
  <si>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</si>
  <si>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</si>
  <si>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</si>
  <si>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</si>
  <si>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</si>
  <si>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</si>
  <si>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</si>
  <si>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</si>
  <si>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</si>
  <si>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</si>
  <si>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</si>
  <si>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</si>
  <si>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</si>
  <si>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</si>
  <si>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</si>
  <si>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</si>
  <si>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</si>
  <si>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</si>
  <si>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</si>
  <si>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</si>
  <si>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</si>
  <si>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</si>
  <si>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</si>
  <si>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</si>
  <si>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</si>
  <si>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</si>
  <si>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</si>
  <si>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</si>
  <si>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</si>
  <si>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</si>
  <si>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</si>
  <si>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</si>
  <si>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</si>
  <si>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</si>
  <si>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</si>
  <si>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</si>
  <si>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</si>
  <si>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Argentina-Portugal·2|0-1</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</si>
  <si>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</si>
  <si>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</si>
  <si>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</si>
  <si>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</si>
  <si>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</si>
  <si>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</si>
  <si>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</si>
  <si>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</si>
  <si>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</si>
  <si>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</si>
  <si>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</si>
  <si>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</si>
  <si>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</si>
  <si>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</si>
  <si>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</si>
  <si>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</si>
  <si>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</si>
  <si>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</si>
  <si>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</si>
  <si>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</si>
  <si>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</si>
  <si>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</si>
  <si>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</si>
  <si>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</si>
  <si>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</si>
  <si>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</si>
  <si>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</si>
  <si>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</si>
  <si>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</si>
  <si>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</si>
  <si>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</si>
  <si>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</si>
  <si>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</si>
  <si>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</si>
  <si>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</si>
  <si>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</si>
  <si>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</si>
  <si>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</si>
  <si>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</si>
  <si>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</si>
  <si>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</si>
  <si>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</si>
  <si>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</si>
  <si>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</si>
  <si>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</si>
  <si>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</si>
  <si>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</si>
  <si>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</si>
  <si>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</si>
  <si>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</si>
  <si>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</si>
  <si>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</si>
  <si>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</si>
  <si>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</si>
  <si>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</si>
  <si>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</si>
  <si>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</si>
  <si>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</si>
  <si>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</si>
  <si>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</si>
  <si>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</si>
  <si>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</si>
  <si>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</si>
  <si>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</si>
  <si>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Kevin</t>
  </si>
  <si>
    <t>Sudáfrica-Canadá·X|1-1</t>
  </si>
  <si>
    <t>Alemania-Paraguay·1|2-0</t>
  </si>
  <si>
    <t>Costa de Marfil-Noruega·1|2-1</t>
  </si>
  <si>
    <t>México-Escocia·1|1-0</t>
  </si>
  <si>
    <t>Inglaterra-Irak·1|2-1</t>
  </si>
  <si>
    <t>Bélgica-Ecuador·1|1-0</t>
  </si>
  <si>
    <t>Turquía-Catar·X|0-0</t>
  </si>
  <si>
    <t>Colombia-Ghana·1|1-0</t>
  </si>
  <si>
    <t>Suiza-Egipto·1|2-1</t>
  </si>
  <si>
    <t>Estados Unidos-Nueva Zelanda·1|2-1</t>
  </si>
  <si>
    <t>Portugal-Croacia·1|2-0</t>
  </si>
  <si>
    <t>Canadá-Marruecos·2|1-3</t>
  </si>
  <si>
    <t>Brasil-Costa de Marfil·1|1-0</t>
  </si>
  <si>
    <t>México-Inglaterra·2|0-1</t>
  </si>
  <si>
    <t>Turquía-Bélgica·X|1-1</t>
  </si>
  <si>
    <t>Argentina-Estados Unidos·1|3-0</t>
  </si>
  <si>
    <t>Francia-Marruecos·X|1-1</t>
  </si>
  <si>
    <t>España-Turquía·1|2-1</t>
  </si>
  <si>
    <t>Brasil-Inglaterra·X|1-1</t>
  </si>
  <si>
    <t>Marruecos-España·2|1-2</t>
  </si>
  <si>
    <t>Inglaterra-Portugal·X|1-1</t>
  </si>
  <si>
    <t>Marruecos-Inglaterra·1|2-1</t>
  </si>
  <si>
    <t>Kylian Mpappe</t>
  </si>
  <si>
    <t>Achraf Hakimi</t>
  </si>
  <si>
    <t xml:space="preserve">mariana suarez </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</si>
  <si>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</si>
  <si>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</si>
  <si>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</si>
  <si>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</si>
  <si>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</si>
  <si>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</si>
  <si>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</si>
  <si>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</si>
  <si>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</si>
  <si>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</si>
  <si>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</si>
  <si>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</si>
  <si>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</si>
  <si>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</si>
  <si>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</si>
  <si>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</si>
  <si>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</si>
  <si>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</si>
  <si>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</si>
  <si>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</si>
  <si>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</si>
  <si>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</si>
  <si>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Freddy Parra (2)</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</si>
  <si>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</si>
  <si>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</si>
  <si>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</si>
  <si>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</si>
  <si>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</si>
  <si>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</si>
  <si>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</si>
  <si>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</si>
  <si>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</si>
  <si>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</si>
  <si>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</si>
  <si>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</si>
  <si>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</si>
  <si>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</si>
  <si>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</si>
  <si>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</si>
  <si>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</si>
  <si>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</si>
  <si>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</si>
  <si>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</si>
  <si>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</si>
  <si>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</si>
  <si>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</si>
  <si>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</si>
  <si>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</si>
  <si>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</si>
  <si>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</si>
  <si>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</si>
  <si>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</si>
  <si>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</si>
  <si>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</si>
  <si>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</si>
  <si>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</si>
  <si>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</si>
  <si>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</si>
  <si>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</si>
  <si>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</si>
  <si>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</si>
  <si>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</si>
  <si>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</si>
  <si>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</si>
  <si>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República Checa-Bosnia y Herzegovina·1|2-1</t>
  </si>
  <si>
    <t>Países Bajos-Marruecos·1|3-1</t>
  </si>
  <si>
    <t>Ecuador-Senegal·1|2-1</t>
  </si>
  <si>
    <t>México-Escocia·X|1-1</t>
  </si>
  <si>
    <t>Inglaterra-Noruega·1|3-2</t>
  </si>
  <si>
    <t>Bélgica-Corea del Sur·1|2-0</t>
  </si>
  <si>
    <t>Turquía-Canadá·1|3-2</t>
  </si>
  <si>
    <t>Suiza-Irán·1|3-0</t>
  </si>
  <si>
    <t>Portugal-Costa de Marfil·1|3-0</t>
  </si>
  <si>
    <t>Turquía-Bélgica·2|1-3</t>
  </si>
  <si>
    <t>Francia-Países Bajos·1|4-2</t>
  </si>
  <si>
    <t>Francia-España·2|2-3</t>
  </si>
  <si>
    <t>Francia-Brasil·1|3-1</t>
  </si>
  <si>
    <t>Bruno Fernandes</t>
  </si>
  <si>
    <t>Pedri</t>
  </si>
  <si>
    <t>Alvaro Urdaneta</t>
  </si>
  <si>
    <t>Jessika</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</si>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</sst>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1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
      <sz val="11"/>
      <color rgb="FF1B4066"/>
      <name val="Calibri"/>
    </font>
    <font>
      <sz val="11"/>
      <color rgb="FF1B4066"/>
      <name val="Calibri"/>
      <family val="2"/>
    </font>
  </fonts>
  <fills count="4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theme="0"/>
      </right>
      <top style="thin">
        <color theme="0"/>
      </top>
      <bottom style="thin">
        <color theme="0"/>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rgb="FFBFBFBF"/>
      </left>
      <right style="thin">
        <color theme="0" tint="-0.249977111117893"/>
      </right>
      <top style="thin">
        <color rgb="FFBFBFBF"/>
      </top>
      <bottom style="thin">
        <color theme="0" tint="-0.249977111117893"/>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08" fillId="0" borderId="0"/>
    <xf numFmtId="0" fontId="1" fillId="0" borderId="0"/>
    <xf numFmtId="0" fontId="1" fillId="0" borderId="0"/>
  </cellStyleXfs>
  <cellXfs count="948">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1"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10" fillId="0" borderId="0" xfId="98" applyFont="1"/>
    <xf numFmtId="0" fontId="110" fillId="0" borderId="192" xfId="98" applyFont="1" applyBorder="1"/>
    <xf numFmtId="0" fontId="110" fillId="0" borderId="101" xfId="98" applyFont="1" applyBorder="1"/>
    <xf numFmtId="0" fontId="110" fillId="0" borderId="193" xfId="98" applyFont="1" applyBorder="1"/>
    <xf numFmtId="0" fontId="110"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47" fillId="0" borderId="197" xfId="0" applyFont="1" applyBorder="1" applyProtection="1">
      <protection locked="0" hidden="1"/>
    </xf>
    <xf numFmtId="0" fontId="47" fillId="0" borderId="24" xfId="0" applyFont="1" applyBorder="1" applyProtection="1">
      <protection locked="0" hidden="1"/>
    </xf>
    <xf numFmtId="0" fontId="47" fillId="0" borderId="196"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7" fillId="0" borderId="197" xfId="0" applyFont="1" applyBorder="1" applyProtection="1">
      <protection locked="0" hidden="1"/>
    </xf>
    <xf numFmtId="0" fontId="47" fillId="0" borderId="24" xfId="0" applyFont="1" applyBorder="1" applyProtection="1">
      <protection locked="0" hidden="1"/>
    </xf>
    <xf numFmtId="0" fontId="47" fillId="0" borderId="196"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110" fillId="0" borderId="0" xfId="98" applyFont="1"/>
    <xf numFmtId="0" fontId="110" fillId="0" borderId="192" xfId="98" applyFont="1" applyBorder="1"/>
    <xf numFmtId="0" fontId="110" fillId="0" borderId="101" xfId="98" applyFont="1" applyBorder="1"/>
    <xf numFmtId="0" fontId="110" fillId="0" borderId="193" xfId="98" applyFont="1" applyBorder="1"/>
    <xf numFmtId="0" fontId="110" fillId="0" borderId="194" xfId="98" applyFont="1" applyBorder="1"/>
    <xf numFmtId="0" fontId="110" fillId="0" borderId="0" xfId="98" applyFont="1"/>
    <xf numFmtId="0" fontId="110" fillId="0" borderId="101" xfId="98" applyFont="1" applyBorder="1"/>
    <xf numFmtId="0" fontId="110" fillId="0" borderId="193" xfId="98" applyFont="1" applyBorder="1"/>
    <xf numFmtId="0" fontId="110"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192" xfId="0" applyFont="1" applyBorder="1" applyProtection="1">
      <protection locked="0"/>
    </xf>
    <xf numFmtId="0" fontId="109" fillId="0" borderId="101" xfId="0" applyFont="1" applyBorder="1" applyProtection="1">
      <protection locked="0"/>
    </xf>
    <xf numFmtId="0" fontId="109" fillId="0" borderId="193" xfId="0" applyFont="1" applyBorder="1" applyProtection="1">
      <protection locked="0"/>
    </xf>
    <xf numFmtId="0" fontId="109" fillId="0" borderId="194" xfId="0" applyFont="1" applyBorder="1" applyProtection="1">
      <protection locked="0"/>
    </xf>
    <xf numFmtId="0" fontId="109" fillId="0" borderId="0" xfId="0" applyFont="1" applyProtection="1">
      <protection locked="0"/>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9" xr:uid="{10305296-D5F8-44A4-8940-79BC2F7EF4A4}"/>
    <cellStyle name="Normal 4" xfId="93" xr:uid="{6104D907-AD2C-5845-90F7-E59DF85A9F45}"/>
    <cellStyle name="Normal 4 2" xfId="95" xr:uid="{266E0619-40AF-444D-B7AB-2D81FB645B4D}"/>
    <cellStyle name="Normal 4 3" xfId="100" xr:uid="{739383F9-CEC4-4714-A1F3-6740A8FA3141}"/>
    <cellStyle name="Normal 5" xfId="96" xr:uid="{35ED9CFF-BD18-CE49-8375-08DF93D24062}"/>
    <cellStyle name="Normal 6" xfId="98" xr:uid="{5B02C5FF-9224-414E-AF9C-68EC45C73E59}"/>
    <cellStyle name="Porcentaje" xfId="97" builtinId="5"/>
  </cellStyles>
  <dxfs count="44">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theme="9" tint="0.59996337778862885"/>
        </patternFill>
      </fill>
    </dxf>
    <dxf>
      <fill>
        <patternFill>
          <bgColor rgb="FF00B050"/>
        </patternFill>
      </fill>
    </dxf>
    <dxf>
      <fill>
        <patternFill>
          <bgColor theme="9" tint="0.79998168889431442"/>
        </patternFill>
      </fill>
    </dxf>
    <dxf>
      <fill>
        <patternFill>
          <bgColor rgb="FFD1E7D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22/10/relationships/richValueRel" Target="richData/richValueRel.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VE"/>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V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6"/>
                <c:pt idx="0">
                  <c:v>1|2-0</c:v>
                </c:pt>
                <c:pt idx="1">
                  <c:v>1|2-1</c:v>
                </c:pt>
                <c:pt idx="2">
                  <c:v>X|1-1</c:v>
                </c:pt>
                <c:pt idx="3">
                  <c:v>1|1-0</c:v>
                </c:pt>
                <c:pt idx="4">
                  <c:v>1|3-0</c:v>
                </c:pt>
                <c:pt idx="5">
                  <c:v>1|3-1</c:v>
                </c:pt>
              </c:strCache>
            </c:strRef>
          </c:cat>
          <c:val>
            <c:numRef>
              <c:f>Stats!$I$8:$I$31</c:f>
              <c:numCache>
                <c:formatCode>General</c:formatCode>
                <c:ptCount val="24"/>
                <c:pt idx="0">
                  <c:v>8</c:v>
                </c:pt>
                <c:pt idx="1">
                  <c:v>5</c:v>
                </c:pt>
                <c:pt idx="2">
                  <c:v>3</c:v>
                </c:pt>
                <c:pt idx="3">
                  <c:v>1</c:v>
                </c:pt>
                <c:pt idx="4">
                  <c:v>1</c:v>
                </c:pt>
                <c:pt idx="5">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6"/>
                <c:pt idx="0">
                  <c:v>1|2-0</c:v>
                </c:pt>
                <c:pt idx="1">
                  <c:v>1|2-1</c:v>
                </c:pt>
                <c:pt idx="2">
                  <c:v>X|1-1</c:v>
                </c:pt>
                <c:pt idx="3">
                  <c:v>1|1-0</c:v>
                </c:pt>
                <c:pt idx="4">
                  <c:v>1|3-0</c:v>
                </c:pt>
                <c:pt idx="5">
                  <c:v>1|3-1</c:v>
                </c:pt>
              </c:strCache>
            </c:strRef>
          </c:cat>
          <c:val>
            <c:numRef>
              <c:f>Stats!$J$8:$J$31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6"/>
                <c:pt idx="0">
                  <c:v>1|2-0</c:v>
                </c:pt>
                <c:pt idx="1">
                  <c:v>1|2-1</c:v>
                </c:pt>
                <c:pt idx="2">
                  <c:v>X|1-1</c:v>
                </c:pt>
                <c:pt idx="3">
                  <c:v>1|1-0</c:v>
                </c:pt>
                <c:pt idx="4">
                  <c:v>1|3-0</c:v>
                </c:pt>
                <c:pt idx="5">
                  <c:v>1|3-1</c:v>
                </c:pt>
              </c:strCache>
            </c:strRef>
          </c:cat>
          <c:val>
            <c:numRef>
              <c:f>Stats!$K$8:$K$31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12888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EEEEE"/>
    </a:solidFill>
    <a:ln w="9525" cap="flat" cmpd="sng" algn="ctr">
      <a:noFill/>
      <a:round/>
    </a:ln>
    <a:effectLst/>
  </c:spPr>
  <c:txPr>
    <a:bodyPr/>
    <a:lstStyle/>
    <a:p>
      <a:pPr>
        <a:defRPr/>
      </a:pPr>
      <a:endParaRPr lang="es-V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VE"/>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VE"/>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0.84210526315789469</c:v>
                </c:pt>
                <c:pt idx="1">
                  <c:v>0.15789473684210525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legend>
    <c:plotVisOnly val="1"/>
    <c:dispBlanksAs val="gap"/>
    <c:showDLblsOverMax val="0"/>
  </c:chart>
  <c:spPr>
    <a:noFill/>
    <a:ln w="9525" cap="flat" cmpd="sng" algn="ctr">
      <a:noFill/>
      <a:round/>
    </a:ln>
    <a:effectLst/>
  </c:spPr>
  <c:txPr>
    <a:bodyPr/>
    <a:lstStyle/>
    <a:p>
      <a:pPr>
        <a:defRPr/>
      </a:pPr>
      <a:endParaRPr lang="es-V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10.png"/><Relationship Id="rId6" Type="http://schemas.openxmlformats.org/officeDocument/2006/relationships/image" Target="../media/image6.png"/></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5</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2">
    <v>11</v>
    <v>1</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3">
    <v>45</v>
    <v>5</v>
    <v>Bandera de República Democrática del Congo</v>
  </rv>
  <rv s="3">
    <v>46</v>
    <v>5</v>
    <v>Bandera de Irak</v>
  </rv>
  <rv s="1">
    <v>47</v>
    <v>5</v>
  </rv>
  <rv s="1">
    <v>48</v>
    <v>5</v>
  </rv>
  <rv s="1">
    <v>49</v>
    <v>5</v>
  </rv>
  <rv s="1">
    <v>50</v>
    <v>5</v>
  </rv>
</rvData>
</file>

<file path=xl/richData/rdrichvaluestructure.xml><?xml version="1.0" encoding="utf-8"?>
<rvStructures xmlns="http://schemas.microsoft.com/office/spreadsheetml/2017/richdata" count="4">
  <s t="_error">
    <k n="colOffset" t="i"/>
    <k n="errorType" t="i"/>
    <k n="rwOffset" t="i"/>
    <k n="subType" t="i"/>
  </s>
  <s t="_localImage">
    <k n="_rvRel:LocalImageIdentifier" t="i"/>
    <k n="CalcOrigin" t="i"/>
  </s>
  <s t="_error">
    <k n="errorType" t="i"/>
    <k n="propagated" t="b"/>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6" dataDxfId="5">
  <sortState xmlns:xlrd2="http://schemas.microsoft.com/office/spreadsheetml/2017/richdata2" ref="A2:D13">
    <sortCondition ref="D2:D13"/>
  </sortState>
  <tableColumns count="4">
    <tableColumn id="1" xr3:uid="{00000000-0010-0000-0B00-000001000000}" name="Num" dataDxfId="4">
      <calculatedColumnFormula>NOT(ISERROR(VLOOKUP(Equipos!$B2,#REF!,1,FALSE)))</calculatedColumnFormula>
    </tableColumn>
    <tableColumn id="2" xr3:uid="{00000000-0010-0000-0B00-000002000000}" name="NombreEquipo" dataDxfId="3">
      <calculatedColumnFormula>+INDEX(Idiomas!$D$212:$D$259,MATCH(T_Equipos[[#This Row],[Num]],Idiomas!$C$212:$C$259,0))</calculatedColumnFormula>
    </tableColumn>
    <tableColumn id="4" xr3:uid="{00000000-0010-0000-0B00-000004000000}" name="Grupo" dataDxfId="2"/>
    <tableColumn id="3" xr3:uid="{00000000-0010-0000-0B00-000003000000}" name="Rank" dataDxfId="1"/>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opLeftCell="A4"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878" t="str">
        <f>Idiomas!D8</f>
        <v>XXIII Mundial USA/MEX/CAN 2026</v>
      </c>
      <c r="C3" s="878"/>
      <c r="D3" s="878"/>
      <c r="E3" s="878"/>
      <c r="F3" s="878"/>
      <c r="G3" s="878"/>
      <c r="H3" s="878"/>
      <c r="I3" s="878"/>
      <c r="J3" s="878"/>
      <c r="K3" s="878"/>
      <c r="L3" s="878"/>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876"/>
      <c r="F16" s="877"/>
      <c r="G16" s="877"/>
      <c r="H16" s="877"/>
      <c r="I16" s="877"/>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875"/>
      <c r="F17" s="875"/>
      <c r="G17" s="875"/>
      <c r="H17" s="875"/>
      <c r="I17" s="875"/>
      <c r="J17" s="385"/>
      <c r="K17" s="78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3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3">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2"/>
      <c r="D23" s="383"/>
      <c r="E23" s="385"/>
      <c r="F23" s="385"/>
      <c r="G23" s="385"/>
      <c r="H23" s="385"/>
      <c r="I23" s="385"/>
      <c r="J23" s="385"/>
      <c r="K23" s="760"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79"/>
      <c r="C24" s="880"/>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7">
        <f ca="1">TODAY()</f>
        <v>46181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7">
        <f ca="1">INT(Horarios!C4)</f>
        <v>46184</v>
      </c>
      <c r="F42" s="452"/>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7">
        <f ca="1">INT(Horarios!C147)</f>
        <v>46222</v>
      </c>
      <c r="F43" s="452"/>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9" sqref="AD9"/>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5"/>
      <c r="B1" s="735"/>
      <c r="C1" s="735"/>
      <c r="D1" s="735"/>
      <c r="E1" s="735"/>
      <c r="F1" s="735"/>
      <c r="G1" s="735"/>
      <c r="H1" s="735"/>
      <c r="I1" s="735"/>
      <c r="J1" s="735"/>
      <c r="K1" s="735"/>
      <c r="L1" s="735"/>
      <c r="M1" s="735"/>
      <c r="N1" s="735"/>
      <c r="O1" s="735"/>
      <c r="P1" s="735"/>
      <c r="Q1" s="735"/>
      <c r="R1" s="735"/>
      <c r="S1" s="735"/>
      <c r="T1" s="735"/>
      <c r="U1" s="735"/>
      <c r="V1" s="170"/>
      <c r="W1" s="885" t="str">
        <f>Idiomas!D8</f>
        <v>XXIII Mundial USA/MEX/CAN 2026</v>
      </c>
      <c r="X1" s="885"/>
      <c r="Y1" s="885"/>
      <c r="Z1" s="885"/>
      <c r="AA1" s="885"/>
      <c r="AB1" s="885"/>
      <c r="AC1" s="885"/>
      <c r="AD1" s="885"/>
      <c r="AE1" s="885"/>
      <c r="AF1" s="885"/>
      <c r="AG1" s="16"/>
      <c r="AH1" s="171"/>
      <c r="AI1" s="171"/>
      <c r="AJ1" s="16"/>
      <c r="AK1" s="16"/>
      <c r="AL1" s="16"/>
      <c r="AM1" s="16"/>
      <c r="AN1" s="16"/>
      <c r="AO1" s="16"/>
      <c r="AP1" s="16"/>
      <c r="AQ1" s="16"/>
      <c r="AR1" s="16"/>
      <c r="AS1" s="16"/>
      <c r="AT1" s="16"/>
      <c r="AU1" s="171"/>
      <c r="AV1" s="782" t="s">
        <v>1335</v>
      </c>
      <c r="AW1" s="16"/>
      <c r="AX1" s="16"/>
      <c r="AY1" s="16"/>
      <c r="AZ1" s="16"/>
      <c r="BA1" s="16"/>
      <c r="BB1" s="739"/>
      <c r="BC1" s="739"/>
      <c r="BD1" s="739"/>
      <c r="BE1" s="739"/>
      <c r="BF1" s="739"/>
      <c r="BG1" s="739"/>
      <c r="BH1" s="739"/>
      <c r="BI1" s="739"/>
      <c r="BJ1" s="739"/>
      <c r="BK1" s="739"/>
      <c r="BL1" s="739"/>
      <c r="BM1" s="739"/>
      <c r="BN1" s="739"/>
      <c r="BO1" s="739"/>
      <c r="BP1" s="739"/>
      <c r="BQ1" s="739"/>
      <c r="BR1" s="739"/>
      <c r="BS1" s="739"/>
      <c r="BT1" s="739"/>
      <c r="BU1" s="739"/>
      <c r="BV1" s="739"/>
      <c r="BW1" s="739"/>
      <c r="BX1" s="739"/>
      <c r="BY1" s="739"/>
      <c r="BZ1" s="739"/>
      <c r="CA1" s="739"/>
      <c r="CB1" s="739"/>
      <c r="CC1" s="739"/>
      <c r="CD1" s="739"/>
      <c r="CE1" s="739"/>
      <c r="CF1" s="739"/>
      <c r="CG1" s="739"/>
      <c r="CH1" s="739"/>
      <c r="CI1" s="739"/>
      <c r="CJ1" s="739"/>
      <c r="CK1" s="739"/>
      <c r="CL1" s="739"/>
      <c r="CM1" s="739"/>
      <c r="CN1" s="739"/>
      <c r="CO1" s="739"/>
      <c r="CP1" s="739"/>
      <c r="CQ1" s="739"/>
      <c r="CR1" s="739"/>
      <c r="CS1" s="739"/>
      <c r="CT1" s="739"/>
      <c r="CU1" s="739"/>
      <c r="CV1" s="739"/>
      <c r="CW1" s="739"/>
      <c r="CX1" s="739"/>
      <c r="CY1" s="739"/>
      <c r="CZ1" s="739"/>
      <c r="DA1" s="739"/>
      <c r="DB1" s="739"/>
      <c r="DC1" s="739"/>
      <c r="DD1" s="739"/>
      <c r="DE1" s="739"/>
      <c r="DF1" s="739"/>
      <c r="DG1" s="739"/>
      <c r="DH1" s="739"/>
      <c r="DI1" s="739"/>
      <c r="DJ1" s="739"/>
      <c r="DK1" s="739"/>
      <c r="DL1" s="739"/>
      <c r="DM1" s="739"/>
      <c r="DN1" s="739" t="s">
        <v>1344</v>
      </c>
      <c r="DO1" s="739"/>
      <c r="DP1" s="739"/>
      <c r="DQ1" s="739"/>
      <c r="DR1" s="739"/>
      <c r="DS1" s="739"/>
      <c r="DT1" s="739"/>
      <c r="DU1" s="739"/>
      <c r="DV1" s="739"/>
      <c r="DW1" s="711"/>
    </row>
    <row r="2" spans="1:127" ht="9.9499999999999993" customHeight="1" thickBot="1">
      <c r="A2" s="735"/>
      <c r="B2" s="735"/>
      <c r="C2" s="735"/>
      <c r="D2" s="735"/>
      <c r="E2" s="735"/>
      <c r="F2" s="735"/>
      <c r="G2" s="735"/>
      <c r="H2" s="735"/>
      <c r="I2" s="735"/>
      <c r="J2" s="735"/>
      <c r="K2" s="735"/>
      <c r="L2" s="735"/>
      <c r="M2" s="735"/>
      <c r="N2" s="735"/>
      <c r="O2" s="735"/>
      <c r="P2" s="735"/>
      <c r="Q2" s="735"/>
      <c r="R2" s="735"/>
      <c r="S2" s="735"/>
      <c r="T2" s="735"/>
      <c r="U2" s="735"/>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0"/>
      <c r="BC2" s="740"/>
      <c r="BD2" s="740"/>
      <c r="BE2" s="740"/>
      <c r="BF2" s="740"/>
      <c r="BG2" s="740"/>
      <c r="BH2" s="740"/>
      <c r="BI2" s="740"/>
      <c r="BJ2" s="740"/>
      <c r="BK2" s="740"/>
      <c r="BL2" s="740"/>
      <c r="BM2" s="740"/>
      <c r="BN2" s="740"/>
      <c r="BO2" s="740"/>
      <c r="BP2" s="740"/>
      <c r="BQ2" s="740"/>
      <c r="BR2" s="740"/>
      <c r="BS2" s="740"/>
      <c r="BT2" s="740"/>
      <c r="BU2" s="740"/>
      <c r="BV2" s="740"/>
      <c r="BW2" s="740"/>
      <c r="BX2" s="740"/>
      <c r="BY2" s="740"/>
      <c r="BZ2" s="740"/>
      <c r="CA2" s="740"/>
      <c r="CB2" s="740"/>
      <c r="CC2" s="740"/>
      <c r="CD2" s="740"/>
      <c r="CE2" s="740"/>
      <c r="CF2" s="740"/>
      <c r="CG2" s="740"/>
      <c r="CH2" s="740"/>
      <c r="CI2" s="740"/>
      <c r="CJ2" s="740"/>
      <c r="CK2" s="740"/>
      <c r="CL2" s="740"/>
      <c r="CM2" s="740"/>
      <c r="CN2" s="740"/>
      <c r="CO2" s="740"/>
      <c r="CP2" s="740"/>
      <c r="CQ2" s="740"/>
      <c r="CR2" s="740"/>
      <c r="CS2" s="740"/>
      <c r="CT2" s="740"/>
      <c r="CU2" s="740"/>
      <c r="CV2" s="740"/>
      <c r="CW2" s="740"/>
      <c r="CX2" s="740"/>
      <c r="CY2" s="740"/>
      <c r="CZ2" s="740"/>
      <c r="DA2" s="740"/>
      <c r="DB2" s="740"/>
      <c r="DC2" s="747"/>
      <c r="DD2" s="740"/>
      <c r="DE2" s="740"/>
      <c r="DF2" s="740"/>
      <c r="DG2" s="740"/>
      <c r="DH2" s="740"/>
      <c r="DI2" s="740"/>
      <c r="DJ2" s="740"/>
      <c r="DK2" s="740"/>
      <c r="DL2" s="740"/>
      <c r="DM2" s="740"/>
      <c r="DN2" s="740"/>
      <c r="DO2" s="740"/>
      <c r="DP2" s="740"/>
      <c r="DQ2" s="740"/>
      <c r="DR2" s="740"/>
      <c r="DS2" s="740"/>
      <c r="DT2" s="740"/>
      <c r="DU2" s="740"/>
      <c r="DV2" s="740"/>
      <c r="DW2" s="8"/>
    </row>
    <row r="3" spans="1:127" ht="15.75" thickBot="1">
      <c r="A3" s="735"/>
      <c r="B3" s="735"/>
      <c r="C3" s="735"/>
      <c r="D3" s="735" t="s">
        <v>1199</v>
      </c>
      <c r="E3" s="736" t="s">
        <v>636</v>
      </c>
      <c r="F3" s="736" t="s">
        <v>637</v>
      </c>
      <c r="G3" s="735"/>
      <c r="H3" s="736" t="s">
        <v>638</v>
      </c>
      <c r="I3" s="736" t="s">
        <v>639</v>
      </c>
      <c r="J3" s="735"/>
      <c r="K3" s="736" t="s">
        <v>643</v>
      </c>
      <c r="L3" s="736" t="s">
        <v>644</v>
      </c>
      <c r="M3" s="736"/>
      <c r="N3" s="736" t="s">
        <v>1209</v>
      </c>
      <c r="O3" s="736" t="s">
        <v>1210</v>
      </c>
      <c r="P3" s="735"/>
      <c r="Q3" s="736" t="s">
        <v>1211</v>
      </c>
      <c r="R3" s="736" t="s">
        <v>1212</v>
      </c>
      <c r="S3" s="735"/>
      <c r="T3" s="736" t="s">
        <v>1213</v>
      </c>
      <c r="U3" s="736"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0"/>
      <c r="BC3" s="740"/>
      <c r="BD3" s="740"/>
      <c r="BE3" s="740"/>
      <c r="BF3" s="740"/>
      <c r="BG3" s="740"/>
      <c r="BH3" s="740"/>
      <c r="BI3" s="740"/>
      <c r="BJ3" s="740"/>
      <c r="BK3" s="740"/>
      <c r="BL3" s="740"/>
      <c r="BM3" s="740"/>
      <c r="BN3" s="740"/>
      <c r="BO3" s="740"/>
      <c r="BP3" s="740"/>
      <c r="BQ3" s="740"/>
      <c r="BR3" s="740"/>
      <c r="BS3" s="740"/>
      <c r="BT3" s="740"/>
      <c r="BU3" s="740"/>
      <c r="BV3" s="740"/>
      <c r="BW3" s="740"/>
      <c r="BX3" s="740"/>
      <c r="BY3" s="740"/>
      <c r="BZ3" s="740"/>
      <c r="CA3" s="740"/>
      <c r="CB3" s="740"/>
      <c r="CC3" s="740"/>
      <c r="CD3" s="740"/>
      <c r="CE3" s="740"/>
      <c r="CF3" s="740"/>
      <c r="CG3" s="740"/>
      <c r="CH3" s="740"/>
      <c r="CI3" s="740"/>
      <c r="CJ3" s="740"/>
      <c r="CK3" s="740"/>
      <c r="CL3" s="740"/>
      <c r="CM3" s="740"/>
      <c r="CN3" s="740"/>
      <c r="CO3" s="740"/>
      <c r="CP3" s="740"/>
      <c r="CQ3" s="740"/>
      <c r="CR3" s="740"/>
      <c r="CS3" s="740"/>
      <c r="CT3" s="740"/>
      <c r="CU3" s="740"/>
      <c r="CV3" s="740"/>
      <c r="CW3" s="740"/>
      <c r="CX3" s="740"/>
      <c r="CY3" s="740"/>
      <c r="CZ3" s="740"/>
      <c r="DA3" s="740"/>
      <c r="DB3" s="740"/>
      <c r="DC3" s="740"/>
      <c r="DD3" s="740"/>
      <c r="DE3" s="740"/>
      <c r="DF3" s="740"/>
      <c r="DG3" s="740"/>
      <c r="DH3" s="740"/>
      <c r="DI3" s="740"/>
      <c r="DJ3" s="740"/>
      <c r="DK3" s="740"/>
      <c r="DL3" s="740"/>
      <c r="DM3" s="740"/>
      <c r="DN3" s="740"/>
      <c r="DO3" s="740"/>
      <c r="DP3" s="740"/>
      <c r="DQ3" s="740"/>
      <c r="DR3" s="740"/>
      <c r="DS3" s="740"/>
      <c r="DT3" s="740" t="s">
        <v>1902</v>
      </c>
      <c r="DU3" s="740"/>
      <c r="DV3" s="740"/>
      <c r="DW3" s="8"/>
    </row>
    <row r="4" spans="1:127" ht="15" customHeight="1" thickBot="1">
      <c r="A4" s="737" t="s">
        <v>30</v>
      </c>
      <c r="B4" s="738" t="s">
        <v>0</v>
      </c>
      <c r="C4" s="739">
        <f>COUNTIF(Equipos!$C$2:$C$49,WORLDCUP!B4)</f>
        <v>4</v>
      </c>
      <c r="D4" s="740" t="str">
        <f t="shared" ref="D4:D9" si="0">IF(OR(AC4="",AD4=""),"Pendiente",IF(AC4&gt;AD4,"Local",IF(AC4&lt;AD4,"Visitante","Empate")))</f>
        <v>Pendiente</v>
      </c>
      <c r="E4" s="740" t="str">
        <f t="shared" ref="E4:E9" si="1">IF(D4="Pendiente","-",INDEX($BT$6:$BT$53,MATCH($AA4,$BD$6:$BD$53,0)))</f>
        <v>-</v>
      </c>
      <c r="F4" s="740" t="str">
        <f t="shared" ref="F4:F9" si="2">IF(D4="Pendiente","-",INDEX($BT$6:$BT$53,MATCH($AF4,$BD$6:$BD$53,0)))</f>
        <v>-</v>
      </c>
      <c r="G4" s="740"/>
      <c r="H4" s="740" t="str">
        <f t="shared" ref="H4:H9" si="3">IF(D4="Pendiente","-",INDEX($BZ$6:$BZ$53,MATCH($AA4,$BD$6:$BD$53,0)))</f>
        <v>-</v>
      </c>
      <c r="I4" s="740" t="str">
        <f t="shared" ref="I4:I9" si="4">IF(D4="Pendiente","-",INDEX($BZ$6:$BZ$53,MATCH($AF4,$BD$6:$BD$53,0)))</f>
        <v>-</v>
      </c>
      <c r="J4" s="740"/>
      <c r="K4" s="740" t="str">
        <f t="shared" ref="K4:K9" si="5">IF(D4="Pendiente","-",INDEX($CE$6:$CE$53,MATCH($AA4,$BD$6:$BD$53,0)))</f>
        <v>-</v>
      </c>
      <c r="L4" s="740" t="str">
        <f t="shared" ref="L4:L9" si="6">IF(D4="Pendiente","-",INDEX($CE$6:$CE$53,MATCH($AF4,$BD$6:$BD$53,0)))</f>
        <v>-</v>
      </c>
      <c r="M4" s="740"/>
      <c r="N4" s="740" t="str">
        <f t="shared" ref="N4:N9" si="7">IF(D4="Pendiente","-",INDEX($CH$6:$CH$53,MATCH($AA4,$BD$6:$BD$53,0)))</f>
        <v>-</v>
      </c>
      <c r="O4" s="740" t="str">
        <f t="shared" ref="O4:O9" si="8">IF(D4="Pendiente","-",INDEX($CH$6:$CH$53,MATCH($AF4,$BD$6:$BD$53,0)))</f>
        <v>-</v>
      </c>
      <c r="P4" s="740"/>
      <c r="Q4" s="740" t="str">
        <f t="shared" ref="Q4:Q9" si="9">IF(D4="Pendiente","-",INDEX($CN$6:$CN$53,MATCH($AA4,$BD$6:$BD$53,0)))</f>
        <v>-</v>
      </c>
      <c r="R4" s="740" t="str">
        <f t="shared" ref="R4:R9" si="10">IF(D4="Pendiente","-",INDEX($CN$6:$CN$53,MATCH($AF4,$BD$6:$BD$53,0)))</f>
        <v>-</v>
      </c>
      <c r="S4" s="740"/>
      <c r="T4" s="740" t="str">
        <f t="shared" ref="T4:T9" si="11">IF(D4="Pendiente","-",INDEX($CS$6:$CS$53,MATCH($AA4,$BD$6:$BD$53,0)))</f>
        <v>-</v>
      </c>
      <c r="U4" s="740" t="str">
        <f t="shared" ref="U4:U9" si="12">IF(D4="Pendiente","-",INDEX($CS$6:$CS$53,MATCH($AF4,$BD$6:$BD$53,0)))</f>
        <v>-</v>
      </c>
      <c r="V4" s="172"/>
      <c r="W4" s="881" t="s">
        <v>0</v>
      </c>
      <c r="X4" s="189">
        <f ca="1">Horarios!C4</f>
        <v>46184.625</v>
      </c>
      <c r="Y4" s="190">
        <f ca="1">Horarios!C4</f>
        <v>46184.625</v>
      </c>
      <c r="Z4" s="191" t="str">
        <f>Idiomas!D63</f>
        <v>J1</v>
      </c>
      <c r="AA4" s="192" t="str">
        <f ca="1">+A5</f>
        <v>México</v>
      </c>
      <c r="AB4" s="479" t="str" cm="1">
        <f t="array" aca="1" ref="AB4" ca="1">Ver_flag_local</f>
        <v/>
      </c>
      <c r="AC4" s="193"/>
      <c r="AD4" s="194"/>
      <c r="AE4" s="482"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0"/>
      <c r="BC4" s="740"/>
      <c r="BD4" s="740"/>
      <c r="BE4" s="740"/>
      <c r="BF4" s="740"/>
      <c r="BG4" s="740"/>
      <c r="BH4" s="740"/>
      <c r="BI4" s="740"/>
      <c r="BJ4" s="740"/>
      <c r="BK4" s="740"/>
      <c r="BL4" s="740"/>
      <c r="BM4" s="740"/>
      <c r="BN4" s="740"/>
      <c r="BO4" s="740"/>
      <c r="BP4" s="740"/>
      <c r="BQ4" s="740"/>
      <c r="BR4" s="740"/>
      <c r="BS4" s="740"/>
      <c r="BT4" s="740"/>
      <c r="BU4" s="740"/>
      <c r="BV4" s="740"/>
      <c r="BW4" s="740"/>
      <c r="BX4" s="740"/>
      <c r="BY4" s="740"/>
      <c r="BZ4" s="740"/>
      <c r="CA4" s="740"/>
      <c r="CB4" s="740"/>
      <c r="CC4" s="740"/>
      <c r="CD4" s="740"/>
      <c r="CE4" s="740"/>
      <c r="CF4" s="740"/>
      <c r="CG4" s="740"/>
      <c r="CH4" s="740"/>
      <c r="CI4" s="740"/>
      <c r="CJ4" s="740"/>
      <c r="CK4" s="740"/>
      <c r="CL4" s="740"/>
      <c r="CM4" s="740"/>
      <c r="CN4" s="740"/>
      <c r="CO4" s="740"/>
      <c r="CP4" s="740"/>
      <c r="CQ4" s="740"/>
      <c r="CR4" s="740"/>
      <c r="CS4" s="740"/>
      <c r="CT4" s="740"/>
      <c r="CU4" s="740"/>
      <c r="CV4" s="740"/>
      <c r="CW4" s="740"/>
      <c r="CX4" s="740"/>
      <c r="CY4" s="745"/>
      <c r="CZ4" s="740"/>
      <c r="DA4" s="740"/>
      <c r="DB4" s="740"/>
      <c r="DC4" s="740" t="s">
        <v>1336</v>
      </c>
      <c r="DD4" s="740"/>
      <c r="DE4" s="740"/>
      <c r="DF4" s="740"/>
      <c r="DG4" s="740"/>
      <c r="DH4" s="740"/>
      <c r="DI4" s="740"/>
      <c r="DJ4" s="740"/>
      <c r="DK4" s="740"/>
      <c r="DL4" s="740"/>
      <c r="DM4" s="740"/>
      <c r="DN4" s="740"/>
      <c r="DO4" s="740"/>
      <c r="DP4" s="740"/>
      <c r="DQ4" s="740"/>
      <c r="DR4" s="740"/>
      <c r="DS4" s="740"/>
      <c r="DT4" s="740" t="str">
        <f ca="1">AA4&amp;"-"&amp;AF4</f>
        <v>México-Sudáfrica</v>
      </c>
      <c r="DU4" s="740"/>
      <c r="DV4" s="740"/>
      <c r="DW4" s="8"/>
    </row>
    <row r="5" spans="1:127" ht="17.100000000000001" customHeight="1">
      <c r="A5" s="741" t="str">
        <f ca="1">+Equipos!B2</f>
        <v>México</v>
      </c>
      <c r="B5" s="738"/>
      <c r="C5" s="738"/>
      <c r="D5" s="740" t="str">
        <f t="shared" si="0"/>
        <v>Pendiente</v>
      </c>
      <c r="E5" s="740" t="str">
        <f t="shared" si="1"/>
        <v>-</v>
      </c>
      <c r="F5" s="740" t="str">
        <f t="shared" si="2"/>
        <v>-</v>
      </c>
      <c r="G5" s="740"/>
      <c r="H5" s="740" t="str">
        <f t="shared" si="3"/>
        <v>-</v>
      </c>
      <c r="I5" s="740" t="str">
        <f t="shared" si="4"/>
        <v>-</v>
      </c>
      <c r="J5" s="740"/>
      <c r="K5" s="740" t="str">
        <f t="shared" si="5"/>
        <v>-</v>
      </c>
      <c r="L5" s="740" t="str">
        <f t="shared" si="6"/>
        <v>-</v>
      </c>
      <c r="M5" s="740"/>
      <c r="N5" s="740" t="str">
        <f t="shared" si="7"/>
        <v>-</v>
      </c>
      <c r="O5" s="740" t="str">
        <f t="shared" si="8"/>
        <v>-</v>
      </c>
      <c r="P5" s="740"/>
      <c r="Q5" s="740" t="str">
        <f t="shared" si="9"/>
        <v>-</v>
      </c>
      <c r="R5" s="740" t="str">
        <f t="shared" si="10"/>
        <v>-</v>
      </c>
      <c r="S5" s="740"/>
      <c r="T5" s="740" t="str">
        <f t="shared" si="11"/>
        <v>-</v>
      </c>
      <c r="U5" s="740" t="str">
        <f t="shared" si="12"/>
        <v>-</v>
      </c>
      <c r="V5" s="172"/>
      <c r="W5" s="881"/>
      <c r="X5" s="189">
        <f ca="1">Horarios!C5</f>
        <v>46184.916666666664</v>
      </c>
      <c r="Y5" s="190">
        <f ca="1">Horarios!C5</f>
        <v>46184.916666666664</v>
      </c>
      <c r="Z5" s="191" t="str">
        <f>$Z$4</f>
        <v>J1</v>
      </c>
      <c r="AA5" s="192" t="str">
        <f ca="1">A7</f>
        <v>Corea del Sur</v>
      </c>
      <c r="AB5" s="479" t="str" cm="1">
        <f t="array" aca="1" ref="AB5" ca="1">Ver_flag_local</f>
        <v/>
      </c>
      <c r="AC5" s="193"/>
      <c r="AD5" s="194"/>
      <c r="AE5" s="482"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0"/>
      <c r="BC5" s="748" t="str">
        <f>Idiomas!D22</f>
        <v>Grupo</v>
      </c>
      <c r="BD5" s="748" t="str">
        <f>Idiomas!D54</f>
        <v>Selección</v>
      </c>
      <c r="BE5" s="748" t="str">
        <f t="shared" ref="BE5:BL5" si="14">+AM5</f>
        <v>Pts</v>
      </c>
      <c r="BF5" s="748" t="str">
        <f t="shared" si="14"/>
        <v>J</v>
      </c>
      <c r="BG5" s="748" t="str">
        <f t="shared" si="14"/>
        <v>G</v>
      </c>
      <c r="BH5" s="748" t="str">
        <f t="shared" si="14"/>
        <v>E</v>
      </c>
      <c r="BI5" s="748" t="str">
        <f t="shared" si="14"/>
        <v>P</v>
      </c>
      <c r="BJ5" s="748" t="str">
        <f t="shared" si="14"/>
        <v>GF</v>
      </c>
      <c r="BK5" s="748" t="str">
        <f t="shared" si="14"/>
        <v>GC</v>
      </c>
      <c r="BL5" s="748" t="str">
        <f t="shared" si="14"/>
        <v>DG</v>
      </c>
      <c r="BM5" s="748" t="s">
        <v>612</v>
      </c>
      <c r="BN5" s="748" t="s">
        <v>613</v>
      </c>
      <c r="BO5" s="749" t="s">
        <v>1815</v>
      </c>
      <c r="BP5" s="749" t="s">
        <v>1816</v>
      </c>
      <c r="BQ5" s="749" t="s">
        <v>1817</v>
      </c>
      <c r="BR5" s="749" t="s">
        <v>614</v>
      </c>
      <c r="BS5" s="749" t="s">
        <v>617</v>
      </c>
      <c r="BT5" s="749" t="s">
        <v>615</v>
      </c>
      <c r="BU5" s="748" t="s">
        <v>632</v>
      </c>
      <c r="BV5" s="748" t="s">
        <v>633</v>
      </c>
      <c r="BW5" s="748" t="s">
        <v>634</v>
      </c>
      <c r="BX5" s="748" t="s">
        <v>635</v>
      </c>
      <c r="BY5" s="748" t="s">
        <v>618</v>
      </c>
      <c r="BZ5" s="749" t="s">
        <v>616</v>
      </c>
      <c r="CA5" s="749" t="s">
        <v>640</v>
      </c>
      <c r="CB5" s="749" t="s">
        <v>641</v>
      </c>
      <c r="CC5" s="749" t="s">
        <v>642</v>
      </c>
      <c r="CD5" s="749" t="s">
        <v>619</v>
      </c>
      <c r="CE5" s="749" t="s">
        <v>620</v>
      </c>
      <c r="CF5" s="748" t="s">
        <v>640</v>
      </c>
      <c r="CG5" s="748" t="s">
        <v>621</v>
      </c>
      <c r="CH5" s="749" t="s">
        <v>622</v>
      </c>
      <c r="CI5" s="748" t="s">
        <v>1203</v>
      </c>
      <c r="CJ5" s="748" t="s">
        <v>1204</v>
      </c>
      <c r="CK5" s="748" t="s">
        <v>1205</v>
      </c>
      <c r="CL5" s="748" t="s">
        <v>1206</v>
      </c>
      <c r="CM5" s="748" t="s">
        <v>623</v>
      </c>
      <c r="CN5" s="749" t="s">
        <v>624</v>
      </c>
      <c r="CO5" s="749" t="s">
        <v>1200</v>
      </c>
      <c r="CP5" s="749" t="s">
        <v>1201</v>
      </c>
      <c r="CQ5" s="749" t="s">
        <v>1202</v>
      </c>
      <c r="CR5" s="749" t="s">
        <v>625</v>
      </c>
      <c r="CS5" s="749" t="s">
        <v>626</v>
      </c>
      <c r="CT5" s="748" t="s">
        <v>1200</v>
      </c>
      <c r="CU5" s="748" t="s">
        <v>1207</v>
      </c>
      <c r="CV5" s="749" t="s">
        <v>1208</v>
      </c>
      <c r="CW5" s="749" t="s">
        <v>66</v>
      </c>
      <c r="CX5" s="749" t="s">
        <v>1215</v>
      </c>
      <c r="CY5" s="749" t="s">
        <v>1216</v>
      </c>
      <c r="CZ5" s="749" t="s">
        <v>8</v>
      </c>
      <c r="DA5" s="749" t="s">
        <v>1217</v>
      </c>
      <c r="DB5" s="749" t="s">
        <v>1218</v>
      </c>
      <c r="DC5" s="750" t="s">
        <v>1255</v>
      </c>
      <c r="DD5" s="750" t="s">
        <v>628</v>
      </c>
      <c r="DE5" s="751"/>
      <c r="DF5" s="750" t="s">
        <v>629</v>
      </c>
      <c r="DG5" s="750" t="s">
        <v>630</v>
      </c>
      <c r="DH5" s="750" t="s">
        <v>631</v>
      </c>
      <c r="DI5" s="740"/>
      <c r="DJ5" s="742" t="s">
        <v>652</v>
      </c>
      <c r="DK5" s="742" t="s">
        <v>1195</v>
      </c>
      <c r="DL5" s="742" t="s">
        <v>653</v>
      </c>
      <c r="DM5" s="742" t="s">
        <v>654</v>
      </c>
      <c r="DN5" s="742" t="s">
        <v>655</v>
      </c>
      <c r="DO5" s="742"/>
      <c r="DP5" s="742" t="s">
        <v>762</v>
      </c>
      <c r="DQ5" s="742" t="s">
        <v>763</v>
      </c>
      <c r="DR5" s="740"/>
      <c r="DS5" s="740"/>
      <c r="DT5" s="740" t="str">
        <f t="shared" ref="DT5:DT68" ca="1" si="15">AA5&amp;"-"&amp;AF5</f>
        <v>Corea del Sur-República Checa</v>
      </c>
      <c r="DU5" s="740"/>
      <c r="DV5" s="740"/>
      <c r="DW5" s="8"/>
    </row>
    <row r="6" spans="1:127" ht="17.100000000000001" customHeight="1">
      <c r="A6" s="741" t="str">
        <f ca="1">+Equipos!B3</f>
        <v>Sudáfrica</v>
      </c>
      <c r="B6" s="738"/>
      <c r="C6" s="742"/>
      <c r="D6" s="740" t="str">
        <f t="shared" si="0"/>
        <v>Pendiente</v>
      </c>
      <c r="E6" s="740" t="str">
        <f t="shared" si="1"/>
        <v>-</v>
      </c>
      <c r="F6" s="740" t="str">
        <f t="shared" si="2"/>
        <v>-</v>
      </c>
      <c r="G6" s="740"/>
      <c r="H6" s="740" t="str">
        <f t="shared" si="3"/>
        <v>-</v>
      </c>
      <c r="I6" s="740" t="str">
        <f t="shared" si="4"/>
        <v>-</v>
      </c>
      <c r="J6" s="740"/>
      <c r="K6" s="740" t="str">
        <f t="shared" si="5"/>
        <v>-</v>
      </c>
      <c r="L6" s="740" t="str">
        <f t="shared" si="6"/>
        <v>-</v>
      </c>
      <c r="M6" s="740"/>
      <c r="N6" s="740" t="str">
        <f t="shared" si="7"/>
        <v>-</v>
      </c>
      <c r="O6" s="740" t="str">
        <f t="shared" si="8"/>
        <v>-</v>
      </c>
      <c r="P6" s="740"/>
      <c r="Q6" s="740" t="str">
        <f t="shared" si="9"/>
        <v>-</v>
      </c>
      <c r="R6" s="740" t="str">
        <f t="shared" si="10"/>
        <v>-</v>
      </c>
      <c r="S6" s="740"/>
      <c r="T6" s="740" t="str">
        <f t="shared" si="11"/>
        <v>-</v>
      </c>
      <c r="U6" s="740" t="str">
        <f t="shared" si="12"/>
        <v>-</v>
      </c>
      <c r="V6" s="172"/>
      <c r="W6" s="881"/>
      <c r="X6" s="189">
        <f ca="1">Horarios!C6</f>
        <v>46191.5</v>
      </c>
      <c r="Y6" s="190">
        <f ca="1">Horarios!C6</f>
        <v>46191.5</v>
      </c>
      <c r="Z6" s="191" t="str">
        <f>Idiomas!D64</f>
        <v>J2</v>
      </c>
      <c r="AA6" s="192" t="str">
        <f ca="1">A8</f>
        <v>República Checa</v>
      </c>
      <c r="AB6" s="479" t="str" cm="1">
        <f t="array" aca="1" ref="AB6" ca="1">Ver_flag_local</f>
        <v/>
      </c>
      <c r="AC6" s="193"/>
      <c r="AD6" s="194"/>
      <c r="AE6" s="482" t="str" cm="1">
        <f t="array" aca="1" ref="AE6" ca="1">Ver_flag_visit</f>
        <v/>
      </c>
      <c r="AF6" s="195" t="str">
        <f ca="1">A6</f>
        <v>Sudáfrica</v>
      </c>
      <c r="AG6" s="413">
        <f t="shared" si="13"/>
        <v>0</v>
      </c>
      <c r="AH6" s="196">
        <v>25</v>
      </c>
      <c r="AI6" s="19" t="str">
        <f>AJ6&amp;$B$4</f>
        <v>1A</v>
      </c>
      <c r="AJ6" s="211">
        <v>1</v>
      </c>
      <c r="AK6" s="489"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0"/>
      <c r="BC6" s="752" t="str">
        <f ca="1">+INDEX(T_Equipos[Grupo],MATCH(WORLDCUP!BD6,T_Equipos[NombreEquipo],0))</f>
        <v>A</v>
      </c>
      <c r="BD6" s="740" t="str">
        <f ca="1">+Equipos!B2</f>
        <v>México</v>
      </c>
      <c r="BE6" s="744">
        <f ca="1">+BG6*3+BH6+IF($AZ$3="no",0,INDEX($AZ$6:$AZ$97,MATCH(BD6,$AY$6:$AY$97,0)))</f>
        <v>0</v>
      </c>
      <c r="BF6" s="744">
        <f ca="1">+BG6+BH6+BI6</f>
        <v>0</v>
      </c>
      <c r="BG6" s="744">
        <f t="shared" ref="BG6:BG53" ca="1" si="17">+COUNTIFS(FGLocal,BD6,Ganador,"Local")+COUNTIFS(FGVisitante,BD6,Ganador,"Visitante")</f>
        <v>0</v>
      </c>
      <c r="BH6" s="744">
        <f t="shared" ref="BH6:BH53" ca="1" si="18">+COUNTIFS(FGLocal,BD6,Ganador,"Empate")+COUNTIFS(FGVisitante,BD6,Ganador,"Empate")</f>
        <v>0</v>
      </c>
      <c r="BI6" s="744">
        <f t="shared" ref="BI6:BI53" ca="1" si="19">+COUNTIFS(FGVisitante,BD6,Ganador,"Local")+COUNTIFS(FGLocal,BD6,Ganador,"Visitante")</f>
        <v>0</v>
      </c>
      <c r="BJ6" s="744">
        <f t="shared" ref="BJ6:BJ53" ca="1" si="20">+SUMIFS(FG_GolesLocal,FGLocal,BD6,Ganador,"&lt;&gt;"&amp;"Pendiente",FG_GolesLocal,"&lt;&gt;"&amp;"",FG_GolesVisitante,"&lt;&gt;"&amp;"")+SUMIFS(FG_GolesVisitante,FGVisitante,BD6,Ganador,"&lt;&gt;"&amp;"Pendiente",FG_GolesLocal,"&lt;&gt;"&amp;"",FG_GolesVisitante,"&lt;&gt;"&amp;"")</f>
        <v>0</v>
      </c>
      <c r="BK6" s="744">
        <f t="shared" ref="BK6:BK53" ca="1" si="21">+SUMIFS(FG_GolesLocal,FGVisitante,BD6,Ganador,"&lt;&gt;"&amp;"Pendiente",FG_GolesLocal,"&lt;&gt;"&amp;"",FG_GolesVisitante,"&lt;&gt;"&amp;"")+SUMIFS(FG_GolesVisitante,FGLocal,BD6,Ganador,"&lt;&gt;"&amp;"Pendiente",FG_GolesLocal,"&lt;&gt;"&amp;"",FG_GolesVisitante,"&lt;&gt;"&amp;"")</f>
        <v>0</v>
      </c>
      <c r="BL6" s="744">
        <f ca="1">+BJ6-BK6</f>
        <v>0</v>
      </c>
      <c r="BM6" s="744" t="str">
        <f t="shared" ref="BM6:BM53" ca="1" si="22">DD6&amp;BC6</f>
        <v>1A</v>
      </c>
      <c r="BN6" s="744" t="str">
        <f t="shared" ref="BN6:BN53" ca="1" si="23">DH6&amp;BC6</f>
        <v>1A</v>
      </c>
      <c r="BO6" s="753">
        <f ca="1">IF(AND($AJ$99=144,BF6&gt;=1),1,0)</f>
        <v>0</v>
      </c>
      <c r="BP6" s="753">
        <f ca="1">COUNTIFS($BO$6:$BO$53,"&gt;"&amp;BO6,$BC$6:$BC$53,INDEX(T_Equipos[Grupo],MATCH(BD6,T_Equipos[NombreEquipo],0)))+1</f>
        <v>1</v>
      </c>
      <c r="BQ6" s="753" t="str">
        <f ca="1">IF(COUNTIFS($BP$6:$BP$53,BP6,$BC$6:$BC$53,INDEX(T_Equipos[Grupo],MATCH(BD6,T_Equipos[NombreEquipo],0)))=1,"-","P."&amp;BP6&amp;" ("&amp;COUNTIFS($BP$6:$BP$53,BP6,$BC$6:$BC$53,INDEX(T_Equipos[Grupo],MATCH(BD6,T_Equipos[NombreEquipo],0)))&amp;")")</f>
        <v>P.1 (4)</v>
      </c>
      <c r="BR6" s="753">
        <f ca="1">IF($BQ6="-","-",BE6)</f>
        <v>0</v>
      </c>
      <c r="BS6" s="753">
        <f ca="1">BP6+COUNTIFS($BQ$6:$BQ$53,BQ6,$BR$6:BR$53,"&gt;"&amp;BR6,$BC$6:$BC$53,INDEX(T_Equipos[Grupo],MATCH(BD6,T_Equipos[NombreEquipo],0)))</f>
        <v>1</v>
      </c>
      <c r="BT6" s="753" t="str">
        <f ca="1">IF(COUNTIFS($BS$6:$BS$53,BS6,$BC$6:$BC$53,INDEX(T_Equipos[Grupo],MATCH(BD6,T_Equipos[NombreEquipo],0)))=1,"-","P."&amp;BS6&amp;" ("&amp;COUNTIFS($BS$6:$BS$53,BS6,$BC$6:$BC$53,INDEX(T_Equipos[Grupo],MATCH(BD6,T_Equipos[NombreEquipo],0)))&amp;")")</f>
        <v>P.1 (4)</v>
      </c>
      <c r="BU6" s="754">
        <f ca="1">IF($BT6="-","-",COUNTIFS(FGLocal,$BD6,Ganador,"Local",Part1Empate1V,$BT6)+COUNTIFS(FGVisitante,$BD6,Ganador,"Visitante",Part1Empate1L,$BT6))</f>
        <v>0</v>
      </c>
      <c r="BV6" s="754">
        <f ca="1">IF($BT6="-","-",COUNTIFS(FGLocal,$BD6,Ganador,"Empate",Part1Empate1V,$BT6)+COUNTIFS(FGVisitante,$BD6,Ganador,"Empate",Part1Empate1L,$BT6))</f>
        <v>0</v>
      </c>
      <c r="BW6" s="754">
        <f ca="1">IF($BT6="-","-",COUNTIFS(FGLocal,$BD6,Ganador,"Visitante",Part1Empate1V,$BT6)+COUNTIFS(FGVisitante,$BD6,Ganador,"Local",Part1Empate1L,$BT6))</f>
        <v>0</v>
      </c>
      <c r="BX6" s="754">
        <f ca="1">IF($BT6="-","-",BU6*3+BV6)</f>
        <v>0</v>
      </c>
      <c r="BY6" s="754">
        <f ca="1">BS6+COUNTIFS($BT$6:$BT$53,BT6,$BX$6:BX$53,"&gt;"&amp;BX6,$BC$6:$BC$53,INDEX(T_Equipos[Grupo],MATCH(BD6,T_Equipos[NombreEquipo],0)))</f>
        <v>1</v>
      </c>
      <c r="BZ6" s="753" t="str">
        <f ca="1">IF(COUNTIFS($BY$6:$BY$53,BY6,$BC$6:$BC$53,INDEX(T_Equipos[Grupo],MATCH(BD6,T_Equipos[NombreEquipo],0)))=1,"-","P."&amp;BY6&amp;" ("&amp;COUNTIFS($BY$6:$BY$53,BY6,$BC$6:$BC$53,INDEX(T_Equipos[Grupo],MATCH(BD6,T_Equipos[NombreEquipo],0)))&amp;")")</f>
        <v>P.1 (4)</v>
      </c>
      <c r="CA6" s="754">
        <f ca="1">IF($BZ6="-","-",SUMIFS(FG_GolesLocal,FGLocal,$BD6,Part1Empate2V,$BZ6)+SUMIFS(FG_GolesVisitante,FGVisitante,$BD6,Part1Empate2L,$BZ6))</f>
        <v>0</v>
      </c>
      <c r="CB6" s="754">
        <f ca="1">IF($BZ6="-","-",SUMIFS(FG_GolesVisitante,FGLocal,$BD6,Part1Empate2V,$BZ6)+SUMIFS(FG_GolesLocal,FGVisitante,$BD6,Part1Empate2L,$BZ6))</f>
        <v>0</v>
      </c>
      <c r="CC6" s="754">
        <f ca="1">IF($BZ6="-","-",CA6-CB6)</f>
        <v>0</v>
      </c>
      <c r="CD6" s="754">
        <f ca="1">BY6+COUNTIFS($BZ$6:$BZ$53,BZ6,$CC$6:CC$53,"&gt;"&amp;CC6,$BC$6:$BC$53,INDEX(T_Equipos[Grupo],MATCH(BD6,T_Equipos[NombreEquipo],0)))</f>
        <v>1</v>
      </c>
      <c r="CE6" s="753" t="str">
        <f ca="1">IF(COUNTIFS($CD$6:$CD$53,CD6,$BC$6:$BC$53,INDEX(T_Equipos[Grupo],MATCH(BD6,T_Equipos[NombreEquipo],0)))=1,"-","P."&amp;CD6&amp;" ("&amp;COUNTIFS($CD$6:$CD$53,CD6,$BC$6:$BC$53,INDEX(T_Equipos[Grupo],MATCH(BD6,T_Equipos[NombreEquipo],0)))&amp;")")</f>
        <v>P.1 (4)</v>
      </c>
      <c r="CF6" s="754">
        <f ca="1">IF($CE6="-","-",SUMIFS(FG_GolesLocal,FGLocal,$BD6,Part1Empate3V,$CE6)+SUMIFS(FG_GolesVisitante,FGVisitante,$BD6,Part1Empate3L,$CE6))</f>
        <v>0</v>
      </c>
      <c r="CG6" s="754">
        <f ca="1">CD6+COUNTIFS($CE$6:$CE$53,CE6,$CF$6:CF$53,"&gt;"&amp;CF6,$BC$6:$BC$53,INDEX(T_Equipos[Grupo],MATCH(BD6,T_Equipos[NombreEquipo],0)))</f>
        <v>1</v>
      </c>
      <c r="CH6" s="753" t="str">
        <f ca="1">IF(COUNTIFS($CG$6:$CG$53,CG6,$BC$6:$BC$53,INDEX(T_Equipos[Grupo],MATCH(BD6,T_Equipos[NombreEquipo],0)))=1,"-","P."&amp;CG6&amp;" ("&amp;COUNTIFS($CG$6:$CG$53,CG6,$BC$6:$BC$53,INDEX(T_Equipos[Grupo],MATCH(BD6,T_Equipos[NombreEquipo],0)))&amp;")")</f>
        <v>P.1 (4)</v>
      </c>
      <c r="CI6" s="754">
        <f ca="1">IF($CH6="-","-",COUNTIFS(FGLocal,$BD6,Ganador,"Local",Part2Empate4V,$CH6)+COUNTIFS(FGVisitante,$BD6,Ganador,"Visitante",Part2Empate4L,$CH6))</f>
        <v>0</v>
      </c>
      <c r="CJ6" s="754">
        <f ca="1">IF($CH6="-","-",COUNTIFS(FGLocal,$BD6,Ganador,"Empate",Part2Empate4V,$CH6)+COUNTIFS(FGVisitante,$BD6,Ganador,"Empate",Part2Empate4L,$CH6))</f>
        <v>0</v>
      </c>
      <c r="CK6" s="754">
        <f ca="1">IF($CH6="-","-",COUNTIFS(FGLocal,$BD6,Ganador,"Visitante",Part2Empate4V,$CH6)+COUNTIFS(FGVisitante,$BD6,Ganador,"Local",Part2Empate4L,$CH6))</f>
        <v>0</v>
      </c>
      <c r="CL6" s="754">
        <f ca="1">IF($CH6="-","-",CI6*3+CJ6)</f>
        <v>0</v>
      </c>
      <c r="CM6" s="754">
        <f ca="1">CG6+COUNTIFS($CH$6:$CH$53,CH6,$CL$6:CL$53,"&gt;"&amp;CL6,$BC$6:$BC$53,INDEX(T_Equipos[Grupo],MATCH(BD6,T_Equipos[NombreEquipo],0)))</f>
        <v>1</v>
      </c>
      <c r="CN6" s="753" t="str">
        <f ca="1">IF(COUNTIFS($CM$6:$CM$53,CM6,$BC$6:$BC$53,INDEX(T_Equipos[Grupo],MATCH(BD6,T_Equipos[NombreEquipo],0)))=1,"-","P."&amp;CM6&amp;" ("&amp;COUNTIFS($CM$6:$CM$53,CM6,$BC$6:$BC$53,INDEX(T_Equipos[Grupo],MATCH(BD6,T_Equipos[NombreEquipo],0)))&amp;")")</f>
        <v>P.1 (4)</v>
      </c>
      <c r="CO6" s="754">
        <f ca="1">IF($CN6="-","-",SUMIFS(FG_GolesLocal,FGLocal,$BD6,Part2Empate5V,$CN6)+SUMIFS(FG_GolesVisitante,FGVisitante,$BD6,Part2Empate5L,$CN6))</f>
        <v>0</v>
      </c>
      <c r="CP6" s="754">
        <f ca="1">IF($CN6="-","-",SUMIFS(FG_GolesVisitante,FGLocal,$BD6,Part2Empate5V,$CN6)+SUMIFS(FG_GolesLocal,FGVisitante,$BD6,Part2Empate5L,$CN6))</f>
        <v>0</v>
      </c>
      <c r="CQ6" s="754">
        <f ca="1">IF($CN6="-","-",CO6-CP6)</f>
        <v>0</v>
      </c>
      <c r="CR6" s="754">
        <f ca="1">CM6+COUNTIFS($CN$6:$CN$53,CN6,$CQ$6:CQ$53,"&gt;"&amp;CQ6,$BC$6:$BC$53,INDEX(T_Equipos[Grupo],MATCH(BD6,T_Equipos[NombreEquipo],0)))</f>
        <v>1</v>
      </c>
      <c r="CS6" s="753" t="str">
        <f ca="1">IF(COUNTIFS($CR$6:$CR$53,CR6,$BC$6:$BC$53,INDEX(T_Equipos[Grupo],MATCH(BD6,T_Equipos[NombreEquipo],0)))=1,"-","P."&amp;CR6&amp;" ("&amp;COUNTIFS($CR$6:$CR$53,CR6,$BC$6:$BC$53,INDEX(T_Equipos[Grupo],MATCH(BD6,T_Equipos[NombreEquipo],0)))&amp;")")</f>
        <v>P.1 (4)</v>
      </c>
      <c r="CT6" s="754">
        <f ca="1">IF($CS6="-","-",SUMIFS(FG_GolesLocal,FGLocal,$BD6,Part2Empate6V,$CS6)+SUMIFS(FG_GolesVisitante,FGVisitante,$BD6,Part2Empate6L,$CS6))</f>
        <v>0</v>
      </c>
      <c r="CU6" s="754">
        <f ca="1">CR6+COUNTIFS($CS$6:$CS$53,CS6,$CT$6:CT$53,"&gt;"&amp;CT6,$BC$6:$BC$53,INDEX(T_Equipos[Grupo],MATCH(BD6,T_Equipos[NombreEquipo],0)))</f>
        <v>1</v>
      </c>
      <c r="CV6" s="753" t="str">
        <f ca="1">IF(COUNTIFS($CU$6:$CU$53,CU6,$BC$6:$BC$53,INDEX(T_Equipos[Grupo],MATCH(BD6,T_Equipos[NombreEquipo],0)))=1,"-","P."&amp;CU6&amp;" ("&amp;COUNTIFS($CU$6:$CU$53,CU6,$BC$6:$BC$53,INDEX(T_Equipos[Grupo],MATCH(BD6,T_Equipos[NombreEquipo],0)))&amp;")")</f>
        <v>P.1 (4)</v>
      </c>
      <c r="CW6" s="753">
        <f ca="1">IF(CV6="-","-",BL6)</f>
        <v>0</v>
      </c>
      <c r="CX6" s="753">
        <f ca="1">CU6+COUNTIFS($CV$6:$CV$53,CV6,$CW$6:CW$53,"&gt;"&amp;CW6,$BC$6:$BC$53,INDEX(T_Equipos[Grupo],MATCH(BD6,T_Equipos[NombreEquipo],0)))</f>
        <v>1</v>
      </c>
      <c r="CY6" s="753" t="str">
        <f ca="1">IF(COUNTIFS($CX$6:$CX$53,CX6,$BC$6:$BC$53,INDEX(T_Equipos[Grupo],MATCH(BD6,T_Equipos[NombreEquipo],0)))=1,"-","P."&amp;CX6&amp;" ("&amp;COUNTIFS($CX$6:$CX$53,CX6,$BC$6:$BC$53,INDEX(T_Equipos[Grupo],MATCH(BD6,T_Equipos[NombreEquipo],0)))&amp;")")</f>
        <v>P.1 (4)</v>
      </c>
      <c r="CZ6" s="753">
        <f ca="1">IF(CY6="-","-",BJ6)</f>
        <v>0</v>
      </c>
      <c r="DA6" s="754">
        <f ca="1">CX6+COUNTIFS($CY$6:$CY$53,CY6,$CZ$6:CZ$53,"&gt;"&amp;CZ6,$BC$6:$BC$53,INDEX(T_Equipos[Grupo],MATCH(BD6,T_Equipos[NombreEquipo],0)))</f>
        <v>1</v>
      </c>
      <c r="DB6" s="753" t="str">
        <f ca="1">IF(COUNTIFS($DA$6:$DA$53,DA6,$BC$6:$BC$53,INDEX(T_Equipos[Grupo],MATCH(BD6,T_Equipos[NombreEquipo],0)))=1,"-","P."&amp;DA6&amp;" ("&amp;COUNTIFS($DA$6:$DA$53,DA6,$BC$6:$BC$53,INDEX(T_Equipos[Grupo],MATCH(BD6,T_Equipos[NombreEquipo],0)))&amp;")")</f>
        <v>P.1 (4)</v>
      </c>
      <c r="DC6" s="752">
        <f ca="1">IF(DB6="-","-",COUNTIFS(T_Equipos[Rank],"&lt;"&amp;INDEX(T_Equipos[Rank],MATCH(BD6,T_Equipos[NombreEquipo],0)),$BC$6:$BC$53,INDEX(T_Equipos[Grupo],MATCH(BD6,T_Equipos[NombreEquipo],0)))+1)</f>
        <v>1</v>
      </c>
      <c r="DD6" s="752">
        <f ca="1">DA6+COUNTIFS($DB$6:$DB$53,DB6,$DC$6:DC$53,"&lt;"&amp;DC6,$BC$6:$BC$53,INDEX(T_Equipos[Grupo],MATCH(BD6,T_Equipos[NombreEquipo],0)))</f>
        <v>1</v>
      </c>
      <c r="DE6" s="752"/>
      <c r="DF6" s="752">
        <f ca="1">IF(OR(INDEX($AW$6:$AW$97,MATCH($BD6,$AV$6:$AV$97,0))="",DB6="-"),DD6,INDEX($AW$6:$AW$97,MATCH($BD6,$AV$6:$AV$97,0))+DD6/1000)</f>
        <v>1</v>
      </c>
      <c r="DG6" s="752">
        <f ca="1">IF(DB6="-","-",COUNTIFS(DF$6:DF$53,"&lt;"&amp;DF6,$BC$6:$BC$53,INDEX(T_Equipos[Grupo],MATCH(BD6,T_Equipos[NombreEquipo],0))))</f>
        <v>0</v>
      </c>
      <c r="DH6" s="752">
        <f ca="1">DA6+COUNTIFS(DB$6:DB$53,DB6,DG$6:DG$53,"&lt;"&amp;DG6,$BC$6:$BC$53,INDEX(T_Equipos[Grupo],MATCH(BD6,T_Equipos[NombreEquipo],0)))</f>
        <v>1</v>
      </c>
      <c r="DI6" s="740"/>
      <c r="DJ6" s="740">
        <f ca="1">INDEX($DA$6:$DA$53,MATCH($DQ6,$BD$6:$BD$53,0))</f>
        <v>1</v>
      </c>
      <c r="DK6" s="740">
        <f t="shared" ref="DK6:DK53" ca="1" si="24">+SUMIF($BC$6:$BC$53,BC6,$BF$6:$BF$53)</f>
        <v>0</v>
      </c>
      <c r="DL6" s="740">
        <f ca="1">IF(OR(DK6=12,$AJ$99=144),COUNTIFS($DJ$6:$DJ$53,DJ6,$BC$6:$BC$53,BC6),1)</f>
        <v>1</v>
      </c>
      <c r="DM6" s="734" t="str">
        <f ca="1">DJ6&amp;"."&amp;DL6</f>
        <v>1.1</v>
      </c>
      <c r="DN6" s="740" cm="1">
        <f t="array" aca="1" ref="DN6" ca="1">OFFSET(Horarios!$P$3,DJ6-1,0,DL6,1)</f>
        <v>1</v>
      </c>
      <c r="DO6" s="740"/>
      <c r="DP6" s="740" t="s">
        <v>645</v>
      </c>
      <c r="DQ6" s="740" t="str">
        <f ca="1">INDEX($BD$6:$BD$53,MATCH(DP6,$BM$6:$BM$53,0))</f>
        <v>México</v>
      </c>
      <c r="DR6" s="740"/>
      <c r="DS6" s="740"/>
      <c r="DT6" s="740" t="str">
        <f t="shared" ca="1" si="15"/>
        <v>República Checa-Sudáfrica</v>
      </c>
      <c r="DU6" s="740"/>
      <c r="DV6" s="740"/>
      <c r="DW6" s="8"/>
    </row>
    <row r="7" spans="1:127" ht="17.100000000000001" customHeight="1">
      <c r="A7" s="741" t="str">
        <f ca="1">+Equipos!B4</f>
        <v>Corea del Sur</v>
      </c>
      <c r="B7" s="738"/>
      <c r="C7" s="740"/>
      <c r="D7" s="740" t="str">
        <f t="shared" si="0"/>
        <v>Pendiente</v>
      </c>
      <c r="E7" s="740" t="str">
        <f t="shared" si="1"/>
        <v>-</v>
      </c>
      <c r="F7" s="740" t="str">
        <f t="shared" si="2"/>
        <v>-</v>
      </c>
      <c r="G7" s="740"/>
      <c r="H7" s="740" t="str">
        <f t="shared" si="3"/>
        <v>-</v>
      </c>
      <c r="I7" s="740" t="str">
        <f t="shared" si="4"/>
        <v>-</v>
      </c>
      <c r="J7" s="740"/>
      <c r="K7" s="740" t="str">
        <f t="shared" si="5"/>
        <v>-</v>
      </c>
      <c r="L7" s="740" t="str">
        <f t="shared" si="6"/>
        <v>-</v>
      </c>
      <c r="M7" s="740"/>
      <c r="N7" s="740" t="str">
        <f t="shared" si="7"/>
        <v>-</v>
      </c>
      <c r="O7" s="740" t="str">
        <f t="shared" si="8"/>
        <v>-</v>
      </c>
      <c r="P7" s="740"/>
      <c r="Q7" s="740" t="str">
        <f t="shared" si="9"/>
        <v>-</v>
      </c>
      <c r="R7" s="740" t="str">
        <f t="shared" si="10"/>
        <v>-</v>
      </c>
      <c r="S7" s="740"/>
      <c r="T7" s="740" t="str">
        <f t="shared" si="11"/>
        <v>-</v>
      </c>
      <c r="U7" s="740" t="str">
        <f t="shared" si="12"/>
        <v>-</v>
      </c>
      <c r="V7" s="172"/>
      <c r="W7" s="881"/>
      <c r="X7" s="189">
        <f ca="1">Horarios!C7</f>
        <v>46191.875</v>
      </c>
      <c r="Y7" s="190">
        <f ca="1">Horarios!C7</f>
        <v>46191.875</v>
      </c>
      <c r="Z7" s="191" t="str">
        <f>$Z$6</f>
        <v>J2</v>
      </c>
      <c r="AA7" s="192" t="str">
        <f ca="1">A5</f>
        <v>México</v>
      </c>
      <c r="AB7" s="479" t="str" cm="1">
        <f t="array" aca="1" ref="AB7" ca="1">Ver_flag_local</f>
        <v/>
      </c>
      <c r="AC7" s="193"/>
      <c r="AD7" s="194"/>
      <c r="AE7" s="482" t="str" cm="1">
        <f t="array" aca="1" ref="AE7" ca="1">Ver_flag_visit</f>
        <v/>
      </c>
      <c r="AF7" s="195" t="str">
        <f ca="1">A7</f>
        <v>Corea del Sur</v>
      </c>
      <c r="AG7" s="413">
        <f t="shared" si="13"/>
        <v>0</v>
      </c>
      <c r="AH7" s="196">
        <v>28</v>
      </c>
      <c r="AI7" s="19" t="str">
        <f>AJ7&amp;$B$4</f>
        <v>2A</v>
      </c>
      <c r="AJ7" s="221">
        <v>2</v>
      </c>
      <c r="AK7" s="490"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0"/>
      <c r="BC7" s="752" t="str">
        <f ca="1">+INDEX(T_Equipos[Grupo],MATCH(WORLDCUP!BD7,T_Equipos[NombreEquipo],0))</f>
        <v>A</v>
      </c>
      <c r="BD7" s="740" t="str">
        <f ca="1">+Equipos!B3</f>
        <v>Sudáfrica</v>
      </c>
      <c r="BE7" s="744">
        <f t="shared" ref="BE7:BE53" ca="1" si="25">+BG7*3+BH7+IF($AZ$3="no",0,INDEX($AZ$6:$AZ$97,MATCH(BD7,$AY$6:$AY$97,0)))</f>
        <v>0</v>
      </c>
      <c r="BF7" s="744">
        <f t="shared" ref="BF7:BF53" ca="1" si="26">+BG7+BH7+BI7</f>
        <v>0</v>
      </c>
      <c r="BG7" s="744">
        <f t="shared" ca="1" si="17"/>
        <v>0</v>
      </c>
      <c r="BH7" s="744">
        <f t="shared" ca="1" si="18"/>
        <v>0</v>
      </c>
      <c r="BI7" s="744">
        <f t="shared" ca="1" si="19"/>
        <v>0</v>
      </c>
      <c r="BJ7" s="744">
        <f t="shared" ca="1" si="20"/>
        <v>0</v>
      </c>
      <c r="BK7" s="744">
        <f t="shared" ca="1" si="21"/>
        <v>0</v>
      </c>
      <c r="BL7" s="744">
        <f t="shared" ref="BL7:BL53" ca="1" si="27">+BJ7-BK7</f>
        <v>0</v>
      </c>
      <c r="BM7" s="744" t="str">
        <f t="shared" ca="1" si="22"/>
        <v>2A</v>
      </c>
      <c r="BN7" s="744" t="str">
        <f t="shared" ca="1" si="23"/>
        <v>2A</v>
      </c>
      <c r="BO7" s="753">
        <f t="shared" ref="BO7:BO53" ca="1" si="28">IF(AND($AJ$99=144,BF7&gt;=1),1,0)</f>
        <v>0</v>
      </c>
      <c r="BP7" s="753">
        <f ca="1">COUNTIFS($BO$6:$BO$53,"&gt;"&amp;BO7,$BC$6:$BC$53,INDEX(T_Equipos[Grupo],MATCH(BD7,T_Equipos[NombreEquipo],0)))+1</f>
        <v>1</v>
      </c>
      <c r="BQ7" s="753" t="str">
        <f ca="1">IF(COUNTIFS($BP$6:$BP$53,BP7,$BC$6:$BC$53,INDEX(T_Equipos[Grupo],MATCH(BD7,T_Equipos[NombreEquipo],0)))=1,"-","P."&amp;BP7&amp;" ("&amp;COUNTIFS($BP$6:$BP$53,BP7,$BC$6:$BC$53,INDEX(T_Equipos[Grupo],MATCH(BD7,T_Equipos[NombreEquipo],0)))&amp;")")</f>
        <v>P.1 (4)</v>
      </c>
      <c r="BR7" s="753">
        <f t="shared" ref="BR7:BR53" ca="1" si="29">IF($BQ7="-","-",BE7)</f>
        <v>0</v>
      </c>
      <c r="BS7" s="753">
        <f ca="1">BP7+COUNTIFS($BQ$6:$BQ$53,BQ7,$BR$6:BR$53,"&gt;"&amp;BR7,$BC$6:$BC$53,INDEX(T_Equipos[Grupo],MATCH(BD7,T_Equipos[NombreEquipo],0)))</f>
        <v>1</v>
      </c>
      <c r="BT7" s="753" t="str">
        <f ca="1">IF(COUNTIFS($BS$6:$BS$53,BS7,$BC$6:$BC$53,INDEX(T_Equipos[Grupo],MATCH(BD7,T_Equipos[NombreEquipo],0)))=1,"-","P."&amp;BS7&amp;" ("&amp;COUNTIFS($BS$6:$BS$53,BS7,$BC$6:$BC$53,INDEX(T_Equipos[Grupo],MATCH(BD7,T_Equipos[NombreEquipo],0)))&amp;")")</f>
        <v>P.1 (4)</v>
      </c>
      <c r="BU7" s="754">
        <f ca="1">IF($BT7="-","-",COUNTIFS(FGLocal,$BD7,Ganador,"Local",Part1Empate1V,$BT7)+COUNTIFS(FGVisitante,$BD7,Ganador,"Visitante",Part1Empate1L,$BT7))</f>
        <v>0</v>
      </c>
      <c r="BV7" s="754">
        <f ca="1">IF($BT7="-","-",COUNTIFS(FGLocal,$BD7,Ganador,"Empate",Part1Empate1V,$BT7)+COUNTIFS(FGVisitante,$BD7,Ganador,"Empate",Part1Empate1L,$BT7))</f>
        <v>0</v>
      </c>
      <c r="BW7" s="754">
        <f ca="1">IF($BT7="-","-",COUNTIFS(FGLocal,$BD7,Ganador,"Visitante",Part1Empate1V,$BT7)+COUNTIFS(FGVisitante,$BD7,Ganador,"Local",Part1Empate1L,$BT7))</f>
        <v>0</v>
      </c>
      <c r="BX7" s="754">
        <f ca="1">IF($BT7="-","-",BU7*3+BV7)</f>
        <v>0</v>
      </c>
      <c r="BY7" s="754">
        <f ca="1">BS7+COUNTIFS($BT$6:$BT$53,BT7,$BX$6:BX$53,"&gt;"&amp;BX7,$BC$6:$BC$53,INDEX(T_Equipos[Grupo],MATCH(BD7,T_Equipos[NombreEquipo],0)))</f>
        <v>1</v>
      </c>
      <c r="BZ7" s="753" t="str">
        <f ca="1">IF(COUNTIFS($BY$6:$BY$53,BY7,$BC$6:$BC$53,INDEX(T_Equipos[Grupo],MATCH(BD7,T_Equipos[NombreEquipo],0)))=1,"-","P."&amp;BY7&amp;" ("&amp;COUNTIFS($BY$6:$BY$53,BY7,$BC$6:$BC$53,INDEX(T_Equipos[Grupo],MATCH(BD7,T_Equipos[NombreEquipo],0)))&amp;")")</f>
        <v>P.1 (4)</v>
      </c>
      <c r="CA7" s="754">
        <f ca="1">IF($BZ7="-","-",SUMIFS(FG_GolesLocal,FGLocal,$BD7,Part1Empate2V,$BZ7)+SUMIFS(FG_GolesVisitante,FGVisitante,$BD7,Part1Empate2L,$BZ7))</f>
        <v>0</v>
      </c>
      <c r="CB7" s="754">
        <f ca="1">IF($BZ7="-","-",SUMIFS(FG_GolesVisitante,FGLocal,$BD7,Part1Empate2V,$BZ7)+SUMIFS(FG_GolesLocal,FGVisitante,$BD7,Part1Empate2L,$BZ7))</f>
        <v>0</v>
      </c>
      <c r="CC7" s="754">
        <f ca="1">IF($BZ7="-","-",CA7-CB7)</f>
        <v>0</v>
      </c>
      <c r="CD7" s="754">
        <f ca="1">BY7+COUNTIFS($BZ$6:$BZ$53,BZ7,$CC$6:CC$53,"&gt;"&amp;CC7,$BC$6:$BC$53,INDEX(T_Equipos[Grupo],MATCH(BD7,T_Equipos[NombreEquipo],0)))</f>
        <v>1</v>
      </c>
      <c r="CE7" s="753" t="str">
        <f ca="1">IF(COUNTIFS($CD$6:$CD$53,CD7,$BC$6:$BC$53,INDEX(T_Equipos[Grupo],MATCH(BD7,T_Equipos[NombreEquipo],0)))=1,"-","P."&amp;CD7&amp;" ("&amp;COUNTIFS($CD$6:$CD$53,CD7,$BC$6:$BC$53,INDEX(T_Equipos[Grupo],MATCH(BD7,T_Equipos[NombreEquipo],0)))&amp;")")</f>
        <v>P.1 (4)</v>
      </c>
      <c r="CF7" s="754">
        <f ca="1">IF($CE7="-","-",SUMIFS(FG_GolesLocal,FGLocal,$BD7,Part1Empate3V,$CE7)+SUMIFS(FG_GolesVisitante,FGVisitante,$BD7,Part1Empate3L,$CE7))</f>
        <v>0</v>
      </c>
      <c r="CG7" s="754">
        <f ca="1">CD7+COUNTIFS($CE$6:$CE$53,CE7,$CF$6:CF$53,"&gt;"&amp;CF7,$BC$6:$BC$53,INDEX(T_Equipos[Grupo],MATCH(BD7,T_Equipos[NombreEquipo],0)))</f>
        <v>1</v>
      </c>
      <c r="CH7" s="753" t="str">
        <f ca="1">IF(COUNTIFS($CG$6:$CG$53,CG7,$BC$6:$BC$53,INDEX(T_Equipos[Grupo],MATCH(BD7,T_Equipos[NombreEquipo],0)))=1,"-","P."&amp;CG7&amp;" ("&amp;COUNTIFS($CG$6:$CG$53,CG7,$BC$6:$BC$53,INDEX(T_Equipos[Grupo],MATCH(BD7,T_Equipos[NombreEquipo],0)))&amp;")")</f>
        <v>P.1 (4)</v>
      </c>
      <c r="CI7" s="754">
        <f ca="1">IF($CH7="-","-",COUNTIFS(FGLocal,$BD7,Ganador,"Local",Part2Empate4V,$CH7)+COUNTIFS(FGVisitante,$BD7,Ganador,"Visitante",Part2Empate4L,$CH7))</f>
        <v>0</v>
      </c>
      <c r="CJ7" s="754">
        <f ca="1">IF($CH7="-","-",COUNTIFS(FGLocal,$BD7,Ganador,"Empate",Part2Empate4V,$CH7)+COUNTIFS(FGVisitante,$BD7,Ganador,"Empate",Part2Empate4L,$CH7))</f>
        <v>0</v>
      </c>
      <c r="CK7" s="754">
        <f ca="1">IF($CH7="-","-",COUNTIFS(FGLocal,$BD7,Ganador,"Visitante",Part2Empate4V,$CH7)+COUNTIFS(FGVisitante,$BD7,Ganador,"Local",Part2Empate4L,$CH7))</f>
        <v>0</v>
      </c>
      <c r="CL7" s="754">
        <f ca="1">IF($CH7="-","-",CI7*3+CJ7)</f>
        <v>0</v>
      </c>
      <c r="CM7" s="754">
        <f ca="1">CG7+COUNTIFS($CH$6:$CH$53,CH7,$CL$6:CL$53,"&gt;"&amp;CL7,$BC$6:$BC$53,INDEX(T_Equipos[Grupo],MATCH(BD7,T_Equipos[NombreEquipo],0)))</f>
        <v>1</v>
      </c>
      <c r="CN7" s="753" t="str">
        <f ca="1">IF(COUNTIFS($CM$6:$CM$53,CM7,$BC$6:$BC$53,INDEX(T_Equipos[Grupo],MATCH(BD7,T_Equipos[NombreEquipo],0)))=1,"-","P."&amp;CM7&amp;" ("&amp;COUNTIFS($CM$6:$CM$53,CM7,$BC$6:$BC$53,INDEX(T_Equipos[Grupo],MATCH(BD7,T_Equipos[NombreEquipo],0)))&amp;")")</f>
        <v>P.1 (4)</v>
      </c>
      <c r="CO7" s="754">
        <f ca="1">IF($CN7="-","-",SUMIFS(FG_GolesLocal,FGLocal,$BD7,Part2Empate5V,$CN7)+SUMIFS(FG_GolesVisitante,FGVisitante,$BD7,Part2Empate5L,$CN7))</f>
        <v>0</v>
      </c>
      <c r="CP7" s="754">
        <f ca="1">IF($CN7="-","-",SUMIFS(FG_GolesVisitante,FGLocal,$BD7,Part2Empate5V,$CN7)+SUMIFS(FG_GolesLocal,FGVisitante,$BD7,Part2Empate5L,$CN7))</f>
        <v>0</v>
      </c>
      <c r="CQ7" s="754">
        <f ca="1">IF($CN7="-","-",CO7-CP7)</f>
        <v>0</v>
      </c>
      <c r="CR7" s="754">
        <f ca="1">CM7+COUNTIFS($CN$6:$CN$53,CN7,$CQ$6:CQ$53,"&gt;"&amp;CQ7,$BC$6:$BC$53,INDEX(T_Equipos[Grupo],MATCH(BD7,T_Equipos[NombreEquipo],0)))</f>
        <v>1</v>
      </c>
      <c r="CS7" s="753" t="str">
        <f ca="1">IF(COUNTIFS($CR$6:$CR$53,CR7,$BC$6:$BC$53,INDEX(T_Equipos[Grupo],MATCH(BD7,T_Equipos[NombreEquipo],0)))=1,"-","P."&amp;CR7&amp;" ("&amp;COUNTIFS($CR$6:$CR$53,CR7,$BC$6:$BC$53,INDEX(T_Equipos[Grupo],MATCH(BD7,T_Equipos[NombreEquipo],0)))&amp;")")</f>
        <v>P.1 (4)</v>
      </c>
      <c r="CT7" s="754">
        <f ca="1">IF($CS7="-","-",SUMIFS(FG_GolesLocal,FGLocal,$BD7,Part2Empate6V,$CS7)+SUMIFS(FG_GolesVisitante,FGVisitante,$BD7,Part2Empate6L,$CS7))</f>
        <v>0</v>
      </c>
      <c r="CU7" s="754">
        <f ca="1">CR7+COUNTIFS($CS$6:$CS$53,CS7,$CT$6:CT$53,"&gt;"&amp;CT7,$BC$6:$BC$53,INDEX(T_Equipos[Grupo],MATCH(BD7,T_Equipos[NombreEquipo],0)))</f>
        <v>1</v>
      </c>
      <c r="CV7" s="753" t="str">
        <f ca="1">IF(COUNTIFS($CU$6:$CU$53,CU7,$BC$6:$BC$53,INDEX(T_Equipos[Grupo],MATCH(BD7,T_Equipos[NombreEquipo],0)))=1,"-","P."&amp;CU7&amp;" ("&amp;COUNTIFS($CU$6:$CU$53,CU7,$BC$6:$BC$53,INDEX(T_Equipos[Grupo],MATCH(BD7,T_Equipos[NombreEquipo],0)))&amp;")")</f>
        <v>P.1 (4)</v>
      </c>
      <c r="CW7" s="753">
        <f t="shared" ref="CW7:CW53" ca="1" si="30">IF(CV7="-","-",BL7)</f>
        <v>0</v>
      </c>
      <c r="CX7" s="753">
        <f ca="1">CU7+COUNTIFS($CV$6:$CV$53,CV7,$CW$6:CW$53,"&gt;"&amp;CW7,$BC$6:$BC$53,INDEX(T_Equipos[Grupo],MATCH(BD7,T_Equipos[NombreEquipo],0)))</f>
        <v>1</v>
      </c>
      <c r="CY7" s="753" t="str">
        <f ca="1">IF(COUNTIFS($CX$6:$CX$53,CX7,$BC$6:$BC$53,INDEX(T_Equipos[Grupo],MATCH(BD7,T_Equipos[NombreEquipo],0)))=1,"-","P."&amp;CX7&amp;" ("&amp;COUNTIFS($CX$6:$CX$53,CX7,$BC$6:$BC$53,INDEX(T_Equipos[Grupo],MATCH(BD7,T_Equipos[NombreEquipo],0)))&amp;")")</f>
        <v>P.1 (4)</v>
      </c>
      <c r="CZ7" s="753">
        <f t="shared" ref="CZ7:CZ53" ca="1" si="31">IF(CY7="-","-",BJ7)</f>
        <v>0</v>
      </c>
      <c r="DA7" s="754">
        <f ca="1">CX7+COUNTIFS($CY$6:$CY$53,CY7,$CZ$6:CZ$53,"&gt;"&amp;CZ7,$BC$6:$BC$53,INDEX(T_Equipos[Grupo],MATCH(BD7,T_Equipos[NombreEquipo],0)))</f>
        <v>1</v>
      </c>
      <c r="DB7" s="753" t="str">
        <f ca="1">IF(COUNTIFS($DA$6:$DA$53,DA7,$BC$6:$BC$53,INDEX(T_Equipos[Grupo],MATCH(BD7,T_Equipos[NombreEquipo],0)))=1,"-","P."&amp;DA7&amp;" ("&amp;COUNTIFS($DA$6:$DA$53,DA7,$BC$6:$BC$53,INDEX(T_Equipos[Grupo],MATCH(BD7,T_Equipos[NombreEquipo],0)))&amp;")")</f>
        <v>P.1 (4)</v>
      </c>
      <c r="DC7" s="752">
        <f ca="1">IF(DB7="-","-",COUNTIFS(T_Equipos[Rank],"&lt;"&amp;INDEX(T_Equipos[Rank],MATCH(BD7,T_Equipos[NombreEquipo],0)),$BC$6:$BC$53,INDEX(T_Equipos[Grupo],MATCH(BD7,T_Equipos[NombreEquipo],0)))+1)</f>
        <v>2</v>
      </c>
      <c r="DD7" s="752">
        <f ca="1">DA7+COUNTIFS($DB$6:$DB$53,DB7,$DC$6:DC$53,"&lt;"&amp;DC7,$BC$6:$BC$53,INDEX(T_Equipos[Grupo],MATCH(BD7,T_Equipos[NombreEquipo],0)))</f>
        <v>2</v>
      </c>
      <c r="DE7" s="752"/>
      <c r="DF7" s="752">
        <f t="shared" ref="DF7:DF9" ca="1" si="32">IF(OR(INDEX($AW$6:$AW$97,MATCH($BD7,$AV$6:$AV$97,0))="",DB7="-"),DD7,INDEX($AW$6:$AW$97,MATCH($BD7,$AV$6:$AV$97,0))+DD7/1000)</f>
        <v>2</v>
      </c>
      <c r="DG7" s="752">
        <f ca="1">IF(DB7="-","-",COUNTIFS(DF$6:DF$53,"&lt;"&amp;DF7,$BC$6:$BC$53,INDEX(T_Equipos[Grupo],MATCH(BD7,T_Equipos[NombreEquipo],0))))</f>
        <v>1</v>
      </c>
      <c r="DH7" s="752">
        <f ca="1">DA7+COUNTIFS(DB$6:DB$53,DB7,DG$6:DG$53,"&lt;"&amp;DG7,$BC$6:$BC$53,INDEX(T_Equipos[Grupo],MATCH(BD7,T_Equipos[NombreEquipo],0)))</f>
        <v>2</v>
      </c>
      <c r="DI7" s="740"/>
      <c r="DJ7" s="740">
        <f ca="1">INDEX($DA$6:$DA$53,MATCH($DQ7,$BD$6:$BD$53,0))</f>
        <v>1</v>
      </c>
      <c r="DK7" s="740">
        <f t="shared" ca="1" si="24"/>
        <v>0</v>
      </c>
      <c r="DL7" s="740">
        <f t="shared" ref="DL7:DL53" ca="1" si="33">IF(OR(DK7=12,$AJ$99=144),COUNTIFS($DJ$6:$DJ$53,DJ7,$BC$6:$BC$53,BC7),1)</f>
        <v>1</v>
      </c>
      <c r="DM7" s="734" t="str">
        <f t="shared" ref="DM7:DM53" ca="1" si="34">DJ7&amp;"."&amp;DL7</f>
        <v>1.1</v>
      </c>
      <c r="DN7" s="740" cm="1">
        <f t="array" aca="1" ref="DN7" ca="1">OFFSET(Horarios!$P$3,DJ7-1,0,DL7,1)</f>
        <v>1</v>
      </c>
      <c r="DO7" s="740"/>
      <c r="DP7" s="740" t="s">
        <v>646</v>
      </c>
      <c r="DQ7" s="740" t="str">
        <f t="shared" ref="DQ7:DQ53" ca="1" si="35">INDEX($BD$6:$BD$53,MATCH(DP7,$BM$6:$BM$53,0))</f>
        <v>Sudáfrica</v>
      </c>
      <c r="DR7" s="740"/>
      <c r="DS7" s="740"/>
      <c r="DT7" s="740" t="str">
        <f t="shared" ca="1" si="15"/>
        <v>México-Corea del Sur</v>
      </c>
      <c r="DU7" s="740"/>
      <c r="DV7" s="740"/>
      <c r="DW7" s="8"/>
    </row>
    <row r="8" spans="1:127" ht="17.100000000000001" customHeight="1">
      <c r="A8" s="741" t="str">
        <f ca="1">+Equipos!B5</f>
        <v>República Checa</v>
      </c>
      <c r="B8" s="738"/>
      <c r="C8" s="740"/>
      <c r="D8" s="740" t="str">
        <f t="shared" si="0"/>
        <v>Pendiente</v>
      </c>
      <c r="E8" s="740" t="str">
        <f t="shared" si="1"/>
        <v>-</v>
      </c>
      <c r="F8" s="740" t="str">
        <f t="shared" si="2"/>
        <v>-</v>
      </c>
      <c r="G8" s="740"/>
      <c r="H8" s="740" t="str">
        <f t="shared" si="3"/>
        <v>-</v>
      </c>
      <c r="I8" s="740" t="str">
        <f t="shared" si="4"/>
        <v>-</v>
      </c>
      <c r="J8" s="740"/>
      <c r="K8" s="740" t="str">
        <f t="shared" si="5"/>
        <v>-</v>
      </c>
      <c r="L8" s="740" t="str">
        <f t="shared" si="6"/>
        <v>-</v>
      </c>
      <c r="M8" s="740"/>
      <c r="N8" s="740" t="str">
        <f t="shared" si="7"/>
        <v>-</v>
      </c>
      <c r="O8" s="740" t="str">
        <f t="shared" si="8"/>
        <v>-</v>
      </c>
      <c r="P8" s="740"/>
      <c r="Q8" s="740" t="str">
        <f t="shared" si="9"/>
        <v>-</v>
      </c>
      <c r="R8" s="740" t="str">
        <f t="shared" si="10"/>
        <v>-</v>
      </c>
      <c r="S8" s="740"/>
      <c r="T8" s="740" t="str">
        <f t="shared" si="11"/>
        <v>-</v>
      </c>
      <c r="U8" s="740" t="str">
        <f t="shared" si="12"/>
        <v>-</v>
      </c>
      <c r="V8" s="172"/>
      <c r="W8" s="881"/>
      <c r="X8" s="189">
        <f ca="1">Horarios!C8</f>
        <v>46197.875</v>
      </c>
      <c r="Y8" s="190">
        <f ca="1">Horarios!C8</f>
        <v>46197.875</v>
      </c>
      <c r="Z8" s="191" t="str">
        <f>Idiomas!D65</f>
        <v>J3</v>
      </c>
      <c r="AA8" s="192" t="str">
        <f ca="1">A8</f>
        <v>República Checa</v>
      </c>
      <c r="AB8" s="479" t="str" cm="1">
        <f t="array" aca="1" ref="AB8" ca="1">Ver_flag_local</f>
        <v/>
      </c>
      <c r="AC8" s="193"/>
      <c r="AD8" s="194"/>
      <c r="AE8" s="482" t="str" cm="1">
        <f t="array" aca="1" ref="AE8" ca="1">Ver_flag_visit</f>
        <v/>
      </c>
      <c r="AF8" s="195" t="str">
        <f ca="1">A5</f>
        <v>México</v>
      </c>
      <c r="AG8" s="413">
        <f t="shared" si="13"/>
        <v>0</v>
      </c>
      <c r="AH8" s="196">
        <v>53</v>
      </c>
      <c r="AI8" s="19" t="str">
        <f>AJ8&amp;$B$4</f>
        <v>3A</v>
      </c>
      <c r="AJ8" s="221">
        <v>3</v>
      </c>
      <c r="AK8" s="490"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0"/>
      <c r="BC8" s="752" t="str">
        <f ca="1">+INDEX(T_Equipos[Grupo],MATCH(WORLDCUP!BD8,T_Equipos[NombreEquipo],0))</f>
        <v>A</v>
      </c>
      <c r="BD8" s="740" t="str">
        <f ca="1">+Equipos!B4</f>
        <v>Corea del Sur</v>
      </c>
      <c r="BE8" s="744">
        <f t="shared" ca="1" si="25"/>
        <v>0</v>
      </c>
      <c r="BF8" s="744">
        <f t="shared" ca="1" si="26"/>
        <v>0</v>
      </c>
      <c r="BG8" s="744">
        <f t="shared" ca="1" si="17"/>
        <v>0</v>
      </c>
      <c r="BH8" s="744">
        <f t="shared" ca="1" si="18"/>
        <v>0</v>
      </c>
      <c r="BI8" s="744">
        <f t="shared" ca="1" si="19"/>
        <v>0</v>
      </c>
      <c r="BJ8" s="744">
        <f t="shared" ca="1" si="20"/>
        <v>0</v>
      </c>
      <c r="BK8" s="744">
        <f t="shared" ca="1" si="21"/>
        <v>0</v>
      </c>
      <c r="BL8" s="744">
        <f t="shared" ca="1" si="27"/>
        <v>0</v>
      </c>
      <c r="BM8" s="744" t="str">
        <f t="shared" ca="1" si="22"/>
        <v>3A</v>
      </c>
      <c r="BN8" s="744" t="str">
        <f t="shared" ca="1" si="23"/>
        <v>3A</v>
      </c>
      <c r="BO8" s="753">
        <f t="shared" ca="1" si="28"/>
        <v>0</v>
      </c>
      <c r="BP8" s="753">
        <f ca="1">COUNTIFS($BO$6:$BO$53,"&gt;"&amp;BO8,$BC$6:$BC$53,INDEX(T_Equipos[Grupo],MATCH(BD8,T_Equipos[NombreEquipo],0)))+1</f>
        <v>1</v>
      </c>
      <c r="BQ8" s="753" t="str">
        <f ca="1">IF(COUNTIFS($BP$6:$BP$53,BP8,$BC$6:$BC$53,INDEX(T_Equipos[Grupo],MATCH(BD8,T_Equipos[NombreEquipo],0)))=1,"-","P."&amp;BP8&amp;" ("&amp;COUNTIFS($BP$6:$BP$53,BP8,$BC$6:$BC$53,INDEX(T_Equipos[Grupo],MATCH(BD8,T_Equipos[NombreEquipo],0)))&amp;")")</f>
        <v>P.1 (4)</v>
      </c>
      <c r="BR8" s="753">
        <f t="shared" ca="1" si="29"/>
        <v>0</v>
      </c>
      <c r="BS8" s="753">
        <f ca="1">BP8+COUNTIFS($BQ$6:$BQ$53,BQ8,$BR$6:BR$53,"&gt;"&amp;BR8,$BC$6:$BC$53,INDEX(T_Equipos[Grupo],MATCH(BD8,T_Equipos[NombreEquipo],0)))</f>
        <v>1</v>
      </c>
      <c r="BT8" s="753" t="str">
        <f ca="1">IF(COUNTIFS($BS$6:$BS$53,BS8,$BC$6:$BC$53,INDEX(T_Equipos[Grupo],MATCH(BD8,T_Equipos[NombreEquipo],0)))=1,"-","P."&amp;BS8&amp;" ("&amp;COUNTIFS($BS$6:$BS$53,BS8,$BC$6:$BC$53,INDEX(T_Equipos[Grupo],MATCH(BD8,T_Equipos[NombreEquipo],0)))&amp;")")</f>
        <v>P.1 (4)</v>
      </c>
      <c r="BU8" s="754">
        <f ca="1">IF($BT8="-","-",COUNTIFS(FGLocal,$BD8,Ganador,"Local",Part1Empate1V,$BT8)+COUNTIFS(FGVisitante,$BD8,Ganador,"Visitante",Part1Empate1L,$BT8))</f>
        <v>0</v>
      </c>
      <c r="BV8" s="754">
        <f ca="1">IF($BT8="-","-",COUNTIFS(FGLocal,$BD8,Ganador,"Empate",Part1Empate1V,$BT8)+COUNTIFS(FGVisitante,$BD8,Ganador,"Empate",Part1Empate1L,$BT8))</f>
        <v>0</v>
      </c>
      <c r="BW8" s="754">
        <f ca="1">IF($BT8="-","-",COUNTIFS(FGLocal,$BD8,Ganador,"Visitante",Part1Empate1V,$BT8)+COUNTIFS(FGVisitante,$BD8,Ganador,"Local",Part1Empate1L,$BT8))</f>
        <v>0</v>
      </c>
      <c r="BX8" s="754">
        <f ca="1">IF($BT8="-","-",BU8*3+BV8)</f>
        <v>0</v>
      </c>
      <c r="BY8" s="754">
        <f ca="1">BS8+COUNTIFS($BT$6:$BT$53,BT8,$BX$6:BX$53,"&gt;"&amp;BX8,$BC$6:$BC$53,INDEX(T_Equipos[Grupo],MATCH(BD8,T_Equipos[NombreEquipo],0)))</f>
        <v>1</v>
      </c>
      <c r="BZ8" s="753" t="str">
        <f ca="1">IF(COUNTIFS($BY$6:$BY$53,BY8,$BC$6:$BC$53,INDEX(T_Equipos[Grupo],MATCH(BD8,T_Equipos[NombreEquipo],0)))=1,"-","P."&amp;BY8&amp;" ("&amp;COUNTIFS($BY$6:$BY$53,BY8,$BC$6:$BC$53,INDEX(T_Equipos[Grupo],MATCH(BD8,T_Equipos[NombreEquipo],0)))&amp;")")</f>
        <v>P.1 (4)</v>
      </c>
      <c r="CA8" s="754">
        <f ca="1">IF($BZ8="-","-",SUMIFS(FG_GolesLocal,FGLocal,$BD8,Part1Empate2V,$BZ8)+SUMIFS(FG_GolesVisitante,FGVisitante,$BD8,Part1Empate2L,$BZ8))</f>
        <v>0</v>
      </c>
      <c r="CB8" s="754">
        <f ca="1">IF($BZ8="-","-",SUMIFS(FG_GolesVisitante,FGLocal,$BD8,Part1Empate2V,$BZ8)+SUMIFS(FG_GolesLocal,FGVisitante,$BD8,Part1Empate2L,$BZ8))</f>
        <v>0</v>
      </c>
      <c r="CC8" s="754">
        <f ca="1">IF($BZ8="-","-",CA8-CB8)</f>
        <v>0</v>
      </c>
      <c r="CD8" s="754">
        <f ca="1">BY8+COUNTIFS($BZ$6:$BZ$53,BZ8,$CC$6:CC$53,"&gt;"&amp;CC8,$BC$6:$BC$53,INDEX(T_Equipos[Grupo],MATCH(BD8,T_Equipos[NombreEquipo],0)))</f>
        <v>1</v>
      </c>
      <c r="CE8" s="753" t="str">
        <f ca="1">IF(COUNTIFS($CD$6:$CD$53,CD8,$BC$6:$BC$53,INDEX(T_Equipos[Grupo],MATCH(BD8,T_Equipos[NombreEquipo],0)))=1,"-","P."&amp;CD8&amp;" ("&amp;COUNTIFS($CD$6:$CD$53,CD8,$BC$6:$BC$53,INDEX(T_Equipos[Grupo],MATCH(BD8,T_Equipos[NombreEquipo],0)))&amp;")")</f>
        <v>P.1 (4)</v>
      </c>
      <c r="CF8" s="754">
        <f ca="1">IF($CE8="-","-",SUMIFS(FG_GolesLocal,FGLocal,$BD8,Part1Empate3V,$CE8)+SUMIFS(FG_GolesVisitante,FGVisitante,$BD8,Part1Empate3L,$CE8))</f>
        <v>0</v>
      </c>
      <c r="CG8" s="754">
        <f ca="1">CD8+COUNTIFS($CE$6:$CE$53,CE8,$CF$6:CF$53,"&gt;"&amp;CF8,$BC$6:$BC$53,INDEX(T_Equipos[Grupo],MATCH(BD8,T_Equipos[NombreEquipo],0)))</f>
        <v>1</v>
      </c>
      <c r="CH8" s="753" t="str">
        <f ca="1">IF(COUNTIFS($CG$6:$CG$53,CG8,$BC$6:$BC$53,INDEX(T_Equipos[Grupo],MATCH(BD8,T_Equipos[NombreEquipo],0)))=1,"-","P."&amp;CG8&amp;" ("&amp;COUNTIFS($CG$6:$CG$53,CG8,$BC$6:$BC$53,INDEX(T_Equipos[Grupo],MATCH(BD8,T_Equipos[NombreEquipo],0)))&amp;")")</f>
        <v>P.1 (4)</v>
      </c>
      <c r="CI8" s="754">
        <f ca="1">IF($CH8="-","-",COUNTIFS(FGLocal,$BD8,Ganador,"Local",Part2Empate4V,$CH8)+COUNTIFS(FGVisitante,$BD8,Ganador,"Visitante",Part2Empate4L,$CH8))</f>
        <v>0</v>
      </c>
      <c r="CJ8" s="754">
        <f ca="1">IF($CH8="-","-",COUNTIFS(FGLocal,$BD8,Ganador,"Empate",Part2Empate4V,$CH8)+COUNTIFS(FGVisitante,$BD8,Ganador,"Empate",Part2Empate4L,$CH8))</f>
        <v>0</v>
      </c>
      <c r="CK8" s="754">
        <f ca="1">IF($CH8="-","-",COUNTIFS(FGLocal,$BD8,Ganador,"Visitante",Part2Empate4V,$CH8)+COUNTIFS(FGVisitante,$BD8,Ganador,"Local",Part2Empate4L,$CH8))</f>
        <v>0</v>
      </c>
      <c r="CL8" s="754">
        <f ca="1">IF($CH8="-","-",CI8*3+CJ8)</f>
        <v>0</v>
      </c>
      <c r="CM8" s="754">
        <f ca="1">CG8+COUNTIFS($CH$6:$CH$53,CH8,$CL$6:CL$53,"&gt;"&amp;CL8,$BC$6:$BC$53,INDEX(T_Equipos[Grupo],MATCH(BD8,T_Equipos[NombreEquipo],0)))</f>
        <v>1</v>
      </c>
      <c r="CN8" s="753" t="str">
        <f ca="1">IF(COUNTIFS($CM$6:$CM$53,CM8,$BC$6:$BC$53,INDEX(T_Equipos[Grupo],MATCH(BD8,T_Equipos[NombreEquipo],0)))=1,"-","P."&amp;CM8&amp;" ("&amp;COUNTIFS($CM$6:$CM$53,CM8,$BC$6:$BC$53,INDEX(T_Equipos[Grupo],MATCH(BD8,T_Equipos[NombreEquipo],0)))&amp;")")</f>
        <v>P.1 (4)</v>
      </c>
      <c r="CO8" s="754">
        <f ca="1">IF($CN8="-","-",SUMIFS(FG_GolesLocal,FGLocal,$BD8,Part2Empate5V,$CN8)+SUMIFS(FG_GolesVisitante,FGVisitante,$BD8,Part2Empate5L,$CN8))</f>
        <v>0</v>
      </c>
      <c r="CP8" s="754">
        <f ca="1">IF($CN8="-","-",SUMIFS(FG_GolesVisitante,FGLocal,$BD8,Part2Empate5V,$CN8)+SUMIFS(FG_GolesLocal,FGVisitante,$BD8,Part2Empate5L,$CN8))</f>
        <v>0</v>
      </c>
      <c r="CQ8" s="754">
        <f ca="1">IF($CN8="-","-",CO8-CP8)</f>
        <v>0</v>
      </c>
      <c r="CR8" s="754">
        <f ca="1">CM8+COUNTIFS($CN$6:$CN$53,CN8,$CQ$6:CQ$53,"&gt;"&amp;CQ8,$BC$6:$BC$53,INDEX(T_Equipos[Grupo],MATCH(BD8,T_Equipos[NombreEquipo],0)))</f>
        <v>1</v>
      </c>
      <c r="CS8" s="753" t="str">
        <f ca="1">IF(COUNTIFS($CR$6:$CR$53,CR8,$BC$6:$BC$53,INDEX(T_Equipos[Grupo],MATCH(BD8,T_Equipos[NombreEquipo],0)))=1,"-","P."&amp;CR8&amp;" ("&amp;COUNTIFS($CR$6:$CR$53,CR8,$BC$6:$BC$53,INDEX(T_Equipos[Grupo],MATCH(BD8,T_Equipos[NombreEquipo],0)))&amp;")")</f>
        <v>P.1 (4)</v>
      </c>
      <c r="CT8" s="754">
        <f ca="1">IF($CS8="-","-",SUMIFS(FG_GolesLocal,FGLocal,$BD8,Part2Empate6V,$CS8)+SUMIFS(FG_GolesVisitante,FGVisitante,$BD8,Part2Empate6L,$CS8))</f>
        <v>0</v>
      </c>
      <c r="CU8" s="754">
        <f ca="1">CR8+COUNTIFS($CS$6:$CS$53,CS8,$CT$6:CT$53,"&gt;"&amp;CT8,$BC$6:$BC$53,INDEX(T_Equipos[Grupo],MATCH(BD8,T_Equipos[NombreEquipo],0)))</f>
        <v>1</v>
      </c>
      <c r="CV8" s="753" t="str">
        <f ca="1">IF(COUNTIFS($CU$6:$CU$53,CU8,$BC$6:$BC$53,INDEX(T_Equipos[Grupo],MATCH(BD8,T_Equipos[NombreEquipo],0)))=1,"-","P."&amp;CU8&amp;" ("&amp;COUNTIFS($CU$6:$CU$53,CU8,$BC$6:$BC$53,INDEX(T_Equipos[Grupo],MATCH(BD8,T_Equipos[NombreEquipo],0)))&amp;")")</f>
        <v>P.1 (4)</v>
      </c>
      <c r="CW8" s="753">
        <f t="shared" ca="1" si="30"/>
        <v>0</v>
      </c>
      <c r="CX8" s="753">
        <f ca="1">CU8+COUNTIFS($CV$6:$CV$53,CV8,$CW$6:CW$53,"&gt;"&amp;CW8,$BC$6:$BC$53,INDEX(T_Equipos[Grupo],MATCH(BD8,T_Equipos[NombreEquipo],0)))</f>
        <v>1</v>
      </c>
      <c r="CY8" s="753" t="str">
        <f ca="1">IF(COUNTIFS($CX$6:$CX$53,CX8,$BC$6:$BC$53,INDEX(T_Equipos[Grupo],MATCH(BD8,T_Equipos[NombreEquipo],0)))=1,"-","P."&amp;CX8&amp;" ("&amp;COUNTIFS($CX$6:$CX$53,CX8,$BC$6:$BC$53,INDEX(T_Equipos[Grupo],MATCH(BD8,T_Equipos[NombreEquipo],0)))&amp;")")</f>
        <v>P.1 (4)</v>
      </c>
      <c r="CZ8" s="753">
        <f t="shared" ca="1" si="31"/>
        <v>0</v>
      </c>
      <c r="DA8" s="754">
        <f ca="1">CX8+COUNTIFS($CY$6:$CY$53,CY8,$CZ$6:CZ$53,"&gt;"&amp;CZ8,$BC$6:$BC$53,INDEX(T_Equipos[Grupo],MATCH(BD8,T_Equipos[NombreEquipo],0)))</f>
        <v>1</v>
      </c>
      <c r="DB8" s="753" t="str">
        <f ca="1">IF(COUNTIFS($DA$6:$DA$53,DA8,$BC$6:$BC$53,INDEX(T_Equipos[Grupo],MATCH(BD8,T_Equipos[NombreEquipo],0)))=1,"-","P."&amp;DA8&amp;" ("&amp;COUNTIFS($DA$6:$DA$53,DA8,$BC$6:$BC$53,INDEX(T_Equipos[Grupo],MATCH(BD8,T_Equipos[NombreEquipo],0)))&amp;")")</f>
        <v>P.1 (4)</v>
      </c>
      <c r="DC8" s="752">
        <f ca="1">IF(DB8="-","-",COUNTIFS(T_Equipos[Rank],"&lt;"&amp;INDEX(T_Equipos[Rank],MATCH(BD8,T_Equipos[NombreEquipo],0)),$BC$6:$BC$53,INDEX(T_Equipos[Grupo],MATCH(BD8,T_Equipos[NombreEquipo],0)))+1)</f>
        <v>3</v>
      </c>
      <c r="DD8" s="752">
        <f ca="1">DA8+COUNTIFS($DB$6:$DB$53,DB8,$DC$6:DC$53,"&lt;"&amp;DC8,$BC$6:$BC$53,INDEX(T_Equipos[Grupo],MATCH(BD8,T_Equipos[NombreEquipo],0)))</f>
        <v>3</v>
      </c>
      <c r="DE8" s="752"/>
      <c r="DF8" s="752">
        <f t="shared" ca="1" si="32"/>
        <v>3</v>
      </c>
      <c r="DG8" s="752">
        <f ca="1">IF(DB8="-","-",COUNTIFS(DF$6:DF$53,"&lt;"&amp;DF8,$BC$6:$BC$53,INDEX(T_Equipos[Grupo],MATCH(BD8,T_Equipos[NombreEquipo],0))))</f>
        <v>2</v>
      </c>
      <c r="DH8" s="752">
        <f ca="1">DA8+COUNTIFS(DB$6:DB$53,DB8,DG$6:DG$53,"&lt;"&amp;DG8,$BC$6:$BC$53,INDEX(T_Equipos[Grupo],MATCH(BD8,T_Equipos[NombreEquipo],0)))</f>
        <v>3</v>
      </c>
      <c r="DI8" s="740"/>
      <c r="DJ8" s="740">
        <f ca="1">INDEX($DA$6:$DA$53,MATCH($DQ8,$BD$6:$BD$53,0))</f>
        <v>1</v>
      </c>
      <c r="DK8" s="740">
        <f t="shared" ca="1" si="24"/>
        <v>0</v>
      </c>
      <c r="DL8" s="740">
        <f t="shared" ca="1" si="33"/>
        <v>1</v>
      </c>
      <c r="DM8" s="734" t="str">
        <f t="shared" ca="1" si="34"/>
        <v>1.1</v>
      </c>
      <c r="DN8" s="740" cm="1">
        <f t="array" aca="1" ref="DN8" ca="1">OFFSET(Horarios!$P$3,DJ8-1,0,DL8,1)</f>
        <v>1</v>
      </c>
      <c r="DO8" s="740"/>
      <c r="DP8" s="740" t="s">
        <v>89</v>
      </c>
      <c r="DQ8" s="740" t="str">
        <f t="shared" ca="1" si="35"/>
        <v>Corea del Sur</v>
      </c>
      <c r="DR8" s="740"/>
      <c r="DS8" s="740"/>
      <c r="DT8" s="740" t="str">
        <f t="shared" ca="1" si="15"/>
        <v>República Checa-México</v>
      </c>
      <c r="DU8" s="740"/>
      <c r="DV8" s="740"/>
      <c r="DW8" s="8"/>
    </row>
    <row r="9" spans="1:127" ht="18" customHeight="1" thickBot="1">
      <c r="A9" s="735"/>
      <c r="B9" s="738"/>
      <c r="C9" s="735"/>
      <c r="D9" s="740" t="str">
        <f t="shared" si="0"/>
        <v>Pendiente</v>
      </c>
      <c r="E9" s="740" t="str">
        <f t="shared" si="1"/>
        <v>-</v>
      </c>
      <c r="F9" s="740" t="str">
        <f t="shared" si="2"/>
        <v>-</v>
      </c>
      <c r="G9" s="740"/>
      <c r="H9" s="740" t="str">
        <f t="shared" si="3"/>
        <v>-</v>
      </c>
      <c r="I9" s="740" t="str">
        <f t="shared" si="4"/>
        <v>-</v>
      </c>
      <c r="J9" s="740"/>
      <c r="K9" s="740" t="str">
        <f t="shared" si="5"/>
        <v>-</v>
      </c>
      <c r="L9" s="740" t="str">
        <f t="shared" si="6"/>
        <v>-</v>
      </c>
      <c r="M9" s="740"/>
      <c r="N9" s="740" t="str">
        <f t="shared" si="7"/>
        <v>-</v>
      </c>
      <c r="O9" s="740" t="str">
        <f t="shared" si="8"/>
        <v>-</v>
      </c>
      <c r="P9" s="740"/>
      <c r="Q9" s="740" t="str">
        <f t="shared" si="9"/>
        <v>-</v>
      </c>
      <c r="R9" s="740" t="str">
        <f t="shared" si="10"/>
        <v>-</v>
      </c>
      <c r="S9" s="740"/>
      <c r="T9" s="740" t="str">
        <f t="shared" si="11"/>
        <v>-</v>
      </c>
      <c r="U9" s="740" t="str">
        <f t="shared" si="12"/>
        <v>-</v>
      </c>
      <c r="V9" s="172"/>
      <c r="W9" s="882"/>
      <c r="X9" s="228">
        <f ca="1">Horarios!C9</f>
        <v>46197.875</v>
      </c>
      <c r="Y9" s="229">
        <f ca="1">Horarios!C9</f>
        <v>46197.875</v>
      </c>
      <c r="Z9" s="230" t="str">
        <f>$Z$8</f>
        <v>J3</v>
      </c>
      <c r="AA9" s="231" t="str">
        <f ca="1">A6</f>
        <v>Sudáfrica</v>
      </c>
      <c r="AB9" s="480" t="str" cm="1">
        <f t="array" aca="1" ref="AB9" ca="1">Ver_flag_local</f>
        <v/>
      </c>
      <c r="AC9" s="232"/>
      <c r="AD9" s="233"/>
      <c r="AE9" s="483" t="str" cm="1">
        <f t="array" aca="1" ref="AE9" ca="1">Ver_flag_visit</f>
        <v/>
      </c>
      <c r="AF9" s="234" t="str">
        <f ca="1">A7</f>
        <v>Corea del Sur</v>
      </c>
      <c r="AG9" s="413">
        <f t="shared" si="13"/>
        <v>0</v>
      </c>
      <c r="AH9" s="196">
        <v>54</v>
      </c>
      <c r="AI9" s="19" t="str">
        <f>AJ9&amp;$B$4</f>
        <v>4A</v>
      </c>
      <c r="AJ9" s="235">
        <v>4</v>
      </c>
      <c r="AK9" s="491"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0"/>
      <c r="BC9" s="752" t="str">
        <f ca="1">+INDEX(T_Equipos[Grupo],MATCH(WORLDCUP!BD9,T_Equipos[NombreEquipo],0))</f>
        <v>A</v>
      </c>
      <c r="BD9" s="740" t="str">
        <f ca="1">+Equipos!B5</f>
        <v>República Checa</v>
      </c>
      <c r="BE9" s="744">
        <f t="shared" ca="1" si="25"/>
        <v>0</v>
      </c>
      <c r="BF9" s="744">
        <f t="shared" ca="1" si="26"/>
        <v>0</v>
      </c>
      <c r="BG9" s="744">
        <f t="shared" ca="1" si="17"/>
        <v>0</v>
      </c>
      <c r="BH9" s="744">
        <f t="shared" ca="1" si="18"/>
        <v>0</v>
      </c>
      <c r="BI9" s="744">
        <f t="shared" ca="1" si="19"/>
        <v>0</v>
      </c>
      <c r="BJ9" s="744">
        <f t="shared" ca="1" si="20"/>
        <v>0</v>
      </c>
      <c r="BK9" s="744">
        <f t="shared" ca="1" si="21"/>
        <v>0</v>
      </c>
      <c r="BL9" s="744">
        <f t="shared" ca="1" si="27"/>
        <v>0</v>
      </c>
      <c r="BM9" s="744" t="str">
        <f t="shared" ca="1" si="22"/>
        <v>4A</v>
      </c>
      <c r="BN9" s="744" t="str">
        <f t="shared" ca="1" si="23"/>
        <v>4A</v>
      </c>
      <c r="BO9" s="753">
        <f t="shared" ca="1" si="28"/>
        <v>0</v>
      </c>
      <c r="BP9" s="753">
        <f ca="1">COUNTIFS($BO$6:$BO$53,"&gt;"&amp;BO9,$BC$6:$BC$53,INDEX(T_Equipos[Grupo],MATCH(BD9,T_Equipos[NombreEquipo],0)))+1</f>
        <v>1</v>
      </c>
      <c r="BQ9" s="753" t="str">
        <f ca="1">IF(COUNTIFS($BP$6:$BP$53,BP9,$BC$6:$BC$53,INDEX(T_Equipos[Grupo],MATCH(BD9,T_Equipos[NombreEquipo],0)))=1,"-","P."&amp;BP9&amp;" ("&amp;COUNTIFS($BP$6:$BP$53,BP9,$BC$6:$BC$53,INDEX(T_Equipos[Grupo],MATCH(BD9,T_Equipos[NombreEquipo],0)))&amp;")")</f>
        <v>P.1 (4)</v>
      </c>
      <c r="BR9" s="753">
        <f t="shared" ca="1" si="29"/>
        <v>0</v>
      </c>
      <c r="BS9" s="753">
        <f ca="1">BP9+COUNTIFS($BQ$6:$BQ$53,BQ9,$BR$6:BR$53,"&gt;"&amp;BR9,$BC$6:$BC$53,INDEX(T_Equipos[Grupo],MATCH(BD9,T_Equipos[NombreEquipo],0)))</f>
        <v>1</v>
      </c>
      <c r="BT9" s="753" t="str">
        <f ca="1">IF(COUNTIFS($BS$6:$BS$53,BS9,$BC$6:$BC$53,INDEX(T_Equipos[Grupo],MATCH(BD9,T_Equipos[NombreEquipo],0)))=1,"-","P."&amp;BS9&amp;" ("&amp;COUNTIFS($BS$6:$BS$53,BS9,$BC$6:$BC$53,INDEX(T_Equipos[Grupo],MATCH(BD9,T_Equipos[NombreEquipo],0)))&amp;")")</f>
        <v>P.1 (4)</v>
      </c>
      <c r="BU9" s="754">
        <f ca="1">IF($BT9="-","-",COUNTIFS(FGLocal,$BD9,Ganador,"Local",Part1Empate1V,$BT9)+COUNTIFS(FGVisitante,$BD9,Ganador,"Visitante",Part1Empate1L,$BT9))</f>
        <v>0</v>
      </c>
      <c r="BV9" s="754">
        <f ca="1">IF($BT9="-","-",COUNTIFS(FGLocal,$BD9,Ganador,"Empate",Part1Empate1V,$BT9)+COUNTIFS(FGVisitante,$BD9,Ganador,"Empate",Part1Empate1L,$BT9))</f>
        <v>0</v>
      </c>
      <c r="BW9" s="754">
        <f ca="1">IF($BT9="-","-",COUNTIFS(FGLocal,$BD9,Ganador,"Visitante",Part1Empate1V,$BT9)+COUNTIFS(FGVisitante,$BD9,Ganador,"Local",Part1Empate1L,$BT9))</f>
        <v>0</v>
      </c>
      <c r="BX9" s="754">
        <f ca="1">IF($BT9="-","-",BU9*3+BV9)</f>
        <v>0</v>
      </c>
      <c r="BY9" s="754">
        <f ca="1">BS9+COUNTIFS($BT$6:$BT$53,BT9,$BX$6:BX$53,"&gt;"&amp;BX9,$BC$6:$BC$53,INDEX(T_Equipos[Grupo],MATCH(BD9,T_Equipos[NombreEquipo],0)))</f>
        <v>1</v>
      </c>
      <c r="BZ9" s="753" t="str">
        <f ca="1">IF(COUNTIFS($BY$6:$BY$53,BY9,$BC$6:$BC$53,INDEX(T_Equipos[Grupo],MATCH(BD9,T_Equipos[NombreEquipo],0)))=1,"-","P."&amp;BY9&amp;" ("&amp;COUNTIFS($BY$6:$BY$53,BY9,$BC$6:$BC$53,INDEX(T_Equipos[Grupo],MATCH(BD9,T_Equipos[NombreEquipo],0)))&amp;")")</f>
        <v>P.1 (4)</v>
      </c>
      <c r="CA9" s="754">
        <f ca="1">IF($BZ9="-","-",SUMIFS(FG_GolesLocal,FGLocal,$BD9,Part1Empate2V,$BZ9)+SUMIFS(FG_GolesVisitante,FGVisitante,$BD9,Part1Empate2L,$BZ9))</f>
        <v>0</v>
      </c>
      <c r="CB9" s="754">
        <f ca="1">IF($BZ9="-","-",SUMIFS(FG_GolesVisitante,FGLocal,$BD9,Part1Empate2V,$BZ9)+SUMIFS(FG_GolesLocal,FGVisitante,$BD9,Part1Empate2L,$BZ9))</f>
        <v>0</v>
      </c>
      <c r="CC9" s="754">
        <f ca="1">IF($BZ9="-","-",CA9-CB9)</f>
        <v>0</v>
      </c>
      <c r="CD9" s="754">
        <f ca="1">BY9+COUNTIFS($BZ$6:$BZ$53,BZ9,$CC$6:CC$53,"&gt;"&amp;CC9,$BC$6:$BC$53,INDEX(T_Equipos[Grupo],MATCH(BD9,T_Equipos[NombreEquipo],0)))</f>
        <v>1</v>
      </c>
      <c r="CE9" s="753" t="str">
        <f ca="1">IF(COUNTIFS($CD$6:$CD$53,CD9,$BC$6:$BC$53,INDEX(T_Equipos[Grupo],MATCH(BD9,T_Equipos[NombreEquipo],0)))=1,"-","P."&amp;CD9&amp;" ("&amp;COUNTIFS($CD$6:$CD$53,CD9,$BC$6:$BC$53,INDEX(T_Equipos[Grupo],MATCH(BD9,T_Equipos[NombreEquipo],0)))&amp;")")</f>
        <v>P.1 (4)</v>
      </c>
      <c r="CF9" s="754">
        <f ca="1">IF($CE9="-","-",SUMIFS(FG_GolesLocal,FGLocal,$BD9,Part1Empate3V,$CE9)+SUMIFS(FG_GolesVisitante,FGVisitante,$BD9,Part1Empate3L,$CE9))</f>
        <v>0</v>
      </c>
      <c r="CG9" s="754">
        <f ca="1">CD9+COUNTIFS($CE$6:$CE$53,CE9,$CF$6:CF$53,"&gt;"&amp;CF9,$BC$6:$BC$53,INDEX(T_Equipos[Grupo],MATCH(BD9,T_Equipos[NombreEquipo],0)))</f>
        <v>1</v>
      </c>
      <c r="CH9" s="753" t="str">
        <f ca="1">IF(COUNTIFS($CG$6:$CG$53,CG9,$BC$6:$BC$53,INDEX(T_Equipos[Grupo],MATCH(BD9,T_Equipos[NombreEquipo],0)))=1,"-","P."&amp;CG9&amp;" ("&amp;COUNTIFS($CG$6:$CG$53,CG9,$BC$6:$BC$53,INDEX(T_Equipos[Grupo],MATCH(BD9,T_Equipos[NombreEquipo],0)))&amp;")")</f>
        <v>P.1 (4)</v>
      </c>
      <c r="CI9" s="754">
        <f ca="1">IF($CH9="-","-",COUNTIFS(FGLocal,$BD9,Ganador,"Local",Part2Empate4V,$CH9)+COUNTIFS(FGVisitante,$BD9,Ganador,"Visitante",Part2Empate4L,$CH9))</f>
        <v>0</v>
      </c>
      <c r="CJ9" s="754">
        <f ca="1">IF($CH9="-","-",COUNTIFS(FGLocal,$BD9,Ganador,"Empate",Part2Empate4V,$CH9)+COUNTIFS(FGVisitante,$BD9,Ganador,"Empate",Part2Empate4L,$CH9))</f>
        <v>0</v>
      </c>
      <c r="CK9" s="754">
        <f ca="1">IF($CH9="-","-",COUNTIFS(FGLocal,$BD9,Ganador,"Visitante",Part2Empate4V,$CH9)+COUNTIFS(FGVisitante,$BD9,Ganador,"Local",Part2Empate4L,$CH9))</f>
        <v>0</v>
      </c>
      <c r="CL9" s="754">
        <f ca="1">IF($CH9="-","-",CI9*3+CJ9)</f>
        <v>0</v>
      </c>
      <c r="CM9" s="754">
        <f ca="1">CG9+COUNTIFS($CH$6:$CH$53,CH9,$CL$6:CL$53,"&gt;"&amp;CL9,$BC$6:$BC$53,INDEX(T_Equipos[Grupo],MATCH(BD9,T_Equipos[NombreEquipo],0)))</f>
        <v>1</v>
      </c>
      <c r="CN9" s="753" t="str">
        <f ca="1">IF(COUNTIFS($CM$6:$CM$53,CM9,$BC$6:$BC$53,INDEX(T_Equipos[Grupo],MATCH(BD9,T_Equipos[NombreEquipo],0)))=1,"-","P."&amp;CM9&amp;" ("&amp;COUNTIFS($CM$6:$CM$53,CM9,$BC$6:$BC$53,INDEX(T_Equipos[Grupo],MATCH(BD9,T_Equipos[NombreEquipo],0)))&amp;")")</f>
        <v>P.1 (4)</v>
      </c>
      <c r="CO9" s="754">
        <f ca="1">IF($CN9="-","-",SUMIFS(FG_GolesLocal,FGLocal,$BD9,Part2Empate5V,$CN9)+SUMIFS(FG_GolesVisitante,FGVisitante,$BD9,Part2Empate5L,$CN9))</f>
        <v>0</v>
      </c>
      <c r="CP9" s="754">
        <f ca="1">IF($CN9="-","-",SUMIFS(FG_GolesVisitante,FGLocal,$BD9,Part2Empate5V,$CN9)+SUMIFS(FG_GolesLocal,FGVisitante,$BD9,Part2Empate5L,$CN9))</f>
        <v>0</v>
      </c>
      <c r="CQ9" s="754">
        <f ca="1">IF($CN9="-","-",CO9-CP9)</f>
        <v>0</v>
      </c>
      <c r="CR9" s="754">
        <f ca="1">CM9+COUNTIFS($CN$6:$CN$53,CN9,$CQ$6:CQ$53,"&gt;"&amp;CQ9,$BC$6:$BC$53,INDEX(T_Equipos[Grupo],MATCH(BD9,T_Equipos[NombreEquipo],0)))</f>
        <v>1</v>
      </c>
      <c r="CS9" s="753" t="str">
        <f ca="1">IF(COUNTIFS($CR$6:$CR$53,CR9,$BC$6:$BC$53,INDEX(T_Equipos[Grupo],MATCH(BD9,T_Equipos[NombreEquipo],0)))=1,"-","P."&amp;CR9&amp;" ("&amp;COUNTIFS($CR$6:$CR$53,CR9,$BC$6:$BC$53,INDEX(T_Equipos[Grupo],MATCH(BD9,T_Equipos[NombreEquipo],0)))&amp;")")</f>
        <v>P.1 (4)</v>
      </c>
      <c r="CT9" s="754">
        <f ca="1">IF($CS9="-","-",SUMIFS(FG_GolesLocal,FGLocal,$BD9,Part2Empate6V,$CS9)+SUMIFS(FG_GolesVisitante,FGVisitante,$BD9,Part2Empate6L,$CS9))</f>
        <v>0</v>
      </c>
      <c r="CU9" s="754">
        <f ca="1">CR9+COUNTIFS($CS$6:$CS$53,CS9,$CT$6:CT$53,"&gt;"&amp;CT9,$BC$6:$BC$53,INDEX(T_Equipos[Grupo],MATCH(BD9,T_Equipos[NombreEquipo],0)))</f>
        <v>1</v>
      </c>
      <c r="CV9" s="753" t="str">
        <f ca="1">IF(COUNTIFS($CU$6:$CU$53,CU9,$BC$6:$BC$53,INDEX(T_Equipos[Grupo],MATCH(BD9,T_Equipos[NombreEquipo],0)))=1,"-","P."&amp;CU9&amp;" ("&amp;COUNTIFS($CU$6:$CU$53,CU9,$BC$6:$BC$53,INDEX(T_Equipos[Grupo],MATCH(BD9,T_Equipos[NombreEquipo],0)))&amp;")")</f>
        <v>P.1 (4)</v>
      </c>
      <c r="CW9" s="753">
        <f t="shared" ca="1" si="30"/>
        <v>0</v>
      </c>
      <c r="CX9" s="753">
        <f ca="1">CU9+COUNTIFS($CV$6:$CV$53,CV9,$CW$6:CW$53,"&gt;"&amp;CW9,$BC$6:$BC$53,INDEX(T_Equipos[Grupo],MATCH(BD9,T_Equipos[NombreEquipo],0)))</f>
        <v>1</v>
      </c>
      <c r="CY9" s="753" t="str">
        <f ca="1">IF(COUNTIFS($CX$6:$CX$53,CX9,$BC$6:$BC$53,INDEX(T_Equipos[Grupo],MATCH(BD9,T_Equipos[NombreEquipo],0)))=1,"-","P."&amp;CX9&amp;" ("&amp;COUNTIFS($CX$6:$CX$53,CX9,$BC$6:$BC$53,INDEX(T_Equipos[Grupo],MATCH(BD9,T_Equipos[NombreEquipo],0)))&amp;")")</f>
        <v>P.1 (4)</v>
      </c>
      <c r="CZ9" s="753">
        <f t="shared" ca="1" si="31"/>
        <v>0</v>
      </c>
      <c r="DA9" s="754">
        <f ca="1">CX9+COUNTIFS($CY$6:$CY$53,CY9,$CZ$6:CZ$53,"&gt;"&amp;CZ9,$BC$6:$BC$53,INDEX(T_Equipos[Grupo],MATCH(BD9,T_Equipos[NombreEquipo],0)))</f>
        <v>1</v>
      </c>
      <c r="DB9" s="753" t="str">
        <f ca="1">IF(COUNTIFS($DA$6:$DA$53,DA9,$BC$6:$BC$53,INDEX(T_Equipos[Grupo],MATCH(BD9,T_Equipos[NombreEquipo],0)))=1,"-","P."&amp;DA9&amp;" ("&amp;COUNTIFS($DA$6:$DA$53,DA9,$BC$6:$BC$53,INDEX(T_Equipos[Grupo],MATCH(BD9,T_Equipos[NombreEquipo],0)))&amp;")")</f>
        <v>P.1 (4)</v>
      </c>
      <c r="DC9" s="752">
        <f ca="1">IF(DB9="-","-",COUNTIFS(T_Equipos[Rank],"&lt;"&amp;INDEX(T_Equipos[Rank],MATCH(BD9,T_Equipos[NombreEquipo],0)),$BC$6:$BC$53,INDEX(T_Equipos[Grupo],MATCH(BD9,T_Equipos[NombreEquipo],0)))+1)</f>
        <v>4</v>
      </c>
      <c r="DD9" s="752">
        <f ca="1">DA9+COUNTIFS($DB$6:$DB$53,DB9,$DC$6:DC$53,"&lt;"&amp;DC9,$BC$6:$BC$53,INDEX(T_Equipos[Grupo],MATCH(BD9,T_Equipos[NombreEquipo],0)))</f>
        <v>4</v>
      </c>
      <c r="DE9" s="752"/>
      <c r="DF9" s="752">
        <f t="shared" ca="1" si="32"/>
        <v>4</v>
      </c>
      <c r="DG9" s="752">
        <f ca="1">IF(DB9="-","-",COUNTIFS(DF$6:DF$53,"&lt;"&amp;DF9,$BC$6:$BC$53,INDEX(T_Equipos[Grupo],MATCH(BD9,T_Equipos[NombreEquipo],0))))</f>
        <v>3</v>
      </c>
      <c r="DH9" s="752">
        <f ca="1">DA9+COUNTIFS(DB$6:DB$53,DB9,DG$6:DG$53,"&lt;"&amp;DG9,$BC$6:$BC$53,INDEX(T_Equipos[Grupo],MATCH(BD9,T_Equipos[NombreEquipo],0)))</f>
        <v>4</v>
      </c>
      <c r="DI9" s="740"/>
      <c r="DJ9" s="740">
        <f ca="1">INDEX($DA$6:$DA$53,MATCH($DQ9,$BD$6:$BD$53,0))</f>
        <v>1</v>
      </c>
      <c r="DK9" s="740">
        <f t="shared" ca="1" si="24"/>
        <v>0</v>
      </c>
      <c r="DL9" s="740">
        <f t="shared" ca="1" si="33"/>
        <v>1</v>
      </c>
      <c r="DM9" s="734" t="str">
        <f t="shared" ca="1" si="34"/>
        <v>1.1</v>
      </c>
      <c r="DN9" s="740" cm="1">
        <f t="array" aca="1" ref="DN9" ca="1">OFFSET(Horarios!$P$3,DJ9-1,0,DL9,1)</f>
        <v>1</v>
      </c>
      <c r="DO9" s="740"/>
      <c r="DP9" s="740" t="s">
        <v>647</v>
      </c>
      <c r="DQ9" s="740" t="str">
        <f t="shared" ca="1" si="35"/>
        <v>República Checa</v>
      </c>
      <c r="DR9" s="740"/>
      <c r="DS9" s="740"/>
      <c r="DT9" s="740" t="str">
        <f t="shared" ca="1" si="15"/>
        <v>Sudáfrica-Corea del Sur</v>
      </c>
      <c r="DU9" s="740"/>
      <c r="DV9" s="740"/>
      <c r="DW9" s="8"/>
    </row>
    <row r="10" spans="1:127" ht="15" customHeight="1" thickBot="1">
      <c r="A10" s="735"/>
      <c r="B10" s="738"/>
      <c r="C10" s="735"/>
      <c r="D10" s="740"/>
      <c r="E10" s="740"/>
      <c r="F10" s="740"/>
      <c r="G10" s="740"/>
      <c r="H10" s="740"/>
      <c r="I10" s="740"/>
      <c r="J10" s="740"/>
      <c r="K10" s="740"/>
      <c r="L10" s="740"/>
      <c r="M10" s="740"/>
      <c r="N10" s="740"/>
      <c r="O10" s="740"/>
      <c r="P10" s="740"/>
      <c r="Q10" s="740"/>
      <c r="R10" s="740"/>
      <c r="S10" s="740"/>
      <c r="T10" s="740"/>
      <c r="U10" s="740"/>
      <c r="V10" s="172"/>
      <c r="W10" s="242"/>
      <c r="X10" s="243"/>
      <c r="Y10" s="242"/>
      <c r="Z10" s="244"/>
      <c r="AA10" s="245"/>
      <c r="AB10" s="481"/>
      <c r="AC10" s="247"/>
      <c r="AD10" s="247"/>
      <c r="AE10" s="481"/>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0"/>
      <c r="BC10" s="752" t="str">
        <f ca="1">+INDEX(T_Equipos[Grupo],MATCH(WORLDCUP!BD10,T_Equipos[NombreEquipo],0))</f>
        <v>B</v>
      </c>
      <c r="BD10" s="740" t="str">
        <f ca="1">+Equipos!B6</f>
        <v>Canadá</v>
      </c>
      <c r="BE10" s="744">
        <f t="shared" ca="1" si="25"/>
        <v>0</v>
      </c>
      <c r="BF10" s="744">
        <f t="shared" ca="1" si="26"/>
        <v>0</v>
      </c>
      <c r="BG10" s="744">
        <f t="shared" ca="1" si="17"/>
        <v>0</v>
      </c>
      <c r="BH10" s="744">
        <f t="shared" ca="1" si="18"/>
        <v>0</v>
      </c>
      <c r="BI10" s="744">
        <f t="shared" ca="1" si="19"/>
        <v>0</v>
      </c>
      <c r="BJ10" s="744">
        <f t="shared" ca="1" si="20"/>
        <v>0</v>
      </c>
      <c r="BK10" s="744">
        <f t="shared" ca="1" si="21"/>
        <v>0</v>
      </c>
      <c r="BL10" s="744">
        <f t="shared" ca="1" si="27"/>
        <v>0</v>
      </c>
      <c r="BM10" s="744" t="str">
        <f t="shared" ca="1" si="22"/>
        <v>1B</v>
      </c>
      <c r="BN10" s="744" t="str">
        <f t="shared" ca="1" si="23"/>
        <v>1B</v>
      </c>
      <c r="BO10" s="754">
        <f t="shared" ca="1" si="28"/>
        <v>0</v>
      </c>
      <c r="BP10" s="753">
        <f ca="1">COUNTIFS($BO$6:$BO$53,"&gt;"&amp;BO10,$BC$6:$BC$53,INDEX(T_Equipos[Grupo],MATCH(BD10,T_Equipos[NombreEquipo],0)))+1</f>
        <v>1</v>
      </c>
      <c r="BQ10" s="753" t="str">
        <f ca="1">IF(COUNTIFS($BP$6:$BP$53,BP10,$BC$6:$BC$53,INDEX(T_Equipos[Grupo],MATCH(BD10,T_Equipos[NombreEquipo],0)))=1,"-","P."&amp;BP10&amp;" ("&amp;COUNTIFS($BP$6:$BP$53,BP10,$BC$6:$BC$53,INDEX(T_Equipos[Grupo],MATCH(BD10,T_Equipos[NombreEquipo],0)))&amp;")")</f>
        <v>P.1 (4)</v>
      </c>
      <c r="BR10" s="754">
        <f t="shared" ca="1" si="29"/>
        <v>0</v>
      </c>
      <c r="BS10" s="753">
        <f ca="1">BP10+COUNTIFS($BQ$6:$BQ$53,BQ10,$BR$6:BR$53,"&gt;"&amp;BR10,$BC$6:$BC$53,INDEX(T_Equipos[Grupo],MATCH(BD10,T_Equipos[NombreEquipo],0)))</f>
        <v>1</v>
      </c>
      <c r="BT10" s="753" t="str">
        <f ca="1">IF(COUNTIFS($BS$6:$BS$53,BS10,$BC$6:$BC$53,INDEX(T_Equipos[Grupo],MATCH(BD10,T_Equipos[NombreEquipo],0)))=1,"-","P."&amp;BS10&amp;" ("&amp;COUNTIFS($BS$6:$BS$53,BS10,$BC$6:$BC$53,INDEX(T_Equipos[Grupo],MATCH(BD10,T_Equipos[NombreEquipo],0)))&amp;")")</f>
        <v>P.1 (4)</v>
      </c>
      <c r="BU10" s="754">
        <f t="shared" ref="BU10:BU53" ca="1" si="36">IF($BT10="-","-",COUNTIFS(FGLocal,$BD10,Ganador,"Local",Part1Empate1V,$BT10)+COUNTIFS(FGVisitante,$BD10,Ganador,"Visitante",Part1Empate1L,$BT10))</f>
        <v>0</v>
      </c>
      <c r="BV10" s="754">
        <f t="shared" ref="BV10:BV53" ca="1" si="37">IF($BT10="-","-",COUNTIFS(FGLocal,$BD10,Ganador,"Empate",Part1Empate1V,$BT10)+COUNTIFS(FGVisitante,$BD10,Ganador,"Empate",Part1Empate1L,$BT10))</f>
        <v>0</v>
      </c>
      <c r="BW10" s="754">
        <f t="shared" ref="BW10:BW53" ca="1" si="38">IF($BT10="-","-",COUNTIFS(FGLocal,$BD10,Ganador,"Visitante",Part1Empate1V,$BT10)+COUNTIFS(FGVisitante,$BD10,Ganador,"Local",Part1Empate1L,$BT10))</f>
        <v>0</v>
      </c>
      <c r="BX10" s="754">
        <f t="shared" ref="BX10:BX53" ca="1" si="39">IF($BT10="-","-",BU10*3+BV10)</f>
        <v>0</v>
      </c>
      <c r="BY10" s="754">
        <f ca="1">BS10+COUNTIFS($BT$6:$BT$53,BT10,$BX$6:BX$53,"&gt;"&amp;BX10,$BC$6:$BC$53,INDEX(T_Equipos[Grupo],MATCH(BD10,T_Equipos[NombreEquipo],0)))</f>
        <v>1</v>
      </c>
      <c r="BZ10" s="753" t="str">
        <f ca="1">IF(COUNTIFS($BY$6:$BY$53,BY10,$BC$6:$BC$53,INDEX(T_Equipos[Grupo],MATCH(BD10,T_Equipos[NombreEquipo],0)))=1,"-","P."&amp;BY10&amp;" ("&amp;COUNTIFS($BY$6:$BY$53,BY10,$BC$6:$BC$53,INDEX(T_Equipos[Grupo],MATCH(BD10,T_Equipos[NombreEquipo],0)))&amp;")")</f>
        <v>P.1 (4)</v>
      </c>
      <c r="CA10" s="754">
        <f t="shared" ref="CA10:CA53" ca="1" si="40">IF($BZ10="-","-",SUMIFS(FG_GolesLocal,FGLocal,$BD10,Part1Empate2V,$BZ10)+SUMIFS(FG_GolesVisitante,FGVisitante,$BD10,Part1Empate2L,$BZ10))</f>
        <v>0</v>
      </c>
      <c r="CB10" s="754">
        <f t="shared" ref="CB10:CB53" ca="1" si="41">IF($BZ10="-","-",SUMIFS(FG_GolesVisitante,FGLocal,$BD10,Part1Empate2V,$BZ10)+SUMIFS(FG_GolesLocal,FGVisitante,$BD10,Part1Empate2L,$BZ10))</f>
        <v>0</v>
      </c>
      <c r="CC10" s="754">
        <f t="shared" ref="CC10:CC53" ca="1" si="42">IF($BZ10="-","-",CA10-CB10)</f>
        <v>0</v>
      </c>
      <c r="CD10" s="754">
        <f ca="1">BY10+COUNTIFS($BZ$6:$BZ$53,BZ10,$CC$6:CC$53,"&gt;"&amp;CC10,$BC$6:$BC$53,INDEX(T_Equipos[Grupo],MATCH(BD10,T_Equipos[NombreEquipo],0)))</f>
        <v>1</v>
      </c>
      <c r="CE10" s="753" t="str">
        <f ca="1">IF(COUNTIFS($CD$6:$CD$53,CD10,$BC$6:$BC$53,INDEX(T_Equipos[Grupo],MATCH(BD10,T_Equipos[NombreEquipo],0)))=1,"-","P."&amp;CD10&amp;" ("&amp;COUNTIFS($CD$6:$CD$53,CD10,$BC$6:$BC$53,INDEX(T_Equipos[Grupo],MATCH(BD10,T_Equipos[NombreEquipo],0)))&amp;")")</f>
        <v>P.1 (4)</v>
      </c>
      <c r="CF10" s="754">
        <f t="shared" ref="CF10:CF53" ca="1" si="43">IF($CE10="-","-",SUMIFS(FG_GolesLocal,FGLocal,$BD10,Part1Empate3V,$CE10)+SUMIFS(FG_GolesVisitante,FGVisitante,$BD10,Part1Empate3L,$CE10))</f>
        <v>0</v>
      </c>
      <c r="CG10" s="754">
        <f ca="1">CD10+COUNTIFS($CE$6:$CE$53,CE10,$CF$6:CF$53,"&gt;"&amp;CF10,$BC$6:$BC$53,INDEX(T_Equipos[Grupo],MATCH(BD10,T_Equipos[NombreEquipo],0)))</f>
        <v>1</v>
      </c>
      <c r="CH10" s="753" t="str">
        <f ca="1">IF(COUNTIFS($CG$6:$CG$53,CG10,$BC$6:$BC$53,INDEX(T_Equipos[Grupo],MATCH(BD10,T_Equipos[NombreEquipo],0)))=1,"-","P."&amp;CG10&amp;" ("&amp;COUNTIFS($CG$6:$CG$53,CG10,$BC$6:$BC$53,INDEX(T_Equipos[Grupo],MATCH(BD10,T_Equipos[NombreEquipo],0)))&amp;")")</f>
        <v>P.1 (4)</v>
      </c>
      <c r="CI10" s="754">
        <f t="shared" ref="CI10:CI53" ca="1" si="44">IF($CH10="-","-",COUNTIFS(FGLocal,$BD10,Ganador,"Local",Part2Empate4V,$CH10)+COUNTIFS(FGVisitante,$BD10,Ganador,"Visitante",Part2Empate4L,$CH10))</f>
        <v>0</v>
      </c>
      <c r="CJ10" s="754">
        <f t="shared" ref="CJ10:CJ53" ca="1" si="45">IF($CH10="-","-",COUNTIFS(FGLocal,$BD10,Ganador,"Empate",Part2Empate4V,$CH10)+COUNTIFS(FGVisitante,$BD10,Ganador,"Empate",Part2Empate4L,$CH10))</f>
        <v>0</v>
      </c>
      <c r="CK10" s="754">
        <f t="shared" ref="CK10:CK53" ca="1" si="46">IF($CH10="-","-",COUNTIFS(FGLocal,$BD10,Ganador,"Visitante",Part2Empate4V,$CH10)+COUNTIFS(FGVisitante,$BD10,Ganador,"Local",Part2Empate4L,$CH10))</f>
        <v>0</v>
      </c>
      <c r="CL10" s="754">
        <f t="shared" ref="CL10:CL53" ca="1" si="47">IF($CH10="-","-",CI10*3+CJ10)</f>
        <v>0</v>
      </c>
      <c r="CM10" s="754">
        <f ca="1">CG10+COUNTIFS($CH$6:$CH$53,CH10,$CL$6:CL$53,"&gt;"&amp;CL10,$BC$6:$BC$53,INDEX(T_Equipos[Grupo],MATCH(BD10,T_Equipos[NombreEquipo],0)))</f>
        <v>1</v>
      </c>
      <c r="CN10" s="753" t="str">
        <f ca="1">IF(COUNTIFS($CM$6:$CM$53,CM10,$BC$6:$BC$53,INDEX(T_Equipos[Grupo],MATCH(BD10,T_Equipos[NombreEquipo],0)))=1,"-","P."&amp;CM10&amp;" ("&amp;COUNTIFS($CM$6:$CM$53,CM10,$BC$6:$BC$53,INDEX(T_Equipos[Grupo],MATCH(BD10,T_Equipos[NombreEquipo],0)))&amp;")")</f>
        <v>P.1 (4)</v>
      </c>
      <c r="CO10" s="754">
        <f t="shared" ref="CO10:CO53" ca="1" si="48">IF($CN10="-","-",SUMIFS(FG_GolesLocal,FGLocal,$BD10,Part2Empate5V,$CN10)+SUMIFS(FG_GolesVisitante,FGVisitante,$BD10,Part2Empate5L,$CN10))</f>
        <v>0</v>
      </c>
      <c r="CP10" s="754">
        <f t="shared" ref="CP10:CP53" ca="1" si="49">IF($CN10="-","-",SUMIFS(FG_GolesVisitante,FGLocal,$BD10,Part2Empate5V,$CN10)+SUMIFS(FG_GolesLocal,FGVisitante,$BD10,Part2Empate5L,$CN10))</f>
        <v>0</v>
      </c>
      <c r="CQ10" s="754">
        <f t="shared" ref="CQ10:CQ53" ca="1" si="50">IF($CN10="-","-",CO10-CP10)</f>
        <v>0</v>
      </c>
      <c r="CR10" s="754">
        <f ca="1">CM10+COUNTIFS($CN$6:$CN$53,CN10,$CQ$6:CQ$53,"&gt;"&amp;CQ10,$BC$6:$BC$53,INDEX(T_Equipos[Grupo],MATCH(BD10,T_Equipos[NombreEquipo],0)))</f>
        <v>1</v>
      </c>
      <c r="CS10" s="753" t="str">
        <f ca="1">IF(COUNTIFS($CR$6:$CR$53,CR10,$BC$6:$BC$53,INDEX(T_Equipos[Grupo],MATCH(BD10,T_Equipos[NombreEquipo],0)))=1,"-","P."&amp;CR10&amp;" ("&amp;COUNTIFS($CR$6:$CR$53,CR10,$BC$6:$BC$53,INDEX(T_Equipos[Grupo],MATCH(BD10,T_Equipos[NombreEquipo],0)))&amp;")")</f>
        <v>P.1 (4)</v>
      </c>
      <c r="CT10" s="754">
        <f t="shared" ref="CT10:CT53" ca="1" si="51">IF($CS10="-","-",SUMIFS(FG_GolesLocal,FGLocal,$BD10,Part2Empate6V,$CS10)+SUMIFS(FG_GolesVisitante,FGVisitante,$BD10,Part2Empate6L,$CS10))</f>
        <v>0</v>
      </c>
      <c r="CU10" s="754">
        <f ca="1">CR10+COUNTIFS($CS$6:$CS$53,CS10,$CT$6:CT$53,"&gt;"&amp;CT10,$BC$6:$BC$53,INDEX(T_Equipos[Grupo],MATCH(BD10,T_Equipos[NombreEquipo],0)))</f>
        <v>1</v>
      </c>
      <c r="CV10" s="753" t="str">
        <f ca="1">IF(COUNTIFS($CU$6:$CU$53,CU10,$BC$6:$BC$53,INDEX(T_Equipos[Grupo],MATCH(BD10,T_Equipos[NombreEquipo],0)))=1,"-","P."&amp;CU10&amp;" ("&amp;COUNTIFS($CU$6:$CU$53,CU10,$BC$6:$BC$53,INDEX(T_Equipos[Grupo],MATCH(BD10,T_Equipos[NombreEquipo],0)))&amp;")")</f>
        <v>P.1 (4)</v>
      </c>
      <c r="CW10" s="753">
        <f t="shared" ca="1" si="30"/>
        <v>0</v>
      </c>
      <c r="CX10" s="753">
        <f ca="1">CU10+COUNTIFS($CV$6:$CV$53,CV10,$CW$6:CW$53,"&gt;"&amp;CW10,$BC$6:$BC$53,INDEX(T_Equipos[Grupo],MATCH(BD10,T_Equipos[NombreEquipo],0)))</f>
        <v>1</v>
      </c>
      <c r="CY10" s="753" t="str">
        <f ca="1">IF(COUNTIFS($CX$6:$CX$53,CX10,$BC$6:$BC$53,INDEX(T_Equipos[Grupo],MATCH(BD10,T_Equipos[NombreEquipo],0)))=1,"-","P."&amp;CX10&amp;" ("&amp;COUNTIFS($CX$6:$CX$53,CX10,$BC$6:$BC$53,INDEX(T_Equipos[Grupo],MATCH(BD10,T_Equipos[NombreEquipo],0)))&amp;")")</f>
        <v>P.1 (4)</v>
      </c>
      <c r="CZ10" s="753">
        <f t="shared" ca="1" si="31"/>
        <v>0</v>
      </c>
      <c r="DA10" s="754">
        <f ca="1">CX10+COUNTIFS($CY$6:$CY$53,CY10,$CZ$6:CZ$53,"&gt;"&amp;CZ10,$BC$6:$BC$53,INDEX(T_Equipos[Grupo],MATCH(BD10,T_Equipos[NombreEquipo],0)))</f>
        <v>1</v>
      </c>
      <c r="DB10" s="753" t="str">
        <f ca="1">IF(COUNTIFS($DA$6:$DA$53,DA10,$BC$6:$BC$53,INDEX(T_Equipos[Grupo],MATCH(BD10,T_Equipos[NombreEquipo],0)))=1,"-","P."&amp;DA10&amp;" ("&amp;COUNTIFS($DA$6:$DA$53,DA10,$BC$6:$BC$53,INDEX(T_Equipos[Grupo],MATCH(BD10,T_Equipos[NombreEquipo],0)))&amp;")")</f>
        <v>P.1 (4)</v>
      </c>
      <c r="DC10" s="752">
        <f ca="1">IF(DB10="-","-",COUNTIFS(T_Equipos[Rank],"&lt;"&amp;INDEX(T_Equipos[Rank],MATCH(BD10,T_Equipos[NombreEquipo],0)),$BC$6:$BC$53,INDEX(T_Equipos[Grupo],MATCH(BD10,T_Equipos[NombreEquipo],0)))+1)</f>
        <v>1</v>
      </c>
      <c r="DD10" s="752">
        <f ca="1">DA10+COUNTIFS($DB$6:$DB$53,DB10,$DC$6:DC$53,"&lt;"&amp;DC10,$BC$6:$BC$53,INDEX(T_Equipos[Grupo],MATCH(BD10,T_Equipos[NombreEquipo],0)))</f>
        <v>1</v>
      </c>
      <c r="DE10" s="752"/>
      <c r="DF10" s="752">
        <f t="shared" ref="DF10:DF53" ca="1" si="52">IF(OR(INDEX($AW$6:$AW$97,MATCH($BD10,$AV$6:$AV$97,0))="",DB10="-"),DD10,INDEX($AW$6:$AW$97,MATCH($BD10,$AV$6:$AV$97,0))+DD10/1000)</f>
        <v>1</v>
      </c>
      <c r="DG10" s="752">
        <f ca="1">IF(DB10="-","-",COUNTIFS(DF$6:DF$53,"&lt;"&amp;DF10,$BC$6:$BC$53,INDEX(T_Equipos[Grupo],MATCH(BD10,T_Equipos[NombreEquipo],0))))</f>
        <v>0</v>
      </c>
      <c r="DH10" s="752">
        <f ca="1">DA10+COUNTIFS(DB$6:DB$53,DB10,DG$6:DG$53,"&lt;"&amp;DG10,$BC$6:$BC$53,INDEX(T_Equipos[Grupo],MATCH(BD10,T_Equipos[NombreEquipo],0)))</f>
        <v>1</v>
      </c>
      <c r="DI10" s="740"/>
      <c r="DJ10" s="740">
        <f t="shared" ref="DJ10:DJ53" ca="1" si="53">INDEX($DA$6:$DA$53,MATCH($DQ10,$BD$6:$BD$53,0))</f>
        <v>1</v>
      </c>
      <c r="DK10" s="740">
        <f t="shared" ca="1" si="24"/>
        <v>0</v>
      </c>
      <c r="DL10" s="740">
        <f t="shared" ca="1" si="33"/>
        <v>1</v>
      </c>
      <c r="DM10" s="734" t="str">
        <f t="shared" ca="1" si="34"/>
        <v>1.1</v>
      </c>
      <c r="DN10" s="740" cm="1">
        <f t="array" aca="1" ref="DN10" ca="1">OFFSET(Horarios!$P$3,DJ10-1,0,DL10,1)</f>
        <v>1</v>
      </c>
      <c r="DO10" s="740"/>
      <c r="DP10" s="740" t="s">
        <v>648</v>
      </c>
      <c r="DQ10" s="740" t="str">
        <f t="shared" ca="1" si="35"/>
        <v>Canadá</v>
      </c>
      <c r="DR10" s="740"/>
      <c r="DS10" s="740"/>
      <c r="DT10" s="740" t="str">
        <f t="shared" si="15"/>
        <v>-</v>
      </c>
      <c r="DU10" s="740"/>
      <c r="DV10" s="740"/>
      <c r="DW10" s="8"/>
    </row>
    <row r="11" spans="1:127" ht="15.95" customHeight="1" thickBot="1">
      <c r="A11" s="735"/>
      <c r="B11" s="738"/>
      <c r="C11" s="735"/>
      <c r="D11" s="735"/>
      <c r="E11" s="735"/>
      <c r="F11" s="735"/>
      <c r="G11" s="735"/>
      <c r="H11" s="735"/>
      <c r="I11" s="735"/>
      <c r="J11" s="735"/>
      <c r="K11" s="735"/>
      <c r="L11" s="735"/>
      <c r="M11" s="735"/>
      <c r="N11" s="740"/>
      <c r="O11" s="740"/>
      <c r="P11" s="740"/>
      <c r="Q11" s="740"/>
      <c r="R11" s="740"/>
      <c r="S11" s="740"/>
      <c r="T11" s="740"/>
      <c r="U11" s="740"/>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0"/>
      <c r="BC11" s="752" t="str">
        <f ca="1">+INDEX(T_Equipos[Grupo],MATCH(WORLDCUP!BD11,T_Equipos[NombreEquipo],0))</f>
        <v>B</v>
      </c>
      <c r="BD11" s="740" t="str">
        <f ca="1">+Equipos!B7</f>
        <v>Bosnia y Herzegovina</v>
      </c>
      <c r="BE11" s="744">
        <f t="shared" ca="1" si="25"/>
        <v>0</v>
      </c>
      <c r="BF11" s="744">
        <f t="shared" ca="1" si="26"/>
        <v>0</v>
      </c>
      <c r="BG11" s="744">
        <f t="shared" ca="1" si="17"/>
        <v>0</v>
      </c>
      <c r="BH11" s="744">
        <f t="shared" ca="1" si="18"/>
        <v>0</v>
      </c>
      <c r="BI11" s="744">
        <f t="shared" ca="1" si="19"/>
        <v>0</v>
      </c>
      <c r="BJ11" s="744">
        <f t="shared" ca="1" si="20"/>
        <v>0</v>
      </c>
      <c r="BK11" s="744">
        <f t="shared" ca="1" si="21"/>
        <v>0</v>
      </c>
      <c r="BL11" s="744">
        <f t="shared" ca="1" si="27"/>
        <v>0</v>
      </c>
      <c r="BM11" s="744" t="str">
        <f t="shared" ca="1" si="22"/>
        <v>2B</v>
      </c>
      <c r="BN11" s="744" t="str">
        <f t="shared" ca="1" si="23"/>
        <v>2B</v>
      </c>
      <c r="BO11" s="754">
        <f t="shared" ca="1" si="28"/>
        <v>0</v>
      </c>
      <c r="BP11" s="753">
        <f ca="1">COUNTIFS($BO$6:$BO$53,"&gt;"&amp;BO11,$BC$6:$BC$53,INDEX(T_Equipos[Grupo],MATCH(BD11,T_Equipos[NombreEquipo],0)))+1</f>
        <v>1</v>
      </c>
      <c r="BQ11" s="753" t="str">
        <f ca="1">IF(COUNTIFS($BP$6:$BP$53,BP11,$BC$6:$BC$53,INDEX(T_Equipos[Grupo],MATCH(BD11,T_Equipos[NombreEquipo],0)))=1,"-","P."&amp;BP11&amp;" ("&amp;COUNTIFS($BP$6:$BP$53,BP11,$BC$6:$BC$53,INDEX(T_Equipos[Grupo],MATCH(BD11,T_Equipos[NombreEquipo],0)))&amp;")")</f>
        <v>P.1 (4)</v>
      </c>
      <c r="BR11" s="754">
        <f t="shared" ca="1" si="29"/>
        <v>0</v>
      </c>
      <c r="BS11" s="753">
        <f ca="1">BP11+COUNTIFS($BQ$6:$BQ$53,BQ11,$BR$6:BR$53,"&gt;"&amp;BR11,$BC$6:$BC$53,INDEX(T_Equipos[Grupo],MATCH(BD11,T_Equipos[NombreEquipo],0)))</f>
        <v>1</v>
      </c>
      <c r="BT11" s="753" t="str">
        <f ca="1">IF(COUNTIFS($BS$6:$BS$53,BS11,$BC$6:$BC$53,INDEX(T_Equipos[Grupo],MATCH(BD11,T_Equipos[NombreEquipo],0)))=1,"-","P."&amp;BS11&amp;" ("&amp;COUNTIFS($BS$6:$BS$53,BS11,$BC$6:$BC$53,INDEX(T_Equipos[Grupo],MATCH(BD11,T_Equipos[NombreEquipo],0)))&amp;")")</f>
        <v>P.1 (4)</v>
      </c>
      <c r="BU11" s="754">
        <f t="shared" ca="1" si="36"/>
        <v>0</v>
      </c>
      <c r="BV11" s="754">
        <f t="shared" ca="1" si="37"/>
        <v>0</v>
      </c>
      <c r="BW11" s="754">
        <f t="shared" ca="1" si="38"/>
        <v>0</v>
      </c>
      <c r="BX11" s="754">
        <f t="shared" ca="1" si="39"/>
        <v>0</v>
      </c>
      <c r="BY11" s="754">
        <f ca="1">BS11+COUNTIFS($BT$6:$BT$53,BT11,$BX$6:BX$53,"&gt;"&amp;BX11,$BC$6:$BC$53,INDEX(T_Equipos[Grupo],MATCH(BD11,T_Equipos[NombreEquipo],0)))</f>
        <v>1</v>
      </c>
      <c r="BZ11" s="753" t="str">
        <f ca="1">IF(COUNTIFS($BY$6:$BY$53,BY11,$BC$6:$BC$53,INDEX(T_Equipos[Grupo],MATCH(BD11,T_Equipos[NombreEquipo],0)))=1,"-","P."&amp;BY11&amp;" ("&amp;COUNTIFS($BY$6:$BY$53,BY11,$BC$6:$BC$53,INDEX(T_Equipos[Grupo],MATCH(BD11,T_Equipos[NombreEquipo],0)))&amp;")")</f>
        <v>P.1 (4)</v>
      </c>
      <c r="CA11" s="754">
        <f t="shared" ca="1" si="40"/>
        <v>0</v>
      </c>
      <c r="CB11" s="754">
        <f t="shared" ca="1" si="41"/>
        <v>0</v>
      </c>
      <c r="CC11" s="754">
        <f t="shared" ca="1" si="42"/>
        <v>0</v>
      </c>
      <c r="CD11" s="754">
        <f ca="1">BY11+COUNTIFS($BZ$6:$BZ$53,BZ11,$CC$6:CC$53,"&gt;"&amp;CC11,$BC$6:$BC$53,INDEX(T_Equipos[Grupo],MATCH(BD11,T_Equipos[NombreEquipo],0)))</f>
        <v>1</v>
      </c>
      <c r="CE11" s="753" t="str">
        <f ca="1">IF(COUNTIFS($CD$6:$CD$53,CD11,$BC$6:$BC$53,INDEX(T_Equipos[Grupo],MATCH(BD11,T_Equipos[NombreEquipo],0)))=1,"-","P."&amp;CD11&amp;" ("&amp;COUNTIFS($CD$6:$CD$53,CD11,$BC$6:$BC$53,INDEX(T_Equipos[Grupo],MATCH(BD11,T_Equipos[NombreEquipo],0)))&amp;")")</f>
        <v>P.1 (4)</v>
      </c>
      <c r="CF11" s="754">
        <f t="shared" ca="1" si="43"/>
        <v>0</v>
      </c>
      <c r="CG11" s="754">
        <f ca="1">CD11+COUNTIFS($CE$6:$CE$53,CE11,$CF$6:CF$53,"&gt;"&amp;CF11,$BC$6:$BC$53,INDEX(T_Equipos[Grupo],MATCH(BD11,T_Equipos[NombreEquipo],0)))</f>
        <v>1</v>
      </c>
      <c r="CH11" s="753" t="str">
        <f ca="1">IF(COUNTIFS($CG$6:$CG$53,CG11,$BC$6:$BC$53,INDEX(T_Equipos[Grupo],MATCH(BD11,T_Equipos[NombreEquipo],0)))=1,"-","P."&amp;CG11&amp;" ("&amp;COUNTIFS($CG$6:$CG$53,CG11,$BC$6:$BC$53,INDEX(T_Equipos[Grupo],MATCH(BD11,T_Equipos[NombreEquipo],0)))&amp;")")</f>
        <v>P.1 (4)</v>
      </c>
      <c r="CI11" s="754">
        <f t="shared" ca="1" si="44"/>
        <v>0</v>
      </c>
      <c r="CJ11" s="754">
        <f t="shared" ca="1" si="45"/>
        <v>0</v>
      </c>
      <c r="CK11" s="754">
        <f t="shared" ca="1" si="46"/>
        <v>0</v>
      </c>
      <c r="CL11" s="754">
        <f t="shared" ca="1" si="47"/>
        <v>0</v>
      </c>
      <c r="CM11" s="754">
        <f ca="1">CG11+COUNTIFS($CH$6:$CH$53,CH11,$CL$6:CL$53,"&gt;"&amp;CL11,$BC$6:$BC$53,INDEX(T_Equipos[Grupo],MATCH(BD11,T_Equipos[NombreEquipo],0)))</f>
        <v>1</v>
      </c>
      <c r="CN11" s="753" t="str">
        <f ca="1">IF(COUNTIFS($CM$6:$CM$53,CM11,$BC$6:$BC$53,INDEX(T_Equipos[Grupo],MATCH(BD11,T_Equipos[NombreEquipo],0)))=1,"-","P."&amp;CM11&amp;" ("&amp;COUNTIFS($CM$6:$CM$53,CM11,$BC$6:$BC$53,INDEX(T_Equipos[Grupo],MATCH(BD11,T_Equipos[NombreEquipo],0)))&amp;")")</f>
        <v>P.1 (4)</v>
      </c>
      <c r="CO11" s="754">
        <f t="shared" ca="1" si="48"/>
        <v>0</v>
      </c>
      <c r="CP11" s="754">
        <f t="shared" ca="1" si="49"/>
        <v>0</v>
      </c>
      <c r="CQ11" s="754">
        <f t="shared" ca="1" si="50"/>
        <v>0</v>
      </c>
      <c r="CR11" s="754">
        <f ca="1">CM11+COUNTIFS($CN$6:$CN$53,CN11,$CQ$6:CQ$53,"&gt;"&amp;CQ11,$BC$6:$BC$53,INDEX(T_Equipos[Grupo],MATCH(BD11,T_Equipos[NombreEquipo],0)))</f>
        <v>1</v>
      </c>
      <c r="CS11" s="753" t="str">
        <f ca="1">IF(COUNTIFS($CR$6:$CR$53,CR11,$BC$6:$BC$53,INDEX(T_Equipos[Grupo],MATCH(BD11,T_Equipos[NombreEquipo],0)))=1,"-","P."&amp;CR11&amp;" ("&amp;COUNTIFS($CR$6:$CR$53,CR11,$BC$6:$BC$53,INDEX(T_Equipos[Grupo],MATCH(BD11,T_Equipos[NombreEquipo],0)))&amp;")")</f>
        <v>P.1 (4)</v>
      </c>
      <c r="CT11" s="754">
        <f t="shared" ca="1" si="51"/>
        <v>0</v>
      </c>
      <c r="CU11" s="754">
        <f ca="1">CR11+COUNTIFS($CS$6:$CS$53,CS11,$CT$6:CT$53,"&gt;"&amp;CT11,$BC$6:$BC$53,INDEX(T_Equipos[Grupo],MATCH(BD11,T_Equipos[NombreEquipo],0)))</f>
        <v>1</v>
      </c>
      <c r="CV11" s="753" t="str">
        <f ca="1">IF(COUNTIFS($CU$6:$CU$53,CU11,$BC$6:$BC$53,INDEX(T_Equipos[Grupo],MATCH(BD11,T_Equipos[NombreEquipo],0)))=1,"-","P."&amp;CU11&amp;" ("&amp;COUNTIFS($CU$6:$CU$53,CU11,$BC$6:$BC$53,INDEX(T_Equipos[Grupo],MATCH(BD11,T_Equipos[NombreEquipo],0)))&amp;")")</f>
        <v>P.1 (4)</v>
      </c>
      <c r="CW11" s="753">
        <f t="shared" ca="1" si="30"/>
        <v>0</v>
      </c>
      <c r="CX11" s="753">
        <f ca="1">CU11+COUNTIFS($CV$6:$CV$53,CV11,$CW$6:CW$53,"&gt;"&amp;CW11,$BC$6:$BC$53,INDEX(T_Equipos[Grupo],MATCH(BD11,T_Equipos[NombreEquipo],0)))</f>
        <v>1</v>
      </c>
      <c r="CY11" s="753" t="str">
        <f ca="1">IF(COUNTIFS($CX$6:$CX$53,CX11,$BC$6:$BC$53,INDEX(T_Equipos[Grupo],MATCH(BD11,T_Equipos[NombreEquipo],0)))=1,"-","P."&amp;CX11&amp;" ("&amp;COUNTIFS($CX$6:$CX$53,CX11,$BC$6:$BC$53,INDEX(T_Equipos[Grupo],MATCH(BD11,T_Equipos[NombreEquipo],0)))&amp;")")</f>
        <v>P.1 (4)</v>
      </c>
      <c r="CZ11" s="753">
        <f t="shared" ca="1" si="31"/>
        <v>0</v>
      </c>
      <c r="DA11" s="754">
        <f ca="1">CX11+COUNTIFS($CY$6:$CY$53,CY11,$CZ$6:CZ$53,"&gt;"&amp;CZ11,$BC$6:$BC$53,INDEX(T_Equipos[Grupo],MATCH(BD11,T_Equipos[NombreEquipo],0)))</f>
        <v>1</v>
      </c>
      <c r="DB11" s="753" t="str">
        <f ca="1">IF(COUNTIFS($DA$6:$DA$53,DA11,$BC$6:$BC$53,INDEX(T_Equipos[Grupo],MATCH(BD11,T_Equipos[NombreEquipo],0)))=1,"-","P."&amp;DA11&amp;" ("&amp;COUNTIFS($DA$6:$DA$53,DA11,$BC$6:$BC$53,INDEX(T_Equipos[Grupo],MATCH(BD11,T_Equipos[NombreEquipo],0)))&amp;")")</f>
        <v>P.1 (4)</v>
      </c>
      <c r="DC11" s="752">
        <f ca="1">IF(DB11="-","-",COUNTIFS(T_Equipos[Rank],"&lt;"&amp;INDEX(T_Equipos[Rank],MATCH(BD11,T_Equipos[NombreEquipo],0)),$BC$6:$BC$53,INDEX(T_Equipos[Grupo],MATCH(BD11,T_Equipos[NombreEquipo],0)))+1)</f>
        <v>2</v>
      </c>
      <c r="DD11" s="752">
        <f ca="1">DA11+COUNTIFS($DB$6:$DB$53,DB11,$DC$6:DC$53,"&lt;"&amp;DC11,$BC$6:$BC$53,INDEX(T_Equipos[Grupo],MATCH(BD11,T_Equipos[NombreEquipo],0)))</f>
        <v>2</v>
      </c>
      <c r="DE11" s="752"/>
      <c r="DF11" s="752">
        <f t="shared" ca="1" si="52"/>
        <v>2</v>
      </c>
      <c r="DG11" s="752">
        <f ca="1">IF(DB11="-","-",COUNTIFS(DF$6:DF$53,"&lt;"&amp;DF11,$BC$6:$BC$53,INDEX(T_Equipos[Grupo],MATCH(BD11,T_Equipos[NombreEquipo],0))))</f>
        <v>1</v>
      </c>
      <c r="DH11" s="752">
        <f ca="1">DA11+COUNTIFS(DB$6:DB$53,DB11,DG$6:DG$53,"&lt;"&amp;DG11,$BC$6:$BC$53,INDEX(T_Equipos[Grupo],MATCH(BD11,T_Equipos[NombreEquipo],0)))</f>
        <v>2</v>
      </c>
      <c r="DI11" s="740"/>
      <c r="DJ11" s="740">
        <f t="shared" ca="1" si="53"/>
        <v>1</v>
      </c>
      <c r="DK11" s="740">
        <f t="shared" ca="1" si="24"/>
        <v>0</v>
      </c>
      <c r="DL11" s="740">
        <f t="shared" ca="1" si="33"/>
        <v>1</v>
      </c>
      <c r="DM11" s="734" t="str">
        <f t="shared" ca="1" si="34"/>
        <v>1.1</v>
      </c>
      <c r="DN11" s="740" cm="1">
        <f t="array" aca="1" ref="DN11" ca="1">OFFSET(Horarios!$P$3,DJ11-1,0,DL11,1)</f>
        <v>1</v>
      </c>
      <c r="DO11" s="740"/>
      <c r="DP11" s="740" t="s">
        <v>649</v>
      </c>
      <c r="DQ11" s="740" t="str">
        <f t="shared" ca="1" si="35"/>
        <v>Bosnia y Herzegovina</v>
      </c>
      <c r="DR11" s="740"/>
      <c r="DS11" s="740"/>
      <c r="DT11" s="740" t="str">
        <f t="shared" si="15"/>
        <v>Casa-Fuera</v>
      </c>
      <c r="DU11" s="740"/>
      <c r="DV11" s="740"/>
      <c r="DW11" s="8"/>
    </row>
    <row r="12" spans="1:127" ht="15" customHeight="1" thickBot="1">
      <c r="A12" s="737" t="s">
        <v>30</v>
      </c>
      <c r="B12" s="738" t="s">
        <v>1</v>
      </c>
      <c r="C12" s="739">
        <f>COUNTIF(Equipos!$C$2:$C$49,WORLDCUP!B12)</f>
        <v>4</v>
      </c>
      <c r="D12" s="740" t="str">
        <f t="shared" ref="D12:D17" si="54">IF(OR(AC12="",AD12=""),"Pendiente",IF(AC12&gt;AD12,"Local",IF(AC12&lt;AD12,"Visitante","Empate")))</f>
        <v>Pendiente</v>
      </c>
      <c r="E12" s="740" t="str">
        <f t="shared" ref="E12:E17" si="55">IF(D12="Pendiente","-",INDEX($BT$6:$BT$53,MATCH($AA12,$BD$6:$BD$53,0)))</f>
        <v>-</v>
      </c>
      <c r="F12" s="740" t="str">
        <f t="shared" ref="F12:F17" si="56">IF(D12="Pendiente","-",INDEX($BT$6:$BT$53,MATCH($AF12,$BD$6:$BD$53,0)))</f>
        <v>-</v>
      </c>
      <c r="G12" s="740"/>
      <c r="H12" s="740" t="str">
        <f t="shared" ref="H12:H17" si="57">IF(D12="Pendiente","-",INDEX($BZ$6:$BZ$53,MATCH($AA12,$BD$6:$BD$53,0)))</f>
        <v>-</v>
      </c>
      <c r="I12" s="740" t="str">
        <f t="shared" ref="I12:I17" si="58">IF(D12="Pendiente","-",INDEX($BZ$6:$BZ$53,MATCH($AF12,$BD$6:$BD$53,0)))</f>
        <v>-</v>
      </c>
      <c r="J12" s="740"/>
      <c r="K12" s="740" t="str">
        <f t="shared" ref="K12:K17" si="59">IF(D12="Pendiente","-",INDEX($CE$6:$CE$53,MATCH($AA12,$BD$6:$BD$53,0)))</f>
        <v>-</v>
      </c>
      <c r="L12" s="740" t="str">
        <f t="shared" ref="L12:L17" si="60">IF(D12="Pendiente","-",INDEX($CE$6:$CE$53,MATCH($AF12,$BD$6:$BD$53,0)))</f>
        <v>-</v>
      </c>
      <c r="M12" s="740"/>
      <c r="N12" s="740" t="str">
        <f t="shared" ref="N12:N17" si="61">IF(D12="Pendiente","-",INDEX($CH$6:$CH$53,MATCH($AA12,$BD$6:$BD$53,0)))</f>
        <v>-</v>
      </c>
      <c r="O12" s="740" t="str">
        <f t="shared" ref="O12:O17" si="62">IF(D12="Pendiente","-",INDEX($CH$6:$CH$53,MATCH($AF12,$BD$6:$BD$53,0)))</f>
        <v>-</v>
      </c>
      <c r="P12" s="740"/>
      <c r="Q12" s="740" t="str">
        <f t="shared" ref="Q12:Q17" si="63">IF(D12="Pendiente","-",INDEX($CN$6:$CN$53,MATCH($AA12,$BD$6:$BD$53,0)))</f>
        <v>-</v>
      </c>
      <c r="R12" s="740" t="str">
        <f t="shared" ref="R12:R17" si="64">IF(D12="Pendiente","-",INDEX($CN$6:$CN$53,MATCH($AF12,$BD$6:$BD$53,0)))</f>
        <v>-</v>
      </c>
      <c r="S12" s="740"/>
      <c r="T12" s="740" t="str">
        <f t="shared" ref="T12:T17" si="65">IF(D12="Pendiente","-",INDEX($CS$6:$CS$53,MATCH($AA12,$BD$6:$BD$53,0)))</f>
        <v>-</v>
      </c>
      <c r="U12" s="740" t="str">
        <f t="shared" ref="U12:U17" si="66">IF(D12="Pendiente","-",INDEX($CS$6:$CS$53,MATCH($AF12,$BD$6:$BD$53,0)))</f>
        <v>-</v>
      </c>
      <c r="V12" s="172"/>
      <c r="W12" s="883" t="s">
        <v>1</v>
      </c>
      <c r="X12" s="189">
        <f ca="1">Horarios!C12</f>
        <v>46185.625</v>
      </c>
      <c r="Y12" s="190">
        <f ca="1">Horarios!C12</f>
        <v>46185.625</v>
      </c>
      <c r="Z12" s="191" t="str">
        <f>$Z$4</f>
        <v>J1</v>
      </c>
      <c r="AA12" s="192" t="str">
        <f ca="1">A13</f>
        <v>Canadá</v>
      </c>
      <c r="AB12" s="477" t="str" cm="1">
        <f t="array" aca="1" ref="AB12" ca="1">Ver_flag_local</f>
        <v/>
      </c>
      <c r="AC12" s="193"/>
      <c r="AD12" s="194"/>
      <c r="AE12" s="482"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0"/>
      <c r="BC12" s="752" t="str">
        <f ca="1">+INDEX(T_Equipos[Grupo],MATCH(WORLDCUP!BD12,T_Equipos[NombreEquipo],0))</f>
        <v>B</v>
      </c>
      <c r="BD12" s="740" t="str">
        <f ca="1">+Equipos!B8</f>
        <v>Catar</v>
      </c>
      <c r="BE12" s="744">
        <f t="shared" ca="1" si="25"/>
        <v>0</v>
      </c>
      <c r="BF12" s="744">
        <f t="shared" ca="1" si="26"/>
        <v>0</v>
      </c>
      <c r="BG12" s="744">
        <f t="shared" ca="1" si="17"/>
        <v>0</v>
      </c>
      <c r="BH12" s="744">
        <f t="shared" ca="1" si="18"/>
        <v>0</v>
      </c>
      <c r="BI12" s="744">
        <f t="shared" ca="1" si="19"/>
        <v>0</v>
      </c>
      <c r="BJ12" s="744">
        <f t="shared" ca="1" si="20"/>
        <v>0</v>
      </c>
      <c r="BK12" s="744">
        <f t="shared" ca="1" si="21"/>
        <v>0</v>
      </c>
      <c r="BL12" s="744">
        <f t="shared" ca="1" si="27"/>
        <v>0</v>
      </c>
      <c r="BM12" s="744" t="str">
        <f t="shared" ca="1" si="22"/>
        <v>3B</v>
      </c>
      <c r="BN12" s="744" t="str">
        <f t="shared" ca="1" si="23"/>
        <v>3B</v>
      </c>
      <c r="BO12" s="754">
        <f t="shared" ca="1" si="28"/>
        <v>0</v>
      </c>
      <c r="BP12" s="753">
        <f ca="1">COUNTIFS($BO$6:$BO$53,"&gt;"&amp;BO12,$BC$6:$BC$53,INDEX(T_Equipos[Grupo],MATCH(BD12,T_Equipos[NombreEquipo],0)))+1</f>
        <v>1</v>
      </c>
      <c r="BQ12" s="753" t="str">
        <f ca="1">IF(COUNTIFS($BP$6:$BP$53,BP12,$BC$6:$BC$53,INDEX(T_Equipos[Grupo],MATCH(BD12,T_Equipos[NombreEquipo],0)))=1,"-","P."&amp;BP12&amp;" ("&amp;COUNTIFS($BP$6:$BP$53,BP12,$BC$6:$BC$53,INDEX(T_Equipos[Grupo],MATCH(BD12,T_Equipos[NombreEquipo],0)))&amp;")")</f>
        <v>P.1 (4)</v>
      </c>
      <c r="BR12" s="754">
        <f t="shared" ca="1" si="29"/>
        <v>0</v>
      </c>
      <c r="BS12" s="753">
        <f ca="1">BP12+COUNTIFS($BQ$6:$BQ$53,BQ12,$BR$6:BR$53,"&gt;"&amp;BR12,$BC$6:$BC$53,INDEX(T_Equipos[Grupo],MATCH(BD12,T_Equipos[NombreEquipo],0)))</f>
        <v>1</v>
      </c>
      <c r="BT12" s="753" t="str">
        <f ca="1">IF(COUNTIFS($BS$6:$BS$53,BS12,$BC$6:$BC$53,INDEX(T_Equipos[Grupo],MATCH(BD12,T_Equipos[NombreEquipo],0)))=1,"-","P."&amp;BS12&amp;" ("&amp;COUNTIFS($BS$6:$BS$53,BS12,$BC$6:$BC$53,INDEX(T_Equipos[Grupo],MATCH(BD12,T_Equipos[NombreEquipo],0)))&amp;")")</f>
        <v>P.1 (4)</v>
      </c>
      <c r="BU12" s="754">
        <f t="shared" ca="1" si="36"/>
        <v>0</v>
      </c>
      <c r="BV12" s="754">
        <f t="shared" ca="1" si="37"/>
        <v>0</v>
      </c>
      <c r="BW12" s="754">
        <f t="shared" ca="1" si="38"/>
        <v>0</v>
      </c>
      <c r="BX12" s="754">
        <f t="shared" ca="1" si="39"/>
        <v>0</v>
      </c>
      <c r="BY12" s="754">
        <f ca="1">BS12+COUNTIFS($BT$6:$BT$53,BT12,$BX$6:BX$53,"&gt;"&amp;BX12,$BC$6:$BC$53,INDEX(T_Equipos[Grupo],MATCH(BD12,T_Equipos[NombreEquipo],0)))</f>
        <v>1</v>
      </c>
      <c r="BZ12" s="753" t="str">
        <f ca="1">IF(COUNTIFS($BY$6:$BY$53,BY12,$BC$6:$BC$53,INDEX(T_Equipos[Grupo],MATCH(BD12,T_Equipos[NombreEquipo],0)))=1,"-","P."&amp;BY12&amp;" ("&amp;COUNTIFS($BY$6:$BY$53,BY12,$BC$6:$BC$53,INDEX(T_Equipos[Grupo],MATCH(BD12,T_Equipos[NombreEquipo],0)))&amp;")")</f>
        <v>P.1 (4)</v>
      </c>
      <c r="CA12" s="754">
        <f t="shared" ca="1" si="40"/>
        <v>0</v>
      </c>
      <c r="CB12" s="754">
        <f t="shared" ca="1" si="41"/>
        <v>0</v>
      </c>
      <c r="CC12" s="754">
        <f t="shared" ca="1" si="42"/>
        <v>0</v>
      </c>
      <c r="CD12" s="754">
        <f ca="1">BY12+COUNTIFS($BZ$6:$BZ$53,BZ12,$CC$6:CC$53,"&gt;"&amp;CC12,$BC$6:$BC$53,INDEX(T_Equipos[Grupo],MATCH(BD12,T_Equipos[NombreEquipo],0)))</f>
        <v>1</v>
      </c>
      <c r="CE12" s="753" t="str">
        <f ca="1">IF(COUNTIFS($CD$6:$CD$53,CD12,$BC$6:$BC$53,INDEX(T_Equipos[Grupo],MATCH(BD12,T_Equipos[NombreEquipo],0)))=1,"-","P."&amp;CD12&amp;" ("&amp;COUNTIFS($CD$6:$CD$53,CD12,$BC$6:$BC$53,INDEX(T_Equipos[Grupo],MATCH(BD12,T_Equipos[NombreEquipo],0)))&amp;")")</f>
        <v>P.1 (4)</v>
      </c>
      <c r="CF12" s="754">
        <f t="shared" ca="1" si="43"/>
        <v>0</v>
      </c>
      <c r="CG12" s="754">
        <f ca="1">CD12+COUNTIFS($CE$6:$CE$53,CE12,$CF$6:CF$53,"&gt;"&amp;CF12,$BC$6:$BC$53,INDEX(T_Equipos[Grupo],MATCH(BD12,T_Equipos[NombreEquipo],0)))</f>
        <v>1</v>
      </c>
      <c r="CH12" s="753" t="str">
        <f ca="1">IF(COUNTIFS($CG$6:$CG$53,CG12,$BC$6:$BC$53,INDEX(T_Equipos[Grupo],MATCH(BD12,T_Equipos[NombreEquipo],0)))=1,"-","P."&amp;CG12&amp;" ("&amp;COUNTIFS($CG$6:$CG$53,CG12,$BC$6:$BC$53,INDEX(T_Equipos[Grupo],MATCH(BD12,T_Equipos[NombreEquipo],0)))&amp;")")</f>
        <v>P.1 (4)</v>
      </c>
      <c r="CI12" s="754">
        <f t="shared" ca="1" si="44"/>
        <v>0</v>
      </c>
      <c r="CJ12" s="754">
        <f t="shared" ca="1" si="45"/>
        <v>0</v>
      </c>
      <c r="CK12" s="754">
        <f t="shared" ca="1" si="46"/>
        <v>0</v>
      </c>
      <c r="CL12" s="754">
        <f t="shared" ca="1" si="47"/>
        <v>0</v>
      </c>
      <c r="CM12" s="754">
        <f ca="1">CG12+COUNTIFS($CH$6:$CH$53,CH12,$CL$6:CL$53,"&gt;"&amp;CL12,$BC$6:$BC$53,INDEX(T_Equipos[Grupo],MATCH(BD12,T_Equipos[NombreEquipo],0)))</f>
        <v>1</v>
      </c>
      <c r="CN12" s="753" t="str">
        <f ca="1">IF(COUNTIFS($CM$6:$CM$53,CM12,$BC$6:$BC$53,INDEX(T_Equipos[Grupo],MATCH(BD12,T_Equipos[NombreEquipo],0)))=1,"-","P."&amp;CM12&amp;" ("&amp;COUNTIFS($CM$6:$CM$53,CM12,$BC$6:$BC$53,INDEX(T_Equipos[Grupo],MATCH(BD12,T_Equipos[NombreEquipo],0)))&amp;")")</f>
        <v>P.1 (4)</v>
      </c>
      <c r="CO12" s="754">
        <f t="shared" ca="1" si="48"/>
        <v>0</v>
      </c>
      <c r="CP12" s="754">
        <f t="shared" ca="1" si="49"/>
        <v>0</v>
      </c>
      <c r="CQ12" s="754">
        <f t="shared" ca="1" si="50"/>
        <v>0</v>
      </c>
      <c r="CR12" s="754">
        <f ca="1">CM12+COUNTIFS($CN$6:$CN$53,CN12,$CQ$6:CQ$53,"&gt;"&amp;CQ12,$BC$6:$BC$53,INDEX(T_Equipos[Grupo],MATCH(BD12,T_Equipos[NombreEquipo],0)))</f>
        <v>1</v>
      </c>
      <c r="CS12" s="753" t="str">
        <f ca="1">IF(COUNTIFS($CR$6:$CR$53,CR12,$BC$6:$BC$53,INDEX(T_Equipos[Grupo],MATCH(BD12,T_Equipos[NombreEquipo],0)))=1,"-","P."&amp;CR12&amp;" ("&amp;COUNTIFS($CR$6:$CR$53,CR12,$BC$6:$BC$53,INDEX(T_Equipos[Grupo],MATCH(BD12,T_Equipos[NombreEquipo],0)))&amp;")")</f>
        <v>P.1 (4)</v>
      </c>
      <c r="CT12" s="754">
        <f t="shared" ca="1" si="51"/>
        <v>0</v>
      </c>
      <c r="CU12" s="754">
        <f ca="1">CR12+COUNTIFS($CS$6:$CS$53,CS12,$CT$6:CT$53,"&gt;"&amp;CT12,$BC$6:$BC$53,INDEX(T_Equipos[Grupo],MATCH(BD12,T_Equipos[NombreEquipo],0)))</f>
        <v>1</v>
      </c>
      <c r="CV12" s="753" t="str">
        <f ca="1">IF(COUNTIFS($CU$6:$CU$53,CU12,$BC$6:$BC$53,INDEX(T_Equipos[Grupo],MATCH(BD12,T_Equipos[NombreEquipo],0)))=1,"-","P."&amp;CU12&amp;" ("&amp;COUNTIFS($CU$6:$CU$53,CU12,$BC$6:$BC$53,INDEX(T_Equipos[Grupo],MATCH(BD12,T_Equipos[NombreEquipo],0)))&amp;")")</f>
        <v>P.1 (4)</v>
      </c>
      <c r="CW12" s="753">
        <f t="shared" ca="1" si="30"/>
        <v>0</v>
      </c>
      <c r="CX12" s="753">
        <f ca="1">CU12+COUNTIFS($CV$6:$CV$53,CV12,$CW$6:CW$53,"&gt;"&amp;CW12,$BC$6:$BC$53,INDEX(T_Equipos[Grupo],MATCH(BD12,T_Equipos[NombreEquipo],0)))</f>
        <v>1</v>
      </c>
      <c r="CY12" s="753" t="str">
        <f ca="1">IF(COUNTIFS($CX$6:$CX$53,CX12,$BC$6:$BC$53,INDEX(T_Equipos[Grupo],MATCH(BD12,T_Equipos[NombreEquipo],0)))=1,"-","P."&amp;CX12&amp;" ("&amp;COUNTIFS($CX$6:$CX$53,CX12,$BC$6:$BC$53,INDEX(T_Equipos[Grupo],MATCH(BD12,T_Equipos[NombreEquipo],0)))&amp;")")</f>
        <v>P.1 (4)</v>
      </c>
      <c r="CZ12" s="753">
        <f t="shared" ca="1" si="31"/>
        <v>0</v>
      </c>
      <c r="DA12" s="754">
        <f ca="1">CX12+COUNTIFS($CY$6:$CY$53,CY12,$CZ$6:CZ$53,"&gt;"&amp;CZ12,$BC$6:$BC$53,INDEX(T_Equipos[Grupo],MATCH(BD12,T_Equipos[NombreEquipo],0)))</f>
        <v>1</v>
      </c>
      <c r="DB12" s="753" t="str">
        <f ca="1">IF(COUNTIFS($DA$6:$DA$53,DA12,$BC$6:$BC$53,INDEX(T_Equipos[Grupo],MATCH(BD12,T_Equipos[NombreEquipo],0)))=1,"-","P."&amp;DA12&amp;" ("&amp;COUNTIFS($DA$6:$DA$53,DA12,$BC$6:$BC$53,INDEX(T_Equipos[Grupo],MATCH(BD12,T_Equipos[NombreEquipo],0)))&amp;")")</f>
        <v>P.1 (4)</v>
      </c>
      <c r="DC12" s="752">
        <f ca="1">IF(DB12="-","-",COUNTIFS(T_Equipos[Rank],"&lt;"&amp;INDEX(T_Equipos[Rank],MATCH(BD12,T_Equipos[NombreEquipo],0)),$BC$6:$BC$53,INDEX(T_Equipos[Grupo],MATCH(BD12,T_Equipos[NombreEquipo],0)))+1)</f>
        <v>3</v>
      </c>
      <c r="DD12" s="752">
        <f ca="1">DA12+COUNTIFS($DB$6:$DB$53,DB12,$DC$6:DC$53,"&lt;"&amp;DC12,$BC$6:$BC$53,INDEX(T_Equipos[Grupo],MATCH(BD12,T_Equipos[NombreEquipo],0)))</f>
        <v>3</v>
      </c>
      <c r="DE12" s="752"/>
      <c r="DF12" s="752">
        <f t="shared" ca="1" si="52"/>
        <v>3</v>
      </c>
      <c r="DG12" s="752">
        <f ca="1">IF(DB12="-","-",COUNTIFS(DF$6:DF$53,"&lt;"&amp;DF12,$BC$6:$BC$53,INDEX(T_Equipos[Grupo],MATCH(BD12,T_Equipos[NombreEquipo],0))))</f>
        <v>2</v>
      </c>
      <c r="DH12" s="752">
        <f ca="1">DA12+COUNTIFS(DB$6:DB$53,DB12,DG$6:DG$53,"&lt;"&amp;DG12,$BC$6:$BC$53,INDEX(T_Equipos[Grupo],MATCH(BD12,T_Equipos[NombreEquipo],0)))</f>
        <v>3</v>
      </c>
      <c r="DI12" s="740"/>
      <c r="DJ12" s="740">
        <f t="shared" ca="1" si="53"/>
        <v>1</v>
      </c>
      <c r="DK12" s="740">
        <f t="shared" ca="1" si="24"/>
        <v>0</v>
      </c>
      <c r="DL12" s="740">
        <f t="shared" ca="1" si="33"/>
        <v>1</v>
      </c>
      <c r="DM12" s="734" t="str">
        <f t="shared" ca="1" si="34"/>
        <v>1.1</v>
      </c>
      <c r="DN12" s="740" cm="1">
        <f t="array" aca="1" ref="DN12" ca="1">OFFSET(Horarios!$P$3,DJ12-1,0,DL12,1)</f>
        <v>1</v>
      </c>
      <c r="DO12" s="740"/>
      <c r="DP12" s="740" t="s">
        <v>90</v>
      </c>
      <c r="DQ12" s="740" t="str">
        <f t="shared" ca="1" si="35"/>
        <v>Catar</v>
      </c>
      <c r="DR12" s="740"/>
      <c r="DS12" s="740"/>
      <c r="DT12" s="740" t="str">
        <f t="shared" ca="1" si="15"/>
        <v>Canadá-Bosnia y Herzegovina</v>
      </c>
      <c r="DU12" s="740"/>
      <c r="DV12" s="740"/>
      <c r="DW12" s="8"/>
    </row>
    <row r="13" spans="1:127" ht="15.95" customHeight="1">
      <c r="A13" s="741" t="str">
        <f ca="1">+Equipos!B6</f>
        <v>Canadá</v>
      </c>
      <c r="B13" s="738"/>
      <c r="C13" s="738"/>
      <c r="D13" s="740" t="str">
        <f t="shared" si="54"/>
        <v>Pendiente</v>
      </c>
      <c r="E13" s="740" t="str">
        <f t="shared" si="55"/>
        <v>-</v>
      </c>
      <c r="F13" s="740" t="str">
        <f t="shared" si="56"/>
        <v>-</v>
      </c>
      <c r="G13" s="740"/>
      <c r="H13" s="740" t="str">
        <f t="shared" si="57"/>
        <v>-</v>
      </c>
      <c r="I13" s="740" t="str">
        <f t="shared" si="58"/>
        <v>-</v>
      </c>
      <c r="J13" s="740"/>
      <c r="K13" s="740" t="str">
        <f t="shared" si="59"/>
        <v>-</v>
      </c>
      <c r="L13" s="740" t="str">
        <f t="shared" si="60"/>
        <v>-</v>
      </c>
      <c r="M13" s="740"/>
      <c r="N13" s="740" t="str">
        <f t="shared" si="61"/>
        <v>-</v>
      </c>
      <c r="O13" s="740" t="str">
        <f t="shared" si="62"/>
        <v>-</v>
      </c>
      <c r="P13" s="740"/>
      <c r="Q13" s="740" t="str">
        <f t="shared" si="63"/>
        <v>-</v>
      </c>
      <c r="R13" s="740" t="str">
        <f t="shared" si="64"/>
        <v>-</v>
      </c>
      <c r="S13" s="740"/>
      <c r="T13" s="740" t="str">
        <f t="shared" si="65"/>
        <v>-</v>
      </c>
      <c r="U13" s="740" t="str">
        <f t="shared" si="66"/>
        <v>-</v>
      </c>
      <c r="V13" s="172"/>
      <c r="W13" s="883"/>
      <c r="X13" s="189">
        <f ca="1">Horarios!C13</f>
        <v>46186.625</v>
      </c>
      <c r="Y13" s="190">
        <f ca="1">Horarios!C13</f>
        <v>46186.625</v>
      </c>
      <c r="Z13" s="191" t="str">
        <f>$Z$4</f>
        <v>J1</v>
      </c>
      <c r="AA13" s="192" t="str">
        <f ca="1">A15</f>
        <v>Catar</v>
      </c>
      <c r="AB13" s="477" t="str" cm="1">
        <f t="array" aca="1" ref="AB13" ca="1">Ver_flag_local</f>
        <v/>
      </c>
      <c r="AC13" s="193"/>
      <c r="AD13" s="194"/>
      <c r="AE13" s="482"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0"/>
      <c r="BC13" s="752" t="str">
        <f ca="1">+INDEX(T_Equipos[Grupo],MATCH(WORLDCUP!BD13,T_Equipos[NombreEquipo],0))</f>
        <v>B</v>
      </c>
      <c r="BD13" s="740" t="str">
        <f ca="1">+Equipos!B9</f>
        <v>Suiza</v>
      </c>
      <c r="BE13" s="744">
        <f t="shared" ca="1" si="25"/>
        <v>0</v>
      </c>
      <c r="BF13" s="744">
        <f t="shared" ca="1" si="26"/>
        <v>0</v>
      </c>
      <c r="BG13" s="744">
        <f t="shared" ca="1" si="17"/>
        <v>0</v>
      </c>
      <c r="BH13" s="744">
        <f t="shared" ca="1" si="18"/>
        <v>0</v>
      </c>
      <c r="BI13" s="744">
        <f t="shared" ca="1" si="19"/>
        <v>0</v>
      </c>
      <c r="BJ13" s="744">
        <f t="shared" ca="1" si="20"/>
        <v>0</v>
      </c>
      <c r="BK13" s="744">
        <f t="shared" ca="1" si="21"/>
        <v>0</v>
      </c>
      <c r="BL13" s="744">
        <f t="shared" ca="1" si="27"/>
        <v>0</v>
      </c>
      <c r="BM13" s="744" t="str">
        <f t="shared" ca="1" si="22"/>
        <v>4B</v>
      </c>
      <c r="BN13" s="744" t="str">
        <f t="shared" ca="1" si="23"/>
        <v>4B</v>
      </c>
      <c r="BO13" s="754">
        <f t="shared" ca="1" si="28"/>
        <v>0</v>
      </c>
      <c r="BP13" s="753">
        <f ca="1">COUNTIFS($BO$6:$BO$53,"&gt;"&amp;BO13,$BC$6:$BC$53,INDEX(T_Equipos[Grupo],MATCH(BD13,T_Equipos[NombreEquipo],0)))+1</f>
        <v>1</v>
      </c>
      <c r="BQ13" s="753" t="str">
        <f ca="1">IF(COUNTIFS($BP$6:$BP$53,BP13,$BC$6:$BC$53,INDEX(T_Equipos[Grupo],MATCH(BD13,T_Equipos[NombreEquipo],0)))=1,"-","P."&amp;BP13&amp;" ("&amp;COUNTIFS($BP$6:$BP$53,BP13,$BC$6:$BC$53,INDEX(T_Equipos[Grupo],MATCH(BD13,T_Equipos[NombreEquipo],0)))&amp;")")</f>
        <v>P.1 (4)</v>
      </c>
      <c r="BR13" s="754">
        <f t="shared" ca="1" si="29"/>
        <v>0</v>
      </c>
      <c r="BS13" s="753">
        <f ca="1">BP13+COUNTIFS($BQ$6:$BQ$53,BQ13,$BR$6:BR$53,"&gt;"&amp;BR13,$BC$6:$BC$53,INDEX(T_Equipos[Grupo],MATCH(BD13,T_Equipos[NombreEquipo],0)))</f>
        <v>1</v>
      </c>
      <c r="BT13" s="753" t="str">
        <f ca="1">IF(COUNTIFS($BS$6:$BS$53,BS13,$BC$6:$BC$53,INDEX(T_Equipos[Grupo],MATCH(BD13,T_Equipos[NombreEquipo],0)))=1,"-","P."&amp;BS13&amp;" ("&amp;COUNTIFS($BS$6:$BS$53,BS13,$BC$6:$BC$53,INDEX(T_Equipos[Grupo],MATCH(BD13,T_Equipos[NombreEquipo],0)))&amp;")")</f>
        <v>P.1 (4)</v>
      </c>
      <c r="BU13" s="754">
        <f t="shared" ca="1" si="36"/>
        <v>0</v>
      </c>
      <c r="BV13" s="754">
        <f t="shared" ca="1" si="37"/>
        <v>0</v>
      </c>
      <c r="BW13" s="754">
        <f t="shared" ca="1" si="38"/>
        <v>0</v>
      </c>
      <c r="BX13" s="754">
        <f t="shared" ca="1" si="39"/>
        <v>0</v>
      </c>
      <c r="BY13" s="754">
        <f ca="1">BS13+COUNTIFS($BT$6:$BT$53,BT13,$BX$6:BX$53,"&gt;"&amp;BX13,$BC$6:$BC$53,INDEX(T_Equipos[Grupo],MATCH(BD13,T_Equipos[NombreEquipo],0)))</f>
        <v>1</v>
      </c>
      <c r="BZ13" s="753" t="str">
        <f ca="1">IF(COUNTIFS($BY$6:$BY$53,BY13,$BC$6:$BC$53,INDEX(T_Equipos[Grupo],MATCH(BD13,T_Equipos[NombreEquipo],0)))=1,"-","P."&amp;BY13&amp;" ("&amp;COUNTIFS($BY$6:$BY$53,BY13,$BC$6:$BC$53,INDEX(T_Equipos[Grupo],MATCH(BD13,T_Equipos[NombreEquipo],0)))&amp;")")</f>
        <v>P.1 (4)</v>
      </c>
      <c r="CA13" s="754">
        <f t="shared" ca="1" si="40"/>
        <v>0</v>
      </c>
      <c r="CB13" s="754">
        <f t="shared" ca="1" si="41"/>
        <v>0</v>
      </c>
      <c r="CC13" s="754">
        <f t="shared" ca="1" si="42"/>
        <v>0</v>
      </c>
      <c r="CD13" s="754">
        <f ca="1">BY13+COUNTIFS($BZ$6:$BZ$53,BZ13,$CC$6:CC$53,"&gt;"&amp;CC13,$BC$6:$BC$53,INDEX(T_Equipos[Grupo],MATCH(BD13,T_Equipos[NombreEquipo],0)))</f>
        <v>1</v>
      </c>
      <c r="CE13" s="753" t="str">
        <f ca="1">IF(COUNTIFS($CD$6:$CD$53,CD13,$BC$6:$BC$53,INDEX(T_Equipos[Grupo],MATCH(BD13,T_Equipos[NombreEquipo],0)))=1,"-","P."&amp;CD13&amp;" ("&amp;COUNTIFS($CD$6:$CD$53,CD13,$BC$6:$BC$53,INDEX(T_Equipos[Grupo],MATCH(BD13,T_Equipos[NombreEquipo],0)))&amp;")")</f>
        <v>P.1 (4)</v>
      </c>
      <c r="CF13" s="754">
        <f t="shared" ca="1" si="43"/>
        <v>0</v>
      </c>
      <c r="CG13" s="754">
        <f ca="1">CD13+COUNTIFS($CE$6:$CE$53,CE13,$CF$6:CF$53,"&gt;"&amp;CF13,$BC$6:$BC$53,INDEX(T_Equipos[Grupo],MATCH(BD13,T_Equipos[NombreEquipo],0)))</f>
        <v>1</v>
      </c>
      <c r="CH13" s="753" t="str">
        <f ca="1">IF(COUNTIFS($CG$6:$CG$53,CG13,$BC$6:$BC$53,INDEX(T_Equipos[Grupo],MATCH(BD13,T_Equipos[NombreEquipo],0)))=1,"-","P."&amp;CG13&amp;" ("&amp;COUNTIFS($CG$6:$CG$53,CG13,$BC$6:$BC$53,INDEX(T_Equipos[Grupo],MATCH(BD13,T_Equipos[NombreEquipo],0)))&amp;")")</f>
        <v>P.1 (4)</v>
      </c>
      <c r="CI13" s="754">
        <f t="shared" ca="1" si="44"/>
        <v>0</v>
      </c>
      <c r="CJ13" s="754">
        <f t="shared" ca="1" si="45"/>
        <v>0</v>
      </c>
      <c r="CK13" s="754">
        <f t="shared" ca="1" si="46"/>
        <v>0</v>
      </c>
      <c r="CL13" s="754">
        <f t="shared" ca="1" si="47"/>
        <v>0</v>
      </c>
      <c r="CM13" s="754">
        <f ca="1">CG13+COUNTIFS($CH$6:$CH$53,CH13,$CL$6:CL$53,"&gt;"&amp;CL13,$BC$6:$BC$53,INDEX(T_Equipos[Grupo],MATCH(BD13,T_Equipos[NombreEquipo],0)))</f>
        <v>1</v>
      </c>
      <c r="CN13" s="753" t="str">
        <f ca="1">IF(COUNTIFS($CM$6:$CM$53,CM13,$BC$6:$BC$53,INDEX(T_Equipos[Grupo],MATCH(BD13,T_Equipos[NombreEquipo],0)))=1,"-","P."&amp;CM13&amp;" ("&amp;COUNTIFS($CM$6:$CM$53,CM13,$BC$6:$BC$53,INDEX(T_Equipos[Grupo],MATCH(BD13,T_Equipos[NombreEquipo],0)))&amp;")")</f>
        <v>P.1 (4)</v>
      </c>
      <c r="CO13" s="754">
        <f t="shared" ca="1" si="48"/>
        <v>0</v>
      </c>
      <c r="CP13" s="754">
        <f t="shared" ca="1" si="49"/>
        <v>0</v>
      </c>
      <c r="CQ13" s="754">
        <f t="shared" ca="1" si="50"/>
        <v>0</v>
      </c>
      <c r="CR13" s="754">
        <f ca="1">CM13+COUNTIFS($CN$6:$CN$53,CN13,$CQ$6:CQ$53,"&gt;"&amp;CQ13,$BC$6:$BC$53,INDEX(T_Equipos[Grupo],MATCH(BD13,T_Equipos[NombreEquipo],0)))</f>
        <v>1</v>
      </c>
      <c r="CS13" s="753" t="str">
        <f ca="1">IF(COUNTIFS($CR$6:$CR$53,CR13,$BC$6:$BC$53,INDEX(T_Equipos[Grupo],MATCH(BD13,T_Equipos[NombreEquipo],0)))=1,"-","P."&amp;CR13&amp;" ("&amp;COUNTIFS($CR$6:$CR$53,CR13,$BC$6:$BC$53,INDEX(T_Equipos[Grupo],MATCH(BD13,T_Equipos[NombreEquipo],0)))&amp;")")</f>
        <v>P.1 (4)</v>
      </c>
      <c r="CT13" s="754">
        <f t="shared" ca="1" si="51"/>
        <v>0</v>
      </c>
      <c r="CU13" s="754">
        <f ca="1">CR13+COUNTIFS($CS$6:$CS$53,CS13,$CT$6:CT$53,"&gt;"&amp;CT13,$BC$6:$BC$53,INDEX(T_Equipos[Grupo],MATCH(BD13,T_Equipos[NombreEquipo],0)))</f>
        <v>1</v>
      </c>
      <c r="CV13" s="753" t="str">
        <f ca="1">IF(COUNTIFS($CU$6:$CU$53,CU13,$BC$6:$BC$53,INDEX(T_Equipos[Grupo],MATCH(BD13,T_Equipos[NombreEquipo],0)))=1,"-","P."&amp;CU13&amp;" ("&amp;COUNTIFS($CU$6:$CU$53,CU13,$BC$6:$BC$53,INDEX(T_Equipos[Grupo],MATCH(BD13,T_Equipos[NombreEquipo],0)))&amp;")")</f>
        <v>P.1 (4)</v>
      </c>
      <c r="CW13" s="753">
        <f t="shared" ca="1" si="30"/>
        <v>0</v>
      </c>
      <c r="CX13" s="753">
        <f ca="1">CU13+COUNTIFS($CV$6:$CV$53,CV13,$CW$6:CW$53,"&gt;"&amp;CW13,$BC$6:$BC$53,INDEX(T_Equipos[Grupo],MATCH(BD13,T_Equipos[NombreEquipo],0)))</f>
        <v>1</v>
      </c>
      <c r="CY13" s="753" t="str">
        <f ca="1">IF(COUNTIFS($CX$6:$CX$53,CX13,$BC$6:$BC$53,INDEX(T_Equipos[Grupo],MATCH(BD13,T_Equipos[NombreEquipo],0)))=1,"-","P."&amp;CX13&amp;" ("&amp;COUNTIFS($CX$6:$CX$53,CX13,$BC$6:$BC$53,INDEX(T_Equipos[Grupo],MATCH(BD13,T_Equipos[NombreEquipo],0)))&amp;")")</f>
        <v>P.1 (4)</v>
      </c>
      <c r="CZ13" s="753">
        <f t="shared" ca="1" si="31"/>
        <v>0</v>
      </c>
      <c r="DA13" s="754">
        <f ca="1">CX13+COUNTIFS($CY$6:$CY$53,CY13,$CZ$6:CZ$53,"&gt;"&amp;CZ13,$BC$6:$BC$53,INDEX(T_Equipos[Grupo],MATCH(BD13,T_Equipos[NombreEquipo],0)))</f>
        <v>1</v>
      </c>
      <c r="DB13" s="753" t="str">
        <f ca="1">IF(COUNTIFS($DA$6:$DA$53,DA13,$BC$6:$BC$53,INDEX(T_Equipos[Grupo],MATCH(BD13,T_Equipos[NombreEquipo],0)))=1,"-","P."&amp;DA13&amp;" ("&amp;COUNTIFS($DA$6:$DA$53,DA13,$BC$6:$BC$53,INDEX(T_Equipos[Grupo],MATCH(BD13,T_Equipos[NombreEquipo],0)))&amp;")")</f>
        <v>P.1 (4)</v>
      </c>
      <c r="DC13" s="752">
        <f ca="1">IF(DB13="-","-",COUNTIFS(T_Equipos[Rank],"&lt;"&amp;INDEX(T_Equipos[Rank],MATCH(BD13,T_Equipos[NombreEquipo],0)),$BC$6:$BC$53,INDEX(T_Equipos[Grupo],MATCH(BD13,T_Equipos[NombreEquipo],0)))+1)</f>
        <v>4</v>
      </c>
      <c r="DD13" s="752">
        <f ca="1">DA13+COUNTIFS($DB$6:$DB$53,DB13,$DC$6:DC$53,"&lt;"&amp;DC13,$BC$6:$BC$53,INDEX(T_Equipos[Grupo],MATCH(BD13,T_Equipos[NombreEquipo],0)))</f>
        <v>4</v>
      </c>
      <c r="DE13" s="752"/>
      <c r="DF13" s="752">
        <f t="shared" ca="1" si="52"/>
        <v>4</v>
      </c>
      <c r="DG13" s="752">
        <f ca="1">IF(DB13="-","-",COUNTIFS(DF$6:DF$53,"&lt;"&amp;DF13,$BC$6:$BC$53,INDEX(T_Equipos[Grupo],MATCH(BD13,T_Equipos[NombreEquipo],0))))</f>
        <v>3</v>
      </c>
      <c r="DH13" s="752">
        <f ca="1">DA13+COUNTIFS(DB$6:DB$53,DB13,DG$6:DG$53,"&lt;"&amp;DG13,$BC$6:$BC$53,INDEX(T_Equipos[Grupo],MATCH(BD13,T_Equipos[NombreEquipo],0)))</f>
        <v>4</v>
      </c>
      <c r="DI13" s="740"/>
      <c r="DJ13" s="740">
        <f t="shared" ca="1" si="53"/>
        <v>1</v>
      </c>
      <c r="DK13" s="740">
        <f t="shared" ca="1" si="24"/>
        <v>0</v>
      </c>
      <c r="DL13" s="740">
        <f t="shared" ca="1" si="33"/>
        <v>1</v>
      </c>
      <c r="DM13" s="734" t="str">
        <f t="shared" ca="1" si="34"/>
        <v>1.1</v>
      </c>
      <c r="DN13" s="740" cm="1">
        <f t="array" aca="1" ref="DN13" ca="1">OFFSET(Horarios!$P$3,DJ13-1,0,DL13,1)</f>
        <v>1</v>
      </c>
      <c r="DO13" s="740"/>
      <c r="DP13" s="740" t="s">
        <v>650</v>
      </c>
      <c r="DQ13" s="740" t="str">
        <f t="shared" ca="1" si="35"/>
        <v>Suiza</v>
      </c>
      <c r="DR13" s="740"/>
      <c r="DS13" s="740"/>
      <c r="DT13" s="740" t="str">
        <f t="shared" ca="1" si="15"/>
        <v>Catar-Suiza</v>
      </c>
      <c r="DU13" s="740"/>
      <c r="DV13" s="740"/>
      <c r="DW13" s="8"/>
    </row>
    <row r="14" spans="1:127" ht="17.100000000000001" customHeight="1">
      <c r="A14" s="741" t="str">
        <f ca="1">+Equipos!B7</f>
        <v>Bosnia y Herzegovina</v>
      </c>
      <c r="B14" s="738"/>
      <c r="C14" s="742"/>
      <c r="D14" s="740" t="str">
        <f t="shared" si="54"/>
        <v>Pendiente</v>
      </c>
      <c r="E14" s="740" t="str">
        <f t="shared" si="55"/>
        <v>-</v>
      </c>
      <c r="F14" s="740" t="str">
        <f t="shared" si="56"/>
        <v>-</v>
      </c>
      <c r="G14" s="740"/>
      <c r="H14" s="740" t="str">
        <f t="shared" si="57"/>
        <v>-</v>
      </c>
      <c r="I14" s="740" t="str">
        <f t="shared" si="58"/>
        <v>-</v>
      </c>
      <c r="J14" s="740"/>
      <c r="K14" s="740" t="str">
        <f t="shared" si="59"/>
        <v>-</v>
      </c>
      <c r="L14" s="740" t="str">
        <f t="shared" si="60"/>
        <v>-</v>
      </c>
      <c r="M14" s="740"/>
      <c r="N14" s="740" t="str">
        <f t="shared" si="61"/>
        <v>-</v>
      </c>
      <c r="O14" s="740" t="str">
        <f t="shared" si="62"/>
        <v>-</v>
      </c>
      <c r="P14" s="740"/>
      <c r="Q14" s="740" t="str">
        <f t="shared" si="63"/>
        <v>-</v>
      </c>
      <c r="R14" s="740" t="str">
        <f t="shared" si="64"/>
        <v>-</v>
      </c>
      <c r="S14" s="740"/>
      <c r="T14" s="740" t="str">
        <f t="shared" si="65"/>
        <v>-</v>
      </c>
      <c r="U14" s="740" t="str">
        <f t="shared" si="66"/>
        <v>-</v>
      </c>
      <c r="V14" s="172"/>
      <c r="W14" s="883"/>
      <c r="X14" s="189">
        <f ca="1">Horarios!C14</f>
        <v>46191.625</v>
      </c>
      <c r="Y14" s="190">
        <f ca="1">Horarios!C14</f>
        <v>46191.625</v>
      </c>
      <c r="Z14" s="191" t="str">
        <f>$Z$6</f>
        <v>J2</v>
      </c>
      <c r="AA14" s="192" t="str">
        <f ca="1">A16</f>
        <v>Suiza</v>
      </c>
      <c r="AB14" s="477" t="str" cm="1">
        <f t="array" aca="1" ref="AB14" ca="1">Ver_flag_local</f>
        <v/>
      </c>
      <c r="AC14" s="193"/>
      <c r="AD14" s="194"/>
      <c r="AE14" s="482" t="str" cm="1">
        <f t="array" aca="1" ref="AE14" ca="1">Ver_flag_visit</f>
        <v/>
      </c>
      <c r="AF14" s="195" t="str">
        <f ca="1">A14</f>
        <v>Bosnia y Herzegovina</v>
      </c>
      <c r="AG14" s="413">
        <f t="shared" si="67"/>
        <v>0</v>
      </c>
      <c r="AH14" s="196">
        <v>26</v>
      </c>
      <c r="AI14" s="19" t="str">
        <f>AJ14&amp;$B$12</f>
        <v>1B</v>
      </c>
      <c r="AJ14" s="256">
        <v>1</v>
      </c>
      <c r="AK14" s="487"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0"/>
      <c r="BC14" s="752" t="str">
        <f ca="1">+INDEX(T_Equipos[Grupo],MATCH(WORLDCUP!BD14,T_Equipos[NombreEquipo],0))</f>
        <v>C</v>
      </c>
      <c r="BD14" s="740" t="str">
        <f ca="1">+Equipos!B10</f>
        <v>Brasil</v>
      </c>
      <c r="BE14" s="744">
        <f t="shared" ca="1" si="25"/>
        <v>0</v>
      </c>
      <c r="BF14" s="744">
        <f t="shared" ca="1" si="26"/>
        <v>0</v>
      </c>
      <c r="BG14" s="744">
        <f t="shared" ca="1" si="17"/>
        <v>0</v>
      </c>
      <c r="BH14" s="744">
        <f t="shared" ca="1" si="18"/>
        <v>0</v>
      </c>
      <c r="BI14" s="744">
        <f t="shared" ca="1" si="19"/>
        <v>0</v>
      </c>
      <c r="BJ14" s="744">
        <f t="shared" ca="1" si="20"/>
        <v>0</v>
      </c>
      <c r="BK14" s="744">
        <f t="shared" ca="1" si="21"/>
        <v>0</v>
      </c>
      <c r="BL14" s="744">
        <f t="shared" ca="1" si="27"/>
        <v>0</v>
      </c>
      <c r="BM14" s="744" t="str">
        <f t="shared" ca="1" si="22"/>
        <v>1C</v>
      </c>
      <c r="BN14" s="744" t="str">
        <f t="shared" ca="1" si="23"/>
        <v>1C</v>
      </c>
      <c r="BO14" s="753">
        <f t="shared" ca="1" si="28"/>
        <v>0</v>
      </c>
      <c r="BP14" s="753">
        <f ca="1">COUNTIFS($BO$6:$BO$53,"&gt;"&amp;BO14,$BC$6:$BC$53,INDEX(T_Equipos[Grupo],MATCH(BD14,T_Equipos[NombreEquipo],0)))+1</f>
        <v>1</v>
      </c>
      <c r="BQ14" s="753" t="str">
        <f ca="1">IF(COUNTIFS($BP$6:$BP$53,BP14,$BC$6:$BC$53,INDEX(T_Equipos[Grupo],MATCH(BD14,T_Equipos[NombreEquipo],0)))=1,"-","P."&amp;BP14&amp;" ("&amp;COUNTIFS($BP$6:$BP$53,BP14,$BC$6:$BC$53,INDEX(T_Equipos[Grupo],MATCH(BD14,T_Equipos[NombreEquipo],0)))&amp;")")</f>
        <v>P.1 (4)</v>
      </c>
      <c r="BR14" s="753">
        <f t="shared" ca="1" si="29"/>
        <v>0</v>
      </c>
      <c r="BS14" s="753">
        <f ca="1">BP14+COUNTIFS($BQ$6:$BQ$53,BQ14,$BR$6:BR$53,"&gt;"&amp;BR14,$BC$6:$BC$53,INDEX(T_Equipos[Grupo],MATCH(BD14,T_Equipos[NombreEquipo],0)))</f>
        <v>1</v>
      </c>
      <c r="BT14" s="753" t="str">
        <f ca="1">IF(COUNTIFS($BS$6:$BS$53,BS14,$BC$6:$BC$53,INDEX(T_Equipos[Grupo],MATCH(BD14,T_Equipos[NombreEquipo],0)))=1,"-","P."&amp;BS14&amp;" ("&amp;COUNTIFS($BS$6:$BS$53,BS14,$BC$6:$BC$53,INDEX(T_Equipos[Grupo],MATCH(BD14,T_Equipos[NombreEquipo],0)))&amp;")")</f>
        <v>P.1 (4)</v>
      </c>
      <c r="BU14" s="754">
        <f t="shared" ca="1" si="36"/>
        <v>0</v>
      </c>
      <c r="BV14" s="754">
        <f t="shared" ca="1" si="37"/>
        <v>0</v>
      </c>
      <c r="BW14" s="754">
        <f t="shared" ca="1" si="38"/>
        <v>0</v>
      </c>
      <c r="BX14" s="754">
        <f t="shared" ca="1" si="39"/>
        <v>0</v>
      </c>
      <c r="BY14" s="754">
        <f ca="1">BS14+COUNTIFS($BT$6:$BT$53,BT14,$BX$6:BX$53,"&gt;"&amp;BX14,$BC$6:$BC$53,INDEX(T_Equipos[Grupo],MATCH(BD14,T_Equipos[NombreEquipo],0)))</f>
        <v>1</v>
      </c>
      <c r="BZ14" s="753" t="str">
        <f ca="1">IF(COUNTIFS($BY$6:$BY$53,BY14,$BC$6:$BC$53,INDEX(T_Equipos[Grupo],MATCH(BD14,T_Equipos[NombreEquipo],0)))=1,"-","P."&amp;BY14&amp;" ("&amp;COUNTIFS($BY$6:$BY$53,BY14,$BC$6:$BC$53,INDEX(T_Equipos[Grupo],MATCH(BD14,T_Equipos[NombreEquipo],0)))&amp;")")</f>
        <v>P.1 (4)</v>
      </c>
      <c r="CA14" s="754">
        <f t="shared" ca="1" si="40"/>
        <v>0</v>
      </c>
      <c r="CB14" s="754">
        <f t="shared" ca="1" si="41"/>
        <v>0</v>
      </c>
      <c r="CC14" s="754">
        <f t="shared" ca="1" si="42"/>
        <v>0</v>
      </c>
      <c r="CD14" s="754">
        <f ca="1">BY14+COUNTIFS($BZ$6:$BZ$53,BZ14,$CC$6:CC$53,"&gt;"&amp;CC14,$BC$6:$BC$53,INDEX(T_Equipos[Grupo],MATCH(BD14,T_Equipos[NombreEquipo],0)))</f>
        <v>1</v>
      </c>
      <c r="CE14" s="753" t="str">
        <f ca="1">IF(COUNTIFS($CD$6:$CD$53,CD14,$BC$6:$BC$53,INDEX(T_Equipos[Grupo],MATCH(BD14,T_Equipos[NombreEquipo],0)))=1,"-","P."&amp;CD14&amp;" ("&amp;COUNTIFS($CD$6:$CD$53,CD14,$BC$6:$BC$53,INDEX(T_Equipos[Grupo],MATCH(BD14,T_Equipos[NombreEquipo],0)))&amp;")")</f>
        <v>P.1 (4)</v>
      </c>
      <c r="CF14" s="754">
        <f t="shared" ca="1" si="43"/>
        <v>0</v>
      </c>
      <c r="CG14" s="754">
        <f ca="1">CD14+COUNTIFS($CE$6:$CE$53,CE14,$CF$6:CF$53,"&gt;"&amp;CF14,$BC$6:$BC$53,INDEX(T_Equipos[Grupo],MATCH(BD14,T_Equipos[NombreEquipo],0)))</f>
        <v>1</v>
      </c>
      <c r="CH14" s="753" t="str">
        <f ca="1">IF(COUNTIFS($CG$6:$CG$53,CG14,$BC$6:$BC$53,INDEX(T_Equipos[Grupo],MATCH(BD14,T_Equipos[NombreEquipo],0)))=1,"-","P."&amp;CG14&amp;" ("&amp;COUNTIFS($CG$6:$CG$53,CG14,$BC$6:$BC$53,INDEX(T_Equipos[Grupo],MATCH(BD14,T_Equipos[NombreEquipo],0)))&amp;")")</f>
        <v>P.1 (4)</v>
      </c>
      <c r="CI14" s="754">
        <f t="shared" ca="1" si="44"/>
        <v>0</v>
      </c>
      <c r="CJ14" s="754">
        <f t="shared" ca="1" si="45"/>
        <v>0</v>
      </c>
      <c r="CK14" s="754">
        <f t="shared" ca="1" si="46"/>
        <v>0</v>
      </c>
      <c r="CL14" s="754">
        <f t="shared" ca="1" si="47"/>
        <v>0</v>
      </c>
      <c r="CM14" s="754">
        <f ca="1">CG14+COUNTIFS($CH$6:$CH$53,CH14,$CL$6:CL$53,"&gt;"&amp;CL14,$BC$6:$BC$53,INDEX(T_Equipos[Grupo],MATCH(BD14,T_Equipos[NombreEquipo],0)))</f>
        <v>1</v>
      </c>
      <c r="CN14" s="753" t="str">
        <f ca="1">IF(COUNTIFS($CM$6:$CM$53,CM14,$BC$6:$BC$53,INDEX(T_Equipos[Grupo],MATCH(BD14,T_Equipos[NombreEquipo],0)))=1,"-","P."&amp;CM14&amp;" ("&amp;COUNTIFS($CM$6:$CM$53,CM14,$BC$6:$BC$53,INDEX(T_Equipos[Grupo],MATCH(BD14,T_Equipos[NombreEquipo],0)))&amp;")")</f>
        <v>P.1 (4)</v>
      </c>
      <c r="CO14" s="754">
        <f t="shared" ca="1" si="48"/>
        <v>0</v>
      </c>
      <c r="CP14" s="754">
        <f t="shared" ca="1" si="49"/>
        <v>0</v>
      </c>
      <c r="CQ14" s="754">
        <f t="shared" ca="1" si="50"/>
        <v>0</v>
      </c>
      <c r="CR14" s="754">
        <f ca="1">CM14+COUNTIFS($CN$6:$CN$53,CN14,$CQ$6:CQ$53,"&gt;"&amp;CQ14,$BC$6:$BC$53,INDEX(T_Equipos[Grupo],MATCH(BD14,T_Equipos[NombreEquipo],0)))</f>
        <v>1</v>
      </c>
      <c r="CS14" s="753" t="str">
        <f ca="1">IF(COUNTIFS($CR$6:$CR$53,CR14,$BC$6:$BC$53,INDEX(T_Equipos[Grupo],MATCH(BD14,T_Equipos[NombreEquipo],0)))=1,"-","P."&amp;CR14&amp;" ("&amp;COUNTIFS($CR$6:$CR$53,CR14,$BC$6:$BC$53,INDEX(T_Equipos[Grupo],MATCH(BD14,T_Equipos[NombreEquipo],0)))&amp;")")</f>
        <v>P.1 (4)</v>
      </c>
      <c r="CT14" s="754">
        <f t="shared" ca="1" si="51"/>
        <v>0</v>
      </c>
      <c r="CU14" s="754">
        <f ca="1">CR14+COUNTIFS($CS$6:$CS$53,CS14,$CT$6:CT$53,"&gt;"&amp;CT14,$BC$6:$BC$53,INDEX(T_Equipos[Grupo],MATCH(BD14,T_Equipos[NombreEquipo],0)))</f>
        <v>1</v>
      </c>
      <c r="CV14" s="753" t="str">
        <f ca="1">IF(COUNTIFS($CU$6:$CU$53,CU14,$BC$6:$BC$53,INDEX(T_Equipos[Grupo],MATCH(BD14,T_Equipos[NombreEquipo],0)))=1,"-","P."&amp;CU14&amp;" ("&amp;COUNTIFS($CU$6:$CU$53,CU14,$BC$6:$BC$53,INDEX(T_Equipos[Grupo],MATCH(BD14,T_Equipos[NombreEquipo],0)))&amp;")")</f>
        <v>P.1 (4)</v>
      </c>
      <c r="CW14" s="753">
        <f t="shared" ca="1" si="30"/>
        <v>0</v>
      </c>
      <c r="CX14" s="753">
        <f ca="1">CU14+COUNTIFS($CV$6:$CV$53,CV14,$CW$6:CW$53,"&gt;"&amp;CW14,$BC$6:$BC$53,INDEX(T_Equipos[Grupo],MATCH(BD14,T_Equipos[NombreEquipo],0)))</f>
        <v>1</v>
      </c>
      <c r="CY14" s="753" t="str">
        <f ca="1">IF(COUNTIFS($CX$6:$CX$53,CX14,$BC$6:$BC$53,INDEX(T_Equipos[Grupo],MATCH(BD14,T_Equipos[NombreEquipo],0)))=1,"-","P."&amp;CX14&amp;" ("&amp;COUNTIFS($CX$6:$CX$53,CX14,$BC$6:$BC$53,INDEX(T_Equipos[Grupo],MATCH(BD14,T_Equipos[NombreEquipo],0)))&amp;")")</f>
        <v>P.1 (4)</v>
      </c>
      <c r="CZ14" s="753">
        <f t="shared" ca="1" si="31"/>
        <v>0</v>
      </c>
      <c r="DA14" s="754">
        <f ca="1">CX14+COUNTIFS($CY$6:$CY$53,CY14,$CZ$6:CZ$53,"&gt;"&amp;CZ14,$BC$6:$BC$53,INDEX(T_Equipos[Grupo],MATCH(BD14,T_Equipos[NombreEquipo],0)))</f>
        <v>1</v>
      </c>
      <c r="DB14" s="753" t="str">
        <f ca="1">IF(COUNTIFS($DA$6:$DA$53,DA14,$BC$6:$BC$53,INDEX(T_Equipos[Grupo],MATCH(BD14,T_Equipos[NombreEquipo],0)))=1,"-","P."&amp;DA14&amp;" ("&amp;COUNTIFS($DA$6:$DA$53,DA14,$BC$6:$BC$53,INDEX(T_Equipos[Grupo],MATCH(BD14,T_Equipos[NombreEquipo],0)))&amp;")")</f>
        <v>P.1 (4)</v>
      </c>
      <c r="DC14" s="752">
        <f ca="1">IF(DB14="-","-",COUNTIFS(T_Equipos[Rank],"&lt;"&amp;INDEX(T_Equipos[Rank],MATCH(BD14,T_Equipos[NombreEquipo],0)),$BC$6:$BC$53,INDEX(T_Equipos[Grupo],MATCH(BD14,T_Equipos[NombreEquipo],0)))+1)</f>
        <v>1</v>
      </c>
      <c r="DD14" s="752">
        <f ca="1">DA14+COUNTIFS($DB$6:$DB$53,DB14,$DC$6:DC$53,"&lt;"&amp;DC14,$BC$6:$BC$53,INDEX(T_Equipos[Grupo],MATCH(BD14,T_Equipos[NombreEquipo],0)))</f>
        <v>1</v>
      </c>
      <c r="DE14" s="752"/>
      <c r="DF14" s="752">
        <f t="shared" ca="1" si="52"/>
        <v>1</v>
      </c>
      <c r="DG14" s="752">
        <f ca="1">IF(DB14="-","-",COUNTIFS(DF$6:DF$53,"&lt;"&amp;DF14,$BC$6:$BC$53,INDEX(T_Equipos[Grupo],MATCH(BD14,T_Equipos[NombreEquipo],0))))</f>
        <v>0</v>
      </c>
      <c r="DH14" s="752">
        <f ca="1">DA14+COUNTIFS(DB$6:DB$53,DB14,DG$6:DG$53,"&lt;"&amp;DG14,$BC$6:$BC$53,INDEX(T_Equipos[Grupo],MATCH(BD14,T_Equipos[NombreEquipo],0)))</f>
        <v>1</v>
      </c>
      <c r="DI14" s="740"/>
      <c r="DJ14" s="740">
        <f t="shared" ca="1" si="53"/>
        <v>1</v>
      </c>
      <c r="DK14" s="740">
        <f t="shared" ca="1" si="24"/>
        <v>0</v>
      </c>
      <c r="DL14" s="740">
        <f t="shared" ca="1" si="33"/>
        <v>1</v>
      </c>
      <c r="DM14" s="734" t="str">
        <f t="shared" ca="1" si="34"/>
        <v>1.1</v>
      </c>
      <c r="DN14" s="740" cm="1">
        <f t="array" aca="1" ref="DN14" ca="1">OFFSET(Horarios!$P$3,DJ14-1,0,DL14,1)</f>
        <v>1</v>
      </c>
      <c r="DO14" s="740"/>
      <c r="DP14" s="740" t="s">
        <v>651</v>
      </c>
      <c r="DQ14" s="740" t="str">
        <f t="shared" ca="1" si="35"/>
        <v>Brasil</v>
      </c>
      <c r="DR14" s="740"/>
      <c r="DS14" s="740"/>
      <c r="DT14" s="740" t="str">
        <f t="shared" ca="1" si="15"/>
        <v>Suiza-Bosnia y Herzegovina</v>
      </c>
      <c r="DU14" s="740"/>
      <c r="DV14" s="740"/>
      <c r="DW14" s="8"/>
    </row>
    <row r="15" spans="1:127">
      <c r="A15" s="741" t="str">
        <f ca="1">+Equipos!B8</f>
        <v>Catar</v>
      </c>
      <c r="B15" s="738"/>
      <c r="C15" s="740"/>
      <c r="D15" s="740" t="str">
        <f t="shared" si="54"/>
        <v>Pendiente</v>
      </c>
      <c r="E15" s="740" t="str">
        <f t="shared" si="55"/>
        <v>-</v>
      </c>
      <c r="F15" s="740" t="str">
        <f t="shared" si="56"/>
        <v>-</v>
      </c>
      <c r="G15" s="740"/>
      <c r="H15" s="740" t="str">
        <f t="shared" si="57"/>
        <v>-</v>
      </c>
      <c r="I15" s="740" t="str">
        <f t="shared" si="58"/>
        <v>-</v>
      </c>
      <c r="J15" s="740"/>
      <c r="K15" s="740" t="str">
        <f t="shared" si="59"/>
        <v>-</v>
      </c>
      <c r="L15" s="740" t="str">
        <f t="shared" si="60"/>
        <v>-</v>
      </c>
      <c r="M15" s="740"/>
      <c r="N15" s="740" t="str">
        <f t="shared" si="61"/>
        <v>-</v>
      </c>
      <c r="O15" s="740" t="str">
        <f t="shared" si="62"/>
        <v>-</v>
      </c>
      <c r="P15" s="740"/>
      <c r="Q15" s="740" t="str">
        <f t="shared" si="63"/>
        <v>-</v>
      </c>
      <c r="R15" s="740" t="str">
        <f t="shared" si="64"/>
        <v>-</v>
      </c>
      <c r="S15" s="740"/>
      <c r="T15" s="740" t="str">
        <f t="shared" si="65"/>
        <v>-</v>
      </c>
      <c r="U15" s="740" t="str">
        <f t="shared" si="66"/>
        <v>-</v>
      </c>
      <c r="V15" s="172"/>
      <c r="W15" s="883"/>
      <c r="X15" s="189">
        <f ca="1">Horarios!C15</f>
        <v>46191.75</v>
      </c>
      <c r="Y15" s="190">
        <f ca="1">Horarios!C15</f>
        <v>46191.75</v>
      </c>
      <c r="Z15" s="191" t="str">
        <f>$Z$6</f>
        <v>J2</v>
      </c>
      <c r="AA15" s="192" t="str">
        <f ca="1">A13</f>
        <v>Canadá</v>
      </c>
      <c r="AB15" s="477" t="str" cm="1">
        <f t="array" aca="1" ref="AB15" ca="1">Ver_flag_local</f>
        <v/>
      </c>
      <c r="AC15" s="193"/>
      <c r="AD15" s="194"/>
      <c r="AE15" s="482" t="str" cm="1">
        <f t="array" aca="1" ref="AE15" ca="1">Ver_flag_visit</f>
        <v/>
      </c>
      <c r="AF15" s="195" t="str">
        <f ca="1">A15</f>
        <v>Catar</v>
      </c>
      <c r="AG15" s="413">
        <f t="shared" si="67"/>
        <v>0</v>
      </c>
      <c r="AH15" s="196">
        <v>27</v>
      </c>
      <c r="AI15" s="19" t="str">
        <f t="shared" ref="AI15:AI17" si="72">AJ15&amp;$B$12</f>
        <v>2B</v>
      </c>
      <c r="AJ15" s="258">
        <v>2</v>
      </c>
      <c r="AK15" s="485"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0"/>
      <c r="BC15" s="752" t="str">
        <f ca="1">+INDEX(T_Equipos[Grupo],MATCH(WORLDCUP!BD15,T_Equipos[NombreEquipo],0))</f>
        <v>C</v>
      </c>
      <c r="BD15" s="740" t="str">
        <f ca="1">+Equipos!B11</f>
        <v>Marruecos</v>
      </c>
      <c r="BE15" s="744">
        <f t="shared" ca="1" si="25"/>
        <v>0</v>
      </c>
      <c r="BF15" s="744">
        <f t="shared" ca="1" si="26"/>
        <v>0</v>
      </c>
      <c r="BG15" s="744">
        <f t="shared" ca="1" si="17"/>
        <v>0</v>
      </c>
      <c r="BH15" s="744">
        <f t="shared" ca="1" si="18"/>
        <v>0</v>
      </c>
      <c r="BI15" s="744">
        <f t="shared" ca="1" si="19"/>
        <v>0</v>
      </c>
      <c r="BJ15" s="744">
        <f t="shared" ca="1" si="20"/>
        <v>0</v>
      </c>
      <c r="BK15" s="744">
        <f t="shared" ca="1" si="21"/>
        <v>0</v>
      </c>
      <c r="BL15" s="744">
        <f t="shared" ca="1" si="27"/>
        <v>0</v>
      </c>
      <c r="BM15" s="744" t="str">
        <f t="shared" ca="1" si="22"/>
        <v>2C</v>
      </c>
      <c r="BN15" s="744" t="str">
        <f t="shared" ca="1" si="23"/>
        <v>2C</v>
      </c>
      <c r="BO15" s="753">
        <f t="shared" ca="1" si="28"/>
        <v>0</v>
      </c>
      <c r="BP15" s="753">
        <f ca="1">COUNTIFS($BO$6:$BO$53,"&gt;"&amp;BO15,$BC$6:$BC$53,INDEX(T_Equipos[Grupo],MATCH(BD15,T_Equipos[NombreEquipo],0)))+1</f>
        <v>1</v>
      </c>
      <c r="BQ15" s="753" t="str">
        <f ca="1">IF(COUNTIFS($BP$6:$BP$53,BP15,$BC$6:$BC$53,INDEX(T_Equipos[Grupo],MATCH(BD15,T_Equipos[NombreEquipo],0)))=1,"-","P."&amp;BP15&amp;" ("&amp;COUNTIFS($BP$6:$BP$53,BP15,$BC$6:$BC$53,INDEX(T_Equipos[Grupo],MATCH(BD15,T_Equipos[NombreEquipo],0)))&amp;")")</f>
        <v>P.1 (4)</v>
      </c>
      <c r="BR15" s="753">
        <f t="shared" ca="1" si="29"/>
        <v>0</v>
      </c>
      <c r="BS15" s="753">
        <f ca="1">BP15+COUNTIFS($BQ$6:$BQ$53,BQ15,$BR$6:BR$53,"&gt;"&amp;BR15,$BC$6:$BC$53,INDEX(T_Equipos[Grupo],MATCH(BD15,T_Equipos[NombreEquipo],0)))</f>
        <v>1</v>
      </c>
      <c r="BT15" s="753" t="str">
        <f ca="1">IF(COUNTIFS($BS$6:$BS$53,BS15,$BC$6:$BC$53,INDEX(T_Equipos[Grupo],MATCH(BD15,T_Equipos[NombreEquipo],0)))=1,"-","P."&amp;BS15&amp;" ("&amp;COUNTIFS($BS$6:$BS$53,BS15,$BC$6:$BC$53,INDEX(T_Equipos[Grupo],MATCH(BD15,T_Equipos[NombreEquipo],0)))&amp;")")</f>
        <v>P.1 (4)</v>
      </c>
      <c r="BU15" s="754">
        <f t="shared" ca="1" si="36"/>
        <v>0</v>
      </c>
      <c r="BV15" s="754">
        <f t="shared" ca="1" si="37"/>
        <v>0</v>
      </c>
      <c r="BW15" s="754">
        <f t="shared" ca="1" si="38"/>
        <v>0</v>
      </c>
      <c r="BX15" s="754">
        <f t="shared" ca="1" si="39"/>
        <v>0</v>
      </c>
      <c r="BY15" s="754">
        <f ca="1">BS15+COUNTIFS($BT$6:$BT$53,BT15,$BX$6:BX$53,"&gt;"&amp;BX15,$BC$6:$BC$53,INDEX(T_Equipos[Grupo],MATCH(BD15,T_Equipos[NombreEquipo],0)))</f>
        <v>1</v>
      </c>
      <c r="BZ15" s="753" t="str">
        <f ca="1">IF(COUNTIFS($BY$6:$BY$53,BY15,$BC$6:$BC$53,INDEX(T_Equipos[Grupo],MATCH(BD15,T_Equipos[NombreEquipo],0)))=1,"-","P."&amp;BY15&amp;" ("&amp;COUNTIFS($BY$6:$BY$53,BY15,$BC$6:$BC$53,INDEX(T_Equipos[Grupo],MATCH(BD15,T_Equipos[NombreEquipo],0)))&amp;")")</f>
        <v>P.1 (4)</v>
      </c>
      <c r="CA15" s="754">
        <f t="shared" ca="1" si="40"/>
        <v>0</v>
      </c>
      <c r="CB15" s="754">
        <f t="shared" ca="1" si="41"/>
        <v>0</v>
      </c>
      <c r="CC15" s="754">
        <f t="shared" ca="1" si="42"/>
        <v>0</v>
      </c>
      <c r="CD15" s="754">
        <f ca="1">BY15+COUNTIFS($BZ$6:$BZ$53,BZ15,$CC$6:CC$53,"&gt;"&amp;CC15,$BC$6:$BC$53,INDEX(T_Equipos[Grupo],MATCH(BD15,T_Equipos[NombreEquipo],0)))</f>
        <v>1</v>
      </c>
      <c r="CE15" s="753" t="str">
        <f ca="1">IF(COUNTIFS($CD$6:$CD$53,CD15,$BC$6:$BC$53,INDEX(T_Equipos[Grupo],MATCH(BD15,T_Equipos[NombreEquipo],0)))=1,"-","P."&amp;CD15&amp;" ("&amp;COUNTIFS($CD$6:$CD$53,CD15,$BC$6:$BC$53,INDEX(T_Equipos[Grupo],MATCH(BD15,T_Equipos[NombreEquipo],0)))&amp;")")</f>
        <v>P.1 (4)</v>
      </c>
      <c r="CF15" s="754">
        <f t="shared" ca="1" si="43"/>
        <v>0</v>
      </c>
      <c r="CG15" s="754">
        <f ca="1">CD15+COUNTIFS($CE$6:$CE$53,CE15,$CF$6:CF$53,"&gt;"&amp;CF15,$BC$6:$BC$53,INDEX(T_Equipos[Grupo],MATCH(BD15,T_Equipos[NombreEquipo],0)))</f>
        <v>1</v>
      </c>
      <c r="CH15" s="753" t="str">
        <f ca="1">IF(COUNTIFS($CG$6:$CG$53,CG15,$BC$6:$BC$53,INDEX(T_Equipos[Grupo],MATCH(BD15,T_Equipos[NombreEquipo],0)))=1,"-","P."&amp;CG15&amp;" ("&amp;COUNTIFS($CG$6:$CG$53,CG15,$BC$6:$BC$53,INDEX(T_Equipos[Grupo],MATCH(BD15,T_Equipos[NombreEquipo],0)))&amp;")")</f>
        <v>P.1 (4)</v>
      </c>
      <c r="CI15" s="754">
        <f t="shared" ca="1" si="44"/>
        <v>0</v>
      </c>
      <c r="CJ15" s="754">
        <f t="shared" ca="1" si="45"/>
        <v>0</v>
      </c>
      <c r="CK15" s="754">
        <f t="shared" ca="1" si="46"/>
        <v>0</v>
      </c>
      <c r="CL15" s="754">
        <f t="shared" ca="1" si="47"/>
        <v>0</v>
      </c>
      <c r="CM15" s="754">
        <f ca="1">CG15+COUNTIFS($CH$6:$CH$53,CH15,$CL$6:CL$53,"&gt;"&amp;CL15,$BC$6:$BC$53,INDEX(T_Equipos[Grupo],MATCH(BD15,T_Equipos[NombreEquipo],0)))</f>
        <v>1</v>
      </c>
      <c r="CN15" s="753" t="str">
        <f ca="1">IF(COUNTIFS($CM$6:$CM$53,CM15,$BC$6:$BC$53,INDEX(T_Equipos[Grupo],MATCH(BD15,T_Equipos[NombreEquipo],0)))=1,"-","P."&amp;CM15&amp;" ("&amp;COUNTIFS($CM$6:$CM$53,CM15,$BC$6:$BC$53,INDEX(T_Equipos[Grupo],MATCH(BD15,T_Equipos[NombreEquipo],0)))&amp;")")</f>
        <v>P.1 (4)</v>
      </c>
      <c r="CO15" s="754">
        <f t="shared" ca="1" si="48"/>
        <v>0</v>
      </c>
      <c r="CP15" s="754">
        <f t="shared" ca="1" si="49"/>
        <v>0</v>
      </c>
      <c r="CQ15" s="754">
        <f t="shared" ca="1" si="50"/>
        <v>0</v>
      </c>
      <c r="CR15" s="754">
        <f ca="1">CM15+COUNTIFS($CN$6:$CN$53,CN15,$CQ$6:CQ$53,"&gt;"&amp;CQ15,$BC$6:$BC$53,INDEX(T_Equipos[Grupo],MATCH(BD15,T_Equipos[NombreEquipo],0)))</f>
        <v>1</v>
      </c>
      <c r="CS15" s="753" t="str">
        <f ca="1">IF(COUNTIFS($CR$6:$CR$53,CR15,$BC$6:$BC$53,INDEX(T_Equipos[Grupo],MATCH(BD15,T_Equipos[NombreEquipo],0)))=1,"-","P."&amp;CR15&amp;" ("&amp;COUNTIFS($CR$6:$CR$53,CR15,$BC$6:$BC$53,INDEX(T_Equipos[Grupo],MATCH(BD15,T_Equipos[NombreEquipo],0)))&amp;")")</f>
        <v>P.1 (4)</v>
      </c>
      <c r="CT15" s="754">
        <f t="shared" ca="1" si="51"/>
        <v>0</v>
      </c>
      <c r="CU15" s="754">
        <f ca="1">CR15+COUNTIFS($CS$6:$CS$53,CS15,$CT$6:CT$53,"&gt;"&amp;CT15,$BC$6:$BC$53,INDEX(T_Equipos[Grupo],MATCH(BD15,T_Equipos[NombreEquipo],0)))</f>
        <v>1</v>
      </c>
      <c r="CV15" s="753" t="str">
        <f ca="1">IF(COUNTIFS($CU$6:$CU$53,CU15,$BC$6:$BC$53,INDEX(T_Equipos[Grupo],MATCH(BD15,T_Equipos[NombreEquipo],0)))=1,"-","P."&amp;CU15&amp;" ("&amp;COUNTIFS($CU$6:$CU$53,CU15,$BC$6:$BC$53,INDEX(T_Equipos[Grupo],MATCH(BD15,T_Equipos[NombreEquipo],0)))&amp;")")</f>
        <v>P.1 (4)</v>
      </c>
      <c r="CW15" s="753">
        <f t="shared" ca="1" si="30"/>
        <v>0</v>
      </c>
      <c r="CX15" s="753">
        <f ca="1">CU15+COUNTIFS($CV$6:$CV$53,CV15,$CW$6:CW$53,"&gt;"&amp;CW15,$BC$6:$BC$53,INDEX(T_Equipos[Grupo],MATCH(BD15,T_Equipos[NombreEquipo],0)))</f>
        <v>1</v>
      </c>
      <c r="CY15" s="753" t="str">
        <f ca="1">IF(COUNTIFS($CX$6:$CX$53,CX15,$BC$6:$BC$53,INDEX(T_Equipos[Grupo],MATCH(BD15,T_Equipos[NombreEquipo],0)))=1,"-","P."&amp;CX15&amp;" ("&amp;COUNTIFS($CX$6:$CX$53,CX15,$BC$6:$BC$53,INDEX(T_Equipos[Grupo],MATCH(BD15,T_Equipos[NombreEquipo],0)))&amp;")")</f>
        <v>P.1 (4)</v>
      </c>
      <c r="CZ15" s="753">
        <f t="shared" ca="1" si="31"/>
        <v>0</v>
      </c>
      <c r="DA15" s="754">
        <f ca="1">CX15+COUNTIFS($CY$6:$CY$53,CY15,$CZ$6:CZ$53,"&gt;"&amp;CZ15,$BC$6:$BC$53,INDEX(T_Equipos[Grupo],MATCH(BD15,T_Equipos[NombreEquipo],0)))</f>
        <v>1</v>
      </c>
      <c r="DB15" s="753" t="str">
        <f ca="1">IF(COUNTIFS($DA$6:$DA$53,DA15,$BC$6:$BC$53,INDEX(T_Equipos[Grupo],MATCH(BD15,T_Equipos[NombreEquipo],0)))=1,"-","P."&amp;DA15&amp;" ("&amp;COUNTIFS($DA$6:$DA$53,DA15,$BC$6:$BC$53,INDEX(T_Equipos[Grupo],MATCH(BD15,T_Equipos[NombreEquipo],0)))&amp;")")</f>
        <v>P.1 (4)</v>
      </c>
      <c r="DC15" s="752">
        <f ca="1">IF(DB15="-","-",COUNTIFS(T_Equipos[Rank],"&lt;"&amp;INDEX(T_Equipos[Rank],MATCH(BD15,T_Equipos[NombreEquipo],0)),$BC$6:$BC$53,INDEX(T_Equipos[Grupo],MATCH(BD15,T_Equipos[NombreEquipo],0)))+1)</f>
        <v>2</v>
      </c>
      <c r="DD15" s="752">
        <f ca="1">DA15+COUNTIFS($DB$6:$DB$53,DB15,$DC$6:DC$53,"&lt;"&amp;DC15,$BC$6:$BC$53,INDEX(T_Equipos[Grupo],MATCH(BD15,T_Equipos[NombreEquipo],0)))</f>
        <v>2</v>
      </c>
      <c r="DE15" s="752"/>
      <c r="DF15" s="752">
        <f t="shared" ca="1" si="52"/>
        <v>2</v>
      </c>
      <c r="DG15" s="752">
        <f ca="1">IF(DB15="-","-",COUNTIFS(DF$6:DF$53,"&lt;"&amp;DF15,$BC$6:$BC$53,INDEX(T_Equipos[Grupo],MATCH(BD15,T_Equipos[NombreEquipo],0))))</f>
        <v>1</v>
      </c>
      <c r="DH15" s="752">
        <f ca="1">DA15+COUNTIFS(DB$6:DB$53,DB15,DG$6:DG$53,"&lt;"&amp;DG15,$BC$6:$BC$53,INDEX(T_Equipos[Grupo],MATCH(BD15,T_Equipos[NombreEquipo],0)))</f>
        <v>2</v>
      </c>
      <c r="DI15" s="740"/>
      <c r="DJ15" s="740">
        <f t="shared" ca="1" si="53"/>
        <v>1</v>
      </c>
      <c r="DK15" s="740">
        <f t="shared" ca="1" si="24"/>
        <v>0</v>
      </c>
      <c r="DL15" s="740">
        <f t="shared" ca="1" si="33"/>
        <v>1</v>
      </c>
      <c r="DM15" s="734" t="str">
        <f t="shared" ca="1" si="34"/>
        <v>1.1</v>
      </c>
      <c r="DN15" s="740" cm="1">
        <f t="array" aca="1" ref="DN15" ca="1">OFFSET(Horarios!$P$3,DJ15-1,0,DL15,1)</f>
        <v>1</v>
      </c>
      <c r="DO15" s="740"/>
      <c r="DP15" s="740" t="s">
        <v>656</v>
      </c>
      <c r="DQ15" s="740" t="str">
        <f t="shared" ca="1" si="35"/>
        <v>Marruecos</v>
      </c>
      <c r="DR15" s="740"/>
      <c r="DS15" s="740"/>
      <c r="DT15" s="740" t="str">
        <f t="shared" ca="1" si="15"/>
        <v>Canadá-Catar</v>
      </c>
      <c r="DU15" s="740"/>
      <c r="DV15" s="740"/>
      <c r="DW15" s="8"/>
    </row>
    <row r="16" spans="1:127">
      <c r="A16" s="741" t="str">
        <f ca="1">+Equipos!B9</f>
        <v>Suiza</v>
      </c>
      <c r="B16" s="738"/>
      <c r="C16" s="740"/>
      <c r="D16" s="740" t="str">
        <f t="shared" si="54"/>
        <v>Pendiente</v>
      </c>
      <c r="E16" s="740" t="str">
        <f t="shared" si="55"/>
        <v>-</v>
      </c>
      <c r="F16" s="740" t="str">
        <f t="shared" si="56"/>
        <v>-</v>
      </c>
      <c r="G16" s="740"/>
      <c r="H16" s="740" t="str">
        <f t="shared" si="57"/>
        <v>-</v>
      </c>
      <c r="I16" s="740" t="str">
        <f t="shared" si="58"/>
        <v>-</v>
      </c>
      <c r="J16" s="740"/>
      <c r="K16" s="740" t="str">
        <f t="shared" si="59"/>
        <v>-</v>
      </c>
      <c r="L16" s="740" t="str">
        <f t="shared" si="60"/>
        <v>-</v>
      </c>
      <c r="M16" s="740"/>
      <c r="N16" s="740" t="str">
        <f t="shared" si="61"/>
        <v>-</v>
      </c>
      <c r="O16" s="740" t="str">
        <f t="shared" si="62"/>
        <v>-</v>
      </c>
      <c r="P16" s="740"/>
      <c r="Q16" s="740" t="str">
        <f t="shared" si="63"/>
        <v>-</v>
      </c>
      <c r="R16" s="740" t="str">
        <f t="shared" si="64"/>
        <v>-</v>
      </c>
      <c r="S16" s="740"/>
      <c r="T16" s="740" t="str">
        <f t="shared" si="65"/>
        <v>-</v>
      </c>
      <c r="U16" s="740" t="str">
        <f t="shared" si="66"/>
        <v>-</v>
      </c>
      <c r="V16" s="172"/>
      <c r="W16" s="883"/>
      <c r="X16" s="189">
        <f ca="1">Horarios!C16</f>
        <v>46197.625</v>
      </c>
      <c r="Y16" s="190">
        <f ca="1">Horarios!C16</f>
        <v>46197.625</v>
      </c>
      <c r="Z16" s="191" t="str">
        <f>$Z$8</f>
        <v>J3</v>
      </c>
      <c r="AA16" s="192" t="str">
        <f ca="1">A16</f>
        <v>Suiza</v>
      </c>
      <c r="AB16" s="477" t="str" cm="1">
        <f t="array" aca="1" ref="AB16" ca="1">Ver_flag_local</f>
        <v/>
      </c>
      <c r="AC16" s="193"/>
      <c r="AD16" s="194"/>
      <c r="AE16" s="482" t="str" cm="1">
        <f t="array" aca="1" ref="AE16" ca="1">Ver_flag_visit</f>
        <v/>
      </c>
      <c r="AF16" s="195" t="str">
        <f ca="1">A13</f>
        <v>Canadá</v>
      </c>
      <c r="AG16" s="413">
        <f t="shared" si="67"/>
        <v>0</v>
      </c>
      <c r="AH16" s="196">
        <v>51</v>
      </c>
      <c r="AI16" s="19" t="str">
        <f t="shared" si="72"/>
        <v>3B</v>
      </c>
      <c r="AJ16" s="258">
        <v>3</v>
      </c>
      <c r="AK16" s="485"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0"/>
      <c r="BC16" s="752" t="str">
        <f ca="1">+INDEX(T_Equipos[Grupo],MATCH(WORLDCUP!BD16,T_Equipos[NombreEquipo],0))</f>
        <v>C</v>
      </c>
      <c r="BD16" s="740" t="str">
        <f ca="1">+Equipos!B12</f>
        <v>Haití</v>
      </c>
      <c r="BE16" s="744">
        <f t="shared" ca="1" si="25"/>
        <v>0</v>
      </c>
      <c r="BF16" s="744">
        <f t="shared" ca="1" si="26"/>
        <v>0</v>
      </c>
      <c r="BG16" s="744">
        <f t="shared" ca="1" si="17"/>
        <v>0</v>
      </c>
      <c r="BH16" s="744">
        <f t="shared" ca="1" si="18"/>
        <v>0</v>
      </c>
      <c r="BI16" s="744">
        <f t="shared" ca="1" si="19"/>
        <v>0</v>
      </c>
      <c r="BJ16" s="744">
        <f t="shared" ca="1" si="20"/>
        <v>0</v>
      </c>
      <c r="BK16" s="744">
        <f t="shared" ca="1" si="21"/>
        <v>0</v>
      </c>
      <c r="BL16" s="744">
        <f t="shared" ca="1" si="27"/>
        <v>0</v>
      </c>
      <c r="BM16" s="744" t="str">
        <f t="shared" ca="1" si="22"/>
        <v>3C</v>
      </c>
      <c r="BN16" s="744" t="str">
        <f t="shared" ca="1" si="23"/>
        <v>3C</v>
      </c>
      <c r="BO16" s="753">
        <f t="shared" ca="1" si="28"/>
        <v>0</v>
      </c>
      <c r="BP16" s="753">
        <f ca="1">COUNTIFS($BO$6:$BO$53,"&gt;"&amp;BO16,$BC$6:$BC$53,INDEX(T_Equipos[Grupo],MATCH(BD16,T_Equipos[NombreEquipo],0)))+1</f>
        <v>1</v>
      </c>
      <c r="BQ16" s="753" t="str">
        <f ca="1">IF(COUNTIFS($BP$6:$BP$53,BP16,$BC$6:$BC$53,INDEX(T_Equipos[Grupo],MATCH(BD16,T_Equipos[NombreEquipo],0)))=1,"-","P."&amp;BP16&amp;" ("&amp;COUNTIFS($BP$6:$BP$53,BP16,$BC$6:$BC$53,INDEX(T_Equipos[Grupo],MATCH(BD16,T_Equipos[NombreEquipo],0)))&amp;")")</f>
        <v>P.1 (4)</v>
      </c>
      <c r="BR16" s="753">
        <f t="shared" ca="1" si="29"/>
        <v>0</v>
      </c>
      <c r="BS16" s="753">
        <f ca="1">BP16+COUNTIFS($BQ$6:$BQ$53,BQ16,$BR$6:BR$53,"&gt;"&amp;BR16,$BC$6:$BC$53,INDEX(T_Equipos[Grupo],MATCH(BD16,T_Equipos[NombreEquipo],0)))</f>
        <v>1</v>
      </c>
      <c r="BT16" s="753" t="str">
        <f ca="1">IF(COUNTIFS($BS$6:$BS$53,BS16,$BC$6:$BC$53,INDEX(T_Equipos[Grupo],MATCH(BD16,T_Equipos[NombreEquipo],0)))=1,"-","P."&amp;BS16&amp;" ("&amp;COUNTIFS($BS$6:$BS$53,BS16,$BC$6:$BC$53,INDEX(T_Equipos[Grupo],MATCH(BD16,T_Equipos[NombreEquipo],0)))&amp;")")</f>
        <v>P.1 (4)</v>
      </c>
      <c r="BU16" s="754">
        <f t="shared" ca="1" si="36"/>
        <v>0</v>
      </c>
      <c r="BV16" s="754">
        <f t="shared" ca="1" si="37"/>
        <v>0</v>
      </c>
      <c r="BW16" s="754">
        <f t="shared" ca="1" si="38"/>
        <v>0</v>
      </c>
      <c r="BX16" s="754">
        <f t="shared" ca="1" si="39"/>
        <v>0</v>
      </c>
      <c r="BY16" s="754">
        <f ca="1">BS16+COUNTIFS($BT$6:$BT$53,BT16,$BX$6:BX$53,"&gt;"&amp;BX16,$BC$6:$BC$53,INDEX(T_Equipos[Grupo],MATCH(BD16,T_Equipos[NombreEquipo],0)))</f>
        <v>1</v>
      </c>
      <c r="BZ16" s="753" t="str">
        <f ca="1">IF(COUNTIFS($BY$6:$BY$53,BY16,$BC$6:$BC$53,INDEX(T_Equipos[Grupo],MATCH(BD16,T_Equipos[NombreEquipo],0)))=1,"-","P."&amp;BY16&amp;" ("&amp;COUNTIFS($BY$6:$BY$53,BY16,$BC$6:$BC$53,INDEX(T_Equipos[Grupo],MATCH(BD16,T_Equipos[NombreEquipo],0)))&amp;")")</f>
        <v>P.1 (4)</v>
      </c>
      <c r="CA16" s="754">
        <f t="shared" ca="1" si="40"/>
        <v>0</v>
      </c>
      <c r="CB16" s="754">
        <f t="shared" ca="1" si="41"/>
        <v>0</v>
      </c>
      <c r="CC16" s="754">
        <f t="shared" ca="1" si="42"/>
        <v>0</v>
      </c>
      <c r="CD16" s="754">
        <f ca="1">BY16+COUNTIFS($BZ$6:$BZ$53,BZ16,$CC$6:CC$53,"&gt;"&amp;CC16,$BC$6:$BC$53,INDEX(T_Equipos[Grupo],MATCH(BD16,T_Equipos[NombreEquipo],0)))</f>
        <v>1</v>
      </c>
      <c r="CE16" s="753" t="str">
        <f ca="1">IF(COUNTIFS($CD$6:$CD$53,CD16,$BC$6:$BC$53,INDEX(T_Equipos[Grupo],MATCH(BD16,T_Equipos[NombreEquipo],0)))=1,"-","P."&amp;CD16&amp;" ("&amp;COUNTIFS($CD$6:$CD$53,CD16,$BC$6:$BC$53,INDEX(T_Equipos[Grupo],MATCH(BD16,T_Equipos[NombreEquipo],0)))&amp;")")</f>
        <v>P.1 (4)</v>
      </c>
      <c r="CF16" s="754">
        <f t="shared" ca="1" si="43"/>
        <v>0</v>
      </c>
      <c r="CG16" s="754">
        <f ca="1">CD16+COUNTIFS($CE$6:$CE$53,CE16,$CF$6:CF$53,"&gt;"&amp;CF16,$BC$6:$BC$53,INDEX(T_Equipos[Grupo],MATCH(BD16,T_Equipos[NombreEquipo],0)))</f>
        <v>1</v>
      </c>
      <c r="CH16" s="753" t="str">
        <f ca="1">IF(COUNTIFS($CG$6:$CG$53,CG16,$BC$6:$BC$53,INDEX(T_Equipos[Grupo],MATCH(BD16,T_Equipos[NombreEquipo],0)))=1,"-","P."&amp;CG16&amp;" ("&amp;COUNTIFS($CG$6:$CG$53,CG16,$BC$6:$BC$53,INDEX(T_Equipos[Grupo],MATCH(BD16,T_Equipos[NombreEquipo],0)))&amp;")")</f>
        <v>P.1 (4)</v>
      </c>
      <c r="CI16" s="754">
        <f t="shared" ca="1" si="44"/>
        <v>0</v>
      </c>
      <c r="CJ16" s="754">
        <f t="shared" ca="1" si="45"/>
        <v>0</v>
      </c>
      <c r="CK16" s="754">
        <f t="shared" ca="1" si="46"/>
        <v>0</v>
      </c>
      <c r="CL16" s="754">
        <f t="shared" ca="1" si="47"/>
        <v>0</v>
      </c>
      <c r="CM16" s="754">
        <f ca="1">CG16+COUNTIFS($CH$6:$CH$53,CH16,$CL$6:CL$53,"&gt;"&amp;CL16,$BC$6:$BC$53,INDEX(T_Equipos[Grupo],MATCH(BD16,T_Equipos[NombreEquipo],0)))</f>
        <v>1</v>
      </c>
      <c r="CN16" s="753" t="str">
        <f ca="1">IF(COUNTIFS($CM$6:$CM$53,CM16,$BC$6:$BC$53,INDEX(T_Equipos[Grupo],MATCH(BD16,T_Equipos[NombreEquipo],0)))=1,"-","P."&amp;CM16&amp;" ("&amp;COUNTIFS($CM$6:$CM$53,CM16,$BC$6:$BC$53,INDEX(T_Equipos[Grupo],MATCH(BD16,T_Equipos[NombreEquipo],0)))&amp;")")</f>
        <v>P.1 (4)</v>
      </c>
      <c r="CO16" s="754">
        <f t="shared" ca="1" si="48"/>
        <v>0</v>
      </c>
      <c r="CP16" s="754">
        <f t="shared" ca="1" si="49"/>
        <v>0</v>
      </c>
      <c r="CQ16" s="754">
        <f t="shared" ca="1" si="50"/>
        <v>0</v>
      </c>
      <c r="CR16" s="754">
        <f ca="1">CM16+COUNTIFS($CN$6:$CN$53,CN16,$CQ$6:CQ$53,"&gt;"&amp;CQ16,$BC$6:$BC$53,INDEX(T_Equipos[Grupo],MATCH(BD16,T_Equipos[NombreEquipo],0)))</f>
        <v>1</v>
      </c>
      <c r="CS16" s="753" t="str">
        <f ca="1">IF(COUNTIFS($CR$6:$CR$53,CR16,$BC$6:$BC$53,INDEX(T_Equipos[Grupo],MATCH(BD16,T_Equipos[NombreEquipo],0)))=1,"-","P."&amp;CR16&amp;" ("&amp;COUNTIFS($CR$6:$CR$53,CR16,$BC$6:$BC$53,INDEX(T_Equipos[Grupo],MATCH(BD16,T_Equipos[NombreEquipo],0)))&amp;")")</f>
        <v>P.1 (4)</v>
      </c>
      <c r="CT16" s="754">
        <f t="shared" ca="1" si="51"/>
        <v>0</v>
      </c>
      <c r="CU16" s="754">
        <f ca="1">CR16+COUNTIFS($CS$6:$CS$53,CS16,$CT$6:CT$53,"&gt;"&amp;CT16,$BC$6:$BC$53,INDEX(T_Equipos[Grupo],MATCH(BD16,T_Equipos[NombreEquipo],0)))</f>
        <v>1</v>
      </c>
      <c r="CV16" s="753" t="str">
        <f ca="1">IF(COUNTIFS($CU$6:$CU$53,CU16,$BC$6:$BC$53,INDEX(T_Equipos[Grupo],MATCH(BD16,T_Equipos[NombreEquipo],0)))=1,"-","P."&amp;CU16&amp;" ("&amp;COUNTIFS($CU$6:$CU$53,CU16,$BC$6:$BC$53,INDEX(T_Equipos[Grupo],MATCH(BD16,T_Equipos[NombreEquipo],0)))&amp;")")</f>
        <v>P.1 (4)</v>
      </c>
      <c r="CW16" s="753">
        <f t="shared" ca="1" si="30"/>
        <v>0</v>
      </c>
      <c r="CX16" s="753">
        <f ca="1">CU16+COUNTIFS($CV$6:$CV$53,CV16,$CW$6:CW$53,"&gt;"&amp;CW16,$BC$6:$BC$53,INDEX(T_Equipos[Grupo],MATCH(BD16,T_Equipos[NombreEquipo],0)))</f>
        <v>1</v>
      </c>
      <c r="CY16" s="753" t="str">
        <f ca="1">IF(COUNTIFS($CX$6:$CX$53,CX16,$BC$6:$BC$53,INDEX(T_Equipos[Grupo],MATCH(BD16,T_Equipos[NombreEquipo],0)))=1,"-","P."&amp;CX16&amp;" ("&amp;COUNTIFS($CX$6:$CX$53,CX16,$BC$6:$BC$53,INDEX(T_Equipos[Grupo],MATCH(BD16,T_Equipos[NombreEquipo],0)))&amp;")")</f>
        <v>P.1 (4)</v>
      </c>
      <c r="CZ16" s="753">
        <f t="shared" ca="1" si="31"/>
        <v>0</v>
      </c>
      <c r="DA16" s="754">
        <f ca="1">CX16+COUNTIFS($CY$6:$CY$53,CY16,$CZ$6:CZ$53,"&gt;"&amp;CZ16,$BC$6:$BC$53,INDEX(T_Equipos[Grupo],MATCH(BD16,T_Equipos[NombreEquipo],0)))</f>
        <v>1</v>
      </c>
      <c r="DB16" s="753" t="str">
        <f ca="1">IF(COUNTIFS($DA$6:$DA$53,DA16,$BC$6:$BC$53,INDEX(T_Equipos[Grupo],MATCH(BD16,T_Equipos[NombreEquipo],0)))=1,"-","P."&amp;DA16&amp;" ("&amp;COUNTIFS($DA$6:$DA$53,DA16,$BC$6:$BC$53,INDEX(T_Equipos[Grupo],MATCH(BD16,T_Equipos[NombreEquipo],0)))&amp;")")</f>
        <v>P.1 (4)</v>
      </c>
      <c r="DC16" s="752">
        <f ca="1">IF(DB16="-","-",COUNTIFS(T_Equipos[Rank],"&lt;"&amp;INDEX(T_Equipos[Rank],MATCH(BD16,T_Equipos[NombreEquipo],0)),$BC$6:$BC$53,INDEX(T_Equipos[Grupo],MATCH(BD16,T_Equipos[NombreEquipo],0)))+1)</f>
        <v>3</v>
      </c>
      <c r="DD16" s="752">
        <f ca="1">DA16+COUNTIFS($DB$6:$DB$53,DB16,$DC$6:DC$53,"&lt;"&amp;DC16,$BC$6:$BC$53,INDEX(T_Equipos[Grupo],MATCH(BD16,T_Equipos[NombreEquipo],0)))</f>
        <v>3</v>
      </c>
      <c r="DE16" s="752"/>
      <c r="DF16" s="752">
        <f t="shared" ca="1" si="52"/>
        <v>3</v>
      </c>
      <c r="DG16" s="752">
        <f ca="1">IF(DB16="-","-",COUNTIFS(DF$6:DF$53,"&lt;"&amp;DF16,$BC$6:$BC$53,INDEX(T_Equipos[Grupo],MATCH(BD16,T_Equipos[NombreEquipo],0))))</f>
        <v>2</v>
      </c>
      <c r="DH16" s="752">
        <f ca="1">DA16+COUNTIFS(DB$6:DB$53,DB16,DG$6:DG$53,"&lt;"&amp;DG16,$BC$6:$BC$53,INDEX(T_Equipos[Grupo],MATCH(BD16,T_Equipos[NombreEquipo],0)))</f>
        <v>3</v>
      </c>
      <c r="DI16" s="740"/>
      <c r="DJ16" s="740">
        <f t="shared" ca="1" si="53"/>
        <v>1</v>
      </c>
      <c r="DK16" s="740">
        <f t="shared" ca="1" si="24"/>
        <v>0</v>
      </c>
      <c r="DL16" s="740">
        <f t="shared" ca="1" si="33"/>
        <v>1</v>
      </c>
      <c r="DM16" s="734" t="str">
        <f t="shared" ca="1" si="34"/>
        <v>1.1</v>
      </c>
      <c r="DN16" s="740" cm="1">
        <f t="array" aca="1" ref="DN16" ca="1">OFFSET(Horarios!$P$3,DJ16-1,0,DL16,1)</f>
        <v>1</v>
      </c>
      <c r="DO16" s="740"/>
      <c r="DP16" s="740" t="s">
        <v>91</v>
      </c>
      <c r="DQ16" s="740" t="str">
        <f t="shared" ca="1" si="35"/>
        <v>Haití</v>
      </c>
      <c r="DR16" s="740"/>
      <c r="DS16" s="740"/>
      <c r="DT16" s="740" t="str">
        <f t="shared" ca="1" si="15"/>
        <v>Suiza-Canadá</v>
      </c>
      <c r="DU16" s="740"/>
      <c r="DV16" s="740"/>
      <c r="DW16" s="8"/>
    </row>
    <row r="17" spans="1:127" ht="15.75" thickBot="1">
      <c r="A17" s="735"/>
      <c r="B17" s="738"/>
      <c r="C17" s="735"/>
      <c r="D17" s="740" t="str">
        <f t="shared" si="54"/>
        <v>Pendiente</v>
      </c>
      <c r="E17" s="740" t="str">
        <f t="shared" si="55"/>
        <v>-</v>
      </c>
      <c r="F17" s="740" t="str">
        <f t="shared" si="56"/>
        <v>-</v>
      </c>
      <c r="G17" s="740"/>
      <c r="H17" s="740" t="str">
        <f t="shared" si="57"/>
        <v>-</v>
      </c>
      <c r="I17" s="740" t="str">
        <f t="shared" si="58"/>
        <v>-</v>
      </c>
      <c r="J17" s="740"/>
      <c r="K17" s="740" t="str">
        <f t="shared" si="59"/>
        <v>-</v>
      </c>
      <c r="L17" s="740" t="str">
        <f t="shared" si="60"/>
        <v>-</v>
      </c>
      <c r="M17" s="740"/>
      <c r="N17" s="740" t="str">
        <f t="shared" si="61"/>
        <v>-</v>
      </c>
      <c r="O17" s="740" t="str">
        <f t="shared" si="62"/>
        <v>-</v>
      </c>
      <c r="P17" s="740"/>
      <c r="Q17" s="740" t="str">
        <f t="shared" si="63"/>
        <v>-</v>
      </c>
      <c r="R17" s="740" t="str">
        <f t="shared" si="64"/>
        <v>-</v>
      </c>
      <c r="S17" s="740"/>
      <c r="T17" s="740" t="str">
        <f t="shared" si="65"/>
        <v>-</v>
      </c>
      <c r="U17" s="740" t="str">
        <f t="shared" si="66"/>
        <v>-</v>
      </c>
      <c r="V17" s="172"/>
      <c r="W17" s="884"/>
      <c r="X17" s="228">
        <f ca="1">Horarios!C17</f>
        <v>46197.625</v>
      </c>
      <c r="Y17" s="229">
        <f ca="1">Horarios!C17</f>
        <v>46197.625</v>
      </c>
      <c r="Z17" s="230" t="str">
        <f>$Z$8</f>
        <v>J3</v>
      </c>
      <c r="AA17" s="231" t="str">
        <f ca="1">A14</f>
        <v>Bosnia y Herzegovina</v>
      </c>
      <c r="AB17" s="478" t="str" cm="1">
        <f t="array" aca="1" ref="AB17" ca="1">Ver_flag_local</f>
        <v/>
      </c>
      <c r="AC17" s="232"/>
      <c r="AD17" s="233"/>
      <c r="AE17" s="483" t="str" cm="1">
        <f t="array" aca="1" ref="AE17" ca="1">Ver_flag_visit</f>
        <v/>
      </c>
      <c r="AF17" s="234" t="str">
        <f ca="1">A15</f>
        <v>Catar</v>
      </c>
      <c r="AG17" s="413">
        <f t="shared" si="67"/>
        <v>0</v>
      </c>
      <c r="AH17" s="196">
        <v>52</v>
      </c>
      <c r="AI17" s="19" t="str">
        <f t="shared" si="72"/>
        <v>4B</v>
      </c>
      <c r="AJ17" s="260">
        <v>4</v>
      </c>
      <c r="AK17" s="488"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0"/>
      <c r="BC17" s="752" t="str">
        <f ca="1">+INDEX(T_Equipos[Grupo],MATCH(WORLDCUP!BD17,T_Equipos[NombreEquipo],0))</f>
        <v>C</v>
      </c>
      <c r="BD17" s="740" t="str">
        <f ca="1">+Equipos!B13</f>
        <v>Escocia</v>
      </c>
      <c r="BE17" s="744">
        <f t="shared" ca="1" si="25"/>
        <v>0</v>
      </c>
      <c r="BF17" s="744">
        <f t="shared" ca="1" si="26"/>
        <v>0</v>
      </c>
      <c r="BG17" s="744">
        <f t="shared" ca="1" si="17"/>
        <v>0</v>
      </c>
      <c r="BH17" s="744">
        <f t="shared" ca="1" si="18"/>
        <v>0</v>
      </c>
      <c r="BI17" s="744">
        <f t="shared" ca="1" si="19"/>
        <v>0</v>
      </c>
      <c r="BJ17" s="744">
        <f t="shared" ca="1" si="20"/>
        <v>0</v>
      </c>
      <c r="BK17" s="744">
        <f t="shared" ca="1" si="21"/>
        <v>0</v>
      </c>
      <c r="BL17" s="744">
        <f t="shared" ca="1" si="27"/>
        <v>0</v>
      </c>
      <c r="BM17" s="744" t="str">
        <f t="shared" ca="1" si="22"/>
        <v>4C</v>
      </c>
      <c r="BN17" s="744" t="str">
        <f t="shared" ca="1" si="23"/>
        <v>4C</v>
      </c>
      <c r="BO17" s="753">
        <f t="shared" ca="1" si="28"/>
        <v>0</v>
      </c>
      <c r="BP17" s="753">
        <f ca="1">COUNTIFS($BO$6:$BO$53,"&gt;"&amp;BO17,$BC$6:$BC$53,INDEX(T_Equipos[Grupo],MATCH(BD17,T_Equipos[NombreEquipo],0)))+1</f>
        <v>1</v>
      </c>
      <c r="BQ17" s="753" t="str">
        <f ca="1">IF(COUNTIFS($BP$6:$BP$53,BP17,$BC$6:$BC$53,INDEX(T_Equipos[Grupo],MATCH(BD17,T_Equipos[NombreEquipo],0)))=1,"-","P."&amp;BP17&amp;" ("&amp;COUNTIFS($BP$6:$BP$53,BP17,$BC$6:$BC$53,INDEX(T_Equipos[Grupo],MATCH(BD17,T_Equipos[NombreEquipo],0)))&amp;")")</f>
        <v>P.1 (4)</v>
      </c>
      <c r="BR17" s="753">
        <f t="shared" ca="1" si="29"/>
        <v>0</v>
      </c>
      <c r="BS17" s="753">
        <f ca="1">BP17+COUNTIFS($BQ$6:$BQ$53,BQ17,$BR$6:BR$53,"&gt;"&amp;BR17,$BC$6:$BC$53,INDEX(T_Equipos[Grupo],MATCH(BD17,T_Equipos[NombreEquipo],0)))</f>
        <v>1</v>
      </c>
      <c r="BT17" s="753" t="str">
        <f ca="1">IF(COUNTIFS($BS$6:$BS$53,BS17,$BC$6:$BC$53,INDEX(T_Equipos[Grupo],MATCH(BD17,T_Equipos[NombreEquipo],0)))=1,"-","P."&amp;BS17&amp;" ("&amp;COUNTIFS($BS$6:$BS$53,BS17,$BC$6:$BC$53,INDEX(T_Equipos[Grupo],MATCH(BD17,T_Equipos[NombreEquipo],0)))&amp;")")</f>
        <v>P.1 (4)</v>
      </c>
      <c r="BU17" s="754">
        <f t="shared" ca="1" si="36"/>
        <v>0</v>
      </c>
      <c r="BV17" s="754">
        <f t="shared" ca="1" si="37"/>
        <v>0</v>
      </c>
      <c r="BW17" s="754">
        <f t="shared" ca="1" si="38"/>
        <v>0</v>
      </c>
      <c r="BX17" s="754">
        <f t="shared" ca="1" si="39"/>
        <v>0</v>
      </c>
      <c r="BY17" s="754">
        <f ca="1">BS17+COUNTIFS($BT$6:$BT$53,BT17,$BX$6:BX$53,"&gt;"&amp;BX17,$BC$6:$BC$53,INDEX(T_Equipos[Grupo],MATCH(BD17,T_Equipos[NombreEquipo],0)))</f>
        <v>1</v>
      </c>
      <c r="BZ17" s="753" t="str">
        <f ca="1">IF(COUNTIFS($BY$6:$BY$53,BY17,$BC$6:$BC$53,INDEX(T_Equipos[Grupo],MATCH(BD17,T_Equipos[NombreEquipo],0)))=1,"-","P."&amp;BY17&amp;" ("&amp;COUNTIFS($BY$6:$BY$53,BY17,$BC$6:$BC$53,INDEX(T_Equipos[Grupo],MATCH(BD17,T_Equipos[NombreEquipo],0)))&amp;")")</f>
        <v>P.1 (4)</v>
      </c>
      <c r="CA17" s="754">
        <f t="shared" ca="1" si="40"/>
        <v>0</v>
      </c>
      <c r="CB17" s="754">
        <f t="shared" ca="1" si="41"/>
        <v>0</v>
      </c>
      <c r="CC17" s="754">
        <f t="shared" ca="1" si="42"/>
        <v>0</v>
      </c>
      <c r="CD17" s="754">
        <f ca="1">BY17+COUNTIFS($BZ$6:$BZ$53,BZ17,$CC$6:CC$53,"&gt;"&amp;CC17,$BC$6:$BC$53,INDEX(T_Equipos[Grupo],MATCH(BD17,T_Equipos[NombreEquipo],0)))</f>
        <v>1</v>
      </c>
      <c r="CE17" s="753" t="str">
        <f ca="1">IF(COUNTIFS($CD$6:$CD$53,CD17,$BC$6:$BC$53,INDEX(T_Equipos[Grupo],MATCH(BD17,T_Equipos[NombreEquipo],0)))=1,"-","P."&amp;CD17&amp;" ("&amp;COUNTIFS($CD$6:$CD$53,CD17,$BC$6:$BC$53,INDEX(T_Equipos[Grupo],MATCH(BD17,T_Equipos[NombreEquipo],0)))&amp;")")</f>
        <v>P.1 (4)</v>
      </c>
      <c r="CF17" s="754">
        <f t="shared" ca="1" si="43"/>
        <v>0</v>
      </c>
      <c r="CG17" s="754">
        <f ca="1">CD17+COUNTIFS($CE$6:$CE$53,CE17,$CF$6:CF$53,"&gt;"&amp;CF17,$BC$6:$BC$53,INDEX(T_Equipos[Grupo],MATCH(BD17,T_Equipos[NombreEquipo],0)))</f>
        <v>1</v>
      </c>
      <c r="CH17" s="753" t="str">
        <f ca="1">IF(COUNTIFS($CG$6:$CG$53,CG17,$BC$6:$BC$53,INDEX(T_Equipos[Grupo],MATCH(BD17,T_Equipos[NombreEquipo],0)))=1,"-","P."&amp;CG17&amp;" ("&amp;COUNTIFS($CG$6:$CG$53,CG17,$BC$6:$BC$53,INDEX(T_Equipos[Grupo],MATCH(BD17,T_Equipos[NombreEquipo],0)))&amp;")")</f>
        <v>P.1 (4)</v>
      </c>
      <c r="CI17" s="754">
        <f t="shared" ca="1" si="44"/>
        <v>0</v>
      </c>
      <c r="CJ17" s="754">
        <f t="shared" ca="1" si="45"/>
        <v>0</v>
      </c>
      <c r="CK17" s="754">
        <f t="shared" ca="1" si="46"/>
        <v>0</v>
      </c>
      <c r="CL17" s="754">
        <f t="shared" ca="1" si="47"/>
        <v>0</v>
      </c>
      <c r="CM17" s="754">
        <f ca="1">CG17+COUNTIFS($CH$6:$CH$53,CH17,$CL$6:CL$53,"&gt;"&amp;CL17,$BC$6:$BC$53,INDEX(T_Equipos[Grupo],MATCH(BD17,T_Equipos[NombreEquipo],0)))</f>
        <v>1</v>
      </c>
      <c r="CN17" s="753" t="str">
        <f ca="1">IF(COUNTIFS($CM$6:$CM$53,CM17,$BC$6:$BC$53,INDEX(T_Equipos[Grupo],MATCH(BD17,T_Equipos[NombreEquipo],0)))=1,"-","P."&amp;CM17&amp;" ("&amp;COUNTIFS($CM$6:$CM$53,CM17,$BC$6:$BC$53,INDEX(T_Equipos[Grupo],MATCH(BD17,T_Equipos[NombreEquipo],0)))&amp;")")</f>
        <v>P.1 (4)</v>
      </c>
      <c r="CO17" s="754">
        <f t="shared" ca="1" si="48"/>
        <v>0</v>
      </c>
      <c r="CP17" s="754">
        <f t="shared" ca="1" si="49"/>
        <v>0</v>
      </c>
      <c r="CQ17" s="754">
        <f t="shared" ca="1" si="50"/>
        <v>0</v>
      </c>
      <c r="CR17" s="754">
        <f ca="1">CM17+COUNTIFS($CN$6:$CN$53,CN17,$CQ$6:CQ$53,"&gt;"&amp;CQ17,$BC$6:$BC$53,INDEX(T_Equipos[Grupo],MATCH(BD17,T_Equipos[NombreEquipo],0)))</f>
        <v>1</v>
      </c>
      <c r="CS17" s="753" t="str">
        <f ca="1">IF(COUNTIFS($CR$6:$CR$53,CR17,$BC$6:$BC$53,INDEX(T_Equipos[Grupo],MATCH(BD17,T_Equipos[NombreEquipo],0)))=1,"-","P."&amp;CR17&amp;" ("&amp;COUNTIFS($CR$6:$CR$53,CR17,$BC$6:$BC$53,INDEX(T_Equipos[Grupo],MATCH(BD17,T_Equipos[NombreEquipo],0)))&amp;")")</f>
        <v>P.1 (4)</v>
      </c>
      <c r="CT17" s="754">
        <f t="shared" ca="1" si="51"/>
        <v>0</v>
      </c>
      <c r="CU17" s="754">
        <f ca="1">CR17+COUNTIFS($CS$6:$CS$53,CS17,$CT$6:CT$53,"&gt;"&amp;CT17,$BC$6:$BC$53,INDEX(T_Equipos[Grupo],MATCH(BD17,T_Equipos[NombreEquipo],0)))</f>
        <v>1</v>
      </c>
      <c r="CV17" s="753" t="str">
        <f ca="1">IF(COUNTIFS($CU$6:$CU$53,CU17,$BC$6:$BC$53,INDEX(T_Equipos[Grupo],MATCH(BD17,T_Equipos[NombreEquipo],0)))=1,"-","P."&amp;CU17&amp;" ("&amp;COUNTIFS($CU$6:$CU$53,CU17,$BC$6:$BC$53,INDEX(T_Equipos[Grupo],MATCH(BD17,T_Equipos[NombreEquipo],0)))&amp;")")</f>
        <v>P.1 (4)</v>
      </c>
      <c r="CW17" s="753">
        <f t="shared" ca="1" si="30"/>
        <v>0</v>
      </c>
      <c r="CX17" s="753">
        <f ca="1">CU17+COUNTIFS($CV$6:$CV$53,CV17,$CW$6:CW$53,"&gt;"&amp;CW17,$BC$6:$BC$53,INDEX(T_Equipos[Grupo],MATCH(BD17,T_Equipos[NombreEquipo],0)))</f>
        <v>1</v>
      </c>
      <c r="CY17" s="753" t="str">
        <f ca="1">IF(COUNTIFS($CX$6:$CX$53,CX17,$BC$6:$BC$53,INDEX(T_Equipos[Grupo],MATCH(BD17,T_Equipos[NombreEquipo],0)))=1,"-","P."&amp;CX17&amp;" ("&amp;COUNTIFS($CX$6:$CX$53,CX17,$BC$6:$BC$53,INDEX(T_Equipos[Grupo],MATCH(BD17,T_Equipos[NombreEquipo],0)))&amp;")")</f>
        <v>P.1 (4)</v>
      </c>
      <c r="CZ17" s="753">
        <f t="shared" ca="1" si="31"/>
        <v>0</v>
      </c>
      <c r="DA17" s="754">
        <f ca="1">CX17+COUNTIFS($CY$6:$CY$53,CY17,$CZ$6:CZ$53,"&gt;"&amp;CZ17,$BC$6:$BC$53,INDEX(T_Equipos[Grupo],MATCH(BD17,T_Equipos[NombreEquipo],0)))</f>
        <v>1</v>
      </c>
      <c r="DB17" s="753" t="str">
        <f ca="1">IF(COUNTIFS($DA$6:$DA$53,DA17,$BC$6:$BC$53,INDEX(T_Equipos[Grupo],MATCH(BD17,T_Equipos[NombreEquipo],0)))=1,"-","P."&amp;DA17&amp;" ("&amp;COUNTIFS($DA$6:$DA$53,DA17,$BC$6:$BC$53,INDEX(T_Equipos[Grupo],MATCH(BD17,T_Equipos[NombreEquipo],0)))&amp;")")</f>
        <v>P.1 (4)</v>
      </c>
      <c r="DC17" s="752">
        <f ca="1">IF(DB17="-","-",COUNTIFS(T_Equipos[Rank],"&lt;"&amp;INDEX(T_Equipos[Rank],MATCH(BD17,T_Equipos[NombreEquipo],0)),$BC$6:$BC$53,INDEX(T_Equipos[Grupo],MATCH(BD17,T_Equipos[NombreEquipo],0)))+1)</f>
        <v>4</v>
      </c>
      <c r="DD17" s="752">
        <f ca="1">DA17+COUNTIFS($DB$6:$DB$53,DB17,$DC$6:DC$53,"&lt;"&amp;DC17,$BC$6:$BC$53,INDEX(T_Equipos[Grupo],MATCH(BD17,T_Equipos[NombreEquipo],0)))</f>
        <v>4</v>
      </c>
      <c r="DE17" s="752"/>
      <c r="DF17" s="752">
        <f t="shared" ca="1" si="52"/>
        <v>4</v>
      </c>
      <c r="DG17" s="752">
        <f ca="1">IF(DB17="-","-",COUNTIFS(DF$6:DF$53,"&lt;"&amp;DF17,$BC$6:$BC$53,INDEX(T_Equipos[Grupo],MATCH(BD17,T_Equipos[NombreEquipo],0))))</f>
        <v>3</v>
      </c>
      <c r="DH17" s="752">
        <f ca="1">DA17+COUNTIFS(DB$6:DB$53,DB17,DG$6:DG$53,"&lt;"&amp;DG17,$BC$6:$BC$53,INDEX(T_Equipos[Grupo],MATCH(BD17,T_Equipos[NombreEquipo],0)))</f>
        <v>4</v>
      </c>
      <c r="DI17" s="740"/>
      <c r="DJ17" s="740">
        <f t="shared" ca="1" si="53"/>
        <v>1</v>
      </c>
      <c r="DK17" s="740">
        <f t="shared" ca="1" si="24"/>
        <v>0</v>
      </c>
      <c r="DL17" s="740">
        <f t="shared" ca="1" si="33"/>
        <v>1</v>
      </c>
      <c r="DM17" s="734" t="str">
        <f t="shared" ca="1" si="34"/>
        <v>1.1</v>
      </c>
      <c r="DN17" s="740" cm="1">
        <f t="array" aca="1" ref="DN17" ca="1">OFFSET(Horarios!$P$3,DJ17-1,0,DL17,1)</f>
        <v>1</v>
      </c>
      <c r="DO17" s="740"/>
      <c r="DP17" s="740" t="s">
        <v>657</v>
      </c>
      <c r="DQ17" s="740" t="str">
        <f t="shared" ca="1" si="35"/>
        <v>Escocia</v>
      </c>
      <c r="DR17" s="740"/>
      <c r="DS17" s="740"/>
      <c r="DT17" s="740" t="str">
        <f t="shared" ca="1" si="15"/>
        <v>Bosnia y Herzegovina-Catar</v>
      </c>
      <c r="DU17" s="740"/>
      <c r="DV17" s="740"/>
      <c r="DW17" s="8"/>
    </row>
    <row r="18" spans="1:127" ht="15.75" thickBot="1">
      <c r="A18" s="735"/>
      <c r="B18" s="738"/>
      <c r="C18" s="735"/>
      <c r="D18" s="740"/>
      <c r="E18" s="740"/>
      <c r="F18" s="740"/>
      <c r="G18" s="740"/>
      <c r="H18" s="740"/>
      <c r="I18" s="740"/>
      <c r="J18" s="740"/>
      <c r="K18" s="740"/>
      <c r="L18" s="740"/>
      <c r="M18" s="740"/>
      <c r="N18" s="740"/>
      <c r="O18" s="740"/>
      <c r="P18" s="740"/>
      <c r="Q18" s="740"/>
      <c r="R18" s="740"/>
      <c r="S18" s="740"/>
      <c r="T18" s="740"/>
      <c r="U18" s="740"/>
      <c r="V18" s="172"/>
      <c r="W18" s="242"/>
      <c r="X18" s="243"/>
      <c r="Y18" s="242"/>
      <c r="Z18" s="244"/>
      <c r="AA18" s="245"/>
      <c r="AB18" s="481"/>
      <c r="AC18" s="247"/>
      <c r="AD18" s="247"/>
      <c r="AE18" s="481"/>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0"/>
      <c r="BC18" s="752" t="str">
        <f ca="1">+INDEX(T_Equipos[Grupo],MATCH(WORLDCUP!BD18,T_Equipos[NombreEquipo],0))</f>
        <v>D</v>
      </c>
      <c r="BD18" s="740" t="str">
        <f ca="1">+Equipos!B14</f>
        <v>Estados Unidos</v>
      </c>
      <c r="BE18" s="744">
        <f t="shared" ca="1" si="25"/>
        <v>0</v>
      </c>
      <c r="BF18" s="744">
        <f t="shared" ca="1" si="26"/>
        <v>0</v>
      </c>
      <c r="BG18" s="744">
        <f t="shared" ca="1" si="17"/>
        <v>0</v>
      </c>
      <c r="BH18" s="744">
        <f t="shared" ca="1" si="18"/>
        <v>0</v>
      </c>
      <c r="BI18" s="744">
        <f t="shared" ca="1" si="19"/>
        <v>0</v>
      </c>
      <c r="BJ18" s="744">
        <f t="shared" ca="1" si="20"/>
        <v>0</v>
      </c>
      <c r="BK18" s="744">
        <f t="shared" ca="1" si="21"/>
        <v>0</v>
      </c>
      <c r="BL18" s="744">
        <f t="shared" ca="1" si="27"/>
        <v>0</v>
      </c>
      <c r="BM18" s="744" t="str">
        <f t="shared" ca="1" si="22"/>
        <v>1D</v>
      </c>
      <c r="BN18" s="744" t="str">
        <f t="shared" ca="1" si="23"/>
        <v>1D</v>
      </c>
      <c r="BO18" s="754">
        <f t="shared" ca="1" si="28"/>
        <v>0</v>
      </c>
      <c r="BP18" s="753">
        <f ca="1">COUNTIFS($BO$6:$BO$53,"&gt;"&amp;BO18,$BC$6:$BC$53,INDEX(T_Equipos[Grupo],MATCH(BD18,T_Equipos[NombreEquipo],0)))+1</f>
        <v>1</v>
      </c>
      <c r="BQ18" s="753" t="str">
        <f ca="1">IF(COUNTIFS($BP$6:$BP$53,BP18,$BC$6:$BC$53,INDEX(T_Equipos[Grupo],MATCH(BD18,T_Equipos[NombreEquipo],0)))=1,"-","P."&amp;BP18&amp;" ("&amp;COUNTIFS($BP$6:$BP$53,BP18,$BC$6:$BC$53,INDEX(T_Equipos[Grupo],MATCH(BD18,T_Equipos[NombreEquipo],0)))&amp;")")</f>
        <v>P.1 (4)</v>
      </c>
      <c r="BR18" s="754">
        <f t="shared" ca="1" si="29"/>
        <v>0</v>
      </c>
      <c r="BS18" s="753">
        <f ca="1">BP18+COUNTIFS($BQ$6:$BQ$53,BQ18,$BR$6:BR$53,"&gt;"&amp;BR18,$BC$6:$BC$53,INDEX(T_Equipos[Grupo],MATCH(BD18,T_Equipos[NombreEquipo],0)))</f>
        <v>1</v>
      </c>
      <c r="BT18" s="753" t="str">
        <f ca="1">IF(COUNTIFS($BS$6:$BS$53,BS18,$BC$6:$BC$53,INDEX(T_Equipos[Grupo],MATCH(BD18,T_Equipos[NombreEquipo],0)))=1,"-","P."&amp;BS18&amp;" ("&amp;COUNTIFS($BS$6:$BS$53,BS18,$BC$6:$BC$53,INDEX(T_Equipos[Grupo],MATCH(BD18,T_Equipos[NombreEquipo],0)))&amp;")")</f>
        <v>P.1 (4)</v>
      </c>
      <c r="BU18" s="754">
        <f t="shared" ca="1" si="36"/>
        <v>0</v>
      </c>
      <c r="BV18" s="754">
        <f t="shared" ca="1" si="37"/>
        <v>0</v>
      </c>
      <c r="BW18" s="754">
        <f t="shared" ca="1" si="38"/>
        <v>0</v>
      </c>
      <c r="BX18" s="754">
        <f t="shared" ca="1" si="39"/>
        <v>0</v>
      </c>
      <c r="BY18" s="754">
        <f ca="1">BS18+COUNTIFS($BT$6:$BT$53,BT18,$BX$6:BX$53,"&gt;"&amp;BX18,$BC$6:$BC$53,INDEX(T_Equipos[Grupo],MATCH(BD18,T_Equipos[NombreEquipo],0)))</f>
        <v>1</v>
      </c>
      <c r="BZ18" s="753" t="str">
        <f ca="1">IF(COUNTIFS($BY$6:$BY$53,BY18,$BC$6:$BC$53,INDEX(T_Equipos[Grupo],MATCH(BD18,T_Equipos[NombreEquipo],0)))=1,"-","P."&amp;BY18&amp;" ("&amp;COUNTIFS($BY$6:$BY$53,BY18,$BC$6:$BC$53,INDEX(T_Equipos[Grupo],MATCH(BD18,T_Equipos[NombreEquipo],0)))&amp;")")</f>
        <v>P.1 (4)</v>
      </c>
      <c r="CA18" s="754">
        <f t="shared" ca="1" si="40"/>
        <v>0</v>
      </c>
      <c r="CB18" s="754">
        <f t="shared" ca="1" si="41"/>
        <v>0</v>
      </c>
      <c r="CC18" s="754">
        <f t="shared" ca="1" si="42"/>
        <v>0</v>
      </c>
      <c r="CD18" s="754">
        <f ca="1">BY18+COUNTIFS($BZ$6:$BZ$53,BZ18,$CC$6:CC$53,"&gt;"&amp;CC18,$BC$6:$BC$53,INDEX(T_Equipos[Grupo],MATCH(BD18,T_Equipos[NombreEquipo],0)))</f>
        <v>1</v>
      </c>
      <c r="CE18" s="753" t="str">
        <f ca="1">IF(COUNTIFS($CD$6:$CD$53,CD18,$BC$6:$BC$53,INDEX(T_Equipos[Grupo],MATCH(BD18,T_Equipos[NombreEquipo],0)))=1,"-","P."&amp;CD18&amp;" ("&amp;COUNTIFS($CD$6:$CD$53,CD18,$BC$6:$BC$53,INDEX(T_Equipos[Grupo],MATCH(BD18,T_Equipos[NombreEquipo],0)))&amp;")")</f>
        <v>P.1 (4)</v>
      </c>
      <c r="CF18" s="754">
        <f t="shared" ca="1" si="43"/>
        <v>0</v>
      </c>
      <c r="CG18" s="754">
        <f ca="1">CD18+COUNTIFS($CE$6:$CE$53,CE18,$CF$6:CF$53,"&gt;"&amp;CF18,$BC$6:$BC$53,INDEX(T_Equipos[Grupo],MATCH(BD18,T_Equipos[NombreEquipo],0)))</f>
        <v>1</v>
      </c>
      <c r="CH18" s="753" t="str">
        <f ca="1">IF(COUNTIFS($CG$6:$CG$53,CG18,$BC$6:$BC$53,INDEX(T_Equipos[Grupo],MATCH(BD18,T_Equipos[NombreEquipo],0)))=1,"-","P."&amp;CG18&amp;" ("&amp;COUNTIFS($CG$6:$CG$53,CG18,$BC$6:$BC$53,INDEX(T_Equipos[Grupo],MATCH(BD18,T_Equipos[NombreEquipo],0)))&amp;")")</f>
        <v>P.1 (4)</v>
      </c>
      <c r="CI18" s="754">
        <f t="shared" ca="1" si="44"/>
        <v>0</v>
      </c>
      <c r="CJ18" s="754">
        <f t="shared" ca="1" si="45"/>
        <v>0</v>
      </c>
      <c r="CK18" s="754">
        <f t="shared" ca="1" si="46"/>
        <v>0</v>
      </c>
      <c r="CL18" s="754">
        <f t="shared" ca="1" si="47"/>
        <v>0</v>
      </c>
      <c r="CM18" s="754">
        <f ca="1">CG18+COUNTIFS($CH$6:$CH$53,CH18,$CL$6:CL$53,"&gt;"&amp;CL18,$BC$6:$BC$53,INDEX(T_Equipos[Grupo],MATCH(BD18,T_Equipos[NombreEquipo],0)))</f>
        <v>1</v>
      </c>
      <c r="CN18" s="753" t="str">
        <f ca="1">IF(COUNTIFS($CM$6:$CM$53,CM18,$BC$6:$BC$53,INDEX(T_Equipos[Grupo],MATCH(BD18,T_Equipos[NombreEquipo],0)))=1,"-","P."&amp;CM18&amp;" ("&amp;COUNTIFS($CM$6:$CM$53,CM18,$BC$6:$BC$53,INDEX(T_Equipos[Grupo],MATCH(BD18,T_Equipos[NombreEquipo],0)))&amp;")")</f>
        <v>P.1 (4)</v>
      </c>
      <c r="CO18" s="754">
        <f t="shared" ca="1" si="48"/>
        <v>0</v>
      </c>
      <c r="CP18" s="754">
        <f t="shared" ca="1" si="49"/>
        <v>0</v>
      </c>
      <c r="CQ18" s="754">
        <f t="shared" ca="1" si="50"/>
        <v>0</v>
      </c>
      <c r="CR18" s="754">
        <f ca="1">CM18+COUNTIFS($CN$6:$CN$53,CN18,$CQ$6:CQ$53,"&gt;"&amp;CQ18,$BC$6:$BC$53,INDEX(T_Equipos[Grupo],MATCH(BD18,T_Equipos[NombreEquipo],0)))</f>
        <v>1</v>
      </c>
      <c r="CS18" s="753" t="str">
        <f ca="1">IF(COUNTIFS($CR$6:$CR$53,CR18,$BC$6:$BC$53,INDEX(T_Equipos[Grupo],MATCH(BD18,T_Equipos[NombreEquipo],0)))=1,"-","P."&amp;CR18&amp;" ("&amp;COUNTIFS($CR$6:$CR$53,CR18,$BC$6:$BC$53,INDEX(T_Equipos[Grupo],MATCH(BD18,T_Equipos[NombreEquipo],0)))&amp;")")</f>
        <v>P.1 (4)</v>
      </c>
      <c r="CT18" s="754">
        <f t="shared" ca="1" si="51"/>
        <v>0</v>
      </c>
      <c r="CU18" s="754">
        <f ca="1">CR18+COUNTIFS($CS$6:$CS$53,CS18,$CT$6:CT$53,"&gt;"&amp;CT18,$BC$6:$BC$53,INDEX(T_Equipos[Grupo],MATCH(BD18,T_Equipos[NombreEquipo],0)))</f>
        <v>1</v>
      </c>
      <c r="CV18" s="753" t="str">
        <f ca="1">IF(COUNTIFS($CU$6:$CU$53,CU18,$BC$6:$BC$53,INDEX(T_Equipos[Grupo],MATCH(BD18,T_Equipos[NombreEquipo],0)))=1,"-","P."&amp;CU18&amp;" ("&amp;COUNTIFS($CU$6:$CU$53,CU18,$BC$6:$BC$53,INDEX(T_Equipos[Grupo],MATCH(BD18,T_Equipos[NombreEquipo],0)))&amp;")")</f>
        <v>P.1 (4)</v>
      </c>
      <c r="CW18" s="753">
        <f t="shared" ca="1" si="30"/>
        <v>0</v>
      </c>
      <c r="CX18" s="753">
        <f ca="1">CU18+COUNTIFS($CV$6:$CV$53,CV18,$CW$6:CW$53,"&gt;"&amp;CW18,$BC$6:$BC$53,INDEX(T_Equipos[Grupo],MATCH(BD18,T_Equipos[NombreEquipo],0)))</f>
        <v>1</v>
      </c>
      <c r="CY18" s="753" t="str">
        <f ca="1">IF(COUNTIFS($CX$6:$CX$53,CX18,$BC$6:$BC$53,INDEX(T_Equipos[Grupo],MATCH(BD18,T_Equipos[NombreEquipo],0)))=1,"-","P."&amp;CX18&amp;" ("&amp;COUNTIFS($CX$6:$CX$53,CX18,$BC$6:$BC$53,INDEX(T_Equipos[Grupo],MATCH(BD18,T_Equipos[NombreEquipo],0)))&amp;")")</f>
        <v>P.1 (4)</v>
      </c>
      <c r="CZ18" s="753">
        <f t="shared" ca="1" si="31"/>
        <v>0</v>
      </c>
      <c r="DA18" s="754">
        <f ca="1">CX18+COUNTIFS($CY$6:$CY$53,CY18,$CZ$6:CZ$53,"&gt;"&amp;CZ18,$BC$6:$BC$53,INDEX(T_Equipos[Grupo],MATCH(BD18,T_Equipos[NombreEquipo],0)))</f>
        <v>1</v>
      </c>
      <c r="DB18" s="753" t="str">
        <f ca="1">IF(COUNTIFS($DA$6:$DA$53,DA18,$BC$6:$BC$53,INDEX(T_Equipos[Grupo],MATCH(BD18,T_Equipos[NombreEquipo],0)))=1,"-","P."&amp;DA18&amp;" ("&amp;COUNTIFS($DA$6:$DA$53,DA18,$BC$6:$BC$53,INDEX(T_Equipos[Grupo],MATCH(BD18,T_Equipos[NombreEquipo],0)))&amp;")")</f>
        <v>P.1 (4)</v>
      </c>
      <c r="DC18" s="752">
        <f ca="1">IF(DB18="-","-",COUNTIFS(T_Equipos[Rank],"&lt;"&amp;INDEX(T_Equipos[Rank],MATCH(BD18,T_Equipos[NombreEquipo],0)),$BC$6:$BC$53,INDEX(T_Equipos[Grupo],MATCH(BD18,T_Equipos[NombreEquipo],0)))+1)</f>
        <v>1</v>
      </c>
      <c r="DD18" s="752">
        <f ca="1">DA18+COUNTIFS($DB$6:$DB$53,DB18,$DC$6:DC$53,"&lt;"&amp;DC18,$BC$6:$BC$53,INDEX(T_Equipos[Grupo],MATCH(BD18,T_Equipos[NombreEquipo],0)))</f>
        <v>1</v>
      </c>
      <c r="DE18" s="752"/>
      <c r="DF18" s="752">
        <f t="shared" ca="1" si="52"/>
        <v>1</v>
      </c>
      <c r="DG18" s="752">
        <f ca="1">IF(DB18="-","-",COUNTIFS(DF$6:DF$53,"&lt;"&amp;DF18,$BC$6:$BC$53,INDEX(T_Equipos[Grupo],MATCH(BD18,T_Equipos[NombreEquipo],0))))</f>
        <v>0</v>
      </c>
      <c r="DH18" s="752">
        <f ca="1">DA18+COUNTIFS(DB$6:DB$53,DB18,DG$6:DG$53,"&lt;"&amp;DG18,$BC$6:$BC$53,INDEX(T_Equipos[Grupo],MATCH(BD18,T_Equipos[NombreEquipo],0)))</f>
        <v>1</v>
      </c>
      <c r="DI18" s="740"/>
      <c r="DJ18" s="740">
        <f t="shared" ca="1" si="53"/>
        <v>1</v>
      </c>
      <c r="DK18" s="740">
        <f t="shared" ca="1" si="24"/>
        <v>0</v>
      </c>
      <c r="DL18" s="740">
        <f t="shared" ca="1" si="33"/>
        <v>1</v>
      </c>
      <c r="DM18" s="734" t="str">
        <f t="shared" ca="1" si="34"/>
        <v>1.1</v>
      </c>
      <c r="DN18" s="740" cm="1">
        <f t="array" aca="1" ref="DN18" ca="1">OFFSET(Horarios!$P$3,DJ18-1,0,DL18,1)</f>
        <v>1</v>
      </c>
      <c r="DO18" s="740"/>
      <c r="DP18" s="740" t="s">
        <v>658</v>
      </c>
      <c r="DQ18" s="740" t="str">
        <f t="shared" ca="1" si="35"/>
        <v>Estados Unidos</v>
      </c>
      <c r="DR18" s="740"/>
      <c r="DS18" s="740"/>
      <c r="DT18" s="740" t="str">
        <f t="shared" si="15"/>
        <v>-</v>
      </c>
      <c r="DU18" s="740"/>
      <c r="DV18" s="740"/>
      <c r="DW18" s="8"/>
    </row>
    <row r="19" spans="1:127" ht="15.75" thickBot="1">
      <c r="A19" s="735"/>
      <c r="B19" s="738"/>
      <c r="C19" s="735"/>
      <c r="D19" s="735"/>
      <c r="E19" s="735"/>
      <c r="F19" s="735"/>
      <c r="G19" s="735"/>
      <c r="H19" s="735"/>
      <c r="I19" s="735"/>
      <c r="J19" s="735"/>
      <c r="K19" s="735"/>
      <c r="L19" s="735"/>
      <c r="M19" s="735"/>
      <c r="N19" s="740"/>
      <c r="O19" s="740"/>
      <c r="P19" s="740"/>
      <c r="Q19" s="740"/>
      <c r="R19" s="740"/>
      <c r="S19" s="740"/>
      <c r="T19" s="740"/>
      <c r="U19" s="740"/>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0"/>
      <c r="BC19" s="752" t="str">
        <f ca="1">+INDEX(T_Equipos[Grupo],MATCH(WORLDCUP!BD19,T_Equipos[NombreEquipo],0))</f>
        <v>D</v>
      </c>
      <c r="BD19" s="740" t="str">
        <f ca="1">+Equipos!B15</f>
        <v>Paraguay</v>
      </c>
      <c r="BE19" s="744">
        <f t="shared" ca="1" si="25"/>
        <v>0</v>
      </c>
      <c r="BF19" s="744">
        <f t="shared" ca="1" si="26"/>
        <v>0</v>
      </c>
      <c r="BG19" s="744">
        <f t="shared" ca="1" si="17"/>
        <v>0</v>
      </c>
      <c r="BH19" s="744">
        <f t="shared" ca="1" si="18"/>
        <v>0</v>
      </c>
      <c r="BI19" s="744">
        <f t="shared" ca="1" si="19"/>
        <v>0</v>
      </c>
      <c r="BJ19" s="744">
        <f t="shared" ca="1" si="20"/>
        <v>0</v>
      </c>
      <c r="BK19" s="744">
        <f t="shared" ca="1" si="21"/>
        <v>0</v>
      </c>
      <c r="BL19" s="744">
        <f t="shared" ca="1" si="27"/>
        <v>0</v>
      </c>
      <c r="BM19" s="744" t="str">
        <f t="shared" ca="1" si="22"/>
        <v>2D</v>
      </c>
      <c r="BN19" s="744" t="str">
        <f t="shared" ca="1" si="23"/>
        <v>2D</v>
      </c>
      <c r="BO19" s="754">
        <f t="shared" ca="1" si="28"/>
        <v>0</v>
      </c>
      <c r="BP19" s="753">
        <f ca="1">COUNTIFS($BO$6:$BO$53,"&gt;"&amp;BO19,$BC$6:$BC$53,INDEX(T_Equipos[Grupo],MATCH(BD19,T_Equipos[NombreEquipo],0)))+1</f>
        <v>1</v>
      </c>
      <c r="BQ19" s="753" t="str">
        <f ca="1">IF(COUNTIFS($BP$6:$BP$53,BP19,$BC$6:$BC$53,INDEX(T_Equipos[Grupo],MATCH(BD19,T_Equipos[NombreEquipo],0)))=1,"-","P."&amp;BP19&amp;" ("&amp;COUNTIFS($BP$6:$BP$53,BP19,$BC$6:$BC$53,INDEX(T_Equipos[Grupo],MATCH(BD19,T_Equipos[NombreEquipo],0)))&amp;")")</f>
        <v>P.1 (4)</v>
      </c>
      <c r="BR19" s="754">
        <f t="shared" ca="1" si="29"/>
        <v>0</v>
      </c>
      <c r="BS19" s="753">
        <f ca="1">BP19+COUNTIFS($BQ$6:$BQ$53,BQ19,$BR$6:BR$53,"&gt;"&amp;BR19,$BC$6:$BC$53,INDEX(T_Equipos[Grupo],MATCH(BD19,T_Equipos[NombreEquipo],0)))</f>
        <v>1</v>
      </c>
      <c r="BT19" s="753" t="str">
        <f ca="1">IF(COUNTIFS($BS$6:$BS$53,BS19,$BC$6:$BC$53,INDEX(T_Equipos[Grupo],MATCH(BD19,T_Equipos[NombreEquipo],0)))=1,"-","P."&amp;BS19&amp;" ("&amp;COUNTIFS($BS$6:$BS$53,BS19,$BC$6:$BC$53,INDEX(T_Equipos[Grupo],MATCH(BD19,T_Equipos[NombreEquipo],0)))&amp;")")</f>
        <v>P.1 (4)</v>
      </c>
      <c r="BU19" s="754">
        <f t="shared" ca="1" si="36"/>
        <v>0</v>
      </c>
      <c r="BV19" s="754">
        <f t="shared" ca="1" si="37"/>
        <v>0</v>
      </c>
      <c r="BW19" s="754">
        <f t="shared" ca="1" si="38"/>
        <v>0</v>
      </c>
      <c r="BX19" s="754">
        <f t="shared" ca="1" si="39"/>
        <v>0</v>
      </c>
      <c r="BY19" s="754">
        <f ca="1">BS19+COUNTIFS($BT$6:$BT$53,BT19,$BX$6:BX$53,"&gt;"&amp;BX19,$BC$6:$BC$53,INDEX(T_Equipos[Grupo],MATCH(BD19,T_Equipos[NombreEquipo],0)))</f>
        <v>1</v>
      </c>
      <c r="BZ19" s="753" t="str">
        <f ca="1">IF(COUNTIFS($BY$6:$BY$53,BY19,$BC$6:$BC$53,INDEX(T_Equipos[Grupo],MATCH(BD19,T_Equipos[NombreEquipo],0)))=1,"-","P."&amp;BY19&amp;" ("&amp;COUNTIFS($BY$6:$BY$53,BY19,$BC$6:$BC$53,INDEX(T_Equipos[Grupo],MATCH(BD19,T_Equipos[NombreEquipo],0)))&amp;")")</f>
        <v>P.1 (4)</v>
      </c>
      <c r="CA19" s="754">
        <f t="shared" ca="1" si="40"/>
        <v>0</v>
      </c>
      <c r="CB19" s="754">
        <f t="shared" ca="1" si="41"/>
        <v>0</v>
      </c>
      <c r="CC19" s="754">
        <f t="shared" ca="1" si="42"/>
        <v>0</v>
      </c>
      <c r="CD19" s="754">
        <f ca="1">BY19+COUNTIFS($BZ$6:$BZ$53,BZ19,$CC$6:CC$53,"&gt;"&amp;CC19,$BC$6:$BC$53,INDEX(T_Equipos[Grupo],MATCH(BD19,T_Equipos[NombreEquipo],0)))</f>
        <v>1</v>
      </c>
      <c r="CE19" s="753" t="str">
        <f ca="1">IF(COUNTIFS($CD$6:$CD$53,CD19,$BC$6:$BC$53,INDEX(T_Equipos[Grupo],MATCH(BD19,T_Equipos[NombreEquipo],0)))=1,"-","P."&amp;CD19&amp;" ("&amp;COUNTIFS($CD$6:$CD$53,CD19,$BC$6:$BC$53,INDEX(T_Equipos[Grupo],MATCH(BD19,T_Equipos[NombreEquipo],0)))&amp;")")</f>
        <v>P.1 (4)</v>
      </c>
      <c r="CF19" s="754">
        <f t="shared" ca="1" si="43"/>
        <v>0</v>
      </c>
      <c r="CG19" s="754">
        <f ca="1">CD19+COUNTIFS($CE$6:$CE$53,CE19,$CF$6:CF$53,"&gt;"&amp;CF19,$BC$6:$BC$53,INDEX(T_Equipos[Grupo],MATCH(BD19,T_Equipos[NombreEquipo],0)))</f>
        <v>1</v>
      </c>
      <c r="CH19" s="753" t="str">
        <f ca="1">IF(COUNTIFS($CG$6:$CG$53,CG19,$BC$6:$BC$53,INDEX(T_Equipos[Grupo],MATCH(BD19,T_Equipos[NombreEquipo],0)))=1,"-","P."&amp;CG19&amp;" ("&amp;COUNTIFS($CG$6:$CG$53,CG19,$BC$6:$BC$53,INDEX(T_Equipos[Grupo],MATCH(BD19,T_Equipos[NombreEquipo],0)))&amp;")")</f>
        <v>P.1 (4)</v>
      </c>
      <c r="CI19" s="754">
        <f t="shared" ca="1" si="44"/>
        <v>0</v>
      </c>
      <c r="CJ19" s="754">
        <f t="shared" ca="1" si="45"/>
        <v>0</v>
      </c>
      <c r="CK19" s="754">
        <f t="shared" ca="1" si="46"/>
        <v>0</v>
      </c>
      <c r="CL19" s="754">
        <f t="shared" ca="1" si="47"/>
        <v>0</v>
      </c>
      <c r="CM19" s="754">
        <f ca="1">CG19+COUNTIFS($CH$6:$CH$53,CH19,$CL$6:CL$53,"&gt;"&amp;CL19,$BC$6:$BC$53,INDEX(T_Equipos[Grupo],MATCH(BD19,T_Equipos[NombreEquipo],0)))</f>
        <v>1</v>
      </c>
      <c r="CN19" s="753" t="str">
        <f ca="1">IF(COUNTIFS($CM$6:$CM$53,CM19,$BC$6:$BC$53,INDEX(T_Equipos[Grupo],MATCH(BD19,T_Equipos[NombreEquipo],0)))=1,"-","P."&amp;CM19&amp;" ("&amp;COUNTIFS($CM$6:$CM$53,CM19,$BC$6:$BC$53,INDEX(T_Equipos[Grupo],MATCH(BD19,T_Equipos[NombreEquipo],0)))&amp;")")</f>
        <v>P.1 (4)</v>
      </c>
      <c r="CO19" s="754">
        <f t="shared" ca="1" si="48"/>
        <v>0</v>
      </c>
      <c r="CP19" s="754">
        <f t="shared" ca="1" si="49"/>
        <v>0</v>
      </c>
      <c r="CQ19" s="754">
        <f t="shared" ca="1" si="50"/>
        <v>0</v>
      </c>
      <c r="CR19" s="754">
        <f ca="1">CM19+COUNTIFS($CN$6:$CN$53,CN19,$CQ$6:CQ$53,"&gt;"&amp;CQ19,$BC$6:$BC$53,INDEX(T_Equipos[Grupo],MATCH(BD19,T_Equipos[NombreEquipo],0)))</f>
        <v>1</v>
      </c>
      <c r="CS19" s="753" t="str">
        <f ca="1">IF(COUNTIFS($CR$6:$CR$53,CR19,$BC$6:$BC$53,INDEX(T_Equipos[Grupo],MATCH(BD19,T_Equipos[NombreEquipo],0)))=1,"-","P."&amp;CR19&amp;" ("&amp;COUNTIFS($CR$6:$CR$53,CR19,$BC$6:$BC$53,INDEX(T_Equipos[Grupo],MATCH(BD19,T_Equipos[NombreEquipo],0)))&amp;")")</f>
        <v>P.1 (4)</v>
      </c>
      <c r="CT19" s="754">
        <f t="shared" ca="1" si="51"/>
        <v>0</v>
      </c>
      <c r="CU19" s="754">
        <f ca="1">CR19+COUNTIFS($CS$6:$CS$53,CS19,$CT$6:CT$53,"&gt;"&amp;CT19,$BC$6:$BC$53,INDEX(T_Equipos[Grupo],MATCH(BD19,T_Equipos[NombreEquipo],0)))</f>
        <v>1</v>
      </c>
      <c r="CV19" s="753" t="str">
        <f ca="1">IF(COUNTIFS($CU$6:$CU$53,CU19,$BC$6:$BC$53,INDEX(T_Equipos[Grupo],MATCH(BD19,T_Equipos[NombreEquipo],0)))=1,"-","P."&amp;CU19&amp;" ("&amp;COUNTIFS($CU$6:$CU$53,CU19,$BC$6:$BC$53,INDEX(T_Equipos[Grupo],MATCH(BD19,T_Equipos[NombreEquipo],0)))&amp;")")</f>
        <v>P.1 (4)</v>
      </c>
      <c r="CW19" s="753">
        <f t="shared" ca="1" si="30"/>
        <v>0</v>
      </c>
      <c r="CX19" s="753">
        <f ca="1">CU19+COUNTIFS($CV$6:$CV$53,CV19,$CW$6:CW$53,"&gt;"&amp;CW19,$BC$6:$BC$53,INDEX(T_Equipos[Grupo],MATCH(BD19,T_Equipos[NombreEquipo],0)))</f>
        <v>1</v>
      </c>
      <c r="CY19" s="753" t="str">
        <f ca="1">IF(COUNTIFS($CX$6:$CX$53,CX19,$BC$6:$BC$53,INDEX(T_Equipos[Grupo],MATCH(BD19,T_Equipos[NombreEquipo],0)))=1,"-","P."&amp;CX19&amp;" ("&amp;COUNTIFS($CX$6:$CX$53,CX19,$BC$6:$BC$53,INDEX(T_Equipos[Grupo],MATCH(BD19,T_Equipos[NombreEquipo],0)))&amp;")")</f>
        <v>P.1 (4)</v>
      </c>
      <c r="CZ19" s="753">
        <f t="shared" ca="1" si="31"/>
        <v>0</v>
      </c>
      <c r="DA19" s="754">
        <f ca="1">CX19+COUNTIFS($CY$6:$CY$53,CY19,$CZ$6:CZ$53,"&gt;"&amp;CZ19,$BC$6:$BC$53,INDEX(T_Equipos[Grupo],MATCH(BD19,T_Equipos[NombreEquipo],0)))</f>
        <v>1</v>
      </c>
      <c r="DB19" s="753" t="str">
        <f ca="1">IF(COUNTIFS($DA$6:$DA$53,DA19,$BC$6:$BC$53,INDEX(T_Equipos[Grupo],MATCH(BD19,T_Equipos[NombreEquipo],0)))=1,"-","P."&amp;DA19&amp;" ("&amp;COUNTIFS($DA$6:$DA$53,DA19,$BC$6:$BC$53,INDEX(T_Equipos[Grupo],MATCH(BD19,T_Equipos[NombreEquipo],0)))&amp;")")</f>
        <v>P.1 (4)</v>
      </c>
      <c r="DC19" s="752">
        <f ca="1">IF(DB19="-","-",COUNTIFS(T_Equipos[Rank],"&lt;"&amp;INDEX(T_Equipos[Rank],MATCH(BD19,T_Equipos[NombreEquipo],0)),$BC$6:$BC$53,INDEX(T_Equipos[Grupo],MATCH(BD19,T_Equipos[NombreEquipo],0)))+1)</f>
        <v>2</v>
      </c>
      <c r="DD19" s="752">
        <f ca="1">DA19+COUNTIFS($DB$6:$DB$53,DB19,$DC$6:DC$53,"&lt;"&amp;DC19,$BC$6:$BC$53,INDEX(T_Equipos[Grupo],MATCH(BD19,T_Equipos[NombreEquipo],0)))</f>
        <v>2</v>
      </c>
      <c r="DE19" s="752"/>
      <c r="DF19" s="752">
        <f t="shared" ca="1" si="52"/>
        <v>2</v>
      </c>
      <c r="DG19" s="752">
        <f ca="1">IF(DB19="-","-",COUNTIFS(DF$6:DF$53,"&lt;"&amp;DF19,$BC$6:$BC$53,INDEX(T_Equipos[Grupo],MATCH(BD19,T_Equipos[NombreEquipo],0))))</f>
        <v>1</v>
      </c>
      <c r="DH19" s="752">
        <f ca="1">DA19+COUNTIFS(DB$6:DB$53,DB19,DG$6:DG$53,"&lt;"&amp;DG19,$BC$6:$BC$53,INDEX(T_Equipos[Grupo],MATCH(BD19,T_Equipos[NombreEquipo],0)))</f>
        <v>2</v>
      </c>
      <c r="DI19" s="740"/>
      <c r="DJ19" s="740">
        <f t="shared" ca="1" si="53"/>
        <v>1</v>
      </c>
      <c r="DK19" s="740">
        <f t="shared" ca="1" si="24"/>
        <v>0</v>
      </c>
      <c r="DL19" s="740">
        <f t="shared" ca="1" si="33"/>
        <v>1</v>
      </c>
      <c r="DM19" s="734" t="str">
        <f t="shared" ca="1" si="34"/>
        <v>1.1</v>
      </c>
      <c r="DN19" s="740" cm="1">
        <f t="array" aca="1" ref="DN19" ca="1">OFFSET(Horarios!$P$3,DJ19-1,0,DL19,1)</f>
        <v>1</v>
      </c>
      <c r="DO19" s="740"/>
      <c r="DP19" s="740" t="s">
        <v>659</v>
      </c>
      <c r="DQ19" s="740" t="str">
        <f t="shared" ca="1" si="35"/>
        <v>Paraguay</v>
      </c>
      <c r="DR19" s="740"/>
      <c r="DS19" s="740"/>
      <c r="DT19" s="740" t="str">
        <f t="shared" si="15"/>
        <v>Casa-Fuera</v>
      </c>
      <c r="DU19" s="740"/>
      <c r="DV19" s="740"/>
      <c r="DW19" s="8"/>
    </row>
    <row r="20" spans="1:127" ht="15" customHeight="1" thickBot="1">
      <c r="A20" s="737" t="s">
        <v>30</v>
      </c>
      <c r="B20" s="738" t="s">
        <v>2</v>
      </c>
      <c r="C20" s="739">
        <f>COUNTIF(Equipos!$C$2:$C$49,WORLDCUP!B20)</f>
        <v>4</v>
      </c>
      <c r="D20" s="740" t="str">
        <f t="shared" ref="D20:D25" si="73">IF(OR(AC20="",AD20=""),"Pendiente",IF(AC20&gt;AD20,"Local",IF(AC20&lt;AD20,"Visitante","Empate")))</f>
        <v>Pendiente</v>
      </c>
      <c r="E20" s="740" t="str">
        <f t="shared" ref="E20:E25" si="74">IF(D20="Pendiente","-",INDEX($BT$6:$BT$53,MATCH($AA20,$BD$6:$BD$53,0)))</f>
        <v>-</v>
      </c>
      <c r="F20" s="740" t="str">
        <f t="shared" ref="F20:F25" si="75">IF(D20="Pendiente","-",INDEX($BT$6:$BT$53,MATCH($AF20,$BD$6:$BD$53,0)))</f>
        <v>-</v>
      </c>
      <c r="G20" s="740"/>
      <c r="H20" s="740" t="str">
        <f t="shared" ref="H20:H25" si="76">IF(D20="Pendiente","-",INDEX($BZ$6:$BZ$53,MATCH($AA20,$BD$6:$BD$53,0)))</f>
        <v>-</v>
      </c>
      <c r="I20" s="740" t="str">
        <f t="shared" ref="I20:I25" si="77">IF(D20="Pendiente","-",INDEX($BZ$6:$BZ$53,MATCH($AF20,$BD$6:$BD$53,0)))</f>
        <v>-</v>
      </c>
      <c r="J20" s="740"/>
      <c r="K20" s="740" t="str">
        <f t="shared" ref="K20:K25" si="78">IF(D20="Pendiente","-",INDEX($CE$6:$CE$53,MATCH($AA20,$BD$6:$BD$53,0)))</f>
        <v>-</v>
      </c>
      <c r="L20" s="740" t="str">
        <f t="shared" ref="L20:L25" si="79">IF(D20="Pendiente","-",INDEX($CE$6:$CE$53,MATCH($AF20,$BD$6:$BD$53,0)))</f>
        <v>-</v>
      </c>
      <c r="M20" s="740"/>
      <c r="N20" s="740" t="str">
        <f t="shared" ref="N20:N25" si="80">IF(D20="Pendiente","-",INDEX($CH$6:$CH$53,MATCH($AA20,$BD$6:$BD$53,0)))</f>
        <v>-</v>
      </c>
      <c r="O20" s="740" t="str">
        <f t="shared" ref="O20:O25" si="81">IF(D20="Pendiente","-",INDEX($CH$6:$CH$53,MATCH($AF20,$BD$6:$BD$53,0)))</f>
        <v>-</v>
      </c>
      <c r="P20" s="740"/>
      <c r="Q20" s="740" t="str">
        <f t="shared" ref="Q20:Q25" si="82">IF(D20="Pendiente","-",INDEX($CN$6:$CN$53,MATCH($AA20,$BD$6:$BD$53,0)))</f>
        <v>-</v>
      </c>
      <c r="R20" s="740" t="str">
        <f t="shared" ref="R20:R25" si="83">IF(D20="Pendiente","-",INDEX($CN$6:$CN$53,MATCH($AF20,$BD$6:$BD$53,0)))</f>
        <v>-</v>
      </c>
      <c r="S20" s="740"/>
      <c r="T20" s="740" t="str">
        <f t="shared" ref="T20:T25" si="84">IF(D20="Pendiente","-",INDEX($CS$6:$CS$53,MATCH($AA20,$BD$6:$BD$53,0)))</f>
        <v>-</v>
      </c>
      <c r="U20" s="740" t="str">
        <f t="shared" ref="U20:U25" si="85">IF(D20="Pendiente","-",INDEX($CS$6:$CS$53,MATCH($AF20,$BD$6:$BD$53,0)))</f>
        <v>-</v>
      </c>
      <c r="V20" s="172"/>
      <c r="W20" s="892" t="s">
        <v>2</v>
      </c>
      <c r="X20" s="189">
        <f ca="1">Horarios!C20</f>
        <v>46186.75</v>
      </c>
      <c r="Y20" s="190">
        <f ca="1">Horarios!C20</f>
        <v>46186.75</v>
      </c>
      <c r="Z20" s="191" t="str">
        <f>$Z$4</f>
        <v>J1</v>
      </c>
      <c r="AA20" s="192" t="str">
        <f ca="1">A21</f>
        <v>Brasil</v>
      </c>
      <c r="AB20" s="477" t="str" cm="1">
        <f t="array" aca="1" ref="AB20" ca="1">Ver_flag_local</f>
        <v/>
      </c>
      <c r="AC20" s="193"/>
      <c r="AD20" s="194"/>
      <c r="AE20" s="482"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0"/>
      <c r="BC20" s="752" t="str">
        <f ca="1">+INDEX(T_Equipos[Grupo],MATCH(WORLDCUP!BD20,T_Equipos[NombreEquipo],0))</f>
        <v>D</v>
      </c>
      <c r="BD20" s="740" t="str">
        <f ca="1">+Equipos!B16</f>
        <v>Australia</v>
      </c>
      <c r="BE20" s="744">
        <f t="shared" ca="1" si="25"/>
        <v>0</v>
      </c>
      <c r="BF20" s="744">
        <f t="shared" ca="1" si="26"/>
        <v>0</v>
      </c>
      <c r="BG20" s="744">
        <f t="shared" ca="1" si="17"/>
        <v>0</v>
      </c>
      <c r="BH20" s="744">
        <f t="shared" ca="1" si="18"/>
        <v>0</v>
      </c>
      <c r="BI20" s="744">
        <f t="shared" ca="1" si="19"/>
        <v>0</v>
      </c>
      <c r="BJ20" s="744">
        <f t="shared" ca="1" si="20"/>
        <v>0</v>
      </c>
      <c r="BK20" s="744">
        <f t="shared" ca="1" si="21"/>
        <v>0</v>
      </c>
      <c r="BL20" s="744">
        <f t="shared" ca="1" si="27"/>
        <v>0</v>
      </c>
      <c r="BM20" s="744" t="str">
        <f t="shared" ca="1" si="22"/>
        <v>3D</v>
      </c>
      <c r="BN20" s="744" t="str">
        <f t="shared" ca="1" si="23"/>
        <v>3D</v>
      </c>
      <c r="BO20" s="754">
        <f t="shared" ca="1" si="28"/>
        <v>0</v>
      </c>
      <c r="BP20" s="753">
        <f ca="1">COUNTIFS($BO$6:$BO$53,"&gt;"&amp;BO20,$BC$6:$BC$53,INDEX(T_Equipos[Grupo],MATCH(BD20,T_Equipos[NombreEquipo],0)))+1</f>
        <v>1</v>
      </c>
      <c r="BQ20" s="753" t="str">
        <f ca="1">IF(COUNTIFS($BP$6:$BP$53,BP20,$BC$6:$BC$53,INDEX(T_Equipos[Grupo],MATCH(BD20,T_Equipos[NombreEquipo],0)))=1,"-","P."&amp;BP20&amp;" ("&amp;COUNTIFS($BP$6:$BP$53,BP20,$BC$6:$BC$53,INDEX(T_Equipos[Grupo],MATCH(BD20,T_Equipos[NombreEquipo],0)))&amp;")")</f>
        <v>P.1 (4)</v>
      </c>
      <c r="BR20" s="754">
        <f t="shared" ca="1" si="29"/>
        <v>0</v>
      </c>
      <c r="BS20" s="753">
        <f ca="1">BP20+COUNTIFS($BQ$6:$BQ$53,BQ20,$BR$6:BR$53,"&gt;"&amp;BR20,$BC$6:$BC$53,INDEX(T_Equipos[Grupo],MATCH(BD20,T_Equipos[NombreEquipo],0)))</f>
        <v>1</v>
      </c>
      <c r="BT20" s="753" t="str">
        <f ca="1">IF(COUNTIFS($BS$6:$BS$53,BS20,$BC$6:$BC$53,INDEX(T_Equipos[Grupo],MATCH(BD20,T_Equipos[NombreEquipo],0)))=1,"-","P."&amp;BS20&amp;" ("&amp;COUNTIFS($BS$6:$BS$53,BS20,$BC$6:$BC$53,INDEX(T_Equipos[Grupo],MATCH(BD20,T_Equipos[NombreEquipo],0)))&amp;")")</f>
        <v>P.1 (4)</v>
      </c>
      <c r="BU20" s="754">
        <f t="shared" ca="1" si="36"/>
        <v>0</v>
      </c>
      <c r="BV20" s="754">
        <f t="shared" ca="1" si="37"/>
        <v>0</v>
      </c>
      <c r="BW20" s="754">
        <f t="shared" ca="1" si="38"/>
        <v>0</v>
      </c>
      <c r="BX20" s="754">
        <f t="shared" ca="1" si="39"/>
        <v>0</v>
      </c>
      <c r="BY20" s="754">
        <f ca="1">BS20+COUNTIFS($BT$6:$BT$53,BT20,$BX$6:BX$53,"&gt;"&amp;BX20,$BC$6:$BC$53,INDEX(T_Equipos[Grupo],MATCH(BD20,T_Equipos[NombreEquipo],0)))</f>
        <v>1</v>
      </c>
      <c r="BZ20" s="753" t="str">
        <f ca="1">IF(COUNTIFS($BY$6:$BY$53,BY20,$BC$6:$BC$53,INDEX(T_Equipos[Grupo],MATCH(BD20,T_Equipos[NombreEquipo],0)))=1,"-","P."&amp;BY20&amp;" ("&amp;COUNTIFS($BY$6:$BY$53,BY20,$BC$6:$BC$53,INDEX(T_Equipos[Grupo],MATCH(BD20,T_Equipos[NombreEquipo],0)))&amp;")")</f>
        <v>P.1 (4)</v>
      </c>
      <c r="CA20" s="754">
        <f t="shared" ca="1" si="40"/>
        <v>0</v>
      </c>
      <c r="CB20" s="754">
        <f t="shared" ca="1" si="41"/>
        <v>0</v>
      </c>
      <c r="CC20" s="754">
        <f t="shared" ca="1" si="42"/>
        <v>0</v>
      </c>
      <c r="CD20" s="754">
        <f ca="1">BY20+COUNTIFS($BZ$6:$BZ$53,BZ20,$CC$6:CC$53,"&gt;"&amp;CC20,$BC$6:$BC$53,INDEX(T_Equipos[Grupo],MATCH(BD20,T_Equipos[NombreEquipo],0)))</f>
        <v>1</v>
      </c>
      <c r="CE20" s="753" t="str">
        <f ca="1">IF(COUNTIFS($CD$6:$CD$53,CD20,$BC$6:$BC$53,INDEX(T_Equipos[Grupo],MATCH(BD20,T_Equipos[NombreEquipo],0)))=1,"-","P."&amp;CD20&amp;" ("&amp;COUNTIFS($CD$6:$CD$53,CD20,$BC$6:$BC$53,INDEX(T_Equipos[Grupo],MATCH(BD20,T_Equipos[NombreEquipo],0)))&amp;")")</f>
        <v>P.1 (4)</v>
      </c>
      <c r="CF20" s="754">
        <f t="shared" ca="1" si="43"/>
        <v>0</v>
      </c>
      <c r="CG20" s="754">
        <f ca="1">CD20+COUNTIFS($CE$6:$CE$53,CE20,$CF$6:CF$53,"&gt;"&amp;CF20,$BC$6:$BC$53,INDEX(T_Equipos[Grupo],MATCH(BD20,T_Equipos[NombreEquipo],0)))</f>
        <v>1</v>
      </c>
      <c r="CH20" s="753" t="str">
        <f ca="1">IF(COUNTIFS($CG$6:$CG$53,CG20,$BC$6:$BC$53,INDEX(T_Equipos[Grupo],MATCH(BD20,T_Equipos[NombreEquipo],0)))=1,"-","P."&amp;CG20&amp;" ("&amp;COUNTIFS($CG$6:$CG$53,CG20,$BC$6:$BC$53,INDEX(T_Equipos[Grupo],MATCH(BD20,T_Equipos[NombreEquipo],0)))&amp;")")</f>
        <v>P.1 (4)</v>
      </c>
      <c r="CI20" s="754">
        <f t="shared" ca="1" si="44"/>
        <v>0</v>
      </c>
      <c r="CJ20" s="754">
        <f t="shared" ca="1" si="45"/>
        <v>0</v>
      </c>
      <c r="CK20" s="754">
        <f t="shared" ca="1" si="46"/>
        <v>0</v>
      </c>
      <c r="CL20" s="754">
        <f t="shared" ca="1" si="47"/>
        <v>0</v>
      </c>
      <c r="CM20" s="754">
        <f ca="1">CG20+COUNTIFS($CH$6:$CH$53,CH20,$CL$6:CL$53,"&gt;"&amp;CL20,$BC$6:$BC$53,INDEX(T_Equipos[Grupo],MATCH(BD20,T_Equipos[NombreEquipo],0)))</f>
        <v>1</v>
      </c>
      <c r="CN20" s="753" t="str">
        <f ca="1">IF(COUNTIFS($CM$6:$CM$53,CM20,$BC$6:$BC$53,INDEX(T_Equipos[Grupo],MATCH(BD20,T_Equipos[NombreEquipo],0)))=1,"-","P."&amp;CM20&amp;" ("&amp;COUNTIFS($CM$6:$CM$53,CM20,$BC$6:$BC$53,INDEX(T_Equipos[Grupo],MATCH(BD20,T_Equipos[NombreEquipo],0)))&amp;")")</f>
        <v>P.1 (4)</v>
      </c>
      <c r="CO20" s="754">
        <f t="shared" ca="1" si="48"/>
        <v>0</v>
      </c>
      <c r="CP20" s="754">
        <f t="shared" ca="1" si="49"/>
        <v>0</v>
      </c>
      <c r="CQ20" s="754">
        <f t="shared" ca="1" si="50"/>
        <v>0</v>
      </c>
      <c r="CR20" s="754">
        <f ca="1">CM20+COUNTIFS($CN$6:$CN$53,CN20,$CQ$6:CQ$53,"&gt;"&amp;CQ20,$BC$6:$BC$53,INDEX(T_Equipos[Grupo],MATCH(BD20,T_Equipos[NombreEquipo],0)))</f>
        <v>1</v>
      </c>
      <c r="CS20" s="753" t="str">
        <f ca="1">IF(COUNTIFS($CR$6:$CR$53,CR20,$BC$6:$BC$53,INDEX(T_Equipos[Grupo],MATCH(BD20,T_Equipos[NombreEquipo],0)))=1,"-","P."&amp;CR20&amp;" ("&amp;COUNTIFS($CR$6:$CR$53,CR20,$BC$6:$BC$53,INDEX(T_Equipos[Grupo],MATCH(BD20,T_Equipos[NombreEquipo],0)))&amp;")")</f>
        <v>P.1 (4)</v>
      </c>
      <c r="CT20" s="754">
        <f t="shared" ca="1" si="51"/>
        <v>0</v>
      </c>
      <c r="CU20" s="754">
        <f ca="1">CR20+COUNTIFS($CS$6:$CS$53,CS20,$CT$6:CT$53,"&gt;"&amp;CT20,$BC$6:$BC$53,INDEX(T_Equipos[Grupo],MATCH(BD20,T_Equipos[NombreEquipo],0)))</f>
        <v>1</v>
      </c>
      <c r="CV20" s="753" t="str">
        <f ca="1">IF(COUNTIFS($CU$6:$CU$53,CU20,$BC$6:$BC$53,INDEX(T_Equipos[Grupo],MATCH(BD20,T_Equipos[NombreEquipo],0)))=1,"-","P."&amp;CU20&amp;" ("&amp;COUNTIFS($CU$6:$CU$53,CU20,$BC$6:$BC$53,INDEX(T_Equipos[Grupo],MATCH(BD20,T_Equipos[NombreEquipo],0)))&amp;")")</f>
        <v>P.1 (4)</v>
      </c>
      <c r="CW20" s="753">
        <f t="shared" ca="1" si="30"/>
        <v>0</v>
      </c>
      <c r="CX20" s="753">
        <f ca="1">CU20+COUNTIFS($CV$6:$CV$53,CV20,$CW$6:CW$53,"&gt;"&amp;CW20,$BC$6:$BC$53,INDEX(T_Equipos[Grupo],MATCH(BD20,T_Equipos[NombreEquipo],0)))</f>
        <v>1</v>
      </c>
      <c r="CY20" s="753" t="str">
        <f ca="1">IF(COUNTIFS($CX$6:$CX$53,CX20,$BC$6:$BC$53,INDEX(T_Equipos[Grupo],MATCH(BD20,T_Equipos[NombreEquipo],0)))=1,"-","P."&amp;CX20&amp;" ("&amp;COUNTIFS($CX$6:$CX$53,CX20,$BC$6:$BC$53,INDEX(T_Equipos[Grupo],MATCH(BD20,T_Equipos[NombreEquipo],0)))&amp;")")</f>
        <v>P.1 (4)</v>
      </c>
      <c r="CZ20" s="753">
        <f t="shared" ca="1" si="31"/>
        <v>0</v>
      </c>
      <c r="DA20" s="754">
        <f ca="1">CX20+COUNTIFS($CY$6:$CY$53,CY20,$CZ$6:CZ$53,"&gt;"&amp;CZ20,$BC$6:$BC$53,INDEX(T_Equipos[Grupo],MATCH(BD20,T_Equipos[NombreEquipo],0)))</f>
        <v>1</v>
      </c>
      <c r="DB20" s="753" t="str">
        <f ca="1">IF(COUNTIFS($DA$6:$DA$53,DA20,$BC$6:$BC$53,INDEX(T_Equipos[Grupo],MATCH(BD20,T_Equipos[NombreEquipo],0)))=1,"-","P."&amp;DA20&amp;" ("&amp;COUNTIFS($DA$6:$DA$53,DA20,$BC$6:$BC$53,INDEX(T_Equipos[Grupo],MATCH(BD20,T_Equipos[NombreEquipo],0)))&amp;")")</f>
        <v>P.1 (4)</v>
      </c>
      <c r="DC20" s="752">
        <f ca="1">IF(DB20="-","-",COUNTIFS(T_Equipos[Rank],"&lt;"&amp;INDEX(T_Equipos[Rank],MATCH(BD20,T_Equipos[NombreEquipo],0)),$BC$6:$BC$53,INDEX(T_Equipos[Grupo],MATCH(BD20,T_Equipos[NombreEquipo],0)))+1)</f>
        <v>3</v>
      </c>
      <c r="DD20" s="752">
        <f ca="1">DA20+COUNTIFS($DB$6:$DB$53,DB20,$DC$6:DC$53,"&lt;"&amp;DC20,$BC$6:$BC$53,INDEX(T_Equipos[Grupo],MATCH(BD20,T_Equipos[NombreEquipo],0)))</f>
        <v>3</v>
      </c>
      <c r="DE20" s="752"/>
      <c r="DF20" s="752">
        <f t="shared" ca="1" si="52"/>
        <v>3</v>
      </c>
      <c r="DG20" s="752">
        <f ca="1">IF(DB20="-","-",COUNTIFS(DF$6:DF$53,"&lt;"&amp;DF20,$BC$6:$BC$53,INDEX(T_Equipos[Grupo],MATCH(BD20,T_Equipos[NombreEquipo],0))))</f>
        <v>2</v>
      </c>
      <c r="DH20" s="752">
        <f ca="1">DA20+COUNTIFS(DB$6:DB$53,DB20,DG$6:DG$53,"&lt;"&amp;DG20,$BC$6:$BC$53,INDEX(T_Equipos[Grupo],MATCH(BD20,T_Equipos[NombreEquipo],0)))</f>
        <v>3</v>
      </c>
      <c r="DI20" s="740"/>
      <c r="DJ20" s="740">
        <f t="shared" ca="1" si="53"/>
        <v>1</v>
      </c>
      <c r="DK20" s="740">
        <f t="shared" ca="1" si="24"/>
        <v>0</v>
      </c>
      <c r="DL20" s="740">
        <f t="shared" ca="1" si="33"/>
        <v>1</v>
      </c>
      <c r="DM20" s="734" t="str">
        <f t="shared" ca="1" si="34"/>
        <v>1.1</v>
      </c>
      <c r="DN20" s="740" cm="1">
        <f t="array" aca="1" ref="DN20" ca="1">OFFSET(Horarios!$P$3,DJ20-1,0,DL20,1)</f>
        <v>1</v>
      </c>
      <c r="DO20" s="740"/>
      <c r="DP20" s="740" t="s">
        <v>92</v>
      </c>
      <c r="DQ20" s="740" t="str">
        <f t="shared" ca="1" si="35"/>
        <v>Australia</v>
      </c>
      <c r="DR20" s="740"/>
      <c r="DS20" s="740"/>
      <c r="DT20" s="740" t="str">
        <f t="shared" ca="1" si="15"/>
        <v>Brasil-Marruecos</v>
      </c>
      <c r="DU20" s="740"/>
      <c r="DV20" s="740"/>
      <c r="DW20" s="8"/>
    </row>
    <row r="21" spans="1:127" ht="15.95" customHeight="1">
      <c r="A21" s="741" t="str">
        <f ca="1">+Equipos!B10</f>
        <v>Brasil</v>
      </c>
      <c r="B21" s="738"/>
      <c r="C21" s="738"/>
      <c r="D21" s="740" t="str">
        <f t="shared" si="73"/>
        <v>Pendiente</v>
      </c>
      <c r="E21" s="740" t="str">
        <f t="shared" si="74"/>
        <v>-</v>
      </c>
      <c r="F21" s="740" t="str">
        <f t="shared" si="75"/>
        <v>-</v>
      </c>
      <c r="G21" s="740"/>
      <c r="H21" s="740" t="str">
        <f t="shared" si="76"/>
        <v>-</v>
      </c>
      <c r="I21" s="740" t="str">
        <f t="shared" si="77"/>
        <v>-</v>
      </c>
      <c r="J21" s="740"/>
      <c r="K21" s="740" t="str">
        <f t="shared" si="78"/>
        <v>-</v>
      </c>
      <c r="L21" s="740" t="str">
        <f t="shared" si="79"/>
        <v>-</v>
      </c>
      <c r="M21" s="740"/>
      <c r="N21" s="740" t="str">
        <f t="shared" si="80"/>
        <v>-</v>
      </c>
      <c r="O21" s="740" t="str">
        <f t="shared" si="81"/>
        <v>-</v>
      </c>
      <c r="P21" s="740"/>
      <c r="Q21" s="740" t="str">
        <f t="shared" si="82"/>
        <v>-</v>
      </c>
      <c r="R21" s="740" t="str">
        <f t="shared" si="83"/>
        <v>-</v>
      </c>
      <c r="S21" s="740"/>
      <c r="T21" s="740" t="str">
        <f t="shared" si="84"/>
        <v>-</v>
      </c>
      <c r="U21" s="740" t="str">
        <f t="shared" si="85"/>
        <v>-</v>
      </c>
      <c r="V21" s="172"/>
      <c r="W21" s="892"/>
      <c r="X21" s="189">
        <f ca="1">Horarios!C21</f>
        <v>46186.875</v>
      </c>
      <c r="Y21" s="190">
        <f ca="1">Horarios!C21</f>
        <v>46186.875</v>
      </c>
      <c r="Z21" s="191" t="str">
        <f>$Z$4</f>
        <v>J1</v>
      </c>
      <c r="AA21" s="192" t="str">
        <f ca="1">A23</f>
        <v>Haití</v>
      </c>
      <c r="AB21" s="477" t="str" cm="1">
        <f t="array" aca="1" ref="AB21" ca="1">Ver_flag_local</f>
        <v/>
      </c>
      <c r="AC21" s="193"/>
      <c r="AD21" s="194"/>
      <c r="AE21" s="482"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0"/>
      <c r="BC21" s="752" t="str">
        <f ca="1">+INDEX(T_Equipos[Grupo],MATCH(WORLDCUP!BD21,T_Equipos[NombreEquipo],0))</f>
        <v>D</v>
      </c>
      <c r="BD21" s="740" t="str">
        <f ca="1">+Equipos!B17</f>
        <v>Turquía</v>
      </c>
      <c r="BE21" s="744">
        <f t="shared" ca="1" si="25"/>
        <v>0</v>
      </c>
      <c r="BF21" s="744">
        <f t="shared" ca="1" si="26"/>
        <v>0</v>
      </c>
      <c r="BG21" s="744">
        <f t="shared" ca="1" si="17"/>
        <v>0</v>
      </c>
      <c r="BH21" s="744">
        <f t="shared" ca="1" si="18"/>
        <v>0</v>
      </c>
      <c r="BI21" s="744">
        <f t="shared" ca="1" si="19"/>
        <v>0</v>
      </c>
      <c r="BJ21" s="744">
        <f t="shared" ca="1" si="20"/>
        <v>0</v>
      </c>
      <c r="BK21" s="744">
        <f t="shared" ca="1" si="21"/>
        <v>0</v>
      </c>
      <c r="BL21" s="744">
        <f t="shared" ca="1" si="27"/>
        <v>0</v>
      </c>
      <c r="BM21" s="744" t="str">
        <f t="shared" ca="1" si="22"/>
        <v>4D</v>
      </c>
      <c r="BN21" s="744" t="str">
        <f t="shared" ca="1" si="23"/>
        <v>4D</v>
      </c>
      <c r="BO21" s="754">
        <f t="shared" ca="1" si="28"/>
        <v>0</v>
      </c>
      <c r="BP21" s="753">
        <f ca="1">COUNTIFS($BO$6:$BO$53,"&gt;"&amp;BO21,$BC$6:$BC$53,INDEX(T_Equipos[Grupo],MATCH(BD21,T_Equipos[NombreEquipo],0)))+1</f>
        <v>1</v>
      </c>
      <c r="BQ21" s="753" t="str">
        <f ca="1">IF(COUNTIFS($BP$6:$BP$53,BP21,$BC$6:$BC$53,INDEX(T_Equipos[Grupo],MATCH(BD21,T_Equipos[NombreEquipo],0)))=1,"-","P."&amp;BP21&amp;" ("&amp;COUNTIFS($BP$6:$BP$53,BP21,$BC$6:$BC$53,INDEX(T_Equipos[Grupo],MATCH(BD21,T_Equipos[NombreEquipo],0)))&amp;")")</f>
        <v>P.1 (4)</v>
      </c>
      <c r="BR21" s="754">
        <f t="shared" ca="1" si="29"/>
        <v>0</v>
      </c>
      <c r="BS21" s="753">
        <f ca="1">BP21+COUNTIFS($BQ$6:$BQ$53,BQ21,$BR$6:BR$53,"&gt;"&amp;BR21,$BC$6:$BC$53,INDEX(T_Equipos[Grupo],MATCH(BD21,T_Equipos[NombreEquipo],0)))</f>
        <v>1</v>
      </c>
      <c r="BT21" s="753" t="str">
        <f ca="1">IF(COUNTIFS($BS$6:$BS$53,BS21,$BC$6:$BC$53,INDEX(T_Equipos[Grupo],MATCH(BD21,T_Equipos[NombreEquipo],0)))=1,"-","P."&amp;BS21&amp;" ("&amp;COUNTIFS($BS$6:$BS$53,BS21,$BC$6:$BC$53,INDEX(T_Equipos[Grupo],MATCH(BD21,T_Equipos[NombreEquipo],0)))&amp;")")</f>
        <v>P.1 (4)</v>
      </c>
      <c r="BU21" s="754">
        <f t="shared" ca="1" si="36"/>
        <v>0</v>
      </c>
      <c r="BV21" s="754">
        <f t="shared" ca="1" si="37"/>
        <v>0</v>
      </c>
      <c r="BW21" s="754">
        <f t="shared" ca="1" si="38"/>
        <v>0</v>
      </c>
      <c r="BX21" s="754">
        <f t="shared" ca="1" si="39"/>
        <v>0</v>
      </c>
      <c r="BY21" s="754">
        <f ca="1">BS21+COUNTIFS($BT$6:$BT$53,BT21,$BX$6:BX$53,"&gt;"&amp;BX21,$BC$6:$BC$53,INDEX(T_Equipos[Grupo],MATCH(BD21,T_Equipos[NombreEquipo],0)))</f>
        <v>1</v>
      </c>
      <c r="BZ21" s="753" t="str">
        <f ca="1">IF(COUNTIFS($BY$6:$BY$53,BY21,$BC$6:$BC$53,INDEX(T_Equipos[Grupo],MATCH(BD21,T_Equipos[NombreEquipo],0)))=1,"-","P."&amp;BY21&amp;" ("&amp;COUNTIFS($BY$6:$BY$53,BY21,$BC$6:$BC$53,INDEX(T_Equipos[Grupo],MATCH(BD21,T_Equipos[NombreEquipo],0)))&amp;")")</f>
        <v>P.1 (4)</v>
      </c>
      <c r="CA21" s="754">
        <f t="shared" ca="1" si="40"/>
        <v>0</v>
      </c>
      <c r="CB21" s="754">
        <f t="shared" ca="1" si="41"/>
        <v>0</v>
      </c>
      <c r="CC21" s="754">
        <f t="shared" ca="1" si="42"/>
        <v>0</v>
      </c>
      <c r="CD21" s="754">
        <f ca="1">BY21+COUNTIFS($BZ$6:$BZ$53,BZ21,$CC$6:CC$53,"&gt;"&amp;CC21,$BC$6:$BC$53,INDEX(T_Equipos[Grupo],MATCH(BD21,T_Equipos[NombreEquipo],0)))</f>
        <v>1</v>
      </c>
      <c r="CE21" s="753" t="str">
        <f ca="1">IF(COUNTIFS($CD$6:$CD$53,CD21,$BC$6:$BC$53,INDEX(T_Equipos[Grupo],MATCH(BD21,T_Equipos[NombreEquipo],0)))=1,"-","P."&amp;CD21&amp;" ("&amp;COUNTIFS($CD$6:$CD$53,CD21,$BC$6:$BC$53,INDEX(T_Equipos[Grupo],MATCH(BD21,T_Equipos[NombreEquipo],0)))&amp;")")</f>
        <v>P.1 (4)</v>
      </c>
      <c r="CF21" s="754">
        <f t="shared" ca="1" si="43"/>
        <v>0</v>
      </c>
      <c r="CG21" s="754">
        <f ca="1">CD21+COUNTIFS($CE$6:$CE$53,CE21,$CF$6:CF$53,"&gt;"&amp;CF21,$BC$6:$BC$53,INDEX(T_Equipos[Grupo],MATCH(BD21,T_Equipos[NombreEquipo],0)))</f>
        <v>1</v>
      </c>
      <c r="CH21" s="753" t="str">
        <f ca="1">IF(COUNTIFS($CG$6:$CG$53,CG21,$BC$6:$BC$53,INDEX(T_Equipos[Grupo],MATCH(BD21,T_Equipos[NombreEquipo],0)))=1,"-","P."&amp;CG21&amp;" ("&amp;COUNTIFS($CG$6:$CG$53,CG21,$BC$6:$BC$53,INDEX(T_Equipos[Grupo],MATCH(BD21,T_Equipos[NombreEquipo],0)))&amp;")")</f>
        <v>P.1 (4)</v>
      </c>
      <c r="CI21" s="754">
        <f t="shared" ca="1" si="44"/>
        <v>0</v>
      </c>
      <c r="CJ21" s="754">
        <f t="shared" ca="1" si="45"/>
        <v>0</v>
      </c>
      <c r="CK21" s="754">
        <f t="shared" ca="1" si="46"/>
        <v>0</v>
      </c>
      <c r="CL21" s="754">
        <f t="shared" ca="1" si="47"/>
        <v>0</v>
      </c>
      <c r="CM21" s="754">
        <f ca="1">CG21+COUNTIFS($CH$6:$CH$53,CH21,$CL$6:CL$53,"&gt;"&amp;CL21,$BC$6:$BC$53,INDEX(T_Equipos[Grupo],MATCH(BD21,T_Equipos[NombreEquipo],0)))</f>
        <v>1</v>
      </c>
      <c r="CN21" s="753" t="str">
        <f ca="1">IF(COUNTIFS($CM$6:$CM$53,CM21,$BC$6:$BC$53,INDEX(T_Equipos[Grupo],MATCH(BD21,T_Equipos[NombreEquipo],0)))=1,"-","P."&amp;CM21&amp;" ("&amp;COUNTIFS($CM$6:$CM$53,CM21,$BC$6:$BC$53,INDEX(T_Equipos[Grupo],MATCH(BD21,T_Equipos[NombreEquipo],0)))&amp;")")</f>
        <v>P.1 (4)</v>
      </c>
      <c r="CO21" s="754">
        <f t="shared" ca="1" si="48"/>
        <v>0</v>
      </c>
      <c r="CP21" s="754">
        <f t="shared" ca="1" si="49"/>
        <v>0</v>
      </c>
      <c r="CQ21" s="754">
        <f t="shared" ca="1" si="50"/>
        <v>0</v>
      </c>
      <c r="CR21" s="754">
        <f ca="1">CM21+COUNTIFS($CN$6:$CN$53,CN21,$CQ$6:CQ$53,"&gt;"&amp;CQ21,$BC$6:$BC$53,INDEX(T_Equipos[Grupo],MATCH(BD21,T_Equipos[NombreEquipo],0)))</f>
        <v>1</v>
      </c>
      <c r="CS21" s="753" t="str">
        <f ca="1">IF(COUNTIFS($CR$6:$CR$53,CR21,$BC$6:$BC$53,INDEX(T_Equipos[Grupo],MATCH(BD21,T_Equipos[NombreEquipo],0)))=1,"-","P."&amp;CR21&amp;" ("&amp;COUNTIFS($CR$6:$CR$53,CR21,$BC$6:$BC$53,INDEX(T_Equipos[Grupo],MATCH(BD21,T_Equipos[NombreEquipo],0)))&amp;")")</f>
        <v>P.1 (4)</v>
      </c>
      <c r="CT21" s="754">
        <f t="shared" ca="1" si="51"/>
        <v>0</v>
      </c>
      <c r="CU21" s="754">
        <f ca="1">CR21+COUNTIFS($CS$6:$CS$53,CS21,$CT$6:CT$53,"&gt;"&amp;CT21,$BC$6:$BC$53,INDEX(T_Equipos[Grupo],MATCH(BD21,T_Equipos[NombreEquipo],0)))</f>
        <v>1</v>
      </c>
      <c r="CV21" s="753" t="str">
        <f ca="1">IF(COUNTIFS($CU$6:$CU$53,CU21,$BC$6:$BC$53,INDEX(T_Equipos[Grupo],MATCH(BD21,T_Equipos[NombreEquipo],0)))=1,"-","P."&amp;CU21&amp;" ("&amp;COUNTIFS($CU$6:$CU$53,CU21,$BC$6:$BC$53,INDEX(T_Equipos[Grupo],MATCH(BD21,T_Equipos[NombreEquipo],0)))&amp;")")</f>
        <v>P.1 (4)</v>
      </c>
      <c r="CW21" s="753">
        <f t="shared" ca="1" si="30"/>
        <v>0</v>
      </c>
      <c r="CX21" s="753">
        <f ca="1">CU21+COUNTIFS($CV$6:$CV$53,CV21,$CW$6:CW$53,"&gt;"&amp;CW21,$BC$6:$BC$53,INDEX(T_Equipos[Grupo],MATCH(BD21,T_Equipos[NombreEquipo],0)))</f>
        <v>1</v>
      </c>
      <c r="CY21" s="753" t="str">
        <f ca="1">IF(COUNTIFS($CX$6:$CX$53,CX21,$BC$6:$BC$53,INDEX(T_Equipos[Grupo],MATCH(BD21,T_Equipos[NombreEquipo],0)))=1,"-","P."&amp;CX21&amp;" ("&amp;COUNTIFS($CX$6:$CX$53,CX21,$BC$6:$BC$53,INDEX(T_Equipos[Grupo],MATCH(BD21,T_Equipos[NombreEquipo],0)))&amp;")")</f>
        <v>P.1 (4)</v>
      </c>
      <c r="CZ21" s="753">
        <f t="shared" ca="1" si="31"/>
        <v>0</v>
      </c>
      <c r="DA21" s="754">
        <f ca="1">CX21+COUNTIFS($CY$6:$CY$53,CY21,$CZ$6:CZ$53,"&gt;"&amp;CZ21,$BC$6:$BC$53,INDEX(T_Equipos[Grupo],MATCH(BD21,T_Equipos[NombreEquipo],0)))</f>
        <v>1</v>
      </c>
      <c r="DB21" s="753" t="str">
        <f ca="1">IF(COUNTIFS($DA$6:$DA$53,DA21,$BC$6:$BC$53,INDEX(T_Equipos[Grupo],MATCH(BD21,T_Equipos[NombreEquipo],0)))=1,"-","P."&amp;DA21&amp;" ("&amp;COUNTIFS($DA$6:$DA$53,DA21,$BC$6:$BC$53,INDEX(T_Equipos[Grupo],MATCH(BD21,T_Equipos[NombreEquipo],0)))&amp;")")</f>
        <v>P.1 (4)</v>
      </c>
      <c r="DC21" s="752">
        <f ca="1">IF(DB21="-","-",COUNTIFS(T_Equipos[Rank],"&lt;"&amp;INDEX(T_Equipos[Rank],MATCH(BD21,T_Equipos[NombreEquipo],0)),$BC$6:$BC$53,INDEX(T_Equipos[Grupo],MATCH(BD21,T_Equipos[NombreEquipo],0)))+1)</f>
        <v>4</v>
      </c>
      <c r="DD21" s="752">
        <f ca="1">DA21+COUNTIFS($DB$6:$DB$53,DB21,$DC$6:DC$53,"&lt;"&amp;DC21,$BC$6:$BC$53,INDEX(T_Equipos[Grupo],MATCH(BD21,T_Equipos[NombreEquipo],0)))</f>
        <v>4</v>
      </c>
      <c r="DE21" s="752"/>
      <c r="DF21" s="752">
        <f t="shared" ca="1" si="52"/>
        <v>4</v>
      </c>
      <c r="DG21" s="752">
        <f ca="1">IF(DB21="-","-",COUNTIFS(DF$6:DF$53,"&lt;"&amp;DF21,$BC$6:$BC$53,INDEX(T_Equipos[Grupo],MATCH(BD21,T_Equipos[NombreEquipo],0))))</f>
        <v>3</v>
      </c>
      <c r="DH21" s="752">
        <f ca="1">DA21+COUNTIFS(DB$6:DB$53,DB21,DG$6:DG$53,"&lt;"&amp;DG21,$BC$6:$BC$53,INDEX(T_Equipos[Grupo],MATCH(BD21,T_Equipos[NombreEquipo],0)))</f>
        <v>4</v>
      </c>
      <c r="DI21" s="740"/>
      <c r="DJ21" s="740">
        <f t="shared" ca="1" si="53"/>
        <v>1</v>
      </c>
      <c r="DK21" s="740">
        <f t="shared" ca="1" si="24"/>
        <v>0</v>
      </c>
      <c r="DL21" s="740">
        <f t="shared" ca="1" si="33"/>
        <v>1</v>
      </c>
      <c r="DM21" s="734" t="str">
        <f t="shared" ca="1" si="34"/>
        <v>1.1</v>
      </c>
      <c r="DN21" s="740" cm="1">
        <f t="array" aca="1" ref="DN21" ca="1">OFFSET(Horarios!$P$3,DJ21-1,0,DL21,1)</f>
        <v>1</v>
      </c>
      <c r="DO21" s="740"/>
      <c r="DP21" s="740" t="s">
        <v>660</v>
      </c>
      <c r="DQ21" s="740" t="str">
        <f t="shared" ca="1" si="35"/>
        <v>Turquía</v>
      </c>
      <c r="DR21" s="740"/>
      <c r="DS21" s="740"/>
      <c r="DT21" s="740" t="str">
        <f t="shared" ca="1" si="15"/>
        <v>Haití-Escocia</v>
      </c>
      <c r="DU21" s="740"/>
      <c r="DV21" s="740"/>
      <c r="DW21" s="8"/>
    </row>
    <row r="22" spans="1:127" ht="15.95" customHeight="1">
      <c r="A22" s="741" t="str">
        <f ca="1">+Equipos!B11</f>
        <v>Marruecos</v>
      </c>
      <c r="B22" s="738"/>
      <c r="C22" s="742"/>
      <c r="D22" s="740" t="str">
        <f t="shared" si="73"/>
        <v>Pendiente</v>
      </c>
      <c r="E22" s="740" t="str">
        <f t="shared" si="74"/>
        <v>-</v>
      </c>
      <c r="F22" s="740" t="str">
        <f t="shared" si="75"/>
        <v>-</v>
      </c>
      <c r="G22" s="740"/>
      <c r="H22" s="740" t="str">
        <f t="shared" si="76"/>
        <v>-</v>
      </c>
      <c r="I22" s="740" t="str">
        <f t="shared" si="77"/>
        <v>-</v>
      </c>
      <c r="J22" s="740"/>
      <c r="K22" s="740" t="str">
        <f t="shared" si="78"/>
        <v>-</v>
      </c>
      <c r="L22" s="740" t="str">
        <f t="shared" si="79"/>
        <v>-</v>
      </c>
      <c r="M22" s="740"/>
      <c r="N22" s="740" t="str">
        <f t="shared" si="80"/>
        <v>-</v>
      </c>
      <c r="O22" s="740" t="str">
        <f t="shared" si="81"/>
        <v>-</v>
      </c>
      <c r="P22" s="740"/>
      <c r="Q22" s="740" t="str">
        <f t="shared" si="82"/>
        <v>-</v>
      </c>
      <c r="R22" s="740" t="str">
        <f t="shared" si="83"/>
        <v>-</v>
      </c>
      <c r="S22" s="740"/>
      <c r="T22" s="740" t="str">
        <f t="shared" si="84"/>
        <v>-</v>
      </c>
      <c r="U22" s="740" t="str">
        <f t="shared" si="85"/>
        <v>-</v>
      </c>
      <c r="V22" s="172"/>
      <c r="W22" s="892"/>
      <c r="X22" s="189">
        <f ca="1">Horarios!C22</f>
        <v>46192.75</v>
      </c>
      <c r="Y22" s="190">
        <f ca="1">Horarios!C22</f>
        <v>46192.75</v>
      </c>
      <c r="Z22" s="191" t="str">
        <f>$Z$6</f>
        <v>J2</v>
      </c>
      <c r="AA22" s="192" t="str">
        <f ca="1">A24</f>
        <v>Escocia</v>
      </c>
      <c r="AB22" s="477" t="str" cm="1">
        <f t="array" aca="1" ref="AB22" ca="1">Ver_flag_local</f>
        <v/>
      </c>
      <c r="AC22" s="193"/>
      <c r="AD22" s="194"/>
      <c r="AE22" s="482" t="str" cm="1">
        <f t="array" aca="1" ref="AE22" ca="1">Ver_flag_visit</f>
        <v/>
      </c>
      <c r="AF22" s="195" t="str">
        <f ca="1">A22</f>
        <v>Marruecos</v>
      </c>
      <c r="AG22" s="413">
        <f t="shared" si="86"/>
        <v>0</v>
      </c>
      <c r="AH22" s="196">
        <v>30</v>
      </c>
      <c r="AI22" s="19" t="str">
        <f>AJ22&amp;$B$20</f>
        <v>1C</v>
      </c>
      <c r="AJ22" s="211">
        <v>1</v>
      </c>
      <c r="AK22" s="487"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0"/>
      <c r="BC22" s="752" t="str">
        <f ca="1">+INDEX(T_Equipos[Grupo],MATCH(WORLDCUP!BD22,T_Equipos[NombreEquipo],0))</f>
        <v>E</v>
      </c>
      <c r="BD22" s="740" t="str">
        <f ca="1">+Equipos!B18</f>
        <v>Alemania</v>
      </c>
      <c r="BE22" s="744">
        <f t="shared" ca="1" si="25"/>
        <v>0</v>
      </c>
      <c r="BF22" s="744">
        <f t="shared" ca="1" si="26"/>
        <v>0</v>
      </c>
      <c r="BG22" s="744">
        <f t="shared" ca="1" si="17"/>
        <v>0</v>
      </c>
      <c r="BH22" s="744">
        <f t="shared" ca="1" si="18"/>
        <v>0</v>
      </c>
      <c r="BI22" s="744">
        <f t="shared" ca="1" si="19"/>
        <v>0</v>
      </c>
      <c r="BJ22" s="744">
        <f t="shared" ca="1" si="20"/>
        <v>0</v>
      </c>
      <c r="BK22" s="744">
        <f t="shared" ca="1" si="21"/>
        <v>0</v>
      </c>
      <c r="BL22" s="744">
        <f t="shared" ca="1" si="27"/>
        <v>0</v>
      </c>
      <c r="BM22" s="744" t="str">
        <f t="shared" ca="1" si="22"/>
        <v>1E</v>
      </c>
      <c r="BN22" s="744" t="str">
        <f t="shared" ca="1" si="23"/>
        <v>1E</v>
      </c>
      <c r="BO22" s="753">
        <f t="shared" ca="1" si="28"/>
        <v>0</v>
      </c>
      <c r="BP22" s="753">
        <f ca="1">COUNTIFS($BO$6:$BO$53,"&gt;"&amp;BO22,$BC$6:$BC$53,INDEX(T_Equipos[Grupo],MATCH(BD22,T_Equipos[NombreEquipo],0)))+1</f>
        <v>1</v>
      </c>
      <c r="BQ22" s="753" t="str">
        <f ca="1">IF(COUNTIFS($BP$6:$BP$53,BP22,$BC$6:$BC$53,INDEX(T_Equipos[Grupo],MATCH(BD22,T_Equipos[NombreEquipo],0)))=1,"-","P."&amp;BP22&amp;" ("&amp;COUNTIFS($BP$6:$BP$53,BP22,$BC$6:$BC$53,INDEX(T_Equipos[Grupo],MATCH(BD22,T_Equipos[NombreEquipo],0)))&amp;")")</f>
        <v>P.1 (4)</v>
      </c>
      <c r="BR22" s="753">
        <f t="shared" ca="1" si="29"/>
        <v>0</v>
      </c>
      <c r="BS22" s="753">
        <f ca="1">BP22+COUNTIFS($BQ$6:$BQ$53,BQ22,$BR$6:BR$53,"&gt;"&amp;BR22,$BC$6:$BC$53,INDEX(T_Equipos[Grupo],MATCH(BD22,T_Equipos[NombreEquipo],0)))</f>
        <v>1</v>
      </c>
      <c r="BT22" s="753" t="str">
        <f ca="1">IF(COUNTIFS($BS$6:$BS$53,BS22,$BC$6:$BC$53,INDEX(T_Equipos[Grupo],MATCH(BD22,T_Equipos[NombreEquipo],0)))=1,"-","P."&amp;BS22&amp;" ("&amp;COUNTIFS($BS$6:$BS$53,BS22,$BC$6:$BC$53,INDEX(T_Equipos[Grupo],MATCH(BD22,T_Equipos[NombreEquipo],0)))&amp;")")</f>
        <v>P.1 (4)</v>
      </c>
      <c r="BU22" s="754">
        <f t="shared" ca="1" si="36"/>
        <v>0</v>
      </c>
      <c r="BV22" s="754">
        <f t="shared" ca="1" si="37"/>
        <v>0</v>
      </c>
      <c r="BW22" s="754">
        <f t="shared" ca="1" si="38"/>
        <v>0</v>
      </c>
      <c r="BX22" s="754">
        <f t="shared" ca="1" si="39"/>
        <v>0</v>
      </c>
      <c r="BY22" s="754">
        <f ca="1">BS22+COUNTIFS($BT$6:$BT$53,BT22,$BX$6:BX$53,"&gt;"&amp;BX22,$BC$6:$BC$53,INDEX(T_Equipos[Grupo],MATCH(BD22,T_Equipos[NombreEquipo],0)))</f>
        <v>1</v>
      </c>
      <c r="BZ22" s="753" t="str">
        <f ca="1">IF(COUNTIFS($BY$6:$BY$53,BY22,$BC$6:$BC$53,INDEX(T_Equipos[Grupo],MATCH(BD22,T_Equipos[NombreEquipo],0)))=1,"-","P."&amp;BY22&amp;" ("&amp;COUNTIFS($BY$6:$BY$53,BY22,$BC$6:$BC$53,INDEX(T_Equipos[Grupo],MATCH(BD22,T_Equipos[NombreEquipo],0)))&amp;")")</f>
        <v>P.1 (4)</v>
      </c>
      <c r="CA22" s="754">
        <f t="shared" ca="1" si="40"/>
        <v>0</v>
      </c>
      <c r="CB22" s="754">
        <f t="shared" ca="1" si="41"/>
        <v>0</v>
      </c>
      <c r="CC22" s="754">
        <f t="shared" ca="1" si="42"/>
        <v>0</v>
      </c>
      <c r="CD22" s="754">
        <f ca="1">BY22+COUNTIFS($BZ$6:$BZ$53,BZ22,$CC$6:CC$53,"&gt;"&amp;CC22,$BC$6:$BC$53,INDEX(T_Equipos[Grupo],MATCH(BD22,T_Equipos[NombreEquipo],0)))</f>
        <v>1</v>
      </c>
      <c r="CE22" s="753" t="str">
        <f ca="1">IF(COUNTIFS($CD$6:$CD$53,CD22,$BC$6:$BC$53,INDEX(T_Equipos[Grupo],MATCH(BD22,T_Equipos[NombreEquipo],0)))=1,"-","P."&amp;CD22&amp;" ("&amp;COUNTIFS($CD$6:$CD$53,CD22,$BC$6:$BC$53,INDEX(T_Equipos[Grupo],MATCH(BD22,T_Equipos[NombreEquipo],0)))&amp;")")</f>
        <v>P.1 (4)</v>
      </c>
      <c r="CF22" s="754">
        <f t="shared" ca="1" si="43"/>
        <v>0</v>
      </c>
      <c r="CG22" s="754">
        <f ca="1">CD22+COUNTIFS($CE$6:$CE$53,CE22,$CF$6:CF$53,"&gt;"&amp;CF22,$BC$6:$BC$53,INDEX(T_Equipos[Grupo],MATCH(BD22,T_Equipos[NombreEquipo],0)))</f>
        <v>1</v>
      </c>
      <c r="CH22" s="753" t="str">
        <f ca="1">IF(COUNTIFS($CG$6:$CG$53,CG22,$BC$6:$BC$53,INDEX(T_Equipos[Grupo],MATCH(BD22,T_Equipos[NombreEquipo],0)))=1,"-","P."&amp;CG22&amp;" ("&amp;COUNTIFS($CG$6:$CG$53,CG22,$BC$6:$BC$53,INDEX(T_Equipos[Grupo],MATCH(BD22,T_Equipos[NombreEquipo],0)))&amp;")")</f>
        <v>P.1 (4)</v>
      </c>
      <c r="CI22" s="754">
        <f t="shared" ca="1" si="44"/>
        <v>0</v>
      </c>
      <c r="CJ22" s="754">
        <f t="shared" ca="1" si="45"/>
        <v>0</v>
      </c>
      <c r="CK22" s="754">
        <f t="shared" ca="1" si="46"/>
        <v>0</v>
      </c>
      <c r="CL22" s="754">
        <f t="shared" ca="1" si="47"/>
        <v>0</v>
      </c>
      <c r="CM22" s="754">
        <f ca="1">CG22+COUNTIFS($CH$6:$CH$53,CH22,$CL$6:CL$53,"&gt;"&amp;CL22,$BC$6:$BC$53,INDEX(T_Equipos[Grupo],MATCH(BD22,T_Equipos[NombreEquipo],0)))</f>
        <v>1</v>
      </c>
      <c r="CN22" s="753" t="str">
        <f ca="1">IF(COUNTIFS($CM$6:$CM$53,CM22,$BC$6:$BC$53,INDEX(T_Equipos[Grupo],MATCH(BD22,T_Equipos[NombreEquipo],0)))=1,"-","P."&amp;CM22&amp;" ("&amp;COUNTIFS($CM$6:$CM$53,CM22,$BC$6:$BC$53,INDEX(T_Equipos[Grupo],MATCH(BD22,T_Equipos[NombreEquipo],0)))&amp;")")</f>
        <v>P.1 (4)</v>
      </c>
      <c r="CO22" s="754">
        <f t="shared" ca="1" si="48"/>
        <v>0</v>
      </c>
      <c r="CP22" s="754">
        <f t="shared" ca="1" si="49"/>
        <v>0</v>
      </c>
      <c r="CQ22" s="754">
        <f t="shared" ca="1" si="50"/>
        <v>0</v>
      </c>
      <c r="CR22" s="754">
        <f ca="1">CM22+COUNTIFS($CN$6:$CN$53,CN22,$CQ$6:CQ$53,"&gt;"&amp;CQ22,$BC$6:$BC$53,INDEX(T_Equipos[Grupo],MATCH(BD22,T_Equipos[NombreEquipo],0)))</f>
        <v>1</v>
      </c>
      <c r="CS22" s="753" t="str">
        <f ca="1">IF(COUNTIFS($CR$6:$CR$53,CR22,$BC$6:$BC$53,INDEX(T_Equipos[Grupo],MATCH(BD22,T_Equipos[NombreEquipo],0)))=1,"-","P."&amp;CR22&amp;" ("&amp;COUNTIFS($CR$6:$CR$53,CR22,$BC$6:$BC$53,INDEX(T_Equipos[Grupo],MATCH(BD22,T_Equipos[NombreEquipo],0)))&amp;")")</f>
        <v>P.1 (4)</v>
      </c>
      <c r="CT22" s="754">
        <f t="shared" ca="1" si="51"/>
        <v>0</v>
      </c>
      <c r="CU22" s="754">
        <f ca="1">CR22+COUNTIFS($CS$6:$CS$53,CS22,$CT$6:CT$53,"&gt;"&amp;CT22,$BC$6:$BC$53,INDEX(T_Equipos[Grupo],MATCH(BD22,T_Equipos[NombreEquipo],0)))</f>
        <v>1</v>
      </c>
      <c r="CV22" s="753" t="str">
        <f ca="1">IF(COUNTIFS($CU$6:$CU$53,CU22,$BC$6:$BC$53,INDEX(T_Equipos[Grupo],MATCH(BD22,T_Equipos[NombreEquipo],0)))=1,"-","P."&amp;CU22&amp;" ("&amp;COUNTIFS($CU$6:$CU$53,CU22,$BC$6:$BC$53,INDEX(T_Equipos[Grupo],MATCH(BD22,T_Equipos[NombreEquipo],0)))&amp;")")</f>
        <v>P.1 (4)</v>
      </c>
      <c r="CW22" s="753">
        <f t="shared" ca="1" si="30"/>
        <v>0</v>
      </c>
      <c r="CX22" s="753">
        <f ca="1">CU22+COUNTIFS($CV$6:$CV$53,CV22,$CW$6:CW$53,"&gt;"&amp;CW22,$BC$6:$BC$53,INDEX(T_Equipos[Grupo],MATCH(BD22,T_Equipos[NombreEquipo],0)))</f>
        <v>1</v>
      </c>
      <c r="CY22" s="753" t="str">
        <f ca="1">IF(COUNTIFS($CX$6:$CX$53,CX22,$BC$6:$BC$53,INDEX(T_Equipos[Grupo],MATCH(BD22,T_Equipos[NombreEquipo],0)))=1,"-","P."&amp;CX22&amp;" ("&amp;COUNTIFS($CX$6:$CX$53,CX22,$BC$6:$BC$53,INDEX(T_Equipos[Grupo],MATCH(BD22,T_Equipos[NombreEquipo],0)))&amp;")")</f>
        <v>P.1 (4)</v>
      </c>
      <c r="CZ22" s="753">
        <f t="shared" ca="1" si="31"/>
        <v>0</v>
      </c>
      <c r="DA22" s="754">
        <f ca="1">CX22+COUNTIFS($CY$6:$CY$53,CY22,$CZ$6:CZ$53,"&gt;"&amp;CZ22,$BC$6:$BC$53,INDEX(T_Equipos[Grupo],MATCH(BD22,T_Equipos[NombreEquipo],0)))</f>
        <v>1</v>
      </c>
      <c r="DB22" s="753" t="str">
        <f ca="1">IF(COUNTIFS($DA$6:$DA$53,DA22,$BC$6:$BC$53,INDEX(T_Equipos[Grupo],MATCH(BD22,T_Equipos[NombreEquipo],0)))=1,"-","P."&amp;DA22&amp;" ("&amp;COUNTIFS($DA$6:$DA$53,DA22,$BC$6:$BC$53,INDEX(T_Equipos[Grupo],MATCH(BD22,T_Equipos[NombreEquipo],0)))&amp;")")</f>
        <v>P.1 (4)</v>
      </c>
      <c r="DC22" s="752">
        <f ca="1">IF(DB22="-","-",COUNTIFS(T_Equipos[Rank],"&lt;"&amp;INDEX(T_Equipos[Rank],MATCH(BD22,T_Equipos[NombreEquipo],0)),$BC$6:$BC$53,INDEX(T_Equipos[Grupo],MATCH(BD22,T_Equipos[NombreEquipo],0)))+1)</f>
        <v>1</v>
      </c>
      <c r="DD22" s="752">
        <f ca="1">DA22+COUNTIFS($DB$6:$DB$53,DB22,$DC$6:DC$53,"&lt;"&amp;DC22,$BC$6:$BC$53,INDEX(T_Equipos[Grupo],MATCH(BD22,T_Equipos[NombreEquipo],0)))</f>
        <v>1</v>
      </c>
      <c r="DE22" s="752"/>
      <c r="DF22" s="752">
        <f t="shared" ca="1" si="52"/>
        <v>1</v>
      </c>
      <c r="DG22" s="752">
        <f ca="1">IF(DB22="-","-",COUNTIFS(DF$6:DF$53,"&lt;"&amp;DF22,$BC$6:$BC$53,INDEX(T_Equipos[Grupo],MATCH(BD22,T_Equipos[NombreEquipo],0))))</f>
        <v>0</v>
      </c>
      <c r="DH22" s="752">
        <f ca="1">DA22+COUNTIFS(DB$6:DB$53,DB22,DG$6:DG$53,"&lt;"&amp;DG22,$BC$6:$BC$53,INDEX(T_Equipos[Grupo],MATCH(BD22,T_Equipos[NombreEquipo],0)))</f>
        <v>1</v>
      </c>
      <c r="DI22" s="740"/>
      <c r="DJ22" s="740">
        <f t="shared" ca="1" si="53"/>
        <v>1</v>
      </c>
      <c r="DK22" s="740">
        <f t="shared" ca="1" si="24"/>
        <v>0</v>
      </c>
      <c r="DL22" s="740">
        <f t="shared" ca="1" si="33"/>
        <v>1</v>
      </c>
      <c r="DM22" s="734" t="str">
        <f t="shared" ca="1" si="34"/>
        <v>1.1</v>
      </c>
      <c r="DN22" s="740" cm="1">
        <f t="array" aca="1" ref="DN22" ca="1">OFFSET(Horarios!$P$3,DJ22-1,0,DL22,1)</f>
        <v>1</v>
      </c>
      <c r="DO22" s="740"/>
      <c r="DP22" s="740" t="s">
        <v>661</v>
      </c>
      <c r="DQ22" s="740" t="str">
        <f t="shared" ca="1" si="35"/>
        <v>Alemania</v>
      </c>
      <c r="DR22" s="740"/>
      <c r="DS22" s="740"/>
      <c r="DT22" s="740" t="str">
        <f t="shared" ca="1" si="15"/>
        <v>Escocia-Marruecos</v>
      </c>
      <c r="DU22" s="740"/>
      <c r="DV22" s="740"/>
      <c r="DW22" s="8"/>
    </row>
    <row r="23" spans="1:127" ht="15.95" customHeight="1">
      <c r="A23" s="741" t="str">
        <f ca="1">+Equipos!B12</f>
        <v>Haití</v>
      </c>
      <c r="B23" s="738"/>
      <c r="C23" s="740"/>
      <c r="D23" s="740" t="str">
        <f t="shared" si="73"/>
        <v>Pendiente</v>
      </c>
      <c r="E23" s="740" t="str">
        <f t="shared" si="74"/>
        <v>-</v>
      </c>
      <c r="F23" s="740" t="str">
        <f t="shared" si="75"/>
        <v>-</v>
      </c>
      <c r="G23" s="740"/>
      <c r="H23" s="740" t="str">
        <f t="shared" si="76"/>
        <v>-</v>
      </c>
      <c r="I23" s="740" t="str">
        <f t="shared" si="77"/>
        <v>-</v>
      </c>
      <c r="J23" s="740"/>
      <c r="K23" s="740" t="str">
        <f t="shared" si="78"/>
        <v>-</v>
      </c>
      <c r="L23" s="740" t="str">
        <f t="shared" si="79"/>
        <v>-</v>
      </c>
      <c r="M23" s="740"/>
      <c r="N23" s="740" t="str">
        <f t="shared" si="80"/>
        <v>-</v>
      </c>
      <c r="O23" s="740" t="str">
        <f t="shared" si="81"/>
        <v>-</v>
      </c>
      <c r="P23" s="740"/>
      <c r="Q23" s="740" t="str">
        <f t="shared" si="82"/>
        <v>-</v>
      </c>
      <c r="R23" s="740" t="str">
        <f t="shared" si="83"/>
        <v>-</v>
      </c>
      <c r="S23" s="740"/>
      <c r="T23" s="740" t="str">
        <f t="shared" si="84"/>
        <v>-</v>
      </c>
      <c r="U23" s="740" t="str">
        <f t="shared" si="85"/>
        <v>-</v>
      </c>
      <c r="V23" s="172"/>
      <c r="W23" s="892"/>
      <c r="X23" s="189">
        <f ca="1">Horarios!C23</f>
        <v>46192.854166666664</v>
      </c>
      <c r="Y23" s="190">
        <f ca="1">Horarios!C23</f>
        <v>46192.854166666664</v>
      </c>
      <c r="Z23" s="191" t="str">
        <f>$Z$6</f>
        <v>J2</v>
      </c>
      <c r="AA23" s="192" t="str">
        <f ca="1">A21</f>
        <v>Brasil</v>
      </c>
      <c r="AB23" s="477" t="str" cm="1">
        <f t="array" aca="1" ref="AB23" ca="1">Ver_flag_local</f>
        <v/>
      </c>
      <c r="AC23" s="193"/>
      <c r="AD23" s="194"/>
      <c r="AE23" s="482" t="str" cm="1">
        <f t="array" aca="1" ref="AE23" ca="1">Ver_flag_visit</f>
        <v/>
      </c>
      <c r="AF23" s="195" t="str">
        <f ca="1">A23</f>
        <v>Haití</v>
      </c>
      <c r="AG23" s="413">
        <f t="shared" si="86"/>
        <v>0</v>
      </c>
      <c r="AH23" s="196">
        <v>29</v>
      </c>
      <c r="AI23" s="19" t="str">
        <f t="shared" ref="AI23:AI25" si="91">AJ23&amp;$B$20</f>
        <v>2C</v>
      </c>
      <c r="AJ23" s="221">
        <v>2</v>
      </c>
      <c r="AK23" s="485"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0"/>
      <c r="BC23" s="752" t="str">
        <f ca="1">+INDEX(T_Equipos[Grupo],MATCH(WORLDCUP!BD23,T_Equipos[NombreEquipo],0))</f>
        <v>E</v>
      </c>
      <c r="BD23" s="740" t="str">
        <f ca="1">+Equipos!B19</f>
        <v>Curazao</v>
      </c>
      <c r="BE23" s="744">
        <f t="shared" ca="1" si="25"/>
        <v>0</v>
      </c>
      <c r="BF23" s="744">
        <f t="shared" ca="1" si="26"/>
        <v>0</v>
      </c>
      <c r="BG23" s="744">
        <f t="shared" ca="1" si="17"/>
        <v>0</v>
      </c>
      <c r="BH23" s="744">
        <f t="shared" ca="1" si="18"/>
        <v>0</v>
      </c>
      <c r="BI23" s="744">
        <f t="shared" ca="1" si="19"/>
        <v>0</v>
      </c>
      <c r="BJ23" s="744">
        <f t="shared" ca="1" si="20"/>
        <v>0</v>
      </c>
      <c r="BK23" s="744">
        <f t="shared" ca="1" si="21"/>
        <v>0</v>
      </c>
      <c r="BL23" s="744">
        <f t="shared" ca="1" si="27"/>
        <v>0</v>
      </c>
      <c r="BM23" s="744" t="str">
        <f t="shared" ca="1" si="22"/>
        <v>2E</v>
      </c>
      <c r="BN23" s="744" t="str">
        <f t="shared" ca="1" si="23"/>
        <v>2E</v>
      </c>
      <c r="BO23" s="753">
        <f t="shared" ca="1" si="28"/>
        <v>0</v>
      </c>
      <c r="BP23" s="753">
        <f ca="1">COUNTIFS($BO$6:$BO$53,"&gt;"&amp;BO23,$BC$6:$BC$53,INDEX(T_Equipos[Grupo],MATCH(BD23,T_Equipos[NombreEquipo],0)))+1</f>
        <v>1</v>
      </c>
      <c r="BQ23" s="753" t="str">
        <f ca="1">IF(COUNTIFS($BP$6:$BP$53,BP23,$BC$6:$BC$53,INDEX(T_Equipos[Grupo],MATCH(BD23,T_Equipos[NombreEquipo],0)))=1,"-","P."&amp;BP23&amp;" ("&amp;COUNTIFS($BP$6:$BP$53,BP23,$BC$6:$BC$53,INDEX(T_Equipos[Grupo],MATCH(BD23,T_Equipos[NombreEquipo],0)))&amp;")")</f>
        <v>P.1 (4)</v>
      </c>
      <c r="BR23" s="753">
        <f t="shared" ca="1" si="29"/>
        <v>0</v>
      </c>
      <c r="BS23" s="753">
        <f ca="1">BP23+COUNTIFS($BQ$6:$BQ$53,BQ23,$BR$6:BR$53,"&gt;"&amp;BR23,$BC$6:$BC$53,INDEX(T_Equipos[Grupo],MATCH(BD23,T_Equipos[NombreEquipo],0)))</f>
        <v>1</v>
      </c>
      <c r="BT23" s="753" t="str">
        <f ca="1">IF(COUNTIFS($BS$6:$BS$53,BS23,$BC$6:$BC$53,INDEX(T_Equipos[Grupo],MATCH(BD23,T_Equipos[NombreEquipo],0)))=1,"-","P."&amp;BS23&amp;" ("&amp;COUNTIFS($BS$6:$BS$53,BS23,$BC$6:$BC$53,INDEX(T_Equipos[Grupo],MATCH(BD23,T_Equipos[NombreEquipo],0)))&amp;")")</f>
        <v>P.1 (4)</v>
      </c>
      <c r="BU23" s="754">
        <f t="shared" ca="1" si="36"/>
        <v>0</v>
      </c>
      <c r="BV23" s="754">
        <f t="shared" ca="1" si="37"/>
        <v>0</v>
      </c>
      <c r="BW23" s="754">
        <f t="shared" ca="1" si="38"/>
        <v>0</v>
      </c>
      <c r="BX23" s="754">
        <f t="shared" ca="1" si="39"/>
        <v>0</v>
      </c>
      <c r="BY23" s="754">
        <f ca="1">BS23+COUNTIFS($BT$6:$BT$53,BT23,$BX$6:BX$53,"&gt;"&amp;BX23,$BC$6:$BC$53,INDEX(T_Equipos[Grupo],MATCH(BD23,T_Equipos[NombreEquipo],0)))</f>
        <v>1</v>
      </c>
      <c r="BZ23" s="753" t="str">
        <f ca="1">IF(COUNTIFS($BY$6:$BY$53,BY23,$BC$6:$BC$53,INDEX(T_Equipos[Grupo],MATCH(BD23,T_Equipos[NombreEquipo],0)))=1,"-","P."&amp;BY23&amp;" ("&amp;COUNTIFS($BY$6:$BY$53,BY23,$BC$6:$BC$53,INDEX(T_Equipos[Grupo],MATCH(BD23,T_Equipos[NombreEquipo],0)))&amp;")")</f>
        <v>P.1 (4)</v>
      </c>
      <c r="CA23" s="754">
        <f t="shared" ca="1" si="40"/>
        <v>0</v>
      </c>
      <c r="CB23" s="754">
        <f t="shared" ca="1" si="41"/>
        <v>0</v>
      </c>
      <c r="CC23" s="754">
        <f t="shared" ca="1" si="42"/>
        <v>0</v>
      </c>
      <c r="CD23" s="754">
        <f ca="1">BY23+COUNTIFS($BZ$6:$BZ$53,BZ23,$CC$6:CC$53,"&gt;"&amp;CC23,$BC$6:$BC$53,INDEX(T_Equipos[Grupo],MATCH(BD23,T_Equipos[NombreEquipo],0)))</f>
        <v>1</v>
      </c>
      <c r="CE23" s="753" t="str">
        <f ca="1">IF(COUNTIFS($CD$6:$CD$53,CD23,$BC$6:$BC$53,INDEX(T_Equipos[Grupo],MATCH(BD23,T_Equipos[NombreEquipo],0)))=1,"-","P."&amp;CD23&amp;" ("&amp;COUNTIFS($CD$6:$CD$53,CD23,$BC$6:$BC$53,INDEX(T_Equipos[Grupo],MATCH(BD23,T_Equipos[NombreEquipo],0)))&amp;")")</f>
        <v>P.1 (4)</v>
      </c>
      <c r="CF23" s="754">
        <f t="shared" ca="1" si="43"/>
        <v>0</v>
      </c>
      <c r="CG23" s="754">
        <f ca="1">CD23+COUNTIFS($CE$6:$CE$53,CE23,$CF$6:CF$53,"&gt;"&amp;CF23,$BC$6:$BC$53,INDEX(T_Equipos[Grupo],MATCH(BD23,T_Equipos[NombreEquipo],0)))</f>
        <v>1</v>
      </c>
      <c r="CH23" s="753" t="str">
        <f ca="1">IF(COUNTIFS($CG$6:$CG$53,CG23,$BC$6:$BC$53,INDEX(T_Equipos[Grupo],MATCH(BD23,T_Equipos[NombreEquipo],0)))=1,"-","P."&amp;CG23&amp;" ("&amp;COUNTIFS($CG$6:$CG$53,CG23,$BC$6:$BC$53,INDEX(T_Equipos[Grupo],MATCH(BD23,T_Equipos[NombreEquipo],0)))&amp;")")</f>
        <v>P.1 (4)</v>
      </c>
      <c r="CI23" s="754">
        <f t="shared" ca="1" si="44"/>
        <v>0</v>
      </c>
      <c r="CJ23" s="754">
        <f t="shared" ca="1" si="45"/>
        <v>0</v>
      </c>
      <c r="CK23" s="754">
        <f t="shared" ca="1" si="46"/>
        <v>0</v>
      </c>
      <c r="CL23" s="754">
        <f t="shared" ca="1" si="47"/>
        <v>0</v>
      </c>
      <c r="CM23" s="754">
        <f ca="1">CG23+COUNTIFS($CH$6:$CH$53,CH23,$CL$6:CL$53,"&gt;"&amp;CL23,$BC$6:$BC$53,INDEX(T_Equipos[Grupo],MATCH(BD23,T_Equipos[NombreEquipo],0)))</f>
        <v>1</v>
      </c>
      <c r="CN23" s="753" t="str">
        <f ca="1">IF(COUNTIFS($CM$6:$CM$53,CM23,$BC$6:$BC$53,INDEX(T_Equipos[Grupo],MATCH(BD23,T_Equipos[NombreEquipo],0)))=1,"-","P."&amp;CM23&amp;" ("&amp;COUNTIFS($CM$6:$CM$53,CM23,$BC$6:$BC$53,INDEX(T_Equipos[Grupo],MATCH(BD23,T_Equipos[NombreEquipo],0)))&amp;")")</f>
        <v>P.1 (4)</v>
      </c>
      <c r="CO23" s="754">
        <f t="shared" ca="1" si="48"/>
        <v>0</v>
      </c>
      <c r="CP23" s="754">
        <f t="shared" ca="1" si="49"/>
        <v>0</v>
      </c>
      <c r="CQ23" s="754">
        <f t="shared" ca="1" si="50"/>
        <v>0</v>
      </c>
      <c r="CR23" s="754">
        <f ca="1">CM23+COUNTIFS($CN$6:$CN$53,CN23,$CQ$6:CQ$53,"&gt;"&amp;CQ23,$BC$6:$BC$53,INDEX(T_Equipos[Grupo],MATCH(BD23,T_Equipos[NombreEquipo],0)))</f>
        <v>1</v>
      </c>
      <c r="CS23" s="753" t="str">
        <f ca="1">IF(COUNTIFS($CR$6:$CR$53,CR23,$BC$6:$BC$53,INDEX(T_Equipos[Grupo],MATCH(BD23,T_Equipos[NombreEquipo],0)))=1,"-","P."&amp;CR23&amp;" ("&amp;COUNTIFS($CR$6:$CR$53,CR23,$BC$6:$BC$53,INDEX(T_Equipos[Grupo],MATCH(BD23,T_Equipos[NombreEquipo],0)))&amp;")")</f>
        <v>P.1 (4)</v>
      </c>
      <c r="CT23" s="754">
        <f t="shared" ca="1" si="51"/>
        <v>0</v>
      </c>
      <c r="CU23" s="754">
        <f ca="1">CR23+COUNTIFS($CS$6:$CS$53,CS23,$CT$6:CT$53,"&gt;"&amp;CT23,$BC$6:$BC$53,INDEX(T_Equipos[Grupo],MATCH(BD23,T_Equipos[NombreEquipo],0)))</f>
        <v>1</v>
      </c>
      <c r="CV23" s="753" t="str">
        <f ca="1">IF(COUNTIFS($CU$6:$CU$53,CU23,$BC$6:$BC$53,INDEX(T_Equipos[Grupo],MATCH(BD23,T_Equipos[NombreEquipo],0)))=1,"-","P."&amp;CU23&amp;" ("&amp;COUNTIFS($CU$6:$CU$53,CU23,$BC$6:$BC$53,INDEX(T_Equipos[Grupo],MATCH(BD23,T_Equipos[NombreEquipo],0)))&amp;")")</f>
        <v>P.1 (4)</v>
      </c>
      <c r="CW23" s="753">
        <f t="shared" ca="1" si="30"/>
        <v>0</v>
      </c>
      <c r="CX23" s="753">
        <f ca="1">CU23+COUNTIFS($CV$6:$CV$53,CV23,$CW$6:CW$53,"&gt;"&amp;CW23,$BC$6:$BC$53,INDEX(T_Equipos[Grupo],MATCH(BD23,T_Equipos[NombreEquipo],0)))</f>
        <v>1</v>
      </c>
      <c r="CY23" s="753" t="str">
        <f ca="1">IF(COUNTIFS($CX$6:$CX$53,CX23,$BC$6:$BC$53,INDEX(T_Equipos[Grupo],MATCH(BD23,T_Equipos[NombreEquipo],0)))=1,"-","P."&amp;CX23&amp;" ("&amp;COUNTIFS($CX$6:$CX$53,CX23,$BC$6:$BC$53,INDEX(T_Equipos[Grupo],MATCH(BD23,T_Equipos[NombreEquipo],0)))&amp;")")</f>
        <v>P.1 (4)</v>
      </c>
      <c r="CZ23" s="753">
        <f t="shared" ca="1" si="31"/>
        <v>0</v>
      </c>
      <c r="DA23" s="754">
        <f ca="1">CX23+COUNTIFS($CY$6:$CY$53,CY23,$CZ$6:CZ$53,"&gt;"&amp;CZ23,$BC$6:$BC$53,INDEX(T_Equipos[Grupo],MATCH(BD23,T_Equipos[NombreEquipo],0)))</f>
        <v>1</v>
      </c>
      <c r="DB23" s="753" t="str">
        <f ca="1">IF(COUNTIFS($DA$6:$DA$53,DA23,$BC$6:$BC$53,INDEX(T_Equipos[Grupo],MATCH(BD23,T_Equipos[NombreEquipo],0)))=1,"-","P."&amp;DA23&amp;" ("&amp;COUNTIFS($DA$6:$DA$53,DA23,$BC$6:$BC$53,INDEX(T_Equipos[Grupo],MATCH(BD23,T_Equipos[NombreEquipo],0)))&amp;")")</f>
        <v>P.1 (4)</v>
      </c>
      <c r="DC23" s="752">
        <f ca="1">IF(DB23="-","-",COUNTIFS(T_Equipos[Rank],"&lt;"&amp;INDEX(T_Equipos[Rank],MATCH(BD23,T_Equipos[NombreEquipo],0)),$BC$6:$BC$53,INDEX(T_Equipos[Grupo],MATCH(BD23,T_Equipos[NombreEquipo],0)))+1)</f>
        <v>2</v>
      </c>
      <c r="DD23" s="752">
        <f ca="1">DA23+COUNTIFS($DB$6:$DB$53,DB23,$DC$6:DC$53,"&lt;"&amp;DC23,$BC$6:$BC$53,INDEX(T_Equipos[Grupo],MATCH(BD23,T_Equipos[NombreEquipo],0)))</f>
        <v>2</v>
      </c>
      <c r="DE23" s="752"/>
      <c r="DF23" s="752">
        <f t="shared" ca="1" si="52"/>
        <v>2</v>
      </c>
      <c r="DG23" s="752">
        <f ca="1">IF(DB23="-","-",COUNTIFS(DF$6:DF$53,"&lt;"&amp;DF23,$BC$6:$BC$53,INDEX(T_Equipos[Grupo],MATCH(BD23,T_Equipos[NombreEquipo],0))))</f>
        <v>1</v>
      </c>
      <c r="DH23" s="752">
        <f ca="1">DA23+COUNTIFS(DB$6:DB$53,DB23,DG$6:DG$53,"&lt;"&amp;DG23,$BC$6:$BC$53,INDEX(T_Equipos[Grupo],MATCH(BD23,T_Equipos[NombreEquipo],0)))</f>
        <v>2</v>
      </c>
      <c r="DI23" s="740"/>
      <c r="DJ23" s="740">
        <f t="shared" ca="1" si="53"/>
        <v>1</v>
      </c>
      <c r="DK23" s="740">
        <f t="shared" ca="1" si="24"/>
        <v>0</v>
      </c>
      <c r="DL23" s="740">
        <f t="shared" ca="1" si="33"/>
        <v>1</v>
      </c>
      <c r="DM23" s="734" t="str">
        <f t="shared" ca="1" si="34"/>
        <v>1.1</v>
      </c>
      <c r="DN23" s="740" cm="1">
        <f t="array" aca="1" ref="DN23" ca="1">OFFSET(Horarios!$P$3,DJ23-1,0,DL23,1)</f>
        <v>1</v>
      </c>
      <c r="DO23" s="740"/>
      <c r="DP23" s="740" t="s">
        <v>662</v>
      </c>
      <c r="DQ23" s="740" t="str">
        <f t="shared" ca="1" si="35"/>
        <v>Curazao</v>
      </c>
      <c r="DR23" s="740"/>
      <c r="DS23" s="740"/>
      <c r="DT23" s="740" t="str">
        <f t="shared" ca="1" si="15"/>
        <v>Brasil-Haití</v>
      </c>
      <c r="DU23" s="740"/>
      <c r="DV23" s="740"/>
      <c r="DW23" s="8"/>
    </row>
    <row r="24" spans="1:127" ht="15.95" customHeight="1">
      <c r="A24" s="741" t="str">
        <f ca="1">+Equipos!B13</f>
        <v>Escocia</v>
      </c>
      <c r="B24" s="738"/>
      <c r="C24" s="740"/>
      <c r="D24" s="740" t="str">
        <f t="shared" si="73"/>
        <v>Pendiente</v>
      </c>
      <c r="E24" s="740" t="str">
        <f t="shared" si="74"/>
        <v>-</v>
      </c>
      <c r="F24" s="740" t="str">
        <f t="shared" si="75"/>
        <v>-</v>
      </c>
      <c r="G24" s="740"/>
      <c r="H24" s="740" t="str">
        <f t="shared" si="76"/>
        <v>-</v>
      </c>
      <c r="I24" s="740" t="str">
        <f t="shared" si="77"/>
        <v>-</v>
      </c>
      <c r="J24" s="740"/>
      <c r="K24" s="740" t="str">
        <f t="shared" si="78"/>
        <v>-</v>
      </c>
      <c r="L24" s="740" t="str">
        <f t="shared" si="79"/>
        <v>-</v>
      </c>
      <c r="M24" s="740"/>
      <c r="N24" s="740" t="str">
        <f t="shared" si="80"/>
        <v>-</v>
      </c>
      <c r="O24" s="740" t="str">
        <f t="shared" si="81"/>
        <v>-</v>
      </c>
      <c r="P24" s="740"/>
      <c r="Q24" s="740" t="str">
        <f t="shared" si="82"/>
        <v>-</v>
      </c>
      <c r="R24" s="740" t="str">
        <f t="shared" si="83"/>
        <v>-</v>
      </c>
      <c r="S24" s="740"/>
      <c r="T24" s="740" t="str">
        <f t="shared" si="84"/>
        <v>-</v>
      </c>
      <c r="U24" s="740" t="str">
        <f t="shared" si="85"/>
        <v>-</v>
      </c>
      <c r="V24" s="172"/>
      <c r="W24" s="892"/>
      <c r="X24" s="189">
        <f ca="1">Horarios!C24</f>
        <v>46197.75</v>
      </c>
      <c r="Y24" s="190">
        <f ca="1">Horarios!C24</f>
        <v>46197.75</v>
      </c>
      <c r="Z24" s="191" t="str">
        <f>$Z$8</f>
        <v>J3</v>
      </c>
      <c r="AA24" s="192" t="str">
        <f ca="1">A24</f>
        <v>Escocia</v>
      </c>
      <c r="AB24" s="477" t="str" cm="1">
        <f t="array" aca="1" ref="AB24" ca="1">Ver_flag_local</f>
        <v/>
      </c>
      <c r="AC24" s="193"/>
      <c r="AD24" s="194"/>
      <c r="AE24" s="482" t="str" cm="1">
        <f t="array" aca="1" ref="AE24" ca="1">Ver_flag_visit</f>
        <v/>
      </c>
      <c r="AF24" s="195" t="str">
        <f ca="1">A21</f>
        <v>Brasil</v>
      </c>
      <c r="AG24" s="413">
        <f t="shared" si="86"/>
        <v>0</v>
      </c>
      <c r="AH24" s="196">
        <v>49</v>
      </c>
      <c r="AI24" s="19" t="str">
        <f t="shared" si="91"/>
        <v>3C</v>
      </c>
      <c r="AJ24" s="221">
        <v>3</v>
      </c>
      <c r="AK24" s="485"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0"/>
      <c r="BC24" s="752" t="str">
        <f ca="1">+INDEX(T_Equipos[Grupo],MATCH(WORLDCUP!BD24,T_Equipos[NombreEquipo],0))</f>
        <v>E</v>
      </c>
      <c r="BD24" s="740" t="str">
        <f ca="1">+Equipos!B20</f>
        <v>Costa de Marfil</v>
      </c>
      <c r="BE24" s="744">
        <f t="shared" ca="1" si="25"/>
        <v>0</v>
      </c>
      <c r="BF24" s="744">
        <f t="shared" ca="1" si="26"/>
        <v>0</v>
      </c>
      <c r="BG24" s="744">
        <f t="shared" ca="1" si="17"/>
        <v>0</v>
      </c>
      <c r="BH24" s="744">
        <f t="shared" ca="1" si="18"/>
        <v>0</v>
      </c>
      <c r="BI24" s="744">
        <f t="shared" ca="1" si="19"/>
        <v>0</v>
      </c>
      <c r="BJ24" s="744">
        <f t="shared" ca="1" si="20"/>
        <v>0</v>
      </c>
      <c r="BK24" s="744">
        <f t="shared" ca="1" si="21"/>
        <v>0</v>
      </c>
      <c r="BL24" s="744">
        <f t="shared" ca="1" si="27"/>
        <v>0</v>
      </c>
      <c r="BM24" s="744" t="str">
        <f t="shared" ca="1" si="22"/>
        <v>3E</v>
      </c>
      <c r="BN24" s="744" t="str">
        <f t="shared" ca="1" si="23"/>
        <v>3E</v>
      </c>
      <c r="BO24" s="753">
        <f t="shared" ca="1" si="28"/>
        <v>0</v>
      </c>
      <c r="BP24" s="753">
        <f ca="1">COUNTIFS($BO$6:$BO$53,"&gt;"&amp;BO24,$BC$6:$BC$53,INDEX(T_Equipos[Grupo],MATCH(BD24,T_Equipos[NombreEquipo],0)))+1</f>
        <v>1</v>
      </c>
      <c r="BQ24" s="753" t="str">
        <f ca="1">IF(COUNTIFS($BP$6:$BP$53,BP24,$BC$6:$BC$53,INDEX(T_Equipos[Grupo],MATCH(BD24,T_Equipos[NombreEquipo],0)))=1,"-","P."&amp;BP24&amp;" ("&amp;COUNTIFS($BP$6:$BP$53,BP24,$BC$6:$BC$53,INDEX(T_Equipos[Grupo],MATCH(BD24,T_Equipos[NombreEquipo],0)))&amp;")")</f>
        <v>P.1 (4)</v>
      </c>
      <c r="BR24" s="753">
        <f t="shared" ca="1" si="29"/>
        <v>0</v>
      </c>
      <c r="BS24" s="753">
        <f ca="1">BP24+COUNTIFS($BQ$6:$BQ$53,BQ24,$BR$6:BR$53,"&gt;"&amp;BR24,$BC$6:$BC$53,INDEX(T_Equipos[Grupo],MATCH(BD24,T_Equipos[NombreEquipo],0)))</f>
        <v>1</v>
      </c>
      <c r="BT24" s="753" t="str">
        <f ca="1">IF(COUNTIFS($BS$6:$BS$53,BS24,$BC$6:$BC$53,INDEX(T_Equipos[Grupo],MATCH(BD24,T_Equipos[NombreEquipo],0)))=1,"-","P."&amp;BS24&amp;" ("&amp;COUNTIFS($BS$6:$BS$53,BS24,$BC$6:$BC$53,INDEX(T_Equipos[Grupo],MATCH(BD24,T_Equipos[NombreEquipo],0)))&amp;")")</f>
        <v>P.1 (4)</v>
      </c>
      <c r="BU24" s="754">
        <f t="shared" ca="1" si="36"/>
        <v>0</v>
      </c>
      <c r="BV24" s="754">
        <f t="shared" ca="1" si="37"/>
        <v>0</v>
      </c>
      <c r="BW24" s="754">
        <f t="shared" ca="1" si="38"/>
        <v>0</v>
      </c>
      <c r="BX24" s="754">
        <f t="shared" ca="1" si="39"/>
        <v>0</v>
      </c>
      <c r="BY24" s="754">
        <f ca="1">BS24+COUNTIFS($BT$6:$BT$53,BT24,$BX$6:BX$53,"&gt;"&amp;BX24,$BC$6:$BC$53,INDEX(T_Equipos[Grupo],MATCH(BD24,T_Equipos[NombreEquipo],0)))</f>
        <v>1</v>
      </c>
      <c r="BZ24" s="753" t="str">
        <f ca="1">IF(COUNTIFS($BY$6:$BY$53,BY24,$BC$6:$BC$53,INDEX(T_Equipos[Grupo],MATCH(BD24,T_Equipos[NombreEquipo],0)))=1,"-","P."&amp;BY24&amp;" ("&amp;COUNTIFS($BY$6:$BY$53,BY24,$BC$6:$BC$53,INDEX(T_Equipos[Grupo],MATCH(BD24,T_Equipos[NombreEquipo],0)))&amp;")")</f>
        <v>P.1 (4)</v>
      </c>
      <c r="CA24" s="754">
        <f t="shared" ca="1" si="40"/>
        <v>0</v>
      </c>
      <c r="CB24" s="754">
        <f t="shared" ca="1" si="41"/>
        <v>0</v>
      </c>
      <c r="CC24" s="754">
        <f t="shared" ca="1" si="42"/>
        <v>0</v>
      </c>
      <c r="CD24" s="754">
        <f ca="1">BY24+COUNTIFS($BZ$6:$BZ$53,BZ24,$CC$6:CC$53,"&gt;"&amp;CC24,$BC$6:$BC$53,INDEX(T_Equipos[Grupo],MATCH(BD24,T_Equipos[NombreEquipo],0)))</f>
        <v>1</v>
      </c>
      <c r="CE24" s="753" t="str">
        <f ca="1">IF(COUNTIFS($CD$6:$CD$53,CD24,$BC$6:$BC$53,INDEX(T_Equipos[Grupo],MATCH(BD24,T_Equipos[NombreEquipo],0)))=1,"-","P."&amp;CD24&amp;" ("&amp;COUNTIFS($CD$6:$CD$53,CD24,$BC$6:$BC$53,INDEX(T_Equipos[Grupo],MATCH(BD24,T_Equipos[NombreEquipo],0)))&amp;")")</f>
        <v>P.1 (4)</v>
      </c>
      <c r="CF24" s="754">
        <f t="shared" ca="1" si="43"/>
        <v>0</v>
      </c>
      <c r="CG24" s="754">
        <f ca="1">CD24+COUNTIFS($CE$6:$CE$53,CE24,$CF$6:CF$53,"&gt;"&amp;CF24,$BC$6:$BC$53,INDEX(T_Equipos[Grupo],MATCH(BD24,T_Equipos[NombreEquipo],0)))</f>
        <v>1</v>
      </c>
      <c r="CH24" s="753" t="str">
        <f ca="1">IF(COUNTIFS($CG$6:$CG$53,CG24,$BC$6:$BC$53,INDEX(T_Equipos[Grupo],MATCH(BD24,T_Equipos[NombreEquipo],0)))=1,"-","P."&amp;CG24&amp;" ("&amp;COUNTIFS($CG$6:$CG$53,CG24,$BC$6:$BC$53,INDEX(T_Equipos[Grupo],MATCH(BD24,T_Equipos[NombreEquipo],0)))&amp;")")</f>
        <v>P.1 (4)</v>
      </c>
      <c r="CI24" s="754">
        <f t="shared" ca="1" si="44"/>
        <v>0</v>
      </c>
      <c r="CJ24" s="754">
        <f t="shared" ca="1" si="45"/>
        <v>0</v>
      </c>
      <c r="CK24" s="754">
        <f t="shared" ca="1" si="46"/>
        <v>0</v>
      </c>
      <c r="CL24" s="754">
        <f t="shared" ca="1" si="47"/>
        <v>0</v>
      </c>
      <c r="CM24" s="754">
        <f ca="1">CG24+COUNTIFS($CH$6:$CH$53,CH24,$CL$6:CL$53,"&gt;"&amp;CL24,$BC$6:$BC$53,INDEX(T_Equipos[Grupo],MATCH(BD24,T_Equipos[NombreEquipo],0)))</f>
        <v>1</v>
      </c>
      <c r="CN24" s="753" t="str">
        <f ca="1">IF(COUNTIFS($CM$6:$CM$53,CM24,$BC$6:$BC$53,INDEX(T_Equipos[Grupo],MATCH(BD24,T_Equipos[NombreEquipo],0)))=1,"-","P."&amp;CM24&amp;" ("&amp;COUNTIFS($CM$6:$CM$53,CM24,$BC$6:$BC$53,INDEX(T_Equipos[Grupo],MATCH(BD24,T_Equipos[NombreEquipo],0)))&amp;")")</f>
        <v>P.1 (4)</v>
      </c>
      <c r="CO24" s="754">
        <f t="shared" ca="1" si="48"/>
        <v>0</v>
      </c>
      <c r="CP24" s="754">
        <f t="shared" ca="1" si="49"/>
        <v>0</v>
      </c>
      <c r="CQ24" s="754">
        <f t="shared" ca="1" si="50"/>
        <v>0</v>
      </c>
      <c r="CR24" s="754">
        <f ca="1">CM24+COUNTIFS($CN$6:$CN$53,CN24,$CQ$6:CQ$53,"&gt;"&amp;CQ24,$BC$6:$BC$53,INDEX(T_Equipos[Grupo],MATCH(BD24,T_Equipos[NombreEquipo],0)))</f>
        <v>1</v>
      </c>
      <c r="CS24" s="753" t="str">
        <f ca="1">IF(COUNTIFS($CR$6:$CR$53,CR24,$BC$6:$BC$53,INDEX(T_Equipos[Grupo],MATCH(BD24,T_Equipos[NombreEquipo],0)))=1,"-","P."&amp;CR24&amp;" ("&amp;COUNTIFS($CR$6:$CR$53,CR24,$BC$6:$BC$53,INDEX(T_Equipos[Grupo],MATCH(BD24,T_Equipos[NombreEquipo],0)))&amp;")")</f>
        <v>P.1 (4)</v>
      </c>
      <c r="CT24" s="754">
        <f t="shared" ca="1" si="51"/>
        <v>0</v>
      </c>
      <c r="CU24" s="754">
        <f ca="1">CR24+COUNTIFS($CS$6:$CS$53,CS24,$CT$6:CT$53,"&gt;"&amp;CT24,$BC$6:$BC$53,INDEX(T_Equipos[Grupo],MATCH(BD24,T_Equipos[NombreEquipo],0)))</f>
        <v>1</v>
      </c>
      <c r="CV24" s="753" t="str">
        <f ca="1">IF(COUNTIFS($CU$6:$CU$53,CU24,$BC$6:$BC$53,INDEX(T_Equipos[Grupo],MATCH(BD24,T_Equipos[NombreEquipo],0)))=1,"-","P."&amp;CU24&amp;" ("&amp;COUNTIFS($CU$6:$CU$53,CU24,$BC$6:$BC$53,INDEX(T_Equipos[Grupo],MATCH(BD24,T_Equipos[NombreEquipo],0)))&amp;")")</f>
        <v>P.1 (4)</v>
      </c>
      <c r="CW24" s="753">
        <f t="shared" ca="1" si="30"/>
        <v>0</v>
      </c>
      <c r="CX24" s="753">
        <f ca="1">CU24+COUNTIFS($CV$6:$CV$53,CV24,$CW$6:CW$53,"&gt;"&amp;CW24,$BC$6:$BC$53,INDEX(T_Equipos[Grupo],MATCH(BD24,T_Equipos[NombreEquipo],0)))</f>
        <v>1</v>
      </c>
      <c r="CY24" s="753" t="str">
        <f ca="1">IF(COUNTIFS($CX$6:$CX$53,CX24,$BC$6:$BC$53,INDEX(T_Equipos[Grupo],MATCH(BD24,T_Equipos[NombreEquipo],0)))=1,"-","P."&amp;CX24&amp;" ("&amp;COUNTIFS($CX$6:$CX$53,CX24,$BC$6:$BC$53,INDEX(T_Equipos[Grupo],MATCH(BD24,T_Equipos[NombreEquipo],0)))&amp;")")</f>
        <v>P.1 (4)</v>
      </c>
      <c r="CZ24" s="753">
        <f t="shared" ca="1" si="31"/>
        <v>0</v>
      </c>
      <c r="DA24" s="754">
        <f ca="1">CX24+COUNTIFS($CY$6:$CY$53,CY24,$CZ$6:CZ$53,"&gt;"&amp;CZ24,$BC$6:$BC$53,INDEX(T_Equipos[Grupo],MATCH(BD24,T_Equipos[NombreEquipo],0)))</f>
        <v>1</v>
      </c>
      <c r="DB24" s="753" t="str">
        <f ca="1">IF(COUNTIFS($DA$6:$DA$53,DA24,$BC$6:$BC$53,INDEX(T_Equipos[Grupo],MATCH(BD24,T_Equipos[NombreEquipo],0)))=1,"-","P."&amp;DA24&amp;" ("&amp;COUNTIFS($DA$6:$DA$53,DA24,$BC$6:$BC$53,INDEX(T_Equipos[Grupo],MATCH(BD24,T_Equipos[NombreEquipo],0)))&amp;")")</f>
        <v>P.1 (4)</v>
      </c>
      <c r="DC24" s="752">
        <f ca="1">IF(DB24="-","-",COUNTIFS(T_Equipos[Rank],"&lt;"&amp;INDEX(T_Equipos[Rank],MATCH(BD24,T_Equipos[NombreEquipo],0)),$BC$6:$BC$53,INDEX(T_Equipos[Grupo],MATCH(BD24,T_Equipos[NombreEquipo],0)))+1)</f>
        <v>3</v>
      </c>
      <c r="DD24" s="752">
        <f ca="1">DA24+COUNTIFS($DB$6:$DB$53,DB24,$DC$6:DC$53,"&lt;"&amp;DC24,$BC$6:$BC$53,INDEX(T_Equipos[Grupo],MATCH(BD24,T_Equipos[NombreEquipo],0)))</f>
        <v>3</v>
      </c>
      <c r="DE24" s="752"/>
      <c r="DF24" s="752">
        <f t="shared" ca="1" si="52"/>
        <v>3</v>
      </c>
      <c r="DG24" s="752">
        <f ca="1">IF(DB24="-","-",COUNTIFS(DF$6:DF$53,"&lt;"&amp;DF24,$BC$6:$BC$53,INDEX(T_Equipos[Grupo],MATCH(BD24,T_Equipos[NombreEquipo],0))))</f>
        <v>2</v>
      </c>
      <c r="DH24" s="752">
        <f ca="1">DA24+COUNTIFS(DB$6:DB$53,DB24,DG$6:DG$53,"&lt;"&amp;DG24,$BC$6:$BC$53,INDEX(T_Equipos[Grupo],MATCH(BD24,T_Equipos[NombreEquipo],0)))</f>
        <v>3</v>
      </c>
      <c r="DI24" s="740"/>
      <c r="DJ24" s="740">
        <f t="shared" ca="1" si="53"/>
        <v>1</v>
      </c>
      <c r="DK24" s="740">
        <f t="shared" ca="1" si="24"/>
        <v>0</v>
      </c>
      <c r="DL24" s="740">
        <f t="shared" ca="1" si="33"/>
        <v>1</v>
      </c>
      <c r="DM24" s="734" t="str">
        <f t="shared" ca="1" si="34"/>
        <v>1.1</v>
      </c>
      <c r="DN24" s="740" cm="1">
        <f t="array" aca="1" ref="DN24" ca="1">OFFSET(Horarios!$P$3,DJ24-1,0,DL24,1)</f>
        <v>1</v>
      </c>
      <c r="DO24" s="740"/>
      <c r="DP24" s="740" t="s">
        <v>93</v>
      </c>
      <c r="DQ24" s="740" t="str">
        <f t="shared" ca="1" si="35"/>
        <v>Costa de Marfil</v>
      </c>
      <c r="DR24" s="740"/>
      <c r="DS24" s="740"/>
      <c r="DT24" s="740" t="str">
        <f t="shared" ca="1" si="15"/>
        <v>Escocia-Brasil</v>
      </c>
      <c r="DU24" s="740"/>
      <c r="DV24" s="740"/>
      <c r="DW24" s="8"/>
    </row>
    <row r="25" spans="1:127" ht="17.100000000000001" customHeight="1" thickBot="1">
      <c r="A25" s="735"/>
      <c r="B25" s="735"/>
      <c r="C25" s="735"/>
      <c r="D25" s="740" t="str">
        <f t="shared" si="73"/>
        <v>Pendiente</v>
      </c>
      <c r="E25" s="740" t="str">
        <f t="shared" si="74"/>
        <v>-</v>
      </c>
      <c r="F25" s="740" t="str">
        <f t="shared" si="75"/>
        <v>-</v>
      </c>
      <c r="G25" s="740"/>
      <c r="H25" s="740" t="str">
        <f t="shared" si="76"/>
        <v>-</v>
      </c>
      <c r="I25" s="740" t="str">
        <f t="shared" si="77"/>
        <v>-</v>
      </c>
      <c r="J25" s="740"/>
      <c r="K25" s="740" t="str">
        <f t="shared" si="78"/>
        <v>-</v>
      </c>
      <c r="L25" s="740" t="str">
        <f t="shared" si="79"/>
        <v>-</v>
      </c>
      <c r="M25" s="740"/>
      <c r="N25" s="740" t="str">
        <f t="shared" si="80"/>
        <v>-</v>
      </c>
      <c r="O25" s="740" t="str">
        <f t="shared" si="81"/>
        <v>-</v>
      </c>
      <c r="P25" s="740"/>
      <c r="Q25" s="740" t="str">
        <f t="shared" si="82"/>
        <v>-</v>
      </c>
      <c r="R25" s="740" t="str">
        <f t="shared" si="83"/>
        <v>-</v>
      </c>
      <c r="S25" s="740"/>
      <c r="T25" s="740" t="str">
        <f t="shared" si="84"/>
        <v>-</v>
      </c>
      <c r="U25" s="740" t="str">
        <f t="shared" si="85"/>
        <v>-</v>
      </c>
      <c r="V25" s="172"/>
      <c r="W25" s="893"/>
      <c r="X25" s="228">
        <f ca="1">Horarios!C25</f>
        <v>46197.75</v>
      </c>
      <c r="Y25" s="229">
        <f ca="1">Horarios!C25</f>
        <v>46197.75</v>
      </c>
      <c r="Z25" s="230" t="str">
        <f>$Z$8</f>
        <v>J3</v>
      </c>
      <c r="AA25" s="231" t="str">
        <f ca="1">A22</f>
        <v>Marruecos</v>
      </c>
      <c r="AB25" s="478" t="str" cm="1">
        <f t="array" aca="1" ref="AB25" ca="1">Ver_flag_local</f>
        <v/>
      </c>
      <c r="AC25" s="232"/>
      <c r="AD25" s="233"/>
      <c r="AE25" s="483" t="str" cm="1">
        <f t="array" aca="1" ref="AE25" ca="1">Ver_flag_visit</f>
        <v/>
      </c>
      <c r="AF25" s="234" t="str">
        <f ca="1">A23</f>
        <v>Haití</v>
      </c>
      <c r="AG25" s="413">
        <f t="shared" si="86"/>
        <v>0</v>
      </c>
      <c r="AH25" s="196">
        <v>50</v>
      </c>
      <c r="AI25" s="19" t="str">
        <f t="shared" si="91"/>
        <v>4C</v>
      </c>
      <c r="AJ25" s="235">
        <v>4</v>
      </c>
      <c r="AK25" s="486"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0"/>
      <c r="BC25" s="752" t="str">
        <f ca="1">+INDEX(T_Equipos[Grupo],MATCH(WORLDCUP!BD25,T_Equipos[NombreEquipo],0))</f>
        <v>E</v>
      </c>
      <c r="BD25" s="740" t="str">
        <f ca="1">+Equipos!B21</f>
        <v>Ecuador</v>
      </c>
      <c r="BE25" s="744">
        <f t="shared" ca="1" si="25"/>
        <v>0</v>
      </c>
      <c r="BF25" s="744">
        <f t="shared" ca="1" si="26"/>
        <v>0</v>
      </c>
      <c r="BG25" s="744">
        <f t="shared" ca="1" si="17"/>
        <v>0</v>
      </c>
      <c r="BH25" s="744">
        <f t="shared" ca="1" si="18"/>
        <v>0</v>
      </c>
      <c r="BI25" s="744">
        <f t="shared" ca="1" si="19"/>
        <v>0</v>
      </c>
      <c r="BJ25" s="744">
        <f t="shared" ca="1" si="20"/>
        <v>0</v>
      </c>
      <c r="BK25" s="744">
        <f t="shared" ca="1" si="21"/>
        <v>0</v>
      </c>
      <c r="BL25" s="744">
        <f t="shared" ca="1" si="27"/>
        <v>0</v>
      </c>
      <c r="BM25" s="744" t="str">
        <f t="shared" ca="1" si="22"/>
        <v>4E</v>
      </c>
      <c r="BN25" s="744" t="str">
        <f t="shared" ca="1" si="23"/>
        <v>4E</v>
      </c>
      <c r="BO25" s="753">
        <f t="shared" ca="1" si="28"/>
        <v>0</v>
      </c>
      <c r="BP25" s="753">
        <f ca="1">COUNTIFS($BO$6:$BO$53,"&gt;"&amp;BO25,$BC$6:$BC$53,INDEX(T_Equipos[Grupo],MATCH(BD25,T_Equipos[NombreEquipo],0)))+1</f>
        <v>1</v>
      </c>
      <c r="BQ25" s="753" t="str">
        <f ca="1">IF(COUNTIFS($BP$6:$BP$53,BP25,$BC$6:$BC$53,INDEX(T_Equipos[Grupo],MATCH(BD25,T_Equipos[NombreEquipo],0)))=1,"-","P."&amp;BP25&amp;" ("&amp;COUNTIFS($BP$6:$BP$53,BP25,$BC$6:$BC$53,INDEX(T_Equipos[Grupo],MATCH(BD25,T_Equipos[NombreEquipo],0)))&amp;")")</f>
        <v>P.1 (4)</v>
      </c>
      <c r="BR25" s="753">
        <f t="shared" ca="1" si="29"/>
        <v>0</v>
      </c>
      <c r="BS25" s="753">
        <f ca="1">BP25+COUNTIFS($BQ$6:$BQ$53,BQ25,$BR$6:BR$53,"&gt;"&amp;BR25,$BC$6:$BC$53,INDEX(T_Equipos[Grupo],MATCH(BD25,T_Equipos[NombreEquipo],0)))</f>
        <v>1</v>
      </c>
      <c r="BT25" s="753" t="str">
        <f ca="1">IF(COUNTIFS($BS$6:$BS$53,BS25,$BC$6:$BC$53,INDEX(T_Equipos[Grupo],MATCH(BD25,T_Equipos[NombreEquipo],0)))=1,"-","P."&amp;BS25&amp;" ("&amp;COUNTIFS($BS$6:$BS$53,BS25,$BC$6:$BC$53,INDEX(T_Equipos[Grupo],MATCH(BD25,T_Equipos[NombreEquipo],0)))&amp;")")</f>
        <v>P.1 (4)</v>
      </c>
      <c r="BU25" s="754">
        <f t="shared" ca="1" si="36"/>
        <v>0</v>
      </c>
      <c r="BV25" s="754">
        <f t="shared" ca="1" si="37"/>
        <v>0</v>
      </c>
      <c r="BW25" s="754">
        <f t="shared" ca="1" si="38"/>
        <v>0</v>
      </c>
      <c r="BX25" s="754">
        <f t="shared" ca="1" si="39"/>
        <v>0</v>
      </c>
      <c r="BY25" s="754">
        <f ca="1">BS25+COUNTIFS($BT$6:$BT$53,BT25,$BX$6:BX$53,"&gt;"&amp;BX25,$BC$6:$BC$53,INDEX(T_Equipos[Grupo],MATCH(BD25,T_Equipos[NombreEquipo],0)))</f>
        <v>1</v>
      </c>
      <c r="BZ25" s="753" t="str">
        <f ca="1">IF(COUNTIFS($BY$6:$BY$53,BY25,$BC$6:$BC$53,INDEX(T_Equipos[Grupo],MATCH(BD25,T_Equipos[NombreEquipo],0)))=1,"-","P."&amp;BY25&amp;" ("&amp;COUNTIFS($BY$6:$BY$53,BY25,$BC$6:$BC$53,INDEX(T_Equipos[Grupo],MATCH(BD25,T_Equipos[NombreEquipo],0)))&amp;")")</f>
        <v>P.1 (4)</v>
      </c>
      <c r="CA25" s="754">
        <f t="shared" ca="1" si="40"/>
        <v>0</v>
      </c>
      <c r="CB25" s="754">
        <f t="shared" ca="1" si="41"/>
        <v>0</v>
      </c>
      <c r="CC25" s="754">
        <f t="shared" ca="1" si="42"/>
        <v>0</v>
      </c>
      <c r="CD25" s="754">
        <f ca="1">BY25+COUNTIFS($BZ$6:$BZ$53,BZ25,$CC$6:CC$53,"&gt;"&amp;CC25,$BC$6:$BC$53,INDEX(T_Equipos[Grupo],MATCH(BD25,T_Equipos[NombreEquipo],0)))</f>
        <v>1</v>
      </c>
      <c r="CE25" s="753" t="str">
        <f ca="1">IF(COUNTIFS($CD$6:$CD$53,CD25,$BC$6:$BC$53,INDEX(T_Equipos[Grupo],MATCH(BD25,T_Equipos[NombreEquipo],0)))=1,"-","P."&amp;CD25&amp;" ("&amp;COUNTIFS($CD$6:$CD$53,CD25,$BC$6:$BC$53,INDEX(T_Equipos[Grupo],MATCH(BD25,T_Equipos[NombreEquipo],0)))&amp;")")</f>
        <v>P.1 (4)</v>
      </c>
      <c r="CF25" s="754">
        <f t="shared" ca="1" si="43"/>
        <v>0</v>
      </c>
      <c r="CG25" s="754">
        <f ca="1">CD25+COUNTIFS($CE$6:$CE$53,CE25,$CF$6:CF$53,"&gt;"&amp;CF25,$BC$6:$BC$53,INDEX(T_Equipos[Grupo],MATCH(BD25,T_Equipos[NombreEquipo],0)))</f>
        <v>1</v>
      </c>
      <c r="CH25" s="753" t="str">
        <f ca="1">IF(COUNTIFS($CG$6:$CG$53,CG25,$BC$6:$BC$53,INDEX(T_Equipos[Grupo],MATCH(BD25,T_Equipos[NombreEquipo],0)))=1,"-","P."&amp;CG25&amp;" ("&amp;COUNTIFS($CG$6:$CG$53,CG25,$BC$6:$BC$53,INDEX(T_Equipos[Grupo],MATCH(BD25,T_Equipos[NombreEquipo],0)))&amp;")")</f>
        <v>P.1 (4)</v>
      </c>
      <c r="CI25" s="754">
        <f t="shared" ca="1" si="44"/>
        <v>0</v>
      </c>
      <c r="CJ25" s="754">
        <f t="shared" ca="1" si="45"/>
        <v>0</v>
      </c>
      <c r="CK25" s="754">
        <f t="shared" ca="1" si="46"/>
        <v>0</v>
      </c>
      <c r="CL25" s="754">
        <f t="shared" ca="1" si="47"/>
        <v>0</v>
      </c>
      <c r="CM25" s="754">
        <f ca="1">CG25+COUNTIFS($CH$6:$CH$53,CH25,$CL$6:CL$53,"&gt;"&amp;CL25,$BC$6:$BC$53,INDEX(T_Equipos[Grupo],MATCH(BD25,T_Equipos[NombreEquipo],0)))</f>
        <v>1</v>
      </c>
      <c r="CN25" s="753" t="str">
        <f ca="1">IF(COUNTIFS($CM$6:$CM$53,CM25,$BC$6:$BC$53,INDEX(T_Equipos[Grupo],MATCH(BD25,T_Equipos[NombreEquipo],0)))=1,"-","P."&amp;CM25&amp;" ("&amp;COUNTIFS($CM$6:$CM$53,CM25,$BC$6:$BC$53,INDEX(T_Equipos[Grupo],MATCH(BD25,T_Equipos[NombreEquipo],0)))&amp;")")</f>
        <v>P.1 (4)</v>
      </c>
      <c r="CO25" s="754">
        <f t="shared" ca="1" si="48"/>
        <v>0</v>
      </c>
      <c r="CP25" s="754">
        <f t="shared" ca="1" si="49"/>
        <v>0</v>
      </c>
      <c r="CQ25" s="754">
        <f t="shared" ca="1" si="50"/>
        <v>0</v>
      </c>
      <c r="CR25" s="754">
        <f ca="1">CM25+COUNTIFS($CN$6:$CN$53,CN25,$CQ$6:CQ$53,"&gt;"&amp;CQ25,$BC$6:$BC$53,INDEX(T_Equipos[Grupo],MATCH(BD25,T_Equipos[NombreEquipo],0)))</f>
        <v>1</v>
      </c>
      <c r="CS25" s="753" t="str">
        <f ca="1">IF(COUNTIFS($CR$6:$CR$53,CR25,$BC$6:$BC$53,INDEX(T_Equipos[Grupo],MATCH(BD25,T_Equipos[NombreEquipo],0)))=1,"-","P."&amp;CR25&amp;" ("&amp;COUNTIFS($CR$6:$CR$53,CR25,$BC$6:$BC$53,INDEX(T_Equipos[Grupo],MATCH(BD25,T_Equipos[NombreEquipo],0)))&amp;")")</f>
        <v>P.1 (4)</v>
      </c>
      <c r="CT25" s="754">
        <f t="shared" ca="1" si="51"/>
        <v>0</v>
      </c>
      <c r="CU25" s="754">
        <f ca="1">CR25+COUNTIFS($CS$6:$CS$53,CS25,$CT$6:CT$53,"&gt;"&amp;CT25,$BC$6:$BC$53,INDEX(T_Equipos[Grupo],MATCH(BD25,T_Equipos[NombreEquipo],0)))</f>
        <v>1</v>
      </c>
      <c r="CV25" s="753" t="str">
        <f ca="1">IF(COUNTIFS($CU$6:$CU$53,CU25,$BC$6:$BC$53,INDEX(T_Equipos[Grupo],MATCH(BD25,T_Equipos[NombreEquipo],0)))=1,"-","P."&amp;CU25&amp;" ("&amp;COUNTIFS($CU$6:$CU$53,CU25,$BC$6:$BC$53,INDEX(T_Equipos[Grupo],MATCH(BD25,T_Equipos[NombreEquipo],0)))&amp;")")</f>
        <v>P.1 (4)</v>
      </c>
      <c r="CW25" s="753">
        <f t="shared" ca="1" si="30"/>
        <v>0</v>
      </c>
      <c r="CX25" s="753">
        <f ca="1">CU25+COUNTIFS($CV$6:$CV$53,CV25,$CW$6:CW$53,"&gt;"&amp;CW25,$BC$6:$BC$53,INDEX(T_Equipos[Grupo],MATCH(BD25,T_Equipos[NombreEquipo],0)))</f>
        <v>1</v>
      </c>
      <c r="CY25" s="753" t="str">
        <f ca="1">IF(COUNTIFS($CX$6:$CX$53,CX25,$BC$6:$BC$53,INDEX(T_Equipos[Grupo],MATCH(BD25,T_Equipos[NombreEquipo],0)))=1,"-","P."&amp;CX25&amp;" ("&amp;COUNTIFS($CX$6:$CX$53,CX25,$BC$6:$BC$53,INDEX(T_Equipos[Grupo],MATCH(BD25,T_Equipos[NombreEquipo],0)))&amp;")")</f>
        <v>P.1 (4)</v>
      </c>
      <c r="CZ25" s="753">
        <f t="shared" ca="1" si="31"/>
        <v>0</v>
      </c>
      <c r="DA25" s="754">
        <f ca="1">CX25+COUNTIFS($CY$6:$CY$53,CY25,$CZ$6:CZ$53,"&gt;"&amp;CZ25,$BC$6:$BC$53,INDEX(T_Equipos[Grupo],MATCH(BD25,T_Equipos[NombreEquipo],0)))</f>
        <v>1</v>
      </c>
      <c r="DB25" s="753" t="str">
        <f ca="1">IF(COUNTIFS($DA$6:$DA$53,DA25,$BC$6:$BC$53,INDEX(T_Equipos[Grupo],MATCH(BD25,T_Equipos[NombreEquipo],0)))=1,"-","P."&amp;DA25&amp;" ("&amp;COUNTIFS($DA$6:$DA$53,DA25,$BC$6:$BC$53,INDEX(T_Equipos[Grupo],MATCH(BD25,T_Equipos[NombreEquipo],0)))&amp;")")</f>
        <v>P.1 (4)</v>
      </c>
      <c r="DC25" s="752">
        <f ca="1">IF(DB25="-","-",COUNTIFS(T_Equipos[Rank],"&lt;"&amp;INDEX(T_Equipos[Rank],MATCH(BD25,T_Equipos[NombreEquipo],0)),$BC$6:$BC$53,INDEX(T_Equipos[Grupo],MATCH(BD25,T_Equipos[NombreEquipo],0)))+1)</f>
        <v>4</v>
      </c>
      <c r="DD25" s="752">
        <f ca="1">DA25+COUNTIFS($DB$6:$DB$53,DB25,$DC$6:DC$53,"&lt;"&amp;DC25,$BC$6:$BC$53,INDEX(T_Equipos[Grupo],MATCH(BD25,T_Equipos[NombreEquipo],0)))</f>
        <v>4</v>
      </c>
      <c r="DE25" s="752"/>
      <c r="DF25" s="752">
        <f t="shared" ca="1" si="52"/>
        <v>4</v>
      </c>
      <c r="DG25" s="752">
        <f ca="1">IF(DB25="-","-",COUNTIFS(DF$6:DF$53,"&lt;"&amp;DF25,$BC$6:$BC$53,INDEX(T_Equipos[Grupo],MATCH(BD25,T_Equipos[NombreEquipo],0))))</f>
        <v>3</v>
      </c>
      <c r="DH25" s="752">
        <f ca="1">DA25+COUNTIFS(DB$6:DB$53,DB25,DG$6:DG$53,"&lt;"&amp;DG25,$BC$6:$BC$53,INDEX(T_Equipos[Grupo],MATCH(BD25,T_Equipos[NombreEquipo],0)))</f>
        <v>4</v>
      </c>
      <c r="DI25" s="740"/>
      <c r="DJ25" s="740">
        <f t="shared" ca="1" si="53"/>
        <v>1</v>
      </c>
      <c r="DK25" s="740">
        <f t="shared" ca="1" si="24"/>
        <v>0</v>
      </c>
      <c r="DL25" s="740">
        <f t="shared" ca="1" si="33"/>
        <v>1</v>
      </c>
      <c r="DM25" s="734" t="str">
        <f t="shared" ca="1" si="34"/>
        <v>1.1</v>
      </c>
      <c r="DN25" s="740" cm="1">
        <f t="array" aca="1" ref="DN25" ca="1">OFFSET(Horarios!$P$3,DJ25-1,0,DL25,1)</f>
        <v>1</v>
      </c>
      <c r="DO25" s="740"/>
      <c r="DP25" s="740" t="s">
        <v>663</v>
      </c>
      <c r="DQ25" s="740" t="str">
        <f t="shared" ca="1" si="35"/>
        <v>Ecuador</v>
      </c>
      <c r="DR25" s="740"/>
      <c r="DS25" s="740"/>
      <c r="DT25" s="740" t="str">
        <f t="shared" ca="1" si="15"/>
        <v>Marruecos-Haití</v>
      </c>
      <c r="DU25" s="740"/>
      <c r="DV25" s="740"/>
      <c r="DW25" s="8"/>
    </row>
    <row r="26" spans="1:127" ht="15.75" thickBot="1">
      <c r="A26" s="735"/>
      <c r="B26" s="735"/>
      <c r="C26" s="735"/>
      <c r="D26" s="740"/>
      <c r="E26" s="740"/>
      <c r="F26" s="740"/>
      <c r="G26" s="740"/>
      <c r="H26" s="740"/>
      <c r="I26" s="740"/>
      <c r="J26" s="740"/>
      <c r="K26" s="740"/>
      <c r="L26" s="740"/>
      <c r="M26" s="740"/>
      <c r="N26" s="740"/>
      <c r="O26" s="740"/>
      <c r="P26" s="740"/>
      <c r="Q26" s="740"/>
      <c r="R26" s="740"/>
      <c r="S26" s="740"/>
      <c r="T26" s="740"/>
      <c r="U26" s="740"/>
      <c r="V26" s="172"/>
      <c r="W26" s="242"/>
      <c r="X26" s="243"/>
      <c r="Y26" s="242"/>
      <c r="Z26" s="244"/>
      <c r="AA26" s="245"/>
      <c r="AB26" s="481"/>
      <c r="AC26" s="247"/>
      <c r="AD26" s="247"/>
      <c r="AE26" s="481"/>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0"/>
      <c r="BC26" s="752" t="str">
        <f ca="1">+INDEX(T_Equipos[Grupo],MATCH(WORLDCUP!BD26,T_Equipos[NombreEquipo],0))</f>
        <v>F</v>
      </c>
      <c r="BD26" s="740" t="str">
        <f ca="1">+Equipos!B22</f>
        <v>Países Bajos</v>
      </c>
      <c r="BE26" s="744">
        <f t="shared" ca="1" si="25"/>
        <v>0</v>
      </c>
      <c r="BF26" s="744">
        <f t="shared" ca="1" si="26"/>
        <v>0</v>
      </c>
      <c r="BG26" s="744">
        <f t="shared" ca="1" si="17"/>
        <v>0</v>
      </c>
      <c r="BH26" s="744">
        <f t="shared" ca="1" si="18"/>
        <v>0</v>
      </c>
      <c r="BI26" s="744">
        <f t="shared" ca="1" si="19"/>
        <v>0</v>
      </c>
      <c r="BJ26" s="744">
        <f t="shared" ca="1" si="20"/>
        <v>0</v>
      </c>
      <c r="BK26" s="744">
        <f t="shared" ca="1" si="21"/>
        <v>0</v>
      </c>
      <c r="BL26" s="744">
        <f t="shared" ca="1" si="27"/>
        <v>0</v>
      </c>
      <c r="BM26" s="744" t="str">
        <f t="shared" ca="1" si="22"/>
        <v>1F</v>
      </c>
      <c r="BN26" s="744" t="str">
        <f t="shared" ca="1" si="23"/>
        <v>1F</v>
      </c>
      <c r="BO26" s="754">
        <f t="shared" ca="1" si="28"/>
        <v>0</v>
      </c>
      <c r="BP26" s="753">
        <f ca="1">COUNTIFS($BO$6:$BO$53,"&gt;"&amp;BO26,$BC$6:$BC$53,INDEX(T_Equipos[Grupo],MATCH(BD26,T_Equipos[NombreEquipo],0)))+1</f>
        <v>1</v>
      </c>
      <c r="BQ26" s="753" t="str">
        <f ca="1">IF(COUNTIFS($BP$6:$BP$53,BP26,$BC$6:$BC$53,INDEX(T_Equipos[Grupo],MATCH(BD26,T_Equipos[NombreEquipo],0)))=1,"-","P."&amp;BP26&amp;" ("&amp;COUNTIFS($BP$6:$BP$53,BP26,$BC$6:$BC$53,INDEX(T_Equipos[Grupo],MATCH(BD26,T_Equipos[NombreEquipo],0)))&amp;")")</f>
        <v>P.1 (4)</v>
      </c>
      <c r="BR26" s="754">
        <f t="shared" ca="1" si="29"/>
        <v>0</v>
      </c>
      <c r="BS26" s="753">
        <f ca="1">BP26+COUNTIFS($BQ$6:$BQ$53,BQ26,$BR$6:BR$53,"&gt;"&amp;BR26,$BC$6:$BC$53,INDEX(T_Equipos[Grupo],MATCH(BD26,T_Equipos[NombreEquipo],0)))</f>
        <v>1</v>
      </c>
      <c r="BT26" s="753" t="str">
        <f ca="1">IF(COUNTIFS($BS$6:$BS$53,BS26,$BC$6:$BC$53,INDEX(T_Equipos[Grupo],MATCH(BD26,T_Equipos[NombreEquipo],0)))=1,"-","P."&amp;BS26&amp;" ("&amp;COUNTIFS($BS$6:$BS$53,BS26,$BC$6:$BC$53,INDEX(T_Equipos[Grupo],MATCH(BD26,T_Equipos[NombreEquipo],0)))&amp;")")</f>
        <v>P.1 (4)</v>
      </c>
      <c r="BU26" s="754">
        <f t="shared" ca="1" si="36"/>
        <v>0</v>
      </c>
      <c r="BV26" s="754">
        <f t="shared" ca="1" si="37"/>
        <v>0</v>
      </c>
      <c r="BW26" s="754">
        <f t="shared" ca="1" si="38"/>
        <v>0</v>
      </c>
      <c r="BX26" s="754">
        <f t="shared" ca="1" si="39"/>
        <v>0</v>
      </c>
      <c r="BY26" s="754">
        <f ca="1">BS26+COUNTIFS($BT$6:$BT$53,BT26,$BX$6:BX$53,"&gt;"&amp;BX26,$BC$6:$BC$53,INDEX(T_Equipos[Grupo],MATCH(BD26,T_Equipos[NombreEquipo],0)))</f>
        <v>1</v>
      </c>
      <c r="BZ26" s="753" t="str">
        <f ca="1">IF(COUNTIFS($BY$6:$BY$53,BY26,$BC$6:$BC$53,INDEX(T_Equipos[Grupo],MATCH(BD26,T_Equipos[NombreEquipo],0)))=1,"-","P."&amp;BY26&amp;" ("&amp;COUNTIFS($BY$6:$BY$53,BY26,$BC$6:$BC$53,INDEX(T_Equipos[Grupo],MATCH(BD26,T_Equipos[NombreEquipo],0)))&amp;")")</f>
        <v>P.1 (4)</v>
      </c>
      <c r="CA26" s="754">
        <f t="shared" ca="1" si="40"/>
        <v>0</v>
      </c>
      <c r="CB26" s="754">
        <f t="shared" ca="1" si="41"/>
        <v>0</v>
      </c>
      <c r="CC26" s="754">
        <f t="shared" ca="1" si="42"/>
        <v>0</v>
      </c>
      <c r="CD26" s="754">
        <f ca="1">BY26+COUNTIFS($BZ$6:$BZ$53,BZ26,$CC$6:CC$53,"&gt;"&amp;CC26,$BC$6:$BC$53,INDEX(T_Equipos[Grupo],MATCH(BD26,T_Equipos[NombreEquipo],0)))</f>
        <v>1</v>
      </c>
      <c r="CE26" s="753" t="str">
        <f ca="1">IF(COUNTIFS($CD$6:$CD$53,CD26,$BC$6:$BC$53,INDEX(T_Equipos[Grupo],MATCH(BD26,T_Equipos[NombreEquipo],0)))=1,"-","P."&amp;CD26&amp;" ("&amp;COUNTIFS($CD$6:$CD$53,CD26,$BC$6:$BC$53,INDEX(T_Equipos[Grupo],MATCH(BD26,T_Equipos[NombreEquipo],0)))&amp;")")</f>
        <v>P.1 (4)</v>
      </c>
      <c r="CF26" s="754">
        <f t="shared" ca="1" si="43"/>
        <v>0</v>
      </c>
      <c r="CG26" s="754">
        <f ca="1">CD26+COUNTIFS($CE$6:$CE$53,CE26,$CF$6:CF$53,"&gt;"&amp;CF26,$BC$6:$BC$53,INDEX(T_Equipos[Grupo],MATCH(BD26,T_Equipos[NombreEquipo],0)))</f>
        <v>1</v>
      </c>
      <c r="CH26" s="753" t="str">
        <f ca="1">IF(COUNTIFS($CG$6:$CG$53,CG26,$BC$6:$BC$53,INDEX(T_Equipos[Grupo],MATCH(BD26,T_Equipos[NombreEquipo],0)))=1,"-","P."&amp;CG26&amp;" ("&amp;COUNTIFS($CG$6:$CG$53,CG26,$BC$6:$BC$53,INDEX(T_Equipos[Grupo],MATCH(BD26,T_Equipos[NombreEquipo],0)))&amp;")")</f>
        <v>P.1 (4)</v>
      </c>
      <c r="CI26" s="754">
        <f t="shared" ca="1" si="44"/>
        <v>0</v>
      </c>
      <c r="CJ26" s="754">
        <f t="shared" ca="1" si="45"/>
        <v>0</v>
      </c>
      <c r="CK26" s="754">
        <f t="shared" ca="1" si="46"/>
        <v>0</v>
      </c>
      <c r="CL26" s="754">
        <f t="shared" ca="1" si="47"/>
        <v>0</v>
      </c>
      <c r="CM26" s="754">
        <f ca="1">CG26+COUNTIFS($CH$6:$CH$53,CH26,$CL$6:CL$53,"&gt;"&amp;CL26,$BC$6:$BC$53,INDEX(T_Equipos[Grupo],MATCH(BD26,T_Equipos[NombreEquipo],0)))</f>
        <v>1</v>
      </c>
      <c r="CN26" s="753" t="str">
        <f ca="1">IF(COUNTIFS($CM$6:$CM$53,CM26,$BC$6:$BC$53,INDEX(T_Equipos[Grupo],MATCH(BD26,T_Equipos[NombreEquipo],0)))=1,"-","P."&amp;CM26&amp;" ("&amp;COUNTIFS($CM$6:$CM$53,CM26,$BC$6:$BC$53,INDEX(T_Equipos[Grupo],MATCH(BD26,T_Equipos[NombreEquipo],0)))&amp;")")</f>
        <v>P.1 (4)</v>
      </c>
      <c r="CO26" s="754">
        <f t="shared" ca="1" si="48"/>
        <v>0</v>
      </c>
      <c r="CP26" s="754">
        <f t="shared" ca="1" si="49"/>
        <v>0</v>
      </c>
      <c r="CQ26" s="754">
        <f t="shared" ca="1" si="50"/>
        <v>0</v>
      </c>
      <c r="CR26" s="754">
        <f ca="1">CM26+COUNTIFS($CN$6:$CN$53,CN26,$CQ$6:CQ$53,"&gt;"&amp;CQ26,$BC$6:$BC$53,INDEX(T_Equipos[Grupo],MATCH(BD26,T_Equipos[NombreEquipo],0)))</f>
        <v>1</v>
      </c>
      <c r="CS26" s="753" t="str">
        <f ca="1">IF(COUNTIFS($CR$6:$CR$53,CR26,$BC$6:$BC$53,INDEX(T_Equipos[Grupo],MATCH(BD26,T_Equipos[NombreEquipo],0)))=1,"-","P."&amp;CR26&amp;" ("&amp;COUNTIFS($CR$6:$CR$53,CR26,$BC$6:$BC$53,INDEX(T_Equipos[Grupo],MATCH(BD26,T_Equipos[NombreEquipo],0)))&amp;")")</f>
        <v>P.1 (4)</v>
      </c>
      <c r="CT26" s="754">
        <f t="shared" ca="1" si="51"/>
        <v>0</v>
      </c>
      <c r="CU26" s="754">
        <f ca="1">CR26+COUNTIFS($CS$6:$CS$53,CS26,$CT$6:CT$53,"&gt;"&amp;CT26,$BC$6:$BC$53,INDEX(T_Equipos[Grupo],MATCH(BD26,T_Equipos[NombreEquipo],0)))</f>
        <v>1</v>
      </c>
      <c r="CV26" s="753" t="str">
        <f ca="1">IF(COUNTIFS($CU$6:$CU$53,CU26,$BC$6:$BC$53,INDEX(T_Equipos[Grupo],MATCH(BD26,T_Equipos[NombreEquipo],0)))=1,"-","P."&amp;CU26&amp;" ("&amp;COUNTIFS($CU$6:$CU$53,CU26,$BC$6:$BC$53,INDEX(T_Equipos[Grupo],MATCH(BD26,T_Equipos[NombreEquipo],0)))&amp;")")</f>
        <v>P.1 (4)</v>
      </c>
      <c r="CW26" s="753">
        <f t="shared" ca="1" si="30"/>
        <v>0</v>
      </c>
      <c r="CX26" s="753">
        <f ca="1">CU26+COUNTIFS($CV$6:$CV$53,CV26,$CW$6:CW$53,"&gt;"&amp;CW26,$BC$6:$BC$53,INDEX(T_Equipos[Grupo],MATCH(BD26,T_Equipos[NombreEquipo],0)))</f>
        <v>1</v>
      </c>
      <c r="CY26" s="753" t="str">
        <f ca="1">IF(COUNTIFS($CX$6:$CX$53,CX26,$BC$6:$BC$53,INDEX(T_Equipos[Grupo],MATCH(BD26,T_Equipos[NombreEquipo],0)))=1,"-","P."&amp;CX26&amp;" ("&amp;COUNTIFS($CX$6:$CX$53,CX26,$BC$6:$BC$53,INDEX(T_Equipos[Grupo],MATCH(BD26,T_Equipos[NombreEquipo],0)))&amp;")")</f>
        <v>P.1 (4)</v>
      </c>
      <c r="CZ26" s="753">
        <f t="shared" ca="1" si="31"/>
        <v>0</v>
      </c>
      <c r="DA26" s="754">
        <f ca="1">CX26+COUNTIFS($CY$6:$CY$53,CY26,$CZ$6:CZ$53,"&gt;"&amp;CZ26,$BC$6:$BC$53,INDEX(T_Equipos[Grupo],MATCH(BD26,T_Equipos[NombreEquipo],0)))</f>
        <v>1</v>
      </c>
      <c r="DB26" s="753" t="str">
        <f ca="1">IF(COUNTIFS($DA$6:$DA$53,DA26,$BC$6:$BC$53,INDEX(T_Equipos[Grupo],MATCH(BD26,T_Equipos[NombreEquipo],0)))=1,"-","P."&amp;DA26&amp;" ("&amp;COUNTIFS($DA$6:$DA$53,DA26,$BC$6:$BC$53,INDEX(T_Equipos[Grupo],MATCH(BD26,T_Equipos[NombreEquipo],0)))&amp;")")</f>
        <v>P.1 (4)</v>
      </c>
      <c r="DC26" s="752">
        <f ca="1">IF(DB26="-","-",COUNTIFS(T_Equipos[Rank],"&lt;"&amp;INDEX(T_Equipos[Rank],MATCH(BD26,T_Equipos[NombreEquipo],0)),$BC$6:$BC$53,INDEX(T_Equipos[Grupo],MATCH(BD26,T_Equipos[NombreEquipo],0)))+1)</f>
        <v>1</v>
      </c>
      <c r="DD26" s="752">
        <f ca="1">DA26+COUNTIFS($DB$6:$DB$53,DB26,$DC$6:DC$53,"&lt;"&amp;DC26,$BC$6:$BC$53,INDEX(T_Equipos[Grupo],MATCH(BD26,T_Equipos[NombreEquipo],0)))</f>
        <v>1</v>
      </c>
      <c r="DE26" s="752"/>
      <c r="DF26" s="752">
        <f t="shared" ca="1" si="52"/>
        <v>1</v>
      </c>
      <c r="DG26" s="752">
        <f ca="1">IF(DB26="-","-",COUNTIFS(DF$6:DF$53,"&lt;"&amp;DF26,$BC$6:$BC$53,INDEX(T_Equipos[Grupo],MATCH(BD26,T_Equipos[NombreEquipo],0))))</f>
        <v>0</v>
      </c>
      <c r="DH26" s="752">
        <f ca="1">DA26+COUNTIFS(DB$6:DB$53,DB26,DG$6:DG$53,"&lt;"&amp;DG26,$BC$6:$BC$53,INDEX(T_Equipos[Grupo],MATCH(BD26,T_Equipos[NombreEquipo],0)))</f>
        <v>1</v>
      </c>
      <c r="DI26" s="740"/>
      <c r="DJ26" s="740">
        <f t="shared" ca="1" si="53"/>
        <v>1</v>
      </c>
      <c r="DK26" s="740">
        <f t="shared" ca="1" si="24"/>
        <v>0</v>
      </c>
      <c r="DL26" s="740">
        <f t="shared" ca="1" si="33"/>
        <v>1</v>
      </c>
      <c r="DM26" s="734" t="str">
        <f t="shared" ca="1" si="34"/>
        <v>1.1</v>
      </c>
      <c r="DN26" s="740" cm="1">
        <f t="array" aca="1" ref="DN26" ca="1">OFFSET(Horarios!$P$3,DJ26-1,0,DL26,1)</f>
        <v>1</v>
      </c>
      <c r="DO26" s="740"/>
      <c r="DP26" s="740" t="s">
        <v>664</v>
      </c>
      <c r="DQ26" s="740" t="str">
        <f t="shared" ca="1" si="35"/>
        <v>Países Bajos</v>
      </c>
      <c r="DR26" s="740"/>
      <c r="DS26" s="740"/>
      <c r="DT26" s="740" t="str">
        <f t="shared" si="15"/>
        <v>-</v>
      </c>
      <c r="DU26" s="740"/>
      <c r="DV26" s="740"/>
      <c r="DW26" s="8"/>
    </row>
    <row r="27" spans="1:127" ht="15.75" thickBot="1">
      <c r="A27" s="735"/>
      <c r="B27" s="738"/>
      <c r="C27" s="735"/>
      <c r="D27" s="735"/>
      <c r="E27" s="735"/>
      <c r="F27" s="735"/>
      <c r="G27" s="735"/>
      <c r="H27" s="735"/>
      <c r="I27" s="735"/>
      <c r="J27" s="735"/>
      <c r="K27" s="735"/>
      <c r="L27" s="735"/>
      <c r="M27" s="735"/>
      <c r="N27" s="740"/>
      <c r="O27" s="740"/>
      <c r="P27" s="740"/>
      <c r="Q27" s="740"/>
      <c r="R27" s="740"/>
      <c r="S27" s="740"/>
      <c r="T27" s="740"/>
      <c r="U27" s="740"/>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0"/>
      <c r="BC27" s="752" t="str">
        <f ca="1">+INDEX(T_Equipos[Grupo],MATCH(WORLDCUP!BD27,T_Equipos[NombreEquipo],0))</f>
        <v>F</v>
      </c>
      <c r="BD27" s="740" t="str">
        <f ca="1">+Equipos!B23</f>
        <v>Japón</v>
      </c>
      <c r="BE27" s="744">
        <f t="shared" ca="1" si="25"/>
        <v>0</v>
      </c>
      <c r="BF27" s="744">
        <f t="shared" ca="1" si="26"/>
        <v>0</v>
      </c>
      <c r="BG27" s="744">
        <f t="shared" ca="1" si="17"/>
        <v>0</v>
      </c>
      <c r="BH27" s="744">
        <f t="shared" ca="1" si="18"/>
        <v>0</v>
      </c>
      <c r="BI27" s="744">
        <f t="shared" ca="1" si="19"/>
        <v>0</v>
      </c>
      <c r="BJ27" s="744">
        <f t="shared" ca="1" si="20"/>
        <v>0</v>
      </c>
      <c r="BK27" s="744">
        <f t="shared" ca="1" si="21"/>
        <v>0</v>
      </c>
      <c r="BL27" s="744">
        <f t="shared" ca="1" si="27"/>
        <v>0</v>
      </c>
      <c r="BM27" s="744" t="str">
        <f t="shared" ca="1" si="22"/>
        <v>2F</v>
      </c>
      <c r="BN27" s="744" t="str">
        <f t="shared" ca="1" si="23"/>
        <v>2F</v>
      </c>
      <c r="BO27" s="754">
        <f t="shared" ca="1" si="28"/>
        <v>0</v>
      </c>
      <c r="BP27" s="753">
        <f ca="1">COUNTIFS($BO$6:$BO$53,"&gt;"&amp;BO27,$BC$6:$BC$53,INDEX(T_Equipos[Grupo],MATCH(BD27,T_Equipos[NombreEquipo],0)))+1</f>
        <v>1</v>
      </c>
      <c r="BQ27" s="753" t="str">
        <f ca="1">IF(COUNTIFS($BP$6:$BP$53,BP27,$BC$6:$BC$53,INDEX(T_Equipos[Grupo],MATCH(BD27,T_Equipos[NombreEquipo],0)))=1,"-","P."&amp;BP27&amp;" ("&amp;COUNTIFS($BP$6:$BP$53,BP27,$BC$6:$BC$53,INDEX(T_Equipos[Grupo],MATCH(BD27,T_Equipos[NombreEquipo],0)))&amp;")")</f>
        <v>P.1 (4)</v>
      </c>
      <c r="BR27" s="754">
        <f t="shared" ca="1" si="29"/>
        <v>0</v>
      </c>
      <c r="BS27" s="753">
        <f ca="1">BP27+COUNTIFS($BQ$6:$BQ$53,BQ27,$BR$6:BR$53,"&gt;"&amp;BR27,$BC$6:$BC$53,INDEX(T_Equipos[Grupo],MATCH(BD27,T_Equipos[NombreEquipo],0)))</f>
        <v>1</v>
      </c>
      <c r="BT27" s="753" t="str">
        <f ca="1">IF(COUNTIFS($BS$6:$BS$53,BS27,$BC$6:$BC$53,INDEX(T_Equipos[Grupo],MATCH(BD27,T_Equipos[NombreEquipo],0)))=1,"-","P."&amp;BS27&amp;" ("&amp;COUNTIFS($BS$6:$BS$53,BS27,$BC$6:$BC$53,INDEX(T_Equipos[Grupo],MATCH(BD27,T_Equipos[NombreEquipo],0)))&amp;")")</f>
        <v>P.1 (4)</v>
      </c>
      <c r="BU27" s="754">
        <f t="shared" ca="1" si="36"/>
        <v>0</v>
      </c>
      <c r="BV27" s="754">
        <f t="shared" ca="1" si="37"/>
        <v>0</v>
      </c>
      <c r="BW27" s="754">
        <f t="shared" ca="1" si="38"/>
        <v>0</v>
      </c>
      <c r="BX27" s="754">
        <f t="shared" ca="1" si="39"/>
        <v>0</v>
      </c>
      <c r="BY27" s="754">
        <f ca="1">BS27+COUNTIFS($BT$6:$BT$53,BT27,$BX$6:BX$53,"&gt;"&amp;BX27,$BC$6:$BC$53,INDEX(T_Equipos[Grupo],MATCH(BD27,T_Equipos[NombreEquipo],0)))</f>
        <v>1</v>
      </c>
      <c r="BZ27" s="753" t="str">
        <f ca="1">IF(COUNTIFS($BY$6:$BY$53,BY27,$BC$6:$BC$53,INDEX(T_Equipos[Grupo],MATCH(BD27,T_Equipos[NombreEquipo],0)))=1,"-","P."&amp;BY27&amp;" ("&amp;COUNTIFS($BY$6:$BY$53,BY27,$BC$6:$BC$53,INDEX(T_Equipos[Grupo],MATCH(BD27,T_Equipos[NombreEquipo],0)))&amp;")")</f>
        <v>P.1 (4)</v>
      </c>
      <c r="CA27" s="754">
        <f t="shared" ca="1" si="40"/>
        <v>0</v>
      </c>
      <c r="CB27" s="754">
        <f t="shared" ca="1" si="41"/>
        <v>0</v>
      </c>
      <c r="CC27" s="754">
        <f t="shared" ca="1" si="42"/>
        <v>0</v>
      </c>
      <c r="CD27" s="754">
        <f ca="1">BY27+COUNTIFS($BZ$6:$BZ$53,BZ27,$CC$6:CC$53,"&gt;"&amp;CC27,$BC$6:$BC$53,INDEX(T_Equipos[Grupo],MATCH(BD27,T_Equipos[NombreEquipo],0)))</f>
        <v>1</v>
      </c>
      <c r="CE27" s="753" t="str">
        <f ca="1">IF(COUNTIFS($CD$6:$CD$53,CD27,$BC$6:$BC$53,INDEX(T_Equipos[Grupo],MATCH(BD27,T_Equipos[NombreEquipo],0)))=1,"-","P."&amp;CD27&amp;" ("&amp;COUNTIFS($CD$6:$CD$53,CD27,$BC$6:$BC$53,INDEX(T_Equipos[Grupo],MATCH(BD27,T_Equipos[NombreEquipo],0)))&amp;")")</f>
        <v>P.1 (4)</v>
      </c>
      <c r="CF27" s="754">
        <f t="shared" ca="1" si="43"/>
        <v>0</v>
      </c>
      <c r="CG27" s="754">
        <f ca="1">CD27+COUNTIFS($CE$6:$CE$53,CE27,$CF$6:CF$53,"&gt;"&amp;CF27,$BC$6:$BC$53,INDEX(T_Equipos[Grupo],MATCH(BD27,T_Equipos[NombreEquipo],0)))</f>
        <v>1</v>
      </c>
      <c r="CH27" s="753" t="str">
        <f ca="1">IF(COUNTIFS($CG$6:$CG$53,CG27,$BC$6:$BC$53,INDEX(T_Equipos[Grupo],MATCH(BD27,T_Equipos[NombreEquipo],0)))=1,"-","P."&amp;CG27&amp;" ("&amp;COUNTIFS($CG$6:$CG$53,CG27,$BC$6:$BC$53,INDEX(T_Equipos[Grupo],MATCH(BD27,T_Equipos[NombreEquipo],0)))&amp;")")</f>
        <v>P.1 (4)</v>
      </c>
      <c r="CI27" s="754">
        <f t="shared" ca="1" si="44"/>
        <v>0</v>
      </c>
      <c r="CJ27" s="754">
        <f t="shared" ca="1" si="45"/>
        <v>0</v>
      </c>
      <c r="CK27" s="754">
        <f t="shared" ca="1" si="46"/>
        <v>0</v>
      </c>
      <c r="CL27" s="754">
        <f t="shared" ca="1" si="47"/>
        <v>0</v>
      </c>
      <c r="CM27" s="754">
        <f ca="1">CG27+COUNTIFS($CH$6:$CH$53,CH27,$CL$6:CL$53,"&gt;"&amp;CL27,$BC$6:$BC$53,INDEX(T_Equipos[Grupo],MATCH(BD27,T_Equipos[NombreEquipo],0)))</f>
        <v>1</v>
      </c>
      <c r="CN27" s="753" t="str">
        <f ca="1">IF(COUNTIFS($CM$6:$CM$53,CM27,$BC$6:$BC$53,INDEX(T_Equipos[Grupo],MATCH(BD27,T_Equipos[NombreEquipo],0)))=1,"-","P."&amp;CM27&amp;" ("&amp;COUNTIFS($CM$6:$CM$53,CM27,$BC$6:$BC$53,INDEX(T_Equipos[Grupo],MATCH(BD27,T_Equipos[NombreEquipo],0)))&amp;")")</f>
        <v>P.1 (4)</v>
      </c>
      <c r="CO27" s="754">
        <f t="shared" ca="1" si="48"/>
        <v>0</v>
      </c>
      <c r="CP27" s="754">
        <f t="shared" ca="1" si="49"/>
        <v>0</v>
      </c>
      <c r="CQ27" s="754">
        <f t="shared" ca="1" si="50"/>
        <v>0</v>
      </c>
      <c r="CR27" s="754">
        <f ca="1">CM27+COUNTIFS($CN$6:$CN$53,CN27,$CQ$6:CQ$53,"&gt;"&amp;CQ27,$BC$6:$BC$53,INDEX(T_Equipos[Grupo],MATCH(BD27,T_Equipos[NombreEquipo],0)))</f>
        <v>1</v>
      </c>
      <c r="CS27" s="753" t="str">
        <f ca="1">IF(COUNTIFS($CR$6:$CR$53,CR27,$BC$6:$BC$53,INDEX(T_Equipos[Grupo],MATCH(BD27,T_Equipos[NombreEquipo],0)))=1,"-","P."&amp;CR27&amp;" ("&amp;COUNTIFS($CR$6:$CR$53,CR27,$BC$6:$BC$53,INDEX(T_Equipos[Grupo],MATCH(BD27,T_Equipos[NombreEquipo],0)))&amp;")")</f>
        <v>P.1 (4)</v>
      </c>
      <c r="CT27" s="754">
        <f t="shared" ca="1" si="51"/>
        <v>0</v>
      </c>
      <c r="CU27" s="754">
        <f ca="1">CR27+COUNTIFS($CS$6:$CS$53,CS27,$CT$6:CT$53,"&gt;"&amp;CT27,$BC$6:$BC$53,INDEX(T_Equipos[Grupo],MATCH(BD27,T_Equipos[NombreEquipo],0)))</f>
        <v>1</v>
      </c>
      <c r="CV27" s="753" t="str">
        <f ca="1">IF(COUNTIFS($CU$6:$CU$53,CU27,$BC$6:$BC$53,INDEX(T_Equipos[Grupo],MATCH(BD27,T_Equipos[NombreEquipo],0)))=1,"-","P."&amp;CU27&amp;" ("&amp;COUNTIFS($CU$6:$CU$53,CU27,$BC$6:$BC$53,INDEX(T_Equipos[Grupo],MATCH(BD27,T_Equipos[NombreEquipo],0)))&amp;")")</f>
        <v>P.1 (4)</v>
      </c>
      <c r="CW27" s="753">
        <f t="shared" ca="1" si="30"/>
        <v>0</v>
      </c>
      <c r="CX27" s="753">
        <f ca="1">CU27+COUNTIFS($CV$6:$CV$53,CV27,$CW$6:CW$53,"&gt;"&amp;CW27,$BC$6:$BC$53,INDEX(T_Equipos[Grupo],MATCH(BD27,T_Equipos[NombreEquipo],0)))</f>
        <v>1</v>
      </c>
      <c r="CY27" s="753" t="str">
        <f ca="1">IF(COUNTIFS($CX$6:$CX$53,CX27,$BC$6:$BC$53,INDEX(T_Equipos[Grupo],MATCH(BD27,T_Equipos[NombreEquipo],0)))=1,"-","P."&amp;CX27&amp;" ("&amp;COUNTIFS($CX$6:$CX$53,CX27,$BC$6:$BC$53,INDEX(T_Equipos[Grupo],MATCH(BD27,T_Equipos[NombreEquipo],0)))&amp;")")</f>
        <v>P.1 (4)</v>
      </c>
      <c r="CZ27" s="753">
        <f t="shared" ca="1" si="31"/>
        <v>0</v>
      </c>
      <c r="DA27" s="754">
        <f ca="1">CX27+COUNTIFS($CY$6:$CY$53,CY27,$CZ$6:CZ$53,"&gt;"&amp;CZ27,$BC$6:$BC$53,INDEX(T_Equipos[Grupo],MATCH(BD27,T_Equipos[NombreEquipo],0)))</f>
        <v>1</v>
      </c>
      <c r="DB27" s="753" t="str">
        <f ca="1">IF(COUNTIFS($DA$6:$DA$53,DA27,$BC$6:$BC$53,INDEX(T_Equipos[Grupo],MATCH(BD27,T_Equipos[NombreEquipo],0)))=1,"-","P."&amp;DA27&amp;" ("&amp;COUNTIFS($DA$6:$DA$53,DA27,$BC$6:$BC$53,INDEX(T_Equipos[Grupo],MATCH(BD27,T_Equipos[NombreEquipo],0)))&amp;")")</f>
        <v>P.1 (4)</v>
      </c>
      <c r="DC27" s="752">
        <f ca="1">IF(DB27="-","-",COUNTIFS(T_Equipos[Rank],"&lt;"&amp;INDEX(T_Equipos[Rank],MATCH(BD27,T_Equipos[NombreEquipo],0)),$BC$6:$BC$53,INDEX(T_Equipos[Grupo],MATCH(BD27,T_Equipos[NombreEquipo],0)))+1)</f>
        <v>2</v>
      </c>
      <c r="DD27" s="752">
        <f ca="1">DA27+COUNTIFS($DB$6:$DB$53,DB27,$DC$6:DC$53,"&lt;"&amp;DC27,$BC$6:$BC$53,INDEX(T_Equipos[Grupo],MATCH(BD27,T_Equipos[NombreEquipo],0)))</f>
        <v>2</v>
      </c>
      <c r="DE27" s="752"/>
      <c r="DF27" s="752">
        <f t="shared" ca="1" si="52"/>
        <v>2</v>
      </c>
      <c r="DG27" s="752">
        <f ca="1">IF(DB27="-","-",COUNTIFS(DF$6:DF$53,"&lt;"&amp;DF27,$BC$6:$BC$53,INDEX(T_Equipos[Grupo],MATCH(BD27,T_Equipos[NombreEquipo],0))))</f>
        <v>1</v>
      </c>
      <c r="DH27" s="752">
        <f ca="1">DA27+COUNTIFS(DB$6:DB$53,DB27,DG$6:DG$53,"&lt;"&amp;DG27,$BC$6:$BC$53,INDEX(T_Equipos[Grupo],MATCH(BD27,T_Equipos[NombreEquipo],0)))</f>
        <v>2</v>
      </c>
      <c r="DI27" s="740"/>
      <c r="DJ27" s="740">
        <f t="shared" ca="1" si="53"/>
        <v>1</v>
      </c>
      <c r="DK27" s="740">
        <f t="shared" ca="1" si="24"/>
        <v>0</v>
      </c>
      <c r="DL27" s="740">
        <f t="shared" ca="1" si="33"/>
        <v>1</v>
      </c>
      <c r="DM27" s="734" t="str">
        <f t="shared" ca="1" si="34"/>
        <v>1.1</v>
      </c>
      <c r="DN27" s="740" cm="1">
        <f t="array" aca="1" ref="DN27" ca="1">OFFSET(Horarios!$P$3,DJ27-1,0,DL27,1)</f>
        <v>1</v>
      </c>
      <c r="DO27" s="740"/>
      <c r="DP27" s="740" t="s">
        <v>665</v>
      </c>
      <c r="DQ27" s="740" t="str">
        <f t="shared" ca="1" si="35"/>
        <v>Japón</v>
      </c>
      <c r="DR27" s="740"/>
      <c r="DS27" s="740"/>
      <c r="DT27" s="740" t="str">
        <f t="shared" si="15"/>
        <v>Casa-Fuera</v>
      </c>
      <c r="DU27" s="740"/>
      <c r="DV27" s="740"/>
      <c r="DW27" s="8"/>
    </row>
    <row r="28" spans="1:127" ht="15" customHeight="1" thickBot="1">
      <c r="A28" s="737" t="s">
        <v>30</v>
      </c>
      <c r="B28" s="738" t="s">
        <v>73</v>
      </c>
      <c r="C28" s="739">
        <f>COUNTIF(Equipos!$C$2:$C$49,WORLDCUP!B28)</f>
        <v>4</v>
      </c>
      <c r="D28" s="740" t="str">
        <f t="shared" ref="D28:D33" si="94">IF(OR(AC28="",AD28=""),"Pendiente",IF(AC28&gt;AD28,"Local",IF(AC28&lt;AD28,"Visitante","Empate")))</f>
        <v>Pendiente</v>
      </c>
      <c r="E28" s="740" t="str">
        <f t="shared" ref="E28:E33" si="95">IF(D28="Pendiente","-",INDEX($BT$6:$BT$53,MATCH($AA28,$BD$6:$BD$53,0)))</f>
        <v>-</v>
      </c>
      <c r="F28" s="740" t="str">
        <f t="shared" ref="F28:F33" si="96">IF(D28="Pendiente","-",INDEX($BT$6:$BT$53,MATCH($AF28,$BD$6:$BD$53,0)))</f>
        <v>-</v>
      </c>
      <c r="G28" s="740"/>
      <c r="H28" s="740" t="str">
        <f t="shared" ref="H28:H33" si="97">IF(D28="Pendiente","-",INDEX($BZ$6:$BZ$53,MATCH($AA28,$BD$6:$BD$53,0)))</f>
        <v>-</v>
      </c>
      <c r="I28" s="740" t="str">
        <f t="shared" ref="I28:I33" si="98">IF(D28="Pendiente","-",INDEX($BZ$6:$BZ$53,MATCH($AF28,$BD$6:$BD$53,0)))</f>
        <v>-</v>
      </c>
      <c r="J28" s="740"/>
      <c r="K28" s="740" t="str">
        <f t="shared" ref="K28:K33" si="99">IF(D28="Pendiente","-",INDEX($CE$6:$CE$53,MATCH($AA28,$BD$6:$BD$53,0)))</f>
        <v>-</v>
      </c>
      <c r="L28" s="740" t="str">
        <f t="shared" ref="L28:L33" si="100">IF(D28="Pendiente","-",INDEX($CE$6:$CE$53,MATCH($AF28,$BD$6:$BD$53,0)))</f>
        <v>-</v>
      </c>
      <c r="M28" s="740"/>
      <c r="N28" s="740" t="str">
        <f t="shared" ref="N28:N33" si="101">IF(D28="Pendiente","-",INDEX($CH$6:$CH$53,MATCH($AA28,$BD$6:$BD$53,0)))</f>
        <v>-</v>
      </c>
      <c r="O28" s="740" t="str">
        <f t="shared" ref="O28:O33" si="102">IF(D28="Pendiente","-",INDEX($CH$6:$CH$53,MATCH($AF28,$BD$6:$BD$53,0)))</f>
        <v>-</v>
      </c>
      <c r="P28" s="740"/>
      <c r="Q28" s="740" t="str">
        <f t="shared" ref="Q28:Q33" si="103">IF(D28="Pendiente","-",INDEX($CN$6:$CN$53,MATCH($AA28,$BD$6:$BD$53,0)))</f>
        <v>-</v>
      </c>
      <c r="R28" s="740" t="str">
        <f t="shared" ref="R28:R33" si="104">IF(D28="Pendiente","-",INDEX($CN$6:$CN$53,MATCH($AF28,$BD$6:$BD$53,0)))</f>
        <v>-</v>
      </c>
      <c r="S28" s="740"/>
      <c r="T28" s="740" t="str">
        <f t="shared" ref="T28:T33" si="105">IF(D28="Pendiente","-",INDEX($CS$6:$CS$53,MATCH($AA28,$BD$6:$BD$53,0)))</f>
        <v>-</v>
      </c>
      <c r="U28" s="740" t="str">
        <f t="shared" ref="U28:U33" si="106">IF(D28="Pendiente","-",INDEX($CS$6:$CS$53,MATCH($AF28,$BD$6:$BD$53,0)))</f>
        <v>-</v>
      </c>
      <c r="V28" s="172"/>
      <c r="W28" s="894" t="s">
        <v>73</v>
      </c>
      <c r="X28" s="189">
        <f ca="1">Horarios!C28</f>
        <v>46185.875</v>
      </c>
      <c r="Y28" s="190">
        <f ca="1">Horarios!C28</f>
        <v>46185.875</v>
      </c>
      <c r="Z28" s="191" t="str">
        <f>$Z$4</f>
        <v>J1</v>
      </c>
      <c r="AA28" s="192" t="str">
        <f ca="1">A29</f>
        <v>Estados Unidos</v>
      </c>
      <c r="AB28" s="477" t="str" cm="1">
        <f t="array" aca="1" ref="AB28" ca="1">Ver_flag_local</f>
        <v/>
      </c>
      <c r="AC28" s="193"/>
      <c r="AD28" s="194"/>
      <c r="AE28" s="482"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0"/>
      <c r="BC28" s="752" t="str">
        <f ca="1">+INDEX(T_Equipos[Grupo],MATCH(WORLDCUP!BD28,T_Equipos[NombreEquipo],0))</f>
        <v>F</v>
      </c>
      <c r="BD28" s="740" t="str">
        <f ca="1">+Equipos!B24</f>
        <v>Suecia</v>
      </c>
      <c r="BE28" s="744">
        <f t="shared" ca="1" si="25"/>
        <v>0</v>
      </c>
      <c r="BF28" s="744">
        <f t="shared" ca="1" si="26"/>
        <v>0</v>
      </c>
      <c r="BG28" s="744">
        <f t="shared" ca="1" si="17"/>
        <v>0</v>
      </c>
      <c r="BH28" s="744">
        <f t="shared" ca="1" si="18"/>
        <v>0</v>
      </c>
      <c r="BI28" s="744">
        <f t="shared" ca="1" si="19"/>
        <v>0</v>
      </c>
      <c r="BJ28" s="744">
        <f t="shared" ca="1" si="20"/>
        <v>0</v>
      </c>
      <c r="BK28" s="744">
        <f t="shared" ca="1" si="21"/>
        <v>0</v>
      </c>
      <c r="BL28" s="744">
        <f t="shared" ca="1" si="27"/>
        <v>0</v>
      </c>
      <c r="BM28" s="744" t="str">
        <f t="shared" ca="1" si="22"/>
        <v>3F</v>
      </c>
      <c r="BN28" s="744" t="str">
        <f t="shared" ca="1" si="23"/>
        <v>3F</v>
      </c>
      <c r="BO28" s="754">
        <f t="shared" ca="1" si="28"/>
        <v>0</v>
      </c>
      <c r="BP28" s="753">
        <f ca="1">COUNTIFS($BO$6:$BO$53,"&gt;"&amp;BO28,$BC$6:$BC$53,INDEX(T_Equipos[Grupo],MATCH(BD28,T_Equipos[NombreEquipo],0)))+1</f>
        <v>1</v>
      </c>
      <c r="BQ28" s="753" t="str">
        <f ca="1">IF(COUNTIFS($BP$6:$BP$53,BP28,$BC$6:$BC$53,INDEX(T_Equipos[Grupo],MATCH(BD28,T_Equipos[NombreEquipo],0)))=1,"-","P."&amp;BP28&amp;" ("&amp;COUNTIFS($BP$6:$BP$53,BP28,$BC$6:$BC$53,INDEX(T_Equipos[Grupo],MATCH(BD28,T_Equipos[NombreEquipo],0)))&amp;")")</f>
        <v>P.1 (4)</v>
      </c>
      <c r="BR28" s="754">
        <f t="shared" ca="1" si="29"/>
        <v>0</v>
      </c>
      <c r="BS28" s="753">
        <f ca="1">BP28+COUNTIFS($BQ$6:$BQ$53,BQ28,$BR$6:BR$53,"&gt;"&amp;BR28,$BC$6:$BC$53,INDEX(T_Equipos[Grupo],MATCH(BD28,T_Equipos[NombreEquipo],0)))</f>
        <v>1</v>
      </c>
      <c r="BT28" s="753" t="str">
        <f ca="1">IF(COUNTIFS($BS$6:$BS$53,BS28,$BC$6:$BC$53,INDEX(T_Equipos[Grupo],MATCH(BD28,T_Equipos[NombreEquipo],0)))=1,"-","P."&amp;BS28&amp;" ("&amp;COUNTIFS($BS$6:$BS$53,BS28,$BC$6:$BC$53,INDEX(T_Equipos[Grupo],MATCH(BD28,T_Equipos[NombreEquipo],0)))&amp;")")</f>
        <v>P.1 (4)</v>
      </c>
      <c r="BU28" s="754">
        <f t="shared" ca="1" si="36"/>
        <v>0</v>
      </c>
      <c r="BV28" s="754">
        <f t="shared" ca="1" si="37"/>
        <v>0</v>
      </c>
      <c r="BW28" s="754">
        <f t="shared" ca="1" si="38"/>
        <v>0</v>
      </c>
      <c r="BX28" s="754">
        <f t="shared" ca="1" si="39"/>
        <v>0</v>
      </c>
      <c r="BY28" s="754">
        <f ca="1">BS28+COUNTIFS($BT$6:$BT$53,BT28,$BX$6:BX$53,"&gt;"&amp;BX28,$BC$6:$BC$53,INDEX(T_Equipos[Grupo],MATCH(BD28,T_Equipos[NombreEquipo],0)))</f>
        <v>1</v>
      </c>
      <c r="BZ28" s="753" t="str">
        <f ca="1">IF(COUNTIFS($BY$6:$BY$53,BY28,$BC$6:$BC$53,INDEX(T_Equipos[Grupo],MATCH(BD28,T_Equipos[NombreEquipo],0)))=1,"-","P."&amp;BY28&amp;" ("&amp;COUNTIFS($BY$6:$BY$53,BY28,$BC$6:$BC$53,INDEX(T_Equipos[Grupo],MATCH(BD28,T_Equipos[NombreEquipo],0)))&amp;")")</f>
        <v>P.1 (4)</v>
      </c>
      <c r="CA28" s="754">
        <f t="shared" ca="1" si="40"/>
        <v>0</v>
      </c>
      <c r="CB28" s="754">
        <f t="shared" ca="1" si="41"/>
        <v>0</v>
      </c>
      <c r="CC28" s="754">
        <f t="shared" ca="1" si="42"/>
        <v>0</v>
      </c>
      <c r="CD28" s="754">
        <f ca="1">BY28+COUNTIFS($BZ$6:$BZ$53,BZ28,$CC$6:CC$53,"&gt;"&amp;CC28,$BC$6:$BC$53,INDEX(T_Equipos[Grupo],MATCH(BD28,T_Equipos[NombreEquipo],0)))</f>
        <v>1</v>
      </c>
      <c r="CE28" s="753" t="str">
        <f ca="1">IF(COUNTIFS($CD$6:$CD$53,CD28,$BC$6:$BC$53,INDEX(T_Equipos[Grupo],MATCH(BD28,T_Equipos[NombreEquipo],0)))=1,"-","P."&amp;CD28&amp;" ("&amp;COUNTIFS($CD$6:$CD$53,CD28,$BC$6:$BC$53,INDEX(T_Equipos[Grupo],MATCH(BD28,T_Equipos[NombreEquipo],0)))&amp;")")</f>
        <v>P.1 (4)</v>
      </c>
      <c r="CF28" s="754">
        <f t="shared" ca="1" si="43"/>
        <v>0</v>
      </c>
      <c r="CG28" s="754">
        <f ca="1">CD28+COUNTIFS($CE$6:$CE$53,CE28,$CF$6:CF$53,"&gt;"&amp;CF28,$BC$6:$BC$53,INDEX(T_Equipos[Grupo],MATCH(BD28,T_Equipos[NombreEquipo],0)))</f>
        <v>1</v>
      </c>
      <c r="CH28" s="753" t="str">
        <f ca="1">IF(COUNTIFS($CG$6:$CG$53,CG28,$BC$6:$BC$53,INDEX(T_Equipos[Grupo],MATCH(BD28,T_Equipos[NombreEquipo],0)))=1,"-","P."&amp;CG28&amp;" ("&amp;COUNTIFS($CG$6:$CG$53,CG28,$BC$6:$BC$53,INDEX(T_Equipos[Grupo],MATCH(BD28,T_Equipos[NombreEquipo],0)))&amp;")")</f>
        <v>P.1 (4)</v>
      </c>
      <c r="CI28" s="754">
        <f t="shared" ca="1" si="44"/>
        <v>0</v>
      </c>
      <c r="CJ28" s="754">
        <f t="shared" ca="1" si="45"/>
        <v>0</v>
      </c>
      <c r="CK28" s="754">
        <f t="shared" ca="1" si="46"/>
        <v>0</v>
      </c>
      <c r="CL28" s="754">
        <f t="shared" ca="1" si="47"/>
        <v>0</v>
      </c>
      <c r="CM28" s="754">
        <f ca="1">CG28+COUNTIFS($CH$6:$CH$53,CH28,$CL$6:CL$53,"&gt;"&amp;CL28,$BC$6:$BC$53,INDEX(T_Equipos[Grupo],MATCH(BD28,T_Equipos[NombreEquipo],0)))</f>
        <v>1</v>
      </c>
      <c r="CN28" s="753" t="str">
        <f ca="1">IF(COUNTIFS($CM$6:$CM$53,CM28,$BC$6:$BC$53,INDEX(T_Equipos[Grupo],MATCH(BD28,T_Equipos[NombreEquipo],0)))=1,"-","P."&amp;CM28&amp;" ("&amp;COUNTIFS($CM$6:$CM$53,CM28,$BC$6:$BC$53,INDEX(T_Equipos[Grupo],MATCH(BD28,T_Equipos[NombreEquipo],0)))&amp;")")</f>
        <v>P.1 (4)</v>
      </c>
      <c r="CO28" s="754">
        <f t="shared" ca="1" si="48"/>
        <v>0</v>
      </c>
      <c r="CP28" s="754">
        <f t="shared" ca="1" si="49"/>
        <v>0</v>
      </c>
      <c r="CQ28" s="754">
        <f t="shared" ca="1" si="50"/>
        <v>0</v>
      </c>
      <c r="CR28" s="754">
        <f ca="1">CM28+COUNTIFS($CN$6:$CN$53,CN28,$CQ$6:CQ$53,"&gt;"&amp;CQ28,$BC$6:$BC$53,INDEX(T_Equipos[Grupo],MATCH(BD28,T_Equipos[NombreEquipo],0)))</f>
        <v>1</v>
      </c>
      <c r="CS28" s="753" t="str">
        <f ca="1">IF(COUNTIFS($CR$6:$CR$53,CR28,$BC$6:$BC$53,INDEX(T_Equipos[Grupo],MATCH(BD28,T_Equipos[NombreEquipo],0)))=1,"-","P."&amp;CR28&amp;" ("&amp;COUNTIFS($CR$6:$CR$53,CR28,$BC$6:$BC$53,INDEX(T_Equipos[Grupo],MATCH(BD28,T_Equipos[NombreEquipo],0)))&amp;")")</f>
        <v>P.1 (4)</v>
      </c>
      <c r="CT28" s="754">
        <f t="shared" ca="1" si="51"/>
        <v>0</v>
      </c>
      <c r="CU28" s="754">
        <f ca="1">CR28+COUNTIFS($CS$6:$CS$53,CS28,$CT$6:CT$53,"&gt;"&amp;CT28,$BC$6:$BC$53,INDEX(T_Equipos[Grupo],MATCH(BD28,T_Equipos[NombreEquipo],0)))</f>
        <v>1</v>
      </c>
      <c r="CV28" s="753" t="str">
        <f ca="1">IF(COUNTIFS($CU$6:$CU$53,CU28,$BC$6:$BC$53,INDEX(T_Equipos[Grupo],MATCH(BD28,T_Equipos[NombreEquipo],0)))=1,"-","P."&amp;CU28&amp;" ("&amp;COUNTIFS($CU$6:$CU$53,CU28,$BC$6:$BC$53,INDEX(T_Equipos[Grupo],MATCH(BD28,T_Equipos[NombreEquipo],0)))&amp;")")</f>
        <v>P.1 (4)</v>
      </c>
      <c r="CW28" s="753">
        <f t="shared" ca="1" si="30"/>
        <v>0</v>
      </c>
      <c r="CX28" s="753">
        <f ca="1">CU28+COUNTIFS($CV$6:$CV$53,CV28,$CW$6:CW$53,"&gt;"&amp;CW28,$BC$6:$BC$53,INDEX(T_Equipos[Grupo],MATCH(BD28,T_Equipos[NombreEquipo],0)))</f>
        <v>1</v>
      </c>
      <c r="CY28" s="753" t="str">
        <f ca="1">IF(COUNTIFS($CX$6:$CX$53,CX28,$BC$6:$BC$53,INDEX(T_Equipos[Grupo],MATCH(BD28,T_Equipos[NombreEquipo],0)))=1,"-","P."&amp;CX28&amp;" ("&amp;COUNTIFS($CX$6:$CX$53,CX28,$BC$6:$BC$53,INDEX(T_Equipos[Grupo],MATCH(BD28,T_Equipos[NombreEquipo],0)))&amp;")")</f>
        <v>P.1 (4)</v>
      </c>
      <c r="CZ28" s="753">
        <f t="shared" ca="1" si="31"/>
        <v>0</v>
      </c>
      <c r="DA28" s="754">
        <f ca="1">CX28+COUNTIFS($CY$6:$CY$53,CY28,$CZ$6:CZ$53,"&gt;"&amp;CZ28,$BC$6:$BC$53,INDEX(T_Equipos[Grupo],MATCH(BD28,T_Equipos[NombreEquipo],0)))</f>
        <v>1</v>
      </c>
      <c r="DB28" s="753" t="str">
        <f ca="1">IF(COUNTIFS($DA$6:$DA$53,DA28,$BC$6:$BC$53,INDEX(T_Equipos[Grupo],MATCH(BD28,T_Equipos[NombreEquipo],0)))=1,"-","P."&amp;DA28&amp;" ("&amp;COUNTIFS($DA$6:$DA$53,DA28,$BC$6:$BC$53,INDEX(T_Equipos[Grupo],MATCH(BD28,T_Equipos[NombreEquipo],0)))&amp;")")</f>
        <v>P.1 (4)</v>
      </c>
      <c r="DC28" s="752">
        <f ca="1">IF(DB28="-","-",COUNTIFS(T_Equipos[Rank],"&lt;"&amp;INDEX(T_Equipos[Rank],MATCH(BD28,T_Equipos[NombreEquipo],0)),$BC$6:$BC$53,INDEX(T_Equipos[Grupo],MATCH(BD28,T_Equipos[NombreEquipo],0)))+1)</f>
        <v>3</v>
      </c>
      <c r="DD28" s="752">
        <f ca="1">DA28+COUNTIFS($DB$6:$DB$53,DB28,$DC$6:DC$53,"&lt;"&amp;DC28,$BC$6:$BC$53,INDEX(T_Equipos[Grupo],MATCH(BD28,T_Equipos[NombreEquipo],0)))</f>
        <v>3</v>
      </c>
      <c r="DE28" s="752"/>
      <c r="DF28" s="752">
        <f t="shared" ca="1" si="52"/>
        <v>3</v>
      </c>
      <c r="DG28" s="752">
        <f ca="1">IF(DB28="-","-",COUNTIFS(DF$6:DF$53,"&lt;"&amp;DF28,$BC$6:$BC$53,INDEX(T_Equipos[Grupo],MATCH(BD28,T_Equipos[NombreEquipo],0))))</f>
        <v>2</v>
      </c>
      <c r="DH28" s="752">
        <f ca="1">DA28+COUNTIFS(DB$6:DB$53,DB28,DG$6:DG$53,"&lt;"&amp;DG28,$BC$6:$BC$53,INDEX(T_Equipos[Grupo],MATCH(BD28,T_Equipos[NombreEquipo],0)))</f>
        <v>3</v>
      </c>
      <c r="DI28" s="740"/>
      <c r="DJ28" s="740">
        <f t="shared" ca="1" si="53"/>
        <v>1</v>
      </c>
      <c r="DK28" s="740">
        <f t="shared" ca="1" si="24"/>
        <v>0</v>
      </c>
      <c r="DL28" s="740">
        <f t="shared" ca="1" si="33"/>
        <v>1</v>
      </c>
      <c r="DM28" s="734" t="str">
        <f t="shared" ca="1" si="34"/>
        <v>1.1</v>
      </c>
      <c r="DN28" s="740" cm="1">
        <f t="array" aca="1" ref="DN28" ca="1">OFFSET(Horarios!$P$3,DJ28-1,0,DL28,1)</f>
        <v>1</v>
      </c>
      <c r="DO28" s="740"/>
      <c r="DP28" s="740" t="s">
        <v>94</v>
      </c>
      <c r="DQ28" s="740" t="str">
        <f t="shared" ca="1" si="35"/>
        <v>Suecia</v>
      </c>
      <c r="DR28" s="740"/>
      <c r="DS28" s="740"/>
      <c r="DT28" s="740" t="str">
        <f t="shared" ca="1" si="15"/>
        <v>Estados Unidos-Paraguay</v>
      </c>
      <c r="DU28" s="740"/>
      <c r="DV28" s="740"/>
      <c r="DW28" s="8"/>
    </row>
    <row r="29" spans="1:127" ht="15.95" customHeight="1">
      <c r="A29" s="741" t="str">
        <f ca="1">+Equipos!B14</f>
        <v>Estados Unidos</v>
      </c>
      <c r="B29" s="738"/>
      <c r="C29" s="738"/>
      <c r="D29" s="740" t="str">
        <f t="shared" si="94"/>
        <v>Pendiente</v>
      </c>
      <c r="E29" s="740" t="str">
        <f t="shared" si="95"/>
        <v>-</v>
      </c>
      <c r="F29" s="740" t="str">
        <f t="shared" si="96"/>
        <v>-</v>
      </c>
      <c r="G29" s="740"/>
      <c r="H29" s="740" t="str">
        <f t="shared" si="97"/>
        <v>-</v>
      </c>
      <c r="I29" s="740" t="str">
        <f t="shared" si="98"/>
        <v>-</v>
      </c>
      <c r="J29" s="740"/>
      <c r="K29" s="740" t="str">
        <f t="shared" si="99"/>
        <v>-</v>
      </c>
      <c r="L29" s="740" t="str">
        <f t="shared" si="100"/>
        <v>-</v>
      </c>
      <c r="M29" s="740"/>
      <c r="N29" s="740" t="str">
        <f t="shared" si="101"/>
        <v>-</v>
      </c>
      <c r="O29" s="740" t="str">
        <f t="shared" si="102"/>
        <v>-</v>
      </c>
      <c r="P29" s="740"/>
      <c r="Q29" s="740" t="str">
        <f t="shared" si="103"/>
        <v>-</v>
      </c>
      <c r="R29" s="740" t="str">
        <f t="shared" si="104"/>
        <v>-</v>
      </c>
      <c r="S29" s="740"/>
      <c r="T29" s="740" t="str">
        <f t="shared" si="105"/>
        <v>-</v>
      </c>
      <c r="U29" s="740" t="str">
        <f t="shared" si="106"/>
        <v>-</v>
      </c>
      <c r="V29" s="172"/>
      <c r="W29" s="894"/>
      <c r="X29" s="189">
        <f ca="1">Horarios!C29</f>
        <v>46187</v>
      </c>
      <c r="Y29" s="190">
        <f ca="1">Horarios!C29</f>
        <v>46187</v>
      </c>
      <c r="Z29" s="191" t="str">
        <f>$Z$4</f>
        <v>J1</v>
      </c>
      <c r="AA29" s="192" t="str">
        <f ca="1">A31</f>
        <v>Australia</v>
      </c>
      <c r="AB29" s="477" t="str" cm="1">
        <f t="array" aca="1" ref="AB29" ca="1">Ver_flag_local</f>
        <v/>
      </c>
      <c r="AC29" s="193"/>
      <c r="AD29" s="194"/>
      <c r="AE29" s="482"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0"/>
      <c r="BC29" s="752" t="str">
        <f ca="1">+INDEX(T_Equipos[Grupo],MATCH(WORLDCUP!BD29,T_Equipos[NombreEquipo],0))</f>
        <v>F</v>
      </c>
      <c r="BD29" s="740" t="str">
        <f ca="1">+Equipos!B25</f>
        <v>Túnez</v>
      </c>
      <c r="BE29" s="744">
        <f t="shared" ca="1" si="25"/>
        <v>0</v>
      </c>
      <c r="BF29" s="744">
        <f t="shared" ca="1" si="26"/>
        <v>0</v>
      </c>
      <c r="BG29" s="744">
        <f t="shared" ca="1" si="17"/>
        <v>0</v>
      </c>
      <c r="BH29" s="744">
        <f t="shared" ca="1" si="18"/>
        <v>0</v>
      </c>
      <c r="BI29" s="744">
        <f t="shared" ca="1" si="19"/>
        <v>0</v>
      </c>
      <c r="BJ29" s="744">
        <f t="shared" ca="1" si="20"/>
        <v>0</v>
      </c>
      <c r="BK29" s="744">
        <f t="shared" ca="1" si="21"/>
        <v>0</v>
      </c>
      <c r="BL29" s="744">
        <f t="shared" ca="1" si="27"/>
        <v>0</v>
      </c>
      <c r="BM29" s="744" t="str">
        <f t="shared" ca="1" si="22"/>
        <v>4F</v>
      </c>
      <c r="BN29" s="744" t="str">
        <f t="shared" ca="1" si="23"/>
        <v>4F</v>
      </c>
      <c r="BO29" s="754">
        <f t="shared" ca="1" si="28"/>
        <v>0</v>
      </c>
      <c r="BP29" s="753">
        <f ca="1">COUNTIFS($BO$6:$BO$53,"&gt;"&amp;BO29,$BC$6:$BC$53,INDEX(T_Equipos[Grupo],MATCH(BD29,T_Equipos[NombreEquipo],0)))+1</f>
        <v>1</v>
      </c>
      <c r="BQ29" s="753" t="str">
        <f ca="1">IF(COUNTIFS($BP$6:$BP$53,BP29,$BC$6:$BC$53,INDEX(T_Equipos[Grupo],MATCH(BD29,T_Equipos[NombreEquipo],0)))=1,"-","P."&amp;BP29&amp;" ("&amp;COUNTIFS($BP$6:$BP$53,BP29,$BC$6:$BC$53,INDEX(T_Equipos[Grupo],MATCH(BD29,T_Equipos[NombreEquipo],0)))&amp;")")</f>
        <v>P.1 (4)</v>
      </c>
      <c r="BR29" s="754">
        <f t="shared" ca="1" si="29"/>
        <v>0</v>
      </c>
      <c r="BS29" s="753">
        <f ca="1">BP29+COUNTIFS($BQ$6:$BQ$53,BQ29,$BR$6:BR$53,"&gt;"&amp;BR29,$BC$6:$BC$53,INDEX(T_Equipos[Grupo],MATCH(BD29,T_Equipos[NombreEquipo],0)))</f>
        <v>1</v>
      </c>
      <c r="BT29" s="753" t="str">
        <f ca="1">IF(COUNTIFS($BS$6:$BS$53,BS29,$BC$6:$BC$53,INDEX(T_Equipos[Grupo],MATCH(BD29,T_Equipos[NombreEquipo],0)))=1,"-","P."&amp;BS29&amp;" ("&amp;COUNTIFS($BS$6:$BS$53,BS29,$BC$6:$BC$53,INDEX(T_Equipos[Grupo],MATCH(BD29,T_Equipos[NombreEquipo],0)))&amp;")")</f>
        <v>P.1 (4)</v>
      </c>
      <c r="BU29" s="754">
        <f t="shared" ca="1" si="36"/>
        <v>0</v>
      </c>
      <c r="BV29" s="754">
        <f t="shared" ca="1" si="37"/>
        <v>0</v>
      </c>
      <c r="BW29" s="754">
        <f t="shared" ca="1" si="38"/>
        <v>0</v>
      </c>
      <c r="BX29" s="754">
        <f t="shared" ca="1" si="39"/>
        <v>0</v>
      </c>
      <c r="BY29" s="754">
        <f ca="1">BS29+COUNTIFS($BT$6:$BT$53,BT29,$BX$6:BX$53,"&gt;"&amp;BX29,$BC$6:$BC$53,INDEX(T_Equipos[Grupo],MATCH(BD29,T_Equipos[NombreEquipo],0)))</f>
        <v>1</v>
      </c>
      <c r="BZ29" s="753" t="str">
        <f ca="1">IF(COUNTIFS($BY$6:$BY$53,BY29,$BC$6:$BC$53,INDEX(T_Equipos[Grupo],MATCH(BD29,T_Equipos[NombreEquipo],0)))=1,"-","P."&amp;BY29&amp;" ("&amp;COUNTIFS($BY$6:$BY$53,BY29,$BC$6:$BC$53,INDEX(T_Equipos[Grupo],MATCH(BD29,T_Equipos[NombreEquipo],0)))&amp;")")</f>
        <v>P.1 (4)</v>
      </c>
      <c r="CA29" s="754">
        <f t="shared" ca="1" si="40"/>
        <v>0</v>
      </c>
      <c r="CB29" s="754">
        <f t="shared" ca="1" si="41"/>
        <v>0</v>
      </c>
      <c r="CC29" s="754">
        <f t="shared" ca="1" si="42"/>
        <v>0</v>
      </c>
      <c r="CD29" s="754">
        <f ca="1">BY29+COUNTIFS($BZ$6:$BZ$53,BZ29,$CC$6:CC$53,"&gt;"&amp;CC29,$BC$6:$BC$53,INDEX(T_Equipos[Grupo],MATCH(BD29,T_Equipos[NombreEquipo],0)))</f>
        <v>1</v>
      </c>
      <c r="CE29" s="753" t="str">
        <f ca="1">IF(COUNTIFS($CD$6:$CD$53,CD29,$BC$6:$BC$53,INDEX(T_Equipos[Grupo],MATCH(BD29,T_Equipos[NombreEquipo],0)))=1,"-","P."&amp;CD29&amp;" ("&amp;COUNTIFS($CD$6:$CD$53,CD29,$BC$6:$BC$53,INDEX(T_Equipos[Grupo],MATCH(BD29,T_Equipos[NombreEquipo],0)))&amp;")")</f>
        <v>P.1 (4)</v>
      </c>
      <c r="CF29" s="754">
        <f t="shared" ca="1" si="43"/>
        <v>0</v>
      </c>
      <c r="CG29" s="754">
        <f ca="1">CD29+COUNTIFS($CE$6:$CE$53,CE29,$CF$6:CF$53,"&gt;"&amp;CF29,$BC$6:$BC$53,INDEX(T_Equipos[Grupo],MATCH(BD29,T_Equipos[NombreEquipo],0)))</f>
        <v>1</v>
      </c>
      <c r="CH29" s="753" t="str">
        <f ca="1">IF(COUNTIFS($CG$6:$CG$53,CG29,$BC$6:$BC$53,INDEX(T_Equipos[Grupo],MATCH(BD29,T_Equipos[NombreEquipo],0)))=1,"-","P."&amp;CG29&amp;" ("&amp;COUNTIFS($CG$6:$CG$53,CG29,$BC$6:$BC$53,INDEX(T_Equipos[Grupo],MATCH(BD29,T_Equipos[NombreEquipo],0)))&amp;")")</f>
        <v>P.1 (4)</v>
      </c>
      <c r="CI29" s="754">
        <f t="shared" ca="1" si="44"/>
        <v>0</v>
      </c>
      <c r="CJ29" s="754">
        <f t="shared" ca="1" si="45"/>
        <v>0</v>
      </c>
      <c r="CK29" s="754">
        <f t="shared" ca="1" si="46"/>
        <v>0</v>
      </c>
      <c r="CL29" s="754">
        <f t="shared" ca="1" si="47"/>
        <v>0</v>
      </c>
      <c r="CM29" s="754">
        <f ca="1">CG29+COUNTIFS($CH$6:$CH$53,CH29,$CL$6:CL$53,"&gt;"&amp;CL29,$BC$6:$BC$53,INDEX(T_Equipos[Grupo],MATCH(BD29,T_Equipos[NombreEquipo],0)))</f>
        <v>1</v>
      </c>
      <c r="CN29" s="753" t="str">
        <f ca="1">IF(COUNTIFS($CM$6:$CM$53,CM29,$BC$6:$BC$53,INDEX(T_Equipos[Grupo],MATCH(BD29,T_Equipos[NombreEquipo],0)))=1,"-","P."&amp;CM29&amp;" ("&amp;COUNTIFS($CM$6:$CM$53,CM29,$BC$6:$BC$53,INDEX(T_Equipos[Grupo],MATCH(BD29,T_Equipos[NombreEquipo],0)))&amp;")")</f>
        <v>P.1 (4)</v>
      </c>
      <c r="CO29" s="754">
        <f t="shared" ca="1" si="48"/>
        <v>0</v>
      </c>
      <c r="CP29" s="754">
        <f t="shared" ca="1" si="49"/>
        <v>0</v>
      </c>
      <c r="CQ29" s="754">
        <f t="shared" ca="1" si="50"/>
        <v>0</v>
      </c>
      <c r="CR29" s="754">
        <f ca="1">CM29+COUNTIFS($CN$6:$CN$53,CN29,$CQ$6:CQ$53,"&gt;"&amp;CQ29,$BC$6:$BC$53,INDEX(T_Equipos[Grupo],MATCH(BD29,T_Equipos[NombreEquipo],0)))</f>
        <v>1</v>
      </c>
      <c r="CS29" s="753" t="str">
        <f ca="1">IF(COUNTIFS($CR$6:$CR$53,CR29,$BC$6:$BC$53,INDEX(T_Equipos[Grupo],MATCH(BD29,T_Equipos[NombreEquipo],0)))=1,"-","P."&amp;CR29&amp;" ("&amp;COUNTIFS($CR$6:$CR$53,CR29,$BC$6:$BC$53,INDEX(T_Equipos[Grupo],MATCH(BD29,T_Equipos[NombreEquipo],0)))&amp;")")</f>
        <v>P.1 (4)</v>
      </c>
      <c r="CT29" s="754">
        <f t="shared" ca="1" si="51"/>
        <v>0</v>
      </c>
      <c r="CU29" s="754">
        <f ca="1">CR29+COUNTIFS($CS$6:$CS$53,CS29,$CT$6:CT$53,"&gt;"&amp;CT29,$BC$6:$BC$53,INDEX(T_Equipos[Grupo],MATCH(BD29,T_Equipos[NombreEquipo],0)))</f>
        <v>1</v>
      </c>
      <c r="CV29" s="753" t="str">
        <f ca="1">IF(COUNTIFS($CU$6:$CU$53,CU29,$BC$6:$BC$53,INDEX(T_Equipos[Grupo],MATCH(BD29,T_Equipos[NombreEquipo],0)))=1,"-","P."&amp;CU29&amp;" ("&amp;COUNTIFS($CU$6:$CU$53,CU29,$BC$6:$BC$53,INDEX(T_Equipos[Grupo],MATCH(BD29,T_Equipos[NombreEquipo],0)))&amp;")")</f>
        <v>P.1 (4)</v>
      </c>
      <c r="CW29" s="753">
        <f t="shared" ca="1" si="30"/>
        <v>0</v>
      </c>
      <c r="CX29" s="753">
        <f ca="1">CU29+COUNTIFS($CV$6:$CV$53,CV29,$CW$6:CW$53,"&gt;"&amp;CW29,$BC$6:$BC$53,INDEX(T_Equipos[Grupo],MATCH(BD29,T_Equipos[NombreEquipo],0)))</f>
        <v>1</v>
      </c>
      <c r="CY29" s="753" t="str">
        <f ca="1">IF(COUNTIFS($CX$6:$CX$53,CX29,$BC$6:$BC$53,INDEX(T_Equipos[Grupo],MATCH(BD29,T_Equipos[NombreEquipo],0)))=1,"-","P."&amp;CX29&amp;" ("&amp;COUNTIFS($CX$6:$CX$53,CX29,$BC$6:$BC$53,INDEX(T_Equipos[Grupo],MATCH(BD29,T_Equipos[NombreEquipo],0)))&amp;")")</f>
        <v>P.1 (4)</v>
      </c>
      <c r="CZ29" s="753">
        <f t="shared" ca="1" si="31"/>
        <v>0</v>
      </c>
      <c r="DA29" s="754">
        <f ca="1">CX29+COUNTIFS($CY$6:$CY$53,CY29,$CZ$6:CZ$53,"&gt;"&amp;CZ29,$BC$6:$BC$53,INDEX(T_Equipos[Grupo],MATCH(BD29,T_Equipos[NombreEquipo],0)))</f>
        <v>1</v>
      </c>
      <c r="DB29" s="753" t="str">
        <f ca="1">IF(COUNTIFS($DA$6:$DA$53,DA29,$BC$6:$BC$53,INDEX(T_Equipos[Grupo],MATCH(BD29,T_Equipos[NombreEquipo],0)))=1,"-","P."&amp;DA29&amp;" ("&amp;COUNTIFS($DA$6:$DA$53,DA29,$BC$6:$BC$53,INDEX(T_Equipos[Grupo],MATCH(BD29,T_Equipos[NombreEquipo],0)))&amp;")")</f>
        <v>P.1 (4)</v>
      </c>
      <c r="DC29" s="752">
        <f ca="1">IF(DB29="-","-",COUNTIFS(T_Equipos[Rank],"&lt;"&amp;INDEX(T_Equipos[Rank],MATCH(BD29,T_Equipos[NombreEquipo],0)),$BC$6:$BC$53,INDEX(T_Equipos[Grupo],MATCH(BD29,T_Equipos[NombreEquipo],0)))+1)</f>
        <v>4</v>
      </c>
      <c r="DD29" s="752">
        <f ca="1">DA29+COUNTIFS($DB$6:$DB$53,DB29,$DC$6:DC$53,"&lt;"&amp;DC29,$BC$6:$BC$53,INDEX(T_Equipos[Grupo],MATCH(BD29,T_Equipos[NombreEquipo],0)))</f>
        <v>4</v>
      </c>
      <c r="DE29" s="752"/>
      <c r="DF29" s="752">
        <f t="shared" ca="1" si="52"/>
        <v>4</v>
      </c>
      <c r="DG29" s="752">
        <f ca="1">IF(DB29="-","-",COUNTIFS(DF$6:DF$53,"&lt;"&amp;DF29,$BC$6:$BC$53,INDEX(T_Equipos[Grupo],MATCH(BD29,T_Equipos[NombreEquipo],0))))</f>
        <v>3</v>
      </c>
      <c r="DH29" s="752">
        <f ca="1">DA29+COUNTIFS(DB$6:DB$53,DB29,DG$6:DG$53,"&lt;"&amp;DG29,$BC$6:$BC$53,INDEX(T_Equipos[Grupo],MATCH(BD29,T_Equipos[NombreEquipo],0)))</f>
        <v>4</v>
      </c>
      <c r="DI29" s="740"/>
      <c r="DJ29" s="740">
        <f t="shared" ca="1" si="53"/>
        <v>1</v>
      </c>
      <c r="DK29" s="740">
        <f t="shared" ca="1" si="24"/>
        <v>0</v>
      </c>
      <c r="DL29" s="740">
        <f t="shared" ca="1" si="33"/>
        <v>1</v>
      </c>
      <c r="DM29" s="734" t="str">
        <f t="shared" ca="1" si="34"/>
        <v>1.1</v>
      </c>
      <c r="DN29" s="740" cm="1">
        <f t="array" aca="1" ref="DN29" ca="1">OFFSET(Horarios!$P$3,DJ29-1,0,DL29,1)</f>
        <v>1</v>
      </c>
      <c r="DO29" s="740"/>
      <c r="DP29" s="740" t="s">
        <v>666</v>
      </c>
      <c r="DQ29" s="740" t="str">
        <f t="shared" ca="1" si="35"/>
        <v>Túnez</v>
      </c>
      <c r="DR29" s="740"/>
      <c r="DS29" s="740"/>
      <c r="DT29" s="740" t="str">
        <f t="shared" ca="1" si="15"/>
        <v>Australia-Turquía</v>
      </c>
      <c r="DU29" s="740"/>
      <c r="DV29" s="740"/>
      <c r="DW29" s="8"/>
    </row>
    <row r="30" spans="1:127" ht="15.95" customHeight="1">
      <c r="A30" s="741" t="str">
        <f ca="1">+Equipos!B15</f>
        <v>Paraguay</v>
      </c>
      <c r="B30" s="738"/>
      <c r="C30" s="742"/>
      <c r="D30" s="740" t="str">
        <f t="shared" si="94"/>
        <v>Pendiente</v>
      </c>
      <c r="E30" s="740" t="str">
        <f t="shared" si="95"/>
        <v>-</v>
      </c>
      <c r="F30" s="740" t="str">
        <f t="shared" si="96"/>
        <v>-</v>
      </c>
      <c r="G30" s="740"/>
      <c r="H30" s="740" t="str">
        <f t="shared" si="97"/>
        <v>-</v>
      </c>
      <c r="I30" s="740" t="str">
        <f t="shared" si="98"/>
        <v>-</v>
      </c>
      <c r="J30" s="740"/>
      <c r="K30" s="740" t="str">
        <f t="shared" si="99"/>
        <v>-</v>
      </c>
      <c r="L30" s="740" t="str">
        <f t="shared" si="100"/>
        <v>-</v>
      </c>
      <c r="M30" s="740"/>
      <c r="N30" s="740" t="str">
        <f t="shared" si="101"/>
        <v>-</v>
      </c>
      <c r="O30" s="740" t="str">
        <f t="shared" si="102"/>
        <v>-</v>
      </c>
      <c r="P30" s="740"/>
      <c r="Q30" s="740" t="str">
        <f t="shared" si="103"/>
        <v>-</v>
      </c>
      <c r="R30" s="740" t="str">
        <f t="shared" si="104"/>
        <v>-</v>
      </c>
      <c r="S30" s="740"/>
      <c r="T30" s="740" t="str">
        <f t="shared" si="105"/>
        <v>-</v>
      </c>
      <c r="U30" s="740" t="str">
        <f t="shared" si="106"/>
        <v>-</v>
      </c>
      <c r="V30" s="172"/>
      <c r="W30" s="894"/>
      <c r="X30" s="189">
        <f ca="1">Horarios!C30</f>
        <v>46192.625</v>
      </c>
      <c r="Y30" s="190">
        <f ca="1">Horarios!C30</f>
        <v>46192.625</v>
      </c>
      <c r="Z30" s="191" t="str">
        <f>$Z$6</f>
        <v>J2</v>
      </c>
      <c r="AA30" s="192" t="str">
        <f ca="1">A29</f>
        <v>Estados Unidos</v>
      </c>
      <c r="AB30" s="477" t="str" cm="1">
        <f t="array" aca="1" ref="AB30" ca="1">Ver_flag_local</f>
        <v/>
      </c>
      <c r="AC30" s="193"/>
      <c r="AD30" s="194"/>
      <c r="AE30" s="482" t="str" cm="1">
        <f t="array" aca="1" ref="AE30" ca="1">Ver_flag_visit</f>
        <v/>
      </c>
      <c r="AF30" s="195" t="str">
        <f ca="1">A31</f>
        <v>Australia</v>
      </c>
      <c r="AG30" s="413">
        <f t="shared" si="107"/>
        <v>0</v>
      </c>
      <c r="AH30" s="196">
        <v>32</v>
      </c>
      <c r="AI30" s="19" t="str">
        <f>AJ30&amp;$B$28</f>
        <v>1D</v>
      </c>
      <c r="AJ30" s="211">
        <v>1</v>
      </c>
      <c r="AK30" s="487"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0"/>
      <c r="BC30" s="752" t="str">
        <f ca="1">+INDEX(T_Equipos[Grupo],MATCH(WORLDCUP!BD30,T_Equipos[NombreEquipo],0))</f>
        <v>G</v>
      </c>
      <c r="BD30" s="740" t="str">
        <f ca="1">+Equipos!B26</f>
        <v>Bélgica</v>
      </c>
      <c r="BE30" s="744">
        <f t="shared" ca="1" si="25"/>
        <v>0</v>
      </c>
      <c r="BF30" s="744">
        <f t="shared" ca="1" si="26"/>
        <v>0</v>
      </c>
      <c r="BG30" s="744">
        <f t="shared" ca="1" si="17"/>
        <v>0</v>
      </c>
      <c r="BH30" s="744">
        <f t="shared" ca="1" si="18"/>
        <v>0</v>
      </c>
      <c r="BI30" s="744">
        <f t="shared" ca="1" si="19"/>
        <v>0</v>
      </c>
      <c r="BJ30" s="744">
        <f t="shared" ca="1" si="20"/>
        <v>0</v>
      </c>
      <c r="BK30" s="744">
        <f t="shared" ca="1" si="21"/>
        <v>0</v>
      </c>
      <c r="BL30" s="744">
        <f t="shared" ca="1" si="27"/>
        <v>0</v>
      </c>
      <c r="BM30" s="744" t="str">
        <f t="shared" ca="1" si="22"/>
        <v>1G</v>
      </c>
      <c r="BN30" s="744" t="str">
        <f t="shared" ca="1" si="23"/>
        <v>1G</v>
      </c>
      <c r="BO30" s="753">
        <f t="shared" ca="1" si="28"/>
        <v>0</v>
      </c>
      <c r="BP30" s="753">
        <f ca="1">COUNTIFS($BO$6:$BO$53,"&gt;"&amp;BO30,$BC$6:$BC$53,INDEX(T_Equipos[Grupo],MATCH(BD30,T_Equipos[NombreEquipo],0)))+1</f>
        <v>1</v>
      </c>
      <c r="BQ30" s="753" t="str">
        <f ca="1">IF(COUNTIFS($BP$6:$BP$53,BP30,$BC$6:$BC$53,INDEX(T_Equipos[Grupo],MATCH(BD30,T_Equipos[NombreEquipo],0)))=1,"-","P."&amp;BP30&amp;" ("&amp;COUNTIFS($BP$6:$BP$53,BP30,$BC$6:$BC$53,INDEX(T_Equipos[Grupo],MATCH(BD30,T_Equipos[NombreEquipo],0)))&amp;")")</f>
        <v>P.1 (4)</v>
      </c>
      <c r="BR30" s="753">
        <f t="shared" ca="1" si="29"/>
        <v>0</v>
      </c>
      <c r="BS30" s="753">
        <f ca="1">BP30+COUNTIFS($BQ$6:$BQ$53,BQ30,$BR$6:BR$53,"&gt;"&amp;BR30,$BC$6:$BC$53,INDEX(T_Equipos[Grupo],MATCH(BD30,T_Equipos[NombreEquipo],0)))</f>
        <v>1</v>
      </c>
      <c r="BT30" s="753" t="str">
        <f ca="1">IF(COUNTIFS($BS$6:$BS$53,BS30,$BC$6:$BC$53,INDEX(T_Equipos[Grupo],MATCH(BD30,T_Equipos[NombreEquipo],0)))=1,"-","P."&amp;BS30&amp;" ("&amp;COUNTIFS($BS$6:$BS$53,BS30,$BC$6:$BC$53,INDEX(T_Equipos[Grupo],MATCH(BD30,T_Equipos[NombreEquipo],0)))&amp;")")</f>
        <v>P.1 (4)</v>
      </c>
      <c r="BU30" s="754">
        <f t="shared" ca="1" si="36"/>
        <v>0</v>
      </c>
      <c r="BV30" s="754">
        <f t="shared" ca="1" si="37"/>
        <v>0</v>
      </c>
      <c r="BW30" s="754">
        <f t="shared" ca="1" si="38"/>
        <v>0</v>
      </c>
      <c r="BX30" s="754">
        <f t="shared" ca="1" si="39"/>
        <v>0</v>
      </c>
      <c r="BY30" s="754">
        <f ca="1">BS30+COUNTIFS($BT$6:$BT$53,BT30,$BX$6:BX$53,"&gt;"&amp;BX30,$BC$6:$BC$53,INDEX(T_Equipos[Grupo],MATCH(BD30,T_Equipos[NombreEquipo],0)))</f>
        <v>1</v>
      </c>
      <c r="BZ30" s="753" t="str">
        <f ca="1">IF(COUNTIFS($BY$6:$BY$53,BY30,$BC$6:$BC$53,INDEX(T_Equipos[Grupo],MATCH(BD30,T_Equipos[NombreEquipo],0)))=1,"-","P."&amp;BY30&amp;" ("&amp;COUNTIFS($BY$6:$BY$53,BY30,$BC$6:$BC$53,INDEX(T_Equipos[Grupo],MATCH(BD30,T_Equipos[NombreEquipo],0)))&amp;")")</f>
        <v>P.1 (4)</v>
      </c>
      <c r="CA30" s="754">
        <f t="shared" ca="1" si="40"/>
        <v>0</v>
      </c>
      <c r="CB30" s="754">
        <f t="shared" ca="1" si="41"/>
        <v>0</v>
      </c>
      <c r="CC30" s="754">
        <f t="shared" ca="1" si="42"/>
        <v>0</v>
      </c>
      <c r="CD30" s="754">
        <f ca="1">BY30+COUNTIFS($BZ$6:$BZ$53,BZ30,$CC$6:CC$53,"&gt;"&amp;CC30,$BC$6:$BC$53,INDEX(T_Equipos[Grupo],MATCH(BD30,T_Equipos[NombreEquipo],0)))</f>
        <v>1</v>
      </c>
      <c r="CE30" s="753" t="str">
        <f ca="1">IF(COUNTIFS($CD$6:$CD$53,CD30,$BC$6:$BC$53,INDEX(T_Equipos[Grupo],MATCH(BD30,T_Equipos[NombreEquipo],0)))=1,"-","P."&amp;CD30&amp;" ("&amp;COUNTIFS($CD$6:$CD$53,CD30,$BC$6:$BC$53,INDEX(T_Equipos[Grupo],MATCH(BD30,T_Equipos[NombreEquipo],0)))&amp;")")</f>
        <v>P.1 (4)</v>
      </c>
      <c r="CF30" s="754">
        <f t="shared" ca="1" si="43"/>
        <v>0</v>
      </c>
      <c r="CG30" s="754">
        <f ca="1">CD30+COUNTIFS($CE$6:$CE$53,CE30,$CF$6:CF$53,"&gt;"&amp;CF30,$BC$6:$BC$53,INDEX(T_Equipos[Grupo],MATCH(BD30,T_Equipos[NombreEquipo],0)))</f>
        <v>1</v>
      </c>
      <c r="CH30" s="753" t="str">
        <f ca="1">IF(COUNTIFS($CG$6:$CG$53,CG30,$BC$6:$BC$53,INDEX(T_Equipos[Grupo],MATCH(BD30,T_Equipos[NombreEquipo],0)))=1,"-","P."&amp;CG30&amp;" ("&amp;COUNTIFS($CG$6:$CG$53,CG30,$BC$6:$BC$53,INDEX(T_Equipos[Grupo],MATCH(BD30,T_Equipos[NombreEquipo],0)))&amp;")")</f>
        <v>P.1 (4)</v>
      </c>
      <c r="CI30" s="754">
        <f t="shared" ca="1" si="44"/>
        <v>0</v>
      </c>
      <c r="CJ30" s="754">
        <f t="shared" ca="1" si="45"/>
        <v>0</v>
      </c>
      <c r="CK30" s="754">
        <f t="shared" ca="1" si="46"/>
        <v>0</v>
      </c>
      <c r="CL30" s="754">
        <f t="shared" ca="1" si="47"/>
        <v>0</v>
      </c>
      <c r="CM30" s="754">
        <f ca="1">CG30+COUNTIFS($CH$6:$CH$53,CH30,$CL$6:CL$53,"&gt;"&amp;CL30,$BC$6:$BC$53,INDEX(T_Equipos[Grupo],MATCH(BD30,T_Equipos[NombreEquipo],0)))</f>
        <v>1</v>
      </c>
      <c r="CN30" s="753" t="str">
        <f ca="1">IF(COUNTIFS($CM$6:$CM$53,CM30,$BC$6:$BC$53,INDEX(T_Equipos[Grupo],MATCH(BD30,T_Equipos[NombreEquipo],0)))=1,"-","P."&amp;CM30&amp;" ("&amp;COUNTIFS($CM$6:$CM$53,CM30,$BC$6:$BC$53,INDEX(T_Equipos[Grupo],MATCH(BD30,T_Equipos[NombreEquipo],0)))&amp;")")</f>
        <v>P.1 (4)</v>
      </c>
      <c r="CO30" s="754">
        <f t="shared" ca="1" si="48"/>
        <v>0</v>
      </c>
      <c r="CP30" s="754">
        <f t="shared" ca="1" si="49"/>
        <v>0</v>
      </c>
      <c r="CQ30" s="754">
        <f t="shared" ca="1" si="50"/>
        <v>0</v>
      </c>
      <c r="CR30" s="754">
        <f ca="1">CM30+COUNTIFS($CN$6:$CN$53,CN30,$CQ$6:CQ$53,"&gt;"&amp;CQ30,$BC$6:$BC$53,INDEX(T_Equipos[Grupo],MATCH(BD30,T_Equipos[NombreEquipo],0)))</f>
        <v>1</v>
      </c>
      <c r="CS30" s="753" t="str">
        <f ca="1">IF(COUNTIFS($CR$6:$CR$53,CR30,$BC$6:$BC$53,INDEX(T_Equipos[Grupo],MATCH(BD30,T_Equipos[NombreEquipo],0)))=1,"-","P."&amp;CR30&amp;" ("&amp;COUNTIFS($CR$6:$CR$53,CR30,$BC$6:$BC$53,INDEX(T_Equipos[Grupo],MATCH(BD30,T_Equipos[NombreEquipo],0)))&amp;")")</f>
        <v>P.1 (4)</v>
      </c>
      <c r="CT30" s="754">
        <f t="shared" ca="1" si="51"/>
        <v>0</v>
      </c>
      <c r="CU30" s="754">
        <f ca="1">CR30+COUNTIFS($CS$6:$CS$53,CS30,$CT$6:CT$53,"&gt;"&amp;CT30,$BC$6:$BC$53,INDEX(T_Equipos[Grupo],MATCH(BD30,T_Equipos[NombreEquipo],0)))</f>
        <v>1</v>
      </c>
      <c r="CV30" s="753" t="str">
        <f ca="1">IF(COUNTIFS($CU$6:$CU$53,CU30,$BC$6:$BC$53,INDEX(T_Equipos[Grupo],MATCH(BD30,T_Equipos[NombreEquipo],0)))=1,"-","P."&amp;CU30&amp;" ("&amp;COUNTIFS($CU$6:$CU$53,CU30,$BC$6:$BC$53,INDEX(T_Equipos[Grupo],MATCH(BD30,T_Equipos[NombreEquipo],0)))&amp;")")</f>
        <v>P.1 (4)</v>
      </c>
      <c r="CW30" s="753">
        <f t="shared" ca="1" si="30"/>
        <v>0</v>
      </c>
      <c r="CX30" s="753">
        <f ca="1">CU30+COUNTIFS($CV$6:$CV$53,CV30,$CW$6:CW$53,"&gt;"&amp;CW30,$BC$6:$BC$53,INDEX(T_Equipos[Grupo],MATCH(BD30,T_Equipos[NombreEquipo],0)))</f>
        <v>1</v>
      </c>
      <c r="CY30" s="753" t="str">
        <f ca="1">IF(COUNTIFS($CX$6:$CX$53,CX30,$BC$6:$BC$53,INDEX(T_Equipos[Grupo],MATCH(BD30,T_Equipos[NombreEquipo],0)))=1,"-","P."&amp;CX30&amp;" ("&amp;COUNTIFS($CX$6:$CX$53,CX30,$BC$6:$BC$53,INDEX(T_Equipos[Grupo],MATCH(BD30,T_Equipos[NombreEquipo],0)))&amp;")")</f>
        <v>P.1 (4)</v>
      </c>
      <c r="CZ30" s="753">
        <f t="shared" ca="1" si="31"/>
        <v>0</v>
      </c>
      <c r="DA30" s="754">
        <f ca="1">CX30+COUNTIFS($CY$6:$CY$53,CY30,$CZ$6:CZ$53,"&gt;"&amp;CZ30,$BC$6:$BC$53,INDEX(T_Equipos[Grupo],MATCH(BD30,T_Equipos[NombreEquipo],0)))</f>
        <v>1</v>
      </c>
      <c r="DB30" s="753" t="str">
        <f ca="1">IF(COUNTIFS($DA$6:$DA$53,DA30,$BC$6:$BC$53,INDEX(T_Equipos[Grupo],MATCH(BD30,T_Equipos[NombreEquipo],0)))=1,"-","P."&amp;DA30&amp;" ("&amp;COUNTIFS($DA$6:$DA$53,DA30,$BC$6:$BC$53,INDEX(T_Equipos[Grupo],MATCH(BD30,T_Equipos[NombreEquipo],0)))&amp;")")</f>
        <v>P.1 (4)</v>
      </c>
      <c r="DC30" s="752">
        <f ca="1">IF(DB30="-","-",COUNTIFS(T_Equipos[Rank],"&lt;"&amp;INDEX(T_Equipos[Rank],MATCH(BD30,T_Equipos[NombreEquipo],0)),$BC$6:$BC$53,INDEX(T_Equipos[Grupo],MATCH(BD30,T_Equipos[NombreEquipo],0)))+1)</f>
        <v>1</v>
      </c>
      <c r="DD30" s="752">
        <f ca="1">DA30+COUNTIFS($DB$6:$DB$53,DB30,$DC$6:DC$53,"&lt;"&amp;DC30,$BC$6:$BC$53,INDEX(T_Equipos[Grupo],MATCH(BD30,T_Equipos[NombreEquipo],0)))</f>
        <v>1</v>
      </c>
      <c r="DE30" s="752"/>
      <c r="DF30" s="752">
        <f t="shared" ca="1" si="52"/>
        <v>1</v>
      </c>
      <c r="DG30" s="752">
        <f ca="1">IF(DB30="-","-",COUNTIFS(DF$6:DF$53,"&lt;"&amp;DF30,$BC$6:$BC$53,INDEX(T_Equipos[Grupo],MATCH(BD30,T_Equipos[NombreEquipo],0))))</f>
        <v>0</v>
      </c>
      <c r="DH30" s="752">
        <f ca="1">DA30+COUNTIFS(DB$6:DB$53,DB30,DG$6:DG$53,"&lt;"&amp;DG30,$BC$6:$BC$53,INDEX(T_Equipos[Grupo],MATCH(BD30,T_Equipos[NombreEquipo],0)))</f>
        <v>1</v>
      </c>
      <c r="DI30" s="740"/>
      <c r="DJ30" s="740">
        <f t="shared" ca="1" si="53"/>
        <v>1</v>
      </c>
      <c r="DK30" s="740">
        <f t="shared" ca="1" si="24"/>
        <v>0</v>
      </c>
      <c r="DL30" s="740">
        <f t="shared" ca="1" si="33"/>
        <v>1</v>
      </c>
      <c r="DM30" s="734" t="str">
        <f t="shared" ca="1" si="34"/>
        <v>1.1</v>
      </c>
      <c r="DN30" s="740" cm="1">
        <f t="array" aca="1" ref="DN30" ca="1">OFFSET(Horarios!$P$3,DJ30-1,0,DL30,1)</f>
        <v>1</v>
      </c>
      <c r="DO30" s="740"/>
      <c r="DP30" s="740" t="s">
        <v>667</v>
      </c>
      <c r="DQ30" s="740" t="str">
        <f t="shared" ca="1" si="35"/>
        <v>Bélgica</v>
      </c>
      <c r="DR30" s="740"/>
      <c r="DS30" s="740"/>
      <c r="DT30" s="740" t="str">
        <f t="shared" ca="1" si="15"/>
        <v>Estados Unidos-Australia</v>
      </c>
      <c r="DU30" s="740"/>
      <c r="DV30" s="740"/>
      <c r="DW30" s="8"/>
    </row>
    <row r="31" spans="1:127" ht="15.95" customHeight="1">
      <c r="A31" s="741" t="str">
        <f ca="1">+Equipos!B16</f>
        <v>Australia</v>
      </c>
      <c r="B31" s="738"/>
      <c r="C31" s="740"/>
      <c r="D31" s="740" t="str">
        <f t="shared" si="94"/>
        <v>Pendiente</v>
      </c>
      <c r="E31" s="740" t="str">
        <f t="shared" si="95"/>
        <v>-</v>
      </c>
      <c r="F31" s="740" t="str">
        <f t="shared" si="96"/>
        <v>-</v>
      </c>
      <c r="G31" s="740"/>
      <c r="H31" s="740" t="str">
        <f t="shared" si="97"/>
        <v>-</v>
      </c>
      <c r="I31" s="740" t="str">
        <f t="shared" si="98"/>
        <v>-</v>
      </c>
      <c r="J31" s="740"/>
      <c r="K31" s="740" t="str">
        <f t="shared" si="99"/>
        <v>-</v>
      </c>
      <c r="L31" s="740" t="str">
        <f t="shared" si="100"/>
        <v>-</v>
      </c>
      <c r="M31" s="740"/>
      <c r="N31" s="740" t="str">
        <f t="shared" si="101"/>
        <v>-</v>
      </c>
      <c r="O31" s="740" t="str">
        <f t="shared" si="102"/>
        <v>-</v>
      </c>
      <c r="P31" s="740"/>
      <c r="Q31" s="740" t="str">
        <f t="shared" si="103"/>
        <v>-</v>
      </c>
      <c r="R31" s="740" t="str">
        <f t="shared" si="104"/>
        <v>-</v>
      </c>
      <c r="S31" s="740"/>
      <c r="T31" s="740" t="str">
        <f t="shared" si="105"/>
        <v>-</v>
      </c>
      <c r="U31" s="740" t="str">
        <f t="shared" si="106"/>
        <v>-</v>
      </c>
      <c r="V31" s="172"/>
      <c r="W31" s="894"/>
      <c r="X31" s="189">
        <f ca="1">Horarios!C31</f>
        <v>46192.958333333336</v>
      </c>
      <c r="Y31" s="190">
        <f ca="1">Horarios!C31</f>
        <v>46192.958333333336</v>
      </c>
      <c r="Z31" s="191" t="str">
        <f>$Z$6</f>
        <v>J2</v>
      </c>
      <c r="AA31" s="192" t="str">
        <f ca="1">A32</f>
        <v>Turquía</v>
      </c>
      <c r="AB31" s="477" t="str" cm="1">
        <f t="array" aca="1" ref="AB31" ca="1">Ver_flag_local</f>
        <v/>
      </c>
      <c r="AC31" s="193"/>
      <c r="AD31" s="194"/>
      <c r="AE31" s="482" t="str" cm="1">
        <f t="array" aca="1" ref="AE31" ca="1">Ver_flag_visit</f>
        <v/>
      </c>
      <c r="AF31" s="195" t="str">
        <f ca="1">A30</f>
        <v>Paraguay</v>
      </c>
      <c r="AG31" s="413">
        <f t="shared" si="107"/>
        <v>0</v>
      </c>
      <c r="AH31" s="196">
        <v>31</v>
      </c>
      <c r="AI31" s="19" t="str">
        <f t="shared" ref="AI31:AI33" si="112">AJ31&amp;$B$28</f>
        <v>2D</v>
      </c>
      <c r="AJ31" s="221">
        <v>2</v>
      </c>
      <c r="AK31" s="485"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0"/>
      <c r="BC31" s="752" t="str">
        <f ca="1">+INDEX(T_Equipos[Grupo],MATCH(WORLDCUP!BD31,T_Equipos[NombreEquipo],0))</f>
        <v>G</v>
      </c>
      <c r="BD31" s="740" t="str">
        <f ca="1">+Equipos!B27</f>
        <v>Egipto</v>
      </c>
      <c r="BE31" s="744">
        <f t="shared" ca="1" si="25"/>
        <v>0</v>
      </c>
      <c r="BF31" s="744">
        <f t="shared" ca="1" si="26"/>
        <v>0</v>
      </c>
      <c r="BG31" s="744">
        <f t="shared" ca="1" si="17"/>
        <v>0</v>
      </c>
      <c r="BH31" s="744">
        <f t="shared" ca="1" si="18"/>
        <v>0</v>
      </c>
      <c r="BI31" s="744">
        <f t="shared" ca="1" si="19"/>
        <v>0</v>
      </c>
      <c r="BJ31" s="744">
        <f t="shared" ca="1" si="20"/>
        <v>0</v>
      </c>
      <c r="BK31" s="744">
        <f t="shared" ca="1" si="21"/>
        <v>0</v>
      </c>
      <c r="BL31" s="744">
        <f t="shared" ca="1" si="27"/>
        <v>0</v>
      </c>
      <c r="BM31" s="744" t="str">
        <f t="shared" ca="1" si="22"/>
        <v>2G</v>
      </c>
      <c r="BN31" s="744" t="str">
        <f t="shared" ca="1" si="23"/>
        <v>2G</v>
      </c>
      <c r="BO31" s="753">
        <f t="shared" ca="1" si="28"/>
        <v>0</v>
      </c>
      <c r="BP31" s="753">
        <f ca="1">COUNTIFS($BO$6:$BO$53,"&gt;"&amp;BO31,$BC$6:$BC$53,INDEX(T_Equipos[Grupo],MATCH(BD31,T_Equipos[NombreEquipo],0)))+1</f>
        <v>1</v>
      </c>
      <c r="BQ31" s="753" t="str">
        <f ca="1">IF(COUNTIFS($BP$6:$BP$53,BP31,$BC$6:$BC$53,INDEX(T_Equipos[Grupo],MATCH(BD31,T_Equipos[NombreEquipo],0)))=1,"-","P."&amp;BP31&amp;" ("&amp;COUNTIFS($BP$6:$BP$53,BP31,$BC$6:$BC$53,INDEX(T_Equipos[Grupo],MATCH(BD31,T_Equipos[NombreEquipo],0)))&amp;")")</f>
        <v>P.1 (4)</v>
      </c>
      <c r="BR31" s="753">
        <f t="shared" ca="1" si="29"/>
        <v>0</v>
      </c>
      <c r="BS31" s="753">
        <f ca="1">BP31+COUNTIFS($BQ$6:$BQ$53,BQ31,$BR$6:BR$53,"&gt;"&amp;BR31,$BC$6:$BC$53,INDEX(T_Equipos[Grupo],MATCH(BD31,T_Equipos[NombreEquipo],0)))</f>
        <v>1</v>
      </c>
      <c r="BT31" s="753" t="str">
        <f ca="1">IF(COUNTIFS($BS$6:$BS$53,BS31,$BC$6:$BC$53,INDEX(T_Equipos[Grupo],MATCH(BD31,T_Equipos[NombreEquipo],0)))=1,"-","P."&amp;BS31&amp;" ("&amp;COUNTIFS($BS$6:$BS$53,BS31,$BC$6:$BC$53,INDEX(T_Equipos[Grupo],MATCH(BD31,T_Equipos[NombreEquipo],0)))&amp;")")</f>
        <v>P.1 (4)</v>
      </c>
      <c r="BU31" s="754">
        <f t="shared" ca="1" si="36"/>
        <v>0</v>
      </c>
      <c r="BV31" s="754">
        <f t="shared" ca="1" si="37"/>
        <v>0</v>
      </c>
      <c r="BW31" s="754">
        <f t="shared" ca="1" si="38"/>
        <v>0</v>
      </c>
      <c r="BX31" s="754">
        <f t="shared" ca="1" si="39"/>
        <v>0</v>
      </c>
      <c r="BY31" s="754">
        <f ca="1">BS31+COUNTIFS($BT$6:$BT$53,BT31,$BX$6:BX$53,"&gt;"&amp;BX31,$BC$6:$BC$53,INDEX(T_Equipos[Grupo],MATCH(BD31,T_Equipos[NombreEquipo],0)))</f>
        <v>1</v>
      </c>
      <c r="BZ31" s="753" t="str">
        <f ca="1">IF(COUNTIFS($BY$6:$BY$53,BY31,$BC$6:$BC$53,INDEX(T_Equipos[Grupo],MATCH(BD31,T_Equipos[NombreEquipo],0)))=1,"-","P."&amp;BY31&amp;" ("&amp;COUNTIFS($BY$6:$BY$53,BY31,$BC$6:$BC$53,INDEX(T_Equipos[Grupo],MATCH(BD31,T_Equipos[NombreEquipo],0)))&amp;")")</f>
        <v>P.1 (4)</v>
      </c>
      <c r="CA31" s="754">
        <f t="shared" ca="1" si="40"/>
        <v>0</v>
      </c>
      <c r="CB31" s="754">
        <f t="shared" ca="1" si="41"/>
        <v>0</v>
      </c>
      <c r="CC31" s="754">
        <f t="shared" ca="1" si="42"/>
        <v>0</v>
      </c>
      <c r="CD31" s="754">
        <f ca="1">BY31+COUNTIFS($BZ$6:$BZ$53,BZ31,$CC$6:CC$53,"&gt;"&amp;CC31,$BC$6:$BC$53,INDEX(T_Equipos[Grupo],MATCH(BD31,T_Equipos[NombreEquipo],0)))</f>
        <v>1</v>
      </c>
      <c r="CE31" s="753" t="str">
        <f ca="1">IF(COUNTIFS($CD$6:$CD$53,CD31,$BC$6:$BC$53,INDEX(T_Equipos[Grupo],MATCH(BD31,T_Equipos[NombreEquipo],0)))=1,"-","P."&amp;CD31&amp;" ("&amp;COUNTIFS($CD$6:$CD$53,CD31,$BC$6:$BC$53,INDEX(T_Equipos[Grupo],MATCH(BD31,T_Equipos[NombreEquipo],0)))&amp;")")</f>
        <v>P.1 (4)</v>
      </c>
      <c r="CF31" s="754">
        <f t="shared" ca="1" si="43"/>
        <v>0</v>
      </c>
      <c r="CG31" s="754">
        <f ca="1">CD31+COUNTIFS($CE$6:$CE$53,CE31,$CF$6:CF$53,"&gt;"&amp;CF31,$BC$6:$BC$53,INDEX(T_Equipos[Grupo],MATCH(BD31,T_Equipos[NombreEquipo],0)))</f>
        <v>1</v>
      </c>
      <c r="CH31" s="753" t="str">
        <f ca="1">IF(COUNTIFS($CG$6:$CG$53,CG31,$BC$6:$BC$53,INDEX(T_Equipos[Grupo],MATCH(BD31,T_Equipos[NombreEquipo],0)))=1,"-","P."&amp;CG31&amp;" ("&amp;COUNTIFS($CG$6:$CG$53,CG31,$BC$6:$BC$53,INDEX(T_Equipos[Grupo],MATCH(BD31,T_Equipos[NombreEquipo],0)))&amp;")")</f>
        <v>P.1 (4)</v>
      </c>
      <c r="CI31" s="754">
        <f t="shared" ca="1" si="44"/>
        <v>0</v>
      </c>
      <c r="CJ31" s="754">
        <f t="shared" ca="1" si="45"/>
        <v>0</v>
      </c>
      <c r="CK31" s="754">
        <f t="shared" ca="1" si="46"/>
        <v>0</v>
      </c>
      <c r="CL31" s="754">
        <f t="shared" ca="1" si="47"/>
        <v>0</v>
      </c>
      <c r="CM31" s="754">
        <f ca="1">CG31+COUNTIFS($CH$6:$CH$53,CH31,$CL$6:CL$53,"&gt;"&amp;CL31,$BC$6:$BC$53,INDEX(T_Equipos[Grupo],MATCH(BD31,T_Equipos[NombreEquipo],0)))</f>
        <v>1</v>
      </c>
      <c r="CN31" s="753" t="str">
        <f ca="1">IF(COUNTIFS($CM$6:$CM$53,CM31,$BC$6:$BC$53,INDEX(T_Equipos[Grupo],MATCH(BD31,T_Equipos[NombreEquipo],0)))=1,"-","P."&amp;CM31&amp;" ("&amp;COUNTIFS($CM$6:$CM$53,CM31,$BC$6:$BC$53,INDEX(T_Equipos[Grupo],MATCH(BD31,T_Equipos[NombreEquipo],0)))&amp;")")</f>
        <v>P.1 (4)</v>
      </c>
      <c r="CO31" s="754">
        <f t="shared" ca="1" si="48"/>
        <v>0</v>
      </c>
      <c r="CP31" s="754">
        <f t="shared" ca="1" si="49"/>
        <v>0</v>
      </c>
      <c r="CQ31" s="754">
        <f t="shared" ca="1" si="50"/>
        <v>0</v>
      </c>
      <c r="CR31" s="754">
        <f ca="1">CM31+COUNTIFS($CN$6:$CN$53,CN31,$CQ$6:CQ$53,"&gt;"&amp;CQ31,$BC$6:$BC$53,INDEX(T_Equipos[Grupo],MATCH(BD31,T_Equipos[NombreEquipo],0)))</f>
        <v>1</v>
      </c>
      <c r="CS31" s="753" t="str">
        <f ca="1">IF(COUNTIFS($CR$6:$CR$53,CR31,$BC$6:$BC$53,INDEX(T_Equipos[Grupo],MATCH(BD31,T_Equipos[NombreEquipo],0)))=1,"-","P."&amp;CR31&amp;" ("&amp;COUNTIFS($CR$6:$CR$53,CR31,$BC$6:$BC$53,INDEX(T_Equipos[Grupo],MATCH(BD31,T_Equipos[NombreEquipo],0)))&amp;")")</f>
        <v>P.1 (4)</v>
      </c>
      <c r="CT31" s="754">
        <f t="shared" ca="1" si="51"/>
        <v>0</v>
      </c>
      <c r="CU31" s="754">
        <f ca="1">CR31+COUNTIFS($CS$6:$CS$53,CS31,$CT$6:CT$53,"&gt;"&amp;CT31,$BC$6:$BC$53,INDEX(T_Equipos[Grupo],MATCH(BD31,T_Equipos[NombreEquipo],0)))</f>
        <v>1</v>
      </c>
      <c r="CV31" s="753" t="str">
        <f ca="1">IF(COUNTIFS($CU$6:$CU$53,CU31,$BC$6:$BC$53,INDEX(T_Equipos[Grupo],MATCH(BD31,T_Equipos[NombreEquipo],0)))=1,"-","P."&amp;CU31&amp;" ("&amp;COUNTIFS($CU$6:$CU$53,CU31,$BC$6:$BC$53,INDEX(T_Equipos[Grupo],MATCH(BD31,T_Equipos[NombreEquipo],0)))&amp;")")</f>
        <v>P.1 (4)</v>
      </c>
      <c r="CW31" s="753">
        <f t="shared" ca="1" si="30"/>
        <v>0</v>
      </c>
      <c r="CX31" s="753">
        <f ca="1">CU31+COUNTIFS($CV$6:$CV$53,CV31,$CW$6:CW$53,"&gt;"&amp;CW31,$BC$6:$BC$53,INDEX(T_Equipos[Grupo],MATCH(BD31,T_Equipos[NombreEquipo],0)))</f>
        <v>1</v>
      </c>
      <c r="CY31" s="753" t="str">
        <f ca="1">IF(COUNTIFS($CX$6:$CX$53,CX31,$BC$6:$BC$53,INDEX(T_Equipos[Grupo],MATCH(BD31,T_Equipos[NombreEquipo],0)))=1,"-","P."&amp;CX31&amp;" ("&amp;COUNTIFS($CX$6:$CX$53,CX31,$BC$6:$BC$53,INDEX(T_Equipos[Grupo],MATCH(BD31,T_Equipos[NombreEquipo],0)))&amp;")")</f>
        <v>P.1 (4)</v>
      </c>
      <c r="CZ31" s="753">
        <f t="shared" ca="1" si="31"/>
        <v>0</v>
      </c>
      <c r="DA31" s="754">
        <f ca="1">CX31+COUNTIFS($CY$6:$CY$53,CY31,$CZ$6:CZ$53,"&gt;"&amp;CZ31,$BC$6:$BC$53,INDEX(T_Equipos[Grupo],MATCH(BD31,T_Equipos[NombreEquipo],0)))</f>
        <v>1</v>
      </c>
      <c r="DB31" s="753" t="str">
        <f ca="1">IF(COUNTIFS($DA$6:$DA$53,DA31,$BC$6:$BC$53,INDEX(T_Equipos[Grupo],MATCH(BD31,T_Equipos[NombreEquipo],0)))=1,"-","P."&amp;DA31&amp;" ("&amp;COUNTIFS($DA$6:$DA$53,DA31,$BC$6:$BC$53,INDEX(T_Equipos[Grupo],MATCH(BD31,T_Equipos[NombreEquipo],0)))&amp;")")</f>
        <v>P.1 (4)</v>
      </c>
      <c r="DC31" s="752">
        <f ca="1">IF(DB31="-","-",COUNTIFS(T_Equipos[Rank],"&lt;"&amp;INDEX(T_Equipos[Rank],MATCH(BD31,T_Equipos[NombreEquipo],0)),$BC$6:$BC$53,INDEX(T_Equipos[Grupo],MATCH(BD31,T_Equipos[NombreEquipo],0)))+1)</f>
        <v>2</v>
      </c>
      <c r="DD31" s="752">
        <f ca="1">DA31+COUNTIFS($DB$6:$DB$53,DB31,$DC$6:DC$53,"&lt;"&amp;DC31,$BC$6:$BC$53,INDEX(T_Equipos[Grupo],MATCH(BD31,T_Equipos[NombreEquipo],0)))</f>
        <v>2</v>
      </c>
      <c r="DE31" s="752"/>
      <c r="DF31" s="752">
        <f t="shared" ca="1" si="52"/>
        <v>2</v>
      </c>
      <c r="DG31" s="752">
        <f ca="1">IF(DB31="-","-",COUNTIFS(DF$6:DF$53,"&lt;"&amp;DF31,$BC$6:$BC$53,INDEX(T_Equipos[Grupo],MATCH(BD31,T_Equipos[NombreEquipo],0))))</f>
        <v>1</v>
      </c>
      <c r="DH31" s="752">
        <f ca="1">DA31+COUNTIFS(DB$6:DB$53,DB31,DG$6:DG$53,"&lt;"&amp;DG31,$BC$6:$BC$53,INDEX(T_Equipos[Grupo],MATCH(BD31,T_Equipos[NombreEquipo],0)))</f>
        <v>2</v>
      </c>
      <c r="DI31" s="740"/>
      <c r="DJ31" s="740">
        <f t="shared" ca="1" si="53"/>
        <v>1</v>
      </c>
      <c r="DK31" s="740">
        <f t="shared" ca="1" si="24"/>
        <v>0</v>
      </c>
      <c r="DL31" s="740">
        <f t="shared" ca="1" si="33"/>
        <v>1</v>
      </c>
      <c r="DM31" s="734" t="str">
        <f t="shared" ca="1" si="34"/>
        <v>1.1</v>
      </c>
      <c r="DN31" s="740" cm="1">
        <f t="array" aca="1" ref="DN31" ca="1">OFFSET(Horarios!$P$3,DJ31-1,0,DL31,1)</f>
        <v>1</v>
      </c>
      <c r="DO31" s="740"/>
      <c r="DP31" s="740" t="s">
        <v>668</v>
      </c>
      <c r="DQ31" s="740" t="str">
        <f t="shared" ca="1" si="35"/>
        <v>Egipto</v>
      </c>
      <c r="DR31" s="740"/>
      <c r="DS31" s="740"/>
      <c r="DT31" s="740" t="str">
        <f t="shared" ca="1" si="15"/>
        <v>Turquía-Paraguay</v>
      </c>
      <c r="DU31" s="740"/>
      <c r="DV31" s="740"/>
      <c r="DW31" s="8"/>
    </row>
    <row r="32" spans="1:127" ht="15.95" customHeight="1">
      <c r="A32" s="741" t="str">
        <f ca="1">+Equipos!B17</f>
        <v>Turquía</v>
      </c>
      <c r="B32" s="738"/>
      <c r="C32" s="740"/>
      <c r="D32" s="740" t="str">
        <f t="shared" si="94"/>
        <v>Pendiente</v>
      </c>
      <c r="E32" s="740" t="str">
        <f t="shared" si="95"/>
        <v>-</v>
      </c>
      <c r="F32" s="740" t="str">
        <f t="shared" si="96"/>
        <v>-</v>
      </c>
      <c r="G32" s="740"/>
      <c r="H32" s="740" t="str">
        <f t="shared" si="97"/>
        <v>-</v>
      </c>
      <c r="I32" s="740" t="str">
        <f t="shared" si="98"/>
        <v>-</v>
      </c>
      <c r="J32" s="740"/>
      <c r="K32" s="740" t="str">
        <f t="shared" si="99"/>
        <v>-</v>
      </c>
      <c r="L32" s="740" t="str">
        <f t="shared" si="100"/>
        <v>-</v>
      </c>
      <c r="M32" s="740"/>
      <c r="N32" s="740" t="str">
        <f t="shared" si="101"/>
        <v>-</v>
      </c>
      <c r="O32" s="740" t="str">
        <f t="shared" si="102"/>
        <v>-</v>
      </c>
      <c r="P32" s="740"/>
      <c r="Q32" s="740" t="str">
        <f t="shared" si="103"/>
        <v>-</v>
      </c>
      <c r="R32" s="740" t="str">
        <f t="shared" si="104"/>
        <v>-</v>
      </c>
      <c r="S32" s="740"/>
      <c r="T32" s="740" t="str">
        <f t="shared" si="105"/>
        <v>-</v>
      </c>
      <c r="U32" s="740" t="str">
        <f t="shared" si="106"/>
        <v>-</v>
      </c>
      <c r="V32" s="172"/>
      <c r="W32" s="894"/>
      <c r="X32" s="189">
        <f ca="1">Horarios!C32</f>
        <v>46198.916666666664</v>
      </c>
      <c r="Y32" s="190">
        <f ca="1">Horarios!C32</f>
        <v>46198.916666666664</v>
      </c>
      <c r="Z32" s="191" t="str">
        <f>$Z$8</f>
        <v>J3</v>
      </c>
      <c r="AA32" s="192" t="str">
        <f ca="1">A32</f>
        <v>Turquía</v>
      </c>
      <c r="AB32" s="477" t="str" cm="1">
        <f t="array" aca="1" ref="AB32" ca="1">Ver_flag_local</f>
        <v/>
      </c>
      <c r="AC32" s="193"/>
      <c r="AD32" s="194"/>
      <c r="AE32" s="482" t="str" cm="1">
        <f t="array" aca="1" ref="AE32" ca="1">Ver_flag_visit</f>
        <v/>
      </c>
      <c r="AF32" s="195" t="str">
        <f ca="1">A29</f>
        <v>Estados Unidos</v>
      </c>
      <c r="AG32" s="413">
        <f t="shared" si="107"/>
        <v>0</v>
      </c>
      <c r="AH32" s="196">
        <v>59</v>
      </c>
      <c r="AI32" s="19" t="str">
        <f t="shared" si="112"/>
        <v>3D</v>
      </c>
      <c r="AJ32" s="221">
        <v>3</v>
      </c>
      <c r="AK32" s="485"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0"/>
      <c r="BC32" s="752" t="str">
        <f ca="1">+INDEX(T_Equipos[Grupo],MATCH(WORLDCUP!BD32,T_Equipos[NombreEquipo],0))</f>
        <v>G</v>
      </c>
      <c r="BD32" s="740" t="str">
        <f ca="1">+Equipos!B28</f>
        <v>Irán</v>
      </c>
      <c r="BE32" s="744">
        <f t="shared" ca="1" si="25"/>
        <v>0</v>
      </c>
      <c r="BF32" s="744">
        <f t="shared" ca="1" si="26"/>
        <v>0</v>
      </c>
      <c r="BG32" s="744">
        <f t="shared" ca="1" si="17"/>
        <v>0</v>
      </c>
      <c r="BH32" s="744">
        <f t="shared" ca="1" si="18"/>
        <v>0</v>
      </c>
      <c r="BI32" s="744">
        <f t="shared" ca="1" si="19"/>
        <v>0</v>
      </c>
      <c r="BJ32" s="744">
        <f t="shared" ca="1" si="20"/>
        <v>0</v>
      </c>
      <c r="BK32" s="744">
        <f t="shared" ca="1" si="21"/>
        <v>0</v>
      </c>
      <c r="BL32" s="744">
        <f t="shared" ca="1" si="27"/>
        <v>0</v>
      </c>
      <c r="BM32" s="744" t="str">
        <f t="shared" ca="1" si="22"/>
        <v>3G</v>
      </c>
      <c r="BN32" s="744" t="str">
        <f t="shared" ca="1" si="23"/>
        <v>3G</v>
      </c>
      <c r="BO32" s="753">
        <f t="shared" ca="1" si="28"/>
        <v>0</v>
      </c>
      <c r="BP32" s="753">
        <f ca="1">COUNTIFS($BO$6:$BO$53,"&gt;"&amp;BO32,$BC$6:$BC$53,INDEX(T_Equipos[Grupo],MATCH(BD32,T_Equipos[NombreEquipo],0)))+1</f>
        <v>1</v>
      </c>
      <c r="BQ32" s="753" t="str">
        <f ca="1">IF(COUNTIFS($BP$6:$BP$53,BP32,$BC$6:$BC$53,INDEX(T_Equipos[Grupo],MATCH(BD32,T_Equipos[NombreEquipo],0)))=1,"-","P."&amp;BP32&amp;" ("&amp;COUNTIFS($BP$6:$BP$53,BP32,$BC$6:$BC$53,INDEX(T_Equipos[Grupo],MATCH(BD32,T_Equipos[NombreEquipo],0)))&amp;")")</f>
        <v>P.1 (4)</v>
      </c>
      <c r="BR32" s="753">
        <f t="shared" ca="1" si="29"/>
        <v>0</v>
      </c>
      <c r="BS32" s="753">
        <f ca="1">BP32+COUNTIFS($BQ$6:$BQ$53,BQ32,$BR$6:BR$53,"&gt;"&amp;BR32,$BC$6:$BC$53,INDEX(T_Equipos[Grupo],MATCH(BD32,T_Equipos[NombreEquipo],0)))</f>
        <v>1</v>
      </c>
      <c r="BT32" s="753" t="str">
        <f ca="1">IF(COUNTIFS($BS$6:$BS$53,BS32,$BC$6:$BC$53,INDEX(T_Equipos[Grupo],MATCH(BD32,T_Equipos[NombreEquipo],0)))=1,"-","P."&amp;BS32&amp;" ("&amp;COUNTIFS($BS$6:$BS$53,BS32,$BC$6:$BC$53,INDEX(T_Equipos[Grupo],MATCH(BD32,T_Equipos[NombreEquipo],0)))&amp;")")</f>
        <v>P.1 (4)</v>
      </c>
      <c r="BU32" s="754">
        <f t="shared" ca="1" si="36"/>
        <v>0</v>
      </c>
      <c r="BV32" s="754">
        <f t="shared" ca="1" si="37"/>
        <v>0</v>
      </c>
      <c r="BW32" s="754">
        <f t="shared" ca="1" si="38"/>
        <v>0</v>
      </c>
      <c r="BX32" s="754">
        <f t="shared" ca="1" si="39"/>
        <v>0</v>
      </c>
      <c r="BY32" s="754">
        <f ca="1">BS32+COUNTIFS($BT$6:$BT$53,BT32,$BX$6:BX$53,"&gt;"&amp;BX32,$BC$6:$BC$53,INDEX(T_Equipos[Grupo],MATCH(BD32,T_Equipos[NombreEquipo],0)))</f>
        <v>1</v>
      </c>
      <c r="BZ32" s="753" t="str">
        <f ca="1">IF(COUNTIFS($BY$6:$BY$53,BY32,$BC$6:$BC$53,INDEX(T_Equipos[Grupo],MATCH(BD32,T_Equipos[NombreEquipo],0)))=1,"-","P."&amp;BY32&amp;" ("&amp;COUNTIFS($BY$6:$BY$53,BY32,$BC$6:$BC$53,INDEX(T_Equipos[Grupo],MATCH(BD32,T_Equipos[NombreEquipo],0)))&amp;")")</f>
        <v>P.1 (4)</v>
      </c>
      <c r="CA32" s="754">
        <f t="shared" ca="1" si="40"/>
        <v>0</v>
      </c>
      <c r="CB32" s="754">
        <f t="shared" ca="1" si="41"/>
        <v>0</v>
      </c>
      <c r="CC32" s="754">
        <f t="shared" ca="1" si="42"/>
        <v>0</v>
      </c>
      <c r="CD32" s="754">
        <f ca="1">BY32+COUNTIFS($BZ$6:$BZ$53,BZ32,$CC$6:CC$53,"&gt;"&amp;CC32,$BC$6:$BC$53,INDEX(T_Equipos[Grupo],MATCH(BD32,T_Equipos[NombreEquipo],0)))</f>
        <v>1</v>
      </c>
      <c r="CE32" s="753" t="str">
        <f ca="1">IF(COUNTIFS($CD$6:$CD$53,CD32,$BC$6:$BC$53,INDEX(T_Equipos[Grupo],MATCH(BD32,T_Equipos[NombreEquipo],0)))=1,"-","P."&amp;CD32&amp;" ("&amp;COUNTIFS($CD$6:$CD$53,CD32,$BC$6:$BC$53,INDEX(T_Equipos[Grupo],MATCH(BD32,T_Equipos[NombreEquipo],0)))&amp;")")</f>
        <v>P.1 (4)</v>
      </c>
      <c r="CF32" s="754">
        <f t="shared" ca="1" si="43"/>
        <v>0</v>
      </c>
      <c r="CG32" s="754">
        <f ca="1">CD32+COUNTIFS($CE$6:$CE$53,CE32,$CF$6:CF$53,"&gt;"&amp;CF32,$BC$6:$BC$53,INDEX(T_Equipos[Grupo],MATCH(BD32,T_Equipos[NombreEquipo],0)))</f>
        <v>1</v>
      </c>
      <c r="CH32" s="753" t="str">
        <f ca="1">IF(COUNTIFS($CG$6:$CG$53,CG32,$BC$6:$BC$53,INDEX(T_Equipos[Grupo],MATCH(BD32,T_Equipos[NombreEquipo],0)))=1,"-","P."&amp;CG32&amp;" ("&amp;COUNTIFS($CG$6:$CG$53,CG32,$BC$6:$BC$53,INDEX(T_Equipos[Grupo],MATCH(BD32,T_Equipos[NombreEquipo],0)))&amp;")")</f>
        <v>P.1 (4)</v>
      </c>
      <c r="CI32" s="754">
        <f t="shared" ca="1" si="44"/>
        <v>0</v>
      </c>
      <c r="CJ32" s="754">
        <f t="shared" ca="1" si="45"/>
        <v>0</v>
      </c>
      <c r="CK32" s="754">
        <f t="shared" ca="1" si="46"/>
        <v>0</v>
      </c>
      <c r="CL32" s="754">
        <f t="shared" ca="1" si="47"/>
        <v>0</v>
      </c>
      <c r="CM32" s="754">
        <f ca="1">CG32+COUNTIFS($CH$6:$CH$53,CH32,$CL$6:CL$53,"&gt;"&amp;CL32,$BC$6:$BC$53,INDEX(T_Equipos[Grupo],MATCH(BD32,T_Equipos[NombreEquipo],0)))</f>
        <v>1</v>
      </c>
      <c r="CN32" s="753" t="str">
        <f ca="1">IF(COUNTIFS($CM$6:$CM$53,CM32,$BC$6:$BC$53,INDEX(T_Equipos[Grupo],MATCH(BD32,T_Equipos[NombreEquipo],0)))=1,"-","P."&amp;CM32&amp;" ("&amp;COUNTIFS($CM$6:$CM$53,CM32,$BC$6:$BC$53,INDEX(T_Equipos[Grupo],MATCH(BD32,T_Equipos[NombreEquipo],0)))&amp;")")</f>
        <v>P.1 (4)</v>
      </c>
      <c r="CO32" s="754">
        <f t="shared" ca="1" si="48"/>
        <v>0</v>
      </c>
      <c r="CP32" s="754">
        <f t="shared" ca="1" si="49"/>
        <v>0</v>
      </c>
      <c r="CQ32" s="754">
        <f t="shared" ca="1" si="50"/>
        <v>0</v>
      </c>
      <c r="CR32" s="754">
        <f ca="1">CM32+COUNTIFS($CN$6:$CN$53,CN32,$CQ$6:CQ$53,"&gt;"&amp;CQ32,$BC$6:$BC$53,INDEX(T_Equipos[Grupo],MATCH(BD32,T_Equipos[NombreEquipo],0)))</f>
        <v>1</v>
      </c>
      <c r="CS32" s="753" t="str">
        <f ca="1">IF(COUNTIFS($CR$6:$CR$53,CR32,$BC$6:$BC$53,INDEX(T_Equipos[Grupo],MATCH(BD32,T_Equipos[NombreEquipo],0)))=1,"-","P."&amp;CR32&amp;" ("&amp;COUNTIFS($CR$6:$CR$53,CR32,$BC$6:$BC$53,INDEX(T_Equipos[Grupo],MATCH(BD32,T_Equipos[NombreEquipo],0)))&amp;")")</f>
        <v>P.1 (4)</v>
      </c>
      <c r="CT32" s="754">
        <f t="shared" ca="1" si="51"/>
        <v>0</v>
      </c>
      <c r="CU32" s="754">
        <f ca="1">CR32+COUNTIFS($CS$6:$CS$53,CS32,$CT$6:CT$53,"&gt;"&amp;CT32,$BC$6:$BC$53,INDEX(T_Equipos[Grupo],MATCH(BD32,T_Equipos[NombreEquipo],0)))</f>
        <v>1</v>
      </c>
      <c r="CV32" s="753" t="str">
        <f ca="1">IF(COUNTIFS($CU$6:$CU$53,CU32,$BC$6:$BC$53,INDEX(T_Equipos[Grupo],MATCH(BD32,T_Equipos[NombreEquipo],0)))=1,"-","P."&amp;CU32&amp;" ("&amp;COUNTIFS($CU$6:$CU$53,CU32,$BC$6:$BC$53,INDEX(T_Equipos[Grupo],MATCH(BD32,T_Equipos[NombreEquipo],0)))&amp;")")</f>
        <v>P.1 (4)</v>
      </c>
      <c r="CW32" s="753">
        <f t="shared" ca="1" si="30"/>
        <v>0</v>
      </c>
      <c r="CX32" s="753">
        <f ca="1">CU32+COUNTIFS($CV$6:$CV$53,CV32,$CW$6:CW$53,"&gt;"&amp;CW32,$BC$6:$BC$53,INDEX(T_Equipos[Grupo],MATCH(BD32,T_Equipos[NombreEquipo],0)))</f>
        <v>1</v>
      </c>
      <c r="CY32" s="753" t="str">
        <f ca="1">IF(COUNTIFS($CX$6:$CX$53,CX32,$BC$6:$BC$53,INDEX(T_Equipos[Grupo],MATCH(BD32,T_Equipos[NombreEquipo],0)))=1,"-","P."&amp;CX32&amp;" ("&amp;COUNTIFS($CX$6:$CX$53,CX32,$BC$6:$BC$53,INDEX(T_Equipos[Grupo],MATCH(BD32,T_Equipos[NombreEquipo],0)))&amp;")")</f>
        <v>P.1 (4)</v>
      </c>
      <c r="CZ32" s="753">
        <f t="shared" ca="1" si="31"/>
        <v>0</v>
      </c>
      <c r="DA32" s="754">
        <f ca="1">CX32+COUNTIFS($CY$6:$CY$53,CY32,$CZ$6:CZ$53,"&gt;"&amp;CZ32,$BC$6:$BC$53,INDEX(T_Equipos[Grupo],MATCH(BD32,T_Equipos[NombreEquipo],0)))</f>
        <v>1</v>
      </c>
      <c r="DB32" s="753" t="str">
        <f ca="1">IF(COUNTIFS($DA$6:$DA$53,DA32,$BC$6:$BC$53,INDEX(T_Equipos[Grupo],MATCH(BD32,T_Equipos[NombreEquipo],0)))=1,"-","P."&amp;DA32&amp;" ("&amp;COUNTIFS($DA$6:$DA$53,DA32,$BC$6:$BC$53,INDEX(T_Equipos[Grupo],MATCH(BD32,T_Equipos[NombreEquipo],0)))&amp;")")</f>
        <v>P.1 (4)</v>
      </c>
      <c r="DC32" s="752">
        <f ca="1">IF(DB32="-","-",COUNTIFS(T_Equipos[Rank],"&lt;"&amp;INDEX(T_Equipos[Rank],MATCH(BD32,T_Equipos[NombreEquipo],0)),$BC$6:$BC$53,INDEX(T_Equipos[Grupo],MATCH(BD32,T_Equipos[NombreEquipo],0)))+1)</f>
        <v>3</v>
      </c>
      <c r="DD32" s="752">
        <f ca="1">DA32+COUNTIFS($DB$6:$DB$53,DB32,$DC$6:DC$53,"&lt;"&amp;DC32,$BC$6:$BC$53,INDEX(T_Equipos[Grupo],MATCH(BD32,T_Equipos[NombreEquipo],0)))</f>
        <v>3</v>
      </c>
      <c r="DE32" s="752"/>
      <c r="DF32" s="752">
        <f t="shared" ca="1" si="52"/>
        <v>3</v>
      </c>
      <c r="DG32" s="752">
        <f ca="1">IF(DB32="-","-",COUNTIFS(DF$6:DF$53,"&lt;"&amp;DF32,$BC$6:$BC$53,INDEX(T_Equipos[Grupo],MATCH(BD32,T_Equipos[NombreEquipo],0))))</f>
        <v>2</v>
      </c>
      <c r="DH32" s="752">
        <f ca="1">DA32+COUNTIFS(DB$6:DB$53,DB32,DG$6:DG$53,"&lt;"&amp;DG32,$BC$6:$BC$53,INDEX(T_Equipos[Grupo],MATCH(BD32,T_Equipos[NombreEquipo],0)))</f>
        <v>3</v>
      </c>
      <c r="DI32" s="740"/>
      <c r="DJ32" s="740">
        <f t="shared" ca="1" si="53"/>
        <v>1</v>
      </c>
      <c r="DK32" s="740">
        <f t="shared" ca="1" si="24"/>
        <v>0</v>
      </c>
      <c r="DL32" s="740">
        <f t="shared" ca="1" si="33"/>
        <v>1</v>
      </c>
      <c r="DM32" s="734" t="str">
        <f t="shared" ca="1" si="34"/>
        <v>1.1</v>
      </c>
      <c r="DN32" s="740" cm="1">
        <f t="array" aca="1" ref="DN32" ca="1">OFFSET(Horarios!$P$3,DJ32-1,0,DL32,1)</f>
        <v>1</v>
      </c>
      <c r="DO32" s="740"/>
      <c r="DP32" s="740" t="s">
        <v>435</v>
      </c>
      <c r="DQ32" s="740" t="str">
        <f t="shared" ca="1" si="35"/>
        <v>Irán</v>
      </c>
      <c r="DR32" s="740"/>
      <c r="DS32" s="740"/>
      <c r="DT32" s="740" t="str">
        <f t="shared" ca="1" si="15"/>
        <v>Turquía-Estados Unidos</v>
      </c>
      <c r="DU32" s="740"/>
      <c r="DV32" s="740"/>
      <c r="DW32" s="8"/>
    </row>
    <row r="33" spans="1:127" ht="17.100000000000001" customHeight="1" thickBot="1">
      <c r="A33" s="735"/>
      <c r="B33" s="735"/>
      <c r="C33" s="735"/>
      <c r="D33" s="740" t="str">
        <f t="shared" si="94"/>
        <v>Pendiente</v>
      </c>
      <c r="E33" s="740" t="str">
        <f t="shared" si="95"/>
        <v>-</v>
      </c>
      <c r="F33" s="740" t="str">
        <f t="shared" si="96"/>
        <v>-</v>
      </c>
      <c r="G33" s="740"/>
      <c r="H33" s="740" t="str">
        <f t="shared" si="97"/>
        <v>-</v>
      </c>
      <c r="I33" s="740" t="str">
        <f t="shared" si="98"/>
        <v>-</v>
      </c>
      <c r="J33" s="740"/>
      <c r="K33" s="740" t="str">
        <f t="shared" si="99"/>
        <v>-</v>
      </c>
      <c r="L33" s="740" t="str">
        <f t="shared" si="100"/>
        <v>-</v>
      </c>
      <c r="M33" s="740"/>
      <c r="N33" s="740" t="str">
        <f t="shared" si="101"/>
        <v>-</v>
      </c>
      <c r="O33" s="740" t="str">
        <f t="shared" si="102"/>
        <v>-</v>
      </c>
      <c r="P33" s="740"/>
      <c r="Q33" s="740" t="str">
        <f t="shared" si="103"/>
        <v>-</v>
      </c>
      <c r="R33" s="740" t="str">
        <f t="shared" si="104"/>
        <v>-</v>
      </c>
      <c r="S33" s="740"/>
      <c r="T33" s="740" t="str">
        <f t="shared" si="105"/>
        <v>-</v>
      </c>
      <c r="U33" s="740" t="str">
        <f t="shared" si="106"/>
        <v>-</v>
      </c>
      <c r="V33" s="172"/>
      <c r="W33" s="895"/>
      <c r="X33" s="228">
        <f ca="1">Horarios!C33</f>
        <v>46198.916666666664</v>
      </c>
      <c r="Y33" s="229">
        <f ca="1">Horarios!C33</f>
        <v>46198.916666666664</v>
      </c>
      <c r="Z33" s="230" t="str">
        <f>$Z$8</f>
        <v>J3</v>
      </c>
      <c r="AA33" s="231" t="str">
        <f ca="1">A30</f>
        <v>Paraguay</v>
      </c>
      <c r="AB33" s="478" t="str" cm="1">
        <f t="array" aca="1" ref="AB33" ca="1">Ver_flag_local</f>
        <v/>
      </c>
      <c r="AC33" s="232"/>
      <c r="AD33" s="233"/>
      <c r="AE33" s="483" t="str" cm="1">
        <f t="array" aca="1" ref="AE33" ca="1">Ver_flag_visit</f>
        <v/>
      </c>
      <c r="AF33" s="234" t="str">
        <f ca="1">A31</f>
        <v>Australia</v>
      </c>
      <c r="AG33" s="413">
        <f t="shared" si="107"/>
        <v>0</v>
      </c>
      <c r="AH33" s="196">
        <v>60</v>
      </c>
      <c r="AI33" s="19" t="str">
        <f t="shared" si="112"/>
        <v>4D</v>
      </c>
      <c r="AJ33" s="235">
        <v>4</v>
      </c>
      <c r="AK33" s="486"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0"/>
      <c r="BC33" s="752" t="str">
        <f ca="1">+INDEX(T_Equipos[Grupo],MATCH(WORLDCUP!BD33,T_Equipos[NombreEquipo],0))</f>
        <v>G</v>
      </c>
      <c r="BD33" s="740" t="str">
        <f ca="1">+Equipos!B29</f>
        <v>Nueva Zelanda</v>
      </c>
      <c r="BE33" s="744">
        <f t="shared" ca="1" si="25"/>
        <v>0</v>
      </c>
      <c r="BF33" s="744">
        <f t="shared" ca="1" si="26"/>
        <v>0</v>
      </c>
      <c r="BG33" s="744">
        <f t="shared" ca="1" si="17"/>
        <v>0</v>
      </c>
      <c r="BH33" s="744">
        <f t="shared" ca="1" si="18"/>
        <v>0</v>
      </c>
      <c r="BI33" s="744">
        <f t="shared" ca="1" si="19"/>
        <v>0</v>
      </c>
      <c r="BJ33" s="744">
        <f t="shared" ca="1" si="20"/>
        <v>0</v>
      </c>
      <c r="BK33" s="744">
        <f t="shared" ca="1" si="21"/>
        <v>0</v>
      </c>
      <c r="BL33" s="744">
        <f t="shared" ca="1" si="27"/>
        <v>0</v>
      </c>
      <c r="BM33" s="744" t="str">
        <f t="shared" ca="1" si="22"/>
        <v>4G</v>
      </c>
      <c r="BN33" s="744" t="str">
        <f t="shared" ca="1" si="23"/>
        <v>4G</v>
      </c>
      <c r="BO33" s="753">
        <f t="shared" ca="1" si="28"/>
        <v>0</v>
      </c>
      <c r="BP33" s="753">
        <f ca="1">COUNTIFS($BO$6:$BO$53,"&gt;"&amp;BO33,$BC$6:$BC$53,INDEX(T_Equipos[Grupo],MATCH(BD33,T_Equipos[NombreEquipo],0)))+1</f>
        <v>1</v>
      </c>
      <c r="BQ33" s="753" t="str">
        <f ca="1">IF(COUNTIFS($BP$6:$BP$53,BP33,$BC$6:$BC$53,INDEX(T_Equipos[Grupo],MATCH(BD33,T_Equipos[NombreEquipo],0)))=1,"-","P."&amp;BP33&amp;" ("&amp;COUNTIFS($BP$6:$BP$53,BP33,$BC$6:$BC$53,INDEX(T_Equipos[Grupo],MATCH(BD33,T_Equipos[NombreEquipo],0)))&amp;")")</f>
        <v>P.1 (4)</v>
      </c>
      <c r="BR33" s="753">
        <f t="shared" ca="1" si="29"/>
        <v>0</v>
      </c>
      <c r="BS33" s="753">
        <f ca="1">BP33+COUNTIFS($BQ$6:$BQ$53,BQ33,$BR$6:BR$53,"&gt;"&amp;BR33,$BC$6:$BC$53,INDEX(T_Equipos[Grupo],MATCH(BD33,T_Equipos[NombreEquipo],0)))</f>
        <v>1</v>
      </c>
      <c r="BT33" s="753" t="str">
        <f ca="1">IF(COUNTIFS($BS$6:$BS$53,BS33,$BC$6:$BC$53,INDEX(T_Equipos[Grupo],MATCH(BD33,T_Equipos[NombreEquipo],0)))=1,"-","P."&amp;BS33&amp;" ("&amp;COUNTIFS($BS$6:$BS$53,BS33,$BC$6:$BC$53,INDEX(T_Equipos[Grupo],MATCH(BD33,T_Equipos[NombreEquipo],0)))&amp;")")</f>
        <v>P.1 (4)</v>
      </c>
      <c r="BU33" s="754">
        <f t="shared" ca="1" si="36"/>
        <v>0</v>
      </c>
      <c r="BV33" s="754">
        <f t="shared" ca="1" si="37"/>
        <v>0</v>
      </c>
      <c r="BW33" s="754">
        <f t="shared" ca="1" si="38"/>
        <v>0</v>
      </c>
      <c r="BX33" s="754">
        <f t="shared" ca="1" si="39"/>
        <v>0</v>
      </c>
      <c r="BY33" s="754">
        <f ca="1">BS33+COUNTIFS($BT$6:$BT$53,BT33,$BX$6:BX$53,"&gt;"&amp;BX33,$BC$6:$BC$53,INDEX(T_Equipos[Grupo],MATCH(BD33,T_Equipos[NombreEquipo],0)))</f>
        <v>1</v>
      </c>
      <c r="BZ33" s="753" t="str">
        <f ca="1">IF(COUNTIFS($BY$6:$BY$53,BY33,$BC$6:$BC$53,INDEX(T_Equipos[Grupo],MATCH(BD33,T_Equipos[NombreEquipo],0)))=1,"-","P."&amp;BY33&amp;" ("&amp;COUNTIFS($BY$6:$BY$53,BY33,$BC$6:$BC$53,INDEX(T_Equipos[Grupo],MATCH(BD33,T_Equipos[NombreEquipo],0)))&amp;")")</f>
        <v>P.1 (4)</v>
      </c>
      <c r="CA33" s="754">
        <f t="shared" ca="1" si="40"/>
        <v>0</v>
      </c>
      <c r="CB33" s="754">
        <f t="shared" ca="1" si="41"/>
        <v>0</v>
      </c>
      <c r="CC33" s="754">
        <f t="shared" ca="1" si="42"/>
        <v>0</v>
      </c>
      <c r="CD33" s="754">
        <f ca="1">BY33+COUNTIFS($BZ$6:$BZ$53,BZ33,$CC$6:CC$53,"&gt;"&amp;CC33,$BC$6:$BC$53,INDEX(T_Equipos[Grupo],MATCH(BD33,T_Equipos[NombreEquipo],0)))</f>
        <v>1</v>
      </c>
      <c r="CE33" s="753" t="str">
        <f ca="1">IF(COUNTIFS($CD$6:$CD$53,CD33,$BC$6:$BC$53,INDEX(T_Equipos[Grupo],MATCH(BD33,T_Equipos[NombreEquipo],0)))=1,"-","P."&amp;CD33&amp;" ("&amp;COUNTIFS($CD$6:$CD$53,CD33,$BC$6:$BC$53,INDEX(T_Equipos[Grupo],MATCH(BD33,T_Equipos[NombreEquipo],0)))&amp;")")</f>
        <v>P.1 (4)</v>
      </c>
      <c r="CF33" s="754">
        <f t="shared" ca="1" si="43"/>
        <v>0</v>
      </c>
      <c r="CG33" s="754">
        <f ca="1">CD33+COUNTIFS($CE$6:$CE$53,CE33,$CF$6:CF$53,"&gt;"&amp;CF33,$BC$6:$BC$53,INDEX(T_Equipos[Grupo],MATCH(BD33,T_Equipos[NombreEquipo],0)))</f>
        <v>1</v>
      </c>
      <c r="CH33" s="753" t="str">
        <f ca="1">IF(COUNTIFS($CG$6:$CG$53,CG33,$BC$6:$BC$53,INDEX(T_Equipos[Grupo],MATCH(BD33,T_Equipos[NombreEquipo],0)))=1,"-","P."&amp;CG33&amp;" ("&amp;COUNTIFS($CG$6:$CG$53,CG33,$BC$6:$BC$53,INDEX(T_Equipos[Grupo],MATCH(BD33,T_Equipos[NombreEquipo],0)))&amp;")")</f>
        <v>P.1 (4)</v>
      </c>
      <c r="CI33" s="754">
        <f t="shared" ca="1" si="44"/>
        <v>0</v>
      </c>
      <c r="CJ33" s="754">
        <f t="shared" ca="1" si="45"/>
        <v>0</v>
      </c>
      <c r="CK33" s="754">
        <f t="shared" ca="1" si="46"/>
        <v>0</v>
      </c>
      <c r="CL33" s="754">
        <f t="shared" ca="1" si="47"/>
        <v>0</v>
      </c>
      <c r="CM33" s="754">
        <f ca="1">CG33+COUNTIFS($CH$6:$CH$53,CH33,$CL$6:CL$53,"&gt;"&amp;CL33,$BC$6:$BC$53,INDEX(T_Equipos[Grupo],MATCH(BD33,T_Equipos[NombreEquipo],0)))</f>
        <v>1</v>
      </c>
      <c r="CN33" s="753" t="str">
        <f ca="1">IF(COUNTIFS($CM$6:$CM$53,CM33,$BC$6:$BC$53,INDEX(T_Equipos[Grupo],MATCH(BD33,T_Equipos[NombreEquipo],0)))=1,"-","P."&amp;CM33&amp;" ("&amp;COUNTIFS($CM$6:$CM$53,CM33,$BC$6:$BC$53,INDEX(T_Equipos[Grupo],MATCH(BD33,T_Equipos[NombreEquipo],0)))&amp;")")</f>
        <v>P.1 (4)</v>
      </c>
      <c r="CO33" s="754">
        <f t="shared" ca="1" si="48"/>
        <v>0</v>
      </c>
      <c r="CP33" s="754">
        <f t="shared" ca="1" si="49"/>
        <v>0</v>
      </c>
      <c r="CQ33" s="754">
        <f t="shared" ca="1" si="50"/>
        <v>0</v>
      </c>
      <c r="CR33" s="754">
        <f ca="1">CM33+COUNTIFS($CN$6:$CN$53,CN33,$CQ$6:CQ$53,"&gt;"&amp;CQ33,$BC$6:$BC$53,INDEX(T_Equipos[Grupo],MATCH(BD33,T_Equipos[NombreEquipo],0)))</f>
        <v>1</v>
      </c>
      <c r="CS33" s="753" t="str">
        <f ca="1">IF(COUNTIFS($CR$6:$CR$53,CR33,$BC$6:$BC$53,INDEX(T_Equipos[Grupo],MATCH(BD33,T_Equipos[NombreEquipo],0)))=1,"-","P."&amp;CR33&amp;" ("&amp;COUNTIFS($CR$6:$CR$53,CR33,$BC$6:$BC$53,INDEX(T_Equipos[Grupo],MATCH(BD33,T_Equipos[NombreEquipo],0)))&amp;")")</f>
        <v>P.1 (4)</v>
      </c>
      <c r="CT33" s="754">
        <f t="shared" ca="1" si="51"/>
        <v>0</v>
      </c>
      <c r="CU33" s="754">
        <f ca="1">CR33+COUNTIFS($CS$6:$CS$53,CS33,$CT$6:CT$53,"&gt;"&amp;CT33,$BC$6:$BC$53,INDEX(T_Equipos[Grupo],MATCH(BD33,T_Equipos[NombreEquipo],0)))</f>
        <v>1</v>
      </c>
      <c r="CV33" s="753" t="str">
        <f ca="1">IF(COUNTIFS($CU$6:$CU$53,CU33,$BC$6:$BC$53,INDEX(T_Equipos[Grupo],MATCH(BD33,T_Equipos[NombreEquipo],0)))=1,"-","P."&amp;CU33&amp;" ("&amp;COUNTIFS($CU$6:$CU$53,CU33,$BC$6:$BC$53,INDEX(T_Equipos[Grupo],MATCH(BD33,T_Equipos[NombreEquipo],0)))&amp;")")</f>
        <v>P.1 (4)</v>
      </c>
      <c r="CW33" s="753">
        <f t="shared" ca="1" si="30"/>
        <v>0</v>
      </c>
      <c r="CX33" s="753">
        <f ca="1">CU33+COUNTIFS($CV$6:$CV$53,CV33,$CW$6:CW$53,"&gt;"&amp;CW33,$BC$6:$BC$53,INDEX(T_Equipos[Grupo],MATCH(BD33,T_Equipos[NombreEquipo],0)))</f>
        <v>1</v>
      </c>
      <c r="CY33" s="753" t="str">
        <f ca="1">IF(COUNTIFS($CX$6:$CX$53,CX33,$BC$6:$BC$53,INDEX(T_Equipos[Grupo],MATCH(BD33,T_Equipos[NombreEquipo],0)))=1,"-","P."&amp;CX33&amp;" ("&amp;COUNTIFS($CX$6:$CX$53,CX33,$BC$6:$BC$53,INDEX(T_Equipos[Grupo],MATCH(BD33,T_Equipos[NombreEquipo],0)))&amp;")")</f>
        <v>P.1 (4)</v>
      </c>
      <c r="CZ33" s="753">
        <f t="shared" ca="1" si="31"/>
        <v>0</v>
      </c>
      <c r="DA33" s="754">
        <f ca="1">CX33+COUNTIFS($CY$6:$CY$53,CY33,$CZ$6:CZ$53,"&gt;"&amp;CZ33,$BC$6:$BC$53,INDEX(T_Equipos[Grupo],MATCH(BD33,T_Equipos[NombreEquipo],0)))</f>
        <v>1</v>
      </c>
      <c r="DB33" s="753" t="str">
        <f ca="1">IF(COUNTIFS($DA$6:$DA$53,DA33,$BC$6:$BC$53,INDEX(T_Equipos[Grupo],MATCH(BD33,T_Equipos[NombreEquipo],0)))=1,"-","P."&amp;DA33&amp;" ("&amp;COUNTIFS($DA$6:$DA$53,DA33,$BC$6:$BC$53,INDEX(T_Equipos[Grupo],MATCH(BD33,T_Equipos[NombreEquipo],0)))&amp;")")</f>
        <v>P.1 (4)</v>
      </c>
      <c r="DC33" s="752">
        <f ca="1">IF(DB33="-","-",COUNTIFS(T_Equipos[Rank],"&lt;"&amp;INDEX(T_Equipos[Rank],MATCH(BD33,T_Equipos[NombreEquipo],0)),$BC$6:$BC$53,INDEX(T_Equipos[Grupo],MATCH(BD33,T_Equipos[NombreEquipo],0)))+1)</f>
        <v>4</v>
      </c>
      <c r="DD33" s="752">
        <f ca="1">DA33+COUNTIFS($DB$6:$DB$53,DB33,$DC$6:DC$53,"&lt;"&amp;DC33,$BC$6:$BC$53,INDEX(T_Equipos[Grupo],MATCH(BD33,T_Equipos[NombreEquipo],0)))</f>
        <v>4</v>
      </c>
      <c r="DE33" s="752"/>
      <c r="DF33" s="752">
        <f t="shared" ca="1" si="52"/>
        <v>4</v>
      </c>
      <c r="DG33" s="752">
        <f ca="1">IF(DB33="-","-",COUNTIFS(DF$6:DF$53,"&lt;"&amp;DF33,$BC$6:$BC$53,INDEX(T_Equipos[Grupo],MATCH(BD33,T_Equipos[NombreEquipo],0))))</f>
        <v>3</v>
      </c>
      <c r="DH33" s="752">
        <f ca="1">DA33+COUNTIFS(DB$6:DB$53,DB33,DG$6:DG$53,"&lt;"&amp;DG33,$BC$6:$BC$53,INDEX(T_Equipos[Grupo],MATCH(BD33,T_Equipos[NombreEquipo],0)))</f>
        <v>4</v>
      </c>
      <c r="DI33" s="740"/>
      <c r="DJ33" s="740">
        <f t="shared" ca="1" si="53"/>
        <v>1</v>
      </c>
      <c r="DK33" s="740">
        <f t="shared" ca="1" si="24"/>
        <v>0</v>
      </c>
      <c r="DL33" s="740">
        <f t="shared" ca="1" si="33"/>
        <v>1</v>
      </c>
      <c r="DM33" s="734" t="str">
        <f t="shared" ca="1" si="34"/>
        <v>1.1</v>
      </c>
      <c r="DN33" s="740" cm="1">
        <f t="array" aca="1" ref="DN33" ca="1">OFFSET(Horarios!$P$3,DJ33-1,0,DL33,1)</f>
        <v>1</v>
      </c>
      <c r="DO33" s="740"/>
      <c r="DP33" s="740" t="s">
        <v>669</v>
      </c>
      <c r="DQ33" s="740" t="str">
        <f t="shared" ca="1" si="35"/>
        <v>Nueva Zelanda</v>
      </c>
      <c r="DR33" s="740"/>
      <c r="DS33" s="740"/>
      <c r="DT33" s="740" t="str">
        <f t="shared" ca="1" si="15"/>
        <v>Paraguay-Australia</v>
      </c>
      <c r="DU33" s="740"/>
      <c r="DV33" s="740"/>
      <c r="DW33" s="8"/>
    </row>
    <row r="34" spans="1:127" ht="15.75" thickBot="1">
      <c r="A34" s="735"/>
      <c r="B34" s="735"/>
      <c r="C34" s="735"/>
      <c r="D34" s="740"/>
      <c r="E34" s="740"/>
      <c r="F34" s="740"/>
      <c r="G34" s="740"/>
      <c r="H34" s="740"/>
      <c r="I34" s="740"/>
      <c r="J34" s="740"/>
      <c r="K34" s="740"/>
      <c r="L34" s="740"/>
      <c r="M34" s="740"/>
      <c r="N34" s="740"/>
      <c r="O34" s="740"/>
      <c r="P34" s="740"/>
      <c r="Q34" s="740"/>
      <c r="R34" s="740"/>
      <c r="S34" s="740"/>
      <c r="T34" s="740"/>
      <c r="U34" s="740"/>
      <c r="V34" s="172"/>
      <c r="W34" s="242"/>
      <c r="X34" s="243"/>
      <c r="Y34" s="242"/>
      <c r="Z34" s="244"/>
      <c r="AA34" s="245"/>
      <c r="AB34" s="481"/>
      <c r="AC34" s="247"/>
      <c r="AD34" s="247"/>
      <c r="AE34" s="481"/>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0"/>
      <c r="BC34" s="752" t="str">
        <f ca="1">+INDEX(T_Equipos[Grupo],MATCH(WORLDCUP!BD34,T_Equipos[NombreEquipo],0))</f>
        <v>H</v>
      </c>
      <c r="BD34" s="740" t="str">
        <f ca="1">+Equipos!B30</f>
        <v>España</v>
      </c>
      <c r="BE34" s="744">
        <f t="shared" ca="1" si="25"/>
        <v>0</v>
      </c>
      <c r="BF34" s="744">
        <f t="shared" ca="1" si="26"/>
        <v>0</v>
      </c>
      <c r="BG34" s="744">
        <f t="shared" ca="1" si="17"/>
        <v>0</v>
      </c>
      <c r="BH34" s="744">
        <f t="shared" ca="1" si="18"/>
        <v>0</v>
      </c>
      <c r="BI34" s="744">
        <f t="shared" ca="1" si="19"/>
        <v>0</v>
      </c>
      <c r="BJ34" s="744">
        <f t="shared" ca="1" si="20"/>
        <v>0</v>
      </c>
      <c r="BK34" s="744">
        <f t="shared" ca="1" si="21"/>
        <v>0</v>
      </c>
      <c r="BL34" s="744">
        <f t="shared" ca="1" si="27"/>
        <v>0</v>
      </c>
      <c r="BM34" s="744" t="str">
        <f t="shared" ca="1" si="22"/>
        <v>1H</v>
      </c>
      <c r="BN34" s="744" t="str">
        <f t="shared" ca="1" si="23"/>
        <v>1H</v>
      </c>
      <c r="BO34" s="754">
        <f t="shared" ca="1" si="28"/>
        <v>0</v>
      </c>
      <c r="BP34" s="753">
        <f ca="1">COUNTIFS($BO$6:$BO$53,"&gt;"&amp;BO34,$BC$6:$BC$53,INDEX(T_Equipos[Grupo],MATCH(BD34,T_Equipos[NombreEquipo],0)))+1</f>
        <v>1</v>
      </c>
      <c r="BQ34" s="753" t="str">
        <f ca="1">IF(COUNTIFS($BP$6:$BP$53,BP34,$BC$6:$BC$53,INDEX(T_Equipos[Grupo],MATCH(BD34,T_Equipos[NombreEquipo],0)))=1,"-","P."&amp;BP34&amp;" ("&amp;COUNTIFS($BP$6:$BP$53,BP34,$BC$6:$BC$53,INDEX(T_Equipos[Grupo],MATCH(BD34,T_Equipos[NombreEquipo],0)))&amp;")")</f>
        <v>P.1 (4)</v>
      </c>
      <c r="BR34" s="754">
        <f t="shared" ca="1" si="29"/>
        <v>0</v>
      </c>
      <c r="BS34" s="753">
        <f ca="1">BP34+COUNTIFS($BQ$6:$BQ$53,BQ34,$BR$6:BR$53,"&gt;"&amp;BR34,$BC$6:$BC$53,INDEX(T_Equipos[Grupo],MATCH(BD34,T_Equipos[NombreEquipo],0)))</f>
        <v>1</v>
      </c>
      <c r="BT34" s="753" t="str">
        <f ca="1">IF(COUNTIFS($BS$6:$BS$53,BS34,$BC$6:$BC$53,INDEX(T_Equipos[Grupo],MATCH(BD34,T_Equipos[NombreEquipo],0)))=1,"-","P."&amp;BS34&amp;" ("&amp;COUNTIFS($BS$6:$BS$53,BS34,$BC$6:$BC$53,INDEX(T_Equipos[Grupo],MATCH(BD34,T_Equipos[NombreEquipo],0)))&amp;")")</f>
        <v>P.1 (4)</v>
      </c>
      <c r="BU34" s="754">
        <f t="shared" ca="1" si="36"/>
        <v>0</v>
      </c>
      <c r="BV34" s="754">
        <f t="shared" ca="1" si="37"/>
        <v>0</v>
      </c>
      <c r="BW34" s="754">
        <f t="shared" ca="1" si="38"/>
        <v>0</v>
      </c>
      <c r="BX34" s="754">
        <f t="shared" ca="1" si="39"/>
        <v>0</v>
      </c>
      <c r="BY34" s="754">
        <f ca="1">BS34+COUNTIFS($BT$6:$BT$53,BT34,$BX$6:BX$53,"&gt;"&amp;BX34,$BC$6:$BC$53,INDEX(T_Equipos[Grupo],MATCH(BD34,T_Equipos[NombreEquipo],0)))</f>
        <v>1</v>
      </c>
      <c r="BZ34" s="753" t="str">
        <f ca="1">IF(COUNTIFS($BY$6:$BY$53,BY34,$BC$6:$BC$53,INDEX(T_Equipos[Grupo],MATCH(BD34,T_Equipos[NombreEquipo],0)))=1,"-","P."&amp;BY34&amp;" ("&amp;COUNTIFS($BY$6:$BY$53,BY34,$BC$6:$BC$53,INDEX(T_Equipos[Grupo],MATCH(BD34,T_Equipos[NombreEquipo],0)))&amp;")")</f>
        <v>P.1 (4)</v>
      </c>
      <c r="CA34" s="754">
        <f t="shared" ca="1" si="40"/>
        <v>0</v>
      </c>
      <c r="CB34" s="754">
        <f t="shared" ca="1" si="41"/>
        <v>0</v>
      </c>
      <c r="CC34" s="754">
        <f t="shared" ca="1" si="42"/>
        <v>0</v>
      </c>
      <c r="CD34" s="754">
        <f ca="1">BY34+COUNTIFS($BZ$6:$BZ$53,BZ34,$CC$6:CC$53,"&gt;"&amp;CC34,$BC$6:$BC$53,INDEX(T_Equipos[Grupo],MATCH(BD34,T_Equipos[NombreEquipo],0)))</f>
        <v>1</v>
      </c>
      <c r="CE34" s="753" t="str">
        <f ca="1">IF(COUNTIFS($CD$6:$CD$53,CD34,$BC$6:$BC$53,INDEX(T_Equipos[Grupo],MATCH(BD34,T_Equipos[NombreEquipo],0)))=1,"-","P."&amp;CD34&amp;" ("&amp;COUNTIFS($CD$6:$CD$53,CD34,$BC$6:$BC$53,INDEX(T_Equipos[Grupo],MATCH(BD34,T_Equipos[NombreEquipo],0)))&amp;")")</f>
        <v>P.1 (4)</v>
      </c>
      <c r="CF34" s="754">
        <f t="shared" ca="1" si="43"/>
        <v>0</v>
      </c>
      <c r="CG34" s="754">
        <f ca="1">CD34+COUNTIFS($CE$6:$CE$53,CE34,$CF$6:CF$53,"&gt;"&amp;CF34,$BC$6:$BC$53,INDEX(T_Equipos[Grupo],MATCH(BD34,T_Equipos[NombreEquipo],0)))</f>
        <v>1</v>
      </c>
      <c r="CH34" s="753" t="str">
        <f ca="1">IF(COUNTIFS($CG$6:$CG$53,CG34,$BC$6:$BC$53,INDEX(T_Equipos[Grupo],MATCH(BD34,T_Equipos[NombreEquipo],0)))=1,"-","P."&amp;CG34&amp;" ("&amp;COUNTIFS($CG$6:$CG$53,CG34,$BC$6:$BC$53,INDEX(T_Equipos[Grupo],MATCH(BD34,T_Equipos[NombreEquipo],0)))&amp;")")</f>
        <v>P.1 (4)</v>
      </c>
      <c r="CI34" s="754">
        <f t="shared" ca="1" si="44"/>
        <v>0</v>
      </c>
      <c r="CJ34" s="754">
        <f t="shared" ca="1" si="45"/>
        <v>0</v>
      </c>
      <c r="CK34" s="754">
        <f t="shared" ca="1" si="46"/>
        <v>0</v>
      </c>
      <c r="CL34" s="754">
        <f t="shared" ca="1" si="47"/>
        <v>0</v>
      </c>
      <c r="CM34" s="754">
        <f ca="1">CG34+COUNTIFS($CH$6:$CH$53,CH34,$CL$6:CL$53,"&gt;"&amp;CL34,$BC$6:$BC$53,INDEX(T_Equipos[Grupo],MATCH(BD34,T_Equipos[NombreEquipo],0)))</f>
        <v>1</v>
      </c>
      <c r="CN34" s="753" t="str">
        <f ca="1">IF(COUNTIFS($CM$6:$CM$53,CM34,$BC$6:$BC$53,INDEX(T_Equipos[Grupo],MATCH(BD34,T_Equipos[NombreEquipo],0)))=1,"-","P."&amp;CM34&amp;" ("&amp;COUNTIFS($CM$6:$CM$53,CM34,$BC$6:$BC$53,INDEX(T_Equipos[Grupo],MATCH(BD34,T_Equipos[NombreEquipo],0)))&amp;")")</f>
        <v>P.1 (4)</v>
      </c>
      <c r="CO34" s="754">
        <f t="shared" ca="1" si="48"/>
        <v>0</v>
      </c>
      <c r="CP34" s="754">
        <f t="shared" ca="1" si="49"/>
        <v>0</v>
      </c>
      <c r="CQ34" s="754">
        <f t="shared" ca="1" si="50"/>
        <v>0</v>
      </c>
      <c r="CR34" s="754">
        <f ca="1">CM34+COUNTIFS($CN$6:$CN$53,CN34,$CQ$6:CQ$53,"&gt;"&amp;CQ34,$BC$6:$BC$53,INDEX(T_Equipos[Grupo],MATCH(BD34,T_Equipos[NombreEquipo],0)))</f>
        <v>1</v>
      </c>
      <c r="CS34" s="753" t="str">
        <f ca="1">IF(COUNTIFS($CR$6:$CR$53,CR34,$BC$6:$BC$53,INDEX(T_Equipos[Grupo],MATCH(BD34,T_Equipos[NombreEquipo],0)))=1,"-","P."&amp;CR34&amp;" ("&amp;COUNTIFS($CR$6:$CR$53,CR34,$BC$6:$BC$53,INDEX(T_Equipos[Grupo],MATCH(BD34,T_Equipos[NombreEquipo],0)))&amp;")")</f>
        <v>P.1 (4)</v>
      </c>
      <c r="CT34" s="754">
        <f t="shared" ca="1" si="51"/>
        <v>0</v>
      </c>
      <c r="CU34" s="754">
        <f ca="1">CR34+COUNTIFS($CS$6:$CS$53,CS34,$CT$6:CT$53,"&gt;"&amp;CT34,$BC$6:$BC$53,INDEX(T_Equipos[Grupo],MATCH(BD34,T_Equipos[NombreEquipo],0)))</f>
        <v>1</v>
      </c>
      <c r="CV34" s="753" t="str">
        <f ca="1">IF(COUNTIFS($CU$6:$CU$53,CU34,$BC$6:$BC$53,INDEX(T_Equipos[Grupo],MATCH(BD34,T_Equipos[NombreEquipo],0)))=1,"-","P."&amp;CU34&amp;" ("&amp;COUNTIFS($CU$6:$CU$53,CU34,$BC$6:$BC$53,INDEX(T_Equipos[Grupo],MATCH(BD34,T_Equipos[NombreEquipo],0)))&amp;")")</f>
        <v>P.1 (4)</v>
      </c>
      <c r="CW34" s="753">
        <f t="shared" ca="1" si="30"/>
        <v>0</v>
      </c>
      <c r="CX34" s="753">
        <f ca="1">CU34+COUNTIFS($CV$6:$CV$53,CV34,$CW$6:CW$53,"&gt;"&amp;CW34,$BC$6:$BC$53,INDEX(T_Equipos[Grupo],MATCH(BD34,T_Equipos[NombreEquipo],0)))</f>
        <v>1</v>
      </c>
      <c r="CY34" s="753" t="str">
        <f ca="1">IF(COUNTIFS($CX$6:$CX$53,CX34,$BC$6:$BC$53,INDEX(T_Equipos[Grupo],MATCH(BD34,T_Equipos[NombreEquipo],0)))=1,"-","P."&amp;CX34&amp;" ("&amp;COUNTIFS($CX$6:$CX$53,CX34,$BC$6:$BC$53,INDEX(T_Equipos[Grupo],MATCH(BD34,T_Equipos[NombreEquipo],0)))&amp;")")</f>
        <v>P.1 (4)</v>
      </c>
      <c r="CZ34" s="753">
        <f t="shared" ca="1" si="31"/>
        <v>0</v>
      </c>
      <c r="DA34" s="754">
        <f ca="1">CX34+COUNTIFS($CY$6:$CY$53,CY34,$CZ$6:CZ$53,"&gt;"&amp;CZ34,$BC$6:$BC$53,INDEX(T_Equipos[Grupo],MATCH(BD34,T_Equipos[NombreEquipo],0)))</f>
        <v>1</v>
      </c>
      <c r="DB34" s="753" t="str">
        <f ca="1">IF(COUNTIFS($DA$6:$DA$53,DA34,$BC$6:$BC$53,INDEX(T_Equipos[Grupo],MATCH(BD34,T_Equipos[NombreEquipo],0)))=1,"-","P."&amp;DA34&amp;" ("&amp;COUNTIFS($DA$6:$DA$53,DA34,$BC$6:$BC$53,INDEX(T_Equipos[Grupo],MATCH(BD34,T_Equipos[NombreEquipo],0)))&amp;")")</f>
        <v>P.1 (4)</v>
      </c>
      <c r="DC34" s="752">
        <f ca="1">IF(DB34="-","-",COUNTIFS(T_Equipos[Rank],"&lt;"&amp;INDEX(T_Equipos[Rank],MATCH(BD34,T_Equipos[NombreEquipo],0)),$BC$6:$BC$53,INDEX(T_Equipos[Grupo],MATCH(BD34,T_Equipos[NombreEquipo],0)))+1)</f>
        <v>1</v>
      </c>
      <c r="DD34" s="752">
        <f ca="1">DA34+COUNTIFS($DB$6:$DB$53,DB34,$DC$6:DC$53,"&lt;"&amp;DC34,$BC$6:$BC$53,INDEX(T_Equipos[Grupo],MATCH(BD34,T_Equipos[NombreEquipo],0)))</f>
        <v>1</v>
      </c>
      <c r="DE34" s="752"/>
      <c r="DF34" s="752">
        <f t="shared" ca="1" si="52"/>
        <v>1</v>
      </c>
      <c r="DG34" s="752">
        <f ca="1">IF(DB34="-","-",COUNTIFS(DF$6:DF$53,"&lt;"&amp;DF34,$BC$6:$BC$53,INDEX(T_Equipos[Grupo],MATCH(BD34,T_Equipos[NombreEquipo],0))))</f>
        <v>0</v>
      </c>
      <c r="DH34" s="752">
        <f ca="1">DA34+COUNTIFS(DB$6:DB$53,DB34,DG$6:DG$53,"&lt;"&amp;DG34,$BC$6:$BC$53,INDEX(T_Equipos[Grupo],MATCH(BD34,T_Equipos[NombreEquipo],0)))</f>
        <v>1</v>
      </c>
      <c r="DI34" s="740"/>
      <c r="DJ34" s="740">
        <f t="shared" ca="1" si="53"/>
        <v>1</v>
      </c>
      <c r="DK34" s="740">
        <f t="shared" ca="1" si="24"/>
        <v>0</v>
      </c>
      <c r="DL34" s="740">
        <f t="shared" ca="1" si="33"/>
        <v>1</v>
      </c>
      <c r="DM34" s="734" t="str">
        <f t="shared" ca="1" si="34"/>
        <v>1.1</v>
      </c>
      <c r="DN34" s="740" cm="1">
        <f t="array" aca="1" ref="DN34" ca="1">OFFSET(Horarios!$P$3,DJ34-1,0,DL34,1)</f>
        <v>1</v>
      </c>
      <c r="DO34" s="740"/>
      <c r="DP34" s="740" t="s">
        <v>670</v>
      </c>
      <c r="DQ34" s="740" t="str">
        <f t="shared" ca="1" si="35"/>
        <v>España</v>
      </c>
      <c r="DR34" s="740"/>
      <c r="DS34" s="740"/>
      <c r="DT34" s="740" t="str">
        <f t="shared" si="15"/>
        <v>-</v>
      </c>
      <c r="DU34" s="740"/>
      <c r="DV34" s="740"/>
      <c r="DW34" s="8"/>
    </row>
    <row r="35" spans="1:127" ht="15.75" thickBot="1">
      <c r="A35" s="735"/>
      <c r="B35" s="738"/>
      <c r="C35" s="735"/>
      <c r="D35" s="735"/>
      <c r="E35" s="735"/>
      <c r="F35" s="735"/>
      <c r="G35" s="735"/>
      <c r="H35" s="735"/>
      <c r="I35" s="735"/>
      <c r="J35" s="735"/>
      <c r="K35" s="735"/>
      <c r="L35" s="735"/>
      <c r="M35" s="735"/>
      <c r="N35" s="740"/>
      <c r="O35" s="740"/>
      <c r="P35" s="740"/>
      <c r="Q35" s="740"/>
      <c r="R35" s="740"/>
      <c r="S35" s="740"/>
      <c r="T35" s="740"/>
      <c r="U35" s="740"/>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0"/>
      <c r="BC35" s="752" t="str">
        <f ca="1">+INDEX(T_Equipos[Grupo],MATCH(WORLDCUP!BD35,T_Equipos[NombreEquipo],0))</f>
        <v>H</v>
      </c>
      <c r="BD35" s="740" t="str">
        <f ca="1">+Equipos!B31</f>
        <v>Cabo Verde</v>
      </c>
      <c r="BE35" s="744">
        <f t="shared" ca="1" si="25"/>
        <v>0</v>
      </c>
      <c r="BF35" s="744">
        <f t="shared" ca="1" si="26"/>
        <v>0</v>
      </c>
      <c r="BG35" s="744">
        <f t="shared" ca="1" si="17"/>
        <v>0</v>
      </c>
      <c r="BH35" s="744">
        <f t="shared" ca="1" si="18"/>
        <v>0</v>
      </c>
      <c r="BI35" s="744">
        <f t="shared" ca="1" si="19"/>
        <v>0</v>
      </c>
      <c r="BJ35" s="744">
        <f t="shared" ca="1" si="20"/>
        <v>0</v>
      </c>
      <c r="BK35" s="744">
        <f t="shared" ca="1" si="21"/>
        <v>0</v>
      </c>
      <c r="BL35" s="744">
        <f t="shared" ca="1" si="27"/>
        <v>0</v>
      </c>
      <c r="BM35" s="744" t="str">
        <f t="shared" ca="1" si="22"/>
        <v>2H</v>
      </c>
      <c r="BN35" s="744" t="str">
        <f t="shared" ca="1" si="23"/>
        <v>2H</v>
      </c>
      <c r="BO35" s="754">
        <f t="shared" ca="1" si="28"/>
        <v>0</v>
      </c>
      <c r="BP35" s="753">
        <f ca="1">COUNTIFS($BO$6:$BO$53,"&gt;"&amp;BO35,$BC$6:$BC$53,INDEX(T_Equipos[Grupo],MATCH(BD35,T_Equipos[NombreEquipo],0)))+1</f>
        <v>1</v>
      </c>
      <c r="BQ35" s="753" t="str">
        <f ca="1">IF(COUNTIFS($BP$6:$BP$53,BP35,$BC$6:$BC$53,INDEX(T_Equipos[Grupo],MATCH(BD35,T_Equipos[NombreEquipo],0)))=1,"-","P."&amp;BP35&amp;" ("&amp;COUNTIFS($BP$6:$BP$53,BP35,$BC$6:$BC$53,INDEX(T_Equipos[Grupo],MATCH(BD35,T_Equipos[NombreEquipo],0)))&amp;")")</f>
        <v>P.1 (4)</v>
      </c>
      <c r="BR35" s="754">
        <f t="shared" ca="1" si="29"/>
        <v>0</v>
      </c>
      <c r="BS35" s="753">
        <f ca="1">BP35+COUNTIFS($BQ$6:$BQ$53,BQ35,$BR$6:BR$53,"&gt;"&amp;BR35,$BC$6:$BC$53,INDEX(T_Equipos[Grupo],MATCH(BD35,T_Equipos[NombreEquipo],0)))</f>
        <v>1</v>
      </c>
      <c r="BT35" s="753" t="str">
        <f ca="1">IF(COUNTIFS($BS$6:$BS$53,BS35,$BC$6:$BC$53,INDEX(T_Equipos[Grupo],MATCH(BD35,T_Equipos[NombreEquipo],0)))=1,"-","P."&amp;BS35&amp;" ("&amp;COUNTIFS($BS$6:$BS$53,BS35,$BC$6:$BC$53,INDEX(T_Equipos[Grupo],MATCH(BD35,T_Equipos[NombreEquipo],0)))&amp;")")</f>
        <v>P.1 (4)</v>
      </c>
      <c r="BU35" s="754">
        <f t="shared" ca="1" si="36"/>
        <v>0</v>
      </c>
      <c r="BV35" s="754">
        <f t="shared" ca="1" si="37"/>
        <v>0</v>
      </c>
      <c r="BW35" s="754">
        <f t="shared" ca="1" si="38"/>
        <v>0</v>
      </c>
      <c r="BX35" s="754">
        <f t="shared" ca="1" si="39"/>
        <v>0</v>
      </c>
      <c r="BY35" s="754">
        <f ca="1">BS35+COUNTIFS($BT$6:$BT$53,BT35,$BX$6:BX$53,"&gt;"&amp;BX35,$BC$6:$BC$53,INDEX(T_Equipos[Grupo],MATCH(BD35,T_Equipos[NombreEquipo],0)))</f>
        <v>1</v>
      </c>
      <c r="BZ35" s="753" t="str">
        <f ca="1">IF(COUNTIFS($BY$6:$BY$53,BY35,$BC$6:$BC$53,INDEX(T_Equipos[Grupo],MATCH(BD35,T_Equipos[NombreEquipo],0)))=1,"-","P."&amp;BY35&amp;" ("&amp;COUNTIFS($BY$6:$BY$53,BY35,$BC$6:$BC$53,INDEX(T_Equipos[Grupo],MATCH(BD35,T_Equipos[NombreEquipo],0)))&amp;")")</f>
        <v>P.1 (4)</v>
      </c>
      <c r="CA35" s="754">
        <f t="shared" ca="1" si="40"/>
        <v>0</v>
      </c>
      <c r="CB35" s="754">
        <f t="shared" ca="1" si="41"/>
        <v>0</v>
      </c>
      <c r="CC35" s="754">
        <f t="shared" ca="1" si="42"/>
        <v>0</v>
      </c>
      <c r="CD35" s="754">
        <f ca="1">BY35+COUNTIFS($BZ$6:$BZ$53,BZ35,$CC$6:CC$53,"&gt;"&amp;CC35,$BC$6:$BC$53,INDEX(T_Equipos[Grupo],MATCH(BD35,T_Equipos[NombreEquipo],0)))</f>
        <v>1</v>
      </c>
      <c r="CE35" s="753" t="str">
        <f ca="1">IF(COUNTIFS($CD$6:$CD$53,CD35,$BC$6:$BC$53,INDEX(T_Equipos[Grupo],MATCH(BD35,T_Equipos[NombreEquipo],0)))=1,"-","P."&amp;CD35&amp;" ("&amp;COUNTIFS($CD$6:$CD$53,CD35,$BC$6:$BC$53,INDEX(T_Equipos[Grupo],MATCH(BD35,T_Equipos[NombreEquipo],0)))&amp;")")</f>
        <v>P.1 (4)</v>
      </c>
      <c r="CF35" s="754">
        <f t="shared" ca="1" si="43"/>
        <v>0</v>
      </c>
      <c r="CG35" s="754">
        <f ca="1">CD35+COUNTIFS($CE$6:$CE$53,CE35,$CF$6:CF$53,"&gt;"&amp;CF35,$BC$6:$BC$53,INDEX(T_Equipos[Grupo],MATCH(BD35,T_Equipos[NombreEquipo],0)))</f>
        <v>1</v>
      </c>
      <c r="CH35" s="753" t="str">
        <f ca="1">IF(COUNTIFS($CG$6:$CG$53,CG35,$BC$6:$BC$53,INDEX(T_Equipos[Grupo],MATCH(BD35,T_Equipos[NombreEquipo],0)))=1,"-","P."&amp;CG35&amp;" ("&amp;COUNTIFS($CG$6:$CG$53,CG35,$BC$6:$BC$53,INDEX(T_Equipos[Grupo],MATCH(BD35,T_Equipos[NombreEquipo],0)))&amp;")")</f>
        <v>P.1 (4)</v>
      </c>
      <c r="CI35" s="754">
        <f t="shared" ca="1" si="44"/>
        <v>0</v>
      </c>
      <c r="CJ35" s="754">
        <f t="shared" ca="1" si="45"/>
        <v>0</v>
      </c>
      <c r="CK35" s="754">
        <f t="shared" ca="1" si="46"/>
        <v>0</v>
      </c>
      <c r="CL35" s="754">
        <f t="shared" ca="1" si="47"/>
        <v>0</v>
      </c>
      <c r="CM35" s="754">
        <f ca="1">CG35+COUNTIFS($CH$6:$CH$53,CH35,$CL$6:CL$53,"&gt;"&amp;CL35,$BC$6:$BC$53,INDEX(T_Equipos[Grupo],MATCH(BD35,T_Equipos[NombreEquipo],0)))</f>
        <v>1</v>
      </c>
      <c r="CN35" s="753" t="str">
        <f ca="1">IF(COUNTIFS($CM$6:$CM$53,CM35,$BC$6:$BC$53,INDEX(T_Equipos[Grupo],MATCH(BD35,T_Equipos[NombreEquipo],0)))=1,"-","P."&amp;CM35&amp;" ("&amp;COUNTIFS($CM$6:$CM$53,CM35,$BC$6:$BC$53,INDEX(T_Equipos[Grupo],MATCH(BD35,T_Equipos[NombreEquipo],0)))&amp;")")</f>
        <v>P.1 (4)</v>
      </c>
      <c r="CO35" s="754">
        <f t="shared" ca="1" si="48"/>
        <v>0</v>
      </c>
      <c r="CP35" s="754">
        <f t="shared" ca="1" si="49"/>
        <v>0</v>
      </c>
      <c r="CQ35" s="754">
        <f t="shared" ca="1" si="50"/>
        <v>0</v>
      </c>
      <c r="CR35" s="754">
        <f ca="1">CM35+COUNTIFS($CN$6:$CN$53,CN35,$CQ$6:CQ$53,"&gt;"&amp;CQ35,$BC$6:$BC$53,INDEX(T_Equipos[Grupo],MATCH(BD35,T_Equipos[NombreEquipo],0)))</f>
        <v>1</v>
      </c>
      <c r="CS35" s="753" t="str">
        <f ca="1">IF(COUNTIFS($CR$6:$CR$53,CR35,$BC$6:$BC$53,INDEX(T_Equipos[Grupo],MATCH(BD35,T_Equipos[NombreEquipo],0)))=1,"-","P."&amp;CR35&amp;" ("&amp;COUNTIFS($CR$6:$CR$53,CR35,$BC$6:$BC$53,INDEX(T_Equipos[Grupo],MATCH(BD35,T_Equipos[NombreEquipo],0)))&amp;")")</f>
        <v>P.1 (4)</v>
      </c>
      <c r="CT35" s="754">
        <f t="shared" ca="1" si="51"/>
        <v>0</v>
      </c>
      <c r="CU35" s="754">
        <f ca="1">CR35+COUNTIFS($CS$6:$CS$53,CS35,$CT$6:CT$53,"&gt;"&amp;CT35,$BC$6:$BC$53,INDEX(T_Equipos[Grupo],MATCH(BD35,T_Equipos[NombreEquipo],0)))</f>
        <v>1</v>
      </c>
      <c r="CV35" s="753" t="str">
        <f ca="1">IF(COUNTIFS($CU$6:$CU$53,CU35,$BC$6:$BC$53,INDEX(T_Equipos[Grupo],MATCH(BD35,T_Equipos[NombreEquipo],0)))=1,"-","P."&amp;CU35&amp;" ("&amp;COUNTIFS($CU$6:$CU$53,CU35,$BC$6:$BC$53,INDEX(T_Equipos[Grupo],MATCH(BD35,T_Equipos[NombreEquipo],0)))&amp;")")</f>
        <v>P.1 (4)</v>
      </c>
      <c r="CW35" s="753">
        <f t="shared" ca="1" si="30"/>
        <v>0</v>
      </c>
      <c r="CX35" s="753">
        <f ca="1">CU35+COUNTIFS($CV$6:$CV$53,CV35,$CW$6:CW$53,"&gt;"&amp;CW35,$BC$6:$BC$53,INDEX(T_Equipos[Grupo],MATCH(BD35,T_Equipos[NombreEquipo],0)))</f>
        <v>1</v>
      </c>
      <c r="CY35" s="753" t="str">
        <f ca="1">IF(COUNTIFS($CX$6:$CX$53,CX35,$BC$6:$BC$53,INDEX(T_Equipos[Grupo],MATCH(BD35,T_Equipos[NombreEquipo],0)))=1,"-","P."&amp;CX35&amp;" ("&amp;COUNTIFS($CX$6:$CX$53,CX35,$BC$6:$BC$53,INDEX(T_Equipos[Grupo],MATCH(BD35,T_Equipos[NombreEquipo],0)))&amp;")")</f>
        <v>P.1 (4)</v>
      </c>
      <c r="CZ35" s="753">
        <f t="shared" ca="1" si="31"/>
        <v>0</v>
      </c>
      <c r="DA35" s="754">
        <f ca="1">CX35+COUNTIFS($CY$6:$CY$53,CY35,$CZ$6:CZ$53,"&gt;"&amp;CZ35,$BC$6:$BC$53,INDEX(T_Equipos[Grupo],MATCH(BD35,T_Equipos[NombreEquipo],0)))</f>
        <v>1</v>
      </c>
      <c r="DB35" s="753" t="str">
        <f ca="1">IF(COUNTIFS($DA$6:$DA$53,DA35,$BC$6:$BC$53,INDEX(T_Equipos[Grupo],MATCH(BD35,T_Equipos[NombreEquipo],0)))=1,"-","P."&amp;DA35&amp;" ("&amp;COUNTIFS($DA$6:$DA$53,DA35,$BC$6:$BC$53,INDEX(T_Equipos[Grupo],MATCH(BD35,T_Equipos[NombreEquipo],0)))&amp;")")</f>
        <v>P.1 (4)</v>
      </c>
      <c r="DC35" s="752">
        <f ca="1">IF(DB35="-","-",COUNTIFS(T_Equipos[Rank],"&lt;"&amp;INDEX(T_Equipos[Rank],MATCH(BD35,T_Equipos[NombreEquipo],0)),$BC$6:$BC$53,INDEX(T_Equipos[Grupo],MATCH(BD35,T_Equipos[NombreEquipo],0)))+1)</f>
        <v>2</v>
      </c>
      <c r="DD35" s="752">
        <f ca="1">DA35+COUNTIFS($DB$6:$DB$53,DB35,$DC$6:DC$53,"&lt;"&amp;DC35,$BC$6:$BC$53,INDEX(T_Equipos[Grupo],MATCH(BD35,T_Equipos[NombreEquipo],0)))</f>
        <v>2</v>
      </c>
      <c r="DE35" s="752"/>
      <c r="DF35" s="752">
        <f t="shared" ca="1" si="52"/>
        <v>2</v>
      </c>
      <c r="DG35" s="752">
        <f ca="1">IF(DB35="-","-",COUNTIFS(DF$6:DF$53,"&lt;"&amp;DF35,$BC$6:$BC$53,INDEX(T_Equipos[Grupo],MATCH(BD35,T_Equipos[NombreEquipo],0))))</f>
        <v>1</v>
      </c>
      <c r="DH35" s="752">
        <f ca="1">DA35+COUNTIFS(DB$6:DB$53,DB35,DG$6:DG$53,"&lt;"&amp;DG35,$BC$6:$BC$53,INDEX(T_Equipos[Grupo],MATCH(BD35,T_Equipos[NombreEquipo],0)))</f>
        <v>2</v>
      </c>
      <c r="DI35" s="740"/>
      <c r="DJ35" s="740">
        <f t="shared" ca="1" si="53"/>
        <v>1</v>
      </c>
      <c r="DK35" s="740">
        <f t="shared" ca="1" si="24"/>
        <v>0</v>
      </c>
      <c r="DL35" s="740">
        <f t="shared" ca="1" si="33"/>
        <v>1</v>
      </c>
      <c r="DM35" s="734" t="str">
        <f t="shared" ca="1" si="34"/>
        <v>1.1</v>
      </c>
      <c r="DN35" s="740" cm="1">
        <f t="array" aca="1" ref="DN35" ca="1">OFFSET(Horarios!$P$3,DJ35-1,0,DL35,1)</f>
        <v>1</v>
      </c>
      <c r="DO35" s="740"/>
      <c r="DP35" s="740" t="s">
        <v>671</v>
      </c>
      <c r="DQ35" s="740" t="str">
        <f t="shared" ca="1" si="35"/>
        <v>Cabo Verde</v>
      </c>
      <c r="DR35" s="740"/>
      <c r="DS35" s="740"/>
      <c r="DT35" s="740" t="str">
        <f t="shared" si="15"/>
        <v>Casa-Fuera</v>
      </c>
      <c r="DU35" s="740"/>
      <c r="DV35" s="740"/>
      <c r="DW35" s="8"/>
    </row>
    <row r="36" spans="1:127" ht="15" customHeight="1" thickBot="1">
      <c r="A36" s="737" t="s">
        <v>30</v>
      </c>
      <c r="B36" s="738" t="s">
        <v>3</v>
      </c>
      <c r="C36" s="739">
        <f>COUNTIF(Equipos!$C$2:$C$49,WORLDCUP!B36)</f>
        <v>4</v>
      </c>
      <c r="D36" s="740" t="str">
        <f t="shared" ref="D36:D41" si="115">IF(OR(AC36="",AD36=""),"Pendiente",IF(AC36&gt;AD36,"Local",IF(AC36&lt;AD36,"Visitante","Empate")))</f>
        <v>Pendiente</v>
      </c>
      <c r="E36" s="740" t="str">
        <f t="shared" ref="E36:E41" si="116">IF(D36="Pendiente","-",INDEX($BT$6:$BT$53,MATCH($AA36,$BD$6:$BD$53,0)))</f>
        <v>-</v>
      </c>
      <c r="F36" s="740" t="str">
        <f t="shared" ref="F36:F41" si="117">IF(D36="Pendiente","-",INDEX($BT$6:$BT$53,MATCH($AF36,$BD$6:$BD$53,0)))</f>
        <v>-</v>
      </c>
      <c r="G36" s="740"/>
      <c r="H36" s="740" t="str">
        <f t="shared" ref="H36:H41" si="118">IF(D36="Pendiente","-",INDEX($BZ$6:$BZ$53,MATCH($AA36,$BD$6:$BD$53,0)))</f>
        <v>-</v>
      </c>
      <c r="I36" s="740" t="str">
        <f t="shared" ref="I36:I41" si="119">IF(D36="Pendiente","-",INDEX($BZ$6:$BZ$53,MATCH($AF36,$BD$6:$BD$53,0)))</f>
        <v>-</v>
      </c>
      <c r="J36" s="740"/>
      <c r="K36" s="740" t="str">
        <f t="shared" ref="K36:K41" si="120">IF(D36="Pendiente","-",INDEX($CE$6:$CE$53,MATCH($AA36,$BD$6:$BD$53,0)))</f>
        <v>-</v>
      </c>
      <c r="L36" s="740" t="str">
        <f t="shared" ref="L36:L41" si="121">IF(D36="Pendiente","-",INDEX($CE$6:$CE$53,MATCH($AF36,$BD$6:$BD$53,0)))</f>
        <v>-</v>
      </c>
      <c r="M36" s="740"/>
      <c r="N36" s="740" t="str">
        <f t="shared" ref="N36:N41" si="122">IF(D36="Pendiente","-",INDEX($CH$6:$CH$53,MATCH($AA36,$BD$6:$BD$53,0)))</f>
        <v>-</v>
      </c>
      <c r="O36" s="740" t="str">
        <f t="shared" ref="O36:O41" si="123">IF(D36="Pendiente","-",INDEX($CH$6:$CH$53,MATCH($AF36,$BD$6:$BD$53,0)))</f>
        <v>-</v>
      </c>
      <c r="P36" s="740"/>
      <c r="Q36" s="740" t="str">
        <f t="shared" ref="Q36:Q41" si="124">IF(D36="Pendiente","-",INDEX($CN$6:$CN$53,MATCH($AA36,$BD$6:$BD$53,0)))</f>
        <v>-</v>
      </c>
      <c r="R36" s="740" t="str">
        <f t="shared" ref="R36:R41" si="125">IF(D36="Pendiente","-",INDEX($CN$6:$CN$53,MATCH($AF36,$BD$6:$BD$53,0)))</f>
        <v>-</v>
      </c>
      <c r="S36" s="740"/>
      <c r="T36" s="740" t="str">
        <f t="shared" ref="T36:T41" si="126">IF(D36="Pendiente","-",INDEX($CS$6:$CS$53,MATCH($AA36,$BD$6:$BD$53,0)))</f>
        <v>-</v>
      </c>
      <c r="U36" s="740" t="str">
        <f t="shared" ref="U36:U41" si="127">IF(D36="Pendiente","-",INDEX($CS$6:$CS$53,MATCH($AF36,$BD$6:$BD$53,0)))</f>
        <v>-</v>
      </c>
      <c r="V36" s="172"/>
      <c r="W36" s="896" t="s">
        <v>3</v>
      </c>
      <c r="X36" s="189">
        <f ca="1">Horarios!C36</f>
        <v>46187.541666666664</v>
      </c>
      <c r="Y36" s="190">
        <f ca="1">Horarios!C36</f>
        <v>46187.541666666664</v>
      </c>
      <c r="Z36" s="191" t="str">
        <f>$Z$4</f>
        <v>J1</v>
      </c>
      <c r="AA36" s="192" t="str">
        <f ca="1">A37</f>
        <v>Alemania</v>
      </c>
      <c r="AB36" s="477" t="str" cm="1">
        <f t="array" aca="1" ref="AB36" ca="1">Ver_flag_local</f>
        <v/>
      </c>
      <c r="AC36" s="193"/>
      <c r="AD36" s="194"/>
      <c r="AE36" s="482"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0"/>
      <c r="BC36" s="752" t="str">
        <f ca="1">+INDEX(T_Equipos[Grupo],MATCH(WORLDCUP!BD36,T_Equipos[NombreEquipo],0))</f>
        <v>H</v>
      </c>
      <c r="BD36" s="740" t="str">
        <f ca="1">+Equipos!B32</f>
        <v>Arabia Saudita</v>
      </c>
      <c r="BE36" s="744">
        <f t="shared" ca="1" si="25"/>
        <v>0</v>
      </c>
      <c r="BF36" s="744">
        <f t="shared" ca="1" si="26"/>
        <v>0</v>
      </c>
      <c r="BG36" s="744">
        <f t="shared" ca="1" si="17"/>
        <v>0</v>
      </c>
      <c r="BH36" s="744">
        <f t="shared" ca="1" si="18"/>
        <v>0</v>
      </c>
      <c r="BI36" s="744">
        <f t="shared" ca="1" si="19"/>
        <v>0</v>
      </c>
      <c r="BJ36" s="744">
        <f t="shared" ca="1" si="20"/>
        <v>0</v>
      </c>
      <c r="BK36" s="744">
        <f t="shared" ca="1" si="21"/>
        <v>0</v>
      </c>
      <c r="BL36" s="744">
        <f t="shared" ca="1" si="27"/>
        <v>0</v>
      </c>
      <c r="BM36" s="744" t="str">
        <f t="shared" ca="1" si="22"/>
        <v>3H</v>
      </c>
      <c r="BN36" s="744" t="str">
        <f t="shared" ca="1" si="23"/>
        <v>3H</v>
      </c>
      <c r="BO36" s="754">
        <f t="shared" ca="1" si="28"/>
        <v>0</v>
      </c>
      <c r="BP36" s="753">
        <f ca="1">COUNTIFS($BO$6:$BO$53,"&gt;"&amp;BO36,$BC$6:$BC$53,INDEX(T_Equipos[Grupo],MATCH(BD36,T_Equipos[NombreEquipo],0)))+1</f>
        <v>1</v>
      </c>
      <c r="BQ36" s="753" t="str">
        <f ca="1">IF(COUNTIFS($BP$6:$BP$53,BP36,$BC$6:$BC$53,INDEX(T_Equipos[Grupo],MATCH(BD36,T_Equipos[NombreEquipo],0)))=1,"-","P."&amp;BP36&amp;" ("&amp;COUNTIFS($BP$6:$BP$53,BP36,$BC$6:$BC$53,INDEX(T_Equipos[Grupo],MATCH(BD36,T_Equipos[NombreEquipo],0)))&amp;")")</f>
        <v>P.1 (4)</v>
      </c>
      <c r="BR36" s="754">
        <f t="shared" ca="1" si="29"/>
        <v>0</v>
      </c>
      <c r="BS36" s="753">
        <f ca="1">BP36+COUNTIFS($BQ$6:$BQ$53,BQ36,$BR$6:BR$53,"&gt;"&amp;BR36,$BC$6:$BC$53,INDEX(T_Equipos[Grupo],MATCH(BD36,T_Equipos[NombreEquipo],0)))</f>
        <v>1</v>
      </c>
      <c r="BT36" s="753" t="str">
        <f ca="1">IF(COUNTIFS($BS$6:$BS$53,BS36,$BC$6:$BC$53,INDEX(T_Equipos[Grupo],MATCH(BD36,T_Equipos[NombreEquipo],0)))=1,"-","P."&amp;BS36&amp;" ("&amp;COUNTIFS($BS$6:$BS$53,BS36,$BC$6:$BC$53,INDEX(T_Equipos[Grupo],MATCH(BD36,T_Equipos[NombreEquipo],0)))&amp;")")</f>
        <v>P.1 (4)</v>
      </c>
      <c r="BU36" s="754">
        <f t="shared" ca="1" si="36"/>
        <v>0</v>
      </c>
      <c r="BV36" s="754">
        <f t="shared" ca="1" si="37"/>
        <v>0</v>
      </c>
      <c r="BW36" s="754">
        <f t="shared" ca="1" si="38"/>
        <v>0</v>
      </c>
      <c r="BX36" s="754">
        <f t="shared" ca="1" si="39"/>
        <v>0</v>
      </c>
      <c r="BY36" s="754">
        <f ca="1">BS36+COUNTIFS($BT$6:$BT$53,BT36,$BX$6:BX$53,"&gt;"&amp;BX36,$BC$6:$BC$53,INDEX(T_Equipos[Grupo],MATCH(BD36,T_Equipos[NombreEquipo],0)))</f>
        <v>1</v>
      </c>
      <c r="BZ36" s="753" t="str">
        <f ca="1">IF(COUNTIFS($BY$6:$BY$53,BY36,$BC$6:$BC$53,INDEX(T_Equipos[Grupo],MATCH(BD36,T_Equipos[NombreEquipo],0)))=1,"-","P."&amp;BY36&amp;" ("&amp;COUNTIFS($BY$6:$BY$53,BY36,$BC$6:$BC$53,INDEX(T_Equipos[Grupo],MATCH(BD36,T_Equipos[NombreEquipo],0)))&amp;")")</f>
        <v>P.1 (4)</v>
      </c>
      <c r="CA36" s="754">
        <f t="shared" ca="1" si="40"/>
        <v>0</v>
      </c>
      <c r="CB36" s="754">
        <f t="shared" ca="1" si="41"/>
        <v>0</v>
      </c>
      <c r="CC36" s="754">
        <f t="shared" ca="1" si="42"/>
        <v>0</v>
      </c>
      <c r="CD36" s="754">
        <f ca="1">BY36+COUNTIFS($BZ$6:$BZ$53,BZ36,$CC$6:CC$53,"&gt;"&amp;CC36,$BC$6:$BC$53,INDEX(T_Equipos[Grupo],MATCH(BD36,T_Equipos[NombreEquipo],0)))</f>
        <v>1</v>
      </c>
      <c r="CE36" s="753" t="str">
        <f ca="1">IF(COUNTIFS($CD$6:$CD$53,CD36,$BC$6:$BC$53,INDEX(T_Equipos[Grupo],MATCH(BD36,T_Equipos[NombreEquipo],0)))=1,"-","P."&amp;CD36&amp;" ("&amp;COUNTIFS($CD$6:$CD$53,CD36,$BC$6:$BC$53,INDEX(T_Equipos[Grupo],MATCH(BD36,T_Equipos[NombreEquipo],0)))&amp;")")</f>
        <v>P.1 (4)</v>
      </c>
      <c r="CF36" s="754">
        <f t="shared" ca="1" si="43"/>
        <v>0</v>
      </c>
      <c r="CG36" s="754">
        <f ca="1">CD36+COUNTIFS($CE$6:$CE$53,CE36,$CF$6:CF$53,"&gt;"&amp;CF36,$BC$6:$BC$53,INDEX(T_Equipos[Grupo],MATCH(BD36,T_Equipos[NombreEquipo],0)))</f>
        <v>1</v>
      </c>
      <c r="CH36" s="753" t="str">
        <f ca="1">IF(COUNTIFS($CG$6:$CG$53,CG36,$BC$6:$BC$53,INDEX(T_Equipos[Grupo],MATCH(BD36,T_Equipos[NombreEquipo],0)))=1,"-","P."&amp;CG36&amp;" ("&amp;COUNTIFS($CG$6:$CG$53,CG36,$BC$6:$BC$53,INDEX(T_Equipos[Grupo],MATCH(BD36,T_Equipos[NombreEquipo],0)))&amp;")")</f>
        <v>P.1 (4)</v>
      </c>
      <c r="CI36" s="754">
        <f t="shared" ca="1" si="44"/>
        <v>0</v>
      </c>
      <c r="CJ36" s="754">
        <f t="shared" ca="1" si="45"/>
        <v>0</v>
      </c>
      <c r="CK36" s="754">
        <f t="shared" ca="1" si="46"/>
        <v>0</v>
      </c>
      <c r="CL36" s="754">
        <f t="shared" ca="1" si="47"/>
        <v>0</v>
      </c>
      <c r="CM36" s="754">
        <f ca="1">CG36+COUNTIFS($CH$6:$CH$53,CH36,$CL$6:CL$53,"&gt;"&amp;CL36,$BC$6:$BC$53,INDEX(T_Equipos[Grupo],MATCH(BD36,T_Equipos[NombreEquipo],0)))</f>
        <v>1</v>
      </c>
      <c r="CN36" s="753" t="str">
        <f ca="1">IF(COUNTIFS($CM$6:$CM$53,CM36,$BC$6:$BC$53,INDEX(T_Equipos[Grupo],MATCH(BD36,T_Equipos[NombreEquipo],0)))=1,"-","P."&amp;CM36&amp;" ("&amp;COUNTIFS($CM$6:$CM$53,CM36,$BC$6:$BC$53,INDEX(T_Equipos[Grupo],MATCH(BD36,T_Equipos[NombreEquipo],0)))&amp;")")</f>
        <v>P.1 (4)</v>
      </c>
      <c r="CO36" s="754">
        <f t="shared" ca="1" si="48"/>
        <v>0</v>
      </c>
      <c r="CP36" s="754">
        <f t="shared" ca="1" si="49"/>
        <v>0</v>
      </c>
      <c r="CQ36" s="754">
        <f t="shared" ca="1" si="50"/>
        <v>0</v>
      </c>
      <c r="CR36" s="754">
        <f ca="1">CM36+COUNTIFS($CN$6:$CN$53,CN36,$CQ$6:CQ$53,"&gt;"&amp;CQ36,$BC$6:$BC$53,INDEX(T_Equipos[Grupo],MATCH(BD36,T_Equipos[NombreEquipo],0)))</f>
        <v>1</v>
      </c>
      <c r="CS36" s="753" t="str">
        <f ca="1">IF(COUNTIFS($CR$6:$CR$53,CR36,$BC$6:$BC$53,INDEX(T_Equipos[Grupo],MATCH(BD36,T_Equipos[NombreEquipo],0)))=1,"-","P."&amp;CR36&amp;" ("&amp;COUNTIFS($CR$6:$CR$53,CR36,$BC$6:$BC$53,INDEX(T_Equipos[Grupo],MATCH(BD36,T_Equipos[NombreEquipo],0)))&amp;")")</f>
        <v>P.1 (4)</v>
      </c>
      <c r="CT36" s="754">
        <f t="shared" ca="1" si="51"/>
        <v>0</v>
      </c>
      <c r="CU36" s="754">
        <f ca="1">CR36+COUNTIFS($CS$6:$CS$53,CS36,$CT$6:CT$53,"&gt;"&amp;CT36,$BC$6:$BC$53,INDEX(T_Equipos[Grupo],MATCH(BD36,T_Equipos[NombreEquipo],0)))</f>
        <v>1</v>
      </c>
      <c r="CV36" s="753" t="str">
        <f ca="1">IF(COUNTIFS($CU$6:$CU$53,CU36,$BC$6:$BC$53,INDEX(T_Equipos[Grupo],MATCH(BD36,T_Equipos[NombreEquipo],0)))=1,"-","P."&amp;CU36&amp;" ("&amp;COUNTIFS($CU$6:$CU$53,CU36,$BC$6:$BC$53,INDEX(T_Equipos[Grupo],MATCH(BD36,T_Equipos[NombreEquipo],0)))&amp;")")</f>
        <v>P.1 (4)</v>
      </c>
      <c r="CW36" s="753">
        <f t="shared" ca="1" si="30"/>
        <v>0</v>
      </c>
      <c r="CX36" s="753">
        <f ca="1">CU36+COUNTIFS($CV$6:$CV$53,CV36,$CW$6:CW$53,"&gt;"&amp;CW36,$BC$6:$BC$53,INDEX(T_Equipos[Grupo],MATCH(BD36,T_Equipos[NombreEquipo],0)))</f>
        <v>1</v>
      </c>
      <c r="CY36" s="753" t="str">
        <f ca="1">IF(COUNTIFS($CX$6:$CX$53,CX36,$BC$6:$BC$53,INDEX(T_Equipos[Grupo],MATCH(BD36,T_Equipos[NombreEquipo],0)))=1,"-","P."&amp;CX36&amp;" ("&amp;COUNTIFS($CX$6:$CX$53,CX36,$BC$6:$BC$53,INDEX(T_Equipos[Grupo],MATCH(BD36,T_Equipos[NombreEquipo],0)))&amp;")")</f>
        <v>P.1 (4)</v>
      </c>
      <c r="CZ36" s="753">
        <f t="shared" ca="1" si="31"/>
        <v>0</v>
      </c>
      <c r="DA36" s="754">
        <f ca="1">CX36+COUNTIFS($CY$6:$CY$53,CY36,$CZ$6:CZ$53,"&gt;"&amp;CZ36,$BC$6:$BC$53,INDEX(T_Equipos[Grupo],MATCH(BD36,T_Equipos[NombreEquipo],0)))</f>
        <v>1</v>
      </c>
      <c r="DB36" s="753" t="str">
        <f ca="1">IF(COUNTIFS($DA$6:$DA$53,DA36,$BC$6:$BC$53,INDEX(T_Equipos[Grupo],MATCH(BD36,T_Equipos[NombreEquipo],0)))=1,"-","P."&amp;DA36&amp;" ("&amp;COUNTIFS($DA$6:$DA$53,DA36,$BC$6:$BC$53,INDEX(T_Equipos[Grupo],MATCH(BD36,T_Equipos[NombreEquipo],0)))&amp;")")</f>
        <v>P.1 (4)</v>
      </c>
      <c r="DC36" s="752">
        <f ca="1">IF(DB36="-","-",COUNTIFS(T_Equipos[Rank],"&lt;"&amp;INDEX(T_Equipos[Rank],MATCH(BD36,T_Equipos[NombreEquipo],0)),$BC$6:$BC$53,INDEX(T_Equipos[Grupo],MATCH(BD36,T_Equipos[NombreEquipo],0)))+1)</f>
        <v>3</v>
      </c>
      <c r="DD36" s="752">
        <f ca="1">DA36+COUNTIFS($DB$6:$DB$53,DB36,$DC$6:DC$53,"&lt;"&amp;DC36,$BC$6:$BC$53,INDEX(T_Equipos[Grupo],MATCH(BD36,T_Equipos[NombreEquipo],0)))</f>
        <v>3</v>
      </c>
      <c r="DE36" s="752"/>
      <c r="DF36" s="752">
        <f t="shared" ca="1" si="52"/>
        <v>3</v>
      </c>
      <c r="DG36" s="752">
        <f ca="1">IF(DB36="-","-",COUNTIFS(DF$6:DF$53,"&lt;"&amp;DF36,$BC$6:$BC$53,INDEX(T_Equipos[Grupo],MATCH(BD36,T_Equipos[NombreEquipo],0))))</f>
        <v>2</v>
      </c>
      <c r="DH36" s="752">
        <f ca="1">DA36+COUNTIFS(DB$6:DB$53,DB36,DG$6:DG$53,"&lt;"&amp;DG36,$BC$6:$BC$53,INDEX(T_Equipos[Grupo],MATCH(BD36,T_Equipos[NombreEquipo],0)))</f>
        <v>3</v>
      </c>
      <c r="DI36" s="740"/>
      <c r="DJ36" s="740">
        <f t="shared" ca="1" si="53"/>
        <v>1</v>
      </c>
      <c r="DK36" s="740">
        <f t="shared" ca="1" si="24"/>
        <v>0</v>
      </c>
      <c r="DL36" s="740">
        <f t="shared" ca="1" si="33"/>
        <v>1</v>
      </c>
      <c r="DM36" s="734" t="str">
        <f t="shared" ca="1" si="34"/>
        <v>1.1</v>
      </c>
      <c r="DN36" s="740" cm="1">
        <f t="array" aca="1" ref="DN36" ca="1">OFFSET(Horarios!$P$3,DJ36-1,0,DL36,1)</f>
        <v>1</v>
      </c>
      <c r="DO36" s="740"/>
      <c r="DP36" s="740" t="s">
        <v>436</v>
      </c>
      <c r="DQ36" s="740" t="str">
        <f t="shared" ca="1" si="35"/>
        <v>Arabia Saudita</v>
      </c>
      <c r="DR36" s="740"/>
      <c r="DS36" s="740"/>
      <c r="DT36" s="740" t="str">
        <f t="shared" ca="1" si="15"/>
        <v>Alemania-Curazao</v>
      </c>
      <c r="DU36" s="740"/>
      <c r="DV36" s="740"/>
      <c r="DW36" s="8"/>
    </row>
    <row r="37" spans="1:127" ht="15.95" customHeight="1">
      <c r="A37" s="741" t="str">
        <f ca="1">+Equipos!B18</f>
        <v>Alemania</v>
      </c>
      <c r="B37" s="738"/>
      <c r="C37" s="738"/>
      <c r="D37" s="740" t="str">
        <f t="shared" si="115"/>
        <v>Pendiente</v>
      </c>
      <c r="E37" s="740" t="str">
        <f t="shared" si="116"/>
        <v>-</v>
      </c>
      <c r="F37" s="740" t="str">
        <f t="shared" si="117"/>
        <v>-</v>
      </c>
      <c r="G37" s="740"/>
      <c r="H37" s="740" t="str">
        <f t="shared" si="118"/>
        <v>-</v>
      </c>
      <c r="I37" s="740" t="str">
        <f t="shared" si="119"/>
        <v>-</v>
      </c>
      <c r="J37" s="740"/>
      <c r="K37" s="740" t="str">
        <f t="shared" si="120"/>
        <v>-</v>
      </c>
      <c r="L37" s="740" t="str">
        <f t="shared" si="121"/>
        <v>-</v>
      </c>
      <c r="M37" s="740"/>
      <c r="N37" s="740" t="str">
        <f t="shared" si="122"/>
        <v>-</v>
      </c>
      <c r="O37" s="740" t="str">
        <f t="shared" si="123"/>
        <v>-</v>
      </c>
      <c r="P37" s="740"/>
      <c r="Q37" s="740" t="str">
        <f t="shared" si="124"/>
        <v>-</v>
      </c>
      <c r="R37" s="740" t="str">
        <f t="shared" si="125"/>
        <v>-</v>
      </c>
      <c r="S37" s="740"/>
      <c r="T37" s="740" t="str">
        <f t="shared" si="126"/>
        <v>-</v>
      </c>
      <c r="U37" s="740" t="str">
        <f t="shared" si="127"/>
        <v>-</v>
      </c>
      <c r="V37" s="172"/>
      <c r="W37" s="896"/>
      <c r="X37" s="189">
        <f ca="1">Horarios!C37</f>
        <v>46187.791666666664</v>
      </c>
      <c r="Y37" s="190">
        <f ca="1">Horarios!C37</f>
        <v>46187.791666666664</v>
      </c>
      <c r="Z37" s="191" t="str">
        <f>$Z$4</f>
        <v>J1</v>
      </c>
      <c r="AA37" s="192" t="str">
        <f ca="1">A39</f>
        <v>Costa de Marfil</v>
      </c>
      <c r="AB37" s="477" t="str" cm="1">
        <f t="array" aca="1" ref="AB37" ca="1">Ver_flag_local</f>
        <v/>
      </c>
      <c r="AC37" s="193"/>
      <c r="AD37" s="194"/>
      <c r="AE37" s="482"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0"/>
      <c r="BC37" s="752" t="str">
        <f ca="1">+INDEX(T_Equipos[Grupo],MATCH(WORLDCUP!BD37,T_Equipos[NombreEquipo],0))</f>
        <v>H</v>
      </c>
      <c r="BD37" s="740" t="str">
        <f ca="1">+Equipos!B33</f>
        <v>Uruguay</v>
      </c>
      <c r="BE37" s="744">
        <f t="shared" ca="1" si="25"/>
        <v>0</v>
      </c>
      <c r="BF37" s="744">
        <f t="shared" ca="1" si="26"/>
        <v>0</v>
      </c>
      <c r="BG37" s="744">
        <f t="shared" ca="1" si="17"/>
        <v>0</v>
      </c>
      <c r="BH37" s="744">
        <f t="shared" ca="1" si="18"/>
        <v>0</v>
      </c>
      <c r="BI37" s="744">
        <f t="shared" ca="1" si="19"/>
        <v>0</v>
      </c>
      <c r="BJ37" s="744">
        <f t="shared" ca="1" si="20"/>
        <v>0</v>
      </c>
      <c r="BK37" s="744">
        <f t="shared" ca="1" si="21"/>
        <v>0</v>
      </c>
      <c r="BL37" s="744">
        <f t="shared" ca="1" si="27"/>
        <v>0</v>
      </c>
      <c r="BM37" s="744" t="str">
        <f t="shared" ca="1" si="22"/>
        <v>4H</v>
      </c>
      <c r="BN37" s="744" t="str">
        <f t="shared" ca="1" si="23"/>
        <v>4H</v>
      </c>
      <c r="BO37" s="754">
        <f t="shared" ca="1" si="28"/>
        <v>0</v>
      </c>
      <c r="BP37" s="753">
        <f ca="1">COUNTIFS($BO$6:$BO$53,"&gt;"&amp;BO37,$BC$6:$BC$53,INDEX(T_Equipos[Grupo],MATCH(BD37,T_Equipos[NombreEquipo],0)))+1</f>
        <v>1</v>
      </c>
      <c r="BQ37" s="753" t="str">
        <f ca="1">IF(COUNTIFS($BP$6:$BP$53,BP37,$BC$6:$BC$53,INDEX(T_Equipos[Grupo],MATCH(BD37,T_Equipos[NombreEquipo],0)))=1,"-","P."&amp;BP37&amp;" ("&amp;COUNTIFS($BP$6:$BP$53,BP37,$BC$6:$BC$53,INDEX(T_Equipos[Grupo],MATCH(BD37,T_Equipos[NombreEquipo],0)))&amp;")")</f>
        <v>P.1 (4)</v>
      </c>
      <c r="BR37" s="754">
        <f t="shared" ca="1" si="29"/>
        <v>0</v>
      </c>
      <c r="BS37" s="753">
        <f ca="1">BP37+COUNTIFS($BQ$6:$BQ$53,BQ37,$BR$6:BR$53,"&gt;"&amp;BR37,$BC$6:$BC$53,INDEX(T_Equipos[Grupo],MATCH(BD37,T_Equipos[NombreEquipo],0)))</f>
        <v>1</v>
      </c>
      <c r="BT37" s="753" t="str">
        <f ca="1">IF(COUNTIFS($BS$6:$BS$53,BS37,$BC$6:$BC$53,INDEX(T_Equipos[Grupo],MATCH(BD37,T_Equipos[NombreEquipo],0)))=1,"-","P."&amp;BS37&amp;" ("&amp;COUNTIFS($BS$6:$BS$53,BS37,$BC$6:$BC$53,INDEX(T_Equipos[Grupo],MATCH(BD37,T_Equipos[NombreEquipo],0)))&amp;")")</f>
        <v>P.1 (4)</v>
      </c>
      <c r="BU37" s="754">
        <f t="shared" ca="1" si="36"/>
        <v>0</v>
      </c>
      <c r="BV37" s="754">
        <f t="shared" ca="1" si="37"/>
        <v>0</v>
      </c>
      <c r="BW37" s="754">
        <f t="shared" ca="1" si="38"/>
        <v>0</v>
      </c>
      <c r="BX37" s="754">
        <f t="shared" ca="1" si="39"/>
        <v>0</v>
      </c>
      <c r="BY37" s="754">
        <f ca="1">BS37+COUNTIFS($BT$6:$BT$53,BT37,$BX$6:BX$53,"&gt;"&amp;BX37,$BC$6:$BC$53,INDEX(T_Equipos[Grupo],MATCH(BD37,T_Equipos[NombreEquipo],0)))</f>
        <v>1</v>
      </c>
      <c r="BZ37" s="753" t="str">
        <f ca="1">IF(COUNTIFS($BY$6:$BY$53,BY37,$BC$6:$BC$53,INDEX(T_Equipos[Grupo],MATCH(BD37,T_Equipos[NombreEquipo],0)))=1,"-","P."&amp;BY37&amp;" ("&amp;COUNTIFS($BY$6:$BY$53,BY37,$BC$6:$BC$53,INDEX(T_Equipos[Grupo],MATCH(BD37,T_Equipos[NombreEquipo],0)))&amp;")")</f>
        <v>P.1 (4)</v>
      </c>
      <c r="CA37" s="754">
        <f t="shared" ca="1" si="40"/>
        <v>0</v>
      </c>
      <c r="CB37" s="754">
        <f t="shared" ca="1" si="41"/>
        <v>0</v>
      </c>
      <c r="CC37" s="754">
        <f t="shared" ca="1" si="42"/>
        <v>0</v>
      </c>
      <c r="CD37" s="754">
        <f ca="1">BY37+COUNTIFS($BZ$6:$BZ$53,BZ37,$CC$6:CC$53,"&gt;"&amp;CC37,$BC$6:$BC$53,INDEX(T_Equipos[Grupo],MATCH(BD37,T_Equipos[NombreEquipo],0)))</f>
        <v>1</v>
      </c>
      <c r="CE37" s="753" t="str">
        <f ca="1">IF(COUNTIFS($CD$6:$CD$53,CD37,$BC$6:$BC$53,INDEX(T_Equipos[Grupo],MATCH(BD37,T_Equipos[NombreEquipo],0)))=1,"-","P."&amp;CD37&amp;" ("&amp;COUNTIFS($CD$6:$CD$53,CD37,$BC$6:$BC$53,INDEX(T_Equipos[Grupo],MATCH(BD37,T_Equipos[NombreEquipo],0)))&amp;")")</f>
        <v>P.1 (4)</v>
      </c>
      <c r="CF37" s="754">
        <f t="shared" ca="1" si="43"/>
        <v>0</v>
      </c>
      <c r="CG37" s="754">
        <f ca="1">CD37+COUNTIFS($CE$6:$CE$53,CE37,$CF$6:CF$53,"&gt;"&amp;CF37,$BC$6:$BC$53,INDEX(T_Equipos[Grupo],MATCH(BD37,T_Equipos[NombreEquipo],0)))</f>
        <v>1</v>
      </c>
      <c r="CH37" s="753" t="str">
        <f ca="1">IF(COUNTIFS($CG$6:$CG$53,CG37,$BC$6:$BC$53,INDEX(T_Equipos[Grupo],MATCH(BD37,T_Equipos[NombreEquipo],0)))=1,"-","P."&amp;CG37&amp;" ("&amp;COUNTIFS($CG$6:$CG$53,CG37,$BC$6:$BC$53,INDEX(T_Equipos[Grupo],MATCH(BD37,T_Equipos[NombreEquipo],0)))&amp;")")</f>
        <v>P.1 (4)</v>
      </c>
      <c r="CI37" s="754">
        <f t="shared" ca="1" si="44"/>
        <v>0</v>
      </c>
      <c r="CJ37" s="754">
        <f t="shared" ca="1" si="45"/>
        <v>0</v>
      </c>
      <c r="CK37" s="754">
        <f t="shared" ca="1" si="46"/>
        <v>0</v>
      </c>
      <c r="CL37" s="754">
        <f t="shared" ca="1" si="47"/>
        <v>0</v>
      </c>
      <c r="CM37" s="754">
        <f ca="1">CG37+COUNTIFS($CH$6:$CH$53,CH37,$CL$6:CL$53,"&gt;"&amp;CL37,$BC$6:$BC$53,INDEX(T_Equipos[Grupo],MATCH(BD37,T_Equipos[NombreEquipo],0)))</f>
        <v>1</v>
      </c>
      <c r="CN37" s="753" t="str">
        <f ca="1">IF(COUNTIFS($CM$6:$CM$53,CM37,$BC$6:$BC$53,INDEX(T_Equipos[Grupo],MATCH(BD37,T_Equipos[NombreEquipo],0)))=1,"-","P."&amp;CM37&amp;" ("&amp;COUNTIFS($CM$6:$CM$53,CM37,$BC$6:$BC$53,INDEX(T_Equipos[Grupo],MATCH(BD37,T_Equipos[NombreEquipo],0)))&amp;")")</f>
        <v>P.1 (4)</v>
      </c>
      <c r="CO37" s="754">
        <f t="shared" ca="1" si="48"/>
        <v>0</v>
      </c>
      <c r="CP37" s="754">
        <f t="shared" ca="1" si="49"/>
        <v>0</v>
      </c>
      <c r="CQ37" s="754">
        <f t="shared" ca="1" si="50"/>
        <v>0</v>
      </c>
      <c r="CR37" s="754">
        <f ca="1">CM37+COUNTIFS($CN$6:$CN$53,CN37,$CQ$6:CQ$53,"&gt;"&amp;CQ37,$BC$6:$BC$53,INDEX(T_Equipos[Grupo],MATCH(BD37,T_Equipos[NombreEquipo],0)))</f>
        <v>1</v>
      </c>
      <c r="CS37" s="753" t="str">
        <f ca="1">IF(COUNTIFS($CR$6:$CR$53,CR37,$BC$6:$BC$53,INDEX(T_Equipos[Grupo],MATCH(BD37,T_Equipos[NombreEquipo],0)))=1,"-","P."&amp;CR37&amp;" ("&amp;COUNTIFS($CR$6:$CR$53,CR37,$BC$6:$BC$53,INDEX(T_Equipos[Grupo],MATCH(BD37,T_Equipos[NombreEquipo],0)))&amp;")")</f>
        <v>P.1 (4)</v>
      </c>
      <c r="CT37" s="754">
        <f t="shared" ca="1" si="51"/>
        <v>0</v>
      </c>
      <c r="CU37" s="754">
        <f ca="1">CR37+COUNTIFS($CS$6:$CS$53,CS37,$CT$6:CT$53,"&gt;"&amp;CT37,$BC$6:$BC$53,INDEX(T_Equipos[Grupo],MATCH(BD37,T_Equipos[NombreEquipo],0)))</f>
        <v>1</v>
      </c>
      <c r="CV37" s="753" t="str">
        <f ca="1">IF(COUNTIFS($CU$6:$CU$53,CU37,$BC$6:$BC$53,INDEX(T_Equipos[Grupo],MATCH(BD37,T_Equipos[NombreEquipo],0)))=1,"-","P."&amp;CU37&amp;" ("&amp;COUNTIFS($CU$6:$CU$53,CU37,$BC$6:$BC$53,INDEX(T_Equipos[Grupo],MATCH(BD37,T_Equipos[NombreEquipo],0)))&amp;")")</f>
        <v>P.1 (4)</v>
      </c>
      <c r="CW37" s="753">
        <f t="shared" ca="1" si="30"/>
        <v>0</v>
      </c>
      <c r="CX37" s="753">
        <f ca="1">CU37+COUNTIFS($CV$6:$CV$53,CV37,$CW$6:CW$53,"&gt;"&amp;CW37,$BC$6:$BC$53,INDEX(T_Equipos[Grupo],MATCH(BD37,T_Equipos[NombreEquipo],0)))</f>
        <v>1</v>
      </c>
      <c r="CY37" s="753" t="str">
        <f ca="1">IF(COUNTIFS($CX$6:$CX$53,CX37,$BC$6:$BC$53,INDEX(T_Equipos[Grupo],MATCH(BD37,T_Equipos[NombreEquipo],0)))=1,"-","P."&amp;CX37&amp;" ("&amp;COUNTIFS($CX$6:$CX$53,CX37,$BC$6:$BC$53,INDEX(T_Equipos[Grupo],MATCH(BD37,T_Equipos[NombreEquipo],0)))&amp;")")</f>
        <v>P.1 (4)</v>
      </c>
      <c r="CZ37" s="753">
        <f t="shared" ca="1" si="31"/>
        <v>0</v>
      </c>
      <c r="DA37" s="754">
        <f ca="1">CX37+COUNTIFS($CY$6:$CY$53,CY37,$CZ$6:CZ$53,"&gt;"&amp;CZ37,$BC$6:$BC$53,INDEX(T_Equipos[Grupo],MATCH(BD37,T_Equipos[NombreEquipo],0)))</f>
        <v>1</v>
      </c>
      <c r="DB37" s="753" t="str">
        <f ca="1">IF(COUNTIFS($DA$6:$DA$53,DA37,$BC$6:$BC$53,INDEX(T_Equipos[Grupo],MATCH(BD37,T_Equipos[NombreEquipo],0)))=1,"-","P."&amp;DA37&amp;" ("&amp;COUNTIFS($DA$6:$DA$53,DA37,$BC$6:$BC$53,INDEX(T_Equipos[Grupo],MATCH(BD37,T_Equipos[NombreEquipo],0)))&amp;")")</f>
        <v>P.1 (4)</v>
      </c>
      <c r="DC37" s="752">
        <f ca="1">IF(DB37="-","-",COUNTIFS(T_Equipos[Rank],"&lt;"&amp;INDEX(T_Equipos[Rank],MATCH(BD37,T_Equipos[NombreEquipo],0)),$BC$6:$BC$53,INDEX(T_Equipos[Grupo],MATCH(BD37,T_Equipos[NombreEquipo],0)))+1)</f>
        <v>4</v>
      </c>
      <c r="DD37" s="752">
        <f ca="1">DA37+COUNTIFS($DB$6:$DB$53,DB37,$DC$6:DC$53,"&lt;"&amp;DC37,$BC$6:$BC$53,INDEX(T_Equipos[Grupo],MATCH(BD37,T_Equipos[NombreEquipo],0)))</f>
        <v>4</v>
      </c>
      <c r="DE37" s="752"/>
      <c r="DF37" s="752">
        <f t="shared" ca="1" si="52"/>
        <v>4</v>
      </c>
      <c r="DG37" s="752">
        <f ca="1">IF(DB37="-","-",COUNTIFS(DF$6:DF$53,"&lt;"&amp;DF37,$BC$6:$BC$53,INDEX(T_Equipos[Grupo],MATCH(BD37,T_Equipos[NombreEquipo],0))))</f>
        <v>3</v>
      </c>
      <c r="DH37" s="752">
        <f ca="1">DA37+COUNTIFS(DB$6:DB$53,DB37,DG$6:DG$53,"&lt;"&amp;DG37,$BC$6:$BC$53,INDEX(T_Equipos[Grupo],MATCH(BD37,T_Equipos[NombreEquipo],0)))</f>
        <v>4</v>
      </c>
      <c r="DI37" s="740"/>
      <c r="DJ37" s="740">
        <f t="shared" ca="1" si="53"/>
        <v>1</v>
      </c>
      <c r="DK37" s="740">
        <f t="shared" ca="1" si="24"/>
        <v>0</v>
      </c>
      <c r="DL37" s="740">
        <f t="shared" ca="1" si="33"/>
        <v>1</v>
      </c>
      <c r="DM37" s="734" t="str">
        <f t="shared" ca="1" si="34"/>
        <v>1.1</v>
      </c>
      <c r="DN37" s="740" cm="1">
        <f t="array" aca="1" ref="DN37" ca="1">OFFSET(Horarios!$P$3,DJ37-1,0,DL37,1)</f>
        <v>1</v>
      </c>
      <c r="DO37" s="740"/>
      <c r="DP37" s="740" t="s">
        <v>672</v>
      </c>
      <c r="DQ37" s="740" t="str">
        <f t="shared" ca="1" si="35"/>
        <v>Uruguay</v>
      </c>
      <c r="DR37" s="740"/>
      <c r="DS37" s="740"/>
      <c r="DT37" s="740" t="str">
        <f t="shared" ca="1" si="15"/>
        <v>Costa de Marfil-Ecuador</v>
      </c>
      <c r="DU37" s="740"/>
      <c r="DV37" s="740"/>
      <c r="DW37" s="8"/>
    </row>
    <row r="38" spans="1:127" ht="15.95" customHeight="1">
      <c r="A38" s="741" t="str">
        <f ca="1">+Equipos!B19</f>
        <v>Curazao</v>
      </c>
      <c r="B38" s="738"/>
      <c r="C38" s="742"/>
      <c r="D38" s="740" t="str">
        <f t="shared" si="115"/>
        <v>Pendiente</v>
      </c>
      <c r="E38" s="740" t="str">
        <f t="shared" si="116"/>
        <v>-</v>
      </c>
      <c r="F38" s="740" t="str">
        <f t="shared" si="117"/>
        <v>-</v>
      </c>
      <c r="G38" s="740"/>
      <c r="H38" s="740" t="str">
        <f t="shared" si="118"/>
        <v>-</v>
      </c>
      <c r="I38" s="740" t="str">
        <f t="shared" si="119"/>
        <v>-</v>
      </c>
      <c r="J38" s="740"/>
      <c r="K38" s="740" t="str">
        <f t="shared" si="120"/>
        <v>-</v>
      </c>
      <c r="L38" s="740" t="str">
        <f t="shared" si="121"/>
        <v>-</v>
      </c>
      <c r="M38" s="740"/>
      <c r="N38" s="740" t="str">
        <f t="shared" si="122"/>
        <v>-</v>
      </c>
      <c r="O38" s="740" t="str">
        <f t="shared" si="123"/>
        <v>-</v>
      </c>
      <c r="P38" s="740"/>
      <c r="Q38" s="740" t="str">
        <f t="shared" si="124"/>
        <v>-</v>
      </c>
      <c r="R38" s="740" t="str">
        <f t="shared" si="125"/>
        <v>-</v>
      </c>
      <c r="S38" s="740"/>
      <c r="T38" s="740" t="str">
        <f t="shared" si="126"/>
        <v>-</v>
      </c>
      <c r="U38" s="740" t="str">
        <f t="shared" si="127"/>
        <v>-</v>
      </c>
      <c r="V38" s="172"/>
      <c r="W38" s="896"/>
      <c r="X38" s="189">
        <f ca="1">Horarios!C38</f>
        <v>46193.666666666664</v>
      </c>
      <c r="Y38" s="190">
        <f ca="1">Horarios!C38</f>
        <v>46193.666666666664</v>
      </c>
      <c r="Z38" s="191" t="str">
        <f>$Z$6</f>
        <v>J2</v>
      </c>
      <c r="AA38" s="192" t="str">
        <f ca="1">A37</f>
        <v>Alemania</v>
      </c>
      <c r="AB38" s="477" t="str" cm="1">
        <f t="array" aca="1" ref="AB38" ca="1">Ver_flag_local</f>
        <v/>
      </c>
      <c r="AC38" s="193"/>
      <c r="AD38" s="194"/>
      <c r="AE38" s="482" t="str" cm="1">
        <f t="array" aca="1" ref="AE38" ca="1">Ver_flag_visit</f>
        <v/>
      </c>
      <c r="AF38" s="195" t="str">
        <f ca="1">A39</f>
        <v>Costa de Marfil</v>
      </c>
      <c r="AG38" s="413">
        <f t="shared" si="128"/>
        <v>0</v>
      </c>
      <c r="AH38" s="196">
        <v>33</v>
      </c>
      <c r="AI38" s="19" t="str">
        <f>AJ38&amp;$B$36</f>
        <v>1E</v>
      </c>
      <c r="AJ38" s="211">
        <v>1</v>
      </c>
      <c r="AK38" s="487"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0"/>
      <c r="BC38" s="752" t="str">
        <f ca="1">+INDEX(T_Equipos[Grupo],MATCH(WORLDCUP!BD38,T_Equipos[NombreEquipo],0))</f>
        <v>I</v>
      </c>
      <c r="BD38" s="740" t="str">
        <f ca="1">+Equipos!B34</f>
        <v>Francia</v>
      </c>
      <c r="BE38" s="744">
        <f t="shared" ca="1" si="25"/>
        <v>0</v>
      </c>
      <c r="BF38" s="744">
        <f t="shared" ca="1" si="26"/>
        <v>0</v>
      </c>
      <c r="BG38" s="744">
        <f t="shared" ca="1" si="17"/>
        <v>0</v>
      </c>
      <c r="BH38" s="744">
        <f t="shared" ca="1" si="18"/>
        <v>0</v>
      </c>
      <c r="BI38" s="744">
        <f t="shared" ca="1" si="19"/>
        <v>0</v>
      </c>
      <c r="BJ38" s="744">
        <f t="shared" ca="1" si="20"/>
        <v>0</v>
      </c>
      <c r="BK38" s="744">
        <f t="shared" ca="1" si="21"/>
        <v>0</v>
      </c>
      <c r="BL38" s="744">
        <f t="shared" ca="1" si="27"/>
        <v>0</v>
      </c>
      <c r="BM38" s="744" t="str">
        <f t="shared" ca="1" si="22"/>
        <v>1I</v>
      </c>
      <c r="BN38" s="744" t="str">
        <f t="shared" ca="1" si="23"/>
        <v>1I</v>
      </c>
      <c r="BO38" s="753">
        <f t="shared" ca="1" si="28"/>
        <v>0</v>
      </c>
      <c r="BP38" s="753">
        <f ca="1">COUNTIFS($BO$6:$BO$53,"&gt;"&amp;BO38,$BC$6:$BC$53,INDEX(T_Equipos[Grupo],MATCH(BD38,T_Equipos[NombreEquipo],0)))+1</f>
        <v>1</v>
      </c>
      <c r="BQ38" s="753" t="str">
        <f ca="1">IF(COUNTIFS($BP$6:$BP$53,BP38,$BC$6:$BC$53,INDEX(T_Equipos[Grupo],MATCH(BD38,T_Equipos[NombreEquipo],0)))=1,"-","P."&amp;BP38&amp;" ("&amp;COUNTIFS($BP$6:$BP$53,BP38,$BC$6:$BC$53,INDEX(T_Equipos[Grupo],MATCH(BD38,T_Equipos[NombreEquipo],0)))&amp;")")</f>
        <v>P.1 (4)</v>
      </c>
      <c r="BR38" s="753">
        <f t="shared" ca="1" si="29"/>
        <v>0</v>
      </c>
      <c r="BS38" s="753">
        <f ca="1">BP38+COUNTIFS($BQ$6:$BQ$53,BQ38,$BR$6:BR$53,"&gt;"&amp;BR38,$BC$6:$BC$53,INDEX(T_Equipos[Grupo],MATCH(BD38,T_Equipos[NombreEquipo],0)))</f>
        <v>1</v>
      </c>
      <c r="BT38" s="753" t="str">
        <f ca="1">IF(COUNTIFS($BS$6:$BS$53,BS38,$BC$6:$BC$53,INDEX(T_Equipos[Grupo],MATCH(BD38,T_Equipos[NombreEquipo],0)))=1,"-","P."&amp;BS38&amp;" ("&amp;COUNTIFS($BS$6:$BS$53,BS38,$BC$6:$BC$53,INDEX(T_Equipos[Grupo],MATCH(BD38,T_Equipos[NombreEquipo],0)))&amp;")")</f>
        <v>P.1 (4)</v>
      </c>
      <c r="BU38" s="754">
        <f t="shared" ca="1" si="36"/>
        <v>0</v>
      </c>
      <c r="BV38" s="754">
        <f t="shared" ca="1" si="37"/>
        <v>0</v>
      </c>
      <c r="BW38" s="754">
        <f t="shared" ca="1" si="38"/>
        <v>0</v>
      </c>
      <c r="BX38" s="754">
        <f t="shared" ca="1" si="39"/>
        <v>0</v>
      </c>
      <c r="BY38" s="754">
        <f ca="1">BS38+COUNTIFS($BT$6:$BT$53,BT38,$BX$6:BX$53,"&gt;"&amp;BX38,$BC$6:$BC$53,INDEX(T_Equipos[Grupo],MATCH(BD38,T_Equipos[NombreEquipo],0)))</f>
        <v>1</v>
      </c>
      <c r="BZ38" s="753" t="str">
        <f ca="1">IF(COUNTIFS($BY$6:$BY$53,BY38,$BC$6:$BC$53,INDEX(T_Equipos[Grupo],MATCH(BD38,T_Equipos[NombreEquipo],0)))=1,"-","P."&amp;BY38&amp;" ("&amp;COUNTIFS($BY$6:$BY$53,BY38,$BC$6:$BC$53,INDEX(T_Equipos[Grupo],MATCH(BD38,T_Equipos[NombreEquipo],0)))&amp;")")</f>
        <v>P.1 (4)</v>
      </c>
      <c r="CA38" s="754">
        <f t="shared" ca="1" si="40"/>
        <v>0</v>
      </c>
      <c r="CB38" s="754">
        <f t="shared" ca="1" si="41"/>
        <v>0</v>
      </c>
      <c r="CC38" s="754">
        <f t="shared" ca="1" si="42"/>
        <v>0</v>
      </c>
      <c r="CD38" s="754">
        <f ca="1">BY38+COUNTIFS($BZ$6:$BZ$53,BZ38,$CC$6:CC$53,"&gt;"&amp;CC38,$BC$6:$BC$53,INDEX(T_Equipos[Grupo],MATCH(BD38,T_Equipos[NombreEquipo],0)))</f>
        <v>1</v>
      </c>
      <c r="CE38" s="753" t="str">
        <f ca="1">IF(COUNTIFS($CD$6:$CD$53,CD38,$BC$6:$BC$53,INDEX(T_Equipos[Grupo],MATCH(BD38,T_Equipos[NombreEquipo],0)))=1,"-","P."&amp;CD38&amp;" ("&amp;COUNTIFS($CD$6:$CD$53,CD38,$BC$6:$BC$53,INDEX(T_Equipos[Grupo],MATCH(BD38,T_Equipos[NombreEquipo],0)))&amp;")")</f>
        <v>P.1 (4)</v>
      </c>
      <c r="CF38" s="754">
        <f t="shared" ca="1" si="43"/>
        <v>0</v>
      </c>
      <c r="CG38" s="754">
        <f ca="1">CD38+COUNTIFS($CE$6:$CE$53,CE38,$CF$6:CF$53,"&gt;"&amp;CF38,$BC$6:$BC$53,INDEX(T_Equipos[Grupo],MATCH(BD38,T_Equipos[NombreEquipo],0)))</f>
        <v>1</v>
      </c>
      <c r="CH38" s="753" t="str">
        <f ca="1">IF(COUNTIFS($CG$6:$CG$53,CG38,$BC$6:$BC$53,INDEX(T_Equipos[Grupo],MATCH(BD38,T_Equipos[NombreEquipo],0)))=1,"-","P."&amp;CG38&amp;" ("&amp;COUNTIFS($CG$6:$CG$53,CG38,$BC$6:$BC$53,INDEX(T_Equipos[Grupo],MATCH(BD38,T_Equipos[NombreEquipo],0)))&amp;")")</f>
        <v>P.1 (4)</v>
      </c>
      <c r="CI38" s="754">
        <f t="shared" ca="1" si="44"/>
        <v>0</v>
      </c>
      <c r="CJ38" s="754">
        <f t="shared" ca="1" si="45"/>
        <v>0</v>
      </c>
      <c r="CK38" s="754">
        <f t="shared" ca="1" si="46"/>
        <v>0</v>
      </c>
      <c r="CL38" s="754">
        <f t="shared" ca="1" si="47"/>
        <v>0</v>
      </c>
      <c r="CM38" s="754">
        <f ca="1">CG38+COUNTIFS($CH$6:$CH$53,CH38,$CL$6:CL$53,"&gt;"&amp;CL38,$BC$6:$BC$53,INDEX(T_Equipos[Grupo],MATCH(BD38,T_Equipos[NombreEquipo],0)))</f>
        <v>1</v>
      </c>
      <c r="CN38" s="753" t="str">
        <f ca="1">IF(COUNTIFS($CM$6:$CM$53,CM38,$BC$6:$BC$53,INDEX(T_Equipos[Grupo],MATCH(BD38,T_Equipos[NombreEquipo],0)))=1,"-","P."&amp;CM38&amp;" ("&amp;COUNTIFS($CM$6:$CM$53,CM38,$BC$6:$BC$53,INDEX(T_Equipos[Grupo],MATCH(BD38,T_Equipos[NombreEquipo],0)))&amp;")")</f>
        <v>P.1 (4)</v>
      </c>
      <c r="CO38" s="754">
        <f t="shared" ca="1" si="48"/>
        <v>0</v>
      </c>
      <c r="CP38" s="754">
        <f t="shared" ca="1" si="49"/>
        <v>0</v>
      </c>
      <c r="CQ38" s="754">
        <f t="shared" ca="1" si="50"/>
        <v>0</v>
      </c>
      <c r="CR38" s="754">
        <f ca="1">CM38+COUNTIFS($CN$6:$CN$53,CN38,$CQ$6:CQ$53,"&gt;"&amp;CQ38,$BC$6:$BC$53,INDEX(T_Equipos[Grupo],MATCH(BD38,T_Equipos[NombreEquipo],0)))</f>
        <v>1</v>
      </c>
      <c r="CS38" s="753" t="str">
        <f ca="1">IF(COUNTIFS($CR$6:$CR$53,CR38,$BC$6:$BC$53,INDEX(T_Equipos[Grupo],MATCH(BD38,T_Equipos[NombreEquipo],0)))=1,"-","P."&amp;CR38&amp;" ("&amp;COUNTIFS($CR$6:$CR$53,CR38,$BC$6:$BC$53,INDEX(T_Equipos[Grupo],MATCH(BD38,T_Equipos[NombreEquipo],0)))&amp;")")</f>
        <v>P.1 (4)</v>
      </c>
      <c r="CT38" s="754">
        <f t="shared" ca="1" si="51"/>
        <v>0</v>
      </c>
      <c r="CU38" s="754">
        <f ca="1">CR38+COUNTIFS($CS$6:$CS$53,CS38,$CT$6:CT$53,"&gt;"&amp;CT38,$BC$6:$BC$53,INDEX(T_Equipos[Grupo],MATCH(BD38,T_Equipos[NombreEquipo],0)))</f>
        <v>1</v>
      </c>
      <c r="CV38" s="753" t="str">
        <f ca="1">IF(COUNTIFS($CU$6:$CU$53,CU38,$BC$6:$BC$53,INDEX(T_Equipos[Grupo],MATCH(BD38,T_Equipos[NombreEquipo],0)))=1,"-","P."&amp;CU38&amp;" ("&amp;COUNTIFS($CU$6:$CU$53,CU38,$BC$6:$BC$53,INDEX(T_Equipos[Grupo],MATCH(BD38,T_Equipos[NombreEquipo],0)))&amp;")")</f>
        <v>P.1 (4)</v>
      </c>
      <c r="CW38" s="753">
        <f t="shared" ca="1" si="30"/>
        <v>0</v>
      </c>
      <c r="CX38" s="753">
        <f ca="1">CU38+COUNTIFS($CV$6:$CV$53,CV38,$CW$6:CW$53,"&gt;"&amp;CW38,$BC$6:$BC$53,INDEX(T_Equipos[Grupo],MATCH(BD38,T_Equipos[NombreEquipo],0)))</f>
        <v>1</v>
      </c>
      <c r="CY38" s="753" t="str">
        <f ca="1">IF(COUNTIFS($CX$6:$CX$53,CX38,$BC$6:$BC$53,INDEX(T_Equipos[Grupo],MATCH(BD38,T_Equipos[NombreEquipo],0)))=1,"-","P."&amp;CX38&amp;" ("&amp;COUNTIFS($CX$6:$CX$53,CX38,$BC$6:$BC$53,INDEX(T_Equipos[Grupo],MATCH(BD38,T_Equipos[NombreEquipo],0)))&amp;")")</f>
        <v>P.1 (4)</v>
      </c>
      <c r="CZ38" s="753">
        <f t="shared" ca="1" si="31"/>
        <v>0</v>
      </c>
      <c r="DA38" s="754">
        <f ca="1">CX38+COUNTIFS($CY$6:$CY$53,CY38,$CZ$6:CZ$53,"&gt;"&amp;CZ38,$BC$6:$BC$53,INDEX(T_Equipos[Grupo],MATCH(BD38,T_Equipos[NombreEquipo],0)))</f>
        <v>1</v>
      </c>
      <c r="DB38" s="753" t="str">
        <f ca="1">IF(COUNTIFS($DA$6:$DA$53,DA38,$BC$6:$BC$53,INDEX(T_Equipos[Grupo],MATCH(BD38,T_Equipos[NombreEquipo],0)))=1,"-","P."&amp;DA38&amp;" ("&amp;COUNTIFS($DA$6:$DA$53,DA38,$BC$6:$BC$53,INDEX(T_Equipos[Grupo],MATCH(BD38,T_Equipos[NombreEquipo],0)))&amp;")")</f>
        <v>P.1 (4)</v>
      </c>
      <c r="DC38" s="752">
        <f ca="1">IF(DB38="-","-",COUNTIFS(T_Equipos[Rank],"&lt;"&amp;INDEX(T_Equipos[Rank],MATCH(BD38,T_Equipos[NombreEquipo],0)),$BC$6:$BC$53,INDEX(T_Equipos[Grupo],MATCH(BD38,T_Equipos[NombreEquipo],0)))+1)</f>
        <v>1</v>
      </c>
      <c r="DD38" s="752">
        <f ca="1">DA38+COUNTIFS($DB$6:$DB$53,DB38,$DC$6:DC$53,"&lt;"&amp;DC38,$BC$6:$BC$53,INDEX(T_Equipos[Grupo],MATCH(BD38,T_Equipos[NombreEquipo],0)))</f>
        <v>1</v>
      </c>
      <c r="DE38" s="752"/>
      <c r="DF38" s="752">
        <f t="shared" ca="1" si="52"/>
        <v>1</v>
      </c>
      <c r="DG38" s="752">
        <f ca="1">IF(DB38="-","-",COUNTIFS(DF$6:DF$53,"&lt;"&amp;DF38,$BC$6:$BC$53,INDEX(T_Equipos[Grupo],MATCH(BD38,T_Equipos[NombreEquipo],0))))</f>
        <v>0</v>
      </c>
      <c r="DH38" s="752">
        <f ca="1">DA38+COUNTIFS(DB$6:DB$53,DB38,DG$6:DG$53,"&lt;"&amp;DG38,$BC$6:$BC$53,INDEX(T_Equipos[Grupo],MATCH(BD38,T_Equipos[NombreEquipo],0)))</f>
        <v>1</v>
      </c>
      <c r="DI38" s="740"/>
      <c r="DJ38" s="740">
        <f t="shared" ca="1" si="53"/>
        <v>1</v>
      </c>
      <c r="DK38" s="740">
        <f t="shared" ca="1" si="24"/>
        <v>0</v>
      </c>
      <c r="DL38" s="740">
        <f t="shared" ca="1" si="33"/>
        <v>1</v>
      </c>
      <c r="DM38" s="734" t="str">
        <f t="shared" ca="1" si="34"/>
        <v>1.1</v>
      </c>
      <c r="DN38" s="740" cm="1">
        <f t="array" aca="1" ref="DN38" ca="1">OFFSET(Horarios!$P$3,DJ38-1,0,DL38,1)</f>
        <v>1</v>
      </c>
      <c r="DO38" s="740"/>
      <c r="DP38" s="740" t="s">
        <v>673</v>
      </c>
      <c r="DQ38" s="740" t="str">
        <f t="shared" ca="1" si="35"/>
        <v>Francia</v>
      </c>
      <c r="DR38" s="740"/>
      <c r="DS38" s="740"/>
      <c r="DT38" s="740" t="str">
        <f t="shared" ca="1" si="15"/>
        <v>Alemania-Costa de Marfil</v>
      </c>
      <c r="DU38" s="740"/>
      <c r="DV38" s="740"/>
      <c r="DW38" s="8"/>
    </row>
    <row r="39" spans="1:127" ht="15.95" customHeight="1">
      <c r="A39" s="741" t="str">
        <f ca="1">+Equipos!B20</f>
        <v>Costa de Marfil</v>
      </c>
      <c r="B39" s="738"/>
      <c r="C39" s="740"/>
      <c r="D39" s="740" t="str">
        <f t="shared" si="115"/>
        <v>Pendiente</v>
      </c>
      <c r="E39" s="740" t="str">
        <f t="shared" si="116"/>
        <v>-</v>
      </c>
      <c r="F39" s="740" t="str">
        <f t="shared" si="117"/>
        <v>-</v>
      </c>
      <c r="G39" s="740"/>
      <c r="H39" s="740" t="str">
        <f t="shared" si="118"/>
        <v>-</v>
      </c>
      <c r="I39" s="740" t="str">
        <f t="shared" si="119"/>
        <v>-</v>
      </c>
      <c r="J39" s="740"/>
      <c r="K39" s="740" t="str">
        <f t="shared" si="120"/>
        <v>-</v>
      </c>
      <c r="L39" s="740" t="str">
        <f t="shared" si="121"/>
        <v>-</v>
      </c>
      <c r="M39" s="740"/>
      <c r="N39" s="740" t="str">
        <f t="shared" si="122"/>
        <v>-</v>
      </c>
      <c r="O39" s="740" t="str">
        <f t="shared" si="123"/>
        <v>-</v>
      </c>
      <c r="P39" s="740"/>
      <c r="Q39" s="740" t="str">
        <f t="shared" si="124"/>
        <v>-</v>
      </c>
      <c r="R39" s="740" t="str">
        <f t="shared" si="125"/>
        <v>-</v>
      </c>
      <c r="S39" s="740"/>
      <c r="T39" s="740" t="str">
        <f t="shared" si="126"/>
        <v>-</v>
      </c>
      <c r="U39" s="740" t="str">
        <f t="shared" si="127"/>
        <v>-</v>
      </c>
      <c r="V39" s="172"/>
      <c r="W39" s="896"/>
      <c r="X39" s="189">
        <f ca="1">Horarios!C39</f>
        <v>46193.833333333336</v>
      </c>
      <c r="Y39" s="190">
        <f ca="1">Horarios!C39</f>
        <v>46193.833333333336</v>
      </c>
      <c r="Z39" s="191" t="str">
        <f>$Z$6</f>
        <v>J2</v>
      </c>
      <c r="AA39" s="192" t="str">
        <f ca="1">A40</f>
        <v>Ecuador</v>
      </c>
      <c r="AB39" s="477" t="str" cm="1">
        <f t="array" aca="1" ref="AB39" ca="1">Ver_flag_local</f>
        <v/>
      </c>
      <c r="AC39" s="193"/>
      <c r="AD39" s="194"/>
      <c r="AE39" s="482" t="str" cm="1">
        <f t="array" aca="1" ref="AE39" ca="1">Ver_flag_visit</f>
        <v/>
      </c>
      <c r="AF39" s="195" t="str">
        <f ca="1">A38</f>
        <v>Curazao</v>
      </c>
      <c r="AG39" s="413">
        <f t="shared" si="128"/>
        <v>0</v>
      </c>
      <c r="AH39" s="196">
        <v>34</v>
      </c>
      <c r="AI39" s="19" t="str">
        <f t="shared" ref="AI39:AI41" si="133">AJ39&amp;$B$36</f>
        <v>2E</v>
      </c>
      <c r="AJ39" s="221">
        <v>2</v>
      </c>
      <c r="AK39" s="485"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0"/>
      <c r="BC39" s="752" t="str">
        <f ca="1">+INDEX(T_Equipos[Grupo],MATCH(WORLDCUP!BD39,T_Equipos[NombreEquipo],0))</f>
        <v>I</v>
      </c>
      <c r="BD39" s="740" t="str">
        <f ca="1">+Equipos!B35</f>
        <v>Senegal</v>
      </c>
      <c r="BE39" s="744">
        <f t="shared" ca="1" si="25"/>
        <v>0</v>
      </c>
      <c r="BF39" s="744">
        <f t="shared" ca="1" si="26"/>
        <v>0</v>
      </c>
      <c r="BG39" s="744">
        <f t="shared" ca="1" si="17"/>
        <v>0</v>
      </c>
      <c r="BH39" s="744">
        <f t="shared" ca="1" si="18"/>
        <v>0</v>
      </c>
      <c r="BI39" s="744">
        <f t="shared" ca="1" si="19"/>
        <v>0</v>
      </c>
      <c r="BJ39" s="744">
        <f t="shared" ca="1" si="20"/>
        <v>0</v>
      </c>
      <c r="BK39" s="744">
        <f t="shared" ca="1" si="21"/>
        <v>0</v>
      </c>
      <c r="BL39" s="744">
        <f t="shared" ca="1" si="27"/>
        <v>0</v>
      </c>
      <c r="BM39" s="744" t="str">
        <f t="shared" ca="1" si="22"/>
        <v>2I</v>
      </c>
      <c r="BN39" s="744" t="str">
        <f t="shared" ca="1" si="23"/>
        <v>2I</v>
      </c>
      <c r="BO39" s="753">
        <f t="shared" ca="1" si="28"/>
        <v>0</v>
      </c>
      <c r="BP39" s="753">
        <f ca="1">COUNTIFS($BO$6:$BO$53,"&gt;"&amp;BO39,$BC$6:$BC$53,INDEX(T_Equipos[Grupo],MATCH(BD39,T_Equipos[NombreEquipo],0)))+1</f>
        <v>1</v>
      </c>
      <c r="BQ39" s="753" t="str">
        <f ca="1">IF(COUNTIFS($BP$6:$BP$53,BP39,$BC$6:$BC$53,INDEX(T_Equipos[Grupo],MATCH(BD39,T_Equipos[NombreEquipo],0)))=1,"-","P."&amp;BP39&amp;" ("&amp;COUNTIFS($BP$6:$BP$53,BP39,$BC$6:$BC$53,INDEX(T_Equipos[Grupo],MATCH(BD39,T_Equipos[NombreEquipo],0)))&amp;")")</f>
        <v>P.1 (4)</v>
      </c>
      <c r="BR39" s="753">
        <f t="shared" ca="1" si="29"/>
        <v>0</v>
      </c>
      <c r="BS39" s="753">
        <f ca="1">BP39+COUNTIFS($BQ$6:$BQ$53,BQ39,$BR$6:BR$53,"&gt;"&amp;BR39,$BC$6:$BC$53,INDEX(T_Equipos[Grupo],MATCH(BD39,T_Equipos[NombreEquipo],0)))</f>
        <v>1</v>
      </c>
      <c r="BT39" s="753" t="str">
        <f ca="1">IF(COUNTIFS($BS$6:$BS$53,BS39,$BC$6:$BC$53,INDEX(T_Equipos[Grupo],MATCH(BD39,T_Equipos[NombreEquipo],0)))=1,"-","P."&amp;BS39&amp;" ("&amp;COUNTIFS($BS$6:$BS$53,BS39,$BC$6:$BC$53,INDEX(T_Equipos[Grupo],MATCH(BD39,T_Equipos[NombreEquipo],0)))&amp;")")</f>
        <v>P.1 (4)</v>
      </c>
      <c r="BU39" s="754">
        <f t="shared" ca="1" si="36"/>
        <v>0</v>
      </c>
      <c r="BV39" s="754">
        <f t="shared" ca="1" si="37"/>
        <v>0</v>
      </c>
      <c r="BW39" s="754">
        <f t="shared" ca="1" si="38"/>
        <v>0</v>
      </c>
      <c r="BX39" s="754">
        <f t="shared" ca="1" si="39"/>
        <v>0</v>
      </c>
      <c r="BY39" s="754">
        <f ca="1">BS39+COUNTIFS($BT$6:$BT$53,BT39,$BX$6:BX$53,"&gt;"&amp;BX39,$BC$6:$BC$53,INDEX(T_Equipos[Grupo],MATCH(BD39,T_Equipos[NombreEquipo],0)))</f>
        <v>1</v>
      </c>
      <c r="BZ39" s="753" t="str">
        <f ca="1">IF(COUNTIFS($BY$6:$BY$53,BY39,$BC$6:$BC$53,INDEX(T_Equipos[Grupo],MATCH(BD39,T_Equipos[NombreEquipo],0)))=1,"-","P."&amp;BY39&amp;" ("&amp;COUNTIFS($BY$6:$BY$53,BY39,$BC$6:$BC$53,INDEX(T_Equipos[Grupo],MATCH(BD39,T_Equipos[NombreEquipo],0)))&amp;")")</f>
        <v>P.1 (4)</v>
      </c>
      <c r="CA39" s="754">
        <f t="shared" ca="1" si="40"/>
        <v>0</v>
      </c>
      <c r="CB39" s="754">
        <f t="shared" ca="1" si="41"/>
        <v>0</v>
      </c>
      <c r="CC39" s="754">
        <f t="shared" ca="1" si="42"/>
        <v>0</v>
      </c>
      <c r="CD39" s="754">
        <f ca="1">BY39+COUNTIFS($BZ$6:$BZ$53,BZ39,$CC$6:CC$53,"&gt;"&amp;CC39,$BC$6:$BC$53,INDEX(T_Equipos[Grupo],MATCH(BD39,T_Equipos[NombreEquipo],0)))</f>
        <v>1</v>
      </c>
      <c r="CE39" s="753" t="str">
        <f ca="1">IF(COUNTIFS($CD$6:$CD$53,CD39,$BC$6:$BC$53,INDEX(T_Equipos[Grupo],MATCH(BD39,T_Equipos[NombreEquipo],0)))=1,"-","P."&amp;CD39&amp;" ("&amp;COUNTIFS($CD$6:$CD$53,CD39,$BC$6:$BC$53,INDEX(T_Equipos[Grupo],MATCH(BD39,T_Equipos[NombreEquipo],0)))&amp;")")</f>
        <v>P.1 (4)</v>
      </c>
      <c r="CF39" s="754">
        <f t="shared" ca="1" si="43"/>
        <v>0</v>
      </c>
      <c r="CG39" s="754">
        <f ca="1">CD39+COUNTIFS($CE$6:$CE$53,CE39,$CF$6:CF$53,"&gt;"&amp;CF39,$BC$6:$BC$53,INDEX(T_Equipos[Grupo],MATCH(BD39,T_Equipos[NombreEquipo],0)))</f>
        <v>1</v>
      </c>
      <c r="CH39" s="753" t="str">
        <f ca="1">IF(COUNTIFS($CG$6:$CG$53,CG39,$BC$6:$BC$53,INDEX(T_Equipos[Grupo],MATCH(BD39,T_Equipos[NombreEquipo],0)))=1,"-","P."&amp;CG39&amp;" ("&amp;COUNTIFS($CG$6:$CG$53,CG39,$BC$6:$BC$53,INDEX(T_Equipos[Grupo],MATCH(BD39,T_Equipos[NombreEquipo],0)))&amp;")")</f>
        <v>P.1 (4)</v>
      </c>
      <c r="CI39" s="754">
        <f t="shared" ca="1" si="44"/>
        <v>0</v>
      </c>
      <c r="CJ39" s="754">
        <f t="shared" ca="1" si="45"/>
        <v>0</v>
      </c>
      <c r="CK39" s="754">
        <f t="shared" ca="1" si="46"/>
        <v>0</v>
      </c>
      <c r="CL39" s="754">
        <f t="shared" ca="1" si="47"/>
        <v>0</v>
      </c>
      <c r="CM39" s="754">
        <f ca="1">CG39+COUNTIFS($CH$6:$CH$53,CH39,$CL$6:CL$53,"&gt;"&amp;CL39,$BC$6:$BC$53,INDEX(T_Equipos[Grupo],MATCH(BD39,T_Equipos[NombreEquipo],0)))</f>
        <v>1</v>
      </c>
      <c r="CN39" s="753" t="str">
        <f ca="1">IF(COUNTIFS($CM$6:$CM$53,CM39,$BC$6:$BC$53,INDEX(T_Equipos[Grupo],MATCH(BD39,T_Equipos[NombreEquipo],0)))=1,"-","P."&amp;CM39&amp;" ("&amp;COUNTIFS($CM$6:$CM$53,CM39,$BC$6:$BC$53,INDEX(T_Equipos[Grupo],MATCH(BD39,T_Equipos[NombreEquipo],0)))&amp;")")</f>
        <v>P.1 (4)</v>
      </c>
      <c r="CO39" s="754">
        <f t="shared" ca="1" si="48"/>
        <v>0</v>
      </c>
      <c r="CP39" s="754">
        <f t="shared" ca="1" si="49"/>
        <v>0</v>
      </c>
      <c r="CQ39" s="754">
        <f t="shared" ca="1" si="50"/>
        <v>0</v>
      </c>
      <c r="CR39" s="754">
        <f ca="1">CM39+COUNTIFS($CN$6:$CN$53,CN39,$CQ$6:CQ$53,"&gt;"&amp;CQ39,$BC$6:$BC$53,INDEX(T_Equipos[Grupo],MATCH(BD39,T_Equipos[NombreEquipo],0)))</f>
        <v>1</v>
      </c>
      <c r="CS39" s="753" t="str">
        <f ca="1">IF(COUNTIFS($CR$6:$CR$53,CR39,$BC$6:$BC$53,INDEX(T_Equipos[Grupo],MATCH(BD39,T_Equipos[NombreEquipo],0)))=1,"-","P."&amp;CR39&amp;" ("&amp;COUNTIFS($CR$6:$CR$53,CR39,$BC$6:$BC$53,INDEX(T_Equipos[Grupo],MATCH(BD39,T_Equipos[NombreEquipo],0)))&amp;")")</f>
        <v>P.1 (4)</v>
      </c>
      <c r="CT39" s="754">
        <f t="shared" ca="1" si="51"/>
        <v>0</v>
      </c>
      <c r="CU39" s="754">
        <f ca="1">CR39+COUNTIFS($CS$6:$CS$53,CS39,$CT$6:CT$53,"&gt;"&amp;CT39,$BC$6:$BC$53,INDEX(T_Equipos[Grupo],MATCH(BD39,T_Equipos[NombreEquipo],0)))</f>
        <v>1</v>
      </c>
      <c r="CV39" s="753" t="str">
        <f ca="1">IF(COUNTIFS($CU$6:$CU$53,CU39,$BC$6:$BC$53,INDEX(T_Equipos[Grupo],MATCH(BD39,T_Equipos[NombreEquipo],0)))=1,"-","P."&amp;CU39&amp;" ("&amp;COUNTIFS($CU$6:$CU$53,CU39,$BC$6:$BC$53,INDEX(T_Equipos[Grupo],MATCH(BD39,T_Equipos[NombreEquipo],0)))&amp;")")</f>
        <v>P.1 (4)</v>
      </c>
      <c r="CW39" s="753">
        <f t="shared" ca="1" si="30"/>
        <v>0</v>
      </c>
      <c r="CX39" s="753">
        <f ca="1">CU39+COUNTIFS($CV$6:$CV$53,CV39,$CW$6:CW$53,"&gt;"&amp;CW39,$BC$6:$BC$53,INDEX(T_Equipos[Grupo],MATCH(BD39,T_Equipos[NombreEquipo],0)))</f>
        <v>1</v>
      </c>
      <c r="CY39" s="753" t="str">
        <f ca="1">IF(COUNTIFS($CX$6:$CX$53,CX39,$BC$6:$BC$53,INDEX(T_Equipos[Grupo],MATCH(BD39,T_Equipos[NombreEquipo],0)))=1,"-","P."&amp;CX39&amp;" ("&amp;COUNTIFS($CX$6:$CX$53,CX39,$BC$6:$BC$53,INDEX(T_Equipos[Grupo],MATCH(BD39,T_Equipos[NombreEquipo],0)))&amp;")")</f>
        <v>P.1 (4)</v>
      </c>
      <c r="CZ39" s="753">
        <f t="shared" ca="1" si="31"/>
        <v>0</v>
      </c>
      <c r="DA39" s="754">
        <f ca="1">CX39+COUNTIFS($CY$6:$CY$53,CY39,$CZ$6:CZ$53,"&gt;"&amp;CZ39,$BC$6:$BC$53,INDEX(T_Equipos[Grupo],MATCH(BD39,T_Equipos[NombreEquipo],0)))</f>
        <v>1</v>
      </c>
      <c r="DB39" s="753" t="str">
        <f ca="1">IF(COUNTIFS($DA$6:$DA$53,DA39,$BC$6:$BC$53,INDEX(T_Equipos[Grupo],MATCH(BD39,T_Equipos[NombreEquipo],0)))=1,"-","P."&amp;DA39&amp;" ("&amp;COUNTIFS($DA$6:$DA$53,DA39,$BC$6:$BC$53,INDEX(T_Equipos[Grupo],MATCH(BD39,T_Equipos[NombreEquipo],0)))&amp;")")</f>
        <v>P.1 (4)</v>
      </c>
      <c r="DC39" s="752">
        <f ca="1">IF(DB39="-","-",COUNTIFS(T_Equipos[Rank],"&lt;"&amp;INDEX(T_Equipos[Rank],MATCH(BD39,T_Equipos[NombreEquipo],0)),$BC$6:$BC$53,INDEX(T_Equipos[Grupo],MATCH(BD39,T_Equipos[NombreEquipo],0)))+1)</f>
        <v>2</v>
      </c>
      <c r="DD39" s="752">
        <f ca="1">DA39+COUNTIFS($DB$6:$DB$53,DB39,$DC$6:DC$53,"&lt;"&amp;DC39,$BC$6:$BC$53,INDEX(T_Equipos[Grupo],MATCH(BD39,T_Equipos[NombreEquipo],0)))</f>
        <v>2</v>
      </c>
      <c r="DE39" s="752"/>
      <c r="DF39" s="752">
        <f t="shared" ca="1" si="52"/>
        <v>2</v>
      </c>
      <c r="DG39" s="752">
        <f ca="1">IF(DB39="-","-",COUNTIFS(DF$6:DF$53,"&lt;"&amp;DF39,$BC$6:$BC$53,INDEX(T_Equipos[Grupo],MATCH(BD39,T_Equipos[NombreEquipo],0))))</f>
        <v>1</v>
      </c>
      <c r="DH39" s="752">
        <f ca="1">DA39+COUNTIFS(DB$6:DB$53,DB39,DG$6:DG$53,"&lt;"&amp;DG39,$BC$6:$BC$53,INDEX(T_Equipos[Grupo],MATCH(BD39,T_Equipos[NombreEquipo],0)))</f>
        <v>2</v>
      </c>
      <c r="DI39" s="740"/>
      <c r="DJ39" s="740">
        <f t="shared" ca="1" si="53"/>
        <v>1</v>
      </c>
      <c r="DK39" s="740">
        <f t="shared" ca="1" si="24"/>
        <v>0</v>
      </c>
      <c r="DL39" s="740">
        <f t="shared" ca="1" si="33"/>
        <v>1</v>
      </c>
      <c r="DM39" s="734" t="str">
        <f t="shared" ca="1" si="34"/>
        <v>1.1</v>
      </c>
      <c r="DN39" s="740" cm="1">
        <f t="array" aca="1" ref="DN39" ca="1">OFFSET(Horarios!$P$3,DJ39-1,0,DL39,1)</f>
        <v>1</v>
      </c>
      <c r="DO39" s="740"/>
      <c r="DP39" s="740" t="s">
        <v>674</v>
      </c>
      <c r="DQ39" s="740" t="str">
        <f t="shared" ca="1" si="35"/>
        <v>Senegal</v>
      </c>
      <c r="DR39" s="740"/>
      <c r="DS39" s="740"/>
      <c r="DT39" s="740" t="str">
        <f t="shared" ca="1" si="15"/>
        <v>Ecuador-Curazao</v>
      </c>
      <c r="DU39" s="740"/>
      <c r="DV39" s="740"/>
      <c r="DW39" s="8"/>
    </row>
    <row r="40" spans="1:127" ht="15.95" customHeight="1">
      <c r="A40" s="741" t="str">
        <f ca="1">+Equipos!B21</f>
        <v>Ecuador</v>
      </c>
      <c r="B40" s="738"/>
      <c r="C40" s="740"/>
      <c r="D40" s="740" t="str">
        <f t="shared" si="115"/>
        <v>Pendiente</v>
      </c>
      <c r="E40" s="740" t="str">
        <f t="shared" si="116"/>
        <v>-</v>
      </c>
      <c r="F40" s="740" t="str">
        <f t="shared" si="117"/>
        <v>-</v>
      </c>
      <c r="G40" s="740"/>
      <c r="H40" s="740" t="str">
        <f t="shared" si="118"/>
        <v>-</v>
      </c>
      <c r="I40" s="740" t="str">
        <f t="shared" si="119"/>
        <v>-</v>
      </c>
      <c r="J40" s="740"/>
      <c r="K40" s="740" t="str">
        <f t="shared" si="120"/>
        <v>-</v>
      </c>
      <c r="L40" s="740" t="str">
        <f t="shared" si="121"/>
        <v>-</v>
      </c>
      <c r="M40" s="740"/>
      <c r="N40" s="740" t="str">
        <f t="shared" si="122"/>
        <v>-</v>
      </c>
      <c r="O40" s="740" t="str">
        <f t="shared" si="123"/>
        <v>-</v>
      </c>
      <c r="P40" s="740"/>
      <c r="Q40" s="740" t="str">
        <f t="shared" si="124"/>
        <v>-</v>
      </c>
      <c r="R40" s="740" t="str">
        <f t="shared" si="125"/>
        <v>-</v>
      </c>
      <c r="S40" s="740"/>
      <c r="T40" s="740" t="str">
        <f t="shared" si="126"/>
        <v>-</v>
      </c>
      <c r="U40" s="740" t="str">
        <f t="shared" si="127"/>
        <v>-</v>
      </c>
      <c r="V40" s="172"/>
      <c r="W40" s="896"/>
      <c r="X40" s="189">
        <f ca="1">Horarios!C40</f>
        <v>46198.666666666664</v>
      </c>
      <c r="Y40" s="190">
        <f ca="1">Horarios!C40</f>
        <v>46198.666666666664</v>
      </c>
      <c r="Z40" s="191" t="str">
        <f>$Z$8</f>
        <v>J3</v>
      </c>
      <c r="AA40" s="192" t="str">
        <f ca="1">A38</f>
        <v>Curazao</v>
      </c>
      <c r="AB40" s="477" t="str" cm="1">
        <f t="array" aca="1" ref="AB40" ca="1">Ver_flag_local</f>
        <v/>
      </c>
      <c r="AC40" s="193"/>
      <c r="AD40" s="194"/>
      <c r="AE40" s="482" t="str" cm="1">
        <f t="array" aca="1" ref="AE40" ca="1">Ver_flag_visit</f>
        <v/>
      </c>
      <c r="AF40" s="195" t="str">
        <f ca="1">A39</f>
        <v>Costa de Marfil</v>
      </c>
      <c r="AG40" s="413">
        <f t="shared" si="128"/>
        <v>0</v>
      </c>
      <c r="AH40" s="196">
        <v>55</v>
      </c>
      <c r="AI40" s="19" t="str">
        <f t="shared" si="133"/>
        <v>3E</v>
      </c>
      <c r="AJ40" s="221">
        <v>3</v>
      </c>
      <c r="AK40" s="485"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0"/>
      <c r="BC40" s="752" t="str">
        <f ca="1">+INDEX(T_Equipos[Grupo],MATCH(WORLDCUP!BD40,T_Equipos[NombreEquipo],0))</f>
        <v>I</v>
      </c>
      <c r="BD40" s="740" t="str">
        <f ca="1">+Equipos!B36</f>
        <v>Irak</v>
      </c>
      <c r="BE40" s="744">
        <f t="shared" ca="1" si="25"/>
        <v>0</v>
      </c>
      <c r="BF40" s="744">
        <f t="shared" ca="1" si="26"/>
        <v>0</v>
      </c>
      <c r="BG40" s="744">
        <f t="shared" ca="1" si="17"/>
        <v>0</v>
      </c>
      <c r="BH40" s="744">
        <f t="shared" ca="1" si="18"/>
        <v>0</v>
      </c>
      <c r="BI40" s="744">
        <f t="shared" ca="1" si="19"/>
        <v>0</v>
      </c>
      <c r="BJ40" s="744">
        <f t="shared" ca="1" si="20"/>
        <v>0</v>
      </c>
      <c r="BK40" s="744">
        <f t="shared" ca="1" si="21"/>
        <v>0</v>
      </c>
      <c r="BL40" s="744">
        <f t="shared" ca="1" si="27"/>
        <v>0</v>
      </c>
      <c r="BM40" s="744" t="str">
        <f t="shared" ca="1" si="22"/>
        <v>3I</v>
      </c>
      <c r="BN40" s="744" t="str">
        <f t="shared" ca="1" si="23"/>
        <v>3I</v>
      </c>
      <c r="BO40" s="753">
        <f t="shared" ca="1" si="28"/>
        <v>0</v>
      </c>
      <c r="BP40" s="753">
        <f ca="1">COUNTIFS($BO$6:$BO$53,"&gt;"&amp;BO40,$BC$6:$BC$53,INDEX(T_Equipos[Grupo],MATCH(BD40,T_Equipos[NombreEquipo],0)))+1</f>
        <v>1</v>
      </c>
      <c r="BQ40" s="753" t="str">
        <f ca="1">IF(COUNTIFS($BP$6:$BP$53,BP40,$BC$6:$BC$53,INDEX(T_Equipos[Grupo],MATCH(BD40,T_Equipos[NombreEquipo],0)))=1,"-","P."&amp;BP40&amp;" ("&amp;COUNTIFS($BP$6:$BP$53,BP40,$BC$6:$BC$53,INDEX(T_Equipos[Grupo],MATCH(BD40,T_Equipos[NombreEquipo],0)))&amp;")")</f>
        <v>P.1 (4)</v>
      </c>
      <c r="BR40" s="753">
        <f t="shared" ca="1" si="29"/>
        <v>0</v>
      </c>
      <c r="BS40" s="753">
        <f ca="1">BP40+COUNTIFS($BQ$6:$BQ$53,BQ40,$BR$6:BR$53,"&gt;"&amp;BR40,$BC$6:$BC$53,INDEX(T_Equipos[Grupo],MATCH(BD40,T_Equipos[NombreEquipo],0)))</f>
        <v>1</v>
      </c>
      <c r="BT40" s="753" t="str">
        <f ca="1">IF(COUNTIFS($BS$6:$BS$53,BS40,$BC$6:$BC$53,INDEX(T_Equipos[Grupo],MATCH(BD40,T_Equipos[NombreEquipo],0)))=1,"-","P."&amp;BS40&amp;" ("&amp;COUNTIFS($BS$6:$BS$53,BS40,$BC$6:$BC$53,INDEX(T_Equipos[Grupo],MATCH(BD40,T_Equipos[NombreEquipo],0)))&amp;")")</f>
        <v>P.1 (4)</v>
      </c>
      <c r="BU40" s="754">
        <f t="shared" ca="1" si="36"/>
        <v>0</v>
      </c>
      <c r="BV40" s="754">
        <f t="shared" ca="1" si="37"/>
        <v>0</v>
      </c>
      <c r="BW40" s="754">
        <f t="shared" ca="1" si="38"/>
        <v>0</v>
      </c>
      <c r="BX40" s="754">
        <f t="shared" ca="1" si="39"/>
        <v>0</v>
      </c>
      <c r="BY40" s="754">
        <f ca="1">BS40+COUNTIFS($BT$6:$BT$53,BT40,$BX$6:BX$53,"&gt;"&amp;BX40,$BC$6:$BC$53,INDEX(T_Equipos[Grupo],MATCH(BD40,T_Equipos[NombreEquipo],0)))</f>
        <v>1</v>
      </c>
      <c r="BZ40" s="753" t="str">
        <f ca="1">IF(COUNTIFS($BY$6:$BY$53,BY40,$BC$6:$BC$53,INDEX(T_Equipos[Grupo],MATCH(BD40,T_Equipos[NombreEquipo],0)))=1,"-","P."&amp;BY40&amp;" ("&amp;COUNTIFS($BY$6:$BY$53,BY40,$BC$6:$BC$53,INDEX(T_Equipos[Grupo],MATCH(BD40,T_Equipos[NombreEquipo],0)))&amp;")")</f>
        <v>P.1 (4)</v>
      </c>
      <c r="CA40" s="754">
        <f t="shared" ca="1" si="40"/>
        <v>0</v>
      </c>
      <c r="CB40" s="754">
        <f t="shared" ca="1" si="41"/>
        <v>0</v>
      </c>
      <c r="CC40" s="754">
        <f t="shared" ca="1" si="42"/>
        <v>0</v>
      </c>
      <c r="CD40" s="754">
        <f ca="1">BY40+COUNTIFS($BZ$6:$BZ$53,BZ40,$CC$6:CC$53,"&gt;"&amp;CC40,$BC$6:$BC$53,INDEX(T_Equipos[Grupo],MATCH(BD40,T_Equipos[NombreEquipo],0)))</f>
        <v>1</v>
      </c>
      <c r="CE40" s="753" t="str">
        <f ca="1">IF(COUNTIFS($CD$6:$CD$53,CD40,$BC$6:$BC$53,INDEX(T_Equipos[Grupo],MATCH(BD40,T_Equipos[NombreEquipo],0)))=1,"-","P."&amp;CD40&amp;" ("&amp;COUNTIFS($CD$6:$CD$53,CD40,$BC$6:$BC$53,INDEX(T_Equipos[Grupo],MATCH(BD40,T_Equipos[NombreEquipo],0)))&amp;")")</f>
        <v>P.1 (4)</v>
      </c>
      <c r="CF40" s="754">
        <f t="shared" ca="1" si="43"/>
        <v>0</v>
      </c>
      <c r="CG40" s="754">
        <f ca="1">CD40+COUNTIFS($CE$6:$CE$53,CE40,$CF$6:CF$53,"&gt;"&amp;CF40,$BC$6:$BC$53,INDEX(T_Equipos[Grupo],MATCH(BD40,T_Equipos[NombreEquipo],0)))</f>
        <v>1</v>
      </c>
      <c r="CH40" s="753" t="str">
        <f ca="1">IF(COUNTIFS($CG$6:$CG$53,CG40,$BC$6:$BC$53,INDEX(T_Equipos[Grupo],MATCH(BD40,T_Equipos[NombreEquipo],0)))=1,"-","P."&amp;CG40&amp;" ("&amp;COUNTIFS($CG$6:$CG$53,CG40,$BC$6:$BC$53,INDEX(T_Equipos[Grupo],MATCH(BD40,T_Equipos[NombreEquipo],0)))&amp;")")</f>
        <v>P.1 (4)</v>
      </c>
      <c r="CI40" s="754">
        <f t="shared" ca="1" si="44"/>
        <v>0</v>
      </c>
      <c r="CJ40" s="754">
        <f t="shared" ca="1" si="45"/>
        <v>0</v>
      </c>
      <c r="CK40" s="754">
        <f t="shared" ca="1" si="46"/>
        <v>0</v>
      </c>
      <c r="CL40" s="754">
        <f t="shared" ca="1" si="47"/>
        <v>0</v>
      </c>
      <c r="CM40" s="754">
        <f ca="1">CG40+COUNTIFS($CH$6:$CH$53,CH40,$CL$6:CL$53,"&gt;"&amp;CL40,$BC$6:$BC$53,INDEX(T_Equipos[Grupo],MATCH(BD40,T_Equipos[NombreEquipo],0)))</f>
        <v>1</v>
      </c>
      <c r="CN40" s="753" t="str">
        <f ca="1">IF(COUNTIFS($CM$6:$CM$53,CM40,$BC$6:$BC$53,INDEX(T_Equipos[Grupo],MATCH(BD40,T_Equipos[NombreEquipo],0)))=1,"-","P."&amp;CM40&amp;" ("&amp;COUNTIFS($CM$6:$CM$53,CM40,$BC$6:$BC$53,INDEX(T_Equipos[Grupo],MATCH(BD40,T_Equipos[NombreEquipo],0)))&amp;")")</f>
        <v>P.1 (4)</v>
      </c>
      <c r="CO40" s="754">
        <f t="shared" ca="1" si="48"/>
        <v>0</v>
      </c>
      <c r="CP40" s="754">
        <f t="shared" ca="1" si="49"/>
        <v>0</v>
      </c>
      <c r="CQ40" s="754">
        <f t="shared" ca="1" si="50"/>
        <v>0</v>
      </c>
      <c r="CR40" s="754">
        <f ca="1">CM40+COUNTIFS($CN$6:$CN$53,CN40,$CQ$6:CQ$53,"&gt;"&amp;CQ40,$BC$6:$BC$53,INDEX(T_Equipos[Grupo],MATCH(BD40,T_Equipos[NombreEquipo],0)))</f>
        <v>1</v>
      </c>
      <c r="CS40" s="753" t="str">
        <f ca="1">IF(COUNTIFS($CR$6:$CR$53,CR40,$BC$6:$BC$53,INDEX(T_Equipos[Grupo],MATCH(BD40,T_Equipos[NombreEquipo],0)))=1,"-","P."&amp;CR40&amp;" ("&amp;COUNTIFS($CR$6:$CR$53,CR40,$BC$6:$BC$53,INDEX(T_Equipos[Grupo],MATCH(BD40,T_Equipos[NombreEquipo],0)))&amp;")")</f>
        <v>P.1 (4)</v>
      </c>
      <c r="CT40" s="754">
        <f t="shared" ca="1" si="51"/>
        <v>0</v>
      </c>
      <c r="CU40" s="754">
        <f ca="1">CR40+COUNTIFS($CS$6:$CS$53,CS40,$CT$6:CT$53,"&gt;"&amp;CT40,$BC$6:$BC$53,INDEX(T_Equipos[Grupo],MATCH(BD40,T_Equipos[NombreEquipo],0)))</f>
        <v>1</v>
      </c>
      <c r="CV40" s="753" t="str">
        <f ca="1">IF(COUNTIFS($CU$6:$CU$53,CU40,$BC$6:$BC$53,INDEX(T_Equipos[Grupo],MATCH(BD40,T_Equipos[NombreEquipo],0)))=1,"-","P."&amp;CU40&amp;" ("&amp;COUNTIFS($CU$6:$CU$53,CU40,$BC$6:$BC$53,INDEX(T_Equipos[Grupo],MATCH(BD40,T_Equipos[NombreEquipo],0)))&amp;")")</f>
        <v>P.1 (4)</v>
      </c>
      <c r="CW40" s="753">
        <f t="shared" ca="1" si="30"/>
        <v>0</v>
      </c>
      <c r="CX40" s="753">
        <f ca="1">CU40+COUNTIFS($CV$6:$CV$53,CV40,$CW$6:CW$53,"&gt;"&amp;CW40,$BC$6:$BC$53,INDEX(T_Equipos[Grupo],MATCH(BD40,T_Equipos[NombreEquipo],0)))</f>
        <v>1</v>
      </c>
      <c r="CY40" s="753" t="str">
        <f ca="1">IF(COUNTIFS($CX$6:$CX$53,CX40,$BC$6:$BC$53,INDEX(T_Equipos[Grupo],MATCH(BD40,T_Equipos[NombreEquipo],0)))=1,"-","P."&amp;CX40&amp;" ("&amp;COUNTIFS($CX$6:$CX$53,CX40,$BC$6:$BC$53,INDEX(T_Equipos[Grupo],MATCH(BD40,T_Equipos[NombreEquipo],0)))&amp;")")</f>
        <v>P.1 (4)</v>
      </c>
      <c r="CZ40" s="753">
        <f t="shared" ca="1" si="31"/>
        <v>0</v>
      </c>
      <c r="DA40" s="754">
        <f ca="1">CX40+COUNTIFS($CY$6:$CY$53,CY40,$CZ$6:CZ$53,"&gt;"&amp;CZ40,$BC$6:$BC$53,INDEX(T_Equipos[Grupo],MATCH(BD40,T_Equipos[NombreEquipo],0)))</f>
        <v>1</v>
      </c>
      <c r="DB40" s="753" t="str">
        <f ca="1">IF(COUNTIFS($DA$6:$DA$53,DA40,$BC$6:$BC$53,INDEX(T_Equipos[Grupo],MATCH(BD40,T_Equipos[NombreEquipo],0)))=1,"-","P."&amp;DA40&amp;" ("&amp;COUNTIFS($DA$6:$DA$53,DA40,$BC$6:$BC$53,INDEX(T_Equipos[Grupo],MATCH(BD40,T_Equipos[NombreEquipo],0)))&amp;")")</f>
        <v>P.1 (4)</v>
      </c>
      <c r="DC40" s="752">
        <f ca="1">IF(DB40="-","-",COUNTIFS(T_Equipos[Rank],"&lt;"&amp;INDEX(T_Equipos[Rank],MATCH(BD40,T_Equipos[NombreEquipo],0)),$BC$6:$BC$53,INDEX(T_Equipos[Grupo],MATCH(BD40,T_Equipos[NombreEquipo],0)))+1)</f>
        <v>3</v>
      </c>
      <c r="DD40" s="752">
        <f ca="1">DA40+COUNTIFS($DB$6:$DB$53,DB40,$DC$6:DC$53,"&lt;"&amp;DC40,$BC$6:$BC$53,INDEX(T_Equipos[Grupo],MATCH(BD40,T_Equipos[NombreEquipo],0)))</f>
        <v>3</v>
      </c>
      <c r="DE40" s="752"/>
      <c r="DF40" s="752">
        <f t="shared" ca="1" si="52"/>
        <v>3</v>
      </c>
      <c r="DG40" s="752">
        <f ca="1">IF(DB40="-","-",COUNTIFS(DF$6:DF$53,"&lt;"&amp;DF40,$BC$6:$BC$53,INDEX(T_Equipos[Grupo],MATCH(BD40,T_Equipos[NombreEquipo],0))))</f>
        <v>2</v>
      </c>
      <c r="DH40" s="752">
        <f ca="1">DA40+COUNTIFS(DB$6:DB$53,DB40,DG$6:DG$53,"&lt;"&amp;DG40,$BC$6:$BC$53,INDEX(T_Equipos[Grupo],MATCH(BD40,T_Equipos[NombreEquipo],0)))</f>
        <v>3</v>
      </c>
      <c r="DI40" s="740"/>
      <c r="DJ40" s="740">
        <f t="shared" ca="1" si="53"/>
        <v>1</v>
      </c>
      <c r="DK40" s="740">
        <f t="shared" ca="1" si="24"/>
        <v>0</v>
      </c>
      <c r="DL40" s="740">
        <f t="shared" ca="1" si="33"/>
        <v>1</v>
      </c>
      <c r="DM40" s="734" t="str">
        <f t="shared" ca="1" si="34"/>
        <v>1.1</v>
      </c>
      <c r="DN40" s="740" cm="1">
        <f t="array" aca="1" ref="DN40" ca="1">OFFSET(Horarios!$P$3,DJ40-1,0,DL40,1)</f>
        <v>1</v>
      </c>
      <c r="DO40" s="740"/>
      <c r="DP40" s="740" t="s">
        <v>440</v>
      </c>
      <c r="DQ40" s="740" t="str">
        <f t="shared" ca="1" si="35"/>
        <v>Irak</v>
      </c>
      <c r="DR40" s="740"/>
      <c r="DS40" s="740"/>
      <c r="DT40" s="740" t="str">
        <f t="shared" ca="1" si="15"/>
        <v>Curazao-Costa de Marfil</v>
      </c>
      <c r="DU40" s="740"/>
      <c r="DV40" s="740"/>
      <c r="DW40" s="8"/>
    </row>
    <row r="41" spans="1:127" ht="17.100000000000001" customHeight="1" thickBot="1">
      <c r="A41" s="735"/>
      <c r="B41" s="735"/>
      <c r="C41" s="735"/>
      <c r="D41" s="740" t="str">
        <f t="shared" si="115"/>
        <v>Pendiente</v>
      </c>
      <c r="E41" s="740" t="str">
        <f t="shared" si="116"/>
        <v>-</v>
      </c>
      <c r="F41" s="740" t="str">
        <f t="shared" si="117"/>
        <v>-</v>
      </c>
      <c r="G41" s="740"/>
      <c r="H41" s="740" t="str">
        <f t="shared" si="118"/>
        <v>-</v>
      </c>
      <c r="I41" s="740" t="str">
        <f t="shared" si="119"/>
        <v>-</v>
      </c>
      <c r="J41" s="740"/>
      <c r="K41" s="740" t="str">
        <f t="shared" si="120"/>
        <v>-</v>
      </c>
      <c r="L41" s="740" t="str">
        <f t="shared" si="121"/>
        <v>-</v>
      </c>
      <c r="M41" s="740"/>
      <c r="N41" s="740" t="str">
        <f t="shared" si="122"/>
        <v>-</v>
      </c>
      <c r="O41" s="740" t="str">
        <f t="shared" si="123"/>
        <v>-</v>
      </c>
      <c r="P41" s="740"/>
      <c r="Q41" s="740" t="str">
        <f t="shared" si="124"/>
        <v>-</v>
      </c>
      <c r="R41" s="740" t="str">
        <f t="shared" si="125"/>
        <v>-</v>
      </c>
      <c r="S41" s="740"/>
      <c r="T41" s="740" t="str">
        <f t="shared" si="126"/>
        <v>-</v>
      </c>
      <c r="U41" s="740" t="str">
        <f t="shared" si="127"/>
        <v>-</v>
      </c>
      <c r="V41" s="172"/>
      <c r="W41" s="897"/>
      <c r="X41" s="228">
        <f ca="1">Horarios!C41</f>
        <v>46198.666666666664</v>
      </c>
      <c r="Y41" s="229">
        <f ca="1">Horarios!C41</f>
        <v>46198.666666666664</v>
      </c>
      <c r="Z41" s="230" t="str">
        <f>$Z$8</f>
        <v>J3</v>
      </c>
      <c r="AA41" s="231" t="str">
        <f ca="1">A40</f>
        <v>Ecuador</v>
      </c>
      <c r="AB41" s="478" t="str" cm="1">
        <f t="array" aca="1" ref="AB41" ca="1">Ver_flag_local</f>
        <v/>
      </c>
      <c r="AC41" s="232"/>
      <c r="AD41" s="233"/>
      <c r="AE41" s="483" t="str" cm="1">
        <f t="array" aca="1" ref="AE41" ca="1">Ver_flag_visit</f>
        <v/>
      </c>
      <c r="AF41" s="234" t="str">
        <f ca="1">A37</f>
        <v>Alemania</v>
      </c>
      <c r="AG41" s="413">
        <f t="shared" si="128"/>
        <v>0</v>
      </c>
      <c r="AH41" s="196">
        <v>56</v>
      </c>
      <c r="AI41" s="19" t="str">
        <f t="shared" si="133"/>
        <v>4E</v>
      </c>
      <c r="AJ41" s="235">
        <v>4</v>
      </c>
      <c r="AK41" s="486"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0"/>
      <c r="BC41" s="752" t="str">
        <f ca="1">+INDEX(T_Equipos[Grupo],MATCH(WORLDCUP!BD41,T_Equipos[NombreEquipo],0))</f>
        <v>I</v>
      </c>
      <c r="BD41" s="740" t="str">
        <f ca="1">+Equipos!B37</f>
        <v>Noruega</v>
      </c>
      <c r="BE41" s="744">
        <f t="shared" ca="1" si="25"/>
        <v>0</v>
      </c>
      <c r="BF41" s="744">
        <f t="shared" ca="1" si="26"/>
        <v>0</v>
      </c>
      <c r="BG41" s="744">
        <f t="shared" ca="1" si="17"/>
        <v>0</v>
      </c>
      <c r="BH41" s="744">
        <f t="shared" ca="1" si="18"/>
        <v>0</v>
      </c>
      <c r="BI41" s="744">
        <f t="shared" ca="1" si="19"/>
        <v>0</v>
      </c>
      <c r="BJ41" s="744">
        <f t="shared" ca="1" si="20"/>
        <v>0</v>
      </c>
      <c r="BK41" s="744">
        <f t="shared" ca="1" si="21"/>
        <v>0</v>
      </c>
      <c r="BL41" s="744">
        <f t="shared" ca="1" si="27"/>
        <v>0</v>
      </c>
      <c r="BM41" s="744" t="str">
        <f t="shared" ca="1" si="22"/>
        <v>4I</v>
      </c>
      <c r="BN41" s="744" t="str">
        <f t="shared" ca="1" si="23"/>
        <v>4I</v>
      </c>
      <c r="BO41" s="753">
        <f t="shared" ca="1" si="28"/>
        <v>0</v>
      </c>
      <c r="BP41" s="753">
        <f ca="1">COUNTIFS($BO$6:$BO$53,"&gt;"&amp;BO41,$BC$6:$BC$53,INDEX(T_Equipos[Grupo],MATCH(BD41,T_Equipos[NombreEquipo],0)))+1</f>
        <v>1</v>
      </c>
      <c r="BQ41" s="753" t="str">
        <f ca="1">IF(COUNTIFS($BP$6:$BP$53,BP41,$BC$6:$BC$53,INDEX(T_Equipos[Grupo],MATCH(BD41,T_Equipos[NombreEquipo],0)))=1,"-","P."&amp;BP41&amp;" ("&amp;COUNTIFS($BP$6:$BP$53,BP41,$BC$6:$BC$53,INDEX(T_Equipos[Grupo],MATCH(BD41,T_Equipos[NombreEquipo],0)))&amp;")")</f>
        <v>P.1 (4)</v>
      </c>
      <c r="BR41" s="753">
        <f t="shared" ca="1" si="29"/>
        <v>0</v>
      </c>
      <c r="BS41" s="753">
        <f ca="1">BP41+COUNTIFS($BQ$6:$BQ$53,BQ41,$BR$6:BR$53,"&gt;"&amp;BR41,$BC$6:$BC$53,INDEX(T_Equipos[Grupo],MATCH(BD41,T_Equipos[NombreEquipo],0)))</f>
        <v>1</v>
      </c>
      <c r="BT41" s="753" t="str">
        <f ca="1">IF(COUNTIFS($BS$6:$BS$53,BS41,$BC$6:$BC$53,INDEX(T_Equipos[Grupo],MATCH(BD41,T_Equipos[NombreEquipo],0)))=1,"-","P."&amp;BS41&amp;" ("&amp;COUNTIFS($BS$6:$BS$53,BS41,$BC$6:$BC$53,INDEX(T_Equipos[Grupo],MATCH(BD41,T_Equipos[NombreEquipo],0)))&amp;")")</f>
        <v>P.1 (4)</v>
      </c>
      <c r="BU41" s="754">
        <f t="shared" ca="1" si="36"/>
        <v>0</v>
      </c>
      <c r="BV41" s="754">
        <f t="shared" ca="1" si="37"/>
        <v>0</v>
      </c>
      <c r="BW41" s="754">
        <f t="shared" ca="1" si="38"/>
        <v>0</v>
      </c>
      <c r="BX41" s="754">
        <f t="shared" ca="1" si="39"/>
        <v>0</v>
      </c>
      <c r="BY41" s="754">
        <f ca="1">BS41+COUNTIFS($BT$6:$BT$53,BT41,$BX$6:BX$53,"&gt;"&amp;BX41,$BC$6:$BC$53,INDEX(T_Equipos[Grupo],MATCH(BD41,T_Equipos[NombreEquipo],0)))</f>
        <v>1</v>
      </c>
      <c r="BZ41" s="753" t="str">
        <f ca="1">IF(COUNTIFS($BY$6:$BY$53,BY41,$BC$6:$BC$53,INDEX(T_Equipos[Grupo],MATCH(BD41,T_Equipos[NombreEquipo],0)))=1,"-","P."&amp;BY41&amp;" ("&amp;COUNTIFS($BY$6:$BY$53,BY41,$BC$6:$BC$53,INDEX(T_Equipos[Grupo],MATCH(BD41,T_Equipos[NombreEquipo],0)))&amp;")")</f>
        <v>P.1 (4)</v>
      </c>
      <c r="CA41" s="754">
        <f t="shared" ca="1" si="40"/>
        <v>0</v>
      </c>
      <c r="CB41" s="754">
        <f t="shared" ca="1" si="41"/>
        <v>0</v>
      </c>
      <c r="CC41" s="754">
        <f t="shared" ca="1" si="42"/>
        <v>0</v>
      </c>
      <c r="CD41" s="754">
        <f ca="1">BY41+COUNTIFS($BZ$6:$BZ$53,BZ41,$CC$6:CC$53,"&gt;"&amp;CC41,$BC$6:$BC$53,INDEX(T_Equipos[Grupo],MATCH(BD41,T_Equipos[NombreEquipo],0)))</f>
        <v>1</v>
      </c>
      <c r="CE41" s="753" t="str">
        <f ca="1">IF(COUNTIFS($CD$6:$CD$53,CD41,$BC$6:$BC$53,INDEX(T_Equipos[Grupo],MATCH(BD41,T_Equipos[NombreEquipo],0)))=1,"-","P."&amp;CD41&amp;" ("&amp;COUNTIFS($CD$6:$CD$53,CD41,$BC$6:$BC$53,INDEX(T_Equipos[Grupo],MATCH(BD41,T_Equipos[NombreEquipo],0)))&amp;")")</f>
        <v>P.1 (4)</v>
      </c>
      <c r="CF41" s="754">
        <f t="shared" ca="1" si="43"/>
        <v>0</v>
      </c>
      <c r="CG41" s="754">
        <f ca="1">CD41+COUNTIFS($CE$6:$CE$53,CE41,$CF$6:CF$53,"&gt;"&amp;CF41,$BC$6:$BC$53,INDEX(T_Equipos[Grupo],MATCH(BD41,T_Equipos[NombreEquipo],0)))</f>
        <v>1</v>
      </c>
      <c r="CH41" s="753" t="str">
        <f ca="1">IF(COUNTIFS($CG$6:$CG$53,CG41,$BC$6:$BC$53,INDEX(T_Equipos[Grupo],MATCH(BD41,T_Equipos[NombreEquipo],0)))=1,"-","P."&amp;CG41&amp;" ("&amp;COUNTIFS($CG$6:$CG$53,CG41,$BC$6:$BC$53,INDEX(T_Equipos[Grupo],MATCH(BD41,T_Equipos[NombreEquipo],0)))&amp;")")</f>
        <v>P.1 (4)</v>
      </c>
      <c r="CI41" s="754">
        <f t="shared" ca="1" si="44"/>
        <v>0</v>
      </c>
      <c r="CJ41" s="754">
        <f t="shared" ca="1" si="45"/>
        <v>0</v>
      </c>
      <c r="CK41" s="754">
        <f t="shared" ca="1" si="46"/>
        <v>0</v>
      </c>
      <c r="CL41" s="754">
        <f t="shared" ca="1" si="47"/>
        <v>0</v>
      </c>
      <c r="CM41" s="754">
        <f ca="1">CG41+COUNTIFS($CH$6:$CH$53,CH41,$CL$6:CL$53,"&gt;"&amp;CL41,$BC$6:$BC$53,INDEX(T_Equipos[Grupo],MATCH(BD41,T_Equipos[NombreEquipo],0)))</f>
        <v>1</v>
      </c>
      <c r="CN41" s="753" t="str">
        <f ca="1">IF(COUNTIFS($CM$6:$CM$53,CM41,$BC$6:$BC$53,INDEX(T_Equipos[Grupo],MATCH(BD41,T_Equipos[NombreEquipo],0)))=1,"-","P."&amp;CM41&amp;" ("&amp;COUNTIFS($CM$6:$CM$53,CM41,$BC$6:$BC$53,INDEX(T_Equipos[Grupo],MATCH(BD41,T_Equipos[NombreEquipo],0)))&amp;")")</f>
        <v>P.1 (4)</v>
      </c>
      <c r="CO41" s="754">
        <f t="shared" ca="1" si="48"/>
        <v>0</v>
      </c>
      <c r="CP41" s="754">
        <f t="shared" ca="1" si="49"/>
        <v>0</v>
      </c>
      <c r="CQ41" s="754">
        <f t="shared" ca="1" si="50"/>
        <v>0</v>
      </c>
      <c r="CR41" s="754">
        <f ca="1">CM41+COUNTIFS($CN$6:$CN$53,CN41,$CQ$6:CQ$53,"&gt;"&amp;CQ41,$BC$6:$BC$53,INDEX(T_Equipos[Grupo],MATCH(BD41,T_Equipos[NombreEquipo],0)))</f>
        <v>1</v>
      </c>
      <c r="CS41" s="753" t="str">
        <f ca="1">IF(COUNTIFS($CR$6:$CR$53,CR41,$BC$6:$BC$53,INDEX(T_Equipos[Grupo],MATCH(BD41,T_Equipos[NombreEquipo],0)))=1,"-","P."&amp;CR41&amp;" ("&amp;COUNTIFS($CR$6:$CR$53,CR41,$BC$6:$BC$53,INDEX(T_Equipos[Grupo],MATCH(BD41,T_Equipos[NombreEquipo],0)))&amp;")")</f>
        <v>P.1 (4)</v>
      </c>
      <c r="CT41" s="754">
        <f t="shared" ca="1" si="51"/>
        <v>0</v>
      </c>
      <c r="CU41" s="754">
        <f ca="1">CR41+COUNTIFS($CS$6:$CS$53,CS41,$CT$6:CT$53,"&gt;"&amp;CT41,$BC$6:$BC$53,INDEX(T_Equipos[Grupo],MATCH(BD41,T_Equipos[NombreEquipo],0)))</f>
        <v>1</v>
      </c>
      <c r="CV41" s="753" t="str">
        <f ca="1">IF(COUNTIFS($CU$6:$CU$53,CU41,$BC$6:$BC$53,INDEX(T_Equipos[Grupo],MATCH(BD41,T_Equipos[NombreEquipo],0)))=1,"-","P."&amp;CU41&amp;" ("&amp;COUNTIFS($CU$6:$CU$53,CU41,$BC$6:$BC$53,INDEX(T_Equipos[Grupo],MATCH(BD41,T_Equipos[NombreEquipo],0)))&amp;")")</f>
        <v>P.1 (4)</v>
      </c>
      <c r="CW41" s="753">
        <f t="shared" ca="1" si="30"/>
        <v>0</v>
      </c>
      <c r="CX41" s="753">
        <f ca="1">CU41+COUNTIFS($CV$6:$CV$53,CV41,$CW$6:CW$53,"&gt;"&amp;CW41,$BC$6:$BC$53,INDEX(T_Equipos[Grupo],MATCH(BD41,T_Equipos[NombreEquipo],0)))</f>
        <v>1</v>
      </c>
      <c r="CY41" s="753" t="str">
        <f ca="1">IF(COUNTIFS($CX$6:$CX$53,CX41,$BC$6:$BC$53,INDEX(T_Equipos[Grupo],MATCH(BD41,T_Equipos[NombreEquipo],0)))=1,"-","P."&amp;CX41&amp;" ("&amp;COUNTIFS($CX$6:$CX$53,CX41,$BC$6:$BC$53,INDEX(T_Equipos[Grupo],MATCH(BD41,T_Equipos[NombreEquipo],0)))&amp;")")</f>
        <v>P.1 (4)</v>
      </c>
      <c r="CZ41" s="753">
        <f t="shared" ca="1" si="31"/>
        <v>0</v>
      </c>
      <c r="DA41" s="754">
        <f ca="1">CX41+COUNTIFS($CY$6:$CY$53,CY41,$CZ$6:CZ$53,"&gt;"&amp;CZ41,$BC$6:$BC$53,INDEX(T_Equipos[Grupo],MATCH(BD41,T_Equipos[NombreEquipo],0)))</f>
        <v>1</v>
      </c>
      <c r="DB41" s="753" t="str">
        <f ca="1">IF(COUNTIFS($DA$6:$DA$53,DA41,$BC$6:$BC$53,INDEX(T_Equipos[Grupo],MATCH(BD41,T_Equipos[NombreEquipo],0)))=1,"-","P."&amp;DA41&amp;" ("&amp;COUNTIFS($DA$6:$DA$53,DA41,$BC$6:$BC$53,INDEX(T_Equipos[Grupo],MATCH(BD41,T_Equipos[NombreEquipo],0)))&amp;")")</f>
        <v>P.1 (4)</v>
      </c>
      <c r="DC41" s="752">
        <f ca="1">IF(DB41="-","-",COUNTIFS(T_Equipos[Rank],"&lt;"&amp;INDEX(T_Equipos[Rank],MATCH(BD41,T_Equipos[NombreEquipo],0)),$BC$6:$BC$53,INDEX(T_Equipos[Grupo],MATCH(BD41,T_Equipos[NombreEquipo],0)))+1)</f>
        <v>4</v>
      </c>
      <c r="DD41" s="752">
        <f ca="1">DA41+COUNTIFS($DB$6:$DB$53,DB41,$DC$6:DC$53,"&lt;"&amp;DC41,$BC$6:$BC$53,INDEX(T_Equipos[Grupo],MATCH(BD41,T_Equipos[NombreEquipo],0)))</f>
        <v>4</v>
      </c>
      <c r="DE41" s="752"/>
      <c r="DF41" s="752">
        <f t="shared" ca="1" si="52"/>
        <v>4</v>
      </c>
      <c r="DG41" s="752">
        <f ca="1">IF(DB41="-","-",COUNTIFS(DF$6:DF$53,"&lt;"&amp;DF41,$BC$6:$BC$53,INDEX(T_Equipos[Grupo],MATCH(BD41,T_Equipos[NombreEquipo],0))))</f>
        <v>3</v>
      </c>
      <c r="DH41" s="752">
        <f ca="1">DA41+COUNTIFS(DB$6:DB$53,DB41,DG$6:DG$53,"&lt;"&amp;DG41,$BC$6:$BC$53,INDEX(T_Equipos[Grupo],MATCH(BD41,T_Equipos[NombreEquipo],0)))</f>
        <v>4</v>
      </c>
      <c r="DI41" s="740"/>
      <c r="DJ41" s="740">
        <f t="shared" ca="1" si="53"/>
        <v>1</v>
      </c>
      <c r="DK41" s="740">
        <f t="shared" ca="1" si="24"/>
        <v>0</v>
      </c>
      <c r="DL41" s="740">
        <f t="shared" ca="1" si="33"/>
        <v>1</v>
      </c>
      <c r="DM41" s="734" t="str">
        <f t="shared" ca="1" si="34"/>
        <v>1.1</v>
      </c>
      <c r="DN41" s="740" cm="1">
        <f t="array" aca="1" ref="DN41" ca="1">OFFSET(Horarios!$P$3,DJ41-1,0,DL41,1)</f>
        <v>1</v>
      </c>
      <c r="DO41" s="740"/>
      <c r="DP41" s="740" t="s">
        <v>675</v>
      </c>
      <c r="DQ41" s="740" t="str">
        <f t="shared" ca="1" si="35"/>
        <v>Noruega</v>
      </c>
      <c r="DR41" s="740"/>
      <c r="DS41" s="740"/>
      <c r="DT41" s="740" t="str">
        <f t="shared" ca="1" si="15"/>
        <v>Ecuador-Alemania</v>
      </c>
      <c r="DU41" s="740"/>
      <c r="DV41" s="740"/>
      <c r="DW41" s="8"/>
    </row>
    <row r="42" spans="1:127" ht="15.75" thickBot="1">
      <c r="A42" s="735"/>
      <c r="B42" s="735"/>
      <c r="C42" s="735"/>
      <c r="D42" s="740"/>
      <c r="E42" s="740"/>
      <c r="F42" s="740"/>
      <c r="G42" s="740"/>
      <c r="H42" s="740"/>
      <c r="I42" s="740"/>
      <c r="J42" s="740"/>
      <c r="K42" s="740"/>
      <c r="L42" s="740"/>
      <c r="M42" s="740"/>
      <c r="N42" s="740"/>
      <c r="O42" s="740"/>
      <c r="P42" s="740"/>
      <c r="Q42" s="740"/>
      <c r="R42" s="740"/>
      <c r="S42" s="740"/>
      <c r="T42" s="740"/>
      <c r="U42" s="740"/>
      <c r="V42" s="172"/>
      <c r="W42" s="242"/>
      <c r="X42" s="243"/>
      <c r="Y42" s="242"/>
      <c r="Z42" s="244"/>
      <c r="AA42" s="245"/>
      <c r="AB42" s="481"/>
      <c r="AC42" s="247"/>
      <c r="AD42" s="247"/>
      <c r="AE42" s="481"/>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0"/>
      <c r="BC42" s="752" t="str">
        <f ca="1">+INDEX(T_Equipos[Grupo],MATCH(WORLDCUP!BD42,T_Equipos[NombreEquipo],0))</f>
        <v>J</v>
      </c>
      <c r="BD42" s="740" t="str">
        <f ca="1">+Equipos!B38</f>
        <v>Argentina</v>
      </c>
      <c r="BE42" s="744">
        <f t="shared" ca="1" si="25"/>
        <v>0</v>
      </c>
      <c r="BF42" s="744">
        <f t="shared" ca="1" si="26"/>
        <v>0</v>
      </c>
      <c r="BG42" s="744">
        <f t="shared" ca="1" si="17"/>
        <v>0</v>
      </c>
      <c r="BH42" s="744">
        <f t="shared" ca="1" si="18"/>
        <v>0</v>
      </c>
      <c r="BI42" s="744">
        <f t="shared" ca="1" si="19"/>
        <v>0</v>
      </c>
      <c r="BJ42" s="744">
        <f t="shared" ca="1" si="20"/>
        <v>0</v>
      </c>
      <c r="BK42" s="744">
        <f t="shared" ca="1" si="21"/>
        <v>0</v>
      </c>
      <c r="BL42" s="744">
        <f t="shared" ca="1" si="27"/>
        <v>0</v>
      </c>
      <c r="BM42" s="744" t="str">
        <f t="shared" ca="1" si="22"/>
        <v>1J</v>
      </c>
      <c r="BN42" s="744" t="str">
        <f t="shared" ca="1" si="23"/>
        <v>1J</v>
      </c>
      <c r="BO42" s="754">
        <f t="shared" ca="1" si="28"/>
        <v>0</v>
      </c>
      <c r="BP42" s="753">
        <f ca="1">COUNTIFS($BO$6:$BO$53,"&gt;"&amp;BO42,$BC$6:$BC$53,INDEX(T_Equipos[Grupo],MATCH(BD42,T_Equipos[NombreEquipo],0)))+1</f>
        <v>1</v>
      </c>
      <c r="BQ42" s="753" t="str">
        <f ca="1">IF(COUNTIFS($BP$6:$BP$53,BP42,$BC$6:$BC$53,INDEX(T_Equipos[Grupo],MATCH(BD42,T_Equipos[NombreEquipo],0)))=1,"-","P."&amp;BP42&amp;" ("&amp;COUNTIFS($BP$6:$BP$53,BP42,$BC$6:$BC$53,INDEX(T_Equipos[Grupo],MATCH(BD42,T_Equipos[NombreEquipo],0)))&amp;")")</f>
        <v>P.1 (4)</v>
      </c>
      <c r="BR42" s="754">
        <f t="shared" ca="1" si="29"/>
        <v>0</v>
      </c>
      <c r="BS42" s="753">
        <f ca="1">BP42+COUNTIFS($BQ$6:$BQ$53,BQ42,$BR$6:BR$53,"&gt;"&amp;BR42,$BC$6:$BC$53,INDEX(T_Equipos[Grupo],MATCH(BD42,T_Equipos[NombreEquipo],0)))</f>
        <v>1</v>
      </c>
      <c r="BT42" s="753" t="str">
        <f ca="1">IF(COUNTIFS($BS$6:$BS$53,BS42,$BC$6:$BC$53,INDEX(T_Equipos[Grupo],MATCH(BD42,T_Equipos[NombreEquipo],0)))=1,"-","P."&amp;BS42&amp;" ("&amp;COUNTIFS($BS$6:$BS$53,BS42,$BC$6:$BC$53,INDEX(T_Equipos[Grupo],MATCH(BD42,T_Equipos[NombreEquipo],0)))&amp;")")</f>
        <v>P.1 (4)</v>
      </c>
      <c r="BU42" s="754">
        <f t="shared" ca="1" si="36"/>
        <v>0</v>
      </c>
      <c r="BV42" s="754">
        <f t="shared" ca="1" si="37"/>
        <v>0</v>
      </c>
      <c r="BW42" s="754">
        <f t="shared" ca="1" si="38"/>
        <v>0</v>
      </c>
      <c r="BX42" s="754">
        <f t="shared" ca="1" si="39"/>
        <v>0</v>
      </c>
      <c r="BY42" s="754">
        <f ca="1">BS42+COUNTIFS($BT$6:$BT$53,BT42,$BX$6:BX$53,"&gt;"&amp;BX42,$BC$6:$BC$53,INDEX(T_Equipos[Grupo],MATCH(BD42,T_Equipos[NombreEquipo],0)))</f>
        <v>1</v>
      </c>
      <c r="BZ42" s="753" t="str">
        <f ca="1">IF(COUNTIFS($BY$6:$BY$53,BY42,$BC$6:$BC$53,INDEX(T_Equipos[Grupo],MATCH(BD42,T_Equipos[NombreEquipo],0)))=1,"-","P."&amp;BY42&amp;" ("&amp;COUNTIFS($BY$6:$BY$53,BY42,$BC$6:$BC$53,INDEX(T_Equipos[Grupo],MATCH(BD42,T_Equipos[NombreEquipo],0)))&amp;")")</f>
        <v>P.1 (4)</v>
      </c>
      <c r="CA42" s="754">
        <f t="shared" ca="1" si="40"/>
        <v>0</v>
      </c>
      <c r="CB42" s="754">
        <f t="shared" ca="1" si="41"/>
        <v>0</v>
      </c>
      <c r="CC42" s="754">
        <f t="shared" ca="1" si="42"/>
        <v>0</v>
      </c>
      <c r="CD42" s="754">
        <f ca="1">BY42+COUNTIFS($BZ$6:$BZ$53,BZ42,$CC$6:CC$53,"&gt;"&amp;CC42,$BC$6:$BC$53,INDEX(T_Equipos[Grupo],MATCH(BD42,T_Equipos[NombreEquipo],0)))</f>
        <v>1</v>
      </c>
      <c r="CE42" s="753" t="str">
        <f ca="1">IF(COUNTIFS($CD$6:$CD$53,CD42,$BC$6:$BC$53,INDEX(T_Equipos[Grupo],MATCH(BD42,T_Equipos[NombreEquipo],0)))=1,"-","P."&amp;CD42&amp;" ("&amp;COUNTIFS($CD$6:$CD$53,CD42,$BC$6:$BC$53,INDEX(T_Equipos[Grupo],MATCH(BD42,T_Equipos[NombreEquipo],0)))&amp;")")</f>
        <v>P.1 (4)</v>
      </c>
      <c r="CF42" s="754">
        <f t="shared" ca="1" si="43"/>
        <v>0</v>
      </c>
      <c r="CG42" s="754">
        <f ca="1">CD42+COUNTIFS($CE$6:$CE$53,CE42,$CF$6:CF$53,"&gt;"&amp;CF42,$BC$6:$BC$53,INDEX(T_Equipos[Grupo],MATCH(BD42,T_Equipos[NombreEquipo],0)))</f>
        <v>1</v>
      </c>
      <c r="CH42" s="753" t="str">
        <f ca="1">IF(COUNTIFS($CG$6:$CG$53,CG42,$BC$6:$BC$53,INDEX(T_Equipos[Grupo],MATCH(BD42,T_Equipos[NombreEquipo],0)))=1,"-","P."&amp;CG42&amp;" ("&amp;COUNTIFS($CG$6:$CG$53,CG42,$BC$6:$BC$53,INDEX(T_Equipos[Grupo],MATCH(BD42,T_Equipos[NombreEquipo],0)))&amp;")")</f>
        <v>P.1 (4)</v>
      </c>
      <c r="CI42" s="754">
        <f t="shared" ca="1" si="44"/>
        <v>0</v>
      </c>
      <c r="CJ42" s="754">
        <f t="shared" ca="1" si="45"/>
        <v>0</v>
      </c>
      <c r="CK42" s="754">
        <f t="shared" ca="1" si="46"/>
        <v>0</v>
      </c>
      <c r="CL42" s="754">
        <f t="shared" ca="1" si="47"/>
        <v>0</v>
      </c>
      <c r="CM42" s="754">
        <f ca="1">CG42+COUNTIFS($CH$6:$CH$53,CH42,$CL$6:CL$53,"&gt;"&amp;CL42,$BC$6:$BC$53,INDEX(T_Equipos[Grupo],MATCH(BD42,T_Equipos[NombreEquipo],0)))</f>
        <v>1</v>
      </c>
      <c r="CN42" s="753" t="str">
        <f ca="1">IF(COUNTIFS($CM$6:$CM$53,CM42,$BC$6:$BC$53,INDEX(T_Equipos[Grupo],MATCH(BD42,T_Equipos[NombreEquipo],0)))=1,"-","P."&amp;CM42&amp;" ("&amp;COUNTIFS($CM$6:$CM$53,CM42,$BC$6:$BC$53,INDEX(T_Equipos[Grupo],MATCH(BD42,T_Equipos[NombreEquipo],0)))&amp;")")</f>
        <v>P.1 (4)</v>
      </c>
      <c r="CO42" s="754">
        <f t="shared" ca="1" si="48"/>
        <v>0</v>
      </c>
      <c r="CP42" s="754">
        <f t="shared" ca="1" si="49"/>
        <v>0</v>
      </c>
      <c r="CQ42" s="754">
        <f t="shared" ca="1" si="50"/>
        <v>0</v>
      </c>
      <c r="CR42" s="754">
        <f ca="1">CM42+COUNTIFS($CN$6:$CN$53,CN42,$CQ$6:CQ$53,"&gt;"&amp;CQ42,$BC$6:$BC$53,INDEX(T_Equipos[Grupo],MATCH(BD42,T_Equipos[NombreEquipo],0)))</f>
        <v>1</v>
      </c>
      <c r="CS42" s="753" t="str">
        <f ca="1">IF(COUNTIFS($CR$6:$CR$53,CR42,$BC$6:$BC$53,INDEX(T_Equipos[Grupo],MATCH(BD42,T_Equipos[NombreEquipo],0)))=1,"-","P."&amp;CR42&amp;" ("&amp;COUNTIFS($CR$6:$CR$53,CR42,$BC$6:$BC$53,INDEX(T_Equipos[Grupo],MATCH(BD42,T_Equipos[NombreEquipo],0)))&amp;")")</f>
        <v>P.1 (4)</v>
      </c>
      <c r="CT42" s="754">
        <f t="shared" ca="1" si="51"/>
        <v>0</v>
      </c>
      <c r="CU42" s="754">
        <f ca="1">CR42+COUNTIFS($CS$6:$CS$53,CS42,$CT$6:CT$53,"&gt;"&amp;CT42,$BC$6:$BC$53,INDEX(T_Equipos[Grupo],MATCH(BD42,T_Equipos[NombreEquipo],0)))</f>
        <v>1</v>
      </c>
      <c r="CV42" s="753" t="str">
        <f ca="1">IF(COUNTIFS($CU$6:$CU$53,CU42,$BC$6:$BC$53,INDEX(T_Equipos[Grupo],MATCH(BD42,T_Equipos[NombreEquipo],0)))=1,"-","P."&amp;CU42&amp;" ("&amp;COUNTIFS($CU$6:$CU$53,CU42,$BC$6:$BC$53,INDEX(T_Equipos[Grupo],MATCH(BD42,T_Equipos[NombreEquipo],0)))&amp;")")</f>
        <v>P.1 (4)</v>
      </c>
      <c r="CW42" s="753">
        <f t="shared" ca="1" si="30"/>
        <v>0</v>
      </c>
      <c r="CX42" s="753">
        <f ca="1">CU42+COUNTIFS($CV$6:$CV$53,CV42,$CW$6:CW$53,"&gt;"&amp;CW42,$BC$6:$BC$53,INDEX(T_Equipos[Grupo],MATCH(BD42,T_Equipos[NombreEquipo],0)))</f>
        <v>1</v>
      </c>
      <c r="CY42" s="753" t="str">
        <f ca="1">IF(COUNTIFS($CX$6:$CX$53,CX42,$BC$6:$BC$53,INDEX(T_Equipos[Grupo],MATCH(BD42,T_Equipos[NombreEquipo],0)))=1,"-","P."&amp;CX42&amp;" ("&amp;COUNTIFS($CX$6:$CX$53,CX42,$BC$6:$BC$53,INDEX(T_Equipos[Grupo],MATCH(BD42,T_Equipos[NombreEquipo],0)))&amp;")")</f>
        <v>P.1 (4)</v>
      </c>
      <c r="CZ42" s="753">
        <f t="shared" ca="1" si="31"/>
        <v>0</v>
      </c>
      <c r="DA42" s="754">
        <f ca="1">CX42+COUNTIFS($CY$6:$CY$53,CY42,$CZ$6:CZ$53,"&gt;"&amp;CZ42,$BC$6:$BC$53,INDEX(T_Equipos[Grupo],MATCH(BD42,T_Equipos[NombreEquipo],0)))</f>
        <v>1</v>
      </c>
      <c r="DB42" s="753" t="str">
        <f ca="1">IF(COUNTIFS($DA$6:$DA$53,DA42,$BC$6:$BC$53,INDEX(T_Equipos[Grupo],MATCH(BD42,T_Equipos[NombreEquipo],0)))=1,"-","P."&amp;DA42&amp;" ("&amp;COUNTIFS($DA$6:$DA$53,DA42,$BC$6:$BC$53,INDEX(T_Equipos[Grupo],MATCH(BD42,T_Equipos[NombreEquipo],0)))&amp;")")</f>
        <v>P.1 (4)</v>
      </c>
      <c r="DC42" s="752">
        <f ca="1">IF(DB42="-","-",COUNTIFS(T_Equipos[Rank],"&lt;"&amp;INDEX(T_Equipos[Rank],MATCH(BD42,T_Equipos[NombreEquipo],0)),$BC$6:$BC$53,INDEX(T_Equipos[Grupo],MATCH(BD42,T_Equipos[NombreEquipo],0)))+1)</f>
        <v>1</v>
      </c>
      <c r="DD42" s="752">
        <f ca="1">DA42+COUNTIFS($DB$6:$DB$53,DB42,$DC$6:DC$53,"&lt;"&amp;DC42,$BC$6:$BC$53,INDEX(T_Equipos[Grupo],MATCH(BD42,T_Equipos[NombreEquipo],0)))</f>
        <v>1</v>
      </c>
      <c r="DE42" s="752"/>
      <c r="DF42" s="752">
        <f t="shared" ca="1" si="52"/>
        <v>1</v>
      </c>
      <c r="DG42" s="752">
        <f ca="1">IF(DB42="-","-",COUNTIFS(DF$6:DF$53,"&lt;"&amp;DF42,$BC$6:$BC$53,INDEX(T_Equipos[Grupo],MATCH(BD42,T_Equipos[NombreEquipo],0))))</f>
        <v>0</v>
      </c>
      <c r="DH42" s="752">
        <f ca="1">DA42+COUNTIFS(DB$6:DB$53,DB42,DG$6:DG$53,"&lt;"&amp;DG42,$BC$6:$BC$53,INDEX(T_Equipos[Grupo],MATCH(BD42,T_Equipos[NombreEquipo],0)))</f>
        <v>1</v>
      </c>
      <c r="DI42" s="740"/>
      <c r="DJ42" s="740">
        <f t="shared" ca="1" si="53"/>
        <v>1</v>
      </c>
      <c r="DK42" s="740">
        <f t="shared" ca="1" si="24"/>
        <v>0</v>
      </c>
      <c r="DL42" s="740">
        <f t="shared" ca="1" si="33"/>
        <v>1</v>
      </c>
      <c r="DM42" s="734" t="str">
        <f t="shared" ca="1" si="34"/>
        <v>1.1</v>
      </c>
      <c r="DN42" s="740" cm="1">
        <f t="array" aca="1" ref="DN42" ca="1">OFFSET(Horarios!$P$3,DJ42-1,0,DL42,1)</f>
        <v>1</v>
      </c>
      <c r="DO42" s="740"/>
      <c r="DP42" s="740" t="s">
        <v>676</v>
      </c>
      <c r="DQ42" s="740" t="str">
        <f t="shared" ca="1" si="35"/>
        <v>Argentina</v>
      </c>
      <c r="DR42" s="740"/>
      <c r="DS42" s="740"/>
      <c r="DT42" s="740" t="str">
        <f t="shared" si="15"/>
        <v>-</v>
      </c>
      <c r="DU42" s="740"/>
      <c r="DV42" s="740"/>
      <c r="DW42" s="8"/>
    </row>
    <row r="43" spans="1:127" ht="15.75" thickBot="1">
      <c r="A43" s="735"/>
      <c r="B43" s="738"/>
      <c r="C43" s="735"/>
      <c r="D43" s="735"/>
      <c r="E43" s="735"/>
      <c r="F43" s="735"/>
      <c r="G43" s="735"/>
      <c r="H43" s="735"/>
      <c r="I43" s="735"/>
      <c r="J43" s="735"/>
      <c r="K43" s="735"/>
      <c r="L43" s="735"/>
      <c r="M43" s="735"/>
      <c r="N43" s="740"/>
      <c r="O43" s="740"/>
      <c r="P43" s="740"/>
      <c r="Q43" s="740"/>
      <c r="R43" s="740"/>
      <c r="S43" s="740"/>
      <c r="T43" s="740"/>
      <c r="U43" s="740"/>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0"/>
      <c r="BC43" s="752" t="str">
        <f ca="1">+INDEX(T_Equipos[Grupo],MATCH(WORLDCUP!BD43,T_Equipos[NombreEquipo],0))</f>
        <v>J</v>
      </c>
      <c r="BD43" s="740" t="str">
        <f ca="1">+Equipos!B39</f>
        <v>Argelia</v>
      </c>
      <c r="BE43" s="744">
        <f t="shared" ca="1" si="25"/>
        <v>0</v>
      </c>
      <c r="BF43" s="744">
        <f t="shared" ca="1" si="26"/>
        <v>0</v>
      </c>
      <c r="BG43" s="744">
        <f t="shared" ca="1" si="17"/>
        <v>0</v>
      </c>
      <c r="BH43" s="744">
        <f t="shared" ca="1" si="18"/>
        <v>0</v>
      </c>
      <c r="BI43" s="744">
        <f t="shared" ca="1" si="19"/>
        <v>0</v>
      </c>
      <c r="BJ43" s="744">
        <f t="shared" ca="1" si="20"/>
        <v>0</v>
      </c>
      <c r="BK43" s="744">
        <f t="shared" ca="1" si="21"/>
        <v>0</v>
      </c>
      <c r="BL43" s="744">
        <f t="shared" ca="1" si="27"/>
        <v>0</v>
      </c>
      <c r="BM43" s="744" t="str">
        <f t="shared" ca="1" si="22"/>
        <v>2J</v>
      </c>
      <c r="BN43" s="744" t="str">
        <f t="shared" ca="1" si="23"/>
        <v>2J</v>
      </c>
      <c r="BO43" s="754">
        <f t="shared" ca="1" si="28"/>
        <v>0</v>
      </c>
      <c r="BP43" s="753">
        <f ca="1">COUNTIFS($BO$6:$BO$53,"&gt;"&amp;BO43,$BC$6:$BC$53,INDEX(T_Equipos[Grupo],MATCH(BD43,T_Equipos[NombreEquipo],0)))+1</f>
        <v>1</v>
      </c>
      <c r="BQ43" s="753" t="str">
        <f ca="1">IF(COUNTIFS($BP$6:$BP$53,BP43,$BC$6:$BC$53,INDEX(T_Equipos[Grupo],MATCH(BD43,T_Equipos[NombreEquipo],0)))=1,"-","P."&amp;BP43&amp;" ("&amp;COUNTIFS($BP$6:$BP$53,BP43,$BC$6:$BC$53,INDEX(T_Equipos[Grupo],MATCH(BD43,T_Equipos[NombreEquipo],0)))&amp;")")</f>
        <v>P.1 (4)</v>
      </c>
      <c r="BR43" s="754">
        <f t="shared" ca="1" si="29"/>
        <v>0</v>
      </c>
      <c r="BS43" s="753">
        <f ca="1">BP43+COUNTIFS($BQ$6:$BQ$53,BQ43,$BR$6:BR$53,"&gt;"&amp;BR43,$BC$6:$BC$53,INDEX(T_Equipos[Grupo],MATCH(BD43,T_Equipos[NombreEquipo],0)))</f>
        <v>1</v>
      </c>
      <c r="BT43" s="753" t="str">
        <f ca="1">IF(COUNTIFS($BS$6:$BS$53,BS43,$BC$6:$BC$53,INDEX(T_Equipos[Grupo],MATCH(BD43,T_Equipos[NombreEquipo],0)))=1,"-","P."&amp;BS43&amp;" ("&amp;COUNTIFS($BS$6:$BS$53,BS43,$BC$6:$BC$53,INDEX(T_Equipos[Grupo],MATCH(BD43,T_Equipos[NombreEquipo],0)))&amp;")")</f>
        <v>P.1 (4)</v>
      </c>
      <c r="BU43" s="754">
        <f t="shared" ca="1" si="36"/>
        <v>0</v>
      </c>
      <c r="BV43" s="754">
        <f t="shared" ca="1" si="37"/>
        <v>0</v>
      </c>
      <c r="BW43" s="754">
        <f t="shared" ca="1" si="38"/>
        <v>0</v>
      </c>
      <c r="BX43" s="754">
        <f t="shared" ca="1" si="39"/>
        <v>0</v>
      </c>
      <c r="BY43" s="754">
        <f ca="1">BS43+COUNTIFS($BT$6:$BT$53,BT43,$BX$6:BX$53,"&gt;"&amp;BX43,$BC$6:$BC$53,INDEX(T_Equipos[Grupo],MATCH(BD43,T_Equipos[NombreEquipo],0)))</f>
        <v>1</v>
      </c>
      <c r="BZ43" s="753" t="str">
        <f ca="1">IF(COUNTIFS($BY$6:$BY$53,BY43,$BC$6:$BC$53,INDEX(T_Equipos[Grupo],MATCH(BD43,T_Equipos[NombreEquipo],0)))=1,"-","P."&amp;BY43&amp;" ("&amp;COUNTIFS($BY$6:$BY$53,BY43,$BC$6:$BC$53,INDEX(T_Equipos[Grupo],MATCH(BD43,T_Equipos[NombreEquipo],0)))&amp;")")</f>
        <v>P.1 (4)</v>
      </c>
      <c r="CA43" s="754">
        <f t="shared" ca="1" si="40"/>
        <v>0</v>
      </c>
      <c r="CB43" s="754">
        <f t="shared" ca="1" si="41"/>
        <v>0</v>
      </c>
      <c r="CC43" s="754">
        <f t="shared" ca="1" si="42"/>
        <v>0</v>
      </c>
      <c r="CD43" s="754">
        <f ca="1">BY43+COUNTIFS($BZ$6:$BZ$53,BZ43,$CC$6:CC$53,"&gt;"&amp;CC43,$BC$6:$BC$53,INDEX(T_Equipos[Grupo],MATCH(BD43,T_Equipos[NombreEquipo],0)))</f>
        <v>1</v>
      </c>
      <c r="CE43" s="753" t="str">
        <f ca="1">IF(COUNTIFS($CD$6:$CD$53,CD43,$BC$6:$BC$53,INDEX(T_Equipos[Grupo],MATCH(BD43,T_Equipos[NombreEquipo],0)))=1,"-","P."&amp;CD43&amp;" ("&amp;COUNTIFS($CD$6:$CD$53,CD43,$BC$6:$BC$53,INDEX(T_Equipos[Grupo],MATCH(BD43,T_Equipos[NombreEquipo],0)))&amp;")")</f>
        <v>P.1 (4)</v>
      </c>
      <c r="CF43" s="754">
        <f t="shared" ca="1" si="43"/>
        <v>0</v>
      </c>
      <c r="CG43" s="754">
        <f ca="1">CD43+COUNTIFS($CE$6:$CE$53,CE43,$CF$6:CF$53,"&gt;"&amp;CF43,$BC$6:$BC$53,INDEX(T_Equipos[Grupo],MATCH(BD43,T_Equipos[NombreEquipo],0)))</f>
        <v>1</v>
      </c>
      <c r="CH43" s="753" t="str">
        <f ca="1">IF(COUNTIFS($CG$6:$CG$53,CG43,$BC$6:$BC$53,INDEX(T_Equipos[Grupo],MATCH(BD43,T_Equipos[NombreEquipo],0)))=1,"-","P."&amp;CG43&amp;" ("&amp;COUNTIFS($CG$6:$CG$53,CG43,$BC$6:$BC$53,INDEX(T_Equipos[Grupo],MATCH(BD43,T_Equipos[NombreEquipo],0)))&amp;")")</f>
        <v>P.1 (4)</v>
      </c>
      <c r="CI43" s="754">
        <f t="shared" ca="1" si="44"/>
        <v>0</v>
      </c>
      <c r="CJ43" s="754">
        <f t="shared" ca="1" si="45"/>
        <v>0</v>
      </c>
      <c r="CK43" s="754">
        <f t="shared" ca="1" si="46"/>
        <v>0</v>
      </c>
      <c r="CL43" s="754">
        <f t="shared" ca="1" si="47"/>
        <v>0</v>
      </c>
      <c r="CM43" s="754">
        <f ca="1">CG43+COUNTIFS($CH$6:$CH$53,CH43,$CL$6:CL$53,"&gt;"&amp;CL43,$BC$6:$BC$53,INDEX(T_Equipos[Grupo],MATCH(BD43,T_Equipos[NombreEquipo],0)))</f>
        <v>1</v>
      </c>
      <c r="CN43" s="753" t="str">
        <f ca="1">IF(COUNTIFS($CM$6:$CM$53,CM43,$BC$6:$BC$53,INDEX(T_Equipos[Grupo],MATCH(BD43,T_Equipos[NombreEquipo],0)))=1,"-","P."&amp;CM43&amp;" ("&amp;COUNTIFS($CM$6:$CM$53,CM43,$BC$6:$BC$53,INDEX(T_Equipos[Grupo],MATCH(BD43,T_Equipos[NombreEquipo],0)))&amp;")")</f>
        <v>P.1 (4)</v>
      </c>
      <c r="CO43" s="754">
        <f t="shared" ca="1" si="48"/>
        <v>0</v>
      </c>
      <c r="CP43" s="754">
        <f t="shared" ca="1" si="49"/>
        <v>0</v>
      </c>
      <c r="CQ43" s="754">
        <f t="shared" ca="1" si="50"/>
        <v>0</v>
      </c>
      <c r="CR43" s="754">
        <f ca="1">CM43+COUNTIFS($CN$6:$CN$53,CN43,$CQ$6:CQ$53,"&gt;"&amp;CQ43,$BC$6:$BC$53,INDEX(T_Equipos[Grupo],MATCH(BD43,T_Equipos[NombreEquipo],0)))</f>
        <v>1</v>
      </c>
      <c r="CS43" s="753" t="str">
        <f ca="1">IF(COUNTIFS($CR$6:$CR$53,CR43,$BC$6:$BC$53,INDEX(T_Equipos[Grupo],MATCH(BD43,T_Equipos[NombreEquipo],0)))=1,"-","P."&amp;CR43&amp;" ("&amp;COUNTIFS($CR$6:$CR$53,CR43,$BC$6:$BC$53,INDEX(T_Equipos[Grupo],MATCH(BD43,T_Equipos[NombreEquipo],0)))&amp;")")</f>
        <v>P.1 (4)</v>
      </c>
      <c r="CT43" s="754">
        <f t="shared" ca="1" si="51"/>
        <v>0</v>
      </c>
      <c r="CU43" s="754">
        <f ca="1">CR43+COUNTIFS($CS$6:$CS$53,CS43,$CT$6:CT$53,"&gt;"&amp;CT43,$BC$6:$BC$53,INDEX(T_Equipos[Grupo],MATCH(BD43,T_Equipos[NombreEquipo],0)))</f>
        <v>1</v>
      </c>
      <c r="CV43" s="753" t="str">
        <f ca="1">IF(COUNTIFS($CU$6:$CU$53,CU43,$BC$6:$BC$53,INDEX(T_Equipos[Grupo],MATCH(BD43,T_Equipos[NombreEquipo],0)))=1,"-","P."&amp;CU43&amp;" ("&amp;COUNTIFS($CU$6:$CU$53,CU43,$BC$6:$BC$53,INDEX(T_Equipos[Grupo],MATCH(BD43,T_Equipos[NombreEquipo],0)))&amp;")")</f>
        <v>P.1 (4)</v>
      </c>
      <c r="CW43" s="753">
        <f t="shared" ca="1" si="30"/>
        <v>0</v>
      </c>
      <c r="CX43" s="753">
        <f ca="1">CU43+COUNTIFS($CV$6:$CV$53,CV43,$CW$6:CW$53,"&gt;"&amp;CW43,$BC$6:$BC$53,INDEX(T_Equipos[Grupo],MATCH(BD43,T_Equipos[NombreEquipo],0)))</f>
        <v>1</v>
      </c>
      <c r="CY43" s="753" t="str">
        <f ca="1">IF(COUNTIFS($CX$6:$CX$53,CX43,$BC$6:$BC$53,INDEX(T_Equipos[Grupo],MATCH(BD43,T_Equipos[NombreEquipo],0)))=1,"-","P."&amp;CX43&amp;" ("&amp;COUNTIFS($CX$6:$CX$53,CX43,$BC$6:$BC$53,INDEX(T_Equipos[Grupo],MATCH(BD43,T_Equipos[NombreEquipo],0)))&amp;")")</f>
        <v>P.1 (4)</v>
      </c>
      <c r="CZ43" s="753">
        <f t="shared" ca="1" si="31"/>
        <v>0</v>
      </c>
      <c r="DA43" s="754">
        <f ca="1">CX43+COUNTIFS($CY$6:$CY$53,CY43,$CZ$6:CZ$53,"&gt;"&amp;CZ43,$BC$6:$BC$53,INDEX(T_Equipos[Grupo],MATCH(BD43,T_Equipos[NombreEquipo],0)))</f>
        <v>1</v>
      </c>
      <c r="DB43" s="753" t="str">
        <f ca="1">IF(COUNTIFS($DA$6:$DA$53,DA43,$BC$6:$BC$53,INDEX(T_Equipos[Grupo],MATCH(BD43,T_Equipos[NombreEquipo],0)))=1,"-","P."&amp;DA43&amp;" ("&amp;COUNTIFS($DA$6:$DA$53,DA43,$BC$6:$BC$53,INDEX(T_Equipos[Grupo],MATCH(BD43,T_Equipos[NombreEquipo],0)))&amp;")")</f>
        <v>P.1 (4)</v>
      </c>
      <c r="DC43" s="752">
        <f ca="1">IF(DB43="-","-",COUNTIFS(T_Equipos[Rank],"&lt;"&amp;INDEX(T_Equipos[Rank],MATCH(BD43,T_Equipos[NombreEquipo],0)),$BC$6:$BC$53,INDEX(T_Equipos[Grupo],MATCH(BD43,T_Equipos[NombreEquipo],0)))+1)</f>
        <v>2</v>
      </c>
      <c r="DD43" s="752">
        <f ca="1">DA43+COUNTIFS($DB$6:$DB$53,DB43,$DC$6:DC$53,"&lt;"&amp;DC43,$BC$6:$BC$53,INDEX(T_Equipos[Grupo],MATCH(BD43,T_Equipos[NombreEquipo],0)))</f>
        <v>2</v>
      </c>
      <c r="DE43" s="752"/>
      <c r="DF43" s="752">
        <f t="shared" ca="1" si="52"/>
        <v>2</v>
      </c>
      <c r="DG43" s="752">
        <f ca="1">IF(DB43="-","-",COUNTIFS(DF$6:DF$53,"&lt;"&amp;DF43,$BC$6:$BC$53,INDEX(T_Equipos[Grupo],MATCH(BD43,T_Equipos[NombreEquipo],0))))</f>
        <v>1</v>
      </c>
      <c r="DH43" s="752">
        <f ca="1">DA43+COUNTIFS(DB$6:DB$53,DB43,DG$6:DG$53,"&lt;"&amp;DG43,$BC$6:$BC$53,INDEX(T_Equipos[Grupo],MATCH(BD43,T_Equipos[NombreEquipo],0)))</f>
        <v>2</v>
      </c>
      <c r="DI43" s="740"/>
      <c r="DJ43" s="740">
        <f t="shared" ca="1" si="53"/>
        <v>1</v>
      </c>
      <c r="DK43" s="740">
        <f t="shared" ca="1" si="24"/>
        <v>0</v>
      </c>
      <c r="DL43" s="740">
        <f t="shared" ca="1" si="33"/>
        <v>1</v>
      </c>
      <c r="DM43" s="734" t="str">
        <f t="shared" ca="1" si="34"/>
        <v>1.1</v>
      </c>
      <c r="DN43" s="740" cm="1">
        <f t="array" aca="1" ref="DN43" ca="1">OFFSET(Horarios!$P$3,DJ43-1,0,DL43,1)</f>
        <v>1</v>
      </c>
      <c r="DO43" s="740"/>
      <c r="DP43" s="740" t="s">
        <v>677</v>
      </c>
      <c r="DQ43" s="740" t="str">
        <f t="shared" ca="1" si="35"/>
        <v>Argelia</v>
      </c>
      <c r="DR43" s="740"/>
      <c r="DS43" s="740"/>
      <c r="DT43" s="740" t="str">
        <f t="shared" si="15"/>
        <v>Casa-Fuera</v>
      </c>
      <c r="DU43" s="740"/>
      <c r="DV43" s="740"/>
      <c r="DW43" s="8"/>
    </row>
    <row r="44" spans="1:127" ht="15.95" customHeight="1" thickBot="1">
      <c r="A44" s="737" t="s">
        <v>30</v>
      </c>
      <c r="B44" s="738" t="s">
        <v>4</v>
      </c>
      <c r="C44" s="739">
        <f>COUNTIF(Equipos!$C$2:$C$49,WORLDCUP!B44)</f>
        <v>4</v>
      </c>
      <c r="D44" s="740" t="str">
        <f t="shared" ref="D44:D50" si="136">IF(OR(AC44="",AD44=""),"Pendiente",IF(AC44&gt;AD44,"Local",IF(AC44&lt;AD44,"Visitante","Empate")))</f>
        <v>Pendiente</v>
      </c>
      <c r="E44" s="740" t="str">
        <f t="shared" ref="E44:E49" si="137">IF(D44="Pendiente","-",INDEX($BT$6:$BT$53,MATCH($AA44,$BD$6:$BD$53,0)))</f>
        <v>-</v>
      </c>
      <c r="F44" s="740" t="str">
        <f t="shared" ref="F44:F49" si="138">IF(D44="Pendiente","-",INDEX($BT$6:$BT$53,MATCH($AF44,$BD$6:$BD$53,0)))</f>
        <v>-</v>
      </c>
      <c r="G44" s="740"/>
      <c r="H44" s="740" t="str">
        <f t="shared" ref="H44:H49" si="139">IF(D44="Pendiente","-",INDEX($BZ$6:$BZ$53,MATCH($AA44,$BD$6:$BD$53,0)))</f>
        <v>-</v>
      </c>
      <c r="I44" s="740" t="str">
        <f t="shared" ref="I44:I49" si="140">IF(D44="Pendiente","-",INDEX($BZ$6:$BZ$53,MATCH($AF44,$BD$6:$BD$53,0)))</f>
        <v>-</v>
      </c>
      <c r="J44" s="740"/>
      <c r="K44" s="740" t="str">
        <f t="shared" ref="K44:K49" si="141">IF(D44="Pendiente","-",INDEX($CE$6:$CE$53,MATCH($AA44,$BD$6:$BD$53,0)))</f>
        <v>-</v>
      </c>
      <c r="L44" s="740" t="str">
        <f t="shared" ref="L44:L49" si="142">IF(D44="Pendiente","-",INDEX($CE$6:$CE$53,MATCH($AF44,$BD$6:$BD$53,0)))</f>
        <v>-</v>
      </c>
      <c r="M44" s="740"/>
      <c r="N44" s="740" t="str">
        <f t="shared" ref="N44:N49" si="143">IF(D44="Pendiente","-",INDEX($CH$6:$CH$53,MATCH($AA44,$BD$6:$BD$53,0)))</f>
        <v>-</v>
      </c>
      <c r="O44" s="740" t="str">
        <f t="shared" ref="O44:O49" si="144">IF(D44="Pendiente","-",INDEX($CH$6:$CH$53,MATCH($AF44,$BD$6:$BD$53,0)))</f>
        <v>-</v>
      </c>
      <c r="P44" s="740"/>
      <c r="Q44" s="740" t="str">
        <f t="shared" ref="Q44:Q49" si="145">IF(D44="Pendiente","-",INDEX($CN$6:$CN$53,MATCH($AA44,$BD$6:$BD$53,0)))</f>
        <v>-</v>
      </c>
      <c r="R44" s="740" t="str">
        <f t="shared" ref="R44:R49" si="146">IF(D44="Pendiente","-",INDEX($CN$6:$CN$53,MATCH($AF44,$BD$6:$BD$53,0)))</f>
        <v>-</v>
      </c>
      <c r="S44" s="740"/>
      <c r="T44" s="740" t="str">
        <f t="shared" ref="T44:T49" si="147">IF(D44="Pendiente","-",INDEX($CS$6:$CS$53,MATCH($AA44,$BD$6:$BD$53,0)))</f>
        <v>-</v>
      </c>
      <c r="U44" s="740" t="str">
        <f t="shared" ref="U44:U49" si="148">IF(D44="Pendiente","-",INDEX($CS$6:$CS$53,MATCH($AF44,$BD$6:$BD$53,0)))</f>
        <v>-</v>
      </c>
      <c r="V44" s="172"/>
      <c r="W44" s="904" t="s">
        <v>4</v>
      </c>
      <c r="X44" s="189">
        <f ca="1">Horarios!C44</f>
        <v>46187.666666666664</v>
      </c>
      <c r="Y44" s="190">
        <f ca="1">Horarios!C44</f>
        <v>46187.666666666664</v>
      </c>
      <c r="Z44" s="191" t="str">
        <f>$Z$4</f>
        <v>J1</v>
      </c>
      <c r="AA44" s="192" t="str">
        <f ca="1">A45</f>
        <v>Países Bajos</v>
      </c>
      <c r="AB44" s="477" t="str" cm="1">
        <f t="array" aca="1" ref="AB44" ca="1">Ver_flag_local</f>
        <v/>
      </c>
      <c r="AC44" s="193"/>
      <c r="AD44" s="194"/>
      <c r="AE44" s="482"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0"/>
      <c r="BC44" s="752" t="str">
        <f ca="1">+INDEX(T_Equipos[Grupo],MATCH(WORLDCUP!BD44,T_Equipos[NombreEquipo],0))</f>
        <v>J</v>
      </c>
      <c r="BD44" s="740" t="str">
        <f ca="1">+Equipos!B40</f>
        <v>Austria</v>
      </c>
      <c r="BE44" s="744">
        <f t="shared" ca="1" si="25"/>
        <v>0</v>
      </c>
      <c r="BF44" s="744">
        <f t="shared" ca="1" si="26"/>
        <v>0</v>
      </c>
      <c r="BG44" s="744">
        <f t="shared" ca="1" si="17"/>
        <v>0</v>
      </c>
      <c r="BH44" s="744">
        <f t="shared" ca="1" si="18"/>
        <v>0</v>
      </c>
      <c r="BI44" s="744">
        <f t="shared" ca="1" si="19"/>
        <v>0</v>
      </c>
      <c r="BJ44" s="744">
        <f t="shared" ca="1" si="20"/>
        <v>0</v>
      </c>
      <c r="BK44" s="744">
        <f t="shared" ca="1" si="21"/>
        <v>0</v>
      </c>
      <c r="BL44" s="744">
        <f t="shared" ca="1" si="27"/>
        <v>0</v>
      </c>
      <c r="BM44" s="744" t="str">
        <f t="shared" ca="1" si="22"/>
        <v>3J</v>
      </c>
      <c r="BN44" s="744" t="str">
        <f t="shared" ca="1" si="23"/>
        <v>3J</v>
      </c>
      <c r="BO44" s="754">
        <f t="shared" ca="1" si="28"/>
        <v>0</v>
      </c>
      <c r="BP44" s="753">
        <f ca="1">COUNTIFS($BO$6:$BO$53,"&gt;"&amp;BO44,$BC$6:$BC$53,INDEX(T_Equipos[Grupo],MATCH(BD44,T_Equipos[NombreEquipo],0)))+1</f>
        <v>1</v>
      </c>
      <c r="BQ44" s="753" t="str">
        <f ca="1">IF(COUNTIFS($BP$6:$BP$53,BP44,$BC$6:$BC$53,INDEX(T_Equipos[Grupo],MATCH(BD44,T_Equipos[NombreEquipo],0)))=1,"-","P."&amp;BP44&amp;" ("&amp;COUNTIFS($BP$6:$BP$53,BP44,$BC$6:$BC$53,INDEX(T_Equipos[Grupo],MATCH(BD44,T_Equipos[NombreEquipo],0)))&amp;")")</f>
        <v>P.1 (4)</v>
      </c>
      <c r="BR44" s="754">
        <f t="shared" ca="1" si="29"/>
        <v>0</v>
      </c>
      <c r="BS44" s="753">
        <f ca="1">BP44+COUNTIFS($BQ$6:$BQ$53,BQ44,$BR$6:BR$53,"&gt;"&amp;BR44,$BC$6:$BC$53,INDEX(T_Equipos[Grupo],MATCH(BD44,T_Equipos[NombreEquipo],0)))</f>
        <v>1</v>
      </c>
      <c r="BT44" s="753" t="str">
        <f ca="1">IF(COUNTIFS($BS$6:$BS$53,BS44,$BC$6:$BC$53,INDEX(T_Equipos[Grupo],MATCH(BD44,T_Equipos[NombreEquipo],0)))=1,"-","P."&amp;BS44&amp;" ("&amp;COUNTIFS($BS$6:$BS$53,BS44,$BC$6:$BC$53,INDEX(T_Equipos[Grupo],MATCH(BD44,T_Equipos[NombreEquipo],0)))&amp;")")</f>
        <v>P.1 (4)</v>
      </c>
      <c r="BU44" s="754">
        <f t="shared" ca="1" si="36"/>
        <v>0</v>
      </c>
      <c r="BV44" s="754">
        <f t="shared" ca="1" si="37"/>
        <v>0</v>
      </c>
      <c r="BW44" s="754">
        <f t="shared" ca="1" si="38"/>
        <v>0</v>
      </c>
      <c r="BX44" s="754">
        <f t="shared" ca="1" si="39"/>
        <v>0</v>
      </c>
      <c r="BY44" s="754">
        <f ca="1">BS44+COUNTIFS($BT$6:$BT$53,BT44,$BX$6:BX$53,"&gt;"&amp;BX44,$BC$6:$BC$53,INDEX(T_Equipos[Grupo],MATCH(BD44,T_Equipos[NombreEquipo],0)))</f>
        <v>1</v>
      </c>
      <c r="BZ44" s="753" t="str">
        <f ca="1">IF(COUNTIFS($BY$6:$BY$53,BY44,$BC$6:$BC$53,INDEX(T_Equipos[Grupo],MATCH(BD44,T_Equipos[NombreEquipo],0)))=1,"-","P."&amp;BY44&amp;" ("&amp;COUNTIFS($BY$6:$BY$53,BY44,$BC$6:$BC$53,INDEX(T_Equipos[Grupo],MATCH(BD44,T_Equipos[NombreEquipo],0)))&amp;")")</f>
        <v>P.1 (4)</v>
      </c>
      <c r="CA44" s="754">
        <f t="shared" ca="1" si="40"/>
        <v>0</v>
      </c>
      <c r="CB44" s="754">
        <f t="shared" ca="1" si="41"/>
        <v>0</v>
      </c>
      <c r="CC44" s="754">
        <f t="shared" ca="1" si="42"/>
        <v>0</v>
      </c>
      <c r="CD44" s="754">
        <f ca="1">BY44+COUNTIFS($BZ$6:$BZ$53,BZ44,$CC$6:CC$53,"&gt;"&amp;CC44,$BC$6:$BC$53,INDEX(T_Equipos[Grupo],MATCH(BD44,T_Equipos[NombreEquipo],0)))</f>
        <v>1</v>
      </c>
      <c r="CE44" s="753" t="str">
        <f ca="1">IF(COUNTIFS($CD$6:$CD$53,CD44,$BC$6:$BC$53,INDEX(T_Equipos[Grupo],MATCH(BD44,T_Equipos[NombreEquipo],0)))=1,"-","P."&amp;CD44&amp;" ("&amp;COUNTIFS($CD$6:$CD$53,CD44,$BC$6:$BC$53,INDEX(T_Equipos[Grupo],MATCH(BD44,T_Equipos[NombreEquipo],0)))&amp;")")</f>
        <v>P.1 (4)</v>
      </c>
      <c r="CF44" s="754">
        <f t="shared" ca="1" si="43"/>
        <v>0</v>
      </c>
      <c r="CG44" s="754">
        <f ca="1">CD44+COUNTIFS($CE$6:$CE$53,CE44,$CF$6:CF$53,"&gt;"&amp;CF44,$BC$6:$BC$53,INDEX(T_Equipos[Grupo],MATCH(BD44,T_Equipos[NombreEquipo],0)))</f>
        <v>1</v>
      </c>
      <c r="CH44" s="753" t="str">
        <f ca="1">IF(COUNTIFS($CG$6:$CG$53,CG44,$BC$6:$BC$53,INDEX(T_Equipos[Grupo],MATCH(BD44,T_Equipos[NombreEquipo],0)))=1,"-","P."&amp;CG44&amp;" ("&amp;COUNTIFS($CG$6:$CG$53,CG44,$BC$6:$BC$53,INDEX(T_Equipos[Grupo],MATCH(BD44,T_Equipos[NombreEquipo],0)))&amp;")")</f>
        <v>P.1 (4)</v>
      </c>
      <c r="CI44" s="754">
        <f t="shared" ca="1" si="44"/>
        <v>0</v>
      </c>
      <c r="CJ44" s="754">
        <f t="shared" ca="1" si="45"/>
        <v>0</v>
      </c>
      <c r="CK44" s="754">
        <f t="shared" ca="1" si="46"/>
        <v>0</v>
      </c>
      <c r="CL44" s="754">
        <f t="shared" ca="1" si="47"/>
        <v>0</v>
      </c>
      <c r="CM44" s="754">
        <f ca="1">CG44+COUNTIFS($CH$6:$CH$53,CH44,$CL$6:CL$53,"&gt;"&amp;CL44,$BC$6:$BC$53,INDEX(T_Equipos[Grupo],MATCH(BD44,T_Equipos[NombreEquipo],0)))</f>
        <v>1</v>
      </c>
      <c r="CN44" s="753" t="str">
        <f ca="1">IF(COUNTIFS($CM$6:$CM$53,CM44,$BC$6:$BC$53,INDEX(T_Equipos[Grupo],MATCH(BD44,T_Equipos[NombreEquipo],0)))=1,"-","P."&amp;CM44&amp;" ("&amp;COUNTIFS($CM$6:$CM$53,CM44,$BC$6:$BC$53,INDEX(T_Equipos[Grupo],MATCH(BD44,T_Equipos[NombreEquipo],0)))&amp;")")</f>
        <v>P.1 (4)</v>
      </c>
      <c r="CO44" s="754">
        <f t="shared" ca="1" si="48"/>
        <v>0</v>
      </c>
      <c r="CP44" s="754">
        <f t="shared" ca="1" si="49"/>
        <v>0</v>
      </c>
      <c r="CQ44" s="754">
        <f t="shared" ca="1" si="50"/>
        <v>0</v>
      </c>
      <c r="CR44" s="754">
        <f ca="1">CM44+COUNTIFS($CN$6:$CN$53,CN44,$CQ$6:CQ$53,"&gt;"&amp;CQ44,$BC$6:$BC$53,INDEX(T_Equipos[Grupo],MATCH(BD44,T_Equipos[NombreEquipo],0)))</f>
        <v>1</v>
      </c>
      <c r="CS44" s="753" t="str">
        <f ca="1">IF(COUNTIFS($CR$6:$CR$53,CR44,$BC$6:$BC$53,INDEX(T_Equipos[Grupo],MATCH(BD44,T_Equipos[NombreEquipo],0)))=1,"-","P."&amp;CR44&amp;" ("&amp;COUNTIFS($CR$6:$CR$53,CR44,$BC$6:$BC$53,INDEX(T_Equipos[Grupo],MATCH(BD44,T_Equipos[NombreEquipo],0)))&amp;")")</f>
        <v>P.1 (4)</v>
      </c>
      <c r="CT44" s="754">
        <f t="shared" ca="1" si="51"/>
        <v>0</v>
      </c>
      <c r="CU44" s="754">
        <f ca="1">CR44+COUNTIFS($CS$6:$CS$53,CS44,$CT$6:CT$53,"&gt;"&amp;CT44,$BC$6:$BC$53,INDEX(T_Equipos[Grupo],MATCH(BD44,T_Equipos[NombreEquipo],0)))</f>
        <v>1</v>
      </c>
      <c r="CV44" s="753" t="str">
        <f ca="1">IF(COUNTIFS($CU$6:$CU$53,CU44,$BC$6:$BC$53,INDEX(T_Equipos[Grupo],MATCH(BD44,T_Equipos[NombreEquipo],0)))=1,"-","P."&amp;CU44&amp;" ("&amp;COUNTIFS($CU$6:$CU$53,CU44,$BC$6:$BC$53,INDEX(T_Equipos[Grupo],MATCH(BD44,T_Equipos[NombreEquipo],0)))&amp;")")</f>
        <v>P.1 (4)</v>
      </c>
      <c r="CW44" s="753">
        <f t="shared" ca="1" si="30"/>
        <v>0</v>
      </c>
      <c r="CX44" s="753">
        <f ca="1">CU44+COUNTIFS($CV$6:$CV$53,CV44,$CW$6:CW$53,"&gt;"&amp;CW44,$BC$6:$BC$53,INDEX(T_Equipos[Grupo],MATCH(BD44,T_Equipos[NombreEquipo],0)))</f>
        <v>1</v>
      </c>
      <c r="CY44" s="753" t="str">
        <f ca="1">IF(COUNTIFS($CX$6:$CX$53,CX44,$BC$6:$BC$53,INDEX(T_Equipos[Grupo],MATCH(BD44,T_Equipos[NombreEquipo],0)))=1,"-","P."&amp;CX44&amp;" ("&amp;COUNTIFS($CX$6:$CX$53,CX44,$BC$6:$BC$53,INDEX(T_Equipos[Grupo],MATCH(BD44,T_Equipos[NombreEquipo],0)))&amp;")")</f>
        <v>P.1 (4)</v>
      </c>
      <c r="CZ44" s="753">
        <f t="shared" ca="1" si="31"/>
        <v>0</v>
      </c>
      <c r="DA44" s="754">
        <f ca="1">CX44+COUNTIFS($CY$6:$CY$53,CY44,$CZ$6:CZ$53,"&gt;"&amp;CZ44,$BC$6:$BC$53,INDEX(T_Equipos[Grupo],MATCH(BD44,T_Equipos[NombreEquipo],0)))</f>
        <v>1</v>
      </c>
      <c r="DB44" s="753" t="str">
        <f ca="1">IF(COUNTIFS($DA$6:$DA$53,DA44,$BC$6:$BC$53,INDEX(T_Equipos[Grupo],MATCH(BD44,T_Equipos[NombreEquipo],0)))=1,"-","P."&amp;DA44&amp;" ("&amp;COUNTIFS($DA$6:$DA$53,DA44,$BC$6:$BC$53,INDEX(T_Equipos[Grupo],MATCH(BD44,T_Equipos[NombreEquipo],0)))&amp;")")</f>
        <v>P.1 (4)</v>
      </c>
      <c r="DC44" s="752">
        <f ca="1">IF(DB44="-","-",COUNTIFS(T_Equipos[Rank],"&lt;"&amp;INDEX(T_Equipos[Rank],MATCH(BD44,T_Equipos[NombreEquipo],0)),$BC$6:$BC$53,INDEX(T_Equipos[Grupo],MATCH(BD44,T_Equipos[NombreEquipo],0)))+1)</f>
        <v>3</v>
      </c>
      <c r="DD44" s="752">
        <f ca="1">DA44+COUNTIFS($DB$6:$DB$53,DB44,$DC$6:DC$53,"&lt;"&amp;DC44,$BC$6:$BC$53,INDEX(T_Equipos[Grupo],MATCH(BD44,T_Equipos[NombreEquipo],0)))</f>
        <v>3</v>
      </c>
      <c r="DE44" s="752"/>
      <c r="DF44" s="752">
        <f t="shared" ca="1" si="52"/>
        <v>3</v>
      </c>
      <c r="DG44" s="752">
        <f ca="1">IF(DB44="-","-",COUNTIFS(DF$6:DF$53,"&lt;"&amp;DF44,$BC$6:$BC$53,INDEX(T_Equipos[Grupo],MATCH(BD44,T_Equipos[NombreEquipo],0))))</f>
        <v>2</v>
      </c>
      <c r="DH44" s="752">
        <f ca="1">DA44+COUNTIFS(DB$6:DB$53,DB44,DG$6:DG$53,"&lt;"&amp;DG44,$BC$6:$BC$53,INDEX(T_Equipos[Grupo],MATCH(BD44,T_Equipos[NombreEquipo],0)))</f>
        <v>3</v>
      </c>
      <c r="DI44" s="740"/>
      <c r="DJ44" s="740">
        <f t="shared" ca="1" si="53"/>
        <v>1</v>
      </c>
      <c r="DK44" s="740">
        <f t="shared" ca="1" si="24"/>
        <v>0</v>
      </c>
      <c r="DL44" s="740">
        <f t="shared" ca="1" si="33"/>
        <v>1</v>
      </c>
      <c r="DM44" s="734" t="str">
        <f t="shared" ca="1" si="34"/>
        <v>1.1</v>
      </c>
      <c r="DN44" s="740" cm="1">
        <f t="array" aca="1" ref="DN44" ca="1">OFFSET(Horarios!$P$3,DJ44-1,0,DL44,1)</f>
        <v>1</v>
      </c>
      <c r="DO44" s="740"/>
      <c r="DP44" s="740" t="s">
        <v>441</v>
      </c>
      <c r="DQ44" s="740" t="str">
        <f t="shared" ca="1" si="35"/>
        <v>Austria</v>
      </c>
      <c r="DR44" s="740"/>
      <c r="DS44" s="740"/>
      <c r="DT44" s="740" t="str">
        <f t="shared" ca="1" si="15"/>
        <v>Países Bajos-Japón</v>
      </c>
      <c r="DU44" s="740"/>
      <c r="DV44" s="740"/>
      <c r="DW44" s="8"/>
    </row>
    <row r="45" spans="1:127" ht="15.95" customHeight="1">
      <c r="A45" s="741" t="str">
        <f ca="1">+Equipos!B22</f>
        <v>Países Bajos</v>
      </c>
      <c r="B45" s="738"/>
      <c r="C45" s="738"/>
      <c r="D45" s="740" t="str">
        <f t="shared" si="136"/>
        <v>Pendiente</v>
      </c>
      <c r="E45" s="740" t="str">
        <f t="shared" si="137"/>
        <v>-</v>
      </c>
      <c r="F45" s="740" t="str">
        <f t="shared" si="138"/>
        <v>-</v>
      </c>
      <c r="G45" s="740"/>
      <c r="H45" s="740" t="str">
        <f t="shared" si="139"/>
        <v>-</v>
      </c>
      <c r="I45" s="740" t="str">
        <f t="shared" si="140"/>
        <v>-</v>
      </c>
      <c r="J45" s="740"/>
      <c r="K45" s="740" t="str">
        <f t="shared" si="141"/>
        <v>-</v>
      </c>
      <c r="L45" s="740" t="str">
        <f t="shared" si="142"/>
        <v>-</v>
      </c>
      <c r="M45" s="740"/>
      <c r="N45" s="740" t="str">
        <f t="shared" si="143"/>
        <v>-</v>
      </c>
      <c r="O45" s="740" t="str">
        <f t="shared" si="144"/>
        <v>-</v>
      </c>
      <c r="P45" s="740"/>
      <c r="Q45" s="740" t="str">
        <f t="shared" si="145"/>
        <v>-</v>
      </c>
      <c r="R45" s="740" t="str">
        <f t="shared" si="146"/>
        <v>-</v>
      </c>
      <c r="S45" s="740"/>
      <c r="T45" s="740" t="str">
        <f t="shared" si="147"/>
        <v>-</v>
      </c>
      <c r="U45" s="740" t="str">
        <f t="shared" si="148"/>
        <v>-</v>
      </c>
      <c r="V45" s="172"/>
      <c r="W45" s="904"/>
      <c r="X45" s="189">
        <f ca="1">Horarios!C45</f>
        <v>46187.916666666664</v>
      </c>
      <c r="Y45" s="190">
        <f ca="1">Horarios!C45</f>
        <v>46187.916666666664</v>
      </c>
      <c r="Z45" s="191" t="str">
        <f>$Z$4</f>
        <v>J1</v>
      </c>
      <c r="AA45" s="192" t="str">
        <f ca="1">A47</f>
        <v>Suecia</v>
      </c>
      <c r="AB45" s="477" t="str" cm="1">
        <f t="array" aca="1" ref="AB45" ca="1">Ver_flag_local</f>
        <v/>
      </c>
      <c r="AC45" s="193"/>
      <c r="AD45" s="194"/>
      <c r="AE45" s="482"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0"/>
      <c r="BC45" s="752" t="str">
        <f ca="1">+INDEX(T_Equipos[Grupo],MATCH(WORLDCUP!BD45,T_Equipos[NombreEquipo],0))</f>
        <v>J</v>
      </c>
      <c r="BD45" s="740" t="str">
        <f ca="1">+Equipos!B41</f>
        <v>Jordania</v>
      </c>
      <c r="BE45" s="744">
        <f t="shared" ca="1" si="25"/>
        <v>0</v>
      </c>
      <c r="BF45" s="744">
        <f t="shared" ca="1" si="26"/>
        <v>0</v>
      </c>
      <c r="BG45" s="744">
        <f t="shared" ca="1" si="17"/>
        <v>0</v>
      </c>
      <c r="BH45" s="744">
        <f t="shared" ca="1" si="18"/>
        <v>0</v>
      </c>
      <c r="BI45" s="744">
        <f t="shared" ca="1" si="19"/>
        <v>0</v>
      </c>
      <c r="BJ45" s="744">
        <f t="shared" ca="1" si="20"/>
        <v>0</v>
      </c>
      <c r="BK45" s="744">
        <f t="shared" ca="1" si="21"/>
        <v>0</v>
      </c>
      <c r="BL45" s="744">
        <f t="shared" ca="1" si="27"/>
        <v>0</v>
      </c>
      <c r="BM45" s="744" t="str">
        <f t="shared" ca="1" si="22"/>
        <v>4J</v>
      </c>
      <c r="BN45" s="744" t="str">
        <f t="shared" ca="1" si="23"/>
        <v>4J</v>
      </c>
      <c r="BO45" s="754">
        <f t="shared" ca="1" si="28"/>
        <v>0</v>
      </c>
      <c r="BP45" s="753">
        <f ca="1">COUNTIFS($BO$6:$BO$53,"&gt;"&amp;BO45,$BC$6:$BC$53,INDEX(T_Equipos[Grupo],MATCH(BD45,T_Equipos[NombreEquipo],0)))+1</f>
        <v>1</v>
      </c>
      <c r="BQ45" s="753" t="str">
        <f ca="1">IF(COUNTIFS($BP$6:$BP$53,BP45,$BC$6:$BC$53,INDEX(T_Equipos[Grupo],MATCH(BD45,T_Equipos[NombreEquipo],0)))=1,"-","P."&amp;BP45&amp;" ("&amp;COUNTIFS($BP$6:$BP$53,BP45,$BC$6:$BC$53,INDEX(T_Equipos[Grupo],MATCH(BD45,T_Equipos[NombreEquipo],0)))&amp;")")</f>
        <v>P.1 (4)</v>
      </c>
      <c r="BR45" s="754">
        <f t="shared" ca="1" si="29"/>
        <v>0</v>
      </c>
      <c r="BS45" s="753">
        <f ca="1">BP45+COUNTIFS($BQ$6:$BQ$53,BQ45,$BR$6:BR$53,"&gt;"&amp;BR45,$BC$6:$BC$53,INDEX(T_Equipos[Grupo],MATCH(BD45,T_Equipos[NombreEquipo],0)))</f>
        <v>1</v>
      </c>
      <c r="BT45" s="753" t="str">
        <f ca="1">IF(COUNTIFS($BS$6:$BS$53,BS45,$BC$6:$BC$53,INDEX(T_Equipos[Grupo],MATCH(BD45,T_Equipos[NombreEquipo],0)))=1,"-","P."&amp;BS45&amp;" ("&amp;COUNTIFS($BS$6:$BS$53,BS45,$BC$6:$BC$53,INDEX(T_Equipos[Grupo],MATCH(BD45,T_Equipos[NombreEquipo],0)))&amp;")")</f>
        <v>P.1 (4)</v>
      </c>
      <c r="BU45" s="754">
        <f t="shared" ca="1" si="36"/>
        <v>0</v>
      </c>
      <c r="BV45" s="754">
        <f t="shared" ca="1" si="37"/>
        <v>0</v>
      </c>
      <c r="BW45" s="754">
        <f t="shared" ca="1" si="38"/>
        <v>0</v>
      </c>
      <c r="BX45" s="754">
        <f t="shared" ca="1" si="39"/>
        <v>0</v>
      </c>
      <c r="BY45" s="754">
        <f ca="1">BS45+COUNTIFS($BT$6:$BT$53,BT45,$BX$6:BX$53,"&gt;"&amp;BX45,$BC$6:$BC$53,INDEX(T_Equipos[Grupo],MATCH(BD45,T_Equipos[NombreEquipo],0)))</f>
        <v>1</v>
      </c>
      <c r="BZ45" s="753" t="str">
        <f ca="1">IF(COUNTIFS($BY$6:$BY$53,BY45,$BC$6:$BC$53,INDEX(T_Equipos[Grupo],MATCH(BD45,T_Equipos[NombreEquipo],0)))=1,"-","P."&amp;BY45&amp;" ("&amp;COUNTIFS($BY$6:$BY$53,BY45,$BC$6:$BC$53,INDEX(T_Equipos[Grupo],MATCH(BD45,T_Equipos[NombreEquipo],0)))&amp;")")</f>
        <v>P.1 (4)</v>
      </c>
      <c r="CA45" s="754">
        <f t="shared" ca="1" si="40"/>
        <v>0</v>
      </c>
      <c r="CB45" s="754">
        <f t="shared" ca="1" si="41"/>
        <v>0</v>
      </c>
      <c r="CC45" s="754">
        <f t="shared" ca="1" si="42"/>
        <v>0</v>
      </c>
      <c r="CD45" s="754">
        <f ca="1">BY45+COUNTIFS($BZ$6:$BZ$53,BZ45,$CC$6:CC$53,"&gt;"&amp;CC45,$BC$6:$BC$53,INDEX(T_Equipos[Grupo],MATCH(BD45,T_Equipos[NombreEquipo],0)))</f>
        <v>1</v>
      </c>
      <c r="CE45" s="753" t="str">
        <f ca="1">IF(COUNTIFS($CD$6:$CD$53,CD45,$BC$6:$BC$53,INDEX(T_Equipos[Grupo],MATCH(BD45,T_Equipos[NombreEquipo],0)))=1,"-","P."&amp;CD45&amp;" ("&amp;COUNTIFS($CD$6:$CD$53,CD45,$BC$6:$BC$53,INDEX(T_Equipos[Grupo],MATCH(BD45,T_Equipos[NombreEquipo],0)))&amp;")")</f>
        <v>P.1 (4)</v>
      </c>
      <c r="CF45" s="754">
        <f t="shared" ca="1" si="43"/>
        <v>0</v>
      </c>
      <c r="CG45" s="754">
        <f ca="1">CD45+COUNTIFS($CE$6:$CE$53,CE45,$CF$6:CF$53,"&gt;"&amp;CF45,$BC$6:$BC$53,INDEX(T_Equipos[Grupo],MATCH(BD45,T_Equipos[NombreEquipo],0)))</f>
        <v>1</v>
      </c>
      <c r="CH45" s="753" t="str">
        <f ca="1">IF(COUNTIFS($CG$6:$CG$53,CG45,$BC$6:$BC$53,INDEX(T_Equipos[Grupo],MATCH(BD45,T_Equipos[NombreEquipo],0)))=1,"-","P."&amp;CG45&amp;" ("&amp;COUNTIFS($CG$6:$CG$53,CG45,$BC$6:$BC$53,INDEX(T_Equipos[Grupo],MATCH(BD45,T_Equipos[NombreEquipo],0)))&amp;")")</f>
        <v>P.1 (4)</v>
      </c>
      <c r="CI45" s="754">
        <f t="shared" ca="1" si="44"/>
        <v>0</v>
      </c>
      <c r="CJ45" s="754">
        <f t="shared" ca="1" si="45"/>
        <v>0</v>
      </c>
      <c r="CK45" s="754">
        <f t="shared" ca="1" si="46"/>
        <v>0</v>
      </c>
      <c r="CL45" s="754">
        <f t="shared" ca="1" si="47"/>
        <v>0</v>
      </c>
      <c r="CM45" s="754">
        <f ca="1">CG45+COUNTIFS($CH$6:$CH$53,CH45,$CL$6:CL$53,"&gt;"&amp;CL45,$BC$6:$BC$53,INDEX(T_Equipos[Grupo],MATCH(BD45,T_Equipos[NombreEquipo],0)))</f>
        <v>1</v>
      </c>
      <c r="CN45" s="753" t="str">
        <f ca="1">IF(COUNTIFS($CM$6:$CM$53,CM45,$BC$6:$BC$53,INDEX(T_Equipos[Grupo],MATCH(BD45,T_Equipos[NombreEquipo],0)))=1,"-","P."&amp;CM45&amp;" ("&amp;COUNTIFS($CM$6:$CM$53,CM45,$BC$6:$BC$53,INDEX(T_Equipos[Grupo],MATCH(BD45,T_Equipos[NombreEquipo],0)))&amp;")")</f>
        <v>P.1 (4)</v>
      </c>
      <c r="CO45" s="754">
        <f t="shared" ca="1" si="48"/>
        <v>0</v>
      </c>
      <c r="CP45" s="754">
        <f t="shared" ca="1" si="49"/>
        <v>0</v>
      </c>
      <c r="CQ45" s="754">
        <f t="shared" ca="1" si="50"/>
        <v>0</v>
      </c>
      <c r="CR45" s="754">
        <f ca="1">CM45+COUNTIFS($CN$6:$CN$53,CN45,$CQ$6:CQ$53,"&gt;"&amp;CQ45,$BC$6:$BC$53,INDEX(T_Equipos[Grupo],MATCH(BD45,T_Equipos[NombreEquipo],0)))</f>
        <v>1</v>
      </c>
      <c r="CS45" s="753" t="str">
        <f ca="1">IF(COUNTIFS($CR$6:$CR$53,CR45,$BC$6:$BC$53,INDEX(T_Equipos[Grupo],MATCH(BD45,T_Equipos[NombreEquipo],0)))=1,"-","P."&amp;CR45&amp;" ("&amp;COUNTIFS($CR$6:$CR$53,CR45,$BC$6:$BC$53,INDEX(T_Equipos[Grupo],MATCH(BD45,T_Equipos[NombreEquipo],0)))&amp;")")</f>
        <v>P.1 (4)</v>
      </c>
      <c r="CT45" s="754">
        <f t="shared" ca="1" si="51"/>
        <v>0</v>
      </c>
      <c r="CU45" s="754">
        <f ca="1">CR45+COUNTIFS($CS$6:$CS$53,CS45,$CT$6:CT$53,"&gt;"&amp;CT45,$BC$6:$BC$53,INDEX(T_Equipos[Grupo],MATCH(BD45,T_Equipos[NombreEquipo],0)))</f>
        <v>1</v>
      </c>
      <c r="CV45" s="753" t="str">
        <f ca="1">IF(COUNTIFS($CU$6:$CU$53,CU45,$BC$6:$BC$53,INDEX(T_Equipos[Grupo],MATCH(BD45,T_Equipos[NombreEquipo],0)))=1,"-","P."&amp;CU45&amp;" ("&amp;COUNTIFS($CU$6:$CU$53,CU45,$BC$6:$BC$53,INDEX(T_Equipos[Grupo],MATCH(BD45,T_Equipos[NombreEquipo],0)))&amp;")")</f>
        <v>P.1 (4)</v>
      </c>
      <c r="CW45" s="753">
        <f t="shared" ca="1" si="30"/>
        <v>0</v>
      </c>
      <c r="CX45" s="753">
        <f ca="1">CU45+COUNTIFS($CV$6:$CV$53,CV45,$CW$6:CW$53,"&gt;"&amp;CW45,$BC$6:$BC$53,INDEX(T_Equipos[Grupo],MATCH(BD45,T_Equipos[NombreEquipo],0)))</f>
        <v>1</v>
      </c>
      <c r="CY45" s="753" t="str">
        <f ca="1">IF(COUNTIFS($CX$6:$CX$53,CX45,$BC$6:$BC$53,INDEX(T_Equipos[Grupo],MATCH(BD45,T_Equipos[NombreEquipo],0)))=1,"-","P."&amp;CX45&amp;" ("&amp;COUNTIFS($CX$6:$CX$53,CX45,$BC$6:$BC$53,INDEX(T_Equipos[Grupo],MATCH(BD45,T_Equipos[NombreEquipo],0)))&amp;")")</f>
        <v>P.1 (4)</v>
      </c>
      <c r="CZ45" s="753">
        <f t="shared" ca="1" si="31"/>
        <v>0</v>
      </c>
      <c r="DA45" s="754">
        <f ca="1">CX45+COUNTIFS($CY$6:$CY$53,CY45,$CZ$6:CZ$53,"&gt;"&amp;CZ45,$BC$6:$BC$53,INDEX(T_Equipos[Grupo],MATCH(BD45,T_Equipos[NombreEquipo],0)))</f>
        <v>1</v>
      </c>
      <c r="DB45" s="753" t="str">
        <f ca="1">IF(COUNTIFS($DA$6:$DA$53,DA45,$BC$6:$BC$53,INDEX(T_Equipos[Grupo],MATCH(BD45,T_Equipos[NombreEquipo],0)))=1,"-","P."&amp;DA45&amp;" ("&amp;COUNTIFS($DA$6:$DA$53,DA45,$BC$6:$BC$53,INDEX(T_Equipos[Grupo],MATCH(BD45,T_Equipos[NombreEquipo],0)))&amp;")")</f>
        <v>P.1 (4)</v>
      </c>
      <c r="DC45" s="752">
        <f ca="1">IF(DB45="-","-",COUNTIFS(T_Equipos[Rank],"&lt;"&amp;INDEX(T_Equipos[Rank],MATCH(BD45,T_Equipos[NombreEquipo],0)),$BC$6:$BC$53,INDEX(T_Equipos[Grupo],MATCH(BD45,T_Equipos[NombreEquipo],0)))+1)</f>
        <v>4</v>
      </c>
      <c r="DD45" s="752">
        <f ca="1">DA45+COUNTIFS($DB$6:$DB$53,DB45,$DC$6:DC$53,"&lt;"&amp;DC45,$BC$6:$BC$53,INDEX(T_Equipos[Grupo],MATCH(BD45,T_Equipos[NombreEquipo],0)))</f>
        <v>4</v>
      </c>
      <c r="DE45" s="752"/>
      <c r="DF45" s="752">
        <f t="shared" ca="1" si="52"/>
        <v>4</v>
      </c>
      <c r="DG45" s="752">
        <f ca="1">IF(DB45="-","-",COUNTIFS(DF$6:DF$53,"&lt;"&amp;DF45,$BC$6:$BC$53,INDEX(T_Equipos[Grupo],MATCH(BD45,T_Equipos[NombreEquipo],0))))</f>
        <v>3</v>
      </c>
      <c r="DH45" s="752">
        <f ca="1">DA45+COUNTIFS(DB$6:DB$53,DB45,DG$6:DG$53,"&lt;"&amp;DG45,$BC$6:$BC$53,INDEX(T_Equipos[Grupo],MATCH(BD45,T_Equipos[NombreEquipo],0)))</f>
        <v>4</v>
      </c>
      <c r="DI45" s="740"/>
      <c r="DJ45" s="740">
        <f t="shared" ca="1" si="53"/>
        <v>1</v>
      </c>
      <c r="DK45" s="740">
        <f t="shared" ca="1" si="24"/>
        <v>0</v>
      </c>
      <c r="DL45" s="740">
        <f t="shared" ca="1" si="33"/>
        <v>1</v>
      </c>
      <c r="DM45" s="734" t="str">
        <f t="shared" ca="1" si="34"/>
        <v>1.1</v>
      </c>
      <c r="DN45" s="740" cm="1">
        <f t="array" aca="1" ref="DN45" ca="1">OFFSET(Horarios!$P$3,DJ45-1,0,DL45,1)</f>
        <v>1</v>
      </c>
      <c r="DO45" s="740"/>
      <c r="DP45" s="740" t="s">
        <v>678</v>
      </c>
      <c r="DQ45" s="740" t="str">
        <f t="shared" ca="1" si="35"/>
        <v>Jordania</v>
      </c>
      <c r="DR45" s="740"/>
      <c r="DS45" s="740"/>
      <c r="DT45" s="740" t="str">
        <f t="shared" ca="1" si="15"/>
        <v>Suecia-Túnez</v>
      </c>
      <c r="DU45" s="740"/>
      <c r="DV45" s="740"/>
      <c r="DW45" s="8"/>
    </row>
    <row r="46" spans="1:127" ht="15.95" customHeight="1">
      <c r="A46" s="741" t="str">
        <f ca="1">+Equipos!B23</f>
        <v>Japón</v>
      </c>
      <c r="B46" s="738"/>
      <c r="C46" s="742"/>
      <c r="D46" s="740" t="str">
        <f t="shared" si="136"/>
        <v>Pendiente</v>
      </c>
      <c r="E46" s="740" t="str">
        <f t="shared" si="137"/>
        <v>-</v>
      </c>
      <c r="F46" s="740" t="str">
        <f t="shared" si="138"/>
        <v>-</v>
      </c>
      <c r="G46" s="740"/>
      <c r="H46" s="740" t="str">
        <f t="shared" si="139"/>
        <v>-</v>
      </c>
      <c r="I46" s="740" t="str">
        <f t="shared" si="140"/>
        <v>-</v>
      </c>
      <c r="J46" s="740"/>
      <c r="K46" s="740" t="str">
        <f t="shared" si="141"/>
        <v>-</v>
      </c>
      <c r="L46" s="740" t="str">
        <f t="shared" si="142"/>
        <v>-</v>
      </c>
      <c r="M46" s="740"/>
      <c r="N46" s="740" t="str">
        <f t="shared" si="143"/>
        <v>-</v>
      </c>
      <c r="O46" s="740" t="str">
        <f t="shared" si="144"/>
        <v>-</v>
      </c>
      <c r="P46" s="740"/>
      <c r="Q46" s="740" t="str">
        <f t="shared" si="145"/>
        <v>-</v>
      </c>
      <c r="R46" s="740" t="str">
        <f t="shared" si="146"/>
        <v>-</v>
      </c>
      <c r="S46" s="740"/>
      <c r="T46" s="740" t="str">
        <f t="shared" si="147"/>
        <v>-</v>
      </c>
      <c r="U46" s="740" t="str">
        <f t="shared" si="148"/>
        <v>-</v>
      </c>
      <c r="V46" s="172"/>
      <c r="W46" s="904"/>
      <c r="X46" s="189">
        <f ca="1">Horarios!C46</f>
        <v>46193.541666666664</v>
      </c>
      <c r="Y46" s="190">
        <f ca="1">Horarios!C46</f>
        <v>46193.541666666664</v>
      </c>
      <c r="Z46" s="191" t="str">
        <f>$Z$6</f>
        <v>J2</v>
      </c>
      <c r="AA46" s="192" t="str">
        <f ca="1">A45</f>
        <v>Países Bajos</v>
      </c>
      <c r="AB46" s="477" t="str" cm="1">
        <f t="array" aca="1" ref="AB46" ca="1">Ver_flag_local</f>
        <v/>
      </c>
      <c r="AC46" s="193"/>
      <c r="AD46" s="194"/>
      <c r="AE46" s="482" t="str" cm="1">
        <f t="array" aca="1" ref="AE46" ca="1">Ver_flag_visit</f>
        <v/>
      </c>
      <c r="AF46" s="195" t="str">
        <f ca="1">A47</f>
        <v>Suecia</v>
      </c>
      <c r="AG46" s="413">
        <f t="shared" si="149"/>
        <v>0</v>
      </c>
      <c r="AH46" s="196">
        <v>35</v>
      </c>
      <c r="AI46" s="19" t="str">
        <f>AJ46&amp;$B$44</f>
        <v>1F</v>
      </c>
      <c r="AJ46" s="211">
        <v>1</v>
      </c>
      <c r="AK46" s="487"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0"/>
      <c r="BC46" s="752" t="str">
        <f ca="1">+INDEX(T_Equipos[Grupo],MATCH(WORLDCUP!BD46,T_Equipos[NombreEquipo],0))</f>
        <v>K</v>
      </c>
      <c r="BD46" s="740" t="str">
        <f ca="1">+Equipos!B42</f>
        <v>Portugal</v>
      </c>
      <c r="BE46" s="744">
        <f t="shared" ca="1" si="25"/>
        <v>0</v>
      </c>
      <c r="BF46" s="744">
        <f t="shared" ca="1" si="26"/>
        <v>0</v>
      </c>
      <c r="BG46" s="744">
        <f t="shared" ca="1" si="17"/>
        <v>0</v>
      </c>
      <c r="BH46" s="744">
        <f t="shared" ca="1" si="18"/>
        <v>0</v>
      </c>
      <c r="BI46" s="744">
        <f t="shared" ca="1" si="19"/>
        <v>0</v>
      </c>
      <c r="BJ46" s="744">
        <f t="shared" ca="1" si="20"/>
        <v>0</v>
      </c>
      <c r="BK46" s="744">
        <f t="shared" ca="1" si="21"/>
        <v>0</v>
      </c>
      <c r="BL46" s="744">
        <f t="shared" ca="1" si="27"/>
        <v>0</v>
      </c>
      <c r="BM46" s="744" t="str">
        <f t="shared" ca="1" si="22"/>
        <v>1K</v>
      </c>
      <c r="BN46" s="744" t="str">
        <f t="shared" ca="1" si="23"/>
        <v>1K</v>
      </c>
      <c r="BO46" s="753">
        <f t="shared" ca="1" si="28"/>
        <v>0</v>
      </c>
      <c r="BP46" s="753">
        <f ca="1">COUNTIFS($BO$6:$BO$53,"&gt;"&amp;BO46,$BC$6:$BC$53,INDEX(T_Equipos[Grupo],MATCH(BD46,T_Equipos[NombreEquipo],0)))+1</f>
        <v>1</v>
      </c>
      <c r="BQ46" s="753" t="str">
        <f ca="1">IF(COUNTIFS($BP$6:$BP$53,BP46,$BC$6:$BC$53,INDEX(T_Equipos[Grupo],MATCH(BD46,T_Equipos[NombreEquipo],0)))=1,"-","P."&amp;BP46&amp;" ("&amp;COUNTIFS($BP$6:$BP$53,BP46,$BC$6:$BC$53,INDEX(T_Equipos[Grupo],MATCH(BD46,T_Equipos[NombreEquipo],0)))&amp;")")</f>
        <v>P.1 (4)</v>
      </c>
      <c r="BR46" s="753">
        <f t="shared" ca="1" si="29"/>
        <v>0</v>
      </c>
      <c r="BS46" s="753">
        <f ca="1">BP46+COUNTIFS($BQ$6:$BQ$53,BQ46,$BR$6:BR$53,"&gt;"&amp;BR46,$BC$6:$BC$53,INDEX(T_Equipos[Grupo],MATCH(BD46,T_Equipos[NombreEquipo],0)))</f>
        <v>1</v>
      </c>
      <c r="BT46" s="753" t="str">
        <f ca="1">IF(COUNTIFS($BS$6:$BS$53,BS46,$BC$6:$BC$53,INDEX(T_Equipos[Grupo],MATCH(BD46,T_Equipos[NombreEquipo],0)))=1,"-","P."&amp;BS46&amp;" ("&amp;COUNTIFS($BS$6:$BS$53,BS46,$BC$6:$BC$53,INDEX(T_Equipos[Grupo],MATCH(BD46,T_Equipos[NombreEquipo],0)))&amp;")")</f>
        <v>P.1 (4)</v>
      </c>
      <c r="BU46" s="754">
        <f t="shared" ca="1" si="36"/>
        <v>0</v>
      </c>
      <c r="BV46" s="754">
        <f t="shared" ca="1" si="37"/>
        <v>0</v>
      </c>
      <c r="BW46" s="754">
        <f t="shared" ca="1" si="38"/>
        <v>0</v>
      </c>
      <c r="BX46" s="754">
        <f t="shared" ca="1" si="39"/>
        <v>0</v>
      </c>
      <c r="BY46" s="754">
        <f ca="1">BS46+COUNTIFS($BT$6:$BT$53,BT46,$BX$6:BX$53,"&gt;"&amp;BX46,$BC$6:$BC$53,INDEX(T_Equipos[Grupo],MATCH(BD46,T_Equipos[NombreEquipo],0)))</f>
        <v>1</v>
      </c>
      <c r="BZ46" s="753" t="str">
        <f ca="1">IF(COUNTIFS($BY$6:$BY$53,BY46,$BC$6:$BC$53,INDEX(T_Equipos[Grupo],MATCH(BD46,T_Equipos[NombreEquipo],0)))=1,"-","P."&amp;BY46&amp;" ("&amp;COUNTIFS($BY$6:$BY$53,BY46,$BC$6:$BC$53,INDEX(T_Equipos[Grupo],MATCH(BD46,T_Equipos[NombreEquipo],0)))&amp;")")</f>
        <v>P.1 (4)</v>
      </c>
      <c r="CA46" s="754">
        <f t="shared" ca="1" si="40"/>
        <v>0</v>
      </c>
      <c r="CB46" s="754">
        <f t="shared" ca="1" si="41"/>
        <v>0</v>
      </c>
      <c r="CC46" s="754">
        <f t="shared" ca="1" si="42"/>
        <v>0</v>
      </c>
      <c r="CD46" s="754">
        <f ca="1">BY46+COUNTIFS($BZ$6:$BZ$53,BZ46,$CC$6:CC$53,"&gt;"&amp;CC46,$BC$6:$BC$53,INDEX(T_Equipos[Grupo],MATCH(BD46,T_Equipos[NombreEquipo],0)))</f>
        <v>1</v>
      </c>
      <c r="CE46" s="753" t="str">
        <f ca="1">IF(COUNTIFS($CD$6:$CD$53,CD46,$BC$6:$BC$53,INDEX(T_Equipos[Grupo],MATCH(BD46,T_Equipos[NombreEquipo],0)))=1,"-","P."&amp;CD46&amp;" ("&amp;COUNTIFS($CD$6:$CD$53,CD46,$BC$6:$BC$53,INDEX(T_Equipos[Grupo],MATCH(BD46,T_Equipos[NombreEquipo],0)))&amp;")")</f>
        <v>P.1 (4)</v>
      </c>
      <c r="CF46" s="754">
        <f t="shared" ca="1" si="43"/>
        <v>0</v>
      </c>
      <c r="CG46" s="754">
        <f ca="1">CD46+COUNTIFS($CE$6:$CE$53,CE46,$CF$6:CF$53,"&gt;"&amp;CF46,$BC$6:$BC$53,INDEX(T_Equipos[Grupo],MATCH(BD46,T_Equipos[NombreEquipo],0)))</f>
        <v>1</v>
      </c>
      <c r="CH46" s="753" t="str">
        <f ca="1">IF(COUNTIFS($CG$6:$CG$53,CG46,$BC$6:$BC$53,INDEX(T_Equipos[Grupo],MATCH(BD46,T_Equipos[NombreEquipo],0)))=1,"-","P."&amp;CG46&amp;" ("&amp;COUNTIFS($CG$6:$CG$53,CG46,$BC$6:$BC$53,INDEX(T_Equipos[Grupo],MATCH(BD46,T_Equipos[NombreEquipo],0)))&amp;")")</f>
        <v>P.1 (4)</v>
      </c>
      <c r="CI46" s="754">
        <f t="shared" ca="1" si="44"/>
        <v>0</v>
      </c>
      <c r="CJ46" s="754">
        <f t="shared" ca="1" si="45"/>
        <v>0</v>
      </c>
      <c r="CK46" s="754">
        <f t="shared" ca="1" si="46"/>
        <v>0</v>
      </c>
      <c r="CL46" s="754">
        <f t="shared" ca="1" si="47"/>
        <v>0</v>
      </c>
      <c r="CM46" s="754">
        <f ca="1">CG46+COUNTIFS($CH$6:$CH$53,CH46,$CL$6:CL$53,"&gt;"&amp;CL46,$BC$6:$BC$53,INDEX(T_Equipos[Grupo],MATCH(BD46,T_Equipos[NombreEquipo],0)))</f>
        <v>1</v>
      </c>
      <c r="CN46" s="753" t="str">
        <f ca="1">IF(COUNTIFS($CM$6:$CM$53,CM46,$BC$6:$BC$53,INDEX(T_Equipos[Grupo],MATCH(BD46,T_Equipos[NombreEquipo],0)))=1,"-","P."&amp;CM46&amp;" ("&amp;COUNTIFS($CM$6:$CM$53,CM46,$BC$6:$BC$53,INDEX(T_Equipos[Grupo],MATCH(BD46,T_Equipos[NombreEquipo],0)))&amp;")")</f>
        <v>P.1 (4)</v>
      </c>
      <c r="CO46" s="754">
        <f t="shared" ca="1" si="48"/>
        <v>0</v>
      </c>
      <c r="CP46" s="754">
        <f t="shared" ca="1" si="49"/>
        <v>0</v>
      </c>
      <c r="CQ46" s="754">
        <f t="shared" ca="1" si="50"/>
        <v>0</v>
      </c>
      <c r="CR46" s="754">
        <f ca="1">CM46+COUNTIFS($CN$6:$CN$53,CN46,$CQ$6:CQ$53,"&gt;"&amp;CQ46,$BC$6:$BC$53,INDEX(T_Equipos[Grupo],MATCH(BD46,T_Equipos[NombreEquipo],0)))</f>
        <v>1</v>
      </c>
      <c r="CS46" s="753" t="str">
        <f ca="1">IF(COUNTIFS($CR$6:$CR$53,CR46,$BC$6:$BC$53,INDEX(T_Equipos[Grupo],MATCH(BD46,T_Equipos[NombreEquipo],0)))=1,"-","P."&amp;CR46&amp;" ("&amp;COUNTIFS($CR$6:$CR$53,CR46,$BC$6:$BC$53,INDEX(T_Equipos[Grupo],MATCH(BD46,T_Equipos[NombreEquipo],0)))&amp;")")</f>
        <v>P.1 (4)</v>
      </c>
      <c r="CT46" s="754">
        <f t="shared" ca="1" si="51"/>
        <v>0</v>
      </c>
      <c r="CU46" s="754">
        <f ca="1">CR46+COUNTIFS($CS$6:$CS$53,CS46,$CT$6:CT$53,"&gt;"&amp;CT46,$BC$6:$BC$53,INDEX(T_Equipos[Grupo],MATCH(BD46,T_Equipos[NombreEquipo],0)))</f>
        <v>1</v>
      </c>
      <c r="CV46" s="753" t="str">
        <f ca="1">IF(COUNTIFS($CU$6:$CU$53,CU46,$BC$6:$BC$53,INDEX(T_Equipos[Grupo],MATCH(BD46,T_Equipos[NombreEquipo],0)))=1,"-","P."&amp;CU46&amp;" ("&amp;COUNTIFS($CU$6:$CU$53,CU46,$BC$6:$BC$53,INDEX(T_Equipos[Grupo],MATCH(BD46,T_Equipos[NombreEquipo],0)))&amp;")")</f>
        <v>P.1 (4)</v>
      </c>
      <c r="CW46" s="753">
        <f t="shared" ca="1" si="30"/>
        <v>0</v>
      </c>
      <c r="CX46" s="753">
        <f ca="1">CU46+COUNTIFS($CV$6:$CV$53,CV46,$CW$6:CW$53,"&gt;"&amp;CW46,$BC$6:$BC$53,INDEX(T_Equipos[Grupo],MATCH(BD46,T_Equipos[NombreEquipo],0)))</f>
        <v>1</v>
      </c>
      <c r="CY46" s="753" t="str">
        <f ca="1">IF(COUNTIFS($CX$6:$CX$53,CX46,$BC$6:$BC$53,INDEX(T_Equipos[Grupo],MATCH(BD46,T_Equipos[NombreEquipo],0)))=1,"-","P."&amp;CX46&amp;" ("&amp;COUNTIFS($CX$6:$CX$53,CX46,$BC$6:$BC$53,INDEX(T_Equipos[Grupo],MATCH(BD46,T_Equipos[NombreEquipo],0)))&amp;")")</f>
        <v>P.1 (4)</v>
      </c>
      <c r="CZ46" s="753">
        <f t="shared" ca="1" si="31"/>
        <v>0</v>
      </c>
      <c r="DA46" s="754">
        <f ca="1">CX46+COUNTIFS($CY$6:$CY$53,CY46,$CZ$6:CZ$53,"&gt;"&amp;CZ46,$BC$6:$BC$53,INDEX(T_Equipos[Grupo],MATCH(BD46,T_Equipos[NombreEquipo],0)))</f>
        <v>1</v>
      </c>
      <c r="DB46" s="753" t="str">
        <f ca="1">IF(COUNTIFS($DA$6:$DA$53,DA46,$BC$6:$BC$53,INDEX(T_Equipos[Grupo],MATCH(BD46,T_Equipos[NombreEquipo],0)))=1,"-","P."&amp;DA46&amp;" ("&amp;COUNTIFS($DA$6:$DA$53,DA46,$BC$6:$BC$53,INDEX(T_Equipos[Grupo],MATCH(BD46,T_Equipos[NombreEquipo],0)))&amp;")")</f>
        <v>P.1 (4)</v>
      </c>
      <c r="DC46" s="752">
        <f ca="1">IF(DB46="-","-",COUNTIFS(T_Equipos[Rank],"&lt;"&amp;INDEX(T_Equipos[Rank],MATCH(BD46,T_Equipos[NombreEquipo],0)),$BC$6:$BC$53,INDEX(T_Equipos[Grupo],MATCH(BD46,T_Equipos[NombreEquipo],0)))+1)</f>
        <v>1</v>
      </c>
      <c r="DD46" s="752">
        <f ca="1">DA46+COUNTIFS($DB$6:$DB$53,DB46,$DC$6:DC$53,"&lt;"&amp;DC46,$BC$6:$BC$53,INDEX(T_Equipos[Grupo],MATCH(BD46,T_Equipos[NombreEquipo],0)))</f>
        <v>1</v>
      </c>
      <c r="DE46" s="752"/>
      <c r="DF46" s="752">
        <f t="shared" ca="1" si="52"/>
        <v>1</v>
      </c>
      <c r="DG46" s="752">
        <f ca="1">IF(DB46="-","-",COUNTIFS(DF$6:DF$53,"&lt;"&amp;DF46,$BC$6:$BC$53,INDEX(T_Equipos[Grupo],MATCH(BD46,T_Equipos[NombreEquipo],0))))</f>
        <v>0</v>
      </c>
      <c r="DH46" s="752">
        <f ca="1">DA46+COUNTIFS(DB$6:DB$53,DB46,DG$6:DG$53,"&lt;"&amp;DG46,$BC$6:$BC$53,INDEX(T_Equipos[Grupo],MATCH(BD46,T_Equipos[NombreEquipo],0)))</f>
        <v>1</v>
      </c>
      <c r="DI46" s="740"/>
      <c r="DJ46" s="740">
        <f t="shared" ca="1" si="53"/>
        <v>1</v>
      </c>
      <c r="DK46" s="740">
        <f t="shared" ca="1" si="24"/>
        <v>0</v>
      </c>
      <c r="DL46" s="740">
        <f t="shared" ca="1" si="33"/>
        <v>1</v>
      </c>
      <c r="DM46" s="734" t="str">
        <f t="shared" ca="1" si="34"/>
        <v>1.1</v>
      </c>
      <c r="DN46" s="740" cm="1">
        <f t="array" aca="1" ref="DN46" ca="1">OFFSET(Horarios!$P$3,DJ46-1,0,DL46,1)</f>
        <v>1</v>
      </c>
      <c r="DO46" s="740"/>
      <c r="DP46" s="740" t="s">
        <v>679</v>
      </c>
      <c r="DQ46" s="740" t="str">
        <f t="shared" ca="1" si="35"/>
        <v>Portugal</v>
      </c>
      <c r="DR46" s="740"/>
      <c r="DS46" s="740"/>
      <c r="DT46" s="740" t="str">
        <f t="shared" ca="1" si="15"/>
        <v>Países Bajos-Suecia</v>
      </c>
      <c r="DU46" s="740"/>
      <c r="DV46" s="740"/>
      <c r="DW46" s="8"/>
    </row>
    <row r="47" spans="1:127" ht="15.95" customHeight="1">
      <c r="A47" s="741" t="str">
        <f ca="1">+Equipos!B24</f>
        <v>Suecia</v>
      </c>
      <c r="B47" s="738"/>
      <c r="C47" s="740"/>
      <c r="D47" s="740" t="str">
        <f t="shared" si="136"/>
        <v>Pendiente</v>
      </c>
      <c r="E47" s="740" t="str">
        <f t="shared" si="137"/>
        <v>-</v>
      </c>
      <c r="F47" s="740" t="str">
        <f t="shared" si="138"/>
        <v>-</v>
      </c>
      <c r="G47" s="740"/>
      <c r="H47" s="740" t="str">
        <f t="shared" si="139"/>
        <v>-</v>
      </c>
      <c r="I47" s="740" t="str">
        <f t="shared" si="140"/>
        <v>-</v>
      </c>
      <c r="J47" s="740"/>
      <c r="K47" s="740" t="str">
        <f t="shared" si="141"/>
        <v>-</v>
      </c>
      <c r="L47" s="740" t="str">
        <f t="shared" si="142"/>
        <v>-</v>
      </c>
      <c r="M47" s="740"/>
      <c r="N47" s="740" t="str">
        <f t="shared" si="143"/>
        <v>-</v>
      </c>
      <c r="O47" s="740" t="str">
        <f t="shared" si="144"/>
        <v>-</v>
      </c>
      <c r="P47" s="740"/>
      <c r="Q47" s="740" t="str">
        <f t="shared" si="145"/>
        <v>-</v>
      </c>
      <c r="R47" s="740" t="str">
        <f t="shared" si="146"/>
        <v>-</v>
      </c>
      <c r="S47" s="740"/>
      <c r="T47" s="740" t="str">
        <f t="shared" si="147"/>
        <v>-</v>
      </c>
      <c r="U47" s="740" t="str">
        <f t="shared" si="148"/>
        <v>-</v>
      </c>
      <c r="V47" s="172"/>
      <c r="W47" s="904"/>
      <c r="X47" s="189">
        <f ca="1">Horarios!C47</f>
        <v>46194</v>
      </c>
      <c r="Y47" s="190">
        <f ca="1">Horarios!C47</f>
        <v>46194</v>
      </c>
      <c r="Z47" s="191" t="str">
        <f>$Z$6</f>
        <v>J2</v>
      </c>
      <c r="AA47" s="192" t="str">
        <f ca="1">A48</f>
        <v>Túnez</v>
      </c>
      <c r="AB47" s="477" t="str" cm="1">
        <f t="array" aca="1" ref="AB47" ca="1">Ver_flag_local</f>
        <v/>
      </c>
      <c r="AC47" s="193"/>
      <c r="AD47" s="194"/>
      <c r="AE47" s="482" t="str" cm="1">
        <f t="array" aca="1" ref="AE47" ca="1">Ver_flag_visit</f>
        <v/>
      </c>
      <c r="AF47" s="195" t="str">
        <f ca="1">A46</f>
        <v>Japón</v>
      </c>
      <c r="AG47" s="413">
        <f t="shared" si="149"/>
        <v>0</v>
      </c>
      <c r="AH47" s="196">
        <v>36</v>
      </c>
      <c r="AI47" s="19" t="str">
        <f t="shared" ref="AI47:AI49" si="154">AJ47&amp;$B$44</f>
        <v>2F</v>
      </c>
      <c r="AJ47" s="221">
        <v>2</v>
      </c>
      <c r="AK47" s="485"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0"/>
      <c r="BC47" s="752" t="str">
        <f ca="1">+INDEX(T_Equipos[Grupo],MATCH(WORLDCUP!BD47,T_Equipos[NombreEquipo],0))</f>
        <v>K</v>
      </c>
      <c r="BD47" s="740" t="str">
        <f ca="1">+Equipos!B43</f>
        <v>RD Congo</v>
      </c>
      <c r="BE47" s="744">
        <f t="shared" ca="1" si="25"/>
        <v>0</v>
      </c>
      <c r="BF47" s="744">
        <f t="shared" ca="1" si="26"/>
        <v>0</v>
      </c>
      <c r="BG47" s="744">
        <f t="shared" ca="1" si="17"/>
        <v>0</v>
      </c>
      <c r="BH47" s="744">
        <f t="shared" ca="1" si="18"/>
        <v>0</v>
      </c>
      <c r="BI47" s="744">
        <f t="shared" ca="1" si="19"/>
        <v>0</v>
      </c>
      <c r="BJ47" s="744">
        <f t="shared" ca="1" si="20"/>
        <v>0</v>
      </c>
      <c r="BK47" s="744">
        <f t="shared" ca="1" si="21"/>
        <v>0</v>
      </c>
      <c r="BL47" s="744">
        <f t="shared" ca="1" si="27"/>
        <v>0</v>
      </c>
      <c r="BM47" s="744" t="str">
        <f t="shared" ca="1" si="22"/>
        <v>2K</v>
      </c>
      <c r="BN47" s="744" t="str">
        <f t="shared" ca="1" si="23"/>
        <v>2K</v>
      </c>
      <c r="BO47" s="753">
        <f t="shared" ca="1" si="28"/>
        <v>0</v>
      </c>
      <c r="BP47" s="753">
        <f ca="1">COUNTIFS($BO$6:$BO$53,"&gt;"&amp;BO47,$BC$6:$BC$53,INDEX(T_Equipos[Grupo],MATCH(BD47,T_Equipos[NombreEquipo],0)))+1</f>
        <v>1</v>
      </c>
      <c r="BQ47" s="753" t="str">
        <f ca="1">IF(COUNTIFS($BP$6:$BP$53,BP47,$BC$6:$BC$53,INDEX(T_Equipos[Grupo],MATCH(BD47,T_Equipos[NombreEquipo],0)))=1,"-","P."&amp;BP47&amp;" ("&amp;COUNTIFS($BP$6:$BP$53,BP47,$BC$6:$BC$53,INDEX(T_Equipos[Grupo],MATCH(BD47,T_Equipos[NombreEquipo],0)))&amp;")")</f>
        <v>P.1 (4)</v>
      </c>
      <c r="BR47" s="753">
        <f t="shared" ca="1" si="29"/>
        <v>0</v>
      </c>
      <c r="BS47" s="753">
        <f ca="1">BP47+COUNTIFS($BQ$6:$BQ$53,BQ47,$BR$6:BR$53,"&gt;"&amp;BR47,$BC$6:$BC$53,INDEX(T_Equipos[Grupo],MATCH(BD47,T_Equipos[NombreEquipo],0)))</f>
        <v>1</v>
      </c>
      <c r="BT47" s="753" t="str">
        <f ca="1">IF(COUNTIFS($BS$6:$BS$53,BS47,$BC$6:$BC$53,INDEX(T_Equipos[Grupo],MATCH(BD47,T_Equipos[NombreEquipo],0)))=1,"-","P."&amp;BS47&amp;" ("&amp;COUNTIFS($BS$6:$BS$53,BS47,$BC$6:$BC$53,INDEX(T_Equipos[Grupo],MATCH(BD47,T_Equipos[NombreEquipo],0)))&amp;")")</f>
        <v>P.1 (4)</v>
      </c>
      <c r="BU47" s="754">
        <f t="shared" ca="1" si="36"/>
        <v>0</v>
      </c>
      <c r="BV47" s="754">
        <f t="shared" ca="1" si="37"/>
        <v>0</v>
      </c>
      <c r="BW47" s="754">
        <f t="shared" ca="1" si="38"/>
        <v>0</v>
      </c>
      <c r="BX47" s="754">
        <f t="shared" ca="1" si="39"/>
        <v>0</v>
      </c>
      <c r="BY47" s="754">
        <f ca="1">BS47+COUNTIFS($BT$6:$BT$53,BT47,$BX$6:BX$53,"&gt;"&amp;BX47,$BC$6:$BC$53,INDEX(T_Equipos[Grupo],MATCH(BD47,T_Equipos[NombreEquipo],0)))</f>
        <v>1</v>
      </c>
      <c r="BZ47" s="753" t="str">
        <f ca="1">IF(COUNTIFS($BY$6:$BY$53,BY47,$BC$6:$BC$53,INDEX(T_Equipos[Grupo],MATCH(BD47,T_Equipos[NombreEquipo],0)))=1,"-","P."&amp;BY47&amp;" ("&amp;COUNTIFS($BY$6:$BY$53,BY47,$BC$6:$BC$53,INDEX(T_Equipos[Grupo],MATCH(BD47,T_Equipos[NombreEquipo],0)))&amp;")")</f>
        <v>P.1 (4)</v>
      </c>
      <c r="CA47" s="754">
        <f t="shared" ca="1" si="40"/>
        <v>0</v>
      </c>
      <c r="CB47" s="754">
        <f t="shared" ca="1" si="41"/>
        <v>0</v>
      </c>
      <c r="CC47" s="754">
        <f t="shared" ca="1" si="42"/>
        <v>0</v>
      </c>
      <c r="CD47" s="754">
        <f ca="1">BY47+COUNTIFS($BZ$6:$BZ$53,BZ47,$CC$6:CC$53,"&gt;"&amp;CC47,$BC$6:$BC$53,INDEX(T_Equipos[Grupo],MATCH(BD47,T_Equipos[NombreEquipo],0)))</f>
        <v>1</v>
      </c>
      <c r="CE47" s="753" t="str">
        <f ca="1">IF(COUNTIFS($CD$6:$CD$53,CD47,$BC$6:$BC$53,INDEX(T_Equipos[Grupo],MATCH(BD47,T_Equipos[NombreEquipo],0)))=1,"-","P."&amp;CD47&amp;" ("&amp;COUNTIFS($CD$6:$CD$53,CD47,$BC$6:$BC$53,INDEX(T_Equipos[Grupo],MATCH(BD47,T_Equipos[NombreEquipo],0)))&amp;")")</f>
        <v>P.1 (4)</v>
      </c>
      <c r="CF47" s="754">
        <f t="shared" ca="1" si="43"/>
        <v>0</v>
      </c>
      <c r="CG47" s="754">
        <f ca="1">CD47+COUNTIFS($CE$6:$CE$53,CE47,$CF$6:CF$53,"&gt;"&amp;CF47,$BC$6:$BC$53,INDEX(T_Equipos[Grupo],MATCH(BD47,T_Equipos[NombreEquipo],0)))</f>
        <v>1</v>
      </c>
      <c r="CH47" s="753" t="str">
        <f ca="1">IF(COUNTIFS($CG$6:$CG$53,CG47,$BC$6:$BC$53,INDEX(T_Equipos[Grupo],MATCH(BD47,T_Equipos[NombreEquipo],0)))=1,"-","P."&amp;CG47&amp;" ("&amp;COUNTIFS($CG$6:$CG$53,CG47,$BC$6:$BC$53,INDEX(T_Equipos[Grupo],MATCH(BD47,T_Equipos[NombreEquipo],0)))&amp;")")</f>
        <v>P.1 (4)</v>
      </c>
      <c r="CI47" s="754">
        <f t="shared" ca="1" si="44"/>
        <v>0</v>
      </c>
      <c r="CJ47" s="754">
        <f t="shared" ca="1" si="45"/>
        <v>0</v>
      </c>
      <c r="CK47" s="754">
        <f t="shared" ca="1" si="46"/>
        <v>0</v>
      </c>
      <c r="CL47" s="754">
        <f t="shared" ca="1" si="47"/>
        <v>0</v>
      </c>
      <c r="CM47" s="754">
        <f ca="1">CG47+COUNTIFS($CH$6:$CH$53,CH47,$CL$6:CL$53,"&gt;"&amp;CL47,$BC$6:$BC$53,INDEX(T_Equipos[Grupo],MATCH(BD47,T_Equipos[NombreEquipo],0)))</f>
        <v>1</v>
      </c>
      <c r="CN47" s="753" t="str">
        <f ca="1">IF(COUNTIFS($CM$6:$CM$53,CM47,$BC$6:$BC$53,INDEX(T_Equipos[Grupo],MATCH(BD47,T_Equipos[NombreEquipo],0)))=1,"-","P."&amp;CM47&amp;" ("&amp;COUNTIFS($CM$6:$CM$53,CM47,$BC$6:$BC$53,INDEX(T_Equipos[Grupo],MATCH(BD47,T_Equipos[NombreEquipo],0)))&amp;")")</f>
        <v>P.1 (4)</v>
      </c>
      <c r="CO47" s="754">
        <f t="shared" ca="1" si="48"/>
        <v>0</v>
      </c>
      <c r="CP47" s="754">
        <f t="shared" ca="1" si="49"/>
        <v>0</v>
      </c>
      <c r="CQ47" s="754">
        <f t="shared" ca="1" si="50"/>
        <v>0</v>
      </c>
      <c r="CR47" s="754">
        <f ca="1">CM47+COUNTIFS($CN$6:$CN$53,CN47,$CQ$6:CQ$53,"&gt;"&amp;CQ47,$BC$6:$BC$53,INDEX(T_Equipos[Grupo],MATCH(BD47,T_Equipos[NombreEquipo],0)))</f>
        <v>1</v>
      </c>
      <c r="CS47" s="753" t="str">
        <f ca="1">IF(COUNTIFS($CR$6:$CR$53,CR47,$BC$6:$BC$53,INDEX(T_Equipos[Grupo],MATCH(BD47,T_Equipos[NombreEquipo],0)))=1,"-","P."&amp;CR47&amp;" ("&amp;COUNTIFS($CR$6:$CR$53,CR47,$BC$6:$BC$53,INDEX(T_Equipos[Grupo],MATCH(BD47,T_Equipos[NombreEquipo],0)))&amp;")")</f>
        <v>P.1 (4)</v>
      </c>
      <c r="CT47" s="754">
        <f t="shared" ca="1" si="51"/>
        <v>0</v>
      </c>
      <c r="CU47" s="754">
        <f ca="1">CR47+COUNTIFS($CS$6:$CS$53,CS47,$CT$6:CT$53,"&gt;"&amp;CT47,$BC$6:$BC$53,INDEX(T_Equipos[Grupo],MATCH(BD47,T_Equipos[NombreEquipo],0)))</f>
        <v>1</v>
      </c>
      <c r="CV47" s="753" t="str">
        <f ca="1">IF(COUNTIFS($CU$6:$CU$53,CU47,$BC$6:$BC$53,INDEX(T_Equipos[Grupo],MATCH(BD47,T_Equipos[NombreEquipo],0)))=1,"-","P."&amp;CU47&amp;" ("&amp;COUNTIFS($CU$6:$CU$53,CU47,$BC$6:$BC$53,INDEX(T_Equipos[Grupo],MATCH(BD47,T_Equipos[NombreEquipo],0)))&amp;")")</f>
        <v>P.1 (4)</v>
      </c>
      <c r="CW47" s="753">
        <f t="shared" ca="1" si="30"/>
        <v>0</v>
      </c>
      <c r="CX47" s="753">
        <f ca="1">CU47+COUNTIFS($CV$6:$CV$53,CV47,$CW$6:CW$53,"&gt;"&amp;CW47,$BC$6:$BC$53,INDEX(T_Equipos[Grupo],MATCH(BD47,T_Equipos[NombreEquipo],0)))</f>
        <v>1</v>
      </c>
      <c r="CY47" s="753" t="str">
        <f ca="1">IF(COUNTIFS($CX$6:$CX$53,CX47,$BC$6:$BC$53,INDEX(T_Equipos[Grupo],MATCH(BD47,T_Equipos[NombreEquipo],0)))=1,"-","P."&amp;CX47&amp;" ("&amp;COUNTIFS($CX$6:$CX$53,CX47,$BC$6:$BC$53,INDEX(T_Equipos[Grupo],MATCH(BD47,T_Equipos[NombreEquipo],0)))&amp;")")</f>
        <v>P.1 (4)</v>
      </c>
      <c r="CZ47" s="753">
        <f t="shared" ca="1" si="31"/>
        <v>0</v>
      </c>
      <c r="DA47" s="754">
        <f ca="1">CX47+COUNTIFS($CY$6:$CY$53,CY47,$CZ$6:CZ$53,"&gt;"&amp;CZ47,$BC$6:$BC$53,INDEX(T_Equipos[Grupo],MATCH(BD47,T_Equipos[NombreEquipo],0)))</f>
        <v>1</v>
      </c>
      <c r="DB47" s="753" t="str">
        <f ca="1">IF(COUNTIFS($DA$6:$DA$53,DA47,$BC$6:$BC$53,INDEX(T_Equipos[Grupo],MATCH(BD47,T_Equipos[NombreEquipo],0)))=1,"-","P."&amp;DA47&amp;" ("&amp;COUNTIFS($DA$6:$DA$53,DA47,$BC$6:$BC$53,INDEX(T_Equipos[Grupo],MATCH(BD47,T_Equipos[NombreEquipo],0)))&amp;")")</f>
        <v>P.1 (4)</v>
      </c>
      <c r="DC47" s="752">
        <f ca="1">IF(DB47="-","-",COUNTIFS(T_Equipos[Rank],"&lt;"&amp;INDEX(T_Equipos[Rank],MATCH(BD47,T_Equipos[NombreEquipo],0)),$BC$6:$BC$53,INDEX(T_Equipos[Grupo],MATCH(BD47,T_Equipos[NombreEquipo],0)))+1)</f>
        <v>2</v>
      </c>
      <c r="DD47" s="752">
        <f ca="1">DA47+COUNTIFS($DB$6:$DB$53,DB47,$DC$6:DC$53,"&lt;"&amp;DC47,$BC$6:$BC$53,INDEX(T_Equipos[Grupo],MATCH(BD47,T_Equipos[NombreEquipo],0)))</f>
        <v>2</v>
      </c>
      <c r="DE47" s="752"/>
      <c r="DF47" s="752">
        <f t="shared" ca="1" si="52"/>
        <v>2</v>
      </c>
      <c r="DG47" s="752">
        <f ca="1">IF(DB47="-","-",COUNTIFS(DF$6:DF$53,"&lt;"&amp;DF47,$BC$6:$BC$53,INDEX(T_Equipos[Grupo],MATCH(BD47,T_Equipos[NombreEquipo],0))))</f>
        <v>1</v>
      </c>
      <c r="DH47" s="752">
        <f ca="1">DA47+COUNTIFS(DB$6:DB$53,DB47,DG$6:DG$53,"&lt;"&amp;DG47,$BC$6:$BC$53,INDEX(T_Equipos[Grupo],MATCH(BD47,T_Equipos[NombreEquipo],0)))</f>
        <v>2</v>
      </c>
      <c r="DI47" s="740"/>
      <c r="DJ47" s="740">
        <f t="shared" ca="1" si="53"/>
        <v>1</v>
      </c>
      <c r="DK47" s="740">
        <f t="shared" ca="1" si="24"/>
        <v>0</v>
      </c>
      <c r="DL47" s="740">
        <f t="shared" ca="1" si="33"/>
        <v>1</v>
      </c>
      <c r="DM47" s="734" t="str">
        <f t="shared" ca="1" si="34"/>
        <v>1.1</v>
      </c>
      <c r="DN47" s="740" cm="1">
        <f t="array" aca="1" ref="DN47" ca="1">OFFSET(Horarios!$P$3,DJ47-1,0,DL47,1)</f>
        <v>1</v>
      </c>
      <c r="DO47" s="740"/>
      <c r="DP47" s="740" t="s">
        <v>680</v>
      </c>
      <c r="DQ47" s="740" t="str">
        <f t="shared" ca="1" si="35"/>
        <v>RD Congo</v>
      </c>
      <c r="DR47" s="740"/>
      <c r="DS47" s="740"/>
      <c r="DT47" s="740" t="str">
        <f t="shared" ca="1" si="15"/>
        <v>Túnez-Japón</v>
      </c>
      <c r="DU47" s="740"/>
      <c r="DV47" s="740"/>
      <c r="DW47" s="8"/>
    </row>
    <row r="48" spans="1:127" ht="15.95" customHeight="1">
      <c r="A48" s="741" t="str">
        <f ca="1">+Equipos!B25</f>
        <v>Túnez</v>
      </c>
      <c r="B48" s="738"/>
      <c r="C48" s="740"/>
      <c r="D48" s="740" t="str">
        <f t="shared" si="136"/>
        <v>Pendiente</v>
      </c>
      <c r="E48" s="740" t="str">
        <f t="shared" si="137"/>
        <v>-</v>
      </c>
      <c r="F48" s="740" t="str">
        <f t="shared" si="138"/>
        <v>-</v>
      </c>
      <c r="G48" s="740"/>
      <c r="H48" s="740" t="str">
        <f t="shared" si="139"/>
        <v>-</v>
      </c>
      <c r="I48" s="740" t="str">
        <f t="shared" si="140"/>
        <v>-</v>
      </c>
      <c r="J48" s="740"/>
      <c r="K48" s="740" t="str">
        <f t="shared" si="141"/>
        <v>-</v>
      </c>
      <c r="L48" s="740" t="str">
        <f t="shared" si="142"/>
        <v>-</v>
      </c>
      <c r="M48" s="740"/>
      <c r="N48" s="740" t="str">
        <f t="shared" si="143"/>
        <v>-</v>
      </c>
      <c r="O48" s="740" t="str">
        <f t="shared" si="144"/>
        <v>-</v>
      </c>
      <c r="P48" s="740"/>
      <c r="Q48" s="740" t="str">
        <f t="shared" si="145"/>
        <v>-</v>
      </c>
      <c r="R48" s="740" t="str">
        <f t="shared" si="146"/>
        <v>-</v>
      </c>
      <c r="S48" s="740"/>
      <c r="T48" s="740" t="str">
        <f t="shared" si="147"/>
        <v>-</v>
      </c>
      <c r="U48" s="740" t="str">
        <f t="shared" si="148"/>
        <v>-</v>
      </c>
      <c r="V48" s="172"/>
      <c r="W48" s="904"/>
      <c r="X48" s="189">
        <f ca="1">Horarios!C48</f>
        <v>46198.791666666664</v>
      </c>
      <c r="Y48" s="190">
        <f ca="1">Horarios!C48</f>
        <v>46198.791666666664</v>
      </c>
      <c r="Z48" s="191" t="str">
        <f>$Z$8</f>
        <v>J3</v>
      </c>
      <c r="AA48" s="192" t="str">
        <f ca="1">A46</f>
        <v>Japón</v>
      </c>
      <c r="AB48" s="477" t="str" cm="1">
        <f t="array" aca="1" ref="AB48" ca="1">Ver_flag_local</f>
        <v/>
      </c>
      <c r="AC48" s="193"/>
      <c r="AD48" s="194"/>
      <c r="AE48" s="482" t="str" cm="1">
        <f t="array" aca="1" ref="AE48" ca="1">Ver_flag_visit</f>
        <v/>
      </c>
      <c r="AF48" s="195" t="str">
        <f ca="1">A47</f>
        <v>Suecia</v>
      </c>
      <c r="AG48" s="413">
        <f t="shared" si="149"/>
        <v>0</v>
      </c>
      <c r="AH48" s="196">
        <v>57</v>
      </c>
      <c r="AI48" s="19" t="str">
        <f t="shared" si="154"/>
        <v>3F</v>
      </c>
      <c r="AJ48" s="221">
        <v>3</v>
      </c>
      <c r="AK48" s="485"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0"/>
      <c r="BC48" s="752" t="str">
        <f ca="1">+INDEX(T_Equipos[Grupo],MATCH(WORLDCUP!BD48,T_Equipos[NombreEquipo],0))</f>
        <v>K</v>
      </c>
      <c r="BD48" s="740" t="str">
        <f ca="1">+Equipos!B44</f>
        <v>Uzbekistán</v>
      </c>
      <c r="BE48" s="744">
        <f t="shared" ca="1" si="25"/>
        <v>0</v>
      </c>
      <c r="BF48" s="744">
        <f t="shared" ca="1" si="26"/>
        <v>0</v>
      </c>
      <c r="BG48" s="744">
        <f t="shared" ca="1" si="17"/>
        <v>0</v>
      </c>
      <c r="BH48" s="744">
        <f t="shared" ca="1" si="18"/>
        <v>0</v>
      </c>
      <c r="BI48" s="744">
        <f t="shared" ca="1" si="19"/>
        <v>0</v>
      </c>
      <c r="BJ48" s="744">
        <f t="shared" ca="1" si="20"/>
        <v>0</v>
      </c>
      <c r="BK48" s="744">
        <f t="shared" ca="1" si="21"/>
        <v>0</v>
      </c>
      <c r="BL48" s="744">
        <f t="shared" ca="1" si="27"/>
        <v>0</v>
      </c>
      <c r="BM48" s="744" t="str">
        <f t="shared" ca="1" si="22"/>
        <v>3K</v>
      </c>
      <c r="BN48" s="744" t="str">
        <f t="shared" ca="1" si="23"/>
        <v>3K</v>
      </c>
      <c r="BO48" s="753">
        <f t="shared" ca="1" si="28"/>
        <v>0</v>
      </c>
      <c r="BP48" s="753">
        <f ca="1">COUNTIFS($BO$6:$BO$53,"&gt;"&amp;BO48,$BC$6:$BC$53,INDEX(T_Equipos[Grupo],MATCH(BD48,T_Equipos[NombreEquipo],0)))+1</f>
        <v>1</v>
      </c>
      <c r="BQ48" s="753" t="str">
        <f ca="1">IF(COUNTIFS($BP$6:$BP$53,BP48,$BC$6:$BC$53,INDEX(T_Equipos[Grupo],MATCH(BD48,T_Equipos[NombreEquipo],0)))=1,"-","P."&amp;BP48&amp;" ("&amp;COUNTIFS($BP$6:$BP$53,BP48,$BC$6:$BC$53,INDEX(T_Equipos[Grupo],MATCH(BD48,T_Equipos[NombreEquipo],0)))&amp;")")</f>
        <v>P.1 (4)</v>
      </c>
      <c r="BR48" s="753">
        <f t="shared" ca="1" si="29"/>
        <v>0</v>
      </c>
      <c r="BS48" s="753">
        <f ca="1">BP48+COUNTIFS($BQ$6:$BQ$53,BQ48,$BR$6:BR$53,"&gt;"&amp;BR48,$BC$6:$BC$53,INDEX(T_Equipos[Grupo],MATCH(BD48,T_Equipos[NombreEquipo],0)))</f>
        <v>1</v>
      </c>
      <c r="BT48" s="753" t="str">
        <f ca="1">IF(COUNTIFS($BS$6:$BS$53,BS48,$BC$6:$BC$53,INDEX(T_Equipos[Grupo],MATCH(BD48,T_Equipos[NombreEquipo],0)))=1,"-","P."&amp;BS48&amp;" ("&amp;COUNTIFS($BS$6:$BS$53,BS48,$BC$6:$BC$53,INDEX(T_Equipos[Grupo],MATCH(BD48,T_Equipos[NombreEquipo],0)))&amp;")")</f>
        <v>P.1 (4)</v>
      </c>
      <c r="BU48" s="754">
        <f t="shared" ca="1" si="36"/>
        <v>0</v>
      </c>
      <c r="BV48" s="754">
        <f t="shared" ca="1" si="37"/>
        <v>0</v>
      </c>
      <c r="BW48" s="754">
        <f t="shared" ca="1" si="38"/>
        <v>0</v>
      </c>
      <c r="BX48" s="754">
        <f t="shared" ca="1" si="39"/>
        <v>0</v>
      </c>
      <c r="BY48" s="754">
        <f ca="1">BS48+COUNTIFS($BT$6:$BT$53,BT48,$BX$6:BX$53,"&gt;"&amp;BX48,$BC$6:$BC$53,INDEX(T_Equipos[Grupo],MATCH(BD48,T_Equipos[NombreEquipo],0)))</f>
        <v>1</v>
      </c>
      <c r="BZ48" s="753" t="str">
        <f ca="1">IF(COUNTIFS($BY$6:$BY$53,BY48,$BC$6:$BC$53,INDEX(T_Equipos[Grupo],MATCH(BD48,T_Equipos[NombreEquipo],0)))=1,"-","P."&amp;BY48&amp;" ("&amp;COUNTIFS($BY$6:$BY$53,BY48,$BC$6:$BC$53,INDEX(T_Equipos[Grupo],MATCH(BD48,T_Equipos[NombreEquipo],0)))&amp;")")</f>
        <v>P.1 (4)</v>
      </c>
      <c r="CA48" s="754">
        <f t="shared" ca="1" si="40"/>
        <v>0</v>
      </c>
      <c r="CB48" s="754">
        <f t="shared" ca="1" si="41"/>
        <v>0</v>
      </c>
      <c r="CC48" s="754">
        <f t="shared" ca="1" si="42"/>
        <v>0</v>
      </c>
      <c r="CD48" s="754">
        <f ca="1">BY48+COUNTIFS($BZ$6:$BZ$53,BZ48,$CC$6:CC$53,"&gt;"&amp;CC48,$BC$6:$BC$53,INDEX(T_Equipos[Grupo],MATCH(BD48,T_Equipos[NombreEquipo],0)))</f>
        <v>1</v>
      </c>
      <c r="CE48" s="753" t="str">
        <f ca="1">IF(COUNTIFS($CD$6:$CD$53,CD48,$BC$6:$BC$53,INDEX(T_Equipos[Grupo],MATCH(BD48,T_Equipos[NombreEquipo],0)))=1,"-","P."&amp;CD48&amp;" ("&amp;COUNTIFS($CD$6:$CD$53,CD48,$BC$6:$BC$53,INDEX(T_Equipos[Grupo],MATCH(BD48,T_Equipos[NombreEquipo],0)))&amp;")")</f>
        <v>P.1 (4)</v>
      </c>
      <c r="CF48" s="754">
        <f t="shared" ca="1" si="43"/>
        <v>0</v>
      </c>
      <c r="CG48" s="754">
        <f ca="1">CD48+COUNTIFS($CE$6:$CE$53,CE48,$CF$6:CF$53,"&gt;"&amp;CF48,$BC$6:$BC$53,INDEX(T_Equipos[Grupo],MATCH(BD48,T_Equipos[NombreEquipo],0)))</f>
        <v>1</v>
      </c>
      <c r="CH48" s="753" t="str">
        <f ca="1">IF(COUNTIFS($CG$6:$CG$53,CG48,$BC$6:$BC$53,INDEX(T_Equipos[Grupo],MATCH(BD48,T_Equipos[NombreEquipo],0)))=1,"-","P."&amp;CG48&amp;" ("&amp;COUNTIFS($CG$6:$CG$53,CG48,$BC$6:$BC$53,INDEX(T_Equipos[Grupo],MATCH(BD48,T_Equipos[NombreEquipo],0)))&amp;")")</f>
        <v>P.1 (4)</v>
      </c>
      <c r="CI48" s="754">
        <f t="shared" ca="1" si="44"/>
        <v>0</v>
      </c>
      <c r="CJ48" s="754">
        <f t="shared" ca="1" si="45"/>
        <v>0</v>
      </c>
      <c r="CK48" s="754">
        <f t="shared" ca="1" si="46"/>
        <v>0</v>
      </c>
      <c r="CL48" s="754">
        <f t="shared" ca="1" si="47"/>
        <v>0</v>
      </c>
      <c r="CM48" s="754">
        <f ca="1">CG48+COUNTIFS($CH$6:$CH$53,CH48,$CL$6:CL$53,"&gt;"&amp;CL48,$BC$6:$BC$53,INDEX(T_Equipos[Grupo],MATCH(BD48,T_Equipos[NombreEquipo],0)))</f>
        <v>1</v>
      </c>
      <c r="CN48" s="753" t="str">
        <f ca="1">IF(COUNTIFS($CM$6:$CM$53,CM48,$BC$6:$BC$53,INDEX(T_Equipos[Grupo],MATCH(BD48,T_Equipos[NombreEquipo],0)))=1,"-","P."&amp;CM48&amp;" ("&amp;COUNTIFS($CM$6:$CM$53,CM48,$BC$6:$BC$53,INDEX(T_Equipos[Grupo],MATCH(BD48,T_Equipos[NombreEquipo],0)))&amp;")")</f>
        <v>P.1 (4)</v>
      </c>
      <c r="CO48" s="754">
        <f t="shared" ca="1" si="48"/>
        <v>0</v>
      </c>
      <c r="CP48" s="754">
        <f t="shared" ca="1" si="49"/>
        <v>0</v>
      </c>
      <c r="CQ48" s="754">
        <f t="shared" ca="1" si="50"/>
        <v>0</v>
      </c>
      <c r="CR48" s="754">
        <f ca="1">CM48+COUNTIFS($CN$6:$CN$53,CN48,$CQ$6:CQ$53,"&gt;"&amp;CQ48,$BC$6:$BC$53,INDEX(T_Equipos[Grupo],MATCH(BD48,T_Equipos[NombreEquipo],0)))</f>
        <v>1</v>
      </c>
      <c r="CS48" s="753" t="str">
        <f ca="1">IF(COUNTIFS($CR$6:$CR$53,CR48,$BC$6:$BC$53,INDEX(T_Equipos[Grupo],MATCH(BD48,T_Equipos[NombreEquipo],0)))=1,"-","P."&amp;CR48&amp;" ("&amp;COUNTIFS($CR$6:$CR$53,CR48,$BC$6:$BC$53,INDEX(T_Equipos[Grupo],MATCH(BD48,T_Equipos[NombreEquipo],0)))&amp;")")</f>
        <v>P.1 (4)</v>
      </c>
      <c r="CT48" s="754">
        <f t="shared" ca="1" si="51"/>
        <v>0</v>
      </c>
      <c r="CU48" s="754">
        <f ca="1">CR48+COUNTIFS($CS$6:$CS$53,CS48,$CT$6:CT$53,"&gt;"&amp;CT48,$BC$6:$BC$53,INDEX(T_Equipos[Grupo],MATCH(BD48,T_Equipos[NombreEquipo],0)))</f>
        <v>1</v>
      </c>
      <c r="CV48" s="753" t="str">
        <f ca="1">IF(COUNTIFS($CU$6:$CU$53,CU48,$BC$6:$BC$53,INDEX(T_Equipos[Grupo],MATCH(BD48,T_Equipos[NombreEquipo],0)))=1,"-","P."&amp;CU48&amp;" ("&amp;COUNTIFS($CU$6:$CU$53,CU48,$BC$6:$BC$53,INDEX(T_Equipos[Grupo],MATCH(BD48,T_Equipos[NombreEquipo],0)))&amp;")")</f>
        <v>P.1 (4)</v>
      </c>
      <c r="CW48" s="753">
        <f t="shared" ca="1" si="30"/>
        <v>0</v>
      </c>
      <c r="CX48" s="753">
        <f ca="1">CU48+COUNTIFS($CV$6:$CV$53,CV48,$CW$6:CW$53,"&gt;"&amp;CW48,$BC$6:$BC$53,INDEX(T_Equipos[Grupo],MATCH(BD48,T_Equipos[NombreEquipo],0)))</f>
        <v>1</v>
      </c>
      <c r="CY48" s="753" t="str">
        <f ca="1">IF(COUNTIFS($CX$6:$CX$53,CX48,$BC$6:$BC$53,INDEX(T_Equipos[Grupo],MATCH(BD48,T_Equipos[NombreEquipo],0)))=1,"-","P."&amp;CX48&amp;" ("&amp;COUNTIFS($CX$6:$CX$53,CX48,$BC$6:$BC$53,INDEX(T_Equipos[Grupo],MATCH(BD48,T_Equipos[NombreEquipo],0)))&amp;")")</f>
        <v>P.1 (4)</v>
      </c>
      <c r="CZ48" s="753">
        <f t="shared" ca="1" si="31"/>
        <v>0</v>
      </c>
      <c r="DA48" s="754">
        <f ca="1">CX48+COUNTIFS($CY$6:$CY$53,CY48,$CZ$6:CZ$53,"&gt;"&amp;CZ48,$BC$6:$BC$53,INDEX(T_Equipos[Grupo],MATCH(BD48,T_Equipos[NombreEquipo],0)))</f>
        <v>1</v>
      </c>
      <c r="DB48" s="753" t="str">
        <f ca="1">IF(COUNTIFS($DA$6:$DA$53,DA48,$BC$6:$BC$53,INDEX(T_Equipos[Grupo],MATCH(BD48,T_Equipos[NombreEquipo],0)))=1,"-","P."&amp;DA48&amp;" ("&amp;COUNTIFS($DA$6:$DA$53,DA48,$BC$6:$BC$53,INDEX(T_Equipos[Grupo],MATCH(BD48,T_Equipos[NombreEquipo],0)))&amp;")")</f>
        <v>P.1 (4)</v>
      </c>
      <c r="DC48" s="752">
        <f ca="1">IF(DB48="-","-",COUNTIFS(T_Equipos[Rank],"&lt;"&amp;INDEX(T_Equipos[Rank],MATCH(BD48,T_Equipos[NombreEquipo],0)),$BC$6:$BC$53,INDEX(T_Equipos[Grupo],MATCH(BD48,T_Equipos[NombreEquipo],0)))+1)</f>
        <v>3</v>
      </c>
      <c r="DD48" s="752">
        <f ca="1">DA48+COUNTIFS($DB$6:$DB$53,DB48,$DC$6:DC$53,"&lt;"&amp;DC48,$BC$6:$BC$53,INDEX(T_Equipos[Grupo],MATCH(BD48,T_Equipos[NombreEquipo],0)))</f>
        <v>3</v>
      </c>
      <c r="DE48" s="752"/>
      <c r="DF48" s="752">
        <f t="shared" ca="1" si="52"/>
        <v>3</v>
      </c>
      <c r="DG48" s="752">
        <f ca="1">IF(DB48="-","-",COUNTIFS(DF$6:DF$53,"&lt;"&amp;DF48,$BC$6:$BC$53,INDEX(T_Equipos[Grupo],MATCH(BD48,T_Equipos[NombreEquipo],0))))</f>
        <v>2</v>
      </c>
      <c r="DH48" s="752">
        <f ca="1">DA48+COUNTIFS(DB$6:DB$53,DB48,DG$6:DG$53,"&lt;"&amp;DG48,$BC$6:$BC$53,INDEX(T_Equipos[Grupo],MATCH(BD48,T_Equipos[NombreEquipo],0)))</f>
        <v>3</v>
      </c>
      <c r="DI48" s="740"/>
      <c r="DJ48" s="740">
        <f t="shared" ca="1" si="53"/>
        <v>1</v>
      </c>
      <c r="DK48" s="740">
        <f t="shared" ca="1" si="24"/>
        <v>0</v>
      </c>
      <c r="DL48" s="740">
        <f t="shared" ca="1" si="33"/>
        <v>1</v>
      </c>
      <c r="DM48" s="734" t="str">
        <f t="shared" ca="1" si="34"/>
        <v>1.1</v>
      </c>
      <c r="DN48" s="740" cm="1">
        <f t="array" aca="1" ref="DN48" ca="1">OFFSET(Horarios!$P$3,DJ48-1,0,DL48,1)</f>
        <v>1</v>
      </c>
      <c r="DO48" s="740"/>
      <c r="DP48" s="740" t="s">
        <v>442</v>
      </c>
      <c r="DQ48" s="740" t="str">
        <f t="shared" ca="1" si="35"/>
        <v>Uzbekistán</v>
      </c>
      <c r="DR48" s="740"/>
      <c r="DS48" s="740"/>
      <c r="DT48" s="740" t="str">
        <f t="shared" ca="1" si="15"/>
        <v>Japón-Suecia</v>
      </c>
      <c r="DU48" s="740"/>
      <c r="DV48" s="740"/>
      <c r="DW48" s="8"/>
    </row>
    <row r="49" spans="1:127" ht="17.100000000000001" customHeight="1" thickBot="1">
      <c r="A49" s="735"/>
      <c r="B49" s="735"/>
      <c r="C49" s="735"/>
      <c r="D49" s="740" t="str">
        <f t="shared" si="136"/>
        <v>Pendiente</v>
      </c>
      <c r="E49" s="740" t="str">
        <f t="shared" si="137"/>
        <v>-</v>
      </c>
      <c r="F49" s="740" t="str">
        <f t="shared" si="138"/>
        <v>-</v>
      </c>
      <c r="G49" s="740"/>
      <c r="H49" s="740" t="str">
        <f t="shared" si="139"/>
        <v>-</v>
      </c>
      <c r="I49" s="740" t="str">
        <f t="shared" si="140"/>
        <v>-</v>
      </c>
      <c r="J49" s="740"/>
      <c r="K49" s="740" t="str">
        <f t="shared" si="141"/>
        <v>-</v>
      </c>
      <c r="L49" s="740" t="str">
        <f t="shared" si="142"/>
        <v>-</v>
      </c>
      <c r="M49" s="740"/>
      <c r="N49" s="740" t="str">
        <f t="shared" si="143"/>
        <v>-</v>
      </c>
      <c r="O49" s="740" t="str">
        <f t="shared" si="144"/>
        <v>-</v>
      </c>
      <c r="P49" s="740"/>
      <c r="Q49" s="740" t="str">
        <f t="shared" si="145"/>
        <v>-</v>
      </c>
      <c r="R49" s="740" t="str">
        <f t="shared" si="146"/>
        <v>-</v>
      </c>
      <c r="S49" s="740"/>
      <c r="T49" s="740" t="str">
        <f t="shared" si="147"/>
        <v>-</v>
      </c>
      <c r="U49" s="740" t="str">
        <f t="shared" si="148"/>
        <v>-</v>
      </c>
      <c r="V49" s="172"/>
      <c r="W49" s="905"/>
      <c r="X49" s="228">
        <f ca="1">Horarios!C49</f>
        <v>46198.791666666664</v>
      </c>
      <c r="Y49" s="229">
        <f ca="1">Horarios!C49</f>
        <v>46198.791666666664</v>
      </c>
      <c r="Z49" s="230" t="str">
        <f>$Z$8</f>
        <v>J3</v>
      </c>
      <c r="AA49" s="231" t="str">
        <f ca="1">A48</f>
        <v>Túnez</v>
      </c>
      <c r="AB49" s="478" t="str" cm="1">
        <f t="array" aca="1" ref="AB49" ca="1">Ver_flag_local</f>
        <v/>
      </c>
      <c r="AC49" s="232"/>
      <c r="AD49" s="233"/>
      <c r="AE49" s="483" t="str" cm="1">
        <f t="array" aca="1" ref="AE49" ca="1">Ver_flag_visit</f>
        <v/>
      </c>
      <c r="AF49" s="234" t="str">
        <f ca="1">A45</f>
        <v>Países Bajos</v>
      </c>
      <c r="AG49" s="413">
        <f t="shared" si="149"/>
        <v>0</v>
      </c>
      <c r="AH49" s="196">
        <v>58</v>
      </c>
      <c r="AI49" s="19" t="str">
        <f t="shared" si="154"/>
        <v>4F</v>
      </c>
      <c r="AJ49" s="235">
        <v>4</v>
      </c>
      <c r="AK49" s="486"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0"/>
      <c r="BC49" s="752" t="str">
        <f ca="1">+INDEX(T_Equipos[Grupo],MATCH(WORLDCUP!BD49,T_Equipos[NombreEquipo],0))</f>
        <v>K</v>
      </c>
      <c r="BD49" s="740" t="str">
        <f ca="1">+Equipos!B45</f>
        <v>Colombia</v>
      </c>
      <c r="BE49" s="744">
        <f t="shared" ca="1" si="25"/>
        <v>0</v>
      </c>
      <c r="BF49" s="744">
        <f t="shared" ca="1" si="26"/>
        <v>0</v>
      </c>
      <c r="BG49" s="744">
        <f t="shared" ca="1" si="17"/>
        <v>0</v>
      </c>
      <c r="BH49" s="744">
        <f t="shared" ca="1" si="18"/>
        <v>0</v>
      </c>
      <c r="BI49" s="744">
        <f t="shared" ca="1" si="19"/>
        <v>0</v>
      </c>
      <c r="BJ49" s="744">
        <f t="shared" ca="1" si="20"/>
        <v>0</v>
      </c>
      <c r="BK49" s="744">
        <f t="shared" ca="1" si="21"/>
        <v>0</v>
      </c>
      <c r="BL49" s="744">
        <f t="shared" ca="1" si="27"/>
        <v>0</v>
      </c>
      <c r="BM49" s="744" t="str">
        <f t="shared" ca="1" si="22"/>
        <v>4K</v>
      </c>
      <c r="BN49" s="744" t="str">
        <f t="shared" ca="1" si="23"/>
        <v>4K</v>
      </c>
      <c r="BO49" s="753">
        <f t="shared" ca="1" si="28"/>
        <v>0</v>
      </c>
      <c r="BP49" s="753">
        <f ca="1">COUNTIFS($BO$6:$BO$53,"&gt;"&amp;BO49,$BC$6:$BC$53,INDEX(T_Equipos[Grupo],MATCH(BD49,T_Equipos[NombreEquipo],0)))+1</f>
        <v>1</v>
      </c>
      <c r="BQ49" s="753" t="str">
        <f ca="1">IF(COUNTIFS($BP$6:$BP$53,BP49,$BC$6:$BC$53,INDEX(T_Equipos[Grupo],MATCH(BD49,T_Equipos[NombreEquipo],0)))=1,"-","P."&amp;BP49&amp;" ("&amp;COUNTIFS($BP$6:$BP$53,BP49,$BC$6:$BC$53,INDEX(T_Equipos[Grupo],MATCH(BD49,T_Equipos[NombreEquipo],0)))&amp;")")</f>
        <v>P.1 (4)</v>
      </c>
      <c r="BR49" s="753">
        <f t="shared" ca="1" si="29"/>
        <v>0</v>
      </c>
      <c r="BS49" s="753">
        <f ca="1">BP49+COUNTIFS($BQ$6:$BQ$53,BQ49,$BR$6:BR$53,"&gt;"&amp;BR49,$BC$6:$BC$53,INDEX(T_Equipos[Grupo],MATCH(BD49,T_Equipos[NombreEquipo],0)))</f>
        <v>1</v>
      </c>
      <c r="BT49" s="753" t="str">
        <f ca="1">IF(COUNTIFS($BS$6:$BS$53,BS49,$BC$6:$BC$53,INDEX(T_Equipos[Grupo],MATCH(BD49,T_Equipos[NombreEquipo],0)))=1,"-","P."&amp;BS49&amp;" ("&amp;COUNTIFS($BS$6:$BS$53,BS49,$BC$6:$BC$53,INDEX(T_Equipos[Grupo],MATCH(BD49,T_Equipos[NombreEquipo],0)))&amp;")")</f>
        <v>P.1 (4)</v>
      </c>
      <c r="BU49" s="754">
        <f t="shared" ca="1" si="36"/>
        <v>0</v>
      </c>
      <c r="BV49" s="754">
        <f t="shared" ca="1" si="37"/>
        <v>0</v>
      </c>
      <c r="BW49" s="754">
        <f t="shared" ca="1" si="38"/>
        <v>0</v>
      </c>
      <c r="BX49" s="754">
        <f t="shared" ca="1" si="39"/>
        <v>0</v>
      </c>
      <c r="BY49" s="754">
        <f ca="1">BS49+COUNTIFS($BT$6:$BT$53,BT49,$BX$6:BX$53,"&gt;"&amp;BX49,$BC$6:$BC$53,INDEX(T_Equipos[Grupo],MATCH(BD49,T_Equipos[NombreEquipo],0)))</f>
        <v>1</v>
      </c>
      <c r="BZ49" s="753" t="str">
        <f ca="1">IF(COUNTIFS($BY$6:$BY$53,BY49,$BC$6:$BC$53,INDEX(T_Equipos[Grupo],MATCH(BD49,T_Equipos[NombreEquipo],0)))=1,"-","P."&amp;BY49&amp;" ("&amp;COUNTIFS($BY$6:$BY$53,BY49,$BC$6:$BC$53,INDEX(T_Equipos[Grupo],MATCH(BD49,T_Equipos[NombreEquipo],0)))&amp;")")</f>
        <v>P.1 (4)</v>
      </c>
      <c r="CA49" s="754">
        <f t="shared" ca="1" si="40"/>
        <v>0</v>
      </c>
      <c r="CB49" s="754">
        <f t="shared" ca="1" si="41"/>
        <v>0</v>
      </c>
      <c r="CC49" s="754">
        <f t="shared" ca="1" si="42"/>
        <v>0</v>
      </c>
      <c r="CD49" s="754">
        <f ca="1">BY49+COUNTIFS($BZ$6:$BZ$53,BZ49,$CC$6:CC$53,"&gt;"&amp;CC49,$BC$6:$BC$53,INDEX(T_Equipos[Grupo],MATCH(BD49,T_Equipos[NombreEquipo],0)))</f>
        <v>1</v>
      </c>
      <c r="CE49" s="753" t="str">
        <f ca="1">IF(COUNTIFS($CD$6:$CD$53,CD49,$BC$6:$BC$53,INDEX(T_Equipos[Grupo],MATCH(BD49,T_Equipos[NombreEquipo],0)))=1,"-","P."&amp;CD49&amp;" ("&amp;COUNTIFS($CD$6:$CD$53,CD49,$BC$6:$BC$53,INDEX(T_Equipos[Grupo],MATCH(BD49,T_Equipos[NombreEquipo],0)))&amp;")")</f>
        <v>P.1 (4)</v>
      </c>
      <c r="CF49" s="754">
        <f t="shared" ca="1" si="43"/>
        <v>0</v>
      </c>
      <c r="CG49" s="754">
        <f ca="1">CD49+COUNTIFS($CE$6:$CE$53,CE49,$CF$6:CF$53,"&gt;"&amp;CF49,$BC$6:$BC$53,INDEX(T_Equipos[Grupo],MATCH(BD49,T_Equipos[NombreEquipo],0)))</f>
        <v>1</v>
      </c>
      <c r="CH49" s="753" t="str">
        <f ca="1">IF(COUNTIFS($CG$6:$CG$53,CG49,$BC$6:$BC$53,INDEX(T_Equipos[Grupo],MATCH(BD49,T_Equipos[NombreEquipo],0)))=1,"-","P."&amp;CG49&amp;" ("&amp;COUNTIFS($CG$6:$CG$53,CG49,$BC$6:$BC$53,INDEX(T_Equipos[Grupo],MATCH(BD49,T_Equipos[NombreEquipo],0)))&amp;")")</f>
        <v>P.1 (4)</v>
      </c>
      <c r="CI49" s="754">
        <f t="shared" ca="1" si="44"/>
        <v>0</v>
      </c>
      <c r="CJ49" s="754">
        <f t="shared" ca="1" si="45"/>
        <v>0</v>
      </c>
      <c r="CK49" s="754">
        <f t="shared" ca="1" si="46"/>
        <v>0</v>
      </c>
      <c r="CL49" s="754">
        <f t="shared" ca="1" si="47"/>
        <v>0</v>
      </c>
      <c r="CM49" s="754">
        <f ca="1">CG49+COUNTIFS($CH$6:$CH$53,CH49,$CL$6:CL$53,"&gt;"&amp;CL49,$BC$6:$BC$53,INDEX(T_Equipos[Grupo],MATCH(BD49,T_Equipos[NombreEquipo],0)))</f>
        <v>1</v>
      </c>
      <c r="CN49" s="753" t="str">
        <f ca="1">IF(COUNTIFS($CM$6:$CM$53,CM49,$BC$6:$BC$53,INDEX(T_Equipos[Grupo],MATCH(BD49,T_Equipos[NombreEquipo],0)))=1,"-","P."&amp;CM49&amp;" ("&amp;COUNTIFS($CM$6:$CM$53,CM49,$BC$6:$BC$53,INDEX(T_Equipos[Grupo],MATCH(BD49,T_Equipos[NombreEquipo],0)))&amp;")")</f>
        <v>P.1 (4)</v>
      </c>
      <c r="CO49" s="754">
        <f t="shared" ca="1" si="48"/>
        <v>0</v>
      </c>
      <c r="CP49" s="754">
        <f t="shared" ca="1" si="49"/>
        <v>0</v>
      </c>
      <c r="CQ49" s="754">
        <f t="shared" ca="1" si="50"/>
        <v>0</v>
      </c>
      <c r="CR49" s="754">
        <f ca="1">CM49+COUNTIFS($CN$6:$CN$53,CN49,$CQ$6:CQ$53,"&gt;"&amp;CQ49,$BC$6:$BC$53,INDEX(T_Equipos[Grupo],MATCH(BD49,T_Equipos[NombreEquipo],0)))</f>
        <v>1</v>
      </c>
      <c r="CS49" s="753" t="str">
        <f ca="1">IF(COUNTIFS($CR$6:$CR$53,CR49,$BC$6:$BC$53,INDEX(T_Equipos[Grupo],MATCH(BD49,T_Equipos[NombreEquipo],0)))=1,"-","P."&amp;CR49&amp;" ("&amp;COUNTIFS($CR$6:$CR$53,CR49,$BC$6:$BC$53,INDEX(T_Equipos[Grupo],MATCH(BD49,T_Equipos[NombreEquipo],0)))&amp;")")</f>
        <v>P.1 (4)</v>
      </c>
      <c r="CT49" s="754">
        <f t="shared" ca="1" si="51"/>
        <v>0</v>
      </c>
      <c r="CU49" s="754">
        <f ca="1">CR49+COUNTIFS($CS$6:$CS$53,CS49,$CT$6:CT$53,"&gt;"&amp;CT49,$BC$6:$BC$53,INDEX(T_Equipos[Grupo],MATCH(BD49,T_Equipos[NombreEquipo],0)))</f>
        <v>1</v>
      </c>
      <c r="CV49" s="753" t="str">
        <f ca="1">IF(COUNTIFS($CU$6:$CU$53,CU49,$BC$6:$BC$53,INDEX(T_Equipos[Grupo],MATCH(BD49,T_Equipos[NombreEquipo],0)))=1,"-","P."&amp;CU49&amp;" ("&amp;COUNTIFS($CU$6:$CU$53,CU49,$BC$6:$BC$53,INDEX(T_Equipos[Grupo],MATCH(BD49,T_Equipos[NombreEquipo],0)))&amp;")")</f>
        <v>P.1 (4)</v>
      </c>
      <c r="CW49" s="753">
        <f t="shared" ca="1" si="30"/>
        <v>0</v>
      </c>
      <c r="CX49" s="753">
        <f ca="1">CU49+COUNTIFS($CV$6:$CV$53,CV49,$CW$6:CW$53,"&gt;"&amp;CW49,$BC$6:$BC$53,INDEX(T_Equipos[Grupo],MATCH(BD49,T_Equipos[NombreEquipo],0)))</f>
        <v>1</v>
      </c>
      <c r="CY49" s="753" t="str">
        <f ca="1">IF(COUNTIFS($CX$6:$CX$53,CX49,$BC$6:$BC$53,INDEX(T_Equipos[Grupo],MATCH(BD49,T_Equipos[NombreEquipo],0)))=1,"-","P."&amp;CX49&amp;" ("&amp;COUNTIFS($CX$6:$CX$53,CX49,$BC$6:$BC$53,INDEX(T_Equipos[Grupo],MATCH(BD49,T_Equipos[NombreEquipo],0)))&amp;")")</f>
        <v>P.1 (4)</v>
      </c>
      <c r="CZ49" s="753">
        <f t="shared" ca="1" si="31"/>
        <v>0</v>
      </c>
      <c r="DA49" s="754">
        <f ca="1">CX49+COUNTIFS($CY$6:$CY$53,CY49,$CZ$6:CZ$53,"&gt;"&amp;CZ49,$BC$6:$BC$53,INDEX(T_Equipos[Grupo],MATCH(BD49,T_Equipos[NombreEquipo],0)))</f>
        <v>1</v>
      </c>
      <c r="DB49" s="753" t="str">
        <f ca="1">IF(COUNTIFS($DA$6:$DA$53,DA49,$BC$6:$BC$53,INDEX(T_Equipos[Grupo],MATCH(BD49,T_Equipos[NombreEquipo],0)))=1,"-","P."&amp;DA49&amp;" ("&amp;COUNTIFS($DA$6:$DA$53,DA49,$BC$6:$BC$53,INDEX(T_Equipos[Grupo],MATCH(BD49,T_Equipos[NombreEquipo],0)))&amp;")")</f>
        <v>P.1 (4)</v>
      </c>
      <c r="DC49" s="752">
        <f ca="1">IF(DB49="-","-",COUNTIFS(T_Equipos[Rank],"&lt;"&amp;INDEX(T_Equipos[Rank],MATCH(BD49,T_Equipos[NombreEquipo],0)),$BC$6:$BC$53,INDEX(T_Equipos[Grupo],MATCH(BD49,T_Equipos[NombreEquipo],0)))+1)</f>
        <v>4</v>
      </c>
      <c r="DD49" s="752">
        <f ca="1">DA49+COUNTIFS($DB$6:$DB$53,DB49,$DC$6:DC$53,"&lt;"&amp;DC49,$BC$6:$BC$53,INDEX(T_Equipos[Grupo],MATCH(BD49,T_Equipos[NombreEquipo],0)))</f>
        <v>4</v>
      </c>
      <c r="DE49" s="752"/>
      <c r="DF49" s="752">
        <f t="shared" ca="1" si="52"/>
        <v>4</v>
      </c>
      <c r="DG49" s="752">
        <f ca="1">IF(DB49="-","-",COUNTIFS(DF$6:DF$53,"&lt;"&amp;DF49,$BC$6:$BC$53,INDEX(T_Equipos[Grupo],MATCH(BD49,T_Equipos[NombreEquipo],0))))</f>
        <v>3</v>
      </c>
      <c r="DH49" s="752">
        <f ca="1">DA49+COUNTIFS(DB$6:DB$53,DB49,DG$6:DG$53,"&lt;"&amp;DG49,$BC$6:$BC$53,INDEX(T_Equipos[Grupo],MATCH(BD49,T_Equipos[NombreEquipo],0)))</f>
        <v>4</v>
      </c>
      <c r="DI49" s="740"/>
      <c r="DJ49" s="740">
        <f t="shared" ca="1" si="53"/>
        <v>1</v>
      </c>
      <c r="DK49" s="740">
        <f t="shared" ca="1" si="24"/>
        <v>0</v>
      </c>
      <c r="DL49" s="740">
        <f t="shared" ca="1" si="33"/>
        <v>1</v>
      </c>
      <c r="DM49" s="734" t="str">
        <f t="shared" ca="1" si="34"/>
        <v>1.1</v>
      </c>
      <c r="DN49" s="740" cm="1">
        <f t="array" aca="1" ref="DN49" ca="1">OFFSET(Horarios!$P$3,DJ49-1,0,DL49,1)</f>
        <v>1</v>
      </c>
      <c r="DO49" s="740"/>
      <c r="DP49" s="740" t="s">
        <v>681</v>
      </c>
      <c r="DQ49" s="740" t="str">
        <f t="shared" ca="1" si="35"/>
        <v>Colombia</v>
      </c>
      <c r="DR49" s="740"/>
      <c r="DS49" s="740"/>
      <c r="DT49" s="740" t="str">
        <f t="shared" ca="1" si="15"/>
        <v>Túnez-Países Bajos</v>
      </c>
      <c r="DU49" s="740"/>
      <c r="DV49" s="740"/>
      <c r="DW49" s="8"/>
    </row>
    <row r="50" spans="1:127" ht="15.75" thickBot="1">
      <c r="A50" s="735"/>
      <c r="B50" s="735"/>
      <c r="C50" s="735"/>
      <c r="D50" s="740" t="str">
        <f t="shared" si="136"/>
        <v>Pendiente</v>
      </c>
      <c r="E50" s="740"/>
      <c r="F50" s="740"/>
      <c r="G50" s="740"/>
      <c r="H50" s="740"/>
      <c r="I50" s="740"/>
      <c r="J50" s="740"/>
      <c r="K50" s="740"/>
      <c r="L50" s="740"/>
      <c r="M50" s="740"/>
      <c r="N50" s="740"/>
      <c r="O50" s="740"/>
      <c r="P50" s="740"/>
      <c r="Q50" s="740"/>
      <c r="R50" s="740"/>
      <c r="S50" s="740"/>
      <c r="T50" s="740"/>
      <c r="U50" s="740"/>
      <c r="V50" s="172"/>
      <c r="W50" s="242"/>
      <c r="X50" s="243"/>
      <c r="Y50" s="242"/>
      <c r="Z50" s="244"/>
      <c r="AA50" s="245"/>
      <c r="AB50" s="481"/>
      <c r="AC50" s="247"/>
      <c r="AD50" s="247"/>
      <c r="AE50" s="481"/>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0"/>
      <c r="BC50" s="752" t="str">
        <f ca="1">+INDEX(T_Equipos[Grupo],MATCH(WORLDCUP!BD50,T_Equipos[NombreEquipo],0))</f>
        <v>L</v>
      </c>
      <c r="BD50" s="740" t="str">
        <f ca="1">+Equipos!B46</f>
        <v>Inglaterra</v>
      </c>
      <c r="BE50" s="744">
        <f t="shared" ca="1" si="25"/>
        <v>0</v>
      </c>
      <c r="BF50" s="744">
        <f t="shared" ca="1" si="26"/>
        <v>0</v>
      </c>
      <c r="BG50" s="744">
        <f t="shared" ca="1" si="17"/>
        <v>0</v>
      </c>
      <c r="BH50" s="744">
        <f t="shared" ca="1" si="18"/>
        <v>0</v>
      </c>
      <c r="BI50" s="744">
        <f t="shared" ca="1" si="19"/>
        <v>0</v>
      </c>
      <c r="BJ50" s="744">
        <f t="shared" ca="1" si="20"/>
        <v>0</v>
      </c>
      <c r="BK50" s="744">
        <f t="shared" ca="1" si="21"/>
        <v>0</v>
      </c>
      <c r="BL50" s="744">
        <f t="shared" ca="1" si="27"/>
        <v>0</v>
      </c>
      <c r="BM50" s="744" t="str">
        <f t="shared" ca="1" si="22"/>
        <v>1L</v>
      </c>
      <c r="BN50" s="744" t="str">
        <f t="shared" ca="1" si="23"/>
        <v>1L</v>
      </c>
      <c r="BO50" s="754">
        <f t="shared" ca="1" si="28"/>
        <v>0</v>
      </c>
      <c r="BP50" s="753">
        <f ca="1">COUNTIFS($BO$6:$BO$53,"&gt;"&amp;BO50,$BC$6:$BC$53,INDEX(T_Equipos[Grupo],MATCH(BD50,T_Equipos[NombreEquipo],0)))+1</f>
        <v>1</v>
      </c>
      <c r="BQ50" s="753" t="str">
        <f ca="1">IF(COUNTIFS($BP$6:$BP$53,BP50,$BC$6:$BC$53,INDEX(T_Equipos[Grupo],MATCH(BD50,T_Equipos[NombreEquipo],0)))=1,"-","P."&amp;BP50&amp;" ("&amp;COUNTIFS($BP$6:$BP$53,BP50,$BC$6:$BC$53,INDEX(T_Equipos[Grupo],MATCH(BD50,T_Equipos[NombreEquipo],0)))&amp;")")</f>
        <v>P.1 (4)</v>
      </c>
      <c r="BR50" s="754">
        <f t="shared" ca="1" si="29"/>
        <v>0</v>
      </c>
      <c r="BS50" s="753">
        <f ca="1">BP50+COUNTIFS($BQ$6:$BQ$53,BQ50,$BR$6:BR$53,"&gt;"&amp;BR50,$BC$6:$BC$53,INDEX(T_Equipos[Grupo],MATCH(BD50,T_Equipos[NombreEquipo],0)))</f>
        <v>1</v>
      </c>
      <c r="BT50" s="753" t="str">
        <f ca="1">IF(COUNTIFS($BS$6:$BS$53,BS50,$BC$6:$BC$53,INDEX(T_Equipos[Grupo],MATCH(BD50,T_Equipos[NombreEquipo],0)))=1,"-","P."&amp;BS50&amp;" ("&amp;COUNTIFS($BS$6:$BS$53,BS50,$BC$6:$BC$53,INDEX(T_Equipos[Grupo],MATCH(BD50,T_Equipos[NombreEquipo],0)))&amp;")")</f>
        <v>P.1 (4)</v>
      </c>
      <c r="BU50" s="754">
        <f t="shared" ca="1" si="36"/>
        <v>0</v>
      </c>
      <c r="BV50" s="754">
        <f t="shared" ca="1" si="37"/>
        <v>0</v>
      </c>
      <c r="BW50" s="754">
        <f t="shared" ca="1" si="38"/>
        <v>0</v>
      </c>
      <c r="BX50" s="754">
        <f t="shared" ca="1" si="39"/>
        <v>0</v>
      </c>
      <c r="BY50" s="754">
        <f ca="1">BS50+COUNTIFS($BT$6:$BT$53,BT50,$BX$6:BX$53,"&gt;"&amp;BX50,$BC$6:$BC$53,INDEX(T_Equipos[Grupo],MATCH(BD50,T_Equipos[NombreEquipo],0)))</f>
        <v>1</v>
      </c>
      <c r="BZ50" s="753" t="str">
        <f ca="1">IF(COUNTIFS($BY$6:$BY$53,BY50,$BC$6:$BC$53,INDEX(T_Equipos[Grupo],MATCH(BD50,T_Equipos[NombreEquipo],0)))=1,"-","P."&amp;BY50&amp;" ("&amp;COUNTIFS($BY$6:$BY$53,BY50,$BC$6:$BC$53,INDEX(T_Equipos[Grupo],MATCH(BD50,T_Equipos[NombreEquipo],0)))&amp;")")</f>
        <v>P.1 (4)</v>
      </c>
      <c r="CA50" s="754">
        <f t="shared" ca="1" si="40"/>
        <v>0</v>
      </c>
      <c r="CB50" s="754">
        <f t="shared" ca="1" si="41"/>
        <v>0</v>
      </c>
      <c r="CC50" s="754">
        <f t="shared" ca="1" si="42"/>
        <v>0</v>
      </c>
      <c r="CD50" s="754">
        <f ca="1">BY50+COUNTIFS($BZ$6:$BZ$53,BZ50,$CC$6:CC$53,"&gt;"&amp;CC50,$BC$6:$BC$53,INDEX(T_Equipos[Grupo],MATCH(BD50,T_Equipos[NombreEquipo],0)))</f>
        <v>1</v>
      </c>
      <c r="CE50" s="753" t="str">
        <f ca="1">IF(COUNTIFS($CD$6:$CD$53,CD50,$BC$6:$BC$53,INDEX(T_Equipos[Grupo],MATCH(BD50,T_Equipos[NombreEquipo],0)))=1,"-","P."&amp;CD50&amp;" ("&amp;COUNTIFS($CD$6:$CD$53,CD50,$BC$6:$BC$53,INDEX(T_Equipos[Grupo],MATCH(BD50,T_Equipos[NombreEquipo],0)))&amp;")")</f>
        <v>P.1 (4)</v>
      </c>
      <c r="CF50" s="754">
        <f t="shared" ca="1" si="43"/>
        <v>0</v>
      </c>
      <c r="CG50" s="754">
        <f ca="1">CD50+COUNTIFS($CE$6:$CE$53,CE50,$CF$6:CF$53,"&gt;"&amp;CF50,$BC$6:$BC$53,INDEX(T_Equipos[Grupo],MATCH(BD50,T_Equipos[NombreEquipo],0)))</f>
        <v>1</v>
      </c>
      <c r="CH50" s="753" t="str">
        <f ca="1">IF(COUNTIFS($CG$6:$CG$53,CG50,$BC$6:$BC$53,INDEX(T_Equipos[Grupo],MATCH(BD50,T_Equipos[NombreEquipo],0)))=1,"-","P."&amp;CG50&amp;" ("&amp;COUNTIFS($CG$6:$CG$53,CG50,$BC$6:$BC$53,INDEX(T_Equipos[Grupo],MATCH(BD50,T_Equipos[NombreEquipo],0)))&amp;")")</f>
        <v>P.1 (4)</v>
      </c>
      <c r="CI50" s="754">
        <f t="shared" ca="1" si="44"/>
        <v>0</v>
      </c>
      <c r="CJ50" s="754">
        <f t="shared" ca="1" si="45"/>
        <v>0</v>
      </c>
      <c r="CK50" s="754">
        <f t="shared" ca="1" si="46"/>
        <v>0</v>
      </c>
      <c r="CL50" s="754">
        <f t="shared" ca="1" si="47"/>
        <v>0</v>
      </c>
      <c r="CM50" s="754">
        <f ca="1">CG50+COUNTIFS($CH$6:$CH$53,CH50,$CL$6:CL$53,"&gt;"&amp;CL50,$BC$6:$BC$53,INDEX(T_Equipos[Grupo],MATCH(BD50,T_Equipos[NombreEquipo],0)))</f>
        <v>1</v>
      </c>
      <c r="CN50" s="753" t="str">
        <f ca="1">IF(COUNTIFS($CM$6:$CM$53,CM50,$BC$6:$BC$53,INDEX(T_Equipos[Grupo],MATCH(BD50,T_Equipos[NombreEquipo],0)))=1,"-","P."&amp;CM50&amp;" ("&amp;COUNTIFS($CM$6:$CM$53,CM50,$BC$6:$BC$53,INDEX(T_Equipos[Grupo],MATCH(BD50,T_Equipos[NombreEquipo],0)))&amp;")")</f>
        <v>P.1 (4)</v>
      </c>
      <c r="CO50" s="754">
        <f t="shared" ca="1" si="48"/>
        <v>0</v>
      </c>
      <c r="CP50" s="754">
        <f t="shared" ca="1" si="49"/>
        <v>0</v>
      </c>
      <c r="CQ50" s="754">
        <f t="shared" ca="1" si="50"/>
        <v>0</v>
      </c>
      <c r="CR50" s="754">
        <f ca="1">CM50+COUNTIFS($CN$6:$CN$53,CN50,$CQ$6:CQ$53,"&gt;"&amp;CQ50,$BC$6:$BC$53,INDEX(T_Equipos[Grupo],MATCH(BD50,T_Equipos[NombreEquipo],0)))</f>
        <v>1</v>
      </c>
      <c r="CS50" s="753" t="str">
        <f ca="1">IF(COUNTIFS($CR$6:$CR$53,CR50,$BC$6:$BC$53,INDEX(T_Equipos[Grupo],MATCH(BD50,T_Equipos[NombreEquipo],0)))=1,"-","P."&amp;CR50&amp;" ("&amp;COUNTIFS($CR$6:$CR$53,CR50,$BC$6:$BC$53,INDEX(T_Equipos[Grupo],MATCH(BD50,T_Equipos[NombreEquipo],0)))&amp;")")</f>
        <v>P.1 (4)</v>
      </c>
      <c r="CT50" s="754">
        <f t="shared" ca="1" si="51"/>
        <v>0</v>
      </c>
      <c r="CU50" s="754">
        <f ca="1">CR50+COUNTIFS($CS$6:$CS$53,CS50,$CT$6:CT$53,"&gt;"&amp;CT50,$BC$6:$BC$53,INDEX(T_Equipos[Grupo],MATCH(BD50,T_Equipos[NombreEquipo],0)))</f>
        <v>1</v>
      </c>
      <c r="CV50" s="753" t="str">
        <f ca="1">IF(COUNTIFS($CU$6:$CU$53,CU50,$BC$6:$BC$53,INDEX(T_Equipos[Grupo],MATCH(BD50,T_Equipos[NombreEquipo],0)))=1,"-","P."&amp;CU50&amp;" ("&amp;COUNTIFS($CU$6:$CU$53,CU50,$BC$6:$BC$53,INDEX(T_Equipos[Grupo],MATCH(BD50,T_Equipos[NombreEquipo],0)))&amp;")")</f>
        <v>P.1 (4)</v>
      </c>
      <c r="CW50" s="753">
        <f t="shared" ca="1" si="30"/>
        <v>0</v>
      </c>
      <c r="CX50" s="753">
        <f ca="1">CU50+COUNTIFS($CV$6:$CV$53,CV50,$CW$6:CW$53,"&gt;"&amp;CW50,$BC$6:$BC$53,INDEX(T_Equipos[Grupo],MATCH(BD50,T_Equipos[NombreEquipo],0)))</f>
        <v>1</v>
      </c>
      <c r="CY50" s="753" t="str">
        <f ca="1">IF(COUNTIFS($CX$6:$CX$53,CX50,$BC$6:$BC$53,INDEX(T_Equipos[Grupo],MATCH(BD50,T_Equipos[NombreEquipo],0)))=1,"-","P."&amp;CX50&amp;" ("&amp;COUNTIFS($CX$6:$CX$53,CX50,$BC$6:$BC$53,INDEX(T_Equipos[Grupo],MATCH(BD50,T_Equipos[NombreEquipo],0)))&amp;")")</f>
        <v>P.1 (4)</v>
      </c>
      <c r="CZ50" s="753">
        <f t="shared" ca="1" si="31"/>
        <v>0</v>
      </c>
      <c r="DA50" s="754">
        <f ca="1">CX50+COUNTIFS($CY$6:$CY$53,CY50,$CZ$6:CZ$53,"&gt;"&amp;CZ50,$BC$6:$BC$53,INDEX(T_Equipos[Grupo],MATCH(BD50,T_Equipos[NombreEquipo],0)))</f>
        <v>1</v>
      </c>
      <c r="DB50" s="753" t="str">
        <f ca="1">IF(COUNTIFS($DA$6:$DA$53,DA50,$BC$6:$BC$53,INDEX(T_Equipos[Grupo],MATCH(BD50,T_Equipos[NombreEquipo],0)))=1,"-","P."&amp;DA50&amp;" ("&amp;COUNTIFS($DA$6:$DA$53,DA50,$BC$6:$BC$53,INDEX(T_Equipos[Grupo],MATCH(BD50,T_Equipos[NombreEquipo],0)))&amp;")")</f>
        <v>P.1 (4)</v>
      </c>
      <c r="DC50" s="752">
        <f ca="1">IF(DB50="-","-",COUNTIFS(T_Equipos[Rank],"&lt;"&amp;INDEX(T_Equipos[Rank],MATCH(BD50,T_Equipos[NombreEquipo],0)),$BC$6:$BC$53,INDEX(T_Equipos[Grupo],MATCH(BD50,T_Equipos[NombreEquipo],0)))+1)</f>
        <v>1</v>
      </c>
      <c r="DD50" s="752">
        <f ca="1">DA50+COUNTIFS($DB$6:$DB$53,DB50,$DC$6:DC$53,"&lt;"&amp;DC50,$BC$6:$BC$53,INDEX(T_Equipos[Grupo],MATCH(BD50,T_Equipos[NombreEquipo],0)))</f>
        <v>1</v>
      </c>
      <c r="DE50" s="752"/>
      <c r="DF50" s="752">
        <f t="shared" ca="1" si="52"/>
        <v>1</v>
      </c>
      <c r="DG50" s="752">
        <f ca="1">IF(DB50="-","-",COUNTIFS(DF$6:DF$53,"&lt;"&amp;DF50,$BC$6:$BC$53,INDEX(T_Equipos[Grupo],MATCH(BD50,T_Equipos[NombreEquipo],0))))</f>
        <v>0</v>
      </c>
      <c r="DH50" s="752">
        <f ca="1">DA50+COUNTIFS(DB$6:DB$53,DB50,DG$6:DG$53,"&lt;"&amp;DG50,$BC$6:$BC$53,INDEX(T_Equipos[Grupo],MATCH(BD50,T_Equipos[NombreEquipo],0)))</f>
        <v>1</v>
      </c>
      <c r="DI50" s="740"/>
      <c r="DJ50" s="740">
        <f t="shared" ca="1" si="53"/>
        <v>1</v>
      </c>
      <c r="DK50" s="740">
        <f t="shared" ca="1" si="24"/>
        <v>0</v>
      </c>
      <c r="DL50" s="740">
        <f t="shared" ca="1" si="33"/>
        <v>1</v>
      </c>
      <c r="DM50" s="734" t="str">
        <f t="shared" ca="1" si="34"/>
        <v>1.1</v>
      </c>
      <c r="DN50" s="740" cm="1">
        <f t="array" aca="1" ref="DN50" ca="1">OFFSET(Horarios!$P$3,DJ50-1,0,DL50,1)</f>
        <v>1</v>
      </c>
      <c r="DO50" s="740"/>
      <c r="DP50" s="740" t="s">
        <v>682</v>
      </c>
      <c r="DQ50" s="740" t="str">
        <f t="shared" ca="1" si="35"/>
        <v>Inglaterra</v>
      </c>
      <c r="DR50" s="740"/>
      <c r="DS50" s="740"/>
      <c r="DT50" s="740" t="str">
        <f t="shared" si="15"/>
        <v>-</v>
      </c>
      <c r="DU50" s="740"/>
      <c r="DV50" s="740"/>
      <c r="DW50" s="8"/>
    </row>
    <row r="51" spans="1:127" ht="15.75" thickBot="1">
      <c r="A51" s="735"/>
      <c r="B51" s="735"/>
      <c r="C51" s="735"/>
      <c r="D51" s="735"/>
      <c r="E51" s="735"/>
      <c r="F51" s="735"/>
      <c r="G51" s="735"/>
      <c r="H51" s="735"/>
      <c r="I51" s="735"/>
      <c r="J51" s="735"/>
      <c r="K51" s="735"/>
      <c r="L51" s="735"/>
      <c r="M51" s="735"/>
      <c r="N51" s="740"/>
      <c r="O51" s="740"/>
      <c r="P51" s="740"/>
      <c r="Q51" s="740"/>
      <c r="R51" s="740"/>
      <c r="S51" s="740"/>
      <c r="T51" s="740"/>
      <c r="U51" s="740"/>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0"/>
      <c r="BC51" s="752" t="str">
        <f ca="1">+INDEX(T_Equipos[Grupo],MATCH(WORLDCUP!BD51,T_Equipos[NombreEquipo],0))</f>
        <v>L</v>
      </c>
      <c r="BD51" s="740" t="str">
        <f ca="1">+Equipos!B47</f>
        <v>Croacia</v>
      </c>
      <c r="BE51" s="744">
        <f t="shared" ca="1" si="25"/>
        <v>0</v>
      </c>
      <c r="BF51" s="744">
        <f t="shared" ca="1" si="26"/>
        <v>0</v>
      </c>
      <c r="BG51" s="744">
        <f t="shared" ca="1" si="17"/>
        <v>0</v>
      </c>
      <c r="BH51" s="744">
        <f t="shared" ca="1" si="18"/>
        <v>0</v>
      </c>
      <c r="BI51" s="744">
        <f t="shared" ca="1" si="19"/>
        <v>0</v>
      </c>
      <c r="BJ51" s="744">
        <f t="shared" ca="1" si="20"/>
        <v>0</v>
      </c>
      <c r="BK51" s="744">
        <f t="shared" ca="1" si="21"/>
        <v>0</v>
      </c>
      <c r="BL51" s="744">
        <f t="shared" ca="1" si="27"/>
        <v>0</v>
      </c>
      <c r="BM51" s="744" t="str">
        <f t="shared" ca="1" si="22"/>
        <v>2L</v>
      </c>
      <c r="BN51" s="744" t="str">
        <f t="shared" ca="1" si="23"/>
        <v>2L</v>
      </c>
      <c r="BO51" s="754">
        <f t="shared" ca="1" si="28"/>
        <v>0</v>
      </c>
      <c r="BP51" s="753">
        <f ca="1">COUNTIFS($BO$6:$BO$53,"&gt;"&amp;BO51,$BC$6:$BC$53,INDEX(T_Equipos[Grupo],MATCH(BD51,T_Equipos[NombreEquipo],0)))+1</f>
        <v>1</v>
      </c>
      <c r="BQ51" s="753" t="str">
        <f ca="1">IF(COUNTIFS($BP$6:$BP$53,BP51,$BC$6:$BC$53,INDEX(T_Equipos[Grupo],MATCH(BD51,T_Equipos[NombreEquipo],0)))=1,"-","P."&amp;BP51&amp;" ("&amp;COUNTIFS($BP$6:$BP$53,BP51,$BC$6:$BC$53,INDEX(T_Equipos[Grupo],MATCH(BD51,T_Equipos[NombreEquipo],0)))&amp;")")</f>
        <v>P.1 (4)</v>
      </c>
      <c r="BR51" s="754">
        <f t="shared" ca="1" si="29"/>
        <v>0</v>
      </c>
      <c r="BS51" s="753">
        <f ca="1">BP51+COUNTIFS($BQ$6:$BQ$53,BQ51,$BR$6:BR$53,"&gt;"&amp;BR51,$BC$6:$BC$53,INDEX(T_Equipos[Grupo],MATCH(BD51,T_Equipos[NombreEquipo],0)))</f>
        <v>1</v>
      </c>
      <c r="BT51" s="753" t="str">
        <f ca="1">IF(COUNTIFS($BS$6:$BS$53,BS51,$BC$6:$BC$53,INDEX(T_Equipos[Grupo],MATCH(BD51,T_Equipos[NombreEquipo],0)))=1,"-","P."&amp;BS51&amp;" ("&amp;COUNTIFS($BS$6:$BS$53,BS51,$BC$6:$BC$53,INDEX(T_Equipos[Grupo],MATCH(BD51,T_Equipos[NombreEquipo],0)))&amp;")")</f>
        <v>P.1 (4)</v>
      </c>
      <c r="BU51" s="754">
        <f t="shared" ca="1" si="36"/>
        <v>0</v>
      </c>
      <c r="BV51" s="754">
        <f t="shared" ca="1" si="37"/>
        <v>0</v>
      </c>
      <c r="BW51" s="754">
        <f t="shared" ca="1" si="38"/>
        <v>0</v>
      </c>
      <c r="BX51" s="754">
        <f t="shared" ca="1" si="39"/>
        <v>0</v>
      </c>
      <c r="BY51" s="754">
        <f ca="1">BS51+COUNTIFS($BT$6:$BT$53,BT51,$BX$6:BX$53,"&gt;"&amp;BX51,$BC$6:$BC$53,INDEX(T_Equipos[Grupo],MATCH(BD51,T_Equipos[NombreEquipo],0)))</f>
        <v>1</v>
      </c>
      <c r="BZ51" s="753" t="str">
        <f ca="1">IF(COUNTIFS($BY$6:$BY$53,BY51,$BC$6:$BC$53,INDEX(T_Equipos[Grupo],MATCH(BD51,T_Equipos[NombreEquipo],0)))=1,"-","P."&amp;BY51&amp;" ("&amp;COUNTIFS($BY$6:$BY$53,BY51,$BC$6:$BC$53,INDEX(T_Equipos[Grupo],MATCH(BD51,T_Equipos[NombreEquipo],0)))&amp;")")</f>
        <v>P.1 (4)</v>
      </c>
      <c r="CA51" s="754">
        <f t="shared" ca="1" si="40"/>
        <v>0</v>
      </c>
      <c r="CB51" s="754">
        <f t="shared" ca="1" si="41"/>
        <v>0</v>
      </c>
      <c r="CC51" s="754">
        <f t="shared" ca="1" si="42"/>
        <v>0</v>
      </c>
      <c r="CD51" s="754">
        <f ca="1">BY51+COUNTIFS($BZ$6:$BZ$53,BZ51,$CC$6:CC$53,"&gt;"&amp;CC51,$BC$6:$BC$53,INDEX(T_Equipos[Grupo],MATCH(BD51,T_Equipos[NombreEquipo],0)))</f>
        <v>1</v>
      </c>
      <c r="CE51" s="753" t="str">
        <f ca="1">IF(COUNTIFS($CD$6:$CD$53,CD51,$BC$6:$BC$53,INDEX(T_Equipos[Grupo],MATCH(BD51,T_Equipos[NombreEquipo],0)))=1,"-","P."&amp;CD51&amp;" ("&amp;COUNTIFS($CD$6:$CD$53,CD51,$BC$6:$BC$53,INDEX(T_Equipos[Grupo],MATCH(BD51,T_Equipos[NombreEquipo],0)))&amp;")")</f>
        <v>P.1 (4)</v>
      </c>
      <c r="CF51" s="754">
        <f t="shared" ca="1" si="43"/>
        <v>0</v>
      </c>
      <c r="CG51" s="754">
        <f ca="1">CD51+COUNTIFS($CE$6:$CE$53,CE51,$CF$6:CF$53,"&gt;"&amp;CF51,$BC$6:$BC$53,INDEX(T_Equipos[Grupo],MATCH(BD51,T_Equipos[NombreEquipo],0)))</f>
        <v>1</v>
      </c>
      <c r="CH51" s="753" t="str">
        <f ca="1">IF(COUNTIFS($CG$6:$CG$53,CG51,$BC$6:$BC$53,INDEX(T_Equipos[Grupo],MATCH(BD51,T_Equipos[NombreEquipo],0)))=1,"-","P."&amp;CG51&amp;" ("&amp;COUNTIFS($CG$6:$CG$53,CG51,$BC$6:$BC$53,INDEX(T_Equipos[Grupo],MATCH(BD51,T_Equipos[NombreEquipo],0)))&amp;")")</f>
        <v>P.1 (4)</v>
      </c>
      <c r="CI51" s="754">
        <f t="shared" ca="1" si="44"/>
        <v>0</v>
      </c>
      <c r="CJ51" s="754">
        <f t="shared" ca="1" si="45"/>
        <v>0</v>
      </c>
      <c r="CK51" s="754">
        <f t="shared" ca="1" si="46"/>
        <v>0</v>
      </c>
      <c r="CL51" s="754">
        <f t="shared" ca="1" si="47"/>
        <v>0</v>
      </c>
      <c r="CM51" s="754">
        <f ca="1">CG51+COUNTIFS($CH$6:$CH$53,CH51,$CL$6:CL$53,"&gt;"&amp;CL51,$BC$6:$BC$53,INDEX(T_Equipos[Grupo],MATCH(BD51,T_Equipos[NombreEquipo],0)))</f>
        <v>1</v>
      </c>
      <c r="CN51" s="753" t="str">
        <f ca="1">IF(COUNTIFS($CM$6:$CM$53,CM51,$BC$6:$BC$53,INDEX(T_Equipos[Grupo],MATCH(BD51,T_Equipos[NombreEquipo],0)))=1,"-","P."&amp;CM51&amp;" ("&amp;COUNTIFS($CM$6:$CM$53,CM51,$BC$6:$BC$53,INDEX(T_Equipos[Grupo],MATCH(BD51,T_Equipos[NombreEquipo],0)))&amp;")")</f>
        <v>P.1 (4)</v>
      </c>
      <c r="CO51" s="754">
        <f t="shared" ca="1" si="48"/>
        <v>0</v>
      </c>
      <c r="CP51" s="754">
        <f t="shared" ca="1" si="49"/>
        <v>0</v>
      </c>
      <c r="CQ51" s="754">
        <f t="shared" ca="1" si="50"/>
        <v>0</v>
      </c>
      <c r="CR51" s="754">
        <f ca="1">CM51+COUNTIFS($CN$6:$CN$53,CN51,$CQ$6:CQ$53,"&gt;"&amp;CQ51,$BC$6:$BC$53,INDEX(T_Equipos[Grupo],MATCH(BD51,T_Equipos[NombreEquipo],0)))</f>
        <v>1</v>
      </c>
      <c r="CS51" s="753" t="str">
        <f ca="1">IF(COUNTIFS($CR$6:$CR$53,CR51,$BC$6:$BC$53,INDEX(T_Equipos[Grupo],MATCH(BD51,T_Equipos[NombreEquipo],0)))=1,"-","P."&amp;CR51&amp;" ("&amp;COUNTIFS($CR$6:$CR$53,CR51,$BC$6:$BC$53,INDEX(T_Equipos[Grupo],MATCH(BD51,T_Equipos[NombreEquipo],0)))&amp;")")</f>
        <v>P.1 (4)</v>
      </c>
      <c r="CT51" s="754">
        <f t="shared" ca="1" si="51"/>
        <v>0</v>
      </c>
      <c r="CU51" s="754">
        <f ca="1">CR51+COUNTIFS($CS$6:$CS$53,CS51,$CT$6:CT$53,"&gt;"&amp;CT51,$BC$6:$BC$53,INDEX(T_Equipos[Grupo],MATCH(BD51,T_Equipos[NombreEquipo],0)))</f>
        <v>1</v>
      </c>
      <c r="CV51" s="753" t="str">
        <f ca="1">IF(COUNTIFS($CU$6:$CU$53,CU51,$BC$6:$BC$53,INDEX(T_Equipos[Grupo],MATCH(BD51,T_Equipos[NombreEquipo],0)))=1,"-","P."&amp;CU51&amp;" ("&amp;COUNTIFS($CU$6:$CU$53,CU51,$BC$6:$BC$53,INDEX(T_Equipos[Grupo],MATCH(BD51,T_Equipos[NombreEquipo],0)))&amp;")")</f>
        <v>P.1 (4)</v>
      </c>
      <c r="CW51" s="753">
        <f t="shared" ca="1" si="30"/>
        <v>0</v>
      </c>
      <c r="CX51" s="753">
        <f ca="1">CU51+COUNTIFS($CV$6:$CV$53,CV51,$CW$6:CW$53,"&gt;"&amp;CW51,$BC$6:$BC$53,INDEX(T_Equipos[Grupo],MATCH(BD51,T_Equipos[NombreEquipo],0)))</f>
        <v>1</v>
      </c>
      <c r="CY51" s="753" t="str">
        <f ca="1">IF(COUNTIFS($CX$6:$CX$53,CX51,$BC$6:$BC$53,INDEX(T_Equipos[Grupo],MATCH(BD51,T_Equipos[NombreEquipo],0)))=1,"-","P."&amp;CX51&amp;" ("&amp;COUNTIFS($CX$6:$CX$53,CX51,$BC$6:$BC$53,INDEX(T_Equipos[Grupo],MATCH(BD51,T_Equipos[NombreEquipo],0)))&amp;")")</f>
        <v>P.1 (4)</v>
      </c>
      <c r="CZ51" s="753">
        <f t="shared" ca="1" si="31"/>
        <v>0</v>
      </c>
      <c r="DA51" s="754">
        <f ca="1">CX51+COUNTIFS($CY$6:$CY$53,CY51,$CZ$6:CZ$53,"&gt;"&amp;CZ51,$BC$6:$BC$53,INDEX(T_Equipos[Grupo],MATCH(BD51,T_Equipos[NombreEquipo],0)))</f>
        <v>1</v>
      </c>
      <c r="DB51" s="753" t="str">
        <f ca="1">IF(COUNTIFS($DA$6:$DA$53,DA51,$BC$6:$BC$53,INDEX(T_Equipos[Grupo],MATCH(BD51,T_Equipos[NombreEquipo],0)))=1,"-","P."&amp;DA51&amp;" ("&amp;COUNTIFS($DA$6:$DA$53,DA51,$BC$6:$BC$53,INDEX(T_Equipos[Grupo],MATCH(BD51,T_Equipos[NombreEquipo],0)))&amp;")")</f>
        <v>P.1 (4)</v>
      </c>
      <c r="DC51" s="752">
        <f ca="1">IF(DB51="-","-",COUNTIFS(T_Equipos[Rank],"&lt;"&amp;INDEX(T_Equipos[Rank],MATCH(BD51,T_Equipos[NombreEquipo],0)),$BC$6:$BC$53,INDEX(T_Equipos[Grupo],MATCH(BD51,T_Equipos[NombreEquipo],0)))+1)</f>
        <v>2</v>
      </c>
      <c r="DD51" s="752">
        <f ca="1">DA51+COUNTIFS($DB$6:$DB$53,DB51,$DC$6:DC$53,"&lt;"&amp;DC51,$BC$6:$BC$53,INDEX(T_Equipos[Grupo],MATCH(BD51,T_Equipos[NombreEquipo],0)))</f>
        <v>2</v>
      </c>
      <c r="DE51" s="752"/>
      <c r="DF51" s="752">
        <f t="shared" ca="1" si="52"/>
        <v>2</v>
      </c>
      <c r="DG51" s="752">
        <f ca="1">IF(DB51="-","-",COUNTIFS(DF$6:DF$53,"&lt;"&amp;DF51,$BC$6:$BC$53,INDEX(T_Equipos[Grupo],MATCH(BD51,T_Equipos[NombreEquipo],0))))</f>
        <v>1</v>
      </c>
      <c r="DH51" s="752">
        <f ca="1">DA51+COUNTIFS(DB$6:DB$53,DB51,DG$6:DG$53,"&lt;"&amp;DG51,$BC$6:$BC$53,INDEX(T_Equipos[Grupo],MATCH(BD51,T_Equipos[NombreEquipo],0)))</f>
        <v>2</v>
      </c>
      <c r="DI51" s="740"/>
      <c r="DJ51" s="740">
        <f t="shared" ca="1" si="53"/>
        <v>1</v>
      </c>
      <c r="DK51" s="740">
        <f t="shared" ca="1" si="24"/>
        <v>0</v>
      </c>
      <c r="DL51" s="740">
        <f t="shared" ca="1" si="33"/>
        <v>1</v>
      </c>
      <c r="DM51" s="734" t="str">
        <f t="shared" ca="1" si="34"/>
        <v>1.1</v>
      </c>
      <c r="DN51" s="740" cm="1">
        <f t="array" aca="1" ref="DN51" ca="1">OFFSET(Horarios!$P$3,DJ51-1,0,DL51,1)</f>
        <v>1</v>
      </c>
      <c r="DO51" s="740"/>
      <c r="DP51" s="740" t="s">
        <v>683</v>
      </c>
      <c r="DQ51" s="740" t="str">
        <f t="shared" ca="1" si="35"/>
        <v>Croacia</v>
      </c>
      <c r="DR51" s="740"/>
      <c r="DS51" s="740"/>
      <c r="DT51" s="740" t="str">
        <f t="shared" si="15"/>
        <v>Casa-Fuera</v>
      </c>
      <c r="DU51" s="740"/>
      <c r="DV51" s="740"/>
      <c r="DW51" s="8"/>
    </row>
    <row r="52" spans="1:127" ht="15" customHeight="1" thickBot="1">
      <c r="A52" s="737" t="s">
        <v>30</v>
      </c>
      <c r="B52" s="738" t="s">
        <v>6</v>
      </c>
      <c r="C52" s="739">
        <f>COUNTIF(Equipos!$C$2:$C$49,WORLDCUP!B52)</f>
        <v>4</v>
      </c>
      <c r="D52" s="740" t="str">
        <f t="shared" ref="D52:D57" si="155">IF(OR(AC52="",AD52=""),"Pendiente",IF(AC52&gt;AD52,"Local",IF(AC52&lt;AD52,"Visitante","Empate")))</f>
        <v>Pendiente</v>
      </c>
      <c r="E52" s="740" t="str">
        <f t="shared" ref="E52:E57" si="156">IF(D52="Pendiente","-",INDEX($BT$6:$BT$53,MATCH($AA52,$BD$6:$BD$53,0)))</f>
        <v>-</v>
      </c>
      <c r="F52" s="740" t="str">
        <f t="shared" ref="F52:F57" si="157">IF(D52="Pendiente","-",INDEX($BT$6:$BT$53,MATCH($AF52,$BD$6:$BD$53,0)))</f>
        <v>-</v>
      </c>
      <c r="G52" s="740"/>
      <c r="H52" s="740" t="str">
        <f t="shared" ref="H52:H57" si="158">IF(D52="Pendiente","-",INDEX($BZ$6:$BZ$53,MATCH($AA52,$BD$6:$BD$53,0)))</f>
        <v>-</v>
      </c>
      <c r="I52" s="740" t="str">
        <f t="shared" ref="I52:I57" si="159">IF(D52="Pendiente","-",INDEX($BZ$6:$BZ$53,MATCH($AF52,$BD$6:$BD$53,0)))</f>
        <v>-</v>
      </c>
      <c r="J52" s="740"/>
      <c r="K52" s="740" t="str">
        <f t="shared" ref="K52:K57" si="160">IF(D52="Pendiente","-",INDEX($CE$6:$CE$53,MATCH($AA52,$BD$6:$BD$53,0)))</f>
        <v>-</v>
      </c>
      <c r="L52" s="740" t="str">
        <f t="shared" ref="L52:L57" si="161">IF(D52="Pendiente","-",INDEX($CE$6:$CE$53,MATCH($AF52,$BD$6:$BD$53,0)))</f>
        <v>-</v>
      </c>
      <c r="M52" s="740"/>
      <c r="N52" s="740" t="str">
        <f t="shared" ref="N52:N57" si="162">IF(D52="Pendiente","-",INDEX($CH$6:$CH$53,MATCH($AA52,$BD$6:$BD$53,0)))</f>
        <v>-</v>
      </c>
      <c r="O52" s="740" t="str">
        <f t="shared" ref="O52:O57" si="163">IF(D52="Pendiente","-",INDEX($CH$6:$CH$53,MATCH($AF52,$BD$6:$BD$53,0)))</f>
        <v>-</v>
      </c>
      <c r="P52" s="740"/>
      <c r="Q52" s="740" t="str">
        <f t="shared" ref="Q52:Q57" si="164">IF(D52="Pendiente","-",INDEX($CN$6:$CN$53,MATCH($AA52,$BD$6:$BD$53,0)))</f>
        <v>-</v>
      </c>
      <c r="R52" s="740" t="str">
        <f t="shared" ref="R52:R57" si="165">IF(D52="Pendiente","-",INDEX($CN$6:$CN$53,MATCH($AF52,$BD$6:$BD$53,0)))</f>
        <v>-</v>
      </c>
      <c r="S52" s="740"/>
      <c r="T52" s="740" t="str">
        <f t="shared" ref="T52:T57" si="166">IF(D52="Pendiente","-",INDEX($CS$6:$CS$53,MATCH($AA52,$BD$6:$BD$53,0)))</f>
        <v>-</v>
      </c>
      <c r="U52" s="740" t="str">
        <f t="shared" ref="U52:U57" si="167">IF(D52="Pendiente","-",INDEX($CS$6:$CS$53,MATCH($AF52,$BD$6:$BD$53,0)))</f>
        <v>-</v>
      </c>
      <c r="V52" s="172"/>
      <c r="W52" s="924" t="s">
        <v>6</v>
      </c>
      <c r="X52" s="189">
        <f ca="1">Horarios!C52</f>
        <v>46188.625</v>
      </c>
      <c r="Y52" s="190">
        <f ca="1">Horarios!C52</f>
        <v>46188.625</v>
      </c>
      <c r="Z52" s="191" t="str">
        <f>$Z$4</f>
        <v>J1</v>
      </c>
      <c r="AA52" s="192" t="str">
        <f ca="1">A53</f>
        <v>Bélgica</v>
      </c>
      <c r="AB52" s="477" t="str" cm="1">
        <f t="array" aca="1" ref="AB52" ca="1">Ver_flag_local</f>
        <v/>
      </c>
      <c r="AC52" s="193"/>
      <c r="AD52" s="194"/>
      <c r="AE52" s="482"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0"/>
      <c r="BC52" s="752" t="str">
        <f ca="1">+INDEX(T_Equipos[Grupo],MATCH(WORLDCUP!BD52,T_Equipos[NombreEquipo],0))</f>
        <v>L</v>
      </c>
      <c r="BD52" s="740" t="str">
        <f ca="1">+Equipos!B48</f>
        <v>Ghana</v>
      </c>
      <c r="BE52" s="744">
        <f t="shared" ca="1" si="25"/>
        <v>0</v>
      </c>
      <c r="BF52" s="744">
        <f t="shared" ca="1" si="26"/>
        <v>0</v>
      </c>
      <c r="BG52" s="744">
        <f t="shared" ca="1" si="17"/>
        <v>0</v>
      </c>
      <c r="BH52" s="744">
        <f t="shared" ca="1" si="18"/>
        <v>0</v>
      </c>
      <c r="BI52" s="744">
        <f t="shared" ca="1" si="19"/>
        <v>0</v>
      </c>
      <c r="BJ52" s="744">
        <f t="shared" ca="1" si="20"/>
        <v>0</v>
      </c>
      <c r="BK52" s="744">
        <f t="shared" ca="1" si="21"/>
        <v>0</v>
      </c>
      <c r="BL52" s="744">
        <f t="shared" ca="1" si="27"/>
        <v>0</v>
      </c>
      <c r="BM52" s="744" t="str">
        <f t="shared" ca="1" si="22"/>
        <v>3L</v>
      </c>
      <c r="BN52" s="744" t="str">
        <f t="shared" ca="1" si="23"/>
        <v>3L</v>
      </c>
      <c r="BO52" s="754">
        <f t="shared" ca="1" si="28"/>
        <v>0</v>
      </c>
      <c r="BP52" s="753">
        <f ca="1">COUNTIFS($BO$6:$BO$53,"&gt;"&amp;BO52,$BC$6:$BC$53,INDEX(T_Equipos[Grupo],MATCH(BD52,T_Equipos[NombreEquipo],0)))+1</f>
        <v>1</v>
      </c>
      <c r="BQ52" s="753" t="str">
        <f ca="1">IF(COUNTIFS($BP$6:$BP$53,BP52,$BC$6:$BC$53,INDEX(T_Equipos[Grupo],MATCH(BD52,T_Equipos[NombreEquipo],0)))=1,"-","P."&amp;BP52&amp;" ("&amp;COUNTIFS($BP$6:$BP$53,BP52,$BC$6:$BC$53,INDEX(T_Equipos[Grupo],MATCH(BD52,T_Equipos[NombreEquipo],0)))&amp;")")</f>
        <v>P.1 (4)</v>
      </c>
      <c r="BR52" s="754">
        <f t="shared" ca="1" si="29"/>
        <v>0</v>
      </c>
      <c r="BS52" s="753">
        <f ca="1">BP52+COUNTIFS($BQ$6:$BQ$53,BQ52,$BR$6:BR$53,"&gt;"&amp;BR52,$BC$6:$BC$53,INDEX(T_Equipos[Grupo],MATCH(BD52,T_Equipos[NombreEquipo],0)))</f>
        <v>1</v>
      </c>
      <c r="BT52" s="753" t="str">
        <f ca="1">IF(COUNTIFS($BS$6:$BS$53,BS52,$BC$6:$BC$53,INDEX(T_Equipos[Grupo],MATCH(BD52,T_Equipos[NombreEquipo],0)))=1,"-","P."&amp;BS52&amp;" ("&amp;COUNTIFS($BS$6:$BS$53,BS52,$BC$6:$BC$53,INDEX(T_Equipos[Grupo],MATCH(BD52,T_Equipos[NombreEquipo],0)))&amp;")")</f>
        <v>P.1 (4)</v>
      </c>
      <c r="BU52" s="754">
        <f t="shared" ca="1" si="36"/>
        <v>0</v>
      </c>
      <c r="BV52" s="754">
        <f t="shared" ca="1" si="37"/>
        <v>0</v>
      </c>
      <c r="BW52" s="754">
        <f t="shared" ca="1" si="38"/>
        <v>0</v>
      </c>
      <c r="BX52" s="754">
        <f t="shared" ca="1" si="39"/>
        <v>0</v>
      </c>
      <c r="BY52" s="754">
        <f ca="1">BS52+COUNTIFS($BT$6:$BT$53,BT52,$BX$6:BX$53,"&gt;"&amp;BX52,$BC$6:$BC$53,INDEX(T_Equipos[Grupo],MATCH(BD52,T_Equipos[NombreEquipo],0)))</f>
        <v>1</v>
      </c>
      <c r="BZ52" s="753" t="str">
        <f ca="1">IF(COUNTIFS($BY$6:$BY$53,BY52,$BC$6:$BC$53,INDEX(T_Equipos[Grupo],MATCH(BD52,T_Equipos[NombreEquipo],0)))=1,"-","P."&amp;BY52&amp;" ("&amp;COUNTIFS($BY$6:$BY$53,BY52,$BC$6:$BC$53,INDEX(T_Equipos[Grupo],MATCH(BD52,T_Equipos[NombreEquipo],0)))&amp;")")</f>
        <v>P.1 (4)</v>
      </c>
      <c r="CA52" s="754">
        <f t="shared" ca="1" si="40"/>
        <v>0</v>
      </c>
      <c r="CB52" s="754">
        <f t="shared" ca="1" si="41"/>
        <v>0</v>
      </c>
      <c r="CC52" s="754">
        <f t="shared" ca="1" si="42"/>
        <v>0</v>
      </c>
      <c r="CD52" s="754">
        <f ca="1">BY52+COUNTIFS($BZ$6:$BZ$53,BZ52,$CC$6:CC$53,"&gt;"&amp;CC52,$BC$6:$BC$53,INDEX(T_Equipos[Grupo],MATCH(BD52,T_Equipos[NombreEquipo],0)))</f>
        <v>1</v>
      </c>
      <c r="CE52" s="753" t="str">
        <f ca="1">IF(COUNTIFS($CD$6:$CD$53,CD52,$BC$6:$BC$53,INDEX(T_Equipos[Grupo],MATCH(BD52,T_Equipos[NombreEquipo],0)))=1,"-","P."&amp;CD52&amp;" ("&amp;COUNTIFS($CD$6:$CD$53,CD52,$BC$6:$BC$53,INDEX(T_Equipos[Grupo],MATCH(BD52,T_Equipos[NombreEquipo],0)))&amp;")")</f>
        <v>P.1 (4)</v>
      </c>
      <c r="CF52" s="754">
        <f t="shared" ca="1" si="43"/>
        <v>0</v>
      </c>
      <c r="CG52" s="754">
        <f ca="1">CD52+COUNTIFS($CE$6:$CE$53,CE52,$CF$6:CF$53,"&gt;"&amp;CF52,$BC$6:$BC$53,INDEX(T_Equipos[Grupo],MATCH(BD52,T_Equipos[NombreEquipo],0)))</f>
        <v>1</v>
      </c>
      <c r="CH52" s="753" t="str">
        <f ca="1">IF(COUNTIFS($CG$6:$CG$53,CG52,$BC$6:$BC$53,INDEX(T_Equipos[Grupo],MATCH(BD52,T_Equipos[NombreEquipo],0)))=1,"-","P."&amp;CG52&amp;" ("&amp;COUNTIFS($CG$6:$CG$53,CG52,$BC$6:$BC$53,INDEX(T_Equipos[Grupo],MATCH(BD52,T_Equipos[NombreEquipo],0)))&amp;")")</f>
        <v>P.1 (4)</v>
      </c>
      <c r="CI52" s="754">
        <f t="shared" ca="1" si="44"/>
        <v>0</v>
      </c>
      <c r="CJ52" s="754">
        <f t="shared" ca="1" si="45"/>
        <v>0</v>
      </c>
      <c r="CK52" s="754">
        <f t="shared" ca="1" si="46"/>
        <v>0</v>
      </c>
      <c r="CL52" s="754">
        <f t="shared" ca="1" si="47"/>
        <v>0</v>
      </c>
      <c r="CM52" s="754">
        <f ca="1">CG52+COUNTIFS($CH$6:$CH$53,CH52,$CL$6:CL$53,"&gt;"&amp;CL52,$BC$6:$BC$53,INDEX(T_Equipos[Grupo],MATCH(BD52,T_Equipos[NombreEquipo],0)))</f>
        <v>1</v>
      </c>
      <c r="CN52" s="753" t="str">
        <f ca="1">IF(COUNTIFS($CM$6:$CM$53,CM52,$BC$6:$BC$53,INDEX(T_Equipos[Grupo],MATCH(BD52,T_Equipos[NombreEquipo],0)))=1,"-","P."&amp;CM52&amp;" ("&amp;COUNTIFS($CM$6:$CM$53,CM52,$BC$6:$BC$53,INDEX(T_Equipos[Grupo],MATCH(BD52,T_Equipos[NombreEquipo],0)))&amp;")")</f>
        <v>P.1 (4)</v>
      </c>
      <c r="CO52" s="754">
        <f t="shared" ca="1" si="48"/>
        <v>0</v>
      </c>
      <c r="CP52" s="754">
        <f t="shared" ca="1" si="49"/>
        <v>0</v>
      </c>
      <c r="CQ52" s="754">
        <f t="shared" ca="1" si="50"/>
        <v>0</v>
      </c>
      <c r="CR52" s="754">
        <f ca="1">CM52+COUNTIFS($CN$6:$CN$53,CN52,$CQ$6:CQ$53,"&gt;"&amp;CQ52,$BC$6:$BC$53,INDEX(T_Equipos[Grupo],MATCH(BD52,T_Equipos[NombreEquipo],0)))</f>
        <v>1</v>
      </c>
      <c r="CS52" s="753" t="str">
        <f ca="1">IF(COUNTIFS($CR$6:$CR$53,CR52,$BC$6:$BC$53,INDEX(T_Equipos[Grupo],MATCH(BD52,T_Equipos[NombreEquipo],0)))=1,"-","P."&amp;CR52&amp;" ("&amp;COUNTIFS($CR$6:$CR$53,CR52,$BC$6:$BC$53,INDEX(T_Equipos[Grupo],MATCH(BD52,T_Equipos[NombreEquipo],0)))&amp;")")</f>
        <v>P.1 (4)</v>
      </c>
      <c r="CT52" s="754">
        <f t="shared" ca="1" si="51"/>
        <v>0</v>
      </c>
      <c r="CU52" s="754">
        <f ca="1">CR52+COUNTIFS($CS$6:$CS$53,CS52,$CT$6:CT$53,"&gt;"&amp;CT52,$BC$6:$BC$53,INDEX(T_Equipos[Grupo],MATCH(BD52,T_Equipos[NombreEquipo],0)))</f>
        <v>1</v>
      </c>
      <c r="CV52" s="753" t="str">
        <f ca="1">IF(COUNTIFS($CU$6:$CU$53,CU52,$BC$6:$BC$53,INDEX(T_Equipos[Grupo],MATCH(BD52,T_Equipos[NombreEquipo],0)))=1,"-","P."&amp;CU52&amp;" ("&amp;COUNTIFS($CU$6:$CU$53,CU52,$BC$6:$BC$53,INDEX(T_Equipos[Grupo],MATCH(BD52,T_Equipos[NombreEquipo],0)))&amp;")")</f>
        <v>P.1 (4)</v>
      </c>
      <c r="CW52" s="753">
        <f t="shared" ca="1" si="30"/>
        <v>0</v>
      </c>
      <c r="CX52" s="753">
        <f ca="1">CU52+COUNTIFS($CV$6:$CV$53,CV52,$CW$6:CW$53,"&gt;"&amp;CW52,$BC$6:$BC$53,INDEX(T_Equipos[Grupo],MATCH(BD52,T_Equipos[NombreEquipo],0)))</f>
        <v>1</v>
      </c>
      <c r="CY52" s="753" t="str">
        <f ca="1">IF(COUNTIFS($CX$6:$CX$53,CX52,$BC$6:$BC$53,INDEX(T_Equipos[Grupo],MATCH(BD52,T_Equipos[NombreEquipo],0)))=1,"-","P."&amp;CX52&amp;" ("&amp;COUNTIFS($CX$6:$CX$53,CX52,$BC$6:$BC$53,INDEX(T_Equipos[Grupo],MATCH(BD52,T_Equipos[NombreEquipo],0)))&amp;")")</f>
        <v>P.1 (4)</v>
      </c>
      <c r="CZ52" s="753">
        <f t="shared" ca="1" si="31"/>
        <v>0</v>
      </c>
      <c r="DA52" s="754">
        <f ca="1">CX52+COUNTIFS($CY$6:$CY$53,CY52,$CZ$6:CZ$53,"&gt;"&amp;CZ52,$BC$6:$BC$53,INDEX(T_Equipos[Grupo],MATCH(BD52,T_Equipos[NombreEquipo],0)))</f>
        <v>1</v>
      </c>
      <c r="DB52" s="753" t="str">
        <f ca="1">IF(COUNTIFS($DA$6:$DA$53,DA52,$BC$6:$BC$53,INDEX(T_Equipos[Grupo],MATCH(BD52,T_Equipos[NombreEquipo],0)))=1,"-","P."&amp;DA52&amp;" ("&amp;COUNTIFS($DA$6:$DA$53,DA52,$BC$6:$BC$53,INDEX(T_Equipos[Grupo],MATCH(BD52,T_Equipos[NombreEquipo],0)))&amp;")")</f>
        <v>P.1 (4)</v>
      </c>
      <c r="DC52" s="752">
        <f ca="1">IF(DB52="-","-",COUNTIFS(T_Equipos[Rank],"&lt;"&amp;INDEX(T_Equipos[Rank],MATCH(BD52,T_Equipos[NombreEquipo],0)),$BC$6:$BC$53,INDEX(T_Equipos[Grupo],MATCH(BD52,T_Equipos[NombreEquipo],0)))+1)</f>
        <v>3</v>
      </c>
      <c r="DD52" s="752">
        <f ca="1">DA52+COUNTIFS($DB$6:$DB$53,DB52,$DC$6:DC$53,"&lt;"&amp;DC52,$BC$6:$BC$53,INDEX(T_Equipos[Grupo],MATCH(BD52,T_Equipos[NombreEquipo],0)))</f>
        <v>3</v>
      </c>
      <c r="DE52" s="752"/>
      <c r="DF52" s="752">
        <f t="shared" ca="1" si="52"/>
        <v>3</v>
      </c>
      <c r="DG52" s="752">
        <f ca="1">IF(DB52="-","-",COUNTIFS(DF$6:DF$53,"&lt;"&amp;DF52,$BC$6:$BC$53,INDEX(T_Equipos[Grupo],MATCH(BD52,T_Equipos[NombreEquipo],0))))</f>
        <v>2</v>
      </c>
      <c r="DH52" s="752">
        <f ca="1">DA52+COUNTIFS(DB$6:DB$53,DB52,DG$6:DG$53,"&lt;"&amp;DG52,$BC$6:$BC$53,INDEX(T_Equipos[Grupo],MATCH(BD52,T_Equipos[NombreEquipo],0)))</f>
        <v>3</v>
      </c>
      <c r="DI52" s="740"/>
      <c r="DJ52" s="740">
        <f t="shared" ca="1" si="53"/>
        <v>1</v>
      </c>
      <c r="DK52" s="740">
        <f t="shared" ca="1" si="24"/>
        <v>0</v>
      </c>
      <c r="DL52" s="740">
        <f t="shared" ca="1" si="33"/>
        <v>1</v>
      </c>
      <c r="DM52" s="734" t="str">
        <f t="shared" ca="1" si="34"/>
        <v>1.1</v>
      </c>
      <c r="DN52" s="740" cm="1">
        <f t="array" aca="1" ref="DN52" ca="1">OFFSET(Horarios!$P$3,DJ52-1,0,DL52,1)</f>
        <v>1</v>
      </c>
      <c r="DO52" s="740"/>
      <c r="DP52" s="740" t="s">
        <v>443</v>
      </c>
      <c r="DQ52" s="740" t="str">
        <f t="shared" ca="1" si="35"/>
        <v>Ghana</v>
      </c>
      <c r="DR52" s="740"/>
      <c r="DS52" s="740"/>
      <c r="DT52" s="740" t="str">
        <f t="shared" ca="1" si="15"/>
        <v>Bélgica-Egipto</v>
      </c>
      <c r="DU52" s="740"/>
      <c r="DV52" s="740"/>
      <c r="DW52" s="8"/>
    </row>
    <row r="53" spans="1:127">
      <c r="A53" s="741" t="str">
        <f ca="1">+Equipos!B26</f>
        <v>Bélgica</v>
      </c>
      <c r="B53" s="738"/>
      <c r="C53" s="738"/>
      <c r="D53" s="740" t="str">
        <f t="shared" si="155"/>
        <v>Pendiente</v>
      </c>
      <c r="E53" s="740" t="str">
        <f t="shared" si="156"/>
        <v>-</v>
      </c>
      <c r="F53" s="740" t="str">
        <f t="shared" si="157"/>
        <v>-</v>
      </c>
      <c r="G53" s="740"/>
      <c r="H53" s="740" t="str">
        <f t="shared" si="158"/>
        <v>-</v>
      </c>
      <c r="I53" s="740" t="str">
        <f t="shared" si="159"/>
        <v>-</v>
      </c>
      <c r="J53" s="740"/>
      <c r="K53" s="740" t="str">
        <f t="shared" si="160"/>
        <v>-</v>
      </c>
      <c r="L53" s="740" t="str">
        <f t="shared" si="161"/>
        <v>-</v>
      </c>
      <c r="M53" s="740"/>
      <c r="N53" s="740" t="str">
        <f t="shared" si="162"/>
        <v>-</v>
      </c>
      <c r="O53" s="740" t="str">
        <f t="shared" si="163"/>
        <v>-</v>
      </c>
      <c r="P53" s="740"/>
      <c r="Q53" s="740" t="str">
        <f t="shared" si="164"/>
        <v>-</v>
      </c>
      <c r="R53" s="740" t="str">
        <f t="shared" si="165"/>
        <v>-</v>
      </c>
      <c r="S53" s="740"/>
      <c r="T53" s="740" t="str">
        <f t="shared" si="166"/>
        <v>-</v>
      </c>
      <c r="U53" s="740" t="str">
        <f t="shared" si="167"/>
        <v>-</v>
      </c>
      <c r="V53" s="172"/>
      <c r="W53" s="924"/>
      <c r="X53" s="189">
        <f ca="1">Horarios!C53</f>
        <v>46188.875</v>
      </c>
      <c r="Y53" s="190">
        <f ca="1">Horarios!C53</f>
        <v>46188.875</v>
      </c>
      <c r="Z53" s="191" t="str">
        <f>$Z$4</f>
        <v>J1</v>
      </c>
      <c r="AA53" s="192" t="str">
        <f ca="1">A55</f>
        <v>Irán</v>
      </c>
      <c r="AB53" s="477" t="str" cm="1">
        <f t="array" aca="1" ref="AB53" ca="1">Ver_flag_local</f>
        <v/>
      </c>
      <c r="AC53" s="193"/>
      <c r="AD53" s="194"/>
      <c r="AE53" s="482"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0"/>
      <c r="BC53" s="752" t="str">
        <f ca="1">+INDEX(T_Equipos[Grupo],MATCH(WORLDCUP!BD53,T_Equipos[NombreEquipo],0))</f>
        <v>L</v>
      </c>
      <c r="BD53" s="740" t="str">
        <f ca="1">+Equipos!B49</f>
        <v>Panamá</v>
      </c>
      <c r="BE53" s="744">
        <f t="shared" ca="1" si="25"/>
        <v>0</v>
      </c>
      <c r="BF53" s="744">
        <f t="shared" ca="1" si="26"/>
        <v>0</v>
      </c>
      <c r="BG53" s="744">
        <f t="shared" ca="1" si="17"/>
        <v>0</v>
      </c>
      <c r="BH53" s="744">
        <f t="shared" ca="1" si="18"/>
        <v>0</v>
      </c>
      <c r="BI53" s="744">
        <f t="shared" ca="1" si="19"/>
        <v>0</v>
      </c>
      <c r="BJ53" s="744">
        <f t="shared" ca="1" si="20"/>
        <v>0</v>
      </c>
      <c r="BK53" s="744">
        <f t="shared" ca="1" si="21"/>
        <v>0</v>
      </c>
      <c r="BL53" s="744">
        <f t="shared" ca="1" si="27"/>
        <v>0</v>
      </c>
      <c r="BM53" s="744" t="str">
        <f t="shared" ca="1" si="22"/>
        <v>4L</v>
      </c>
      <c r="BN53" s="744" t="str">
        <f t="shared" ca="1" si="23"/>
        <v>4L</v>
      </c>
      <c r="BO53" s="754">
        <f t="shared" ca="1" si="28"/>
        <v>0</v>
      </c>
      <c r="BP53" s="753">
        <f ca="1">COUNTIFS($BO$6:$BO$53,"&gt;"&amp;BO53,$BC$6:$BC$53,INDEX(T_Equipos[Grupo],MATCH(BD53,T_Equipos[NombreEquipo],0)))+1</f>
        <v>1</v>
      </c>
      <c r="BQ53" s="753" t="str">
        <f ca="1">IF(COUNTIFS($BP$6:$BP$53,BP53,$BC$6:$BC$53,INDEX(T_Equipos[Grupo],MATCH(BD53,T_Equipos[NombreEquipo],0)))=1,"-","P."&amp;BP53&amp;" ("&amp;COUNTIFS($BP$6:$BP$53,BP53,$BC$6:$BC$53,INDEX(T_Equipos[Grupo],MATCH(BD53,T_Equipos[NombreEquipo],0)))&amp;")")</f>
        <v>P.1 (4)</v>
      </c>
      <c r="BR53" s="754">
        <f t="shared" ca="1" si="29"/>
        <v>0</v>
      </c>
      <c r="BS53" s="753">
        <f ca="1">BP53+COUNTIFS($BQ$6:$BQ$53,BQ53,$BR$6:BR$53,"&gt;"&amp;BR53,$BC$6:$BC$53,INDEX(T_Equipos[Grupo],MATCH(BD53,T_Equipos[NombreEquipo],0)))</f>
        <v>1</v>
      </c>
      <c r="BT53" s="753" t="str">
        <f ca="1">IF(COUNTIFS($BS$6:$BS$53,BS53,$BC$6:$BC$53,INDEX(T_Equipos[Grupo],MATCH(BD53,T_Equipos[NombreEquipo],0)))=1,"-","P."&amp;BS53&amp;" ("&amp;COUNTIFS($BS$6:$BS$53,BS53,$BC$6:$BC$53,INDEX(T_Equipos[Grupo],MATCH(BD53,T_Equipos[NombreEquipo],0)))&amp;")")</f>
        <v>P.1 (4)</v>
      </c>
      <c r="BU53" s="754">
        <f t="shared" ca="1" si="36"/>
        <v>0</v>
      </c>
      <c r="BV53" s="754">
        <f t="shared" ca="1" si="37"/>
        <v>0</v>
      </c>
      <c r="BW53" s="754">
        <f t="shared" ca="1" si="38"/>
        <v>0</v>
      </c>
      <c r="BX53" s="754">
        <f t="shared" ca="1" si="39"/>
        <v>0</v>
      </c>
      <c r="BY53" s="754">
        <f ca="1">BS53+COUNTIFS($BT$6:$BT$53,BT53,$BX$6:BX$53,"&gt;"&amp;BX53,$BC$6:$BC$53,INDEX(T_Equipos[Grupo],MATCH(BD53,T_Equipos[NombreEquipo],0)))</f>
        <v>1</v>
      </c>
      <c r="BZ53" s="753" t="str">
        <f ca="1">IF(COUNTIFS($BY$6:$BY$53,BY53,$BC$6:$BC$53,INDEX(T_Equipos[Grupo],MATCH(BD53,T_Equipos[NombreEquipo],0)))=1,"-","P."&amp;BY53&amp;" ("&amp;COUNTIFS($BY$6:$BY$53,BY53,$BC$6:$BC$53,INDEX(T_Equipos[Grupo],MATCH(BD53,T_Equipos[NombreEquipo],0)))&amp;")")</f>
        <v>P.1 (4)</v>
      </c>
      <c r="CA53" s="754">
        <f t="shared" ca="1" si="40"/>
        <v>0</v>
      </c>
      <c r="CB53" s="754">
        <f t="shared" ca="1" si="41"/>
        <v>0</v>
      </c>
      <c r="CC53" s="754">
        <f t="shared" ca="1" si="42"/>
        <v>0</v>
      </c>
      <c r="CD53" s="754">
        <f ca="1">BY53+COUNTIFS($BZ$6:$BZ$53,BZ53,$CC$6:CC$53,"&gt;"&amp;CC53,$BC$6:$BC$53,INDEX(T_Equipos[Grupo],MATCH(BD53,T_Equipos[NombreEquipo],0)))</f>
        <v>1</v>
      </c>
      <c r="CE53" s="753" t="str">
        <f ca="1">IF(COUNTIFS($CD$6:$CD$53,CD53,$BC$6:$BC$53,INDEX(T_Equipos[Grupo],MATCH(BD53,T_Equipos[NombreEquipo],0)))=1,"-","P."&amp;CD53&amp;" ("&amp;COUNTIFS($CD$6:$CD$53,CD53,$BC$6:$BC$53,INDEX(T_Equipos[Grupo],MATCH(BD53,T_Equipos[NombreEquipo],0)))&amp;")")</f>
        <v>P.1 (4)</v>
      </c>
      <c r="CF53" s="754">
        <f t="shared" ca="1" si="43"/>
        <v>0</v>
      </c>
      <c r="CG53" s="754">
        <f ca="1">CD53+COUNTIFS($CE$6:$CE$53,CE53,$CF$6:CF$53,"&gt;"&amp;CF53,$BC$6:$BC$53,INDEX(T_Equipos[Grupo],MATCH(BD53,T_Equipos[NombreEquipo],0)))</f>
        <v>1</v>
      </c>
      <c r="CH53" s="753" t="str">
        <f ca="1">IF(COUNTIFS($CG$6:$CG$53,CG53,$BC$6:$BC$53,INDEX(T_Equipos[Grupo],MATCH(BD53,T_Equipos[NombreEquipo],0)))=1,"-","P."&amp;CG53&amp;" ("&amp;COUNTIFS($CG$6:$CG$53,CG53,$BC$6:$BC$53,INDEX(T_Equipos[Grupo],MATCH(BD53,T_Equipos[NombreEquipo],0)))&amp;")")</f>
        <v>P.1 (4)</v>
      </c>
      <c r="CI53" s="754">
        <f t="shared" ca="1" si="44"/>
        <v>0</v>
      </c>
      <c r="CJ53" s="754">
        <f t="shared" ca="1" si="45"/>
        <v>0</v>
      </c>
      <c r="CK53" s="754">
        <f t="shared" ca="1" si="46"/>
        <v>0</v>
      </c>
      <c r="CL53" s="754">
        <f t="shared" ca="1" si="47"/>
        <v>0</v>
      </c>
      <c r="CM53" s="754">
        <f ca="1">CG53+COUNTIFS($CH$6:$CH$53,CH53,$CL$6:CL$53,"&gt;"&amp;CL53,$BC$6:$BC$53,INDEX(T_Equipos[Grupo],MATCH(BD53,T_Equipos[NombreEquipo],0)))</f>
        <v>1</v>
      </c>
      <c r="CN53" s="753" t="str">
        <f ca="1">IF(COUNTIFS($CM$6:$CM$53,CM53,$BC$6:$BC$53,INDEX(T_Equipos[Grupo],MATCH(BD53,T_Equipos[NombreEquipo],0)))=1,"-","P."&amp;CM53&amp;" ("&amp;COUNTIFS($CM$6:$CM$53,CM53,$BC$6:$BC$53,INDEX(T_Equipos[Grupo],MATCH(BD53,T_Equipos[NombreEquipo],0)))&amp;")")</f>
        <v>P.1 (4)</v>
      </c>
      <c r="CO53" s="754">
        <f t="shared" ca="1" si="48"/>
        <v>0</v>
      </c>
      <c r="CP53" s="754">
        <f t="shared" ca="1" si="49"/>
        <v>0</v>
      </c>
      <c r="CQ53" s="754">
        <f t="shared" ca="1" si="50"/>
        <v>0</v>
      </c>
      <c r="CR53" s="754">
        <f ca="1">CM53+COUNTIFS($CN$6:$CN$53,CN53,$CQ$6:CQ$53,"&gt;"&amp;CQ53,$BC$6:$BC$53,INDEX(T_Equipos[Grupo],MATCH(BD53,T_Equipos[NombreEquipo],0)))</f>
        <v>1</v>
      </c>
      <c r="CS53" s="753" t="str">
        <f ca="1">IF(COUNTIFS($CR$6:$CR$53,CR53,$BC$6:$BC$53,INDEX(T_Equipos[Grupo],MATCH(BD53,T_Equipos[NombreEquipo],0)))=1,"-","P."&amp;CR53&amp;" ("&amp;COUNTIFS($CR$6:$CR$53,CR53,$BC$6:$BC$53,INDEX(T_Equipos[Grupo],MATCH(BD53,T_Equipos[NombreEquipo],0)))&amp;")")</f>
        <v>P.1 (4)</v>
      </c>
      <c r="CT53" s="754">
        <f t="shared" ca="1" si="51"/>
        <v>0</v>
      </c>
      <c r="CU53" s="754">
        <f ca="1">CR53+COUNTIFS($CS$6:$CS$53,CS53,$CT$6:CT$53,"&gt;"&amp;CT53,$BC$6:$BC$53,INDEX(T_Equipos[Grupo],MATCH(BD53,T_Equipos[NombreEquipo],0)))</f>
        <v>1</v>
      </c>
      <c r="CV53" s="753" t="str">
        <f ca="1">IF(COUNTIFS($CU$6:$CU$53,CU53,$BC$6:$BC$53,INDEX(T_Equipos[Grupo],MATCH(BD53,T_Equipos[NombreEquipo],0)))=1,"-","P."&amp;CU53&amp;" ("&amp;COUNTIFS($CU$6:$CU$53,CU53,$BC$6:$BC$53,INDEX(T_Equipos[Grupo],MATCH(BD53,T_Equipos[NombreEquipo],0)))&amp;")")</f>
        <v>P.1 (4)</v>
      </c>
      <c r="CW53" s="753">
        <f t="shared" ca="1" si="30"/>
        <v>0</v>
      </c>
      <c r="CX53" s="753">
        <f ca="1">CU53+COUNTIFS($CV$6:$CV$53,CV53,$CW$6:CW$53,"&gt;"&amp;CW53,$BC$6:$BC$53,INDEX(T_Equipos[Grupo],MATCH(BD53,T_Equipos[NombreEquipo],0)))</f>
        <v>1</v>
      </c>
      <c r="CY53" s="753" t="str">
        <f ca="1">IF(COUNTIFS($CX$6:$CX$53,CX53,$BC$6:$BC$53,INDEX(T_Equipos[Grupo],MATCH(BD53,T_Equipos[NombreEquipo],0)))=1,"-","P."&amp;CX53&amp;" ("&amp;COUNTIFS($CX$6:$CX$53,CX53,$BC$6:$BC$53,INDEX(T_Equipos[Grupo],MATCH(BD53,T_Equipos[NombreEquipo],0)))&amp;")")</f>
        <v>P.1 (4)</v>
      </c>
      <c r="CZ53" s="753">
        <f t="shared" ca="1" si="31"/>
        <v>0</v>
      </c>
      <c r="DA53" s="754">
        <f ca="1">CX53+COUNTIFS($CY$6:$CY$53,CY53,$CZ$6:CZ$53,"&gt;"&amp;CZ53,$BC$6:$BC$53,INDEX(T_Equipos[Grupo],MATCH(BD53,T_Equipos[NombreEquipo],0)))</f>
        <v>1</v>
      </c>
      <c r="DB53" s="753" t="str">
        <f ca="1">IF(COUNTIFS($DA$6:$DA$53,DA53,$BC$6:$BC$53,INDEX(T_Equipos[Grupo],MATCH(BD53,T_Equipos[NombreEquipo],0)))=1,"-","P."&amp;DA53&amp;" ("&amp;COUNTIFS($DA$6:$DA$53,DA53,$BC$6:$BC$53,INDEX(T_Equipos[Grupo],MATCH(BD53,T_Equipos[NombreEquipo],0)))&amp;")")</f>
        <v>P.1 (4)</v>
      </c>
      <c r="DC53" s="752">
        <f ca="1">IF(DB53="-","-",COUNTIFS(T_Equipos[Rank],"&lt;"&amp;INDEX(T_Equipos[Rank],MATCH(BD53,T_Equipos[NombreEquipo],0)),$BC$6:$BC$53,INDEX(T_Equipos[Grupo],MATCH(BD53,T_Equipos[NombreEquipo],0)))+1)</f>
        <v>4</v>
      </c>
      <c r="DD53" s="752">
        <f ca="1">DA53+COUNTIFS($DB$6:$DB$53,DB53,$DC$6:DC$53,"&lt;"&amp;DC53,$BC$6:$BC$53,INDEX(T_Equipos[Grupo],MATCH(BD53,T_Equipos[NombreEquipo],0)))</f>
        <v>4</v>
      </c>
      <c r="DE53" s="752"/>
      <c r="DF53" s="752">
        <f t="shared" ca="1" si="52"/>
        <v>4</v>
      </c>
      <c r="DG53" s="752">
        <f ca="1">IF(DB53="-","-",COUNTIFS(DF$6:DF$53,"&lt;"&amp;DF53,$BC$6:$BC$53,INDEX(T_Equipos[Grupo],MATCH(BD53,T_Equipos[NombreEquipo],0))))</f>
        <v>3</v>
      </c>
      <c r="DH53" s="752">
        <f ca="1">DA53+COUNTIFS(DB$6:DB$53,DB53,DG$6:DG$53,"&lt;"&amp;DG53,$BC$6:$BC$53,INDEX(T_Equipos[Grupo],MATCH(BD53,T_Equipos[NombreEquipo],0)))</f>
        <v>4</v>
      </c>
      <c r="DI53" s="740"/>
      <c r="DJ53" s="740">
        <f t="shared" ca="1" si="53"/>
        <v>1</v>
      </c>
      <c r="DK53" s="740">
        <f t="shared" ca="1" si="24"/>
        <v>0</v>
      </c>
      <c r="DL53" s="740">
        <f t="shared" ca="1" si="33"/>
        <v>1</v>
      </c>
      <c r="DM53" s="734" t="str">
        <f t="shared" ca="1" si="34"/>
        <v>1.1</v>
      </c>
      <c r="DN53" s="740" cm="1">
        <f t="array" aca="1" ref="DN53" ca="1">OFFSET(Horarios!$P$3,DJ53-1,0,DL53,1)</f>
        <v>1</v>
      </c>
      <c r="DO53" s="740"/>
      <c r="DP53" s="740" t="s">
        <v>684</v>
      </c>
      <c r="DQ53" s="740" t="str">
        <f t="shared" ca="1" si="35"/>
        <v>Panamá</v>
      </c>
      <c r="DR53" s="740"/>
      <c r="DS53" s="740"/>
      <c r="DT53" s="740" t="str">
        <f t="shared" ca="1" si="15"/>
        <v>Irán-Nueva Zelanda</v>
      </c>
      <c r="DU53" s="740"/>
      <c r="DV53" s="740"/>
      <c r="DW53" s="8"/>
    </row>
    <row r="54" spans="1:127">
      <c r="A54" s="741" t="str">
        <f ca="1">+Equipos!B27</f>
        <v>Egipto</v>
      </c>
      <c r="B54" s="738"/>
      <c r="C54" s="742"/>
      <c r="D54" s="740" t="str">
        <f t="shared" si="155"/>
        <v>Pendiente</v>
      </c>
      <c r="E54" s="740" t="str">
        <f t="shared" si="156"/>
        <v>-</v>
      </c>
      <c r="F54" s="740" t="str">
        <f t="shared" si="157"/>
        <v>-</v>
      </c>
      <c r="G54" s="740"/>
      <c r="H54" s="740" t="str">
        <f t="shared" si="158"/>
        <v>-</v>
      </c>
      <c r="I54" s="740" t="str">
        <f t="shared" si="159"/>
        <v>-</v>
      </c>
      <c r="J54" s="740"/>
      <c r="K54" s="740" t="str">
        <f t="shared" si="160"/>
        <v>-</v>
      </c>
      <c r="L54" s="740" t="str">
        <f t="shared" si="161"/>
        <v>-</v>
      </c>
      <c r="M54" s="740"/>
      <c r="N54" s="740" t="str">
        <f t="shared" si="162"/>
        <v>-</v>
      </c>
      <c r="O54" s="740" t="str">
        <f t="shared" si="163"/>
        <v>-</v>
      </c>
      <c r="P54" s="740"/>
      <c r="Q54" s="740" t="str">
        <f t="shared" si="164"/>
        <v>-</v>
      </c>
      <c r="R54" s="740" t="str">
        <f t="shared" si="165"/>
        <v>-</v>
      </c>
      <c r="S54" s="740"/>
      <c r="T54" s="740" t="str">
        <f t="shared" si="166"/>
        <v>-</v>
      </c>
      <c r="U54" s="740" t="str">
        <f t="shared" si="167"/>
        <v>-</v>
      </c>
      <c r="V54" s="172"/>
      <c r="W54" s="924"/>
      <c r="X54" s="189">
        <f ca="1">Horarios!C54</f>
        <v>46194.625</v>
      </c>
      <c r="Y54" s="190">
        <f ca="1">Horarios!C54</f>
        <v>46194.625</v>
      </c>
      <c r="Z54" s="191" t="str">
        <f>$Z$6</f>
        <v>J2</v>
      </c>
      <c r="AA54" s="192" t="str">
        <f ca="1">A53</f>
        <v>Bélgica</v>
      </c>
      <c r="AB54" s="477" t="str" cm="1">
        <f t="array" aca="1" ref="AB54" ca="1">Ver_flag_local</f>
        <v/>
      </c>
      <c r="AC54" s="193"/>
      <c r="AD54" s="194"/>
      <c r="AE54" s="482" t="str" cm="1">
        <f t="array" aca="1" ref="AE54" ca="1">Ver_flag_visit</f>
        <v/>
      </c>
      <c r="AF54" s="195" t="str">
        <f ca="1">A55</f>
        <v>Irán</v>
      </c>
      <c r="AG54" s="413">
        <f t="shared" si="168"/>
        <v>0</v>
      </c>
      <c r="AH54" s="196">
        <v>39</v>
      </c>
      <c r="AI54" s="19" t="str">
        <f>AJ54&amp;$B$52</f>
        <v>1G</v>
      </c>
      <c r="AJ54" s="211">
        <v>1</v>
      </c>
      <c r="AK54" s="487"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0"/>
      <c r="BC54" s="740"/>
      <c r="BD54" s="740"/>
      <c r="BE54" s="740"/>
      <c r="BF54" s="740"/>
      <c r="BG54" s="740"/>
      <c r="BH54" s="740"/>
      <c r="BI54" s="740"/>
      <c r="BJ54" s="740"/>
      <c r="BK54" s="740"/>
      <c r="BL54" s="740"/>
      <c r="BM54" s="740"/>
      <c r="BN54" s="745"/>
      <c r="BO54" s="745"/>
      <c r="BP54" s="745"/>
      <c r="BQ54" s="745"/>
      <c r="BR54" s="740"/>
      <c r="BS54" s="740"/>
      <c r="BT54" s="745"/>
      <c r="BU54" s="745"/>
      <c r="BV54" s="745"/>
      <c r="BW54" s="745"/>
      <c r="BX54" s="745"/>
      <c r="BY54" s="745"/>
      <c r="BZ54" s="745"/>
      <c r="CA54" s="745"/>
      <c r="CB54" s="745"/>
      <c r="CC54" s="745"/>
      <c r="CD54" s="745"/>
      <c r="CE54" s="745"/>
      <c r="CF54" s="745"/>
      <c r="CG54" s="745"/>
      <c r="CH54" s="745"/>
      <c r="CI54" s="745"/>
      <c r="CJ54" s="745"/>
      <c r="CK54" s="745"/>
      <c r="CL54" s="745"/>
      <c r="CM54" s="745"/>
      <c r="CN54" s="745"/>
      <c r="CO54" s="745"/>
      <c r="CP54" s="745"/>
      <c r="CQ54" s="745"/>
      <c r="CR54" s="745"/>
      <c r="CS54" s="745"/>
      <c r="CT54" s="745"/>
      <c r="CU54" s="745"/>
      <c r="CV54" s="745"/>
      <c r="CW54" s="740"/>
      <c r="CX54" s="745"/>
      <c r="CY54" s="740"/>
      <c r="CZ54" s="740"/>
      <c r="DA54" s="740"/>
      <c r="DB54" s="740"/>
      <c r="DC54" s="740"/>
      <c r="DD54" s="740"/>
      <c r="DE54" s="740"/>
      <c r="DF54" s="740"/>
      <c r="DG54" s="740"/>
      <c r="DH54" s="740"/>
      <c r="DI54" s="740"/>
      <c r="DJ54" s="740"/>
      <c r="DK54" s="740"/>
      <c r="DL54" s="740"/>
      <c r="DM54" s="740"/>
      <c r="DN54" s="740"/>
      <c r="DO54" s="740"/>
      <c r="DP54" s="740"/>
      <c r="DQ54" s="740"/>
      <c r="DR54" s="740"/>
      <c r="DS54" s="740"/>
      <c r="DT54" s="740" t="str">
        <f t="shared" ca="1" si="15"/>
        <v>Bélgica-Irán</v>
      </c>
      <c r="DU54" s="740"/>
      <c r="DV54" s="740"/>
      <c r="DW54" s="8"/>
    </row>
    <row r="55" spans="1:127">
      <c r="A55" s="741" t="str">
        <f ca="1">+Equipos!B28</f>
        <v>Irán</v>
      </c>
      <c r="B55" s="738"/>
      <c r="C55" s="740"/>
      <c r="D55" s="740" t="str">
        <f t="shared" si="155"/>
        <v>Pendiente</v>
      </c>
      <c r="E55" s="740" t="str">
        <f t="shared" si="156"/>
        <v>-</v>
      </c>
      <c r="F55" s="740" t="str">
        <f t="shared" si="157"/>
        <v>-</v>
      </c>
      <c r="G55" s="740"/>
      <c r="H55" s="740" t="str">
        <f t="shared" si="158"/>
        <v>-</v>
      </c>
      <c r="I55" s="740" t="str">
        <f t="shared" si="159"/>
        <v>-</v>
      </c>
      <c r="J55" s="740"/>
      <c r="K55" s="740" t="str">
        <f t="shared" si="160"/>
        <v>-</v>
      </c>
      <c r="L55" s="740" t="str">
        <f t="shared" si="161"/>
        <v>-</v>
      </c>
      <c r="M55" s="740"/>
      <c r="N55" s="740" t="str">
        <f t="shared" si="162"/>
        <v>-</v>
      </c>
      <c r="O55" s="740" t="str">
        <f t="shared" si="163"/>
        <v>-</v>
      </c>
      <c r="P55" s="740"/>
      <c r="Q55" s="740" t="str">
        <f t="shared" si="164"/>
        <v>-</v>
      </c>
      <c r="R55" s="740" t="str">
        <f t="shared" si="165"/>
        <v>-</v>
      </c>
      <c r="S55" s="740"/>
      <c r="T55" s="740" t="str">
        <f t="shared" si="166"/>
        <v>-</v>
      </c>
      <c r="U55" s="740" t="str">
        <f t="shared" si="167"/>
        <v>-</v>
      </c>
      <c r="V55" s="172"/>
      <c r="W55" s="924"/>
      <c r="X55" s="189">
        <f ca="1">Horarios!C55</f>
        <v>46194.875</v>
      </c>
      <c r="Y55" s="190">
        <f ca="1">Horarios!C55</f>
        <v>46194.875</v>
      </c>
      <c r="Z55" s="191" t="str">
        <f>$Z$6</f>
        <v>J2</v>
      </c>
      <c r="AA55" s="192" t="str">
        <f ca="1">A56</f>
        <v>Nueva Zelanda</v>
      </c>
      <c r="AB55" s="477" t="str" cm="1">
        <f t="array" aca="1" ref="AB55" ca="1">Ver_flag_local</f>
        <v/>
      </c>
      <c r="AC55" s="193"/>
      <c r="AD55" s="194"/>
      <c r="AE55" s="482" t="str" cm="1">
        <f t="array" aca="1" ref="AE55" ca="1">Ver_flag_visit</f>
        <v/>
      </c>
      <c r="AF55" s="195" t="str">
        <f ca="1">A54</f>
        <v>Egipto</v>
      </c>
      <c r="AG55" s="413">
        <f t="shared" si="168"/>
        <v>0</v>
      </c>
      <c r="AH55" s="196">
        <v>40</v>
      </c>
      <c r="AI55" s="19" t="str">
        <f t="shared" ref="AI55:AI57" si="173">AJ55&amp;$B$52</f>
        <v>2G</v>
      </c>
      <c r="AJ55" s="221">
        <v>2</v>
      </c>
      <c r="AK55" s="485"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0"/>
      <c r="BC55" s="740"/>
      <c r="BD55" s="740"/>
      <c r="BE55" s="740"/>
      <c r="BF55" s="740"/>
      <c r="BG55" s="740"/>
      <c r="BH55" s="740"/>
      <c r="BI55" s="740"/>
      <c r="BJ55" s="740"/>
      <c r="BK55" s="740"/>
      <c r="BL55" s="740"/>
      <c r="BM55" s="740"/>
      <c r="BN55" s="745"/>
      <c r="BO55" s="745"/>
      <c r="BP55" s="745"/>
      <c r="BQ55" s="745"/>
      <c r="BR55" s="740"/>
      <c r="BS55" s="740"/>
      <c r="BT55" s="745"/>
      <c r="BU55" s="745"/>
      <c r="BV55" s="745"/>
      <c r="BW55" s="745"/>
      <c r="BX55" s="745"/>
      <c r="BY55" s="745"/>
      <c r="BZ55" s="745"/>
      <c r="CA55" s="745"/>
      <c r="CB55" s="745"/>
      <c r="CC55" s="745"/>
      <c r="CD55" s="745"/>
      <c r="CE55" s="745"/>
      <c r="CF55" s="745"/>
      <c r="CG55" s="745"/>
      <c r="CH55" s="745"/>
      <c r="CI55" s="745"/>
      <c r="CJ55" s="745"/>
      <c r="CK55" s="745"/>
      <c r="CL55" s="745"/>
      <c r="CM55" s="745"/>
      <c r="CN55" s="745"/>
      <c r="CO55" s="745"/>
      <c r="CP55" s="745"/>
      <c r="CQ55" s="745"/>
      <c r="CR55" s="745"/>
      <c r="CS55" s="745"/>
      <c r="CT55" s="745"/>
      <c r="CU55" s="745"/>
      <c r="CV55" s="745"/>
      <c r="CW55" s="740"/>
      <c r="CX55" s="745"/>
      <c r="CY55" s="740"/>
      <c r="CZ55" s="740"/>
      <c r="DA55" s="740"/>
      <c r="DB55" s="740"/>
      <c r="DC55" s="740"/>
      <c r="DD55" s="740"/>
      <c r="DE55" s="740"/>
      <c r="DF55" s="740"/>
      <c r="DG55" s="740"/>
      <c r="DH55" s="740"/>
      <c r="DI55" s="740"/>
      <c r="DJ55" s="740"/>
      <c r="DK55" s="740"/>
      <c r="DL55" s="740"/>
      <c r="DM55" s="740"/>
      <c r="DN55" s="740"/>
      <c r="DO55" s="740"/>
      <c r="DP55" s="740"/>
      <c r="DQ55" s="740"/>
      <c r="DR55" s="740"/>
      <c r="DS55" s="740"/>
      <c r="DT55" s="740" t="str">
        <f t="shared" ca="1" si="15"/>
        <v>Nueva Zelanda-Egipto</v>
      </c>
      <c r="DU55" s="740"/>
      <c r="DV55" s="740"/>
      <c r="DW55" s="8"/>
    </row>
    <row r="56" spans="1:127">
      <c r="A56" s="741" t="str">
        <f ca="1">+Equipos!B29</f>
        <v>Nueva Zelanda</v>
      </c>
      <c r="B56" s="738"/>
      <c r="C56" s="740"/>
      <c r="D56" s="740" t="str">
        <f t="shared" si="155"/>
        <v>Pendiente</v>
      </c>
      <c r="E56" s="740" t="str">
        <f t="shared" si="156"/>
        <v>-</v>
      </c>
      <c r="F56" s="740" t="str">
        <f t="shared" si="157"/>
        <v>-</v>
      </c>
      <c r="G56" s="740"/>
      <c r="H56" s="740" t="str">
        <f t="shared" si="158"/>
        <v>-</v>
      </c>
      <c r="I56" s="740" t="str">
        <f t="shared" si="159"/>
        <v>-</v>
      </c>
      <c r="J56" s="740"/>
      <c r="K56" s="740" t="str">
        <f t="shared" si="160"/>
        <v>-</v>
      </c>
      <c r="L56" s="740" t="str">
        <f t="shared" si="161"/>
        <v>-</v>
      </c>
      <c r="M56" s="740"/>
      <c r="N56" s="740" t="str">
        <f t="shared" si="162"/>
        <v>-</v>
      </c>
      <c r="O56" s="740" t="str">
        <f t="shared" si="163"/>
        <v>-</v>
      </c>
      <c r="P56" s="740"/>
      <c r="Q56" s="740" t="str">
        <f t="shared" si="164"/>
        <v>-</v>
      </c>
      <c r="R56" s="740" t="str">
        <f t="shared" si="165"/>
        <v>-</v>
      </c>
      <c r="S56" s="740"/>
      <c r="T56" s="740" t="str">
        <f t="shared" si="166"/>
        <v>-</v>
      </c>
      <c r="U56" s="740" t="str">
        <f t="shared" si="167"/>
        <v>-</v>
      </c>
      <c r="V56" s="172"/>
      <c r="W56" s="924"/>
      <c r="X56" s="189">
        <f ca="1">Horarios!C56</f>
        <v>46199.958333333336</v>
      </c>
      <c r="Y56" s="190">
        <f ca="1">Horarios!C56</f>
        <v>46199.958333333336</v>
      </c>
      <c r="Z56" s="191" t="str">
        <f>$Z$8</f>
        <v>J3</v>
      </c>
      <c r="AA56" s="192" t="str">
        <f ca="1">A54</f>
        <v>Egipto</v>
      </c>
      <c r="AB56" s="477" t="str" cm="1">
        <f t="array" aca="1" ref="AB56" ca="1">Ver_flag_local</f>
        <v/>
      </c>
      <c r="AC56" s="193"/>
      <c r="AD56" s="194"/>
      <c r="AE56" s="482" t="str" cm="1">
        <f t="array" aca="1" ref="AE56" ca="1">Ver_flag_visit</f>
        <v/>
      </c>
      <c r="AF56" s="195" t="str">
        <f ca="1">A55</f>
        <v>Irán</v>
      </c>
      <c r="AG56" s="413">
        <f t="shared" si="168"/>
        <v>0</v>
      </c>
      <c r="AH56" s="196">
        <v>63</v>
      </c>
      <c r="AI56" s="19" t="str">
        <f t="shared" si="173"/>
        <v>3G</v>
      </c>
      <c r="AJ56" s="221">
        <v>3</v>
      </c>
      <c r="AK56" s="485"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0"/>
      <c r="BC56" s="740"/>
      <c r="BD56" s="740"/>
      <c r="BE56" s="740"/>
      <c r="BF56" s="740"/>
      <c r="BG56" s="740"/>
      <c r="BH56" s="740"/>
      <c r="BI56" s="740"/>
      <c r="BJ56" s="740"/>
      <c r="BK56" s="740"/>
      <c r="BL56" s="740"/>
      <c r="BM56" s="740"/>
      <c r="BN56" s="745"/>
      <c r="BO56" s="745"/>
      <c r="BP56" s="745"/>
      <c r="BQ56" s="745"/>
      <c r="BR56" s="740"/>
      <c r="BS56" s="740"/>
      <c r="BT56" s="745"/>
      <c r="BU56" s="745"/>
      <c r="BV56" s="745"/>
      <c r="BW56" s="745"/>
      <c r="BX56" s="745"/>
      <c r="BY56" s="745"/>
      <c r="BZ56" s="745"/>
      <c r="CA56" s="745"/>
      <c r="CB56" s="745"/>
      <c r="CC56" s="745"/>
      <c r="CD56" s="745"/>
      <c r="CE56" s="745"/>
      <c r="CF56" s="745"/>
      <c r="CG56" s="745"/>
      <c r="CH56" s="745"/>
      <c r="CI56" s="745"/>
      <c r="CJ56" s="745"/>
      <c r="CK56" s="745"/>
      <c r="CL56" s="745"/>
      <c r="CM56" s="745"/>
      <c r="CN56" s="745"/>
      <c r="CO56" s="745"/>
      <c r="CP56" s="745"/>
      <c r="CQ56" s="745"/>
      <c r="CR56" s="745"/>
      <c r="CS56" s="745"/>
      <c r="CT56" s="745"/>
      <c r="CU56" s="745"/>
      <c r="CV56" s="745"/>
      <c r="CW56" s="740"/>
      <c r="CX56" s="745"/>
      <c r="CY56" s="740"/>
      <c r="CZ56" s="740"/>
      <c r="DA56" s="740"/>
      <c r="DB56" s="740"/>
      <c r="DC56" s="740"/>
      <c r="DD56" s="740"/>
      <c r="DE56" s="740"/>
      <c r="DF56" s="740"/>
      <c r="DG56" s="740"/>
      <c r="DH56" s="740"/>
      <c r="DI56" s="740"/>
      <c r="DJ56" s="740"/>
      <c r="DK56" s="740"/>
      <c r="DL56" s="740"/>
      <c r="DM56" s="740"/>
      <c r="DN56" s="740"/>
      <c r="DO56" s="740"/>
      <c r="DP56" s="740"/>
      <c r="DQ56" s="740"/>
      <c r="DR56" s="740"/>
      <c r="DS56" s="740"/>
      <c r="DT56" s="740" t="str">
        <f t="shared" ca="1" si="15"/>
        <v>Egipto-Irán</v>
      </c>
      <c r="DU56" s="740"/>
      <c r="DV56" s="740"/>
      <c r="DW56" s="8"/>
    </row>
    <row r="57" spans="1:127" ht="15.75" thickBot="1">
      <c r="A57" s="735"/>
      <c r="B57" s="738"/>
      <c r="C57" s="735"/>
      <c r="D57" s="740" t="str">
        <f t="shared" si="155"/>
        <v>Pendiente</v>
      </c>
      <c r="E57" s="740" t="str">
        <f t="shared" si="156"/>
        <v>-</v>
      </c>
      <c r="F57" s="740" t="str">
        <f t="shared" si="157"/>
        <v>-</v>
      </c>
      <c r="G57" s="740"/>
      <c r="H57" s="740" t="str">
        <f t="shared" si="158"/>
        <v>-</v>
      </c>
      <c r="I57" s="740" t="str">
        <f t="shared" si="159"/>
        <v>-</v>
      </c>
      <c r="J57" s="740"/>
      <c r="K57" s="740" t="str">
        <f t="shared" si="160"/>
        <v>-</v>
      </c>
      <c r="L57" s="740" t="str">
        <f t="shared" si="161"/>
        <v>-</v>
      </c>
      <c r="M57" s="740"/>
      <c r="N57" s="740" t="str">
        <f t="shared" si="162"/>
        <v>-</v>
      </c>
      <c r="O57" s="740" t="str">
        <f t="shared" si="163"/>
        <v>-</v>
      </c>
      <c r="P57" s="740"/>
      <c r="Q57" s="740" t="str">
        <f t="shared" si="164"/>
        <v>-</v>
      </c>
      <c r="R57" s="740" t="str">
        <f t="shared" si="165"/>
        <v>-</v>
      </c>
      <c r="S57" s="740"/>
      <c r="T57" s="740" t="str">
        <f t="shared" si="166"/>
        <v>-</v>
      </c>
      <c r="U57" s="740" t="str">
        <f t="shared" si="167"/>
        <v>-</v>
      </c>
      <c r="V57" s="172"/>
      <c r="W57" s="925"/>
      <c r="X57" s="228">
        <f ca="1">Horarios!C57</f>
        <v>46199.958333333336</v>
      </c>
      <c r="Y57" s="229">
        <f ca="1">Horarios!C57</f>
        <v>46199.958333333336</v>
      </c>
      <c r="Z57" s="230" t="str">
        <f>$Z$8</f>
        <v>J3</v>
      </c>
      <c r="AA57" s="231" t="str">
        <f ca="1">A56</f>
        <v>Nueva Zelanda</v>
      </c>
      <c r="AB57" s="478" t="str" cm="1">
        <f t="array" aca="1" ref="AB57" ca="1">Ver_flag_local</f>
        <v/>
      </c>
      <c r="AC57" s="232"/>
      <c r="AD57" s="233"/>
      <c r="AE57" s="483" t="str" cm="1">
        <f t="array" aca="1" ref="AE57" ca="1">Ver_flag_visit</f>
        <v/>
      </c>
      <c r="AF57" s="234" t="str">
        <f ca="1">A53</f>
        <v>Bélgica</v>
      </c>
      <c r="AG57" s="413">
        <f t="shared" si="168"/>
        <v>0</v>
      </c>
      <c r="AH57" s="196">
        <v>64</v>
      </c>
      <c r="AI57" s="19" t="str">
        <f t="shared" si="173"/>
        <v>4G</v>
      </c>
      <c r="AJ57" s="235">
        <v>4</v>
      </c>
      <c r="AK57" s="486"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0">
        <f>IFERROR(IF($AJ$99=144,INDEX(Idiomas!$C$75:$C$77,MATCH(WORLDCUP!$AL$116,Idiomas!$D$75:$D$77,0)),1),1)</f>
        <v>1</v>
      </c>
      <c r="BC57" s="748" t="str">
        <f t="shared" ref="BC57:BN57" si="174">+BC5</f>
        <v>Grupo</v>
      </c>
      <c r="BD57" s="748" t="str">
        <f t="shared" si="174"/>
        <v>Selección</v>
      </c>
      <c r="BE57" s="748" t="str">
        <f t="shared" si="174"/>
        <v>Pts</v>
      </c>
      <c r="BF57" s="748" t="str">
        <f t="shared" si="174"/>
        <v>J</v>
      </c>
      <c r="BG57" s="748" t="str">
        <f t="shared" si="174"/>
        <v>G</v>
      </c>
      <c r="BH57" s="748" t="str">
        <f t="shared" si="174"/>
        <v>E</v>
      </c>
      <c r="BI57" s="748" t="str">
        <f t="shared" si="174"/>
        <v>P</v>
      </c>
      <c r="BJ57" s="748" t="str">
        <f t="shared" si="174"/>
        <v>GF</v>
      </c>
      <c r="BK57" s="748" t="str">
        <f t="shared" si="174"/>
        <v>GC</v>
      </c>
      <c r="BL57" s="748" t="str">
        <f t="shared" si="174"/>
        <v>DG</v>
      </c>
      <c r="BM57" s="748" t="str">
        <f t="shared" si="174"/>
        <v>PosF1</v>
      </c>
      <c r="BN57" s="748" t="str">
        <f t="shared" si="174"/>
        <v>PosF3</v>
      </c>
      <c r="BO57" s="745"/>
      <c r="BP57" s="745"/>
      <c r="BQ57" s="745"/>
      <c r="BR57" s="749" t="s">
        <v>614</v>
      </c>
      <c r="BS57" s="749" t="s">
        <v>617</v>
      </c>
      <c r="BT57" s="749" t="s">
        <v>615</v>
      </c>
      <c r="BU57" s="749" t="s">
        <v>66</v>
      </c>
      <c r="BV57" s="749" t="s">
        <v>618</v>
      </c>
      <c r="BW57" s="749" t="s">
        <v>616</v>
      </c>
      <c r="BX57" s="749" t="s">
        <v>8</v>
      </c>
      <c r="BY57" s="749" t="s">
        <v>619</v>
      </c>
      <c r="BZ57" s="749" t="s">
        <v>620</v>
      </c>
      <c r="CA57" s="750" t="s">
        <v>627</v>
      </c>
      <c r="CB57" s="750" t="s">
        <v>628</v>
      </c>
      <c r="CC57" s="751"/>
      <c r="CD57" s="750" t="s">
        <v>629</v>
      </c>
      <c r="CE57" s="750" t="s">
        <v>630</v>
      </c>
      <c r="CF57" s="750" t="s">
        <v>631</v>
      </c>
      <c r="CG57" s="740"/>
      <c r="CH57" s="740"/>
      <c r="CI57" s="740"/>
      <c r="CJ57" s="740"/>
      <c r="CK57" s="740"/>
      <c r="CL57" s="740"/>
      <c r="CM57" s="740"/>
      <c r="CN57" s="740"/>
      <c r="CO57" s="740"/>
      <c r="CP57" s="740"/>
      <c r="CQ57" s="740"/>
      <c r="CR57" s="740"/>
      <c r="CS57" s="740"/>
      <c r="CT57" s="740"/>
      <c r="CU57" s="740"/>
      <c r="CV57" s="740"/>
      <c r="CW57" s="740"/>
      <c r="CX57" s="740"/>
      <c r="CY57" s="740"/>
      <c r="CZ57" s="740"/>
      <c r="DA57" s="740"/>
      <c r="DB57" s="740"/>
      <c r="DC57" s="740"/>
      <c r="DD57" s="740"/>
      <c r="DE57" s="740"/>
      <c r="DF57" s="740"/>
      <c r="DG57" s="740"/>
      <c r="DH57" s="740"/>
      <c r="DI57" s="740"/>
      <c r="DJ57" s="742" t="s">
        <v>652</v>
      </c>
      <c r="DK57" s="742"/>
      <c r="DL57" s="742" t="s">
        <v>653</v>
      </c>
      <c r="DM57" s="742" t="s">
        <v>654</v>
      </c>
      <c r="DN57" s="742" t="s">
        <v>655</v>
      </c>
      <c r="DO57" s="742"/>
      <c r="DP57" s="742" t="s">
        <v>762</v>
      </c>
      <c r="DQ57" s="742" t="s">
        <v>763</v>
      </c>
      <c r="DR57" s="740"/>
      <c r="DS57" s="740"/>
      <c r="DT57" s="740" t="str">
        <f t="shared" ca="1" si="15"/>
        <v>Nueva Zelanda-Bélgica</v>
      </c>
      <c r="DU57" s="740"/>
      <c r="DV57" s="740"/>
      <c r="DW57" s="8"/>
    </row>
    <row r="58" spans="1:127" ht="15.75" customHeight="1" thickBot="1">
      <c r="A58" s="735"/>
      <c r="B58" s="738"/>
      <c r="C58" s="735"/>
      <c r="D58" s="740"/>
      <c r="E58" s="740"/>
      <c r="F58" s="740"/>
      <c r="G58" s="740"/>
      <c r="H58" s="740"/>
      <c r="I58" s="740"/>
      <c r="J58" s="740"/>
      <c r="K58" s="740"/>
      <c r="L58" s="740"/>
      <c r="M58" s="740"/>
      <c r="N58" s="740"/>
      <c r="O58" s="740"/>
      <c r="P58" s="740"/>
      <c r="Q58" s="740"/>
      <c r="R58" s="740"/>
      <c r="S58" s="740"/>
      <c r="T58" s="740"/>
      <c r="U58" s="740"/>
      <c r="V58" s="172"/>
      <c r="W58" s="242"/>
      <c r="X58" s="243"/>
      <c r="Y58" s="242"/>
      <c r="Z58" s="244"/>
      <c r="AA58" s="245"/>
      <c r="AB58" s="481"/>
      <c r="AC58" s="247"/>
      <c r="AD58" s="247"/>
      <c r="AE58" s="481"/>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5" t="str">
        <f>3&amp;BC58</f>
        <v>3A</v>
      </c>
      <c r="BC58" s="752" t="s">
        <v>0</v>
      </c>
      <c r="BD58" s="740" t="str">
        <f t="shared" ref="BD58:BD69" ca="1" si="175">+INDEX($BD$6:$BN$53,MATCH($BB58,$BN$6:$BN$53,0),MATCH(BD$57,$BD$5:$BN$5,0))</f>
        <v>Corea del Sur</v>
      </c>
      <c r="BE58" s="744">
        <f ca="1">CHOOSE($BB$57,
  (BG58*3 + BH58)+IF($AZ$3="No",0,INDEX($AZ$6:$AZ$97,MATCH(BD58,$AY$6:$AY$97,0))),
  (BG58*3 + BH58)+IF($AZ$3="No",0,INDEX($AZ$6:$AZ$97,MATCH(BD58,$AY$6:$AY$97,0))),
  IFERROR((BG58*3 + BH58+IF($AZ$3="No",0,INDEX($AZ$6:$AZ$97,MATCH(BD58,$AY$6:$AY$97,0)))) / BF58, 0)
)</f>
        <v>0</v>
      </c>
      <c r="BF58" s="744">
        <f ca="1">+BG58+BH58+BI58</f>
        <v>0</v>
      </c>
      <c r="BG58" s="744">
        <f ca="1">CHOOSE(IF($BB$57=2, 2, 1),INDEX($BG$6:$BG$53,MATCH($BB58,$BN$6:$BN$53,0)),
  INDEX($BG$6:$BG$53,MATCH($BB58,$BN$6:$BN$53,0))-(COUNTIFS(FGLocal,$BD58,FGVisitante,INDEX($BD$6:$BD$53,MATCH(BO58,$BN$6:$BN$53,0)),Ganador,"Local")+COUNTIFS(FGVisitante,$BD58,FGLocal,INDEX($BD$6:$BD$53,MATCH(BO58,$BN$6:$BN$53,0)),Ganador,"Visitante"))
)</f>
        <v>0</v>
      </c>
      <c r="BH58" s="744">
        <f ca="1">CHOOSE(IF($BB$57=2, 2, 1),  INDEX($BH$6:$BH$53,MATCH($BB58,$BN$6:$BN$53,0)),
  INDEX($BH$6:$BH$53,MATCH($BB58,$BN$6:$BN$53,0))-(COUNTIFS(FGLocal,$BD58,FGVisitante,INDEX($BD$6:$BD$53,MATCH(BO58,$BN$6:$BN$53,0)),Ganador,"Empate")+COUNTIFS(FGVisitante,$BD58,FGLocal,INDEX($BD$6:$BD$53,MATCH(BO58,$BN$6:$BN$53,0)),Ganador,"Empate"))
)</f>
        <v>0</v>
      </c>
      <c r="BI58" s="744">
        <f t="shared" ref="BI58:BI69" ca="1" si="176">CHOOSE(IF($BB$57=2, 2, 1),
  INDEX($BI$6:$BI$53,MATCH($BB58,$BN$6:$BN$53,0)),
  INDEX($BI$6:$BI$53,MATCH($BB58,$BN$6:$BN$53,0))-(COUNTIFS(FGLocal,$BD58,FGVisitante,INDEX($BD$6:$BD$53,MATCH(BO58,$BN$6:$BN$53,0)),Ganador,"Visitante")+COUNTIFS(FGVisitante,$BD58,FGLocal,INDEX($BD$6:$BD$53,MATCH(BO58,$BN$6:$BN$53,0)),Ganador,"Local"))
)</f>
        <v>0</v>
      </c>
      <c r="BJ58" s="744">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4">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4">
        <f ca="1">BJ58-BK58</f>
        <v>0</v>
      </c>
      <c r="BM58" s="744">
        <f ca="1">CB58</f>
        <v>5</v>
      </c>
      <c r="BN58" s="744">
        <f ca="1">CF58</f>
        <v>5</v>
      </c>
      <c r="BO58" s="734" t="str">
        <f>"4"&amp;BC58</f>
        <v>4A</v>
      </c>
      <c r="BP58" s="734"/>
      <c r="BQ58" s="734"/>
      <c r="BR58" s="744">
        <f t="shared" ref="BR58:BR69" ca="1" si="179">+BE58</f>
        <v>0</v>
      </c>
      <c r="BS58" s="744">
        <f ca="1">COUNTIFS(BR$58:BR$69,"&gt;"&amp;BR58)+1</f>
        <v>1</v>
      </c>
      <c r="BT58" s="744" t="str">
        <f ca="1">IF(COUNTIF(BS$58:BS$69,BS58)=1,"-","Pos. "&amp;BS58&amp;" ("&amp;COUNTIF(BS$58:BS$69,BS58)&amp;")")</f>
        <v>Pos. 1 (12)</v>
      </c>
      <c r="BU58" s="744">
        <f t="shared" ref="BU58:BU69" ca="1" si="180">IF(BT58="-","-",BL58)</f>
        <v>0</v>
      </c>
      <c r="BV58" s="744">
        <f t="shared" ref="BV58:BV69" ca="1" si="181">BS58+COUNTIFS(BT$58:BT$69,BT58,BU$58:BU$69,"&gt;"&amp;BU58)</f>
        <v>1</v>
      </c>
      <c r="BW58" s="744" t="str">
        <f t="shared" ref="BW58:BW69" ca="1" si="182">IF(COUNTIF(BV$58:BV$69,BV58)=1,"-","Pos. "&amp;BV58&amp;" ("&amp;COUNTIF(BV$58:BV$69,BV58)&amp;")")</f>
        <v>Pos. 1 (12)</v>
      </c>
      <c r="BX58" s="744">
        <f t="shared" ref="BX58:BX69" ca="1" si="183">IF(BW58="-","-",BJ58)</f>
        <v>0</v>
      </c>
      <c r="BY58" s="744">
        <f t="shared" ref="BY58:BY69" ca="1" si="184">BV58+COUNTIFS(BW$58:BW$69,BW58,BX$58:BX$69,"&gt;"&amp;BX58)</f>
        <v>1</v>
      </c>
      <c r="BZ58" s="744" t="str">
        <f t="shared" ref="BZ58:BZ69" ca="1" si="185">IF(COUNTIF(BY$58:BY$69,BY58)=1,"-","Pos. "&amp;BY58&amp;" ("&amp;COUNTIF(BY$58:BY$69,BY58)&amp;")")</f>
        <v>Pos. 1 (12)</v>
      </c>
      <c r="CA58" s="744">
        <f ca="1">IF(BZ58="-","-",COUNTIF($BD$58:$BD$69,"&gt;"&amp;BD58))</f>
        <v>7</v>
      </c>
      <c r="CB58" s="744">
        <f ca="1">BY58+COUNTIFS(BZ$58:BZ$69,BZ58,CA$58:CA$69,"&gt;"&amp;CA58)</f>
        <v>5</v>
      </c>
      <c r="CC58" s="744"/>
      <c r="CD58" s="744">
        <f ca="1">IF(OR(INDEX($AW$102:$AW$113,MATCH($BD58,$AV$102:$AV$113,0))="",BZ58="-"),CB58,INDEX($AW$102:$AW$113,MATCH($BD58,$AV$102:$AV$113,0))+CB58/1000)</f>
        <v>5</v>
      </c>
      <c r="CE58" s="744">
        <f ca="1">IF(BZ58="-","-",COUNTIF(CD$58:CD$69,"&lt;"&amp;CD58))</f>
        <v>4</v>
      </c>
      <c r="CF58" s="744">
        <f ca="1">BY58+COUNTIFS(BZ$58:BZ$69,BZ58,CE$58:CE$69,"&lt;"&amp;CE58)</f>
        <v>5</v>
      </c>
      <c r="CG58" s="744"/>
      <c r="CH58" s="744"/>
      <c r="CI58" s="744"/>
      <c r="CJ58" s="744"/>
      <c r="CK58" s="744"/>
      <c r="CL58" s="744"/>
      <c r="CM58" s="744"/>
      <c r="CN58" s="744"/>
      <c r="CO58" s="744"/>
      <c r="CP58" s="744"/>
      <c r="CQ58" s="744"/>
      <c r="CR58" s="744"/>
      <c r="CS58" s="744"/>
      <c r="CT58" s="744"/>
      <c r="CU58" s="744"/>
      <c r="CV58" s="744"/>
      <c r="CW58" s="740"/>
      <c r="CX58" s="740"/>
      <c r="CY58" s="740"/>
      <c r="CZ58" s="740"/>
      <c r="DA58" s="740"/>
      <c r="DB58" s="740"/>
      <c r="DC58" s="740"/>
      <c r="DD58" s="740"/>
      <c r="DE58" s="740"/>
      <c r="DF58" s="740"/>
      <c r="DG58" s="740"/>
      <c r="DH58" s="740"/>
      <c r="DI58" s="740"/>
      <c r="DJ58" s="740">
        <f t="shared" ref="DJ58:DJ69" ca="1" si="186">INDEX($BY$58:$BY$69,MATCH($DQ58,$BD$58:$BD$69,0))</f>
        <v>1</v>
      </c>
      <c r="DK58" s="740"/>
      <c r="DL58" s="740">
        <f ca="1">IF(OR($H$113=144,$AJ$99=144),COUNTIF($DJ$58:$DJ$69,DJ58),1)</f>
        <v>1</v>
      </c>
      <c r="DM58" s="734" t="str">
        <f t="shared" ref="DM58:DM69" ca="1" si="187">DJ58&amp;"."&amp;DL58</f>
        <v>1.1</v>
      </c>
      <c r="DN58" s="740" cm="1">
        <f t="array" aca="1" ref="DN58" ca="1">OFFSET(Horarios!$P$3,DJ58-1,0,DL58,1)</f>
        <v>1</v>
      </c>
      <c r="DO58" s="740"/>
      <c r="DP58" s="740">
        <v>1</v>
      </c>
      <c r="DQ58" s="740" t="str">
        <f ca="1">INDEX($BD$58:$BD$69,MATCH(DP58,$BM$58:$BM$69,0))</f>
        <v>Arabia Saudita</v>
      </c>
      <c r="DR58" s="740"/>
      <c r="DS58" s="740"/>
      <c r="DT58" s="740" t="str">
        <f t="shared" si="15"/>
        <v>-</v>
      </c>
      <c r="DU58" s="740"/>
      <c r="DV58" s="740"/>
      <c r="DW58" s="8"/>
    </row>
    <row r="59" spans="1:127" ht="15.75" thickBot="1">
      <c r="A59" s="735"/>
      <c r="B59" s="738"/>
      <c r="C59" s="735"/>
      <c r="D59" s="735"/>
      <c r="E59" s="735"/>
      <c r="F59" s="735"/>
      <c r="G59" s="735"/>
      <c r="H59" s="735"/>
      <c r="I59" s="735"/>
      <c r="J59" s="735"/>
      <c r="K59" s="735"/>
      <c r="L59" s="735"/>
      <c r="M59" s="735"/>
      <c r="N59" s="740"/>
      <c r="O59" s="740"/>
      <c r="P59" s="740"/>
      <c r="Q59" s="740"/>
      <c r="R59" s="740"/>
      <c r="S59" s="740"/>
      <c r="T59" s="740"/>
      <c r="U59" s="740"/>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5" t="str">
        <f t="shared" ref="BB59:BB69" si="188">"3"&amp;BC59</f>
        <v>3B</v>
      </c>
      <c r="BC59" s="752" t="s">
        <v>1</v>
      </c>
      <c r="BD59" s="740" t="str">
        <f t="shared" ca="1" si="175"/>
        <v>Catar</v>
      </c>
      <c r="BE59" s="744">
        <f t="shared" ref="BE59:BE69" ca="1" si="189">CHOOSE($BB$57,
  (BG59*3 + BH59)+IF($AZ$3="No",0,INDEX($AZ$6:$AZ$97,MATCH(BD59,$AY$6:$AY$97,0))),
  (BG59*3 + BH59)+IF($AZ$3="No",0,INDEX($AZ$6:$AZ$97,MATCH(BD59,$AY$6:$AY$97,0))),
  IFERROR((BG59*3 + BH59+IF($AZ$3="No",0,INDEX($AZ$6:$AZ$97,MATCH(BD59,$AY$6:$AY$97,0)))) / BF59, 0)
)</f>
        <v>0</v>
      </c>
      <c r="BF59" s="744">
        <f t="shared" ref="BF59:BF69" ca="1" si="190">+BG59+BH59+BI59</f>
        <v>0</v>
      </c>
      <c r="BG59" s="744">
        <f t="shared" ref="BG59:BG69" ca="1" si="191">CHOOSE(IF($BB$57=2, 2, 1),
  INDEX($BG$6:$BG$53,MATCH($BB59,$BN$6:$BN$53,0)),
  INDEX($BG$6:$BG$53,MATCH($BB59,$BN$6:$BN$53,0))-(COUNTIFS(FGLocal,$BD59,FGVisitante,INDEX($BD$6:$BD$53,MATCH(BO59,$BN$6:$BN$53,0)),Ganador,"Local")+COUNTIFS(FGVisitante,$BD59,FGLocal,INDEX($BD$6:$BD$53,MATCH(BO59,$BN$6:$BN$53,0)),Ganador,"Visitante"))
)</f>
        <v>0</v>
      </c>
      <c r="BH59" s="744">
        <f t="shared" ref="BH59:BH69" ca="1" si="192">CHOOSE(IF($BB$57=2, 2, 1),
  INDEX($BH$6:$BH$53,MATCH($BB59,$BN$6:$BN$53,0)),
  INDEX($BH$6:$BH$53,MATCH($BB59,$BN$6:$BN$53,0))-(COUNTIFS(FGLocal,$BD59,FGVisitante,INDEX($BD$6:$BD$53,MATCH(BO59,$BN$6:$BN$53,0)),Ganador,"Empate")+COUNTIFS(FGVisitante,$BD59,FGLocal,INDEX($BD$6:$BD$53,MATCH(BO59,$BN$6:$BN$53,0)),Ganador,"Empate"))
)</f>
        <v>0</v>
      </c>
      <c r="BI59" s="744">
        <f t="shared" ca="1" si="176"/>
        <v>0</v>
      </c>
      <c r="BJ59" s="744">
        <f t="shared" ca="1" si="177"/>
        <v>0</v>
      </c>
      <c r="BK59" s="744">
        <f t="shared" ca="1" si="178"/>
        <v>0</v>
      </c>
      <c r="BL59" s="744">
        <f t="shared" ref="BL59:BL69" ca="1" si="193">BJ59-BK59</f>
        <v>0</v>
      </c>
      <c r="BM59" s="744">
        <f t="shared" ref="BM59:BM69" ca="1" si="194">CB59</f>
        <v>4</v>
      </c>
      <c r="BN59" s="744">
        <f t="shared" ref="BN59:BN69" ca="1" si="195">CF59</f>
        <v>4</v>
      </c>
      <c r="BO59" s="734" t="str">
        <f t="shared" ref="BO59:BO69" si="196">"4"&amp;BC59</f>
        <v>4B</v>
      </c>
      <c r="BP59" s="734"/>
      <c r="BQ59" s="734"/>
      <c r="BR59" s="744">
        <f t="shared" ca="1" si="179"/>
        <v>0</v>
      </c>
      <c r="BS59" s="744">
        <f t="shared" ref="BS59:BS69" ca="1" si="197">COUNTIFS(BR$58:BR$69,"&gt;"&amp;BR59)+1</f>
        <v>1</v>
      </c>
      <c r="BT59" s="744" t="str">
        <f t="shared" ref="BT59:BT69" ca="1" si="198">IF(COUNTIF(BS$58:BS$69,BS59)=1,"-","Pos. "&amp;BS59&amp;" ("&amp;COUNTIF(BS$58:BS$69,BS59)&amp;")")</f>
        <v>Pos. 1 (12)</v>
      </c>
      <c r="BU59" s="744">
        <f t="shared" ca="1" si="180"/>
        <v>0</v>
      </c>
      <c r="BV59" s="744">
        <f t="shared" ca="1" si="181"/>
        <v>1</v>
      </c>
      <c r="BW59" s="744" t="str">
        <f t="shared" ca="1" si="182"/>
        <v>Pos. 1 (12)</v>
      </c>
      <c r="BX59" s="744">
        <f t="shared" ca="1" si="183"/>
        <v>0</v>
      </c>
      <c r="BY59" s="744">
        <f t="shared" ca="1" si="184"/>
        <v>1</v>
      </c>
      <c r="BZ59" s="744" t="str">
        <f t="shared" ca="1" si="185"/>
        <v>Pos. 1 (12)</v>
      </c>
      <c r="CA59" s="744">
        <f t="shared" ref="CA59:CA69" ca="1" si="199">IF(BZ59="-","-",COUNTIF($BD$58:$BD$69,"&gt;"&amp;BD59))</f>
        <v>8</v>
      </c>
      <c r="CB59" s="744">
        <f t="shared" ref="CB59:CB68" ca="1" si="200">BY59+COUNTIFS(BZ$58:BZ$69,BZ59,CA$58:CA$69,"&gt;"&amp;CA59)</f>
        <v>4</v>
      </c>
      <c r="CC59" s="744"/>
      <c r="CD59" s="744">
        <f t="shared" ref="CD59:CD69" ca="1" si="201">IF(OR(INDEX($AW$102:$AW$113,MATCH($BD59,$AV$102:$AV$113,0))="",BZ59="-"),CB59,INDEX($AW$102:$AW$113,MATCH($BD59,$AV$102:$AV$113,0))+CB59/1000)</f>
        <v>4</v>
      </c>
      <c r="CE59" s="744">
        <f t="shared" ref="CE59:CE69" ca="1" si="202">IF(BZ59="-","-",COUNTIF(CD$58:CD$69,"&lt;"&amp;CD59))</f>
        <v>3</v>
      </c>
      <c r="CF59" s="744">
        <f t="shared" ref="CF59:CF69" ca="1" si="203">BY59+COUNTIFS(BZ$58:BZ$69,BZ59,CE$58:CE$69,"&lt;"&amp;CE59)</f>
        <v>4</v>
      </c>
      <c r="CG59" s="744"/>
      <c r="CH59" s="744"/>
      <c r="CI59" s="744"/>
      <c r="CJ59" s="744"/>
      <c r="CK59" s="744"/>
      <c r="CL59" s="744"/>
      <c r="CM59" s="744"/>
      <c r="CN59" s="744"/>
      <c r="CO59" s="744"/>
      <c r="CP59" s="744"/>
      <c r="CQ59" s="744"/>
      <c r="CR59" s="744"/>
      <c r="CS59" s="744"/>
      <c r="CT59" s="744"/>
      <c r="CU59" s="744"/>
      <c r="CV59" s="744"/>
      <c r="CW59" s="740"/>
      <c r="CX59" s="740"/>
      <c r="CY59" s="740"/>
      <c r="CZ59" s="740"/>
      <c r="DA59" s="740"/>
      <c r="DB59" s="740"/>
      <c r="DC59" s="740"/>
      <c r="DD59" s="740"/>
      <c r="DE59" s="740"/>
      <c r="DF59" s="740"/>
      <c r="DG59" s="740"/>
      <c r="DH59" s="740"/>
      <c r="DI59" s="740"/>
      <c r="DJ59" s="740">
        <f t="shared" ca="1" si="186"/>
        <v>1</v>
      </c>
      <c r="DK59" s="740"/>
      <c r="DL59" s="740">
        <f t="shared" ref="DL59:DL69" ca="1" si="204">IF(OR($H$113=144,$AJ$99=144),COUNTIF($DJ$58:$DJ$69,DJ59),1)</f>
        <v>1</v>
      </c>
      <c r="DM59" s="734" t="str">
        <f t="shared" ca="1" si="187"/>
        <v>1.1</v>
      </c>
      <c r="DN59" s="740" cm="1">
        <f t="array" aca="1" ref="DN59" ca="1">OFFSET(Horarios!$P$3,DJ59-1,0,DL59,1)</f>
        <v>1</v>
      </c>
      <c r="DO59" s="740"/>
      <c r="DP59" s="740">
        <v>2</v>
      </c>
      <c r="DQ59" s="740" t="str">
        <f t="shared" ref="DQ59:DQ69" ca="1" si="205">INDEX($BD$58:$BD$69,MATCH(DP59,$BM$58:$BM$69,0))</f>
        <v>Australia</v>
      </c>
      <c r="DR59" s="740"/>
      <c r="DS59" s="740"/>
      <c r="DT59" s="740" t="str">
        <f t="shared" si="15"/>
        <v>Casa-Fuera</v>
      </c>
      <c r="DU59" s="740"/>
      <c r="DV59" s="740"/>
      <c r="DW59" s="8"/>
    </row>
    <row r="60" spans="1:127" ht="15" customHeight="1" thickBot="1">
      <c r="A60" s="737" t="s">
        <v>30</v>
      </c>
      <c r="B60" s="738" t="s">
        <v>437</v>
      </c>
      <c r="C60" s="739">
        <f>COUNTIF(Equipos!$C$2:$C$49,WORLDCUP!B60)</f>
        <v>4</v>
      </c>
      <c r="D60" s="740" t="str">
        <f t="shared" ref="D60:D65" si="206">IF(OR(AC60="",AD60=""),"Pendiente",IF(AC60&gt;AD60,"Local",IF(AC60&lt;AD60,"Visitante","Empate")))</f>
        <v>Pendiente</v>
      </c>
      <c r="E60" s="740" t="str">
        <f t="shared" ref="E60:E65" si="207">IF(D60="Pendiente","-",INDEX($BT$6:$BT$53,MATCH($AA60,$BD$6:$BD$53,0)))</f>
        <v>-</v>
      </c>
      <c r="F60" s="740" t="str">
        <f t="shared" ref="F60:F65" si="208">IF(D60="Pendiente","-",INDEX($BT$6:$BT$53,MATCH($AF60,$BD$6:$BD$53,0)))</f>
        <v>-</v>
      </c>
      <c r="G60" s="740"/>
      <c r="H60" s="740" t="str">
        <f t="shared" ref="H60:H65" si="209">IF(D60="Pendiente","-",INDEX($BZ$6:$BZ$53,MATCH($AA60,$BD$6:$BD$53,0)))</f>
        <v>-</v>
      </c>
      <c r="I60" s="740" t="str">
        <f t="shared" ref="I60:I65" si="210">IF(D60="Pendiente","-",INDEX($BZ$6:$BZ$53,MATCH($AF60,$BD$6:$BD$53,0)))</f>
        <v>-</v>
      </c>
      <c r="J60" s="740"/>
      <c r="K60" s="740" t="str">
        <f t="shared" ref="K60:K65" si="211">IF(D60="Pendiente","-",INDEX($CE$6:$CE$53,MATCH($AA60,$BD$6:$BD$53,0)))</f>
        <v>-</v>
      </c>
      <c r="L60" s="740" t="str">
        <f t="shared" ref="L60:L65" si="212">IF(D60="Pendiente","-",INDEX($CE$6:$CE$53,MATCH($AF60,$BD$6:$BD$53,0)))</f>
        <v>-</v>
      </c>
      <c r="M60" s="740"/>
      <c r="N60" s="740" t="str">
        <f t="shared" ref="N60:N65" si="213">IF(D60="Pendiente","-",INDEX($CH$6:$CH$53,MATCH($AA60,$BD$6:$BD$53,0)))</f>
        <v>-</v>
      </c>
      <c r="O60" s="740" t="str">
        <f t="shared" ref="O60:O65" si="214">IF(D60="Pendiente","-",INDEX($CH$6:$CH$53,MATCH($AF60,$BD$6:$BD$53,0)))</f>
        <v>-</v>
      </c>
      <c r="P60" s="740"/>
      <c r="Q60" s="740" t="str">
        <f t="shared" ref="Q60:Q65" si="215">IF(D60="Pendiente","-",INDEX($CN$6:$CN$53,MATCH($AA60,$BD$6:$BD$53,0)))</f>
        <v>-</v>
      </c>
      <c r="R60" s="740" t="str">
        <f t="shared" ref="R60:R65" si="216">IF(D60="Pendiente","-",INDEX($CN$6:$CN$53,MATCH($AF60,$BD$6:$BD$53,0)))</f>
        <v>-</v>
      </c>
      <c r="S60" s="740"/>
      <c r="T60" s="740" t="str">
        <f t="shared" ref="T60:T65" si="217">IF(D60="Pendiente","-",INDEX($CS$6:$CS$53,MATCH($AA60,$BD$6:$BD$53,0)))</f>
        <v>-</v>
      </c>
      <c r="U60" s="740" t="str">
        <f t="shared" ref="U60:U65" si="218">IF(D60="Pendiente","-",INDEX($CS$6:$CS$53,MATCH($AF60,$BD$6:$BD$53,0)))</f>
        <v>-</v>
      </c>
      <c r="V60" s="172"/>
      <c r="W60" s="906" t="s">
        <v>437</v>
      </c>
      <c r="X60" s="189">
        <f ca="1">Horarios!C60</f>
        <v>46188.5</v>
      </c>
      <c r="Y60" s="190">
        <f ca="1">Horarios!C60</f>
        <v>46188.5</v>
      </c>
      <c r="Z60" s="191" t="str">
        <f>$Z$4</f>
        <v>J1</v>
      </c>
      <c r="AA60" s="192" t="str">
        <f ca="1">A61</f>
        <v>España</v>
      </c>
      <c r="AB60" s="477" t="str" cm="1">
        <f t="array" aca="1" ref="AB60" ca="1">Ver_flag_local</f>
        <v/>
      </c>
      <c r="AC60" s="193"/>
      <c r="AD60" s="194"/>
      <c r="AE60" s="482"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5" t="str">
        <f t="shared" si="188"/>
        <v>3C</v>
      </c>
      <c r="BC60" s="752" t="s">
        <v>2</v>
      </c>
      <c r="BD60" s="740" t="str">
        <f t="shared" ca="1" si="175"/>
        <v>Haití</v>
      </c>
      <c r="BE60" s="744">
        <f t="shared" ca="1" si="189"/>
        <v>0</v>
      </c>
      <c r="BF60" s="744">
        <f t="shared" ca="1" si="190"/>
        <v>0</v>
      </c>
      <c r="BG60" s="744">
        <f t="shared" ca="1" si="191"/>
        <v>0</v>
      </c>
      <c r="BH60" s="744">
        <f t="shared" ca="1" si="192"/>
        <v>0</v>
      </c>
      <c r="BI60" s="744">
        <f t="shared" ca="1" si="176"/>
        <v>0</v>
      </c>
      <c r="BJ60" s="744">
        <f t="shared" ca="1" si="177"/>
        <v>0</v>
      </c>
      <c r="BK60" s="744">
        <f t="shared" ca="1" si="178"/>
        <v>0</v>
      </c>
      <c r="BL60" s="744">
        <f t="shared" ca="1" si="193"/>
        <v>0</v>
      </c>
      <c r="BM60" s="744">
        <f t="shared" ca="1" si="194"/>
        <v>8</v>
      </c>
      <c r="BN60" s="744">
        <f t="shared" ca="1" si="195"/>
        <v>8</v>
      </c>
      <c r="BO60" s="734" t="str">
        <f t="shared" si="196"/>
        <v>4C</v>
      </c>
      <c r="BP60" s="734"/>
      <c r="BQ60" s="734"/>
      <c r="BR60" s="744">
        <f t="shared" ca="1" si="179"/>
        <v>0</v>
      </c>
      <c r="BS60" s="744">
        <f t="shared" ca="1" si="197"/>
        <v>1</v>
      </c>
      <c r="BT60" s="744" t="str">
        <f t="shared" ca="1" si="198"/>
        <v>Pos. 1 (12)</v>
      </c>
      <c r="BU60" s="744">
        <f t="shared" ca="1" si="180"/>
        <v>0</v>
      </c>
      <c r="BV60" s="744">
        <f t="shared" ca="1" si="181"/>
        <v>1</v>
      </c>
      <c r="BW60" s="744" t="str">
        <f t="shared" ca="1" si="182"/>
        <v>Pos. 1 (12)</v>
      </c>
      <c r="BX60" s="744">
        <f t="shared" ca="1" si="183"/>
        <v>0</v>
      </c>
      <c r="BY60" s="744">
        <f t="shared" ca="1" si="184"/>
        <v>1</v>
      </c>
      <c r="BZ60" s="744" t="str">
        <f t="shared" ca="1" si="185"/>
        <v>Pos. 1 (12)</v>
      </c>
      <c r="CA60" s="744">
        <f t="shared" ca="1" si="199"/>
        <v>4</v>
      </c>
      <c r="CB60" s="744">
        <f t="shared" ca="1" si="200"/>
        <v>8</v>
      </c>
      <c r="CC60" s="744"/>
      <c r="CD60" s="744">
        <f t="shared" ca="1" si="201"/>
        <v>8</v>
      </c>
      <c r="CE60" s="744">
        <f t="shared" ca="1" si="202"/>
        <v>7</v>
      </c>
      <c r="CF60" s="744">
        <f t="shared" ca="1" si="203"/>
        <v>8</v>
      </c>
      <c r="CG60" s="744"/>
      <c r="CH60" s="744"/>
      <c r="CI60" s="744"/>
      <c r="CJ60" s="744"/>
      <c r="CK60" s="744"/>
      <c r="CL60" s="744"/>
      <c r="CM60" s="744"/>
      <c r="CN60" s="744"/>
      <c r="CO60" s="744"/>
      <c r="CP60" s="744"/>
      <c r="CQ60" s="744"/>
      <c r="CR60" s="744"/>
      <c r="CS60" s="744"/>
      <c r="CT60" s="744"/>
      <c r="CU60" s="744"/>
      <c r="CV60" s="744"/>
      <c r="CW60" s="740"/>
      <c r="CX60" s="740"/>
      <c r="CY60" s="740"/>
      <c r="CZ60" s="740"/>
      <c r="DA60" s="740"/>
      <c r="DB60" s="740"/>
      <c r="DC60" s="740"/>
      <c r="DD60" s="740"/>
      <c r="DE60" s="740"/>
      <c r="DF60" s="740"/>
      <c r="DG60" s="740"/>
      <c r="DH60" s="740"/>
      <c r="DI60" s="740"/>
      <c r="DJ60" s="740">
        <f t="shared" ca="1" si="186"/>
        <v>1</v>
      </c>
      <c r="DK60" s="740"/>
      <c r="DL60" s="740">
        <f t="shared" ca="1" si="204"/>
        <v>1</v>
      </c>
      <c r="DM60" s="734" t="str">
        <f t="shared" ca="1" si="187"/>
        <v>1.1</v>
      </c>
      <c r="DN60" s="740" cm="1">
        <f t="array" aca="1" ref="DN60" ca="1">OFFSET(Horarios!$P$3,DJ60-1,0,DL60,1)</f>
        <v>1</v>
      </c>
      <c r="DO60" s="740"/>
      <c r="DP60" s="740">
        <v>3</v>
      </c>
      <c r="DQ60" s="740" t="str">
        <f t="shared" ca="1" si="205"/>
        <v>Austria</v>
      </c>
      <c r="DR60" s="740"/>
      <c r="DS60" s="740"/>
      <c r="DT60" s="740" t="str">
        <f t="shared" ca="1" si="15"/>
        <v>España-Cabo Verde</v>
      </c>
      <c r="DU60" s="740"/>
      <c r="DV60" s="740"/>
      <c r="DW60" s="8"/>
    </row>
    <row r="61" spans="1:127">
      <c r="A61" s="741" t="str">
        <f ca="1">+Equipos!B30</f>
        <v>España</v>
      </c>
      <c r="B61" s="738"/>
      <c r="C61" s="738"/>
      <c r="D61" s="740" t="str">
        <f t="shared" si="206"/>
        <v>Pendiente</v>
      </c>
      <c r="E61" s="740" t="str">
        <f t="shared" si="207"/>
        <v>-</v>
      </c>
      <c r="F61" s="740" t="str">
        <f t="shared" si="208"/>
        <v>-</v>
      </c>
      <c r="G61" s="740"/>
      <c r="H61" s="740" t="str">
        <f t="shared" si="209"/>
        <v>-</v>
      </c>
      <c r="I61" s="740" t="str">
        <f t="shared" si="210"/>
        <v>-</v>
      </c>
      <c r="J61" s="740"/>
      <c r="K61" s="740" t="str">
        <f t="shared" si="211"/>
        <v>-</v>
      </c>
      <c r="L61" s="740" t="str">
        <f t="shared" si="212"/>
        <v>-</v>
      </c>
      <c r="M61" s="740"/>
      <c r="N61" s="740" t="str">
        <f t="shared" si="213"/>
        <v>-</v>
      </c>
      <c r="O61" s="740" t="str">
        <f t="shared" si="214"/>
        <v>-</v>
      </c>
      <c r="P61" s="740"/>
      <c r="Q61" s="740" t="str">
        <f t="shared" si="215"/>
        <v>-</v>
      </c>
      <c r="R61" s="740" t="str">
        <f t="shared" si="216"/>
        <v>-</v>
      </c>
      <c r="S61" s="740"/>
      <c r="T61" s="740" t="str">
        <f t="shared" si="217"/>
        <v>-</v>
      </c>
      <c r="U61" s="740" t="str">
        <f t="shared" si="218"/>
        <v>-</v>
      </c>
      <c r="V61" s="172"/>
      <c r="W61" s="906"/>
      <c r="X61" s="189">
        <f ca="1">Horarios!C61</f>
        <v>46188.75</v>
      </c>
      <c r="Y61" s="190">
        <f ca="1">Horarios!C61</f>
        <v>46188.75</v>
      </c>
      <c r="Z61" s="191" t="str">
        <f>$Z$4</f>
        <v>J1</v>
      </c>
      <c r="AA61" s="192" t="str">
        <f ca="1">A63</f>
        <v>Arabia Saudita</v>
      </c>
      <c r="AB61" s="477" t="str" cm="1">
        <f t="array" aca="1" ref="AB61" ca="1">Ver_flag_local</f>
        <v/>
      </c>
      <c r="AC61" s="193"/>
      <c r="AD61" s="194"/>
      <c r="AE61" s="482"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5" t="str">
        <f t="shared" si="188"/>
        <v>3D</v>
      </c>
      <c r="BC61" s="752" t="s">
        <v>73</v>
      </c>
      <c r="BD61" s="740" t="str">
        <f t="shared" ca="1" si="175"/>
        <v>Australia</v>
      </c>
      <c r="BE61" s="744">
        <f t="shared" ca="1" si="189"/>
        <v>0</v>
      </c>
      <c r="BF61" s="744">
        <f t="shared" ca="1" si="190"/>
        <v>0</v>
      </c>
      <c r="BG61" s="744">
        <f t="shared" ca="1" si="191"/>
        <v>0</v>
      </c>
      <c r="BH61" s="744">
        <f t="shared" ca="1" si="192"/>
        <v>0</v>
      </c>
      <c r="BI61" s="744">
        <f t="shared" ca="1" si="176"/>
        <v>0</v>
      </c>
      <c r="BJ61" s="744">
        <f t="shared" ca="1" si="177"/>
        <v>0</v>
      </c>
      <c r="BK61" s="744">
        <f t="shared" ca="1" si="178"/>
        <v>0</v>
      </c>
      <c r="BL61" s="744">
        <f t="shared" ca="1" si="193"/>
        <v>0</v>
      </c>
      <c r="BM61" s="744">
        <f t="shared" ca="1" si="194"/>
        <v>2</v>
      </c>
      <c r="BN61" s="744">
        <f t="shared" ca="1" si="195"/>
        <v>2</v>
      </c>
      <c r="BO61" s="734" t="str">
        <f t="shared" si="196"/>
        <v>4D</v>
      </c>
      <c r="BP61" s="734"/>
      <c r="BQ61" s="734"/>
      <c r="BR61" s="744">
        <f t="shared" ca="1" si="179"/>
        <v>0</v>
      </c>
      <c r="BS61" s="744">
        <f t="shared" ca="1" si="197"/>
        <v>1</v>
      </c>
      <c r="BT61" s="744" t="str">
        <f t="shared" ca="1" si="198"/>
        <v>Pos. 1 (12)</v>
      </c>
      <c r="BU61" s="744">
        <f t="shared" ca="1" si="180"/>
        <v>0</v>
      </c>
      <c r="BV61" s="744">
        <f t="shared" ca="1" si="181"/>
        <v>1</v>
      </c>
      <c r="BW61" s="744" t="str">
        <f t="shared" ca="1" si="182"/>
        <v>Pos. 1 (12)</v>
      </c>
      <c r="BX61" s="744">
        <f t="shared" ca="1" si="183"/>
        <v>0</v>
      </c>
      <c r="BY61" s="744">
        <f t="shared" ca="1" si="184"/>
        <v>1</v>
      </c>
      <c r="BZ61" s="744" t="str">
        <f t="shared" ca="1" si="185"/>
        <v>Pos. 1 (12)</v>
      </c>
      <c r="CA61" s="744">
        <f t="shared" ca="1" si="199"/>
        <v>10</v>
      </c>
      <c r="CB61" s="744">
        <f t="shared" ca="1" si="200"/>
        <v>2</v>
      </c>
      <c r="CC61" s="744"/>
      <c r="CD61" s="744">
        <f t="shared" ca="1" si="201"/>
        <v>2</v>
      </c>
      <c r="CE61" s="744">
        <f t="shared" ca="1" si="202"/>
        <v>1</v>
      </c>
      <c r="CF61" s="744">
        <f t="shared" ca="1" si="203"/>
        <v>2</v>
      </c>
      <c r="CG61" s="744"/>
      <c r="CH61" s="744"/>
      <c r="CI61" s="744"/>
      <c r="CJ61" s="744"/>
      <c r="CK61" s="744"/>
      <c r="CL61" s="744"/>
      <c r="CM61" s="744"/>
      <c r="CN61" s="744"/>
      <c r="CO61" s="744"/>
      <c r="CP61" s="744"/>
      <c r="CQ61" s="744"/>
      <c r="CR61" s="744"/>
      <c r="CS61" s="744"/>
      <c r="CT61" s="744"/>
      <c r="CU61" s="744"/>
      <c r="CV61" s="744"/>
      <c r="CW61" s="740"/>
      <c r="CX61" s="740"/>
      <c r="CY61" s="740"/>
      <c r="CZ61" s="740"/>
      <c r="DA61" s="740"/>
      <c r="DB61" s="740"/>
      <c r="DC61" s="740"/>
      <c r="DD61" s="740"/>
      <c r="DE61" s="740"/>
      <c r="DF61" s="740"/>
      <c r="DG61" s="740"/>
      <c r="DH61" s="740"/>
      <c r="DI61" s="740"/>
      <c r="DJ61" s="740">
        <f t="shared" ca="1" si="186"/>
        <v>1</v>
      </c>
      <c r="DK61" s="740"/>
      <c r="DL61" s="740">
        <f t="shared" ca="1" si="204"/>
        <v>1</v>
      </c>
      <c r="DM61" s="734" t="str">
        <f t="shared" ca="1" si="187"/>
        <v>1.1</v>
      </c>
      <c r="DN61" s="740" cm="1">
        <f t="array" aca="1" ref="DN61" ca="1">OFFSET(Horarios!$P$3,DJ61-1,0,DL61,1)</f>
        <v>1</v>
      </c>
      <c r="DO61" s="740"/>
      <c r="DP61" s="740">
        <v>4</v>
      </c>
      <c r="DQ61" s="740" t="str">
        <f t="shared" ca="1" si="205"/>
        <v>Catar</v>
      </c>
      <c r="DR61" s="740"/>
      <c r="DS61" s="740"/>
      <c r="DT61" s="740" t="str">
        <f t="shared" ca="1" si="15"/>
        <v>Arabia Saudita-Uruguay</v>
      </c>
      <c r="DU61" s="740"/>
      <c r="DV61" s="740"/>
      <c r="DW61" s="8"/>
    </row>
    <row r="62" spans="1:127">
      <c r="A62" s="741" t="str">
        <f ca="1">+Equipos!B31</f>
        <v>Cabo Verde</v>
      </c>
      <c r="B62" s="738"/>
      <c r="C62" s="742"/>
      <c r="D62" s="740" t="str">
        <f t="shared" si="206"/>
        <v>Pendiente</v>
      </c>
      <c r="E62" s="740" t="str">
        <f t="shared" si="207"/>
        <v>-</v>
      </c>
      <c r="F62" s="740" t="str">
        <f t="shared" si="208"/>
        <v>-</v>
      </c>
      <c r="G62" s="740"/>
      <c r="H62" s="740" t="str">
        <f t="shared" si="209"/>
        <v>-</v>
      </c>
      <c r="I62" s="740" t="str">
        <f t="shared" si="210"/>
        <v>-</v>
      </c>
      <c r="J62" s="740"/>
      <c r="K62" s="740" t="str">
        <f t="shared" si="211"/>
        <v>-</v>
      </c>
      <c r="L62" s="740" t="str">
        <f t="shared" si="212"/>
        <v>-</v>
      </c>
      <c r="M62" s="740"/>
      <c r="N62" s="740" t="str">
        <f t="shared" si="213"/>
        <v>-</v>
      </c>
      <c r="O62" s="740" t="str">
        <f t="shared" si="214"/>
        <v>-</v>
      </c>
      <c r="P62" s="740"/>
      <c r="Q62" s="740" t="str">
        <f t="shared" si="215"/>
        <v>-</v>
      </c>
      <c r="R62" s="740" t="str">
        <f t="shared" si="216"/>
        <v>-</v>
      </c>
      <c r="S62" s="740"/>
      <c r="T62" s="740" t="str">
        <f t="shared" si="217"/>
        <v>-</v>
      </c>
      <c r="U62" s="740" t="str">
        <f t="shared" si="218"/>
        <v>-</v>
      </c>
      <c r="V62" s="172"/>
      <c r="W62" s="906"/>
      <c r="X62" s="189">
        <f ca="1">Horarios!C62</f>
        <v>46194.5</v>
      </c>
      <c r="Y62" s="190">
        <f ca="1">Horarios!C62</f>
        <v>46194.5</v>
      </c>
      <c r="Z62" s="191" t="str">
        <f>$Z$6</f>
        <v>J2</v>
      </c>
      <c r="AA62" s="192" t="str">
        <f ca="1">A61</f>
        <v>España</v>
      </c>
      <c r="AB62" s="477" t="str" cm="1">
        <f t="array" aca="1" ref="AB62" ca="1">Ver_flag_local</f>
        <v/>
      </c>
      <c r="AC62" s="193"/>
      <c r="AD62" s="194"/>
      <c r="AE62" s="482" t="str" cm="1">
        <f t="array" aca="1" ref="AE62" ca="1">Ver_flag_visit</f>
        <v/>
      </c>
      <c r="AF62" s="195" t="str">
        <f ca="1">A63</f>
        <v>Arabia Saudita</v>
      </c>
      <c r="AG62" s="413">
        <f t="shared" si="219"/>
        <v>0</v>
      </c>
      <c r="AH62" s="196">
        <v>38</v>
      </c>
      <c r="AI62" s="19" t="str">
        <f>AJ62&amp;$B$60</f>
        <v>1H</v>
      </c>
      <c r="AJ62" s="211">
        <v>1</v>
      </c>
      <c r="AK62" s="487"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5" t="str">
        <f t="shared" si="188"/>
        <v>3E</v>
      </c>
      <c r="BC62" s="752" t="s">
        <v>3</v>
      </c>
      <c r="BD62" s="740" t="str">
        <f t="shared" ca="1" si="175"/>
        <v>Costa de Marfil</v>
      </c>
      <c r="BE62" s="744">
        <f t="shared" ca="1" si="189"/>
        <v>0</v>
      </c>
      <c r="BF62" s="744">
        <f t="shared" ca="1" si="190"/>
        <v>0</v>
      </c>
      <c r="BG62" s="744">
        <f t="shared" ca="1" si="191"/>
        <v>0</v>
      </c>
      <c r="BH62" s="744">
        <f t="shared" ca="1" si="192"/>
        <v>0</v>
      </c>
      <c r="BI62" s="744">
        <f t="shared" ca="1" si="176"/>
        <v>0</v>
      </c>
      <c r="BJ62" s="744">
        <f t="shared" ca="1" si="177"/>
        <v>0</v>
      </c>
      <c r="BK62" s="744">
        <f t="shared" ca="1" si="178"/>
        <v>0</v>
      </c>
      <c r="BL62" s="744">
        <f t="shared" ca="1" si="193"/>
        <v>0</v>
      </c>
      <c r="BM62" s="744">
        <f t="shared" ca="1" si="194"/>
        <v>6</v>
      </c>
      <c r="BN62" s="744">
        <f t="shared" ca="1" si="195"/>
        <v>6</v>
      </c>
      <c r="BO62" s="734" t="str">
        <f t="shared" si="196"/>
        <v>4E</v>
      </c>
      <c r="BP62" s="734"/>
      <c r="BQ62" s="734"/>
      <c r="BR62" s="744">
        <f t="shared" ca="1" si="179"/>
        <v>0</v>
      </c>
      <c r="BS62" s="744">
        <f t="shared" ca="1" si="197"/>
        <v>1</v>
      </c>
      <c r="BT62" s="744" t="str">
        <f t="shared" ca="1" si="198"/>
        <v>Pos. 1 (12)</v>
      </c>
      <c r="BU62" s="744">
        <f t="shared" ca="1" si="180"/>
        <v>0</v>
      </c>
      <c r="BV62" s="744">
        <f t="shared" ca="1" si="181"/>
        <v>1</v>
      </c>
      <c r="BW62" s="744" t="str">
        <f t="shared" ca="1" si="182"/>
        <v>Pos. 1 (12)</v>
      </c>
      <c r="BX62" s="744">
        <f t="shared" ca="1" si="183"/>
        <v>0</v>
      </c>
      <c r="BY62" s="744">
        <f t="shared" ca="1" si="184"/>
        <v>1</v>
      </c>
      <c r="BZ62" s="744" t="str">
        <f t="shared" ca="1" si="185"/>
        <v>Pos. 1 (12)</v>
      </c>
      <c r="CA62" s="744">
        <f t="shared" ca="1" si="199"/>
        <v>6</v>
      </c>
      <c r="CB62" s="744">
        <f t="shared" ca="1" si="200"/>
        <v>6</v>
      </c>
      <c r="CC62" s="744"/>
      <c r="CD62" s="744">
        <f t="shared" ca="1" si="201"/>
        <v>6</v>
      </c>
      <c r="CE62" s="744">
        <f t="shared" ca="1" si="202"/>
        <v>5</v>
      </c>
      <c r="CF62" s="744">
        <f t="shared" ca="1" si="203"/>
        <v>6</v>
      </c>
      <c r="CG62" s="744"/>
      <c r="CH62" s="744"/>
      <c r="CI62" s="744"/>
      <c r="CJ62" s="744"/>
      <c r="CK62" s="744"/>
      <c r="CL62" s="744"/>
      <c r="CM62" s="744"/>
      <c r="CN62" s="744"/>
      <c r="CO62" s="744"/>
      <c r="CP62" s="744"/>
      <c r="CQ62" s="744"/>
      <c r="CR62" s="744"/>
      <c r="CS62" s="744"/>
      <c r="CT62" s="744"/>
      <c r="CU62" s="744"/>
      <c r="CV62" s="744"/>
      <c r="CW62" s="740"/>
      <c r="CX62" s="740"/>
      <c r="CY62" s="740"/>
      <c r="CZ62" s="740"/>
      <c r="DA62" s="740"/>
      <c r="DB62" s="740"/>
      <c r="DC62" s="740"/>
      <c r="DD62" s="740"/>
      <c r="DE62" s="740"/>
      <c r="DF62" s="740"/>
      <c r="DG62" s="740"/>
      <c r="DH62" s="740"/>
      <c r="DI62" s="740"/>
      <c r="DJ62" s="740">
        <f t="shared" ca="1" si="186"/>
        <v>1</v>
      </c>
      <c r="DK62" s="740"/>
      <c r="DL62" s="740">
        <f t="shared" ca="1" si="204"/>
        <v>1</v>
      </c>
      <c r="DM62" s="734" t="str">
        <f t="shared" ca="1" si="187"/>
        <v>1.1</v>
      </c>
      <c r="DN62" s="740" cm="1">
        <f t="array" aca="1" ref="DN62" ca="1">OFFSET(Horarios!$P$3,DJ62-1,0,DL62,1)</f>
        <v>1</v>
      </c>
      <c r="DO62" s="740"/>
      <c r="DP62" s="740">
        <v>5</v>
      </c>
      <c r="DQ62" s="740" t="str">
        <f t="shared" ca="1" si="205"/>
        <v>Corea del Sur</v>
      </c>
      <c r="DR62" s="740"/>
      <c r="DS62" s="740"/>
      <c r="DT62" s="740" t="str">
        <f t="shared" ca="1" si="15"/>
        <v>España-Arabia Saudita</v>
      </c>
      <c r="DU62" s="740"/>
      <c r="DV62" s="740"/>
      <c r="DW62" s="8"/>
    </row>
    <row r="63" spans="1:127">
      <c r="A63" s="741" t="str">
        <f ca="1">+Equipos!B32</f>
        <v>Arabia Saudita</v>
      </c>
      <c r="B63" s="738"/>
      <c r="C63" s="740"/>
      <c r="D63" s="740" t="str">
        <f t="shared" si="206"/>
        <v>Pendiente</v>
      </c>
      <c r="E63" s="740" t="str">
        <f t="shared" si="207"/>
        <v>-</v>
      </c>
      <c r="F63" s="740" t="str">
        <f t="shared" si="208"/>
        <v>-</v>
      </c>
      <c r="G63" s="740"/>
      <c r="H63" s="740" t="str">
        <f t="shared" si="209"/>
        <v>-</v>
      </c>
      <c r="I63" s="740" t="str">
        <f t="shared" si="210"/>
        <v>-</v>
      </c>
      <c r="J63" s="740"/>
      <c r="K63" s="740" t="str">
        <f t="shared" si="211"/>
        <v>-</v>
      </c>
      <c r="L63" s="740" t="str">
        <f t="shared" si="212"/>
        <v>-</v>
      </c>
      <c r="M63" s="740"/>
      <c r="N63" s="740" t="str">
        <f t="shared" si="213"/>
        <v>-</v>
      </c>
      <c r="O63" s="740" t="str">
        <f t="shared" si="214"/>
        <v>-</v>
      </c>
      <c r="P63" s="740"/>
      <c r="Q63" s="740" t="str">
        <f t="shared" si="215"/>
        <v>-</v>
      </c>
      <c r="R63" s="740" t="str">
        <f t="shared" si="216"/>
        <v>-</v>
      </c>
      <c r="S63" s="740"/>
      <c r="T63" s="740" t="str">
        <f t="shared" si="217"/>
        <v>-</v>
      </c>
      <c r="U63" s="740" t="str">
        <f t="shared" si="218"/>
        <v>-</v>
      </c>
      <c r="V63" s="172"/>
      <c r="W63" s="906"/>
      <c r="X63" s="189">
        <f ca="1">Horarios!C63</f>
        <v>46194.75</v>
      </c>
      <c r="Y63" s="190">
        <f ca="1">Horarios!C63</f>
        <v>46194.75</v>
      </c>
      <c r="Z63" s="191" t="str">
        <f>$Z$6</f>
        <v>J2</v>
      </c>
      <c r="AA63" s="192" t="str">
        <f ca="1">A64</f>
        <v>Uruguay</v>
      </c>
      <c r="AB63" s="477" t="str" cm="1">
        <f t="array" aca="1" ref="AB63" ca="1">Ver_flag_local</f>
        <v/>
      </c>
      <c r="AC63" s="193"/>
      <c r="AD63" s="194"/>
      <c r="AE63" s="482" t="str" cm="1">
        <f t="array" aca="1" ref="AE63" ca="1">Ver_flag_visit</f>
        <v/>
      </c>
      <c r="AF63" s="195" t="str">
        <f ca="1">A62</f>
        <v>Cabo Verde</v>
      </c>
      <c r="AG63" s="413">
        <f t="shared" si="219"/>
        <v>0</v>
      </c>
      <c r="AH63" s="196">
        <v>37</v>
      </c>
      <c r="AI63" s="19" t="str">
        <f t="shared" ref="AI63:AI65" si="224">AJ63&amp;$B$60</f>
        <v>2H</v>
      </c>
      <c r="AJ63" s="221">
        <v>2</v>
      </c>
      <c r="AK63" s="485"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5" t="str">
        <f t="shared" si="188"/>
        <v>3F</v>
      </c>
      <c r="BC63" s="752" t="s">
        <v>4</v>
      </c>
      <c r="BD63" s="740" t="str">
        <f t="shared" ca="1" si="175"/>
        <v>Suecia</v>
      </c>
      <c r="BE63" s="744">
        <f t="shared" ca="1" si="189"/>
        <v>0</v>
      </c>
      <c r="BF63" s="744">
        <f t="shared" ca="1" si="190"/>
        <v>0</v>
      </c>
      <c r="BG63" s="744">
        <f t="shared" ca="1" si="191"/>
        <v>0</v>
      </c>
      <c r="BH63" s="744">
        <f t="shared" ca="1" si="192"/>
        <v>0</v>
      </c>
      <c r="BI63" s="744">
        <f t="shared" ca="1" si="176"/>
        <v>0</v>
      </c>
      <c r="BJ63" s="744">
        <f t="shared" ca="1" si="177"/>
        <v>0</v>
      </c>
      <c r="BK63" s="744">
        <f t="shared" ca="1" si="178"/>
        <v>0</v>
      </c>
      <c r="BL63" s="744">
        <f t="shared" ca="1" si="193"/>
        <v>0</v>
      </c>
      <c r="BM63" s="744">
        <f t="shared" ca="1" si="194"/>
        <v>11</v>
      </c>
      <c r="BN63" s="744">
        <f t="shared" ca="1" si="195"/>
        <v>11</v>
      </c>
      <c r="BO63" s="734" t="str">
        <f t="shared" si="196"/>
        <v>4F</v>
      </c>
      <c r="BP63" s="734"/>
      <c r="BQ63" s="734"/>
      <c r="BR63" s="744">
        <f t="shared" ca="1" si="179"/>
        <v>0</v>
      </c>
      <c r="BS63" s="744">
        <f t="shared" ca="1" si="197"/>
        <v>1</v>
      </c>
      <c r="BT63" s="744" t="str">
        <f t="shared" ca="1" si="198"/>
        <v>Pos. 1 (12)</v>
      </c>
      <c r="BU63" s="744">
        <f t="shared" ca="1" si="180"/>
        <v>0</v>
      </c>
      <c r="BV63" s="744">
        <f t="shared" ca="1" si="181"/>
        <v>1</v>
      </c>
      <c r="BW63" s="744" t="str">
        <f t="shared" ca="1" si="182"/>
        <v>Pos. 1 (12)</v>
      </c>
      <c r="BX63" s="744">
        <f t="shared" ca="1" si="183"/>
        <v>0</v>
      </c>
      <c r="BY63" s="744">
        <f t="shared" ca="1" si="184"/>
        <v>1</v>
      </c>
      <c r="BZ63" s="744" t="str">
        <f t="shared" ca="1" si="185"/>
        <v>Pos. 1 (12)</v>
      </c>
      <c r="CA63" s="744">
        <f t="shared" ca="1" si="199"/>
        <v>1</v>
      </c>
      <c r="CB63" s="744">
        <f t="shared" ca="1" si="200"/>
        <v>11</v>
      </c>
      <c r="CC63" s="744"/>
      <c r="CD63" s="744">
        <f t="shared" ca="1" si="201"/>
        <v>11</v>
      </c>
      <c r="CE63" s="744">
        <f t="shared" ca="1" si="202"/>
        <v>10</v>
      </c>
      <c r="CF63" s="744">
        <f t="shared" ca="1" si="203"/>
        <v>11</v>
      </c>
      <c r="CG63" s="744"/>
      <c r="CH63" s="744"/>
      <c r="CI63" s="744"/>
      <c r="CJ63" s="744"/>
      <c r="CK63" s="744"/>
      <c r="CL63" s="744"/>
      <c r="CM63" s="744"/>
      <c r="CN63" s="744"/>
      <c r="CO63" s="744"/>
      <c r="CP63" s="744"/>
      <c r="CQ63" s="744"/>
      <c r="CR63" s="744"/>
      <c r="CS63" s="744"/>
      <c r="CT63" s="744"/>
      <c r="CU63" s="744"/>
      <c r="CV63" s="744"/>
      <c r="CW63" s="740"/>
      <c r="CX63" s="740"/>
      <c r="CY63" s="740"/>
      <c r="CZ63" s="740"/>
      <c r="DA63" s="740"/>
      <c r="DB63" s="740"/>
      <c r="DC63" s="740"/>
      <c r="DD63" s="740"/>
      <c r="DE63" s="740"/>
      <c r="DF63" s="740"/>
      <c r="DG63" s="740"/>
      <c r="DH63" s="740"/>
      <c r="DI63" s="740"/>
      <c r="DJ63" s="740">
        <f t="shared" ca="1" si="186"/>
        <v>1</v>
      </c>
      <c r="DK63" s="740"/>
      <c r="DL63" s="740">
        <f t="shared" ca="1" si="204"/>
        <v>1</v>
      </c>
      <c r="DM63" s="734" t="str">
        <f t="shared" ca="1" si="187"/>
        <v>1.1</v>
      </c>
      <c r="DN63" s="740" cm="1">
        <f t="array" aca="1" ref="DN63" ca="1">OFFSET(Horarios!$P$3,DJ63-1,0,DL63,1)</f>
        <v>1</v>
      </c>
      <c r="DO63" s="740"/>
      <c r="DP63" s="740">
        <v>6</v>
      </c>
      <c r="DQ63" s="740" t="str">
        <f t="shared" ca="1" si="205"/>
        <v>Costa de Marfil</v>
      </c>
      <c r="DR63" s="740"/>
      <c r="DS63" s="740"/>
      <c r="DT63" s="740" t="str">
        <f t="shared" ca="1" si="15"/>
        <v>Uruguay-Cabo Verde</v>
      </c>
      <c r="DU63" s="740"/>
      <c r="DV63" s="740"/>
      <c r="DW63" s="8"/>
    </row>
    <row r="64" spans="1:127">
      <c r="A64" s="741" t="str">
        <f ca="1">+Equipos!B33</f>
        <v>Uruguay</v>
      </c>
      <c r="B64" s="738"/>
      <c r="C64" s="740"/>
      <c r="D64" s="740" t="str">
        <f t="shared" si="206"/>
        <v>Pendiente</v>
      </c>
      <c r="E64" s="740" t="str">
        <f t="shared" si="207"/>
        <v>-</v>
      </c>
      <c r="F64" s="740" t="str">
        <f t="shared" si="208"/>
        <v>-</v>
      </c>
      <c r="G64" s="740"/>
      <c r="H64" s="740" t="str">
        <f t="shared" si="209"/>
        <v>-</v>
      </c>
      <c r="I64" s="740" t="str">
        <f t="shared" si="210"/>
        <v>-</v>
      </c>
      <c r="J64" s="740"/>
      <c r="K64" s="740" t="str">
        <f t="shared" si="211"/>
        <v>-</v>
      </c>
      <c r="L64" s="740" t="str">
        <f t="shared" si="212"/>
        <v>-</v>
      </c>
      <c r="M64" s="740"/>
      <c r="N64" s="740" t="str">
        <f t="shared" si="213"/>
        <v>-</v>
      </c>
      <c r="O64" s="740" t="str">
        <f t="shared" si="214"/>
        <v>-</v>
      </c>
      <c r="P64" s="740"/>
      <c r="Q64" s="740" t="str">
        <f t="shared" si="215"/>
        <v>-</v>
      </c>
      <c r="R64" s="740" t="str">
        <f t="shared" si="216"/>
        <v>-</v>
      </c>
      <c r="S64" s="740"/>
      <c r="T64" s="740" t="str">
        <f t="shared" si="217"/>
        <v>-</v>
      </c>
      <c r="U64" s="740" t="str">
        <f t="shared" si="218"/>
        <v>-</v>
      </c>
      <c r="V64" s="172"/>
      <c r="W64" s="906"/>
      <c r="X64" s="189">
        <f ca="1">Horarios!C64</f>
        <v>46199.833333333336</v>
      </c>
      <c r="Y64" s="190">
        <f ca="1">Horarios!C64</f>
        <v>46199.833333333336</v>
      </c>
      <c r="Z64" s="191" t="str">
        <f>$Z$8</f>
        <v>J3</v>
      </c>
      <c r="AA64" s="192" t="str">
        <f ca="1">A62</f>
        <v>Cabo Verde</v>
      </c>
      <c r="AB64" s="477" t="str" cm="1">
        <f t="array" aca="1" ref="AB64" ca="1">Ver_flag_local</f>
        <v/>
      </c>
      <c r="AC64" s="193"/>
      <c r="AD64" s="194"/>
      <c r="AE64" s="482" t="str" cm="1">
        <f t="array" aca="1" ref="AE64" ca="1">Ver_flag_visit</f>
        <v/>
      </c>
      <c r="AF64" s="195" t="str">
        <f ca="1">A63</f>
        <v>Arabia Saudita</v>
      </c>
      <c r="AG64" s="413">
        <f t="shared" si="219"/>
        <v>0</v>
      </c>
      <c r="AH64" s="196">
        <v>65</v>
      </c>
      <c r="AI64" s="19" t="str">
        <f t="shared" si="224"/>
        <v>3H</v>
      </c>
      <c r="AJ64" s="221">
        <v>3</v>
      </c>
      <c r="AK64" s="485"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5" t="str">
        <f t="shared" si="188"/>
        <v>3G</v>
      </c>
      <c r="BC64" s="752" t="s">
        <v>6</v>
      </c>
      <c r="BD64" s="740" t="str">
        <f t="shared" ca="1" si="175"/>
        <v>Irán</v>
      </c>
      <c r="BE64" s="744">
        <f t="shared" ca="1" si="189"/>
        <v>0</v>
      </c>
      <c r="BF64" s="744">
        <f t="shared" ca="1" si="190"/>
        <v>0</v>
      </c>
      <c r="BG64" s="744">
        <f t="shared" ca="1" si="191"/>
        <v>0</v>
      </c>
      <c r="BH64" s="744">
        <f t="shared" ca="1" si="192"/>
        <v>0</v>
      </c>
      <c r="BI64" s="744">
        <f t="shared" ca="1" si="176"/>
        <v>0</v>
      </c>
      <c r="BJ64" s="744">
        <f t="shared" ca="1" si="177"/>
        <v>0</v>
      </c>
      <c r="BK64" s="744">
        <f t="shared" ca="1" si="178"/>
        <v>0</v>
      </c>
      <c r="BL64" s="744">
        <f t="shared" ca="1" si="193"/>
        <v>0</v>
      </c>
      <c r="BM64" s="744">
        <f t="shared" ca="1" si="194"/>
        <v>10</v>
      </c>
      <c r="BN64" s="744">
        <f t="shared" ca="1" si="195"/>
        <v>10</v>
      </c>
      <c r="BO64" s="734" t="str">
        <f t="shared" si="196"/>
        <v>4G</v>
      </c>
      <c r="BP64" s="734"/>
      <c r="BQ64" s="734"/>
      <c r="BR64" s="744">
        <f t="shared" ca="1" si="179"/>
        <v>0</v>
      </c>
      <c r="BS64" s="744">
        <f t="shared" ca="1" si="197"/>
        <v>1</v>
      </c>
      <c r="BT64" s="744" t="str">
        <f t="shared" ca="1" si="198"/>
        <v>Pos. 1 (12)</v>
      </c>
      <c r="BU64" s="744">
        <f t="shared" ca="1" si="180"/>
        <v>0</v>
      </c>
      <c r="BV64" s="744">
        <f t="shared" ca="1" si="181"/>
        <v>1</v>
      </c>
      <c r="BW64" s="744" t="str">
        <f t="shared" ca="1" si="182"/>
        <v>Pos. 1 (12)</v>
      </c>
      <c r="BX64" s="744">
        <f t="shared" ca="1" si="183"/>
        <v>0</v>
      </c>
      <c r="BY64" s="744">
        <f t="shared" ca="1" si="184"/>
        <v>1</v>
      </c>
      <c r="BZ64" s="744" t="str">
        <f t="shared" ca="1" si="185"/>
        <v>Pos. 1 (12)</v>
      </c>
      <c r="CA64" s="744">
        <f t="shared" ca="1" si="199"/>
        <v>2</v>
      </c>
      <c r="CB64" s="744">
        <f t="shared" ca="1" si="200"/>
        <v>10</v>
      </c>
      <c r="CC64" s="744"/>
      <c r="CD64" s="744">
        <f t="shared" ca="1" si="201"/>
        <v>10</v>
      </c>
      <c r="CE64" s="744">
        <f t="shared" ca="1" si="202"/>
        <v>9</v>
      </c>
      <c r="CF64" s="744">
        <f t="shared" ca="1" si="203"/>
        <v>10</v>
      </c>
      <c r="CG64" s="744"/>
      <c r="CH64" s="744"/>
      <c r="CI64" s="744"/>
      <c r="CJ64" s="744"/>
      <c r="CK64" s="744"/>
      <c r="CL64" s="744"/>
      <c r="CM64" s="744"/>
      <c r="CN64" s="744"/>
      <c r="CO64" s="744"/>
      <c r="CP64" s="744"/>
      <c r="CQ64" s="744"/>
      <c r="CR64" s="744"/>
      <c r="CS64" s="744"/>
      <c r="CT64" s="744"/>
      <c r="CU64" s="744"/>
      <c r="CV64" s="744"/>
      <c r="CW64" s="740"/>
      <c r="CX64" s="740"/>
      <c r="CY64" s="740"/>
      <c r="CZ64" s="740"/>
      <c r="DA64" s="740"/>
      <c r="DB64" s="740"/>
      <c r="DC64" s="740"/>
      <c r="DD64" s="740"/>
      <c r="DE64" s="740"/>
      <c r="DF64" s="740"/>
      <c r="DG64" s="740"/>
      <c r="DH64" s="740"/>
      <c r="DI64" s="740"/>
      <c r="DJ64" s="740">
        <f t="shared" ca="1" si="186"/>
        <v>1</v>
      </c>
      <c r="DK64" s="740"/>
      <c r="DL64" s="740">
        <f t="shared" ca="1" si="204"/>
        <v>1</v>
      </c>
      <c r="DM64" s="734" t="str">
        <f t="shared" ca="1" si="187"/>
        <v>1.1</v>
      </c>
      <c r="DN64" s="740" cm="1">
        <f t="array" aca="1" ref="DN64" ca="1">OFFSET(Horarios!$P$3,DJ64-1,0,DL64,1)</f>
        <v>1</v>
      </c>
      <c r="DO64" s="740"/>
      <c r="DP64" s="740">
        <v>7</v>
      </c>
      <c r="DQ64" s="740" t="str">
        <f t="shared" ca="1" si="205"/>
        <v>Ghana</v>
      </c>
      <c r="DR64" s="740"/>
      <c r="DS64" s="740"/>
      <c r="DT64" s="740" t="str">
        <f t="shared" ca="1" si="15"/>
        <v>Cabo Verde-Arabia Saudita</v>
      </c>
      <c r="DU64" s="740"/>
      <c r="DV64" s="740"/>
      <c r="DW64" s="8"/>
    </row>
    <row r="65" spans="1:127" ht="15.75" thickBot="1">
      <c r="A65" s="735"/>
      <c r="B65" s="738"/>
      <c r="C65" s="735"/>
      <c r="D65" s="740" t="str">
        <f t="shared" si="206"/>
        <v>Pendiente</v>
      </c>
      <c r="E65" s="740" t="str">
        <f t="shared" si="207"/>
        <v>-</v>
      </c>
      <c r="F65" s="740" t="str">
        <f t="shared" si="208"/>
        <v>-</v>
      </c>
      <c r="G65" s="740"/>
      <c r="H65" s="740" t="str">
        <f t="shared" si="209"/>
        <v>-</v>
      </c>
      <c r="I65" s="740" t="str">
        <f t="shared" si="210"/>
        <v>-</v>
      </c>
      <c r="J65" s="740"/>
      <c r="K65" s="740" t="str">
        <f t="shared" si="211"/>
        <v>-</v>
      </c>
      <c r="L65" s="740" t="str">
        <f t="shared" si="212"/>
        <v>-</v>
      </c>
      <c r="M65" s="740"/>
      <c r="N65" s="740" t="str">
        <f t="shared" si="213"/>
        <v>-</v>
      </c>
      <c r="O65" s="740" t="str">
        <f t="shared" si="214"/>
        <v>-</v>
      </c>
      <c r="P65" s="740"/>
      <c r="Q65" s="740" t="str">
        <f t="shared" si="215"/>
        <v>-</v>
      </c>
      <c r="R65" s="740" t="str">
        <f t="shared" si="216"/>
        <v>-</v>
      </c>
      <c r="S65" s="740"/>
      <c r="T65" s="740" t="str">
        <f t="shared" si="217"/>
        <v>-</v>
      </c>
      <c r="U65" s="740" t="str">
        <f t="shared" si="218"/>
        <v>-</v>
      </c>
      <c r="V65" s="172"/>
      <c r="W65" s="907"/>
      <c r="X65" s="228">
        <f ca="1">Horarios!C65</f>
        <v>46199.833333333336</v>
      </c>
      <c r="Y65" s="229">
        <f ca="1">Horarios!C65</f>
        <v>46199.833333333336</v>
      </c>
      <c r="Z65" s="230" t="str">
        <f>$Z$8</f>
        <v>J3</v>
      </c>
      <c r="AA65" s="231" t="str">
        <f ca="1">A64</f>
        <v>Uruguay</v>
      </c>
      <c r="AB65" s="478" t="str" cm="1">
        <f t="array" aca="1" ref="AB65" ca="1">Ver_flag_local</f>
        <v/>
      </c>
      <c r="AC65" s="232"/>
      <c r="AD65" s="233"/>
      <c r="AE65" s="483" t="str" cm="1">
        <f t="array" aca="1" ref="AE65" ca="1">Ver_flag_visit</f>
        <v/>
      </c>
      <c r="AF65" s="234" t="str">
        <f ca="1">A61</f>
        <v>España</v>
      </c>
      <c r="AG65" s="413">
        <f t="shared" si="219"/>
        <v>0</v>
      </c>
      <c r="AH65" s="196">
        <v>66</v>
      </c>
      <c r="AI65" s="19" t="str">
        <f t="shared" si="224"/>
        <v>4H</v>
      </c>
      <c r="AJ65" s="235">
        <v>4</v>
      </c>
      <c r="AK65" s="486"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5" t="str">
        <f t="shared" si="188"/>
        <v>3H</v>
      </c>
      <c r="BC65" s="752" t="s">
        <v>437</v>
      </c>
      <c r="BD65" s="740" t="str">
        <f t="shared" ca="1" si="175"/>
        <v>Arabia Saudita</v>
      </c>
      <c r="BE65" s="744">
        <f t="shared" ca="1" si="189"/>
        <v>0</v>
      </c>
      <c r="BF65" s="744">
        <f t="shared" ca="1" si="190"/>
        <v>0</v>
      </c>
      <c r="BG65" s="744">
        <f t="shared" ca="1" si="191"/>
        <v>0</v>
      </c>
      <c r="BH65" s="744">
        <f t="shared" ca="1" si="192"/>
        <v>0</v>
      </c>
      <c r="BI65" s="744">
        <f t="shared" ca="1" si="176"/>
        <v>0</v>
      </c>
      <c r="BJ65" s="744">
        <f t="shared" ca="1" si="177"/>
        <v>0</v>
      </c>
      <c r="BK65" s="744">
        <f t="shared" ca="1" si="178"/>
        <v>0</v>
      </c>
      <c r="BL65" s="744">
        <f t="shared" ca="1" si="193"/>
        <v>0</v>
      </c>
      <c r="BM65" s="744">
        <f t="shared" ca="1" si="194"/>
        <v>1</v>
      </c>
      <c r="BN65" s="744">
        <f t="shared" ca="1" si="195"/>
        <v>1</v>
      </c>
      <c r="BO65" s="734" t="str">
        <f t="shared" si="196"/>
        <v>4H</v>
      </c>
      <c r="BP65" s="734"/>
      <c r="BQ65" s="734"/>
      <c r="BR65" s="744">
        <f t="shared" ca="1" si="179"/>
        <v>0</v>
      </c>
      <c r="BS65" s="744">
        <f t="shared" ca="1" si="197"/>
        <v>1</v>
      </c>
      <c r="BT65" s="744" t="str">
        <f t="shared" ca="1" si="198"/>
        <v>Pos. 1 (12)</v>
      </c>
      <c r="BU65" s="744">
        <f t="shared" ca="1" si="180"/>
        <v>0</v>
      </c>
      <c r="BV65" s="744">
        <f t="shared" ca="1" si="181"/>
        <v>1</v>
      </c>
      <c r="BW65" s="744" t="str">
        <f t="shared" ca="1" si="182"/>
        <v>Pos. 1 (12)</v>
      </c>
      <c r="BX65" s="744">
        <f t="shared" ca="1" si="183"/>
        <v>0</v>
      </c>
      <c r="BY65" s="744">
        <f t="shared" ca="1" si="184"/>
        <v>1</v>
      </c>
      <c r="BZ65" s="744" t="str">
        <f t="shared" ca="1" si="185"/>
        <v>Pos. 1 (12)</v>
      </c>
      <c r="CA65" s="744">
        <f t="shared" ca="1" si="199"/>
        <v>11</v>
      </c>
      <c r="CB65" s="744">
        <f t="shared" ca="1" si="200"/>
        <v>1</v>
      </c>
      <c r="CC65" s="744"/>
      <c r="CD65" s="744">
        <f t="shared" ca="1" si="201"/>
        <v>1</v>
      </c>
      <c r="CE65" s="744">
        <f t="shared" ca="1" si="202"/>
        <v>0</v>
      </c>
      <c r="CF65" s="744">
        <f t="shared" ca="1" si="203"/>
        <v>1</v>
      </c>
      <c r="CG65" s="744"/>
      <c r="CH65" s="744"/>
      <c r="CI65" s="744"/>
      <c r="CJ65" s="744"/>
      <c r="CK65" s="744"/>
      <c r="CL65" s="744"/>
      <c r="CM65" s="744"/>
      <c r="CN65" s="744"/>
      <c r="CO65" s="744"/>
      <c r="CP65" s="744"/>
      <c r="CQ65" s="744"/>
      <c r="CR65" s="744"/>
      <c r="CS65" s="744"/>
      <c r="CT65" s="744"/>
      <c r="CU65" s="744"/>
      <c r="CV65" s="744"/>
      <c r="CW65" s="740"/>
      <c r="CX65" s="740"/>
      <c r="CY65" s="740"/>
      <c r="CZ65" s="740"/>
      <c r="DA65" s="740"/>
      <c r="DB65" s="740"/>
      <c r="DC65" s="740"/>
      <c r="DD65" s="740"/>
      <c r="DE65" s="740"/>
      <c r="DF65" s="740"/>
      <c r="DG65" s="740"/>
      <c r="DH65" s="740"/>
      <c r="DI65" s="740"/>
      <c r="DJ65" s="740">
        <f t="shared" ca="1" si="186"/>
        <v>1</v>
      </c>
      <c r="DK65" s="740"/>
      <c r="DL65" s="740">
        <f t="shared" ca="1" si="204"/>
        <v>1</v>
      </c>
      <c r="DM65" s="734" t="str">
        <f t="shared" ca="1" si="187"/>
        <v>1.1</v>
      </c>
      <c r="DN65" s="740" cm="1">
        <f t="array" aca="1" ref="DN65" ca="1">OFFSET(Horarios!$P$3,DJ65-1,0,DL65,1)</f>
        <v>1</v>
      </c>
      <c r="DO65" s="740"/>
      <c r="DP65" s="740">
        <v>8</v>
      </c>
      <c r="DQ65" s="740" t="str">
        <f t="shared" ca="1" si="205"/>
        <v>Haití</v>
      </c>
      <c r="DR65" s="740"/>
      <c r="DS65" s="740"/>
      <c r="DT65" s="740" t="str">
        <f t="shared" ca="1" si="15"/>
        <v>Uruguay-España</v>
      </c>
      <c r="DU65" s="740"/>
      <c r="DV65" s="740"/>
      <c r="DW65" s="8"/>
    </row>
    <row r="66" spans="1:127" ht="15.75" thickBot="1">
      <c r="A66" s="735"/>
      <c r="B66" s="738"/>
      <c r="C66" s="735"/>
      <c r="D66" s="740"/>
      <c r="E66" s="740"/>
      <c r="F66" s="740"/>
      <c r="G66" s="740"/>
      <c r="H66" s="740"/>
      <c r="I66" s="740"/>
      <c r="J66" s="740"/>
      <c r="K66" s="740"/>
      <c r="L66" s="740"/>
      <c r="M66" s="740"/>
      <c r="N66" s="740"/>
      <c r="O66" s="740"/>
      <c r="P66" s="740"/>
      <c r="Q66" s="740"/>
      <c r="R66" s="740"/>
      <c r="S66" s="740"/>
      <c r="T66" s="740"/>
      <c r="U66" s="740"/>
      <c r="V66" s="172"/>
      <c r="W66" s="242"/>
      <c r="X66" s="243"/>
      <c r="Y66" s="242"/>
      <c r="Z66" s="244"/>
      <c r="AA66" s="245"/>
      <c r="AB66" s="481"/>
      <c r="AC66" s="247"/>
      <c r="AD66" s="247"/>
      <c r="AE66" s="481"/>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5" t="str">
        <f t="shared" si="188"/>
        <v>3I</v>
      </c>
      <c r="BC66" s="752" t="s">
        <v>438</v>
      </c>
      <c r="BD66" s="740" t="str">
        <f t="shared" ca="1" si="175"/>
        <v>Irak</v>
      </c>
      <c r="BE66" s="744">
        <f t="shared" ca="1" si="189"/>
        <v>0</v>
      </c>
      <c r="BF66" s="744">
        <f t="shared" ca="1" si="190"/>
        <v>0</v>
      </c>
      <c r="BG66" s="744">
        <f t="shared" ca="1" si="191"/>
        <v>0</v>
      </c>
      <c r="BH66" s="744">
        <f t="shared" ca="1" si="192"/>
        <v>0</v>
      </c>
      <c r="BI66" s="744">
        <f t="shared" ca="1" si="176"/>
        <v>0</v>
      </c>
      <c r="BJ66" s="744">
        <f t="shared" ca="1" si="177"/>
        <v>0</v>
      </c>
      <c r="BK66" s="744">
        <f t="shared" ca="1" si="178"/>
        <v>0</v>
      </c>
      <c r="BL66" s="744">
        <f t="shared" ca="1" si="193"/>
        <v>0</v>
      </c>
      <c r="BM66" s="744">
        <f t="shared" ca="1" si="194"/>
        <v>9</v>
      </c>
      <c r="BN66" s="744">
        <f t="shared" ca="1" si="195"/>
        <v>9</v>
      </c>
      <c r="BO66" s="734" t="str">
        <f t="shared" si="196"/>
        <v>4I</v>
      </c>
      <c r="BP66" s="734"/>
      <c r="BQ66" s="734"/>
      <c r="BR66" s="744">
        <f t="shared" ca="1" si="179"/>
        <v>0</v>
      </c>
      <c r="BS66" s="744">
        <f t="shared" ca="1" si="197"/>
        <v>1</v>
      </c>
      <c r="BT66" s="744" t="str">
        <f t="shared" ca="1" si="198"/>
        <v>Pos. 1 (12)</v>
      </c>
      <c r="BU66" s="744">
        <f t="shared" ca="1" si="180"/>
        <v>0</v>
      </c>
      <c r="BV66" s="744">
        <f t="shared" ca="1" si="181"/>
        <v>1</v>
      </c>
      <c r="BW66" s="744" t="str">
        <f t="shared" ca="1" si="182"/>
        <v>Pos. 1 (12)</v>
      </c>
      <c r="BX66" s="744">
        <f t="shared" ca="1" si="183"/>
        <v>0</v>
      </c>
      <c r="BY66" s="744">
        <f t="shared" ca="1" si="184"/>
        <v>1</v>
      </c>
      <c r="BZ66" s="744" t="str">
        <f t="shared" ca="1" si="185"/>
        <v>Pos. 1 (12)</v>
      </c>
      <c r="CA66" s="744">
        <f t="shared" ca="1" si="199"/>
        <v>3</v>
      </c>
      <c r="CB66" s="744">
        <f t="shared" ca="1" si="200"/>
        <v>9</v>
      </c>
      <c r="CC66" s="744"/>
      <c r="CD66" s="744">
        <f t="shared" ca="1" si="201"/>
        <v>9</v>
      </c>
      <c r="CE66" s="744">
        <f t="shared" ca="1" si="202"/>
        <v>8</v>
      </c>
      <c r="CF66" s="744">
        <f t="shared" ca="1" si="203"/>
        <v>9</v>
      </c>
      <c r="CG66" s="744"/>
      <c r="CH66" s="744"/>
      <c r="CI66" s="744"/>
      <c r="CJ66" s="744"/>
      <c r="CK66" s="744"/>
      <c r="CL66" s="744"/>
      <c r="CM66" s="744"/>
      <c r="CN66" s="744"/>
      <c r="CO66" s="744"/>
      <c r="CP66" s="744"/>
      <c r="CQ66" s="744"/>
      <c r="CR66" s="744"/>
      <c r="CS66" s="744"/>
      <c r="CT66" s="744"/>
      <c r="CU66" s="744"/>
      <c r="CV66" s="744"/>
      <c r="CW66" s="740"/>
      <c r="CX66" s="740"/>
      <c r="CY66" s="740"/>
      <c r="CZ66" s="740"/>
      <c r="DA66" s="740"/>
      <c r="DB66" s="740"/>
      <c r="DC66" s="740"/>
      <c r="DD66" s="740"/>
      <c r="DE66" s="740"/>
      <c r="DF66" s="740"/>
      <c r="DG66" s="740"/>
      <c r="DH66" s="740"/>
      <c r="DI66" s="740"/>
      <c r="DJ66" s="740">
        <f t="shared" ca="1" si="186"/>
        <v>1</v>
      </c>
      <c r="DK66" s="740"/>
      <c r="DL66" s="740">
        <f t="shared" ca="1" si="204"/>
        <v>1</v>
      </c>
      <c r="DM66" s="734" t="str">
        <f t="shared" ca="1" si="187"/>
        <v>1.1</v>
      </c>
      <c r="DN66" s="740" cm="1">
        <f t="array" aca="1" ref="DN66" ca="1">OFFSET(Horarios!$P$3,DJ66-1,0,DL66,1)</f>
        <v>1</v>
      </c>
      <c r="DO66" s="740"/>
      <c r="DP66" s="740">
        <v>9</v>
      </c>
      <c r="DQ66" s="740" t="str">
        <f t="shared" ca="1" si="205"/>
        <v>Irak</v>
      </c>
      <c r="DR66" s="740"/>
      <c r="DS66" s="740"/>
      <c r="DT66" s="740" t="str">
        <f t="shared" si="15"/>
        <v>-</v>
      </c>
      <c r="DU66" s="740"/>
      <c r="DV66" s="740"/>
      <c r="DW66" s="8"/>
    </row>
    <row r="67" spans="1:127" ht="15.75" thickBot="1">
      <c r="A67" s="735"/>
      <c r="B67" s="738"/>
      <c r="C67" s="735"/>
      <c r="D67" s="735"/>
      <c r="E67" s="735"/>
      <c r="F67" s="735"/>
      <c r="G67" s="735"/>
      <c r="H67" s="735"/>
      <c r="I67" s="735"/>
      <c r="J67" s="735"/>
      <c r="K67" s="735"/>
      <c r="L67" s="735"/>
      <c r="M67" s="735"/>
      <c r="N67" s="740"/>
      <c r="O67" s="740"/>
      <c r="P67" s="740"/>
      <c r="Q67" s="740"/>
      <c r="R67" s="740"/>
      <c r="S67" s="740"/>
      <c r="T67" s="740"/>
      <c r="U67" s="740"/>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5" t="str">
        <f t="shared" si="188"/>
        <v>3J</v>
      </c>
      <c r="BC67" s="752" t="s">
        <v>5</v>
      </c>
      <c r="BD67" s="740" t="str">
        <f t="shared" ca="1" si="175"/>
        <v>Austria</v>
      </c>
      <c r="BE67" s="744">
        <f t="shared" ca="1" si="189"/>
        <v>0</v>
      </c>
      <c r="BF67" s="744">
        <f t="shared" ca="1" si="190"/>
        <v>0</v>
      </c>
      <c r="BG67" s="744">
        <f t="shared" ca="1" si="191"/>
        <v>0</v>
      </c>
      <c r="BH67" s="744">
        <f t="shared" ca="1" si="192"/>
        <v>0</v>
      </c>
      <c r="BI67" s="744">
        <f t="shared" ca="1" si="176"/>
        <v>0</v>
      </c>
      <c r="BJ67" s="744">
        <f t="shared" ca="1" si="177"/>
        <v>0</v>
      </c>
      <c r="BK67" s="744">
        <f t="shared" ca="1" si="178"/>
        <v>0</v>
      </c>
      <c r="BL67" s="744">
        <f t="shared" ca="1" si="193"/>
        <v>0</v>
      </c>
      <c r="BM67" s="744">
        <f t="shared" ca="1" si="194"/>
        <v>3</v>
      </c>
      <c r="BN67" s="744">
        <f t="shared" ca="1" si="195"/>
        <v>3</v>
      </c>
      <c r="BO67" s="734" t="str">
        <f t="shared" si="196"/>
        <v>4J</v>
      </c>
      <c r="BP67" s="734"/>
      <c r="BQ67" s="734"/>
      <c r="BR67" s="744">
        <f t="shared" ca="1" si="179"/>
        <v>0</v>
      </c>
      <c r="BS67" s="744">
        <f t="shared" ca="1" si="197"/>
        <v>1</v>
      </c>
      <c r="BT67" s="744" t="str">
        <f t="shared" ca="1" si="198"/>
        <v>Pos. 1 (12)</v>
      </c>
      <c r="BU67" s="744">
        <f t="shared" ca="1" si="180"/>
        <v>0</v>
      </c>
      <c r="BV67" s="744">
        <f t="shared" ca="1" si="181"/>
        <v>1</v>
      </c>
      <c r="BW67" s="744" t="str">
        <f t="shared" ca="1" si="182"/>
        <v>Pos. 1 (12)</v>
      </c>
      <c r="BX67" s="744">
        <f t="shared" ca="1" si="183"/>
        <v>0</v>
      </c>
      <c r="BY67" s="744">
        <f t="shared" ca="1" si="184"/>
        <v>1</v>
      </c>
      <c r="BZ67" s="744" t="str">
        <f t="shared" ca="1" si="185"/>
        <v>Pos. 1 (12)</v>
      </c>
      <c r="CA67" s="744">
        <f t="shared" ca="1" si="199"/>
        <v>9</v>
      </c>
      <c r="CB67" s="744">
        <f t="shared" ca="1" si="200"/>
        <v>3</v>
      </c>
      <c r="CC67" s="744"/>
      <c r="CD67" s="744">
        <f t="shared" ca="1" si="201"/>
        <v>3</v>
      </c>
      <c r="CE67" s="744">
        <f t="shared" ca="1" si="202"/>
        <v>2</v>
      </c>
      <c r="CF67" s="744">
        <f t="shared" ca="1" si="203"/>
        <v>3</v>
      </c>
      <c r="CG67" s="744"/>
      <c r="CH67" s="744"/>
      <c r="CI67" s="744"/>
      <c r="CJ67" s="744"/>
      <c r="CK67" s="744"/>
      <c r="CL67" s="744"/>
      <c r="CM67" s="744"/>
      <c r="CN67" s="744"/>
      <c r="CO67" s="744"/>
      <c r="CP67" s="744"/>
      <c r="CQ67" s="744"/>
      <c r="CR67" s="744"/>
      <c r="CS67" s="744"/>
      <c r="CT67" s="744"/>
      <c r="CU67" s="744"/>
      <c r="CV67" s="744"/>
      <c r="CW67" s="740"/>
      <c r="CX67" s="740"/>
      <c r="CY67" s="740"/>
      <c r="CZ67" s="740"/>
      <c r="DA67" s="740"/>
      <c r="DB67" s="740"/>
      <c r="DC67" s="740"/>
      <c r="DD67" s="740"/>
      <c r="DE67" s="740"/>
      <c r="DF67" s="740"/>
      <c r="DG67" s="740"/>
      <c r="DH67" s="740"/>
      <c r="DI67" s="740"/>
      <c r="DJ67" s="740">
        <f t="shared" ca="1" si="186"/>
        <v>1</v>
      </c>
      <c r="DK67" s="740"/>
      <c r="DL67" s="740">
        <f t="shared" ca="1" si="204"/>
        <v>1</v>
      </c>
      <c r="DM67" s="734" t="str">
        <f t="shared" ca="1" si="187"/>
        <v>1.1</v>
      </c>
      <c r="DN67" s="740" cm="1">
        <f t="array" aca="1" ref="DN67" ca="1">OFFSET(Horarios!$P$3,DJ67-1,0,DL67,1)</f>
        <v>1</v>
      </c>
      <c r="DO67" s="740"/>
      <c r="DP67" s="740">
        <v>10</v>
      </c>
      <c r="DQ67" s="740" t="str">
        <f t="shared" ca="1" si="205"/>
        <v>Irán</v>
      </c>
      <c r="DR67" s="740"/>
      <c r="DS67" s="740"/>
      <c r="DT67" s="740" t="str">
        <f t="shared" si="15"/>
        <v>Casa-Fuera</v>
      </c>
      <c r="DU67" s="740"/>
      <c r="DV67" s="740"/>
      <c r="DW67" s="8"/>
    </row>
    <row r="68" spans="1:127" ht="15" customHeight="1" thickBot="1">
      <c r="A68" s="737" t="s">
        <v>30</v>
      </c>
      <c r="B68" s="738" t="s">
        <v>438</v>
      </c>
      <c r="C68" s="739">
        <f>COUNTIF(Equipos!$C$2:$C$49,WORLDCUP!B68)</f>
        <v>4</v>
      </c>
      <c r="D68" s="740" t="str">
        <f t="shared" ref="D68:D73" si="225">IF(OR(AC68="",AD68=""),"Pendiente",IF(AC68&gt;AD68,"Local",IF(AC68&lt;AD68,"Visitante","Empate")))</f>
        <v>Pendiente</v>
      </c>
      <c r="E68" s="740" t="str">
        <f t="shared" ref="E68:E73" si="226">IF(D68="Pendiente","-",INDEX($BT$6:$BT$53,MATCH($AA68,$BD$6:$BD$53,0)))</f>
        <v>-</v>
      </c>
      <c r="F68" s="740" t="str">
        <f t="shared" ref="F68:F73" si="227">IF(D68="Pendiente","-",INDEX($BT$6:$BT$53,MATCH($AF68,$BD$6:$BD$53,0)))</f>
        <v>-</v>
      </c>
      <c r="G68" s="740"/>
      <c r="H68" s="740" t="str">
        <f t="shared" ref="H68:H73" si="228">IF(D68="Pendiente","-",INDEX($BZ$6:$BZ$53,MATCH($AA68,$BD$6:$BD$53,0)))</f>
        <v>-</v>
      </c>
      <c r="I68" s="740" t="str">
        <f t="shared" ref="I68:I73" si="229">IF(D68="Pendiente","-",INDEX($BZ$6:$BZ$53,MATCH($AF68,$BD$6:$BD$53,0)))</f>
        <v>-</v>
      </c>
      <c r="J68" s="740"/>
      <c r="K68" s="740" t="str">
        <f t="shared" ref="K68:K73" si="230">IF(D68="Pendiente","-",INDEX($CE$6:$CE$53,MATCH($AA68,$BD$6:$BD$53,0)))</f>
        <v>-</v>
      </c>
      <c r="L68" s="740" t="str">
        <f t="shared" ref="L68:L73" si="231">IF(D68="Pendiente","-",INDEX($CE$6:$CE$53,MATCH($AF68,$BD$6:$BD$53,0)))</f>
        <v>-</v>
      </c>
      <c r="M68" s="740"/>
      <c r="N68" s="740" t="str">
        <f t="shared" ref="N68:N73" si="232">IF(D68="Pendiente","-",INDEX($CH$6:$CH$53,MATCH($AA68,$BD$6:$BD$53,0)))</f>
        <v>-</v>
      </c>
      <c r="O68" s="740" t="str">
        <f t="shared" ref="O68:O73" si="233">IF(D68="Pendiente","-",INDEX($CH$6:$CH$53,MATCH($AF68,$BD$6:$BD$53,0)))</f>
        <v>-</v>
      </c>
      <c r="P68" s="740"/>
      <c r="Q68" s="740" t="str">
        <f t="shared" ref="Q68:Q73" si="234">IF(D68="Pendiente","-",INDEX($CN$6:$CN$53,MATCH($AA68,$BD$6:$BD$53,0)))</f>
        <v>-</v>
      </c>
      <c r="R68" s="740" t="str">
        <f t="shared" ref="R68:R73" si="235">IF(D68="Pendiente","-",INDEX($CN$6:$CN$53,MATCH($AF68,$BD$6:$BD$53,0)))</f>
        <v>-</v>
      </c>
      <c r="S68" s="740"/>
      <c r="T68" s="740" t="str">
        <f t="shared" ref="T68:T73" si="236">IF(D68="Pendiente","-",INDEX($CS$6:$CS$53,MATCH($AA68,$BD$6:$BD$53,0)))</f>
        <v>-</v>
      </c>
      <c r="U68" s="740" t="str">
        <f t="shared" ref="U68:U73" si="237">IF(D68="Pendiente","-",INDEX($CS$6:$CS$53,MATCH($AF68,$BD$6:$BD$53,0)))</f>
        <v>-</v>
      </c>
      <c r="V68" s="172"/>
      <c r="W68" s="912" t="s">
        <v>438</v>
      </c>
      <c r="X68" s="189">
        <f ca="1">Horarios!C68</f>
        <v>46189.625</v>
      </c>
      <c r="Y68" s="190">
        <f ca="1">Horarios!C68</f>
        <v>46189.625</v>
      </c>
      <c r="Z68" s="191" t="str">
        <f>$Z$4</f>
        <v>J1</v>
      </c>
      <c r="AA68" s="192" t="str">
        <f ca="1">A69</f>
        <v>Francia</v>
      </c>
      <c r="AB68" s="477" t="str" cm="1">
        <f t="array" aca="1" ref="AB68" ca="1">Ver_flag_local</f>
        <v/>
      </c>
      <c r="AC68" s="193"/>
      <c r="AD68" s="194"/>
      <c r="AE68" s="482"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5" t="str">
        <f t="shared" si="188"/>
        <v>3K</v>
      </c>
      <c r="BC68" s="752" t="s">
        <v>439</v>
      </c>
      <c r="BD68" s="740" t="str">
        <f t="shared" ca="1" si="175"/>
        <v>Uzbekistán</v>
      </c>
      <c r="BE68" s="744">
        <f t="shared" ca="1" si="189"/>
        <v>0</v>
      </c>
      <c r="BF68" s="744">
        <f t="shared" ca="1" si="190"/>
        <v>0</v>
      </c>
      <c r="BG68" s="744">
        <f t="shared" ca="1" si="191"/>
        <v>0</v>
      </c>
      <c r="BH68" s="744">
        <f t="shared" ca="1" si="192"/>
        <v>0</v>
      </c>
      <c r="BI68" s="744">
        <f t="shared" ca="1" si="176"/>
        <v>0</v>
      </c>
      <c r="BJ68" s="744">
        <f t="shared" ca="1" si="177"/>
        <v>0</v>
      </c>
      <c r="BK68" s="744">
        <f t="shared" ca="1" si="178"/>
        <v>0</v>
      </c>
      <c r="BL68" s="744">
        <f t="shared" ca="1" si="193"/>
        <v>0</v>
      </c>
      <c r="BM68" s="744">
        <f t="shared" ca="1" si="194"/>
        <v>12</v>
      </c>
      <c r="BN68" s="744">
        <f t="shared" ca="1" si="195"/>
        <v>12</v>
      </c>
      <c r="BO68" s="734" t="str">
        <f t="shared" si="196"/>
        <v>4K</v>
      </c>
      <c r="BP68" s="734"/>
      <c r="BQ68" s="734"/>
      <c r="BR68" s="744">
        <f t="shared" ca="1" si="179"/>
        <v>0</v>
      </c>
      <c r="BS68" s="744">
        <f t="shared" ca="1" si="197"/>
        <v>1</v>
      </c>
      <c r="BT68" s="744" t="str">
        <f t="shared" ca="1" si="198"/>
        <v>Pos. 1 (12)</v>
      </c>
      <c r="BU68" s="744">
        <f t="shared" ca="1" si="180"/>
        <v>0</v>
      </c>
      <c r="BV68" s="744">
        <f t="shared" ca="1" si="181"/>
        <v>1</v>
      </c>
      <c r="BW68" s="744" t="str">
        <f t="shared" ca="1" si="182"/>
        <v>Pos. 1 (12)</v>
      </c>
      <c r="BX68" s="744">
        <f t="shared" ca="1" si="183"/>
        <v>0</v>
      </c>
      <c r="BY68" s="744">
        <f t="shared" ca="1" si="184"/>
        <v>1</v>
      </c>
      <c r="BZ68" s="744" t="str">
        <f t="shared" ca="1" si="185"/>
        <v>Pos. 1 (12)</v>
      </c>
      <c r="CA68" s="744">
        <f t="shared" ca="1" si="199"/>
        <v>0</v>
      </c>
      <c r="CB68" s="744">
        <f t="shared" ca="1" si="200"/>
        <v>12</v>
      </c>
      <c r="CC68" s="744"/>
      <c r="CD68" s="744">
        <f t="shared" ca="1" si="201"/>
        <v>12</v>
      </c>
      <c r="CE68" s="744">
        <f t="shared" ca="1" si="202"/>
        <v>11</v>
      </c>
      <c r="CF68" s="744">
        <f t="shared" ca="1" si="203"/>
        <v>12</v>
      </c>
      <c r="CG68" s="744"/>
      <c r="CH68" s="744"/>
      <c r="CI68" s="744"/>
      <c r="CJ68" s="744"/>
      <c r="CK68" s="744"/>
      <c r="CL68" s="744"/>
      <c r="CM68" s="744"/>
      <c r="CN68" s="744"/>
      <c r="CO68" s="744"/>
      <c r="CP68" s="744"/>
      <c r="CQ68" s="744"/>
      <c r="CR68" s="744"/>
      <c r="CS68" s="744"/>
      <c r="CT68" s="744"/>
      <c r="CU68" s="744"/>
      <c r="CV68" s="744"/>
      <c r="CW68" s="740"/>
      <c r="CX68" s="740"/>
      <c r="CY68" s="740"/>
      <c r="CZ68" s="740"/>
      <c r="DA68" s="740"/>
      <c r="DB68" s="740"/>
      <c r="DC68" s="740"/>
      <c r="DD68" s="740"/>
      <c r="DE68" s="740"/>
      <c r="DF68" s="740"/>
      <c r="DG68" s="740"/>
      <c r="DH68" s="740"/>
      <c r="DI68" s="740"/>
      <c r="DJ68" s="740">
        <f t="shared" ca="1" si="186"/>
        <v>1</v>
      </c>
      <c r="DK68" s="740"/>
      <c r="DL68" s="740">
        <f t="shared" ca="1" si="204"/>
        <v>1</v>
      </c>
      <c r="DM68" s="734" t="str">
        <f t="shared" ca="1" si="187"/>
        <v>1.1</v>
      </c>
      <c r="DN68" s="740" cm="1">
        <f t="array" aca="1" ref="DN68" ca="1">OFFSET(Horarios!$P$3,DJ68-1,0,DL68,1)</f>
        <v>1</v>
      </c>
      <c r="DO68" s="740"/>
      <c r="DP68" s="740">
        <v>11</v>
      </c>
      <c r="DQ68" s="740" t="str">
        <f t="shared" ca="1" si="205"/>
        <v>Suecia</v>
      </c>
      <c r="DR68" s="740"/>
      <c r="DS68" s="740"/>
      <c r="DT68" s="740" t="str">
        <f t="shared" ca="1" si="15"/>
        <v>Francia-Senegal</v>
      </c>
      <c r="DU68" s="740"/>
      <c r="DV68" s="740"/>
      <c r="DW68" s="8"/>
    </row>
    <row r="69" spans="1:127" ht="15.95" customHeight="1">
      <c r="A69" s="741" t="str">
        <f ca="1">+Equipos!B34</f>
        <v>Francia</v>
      </c>
      <c r="B69" s="738"/>
      <c r="C69" s="738"/>
      <c r="D69" s="740" t="str">
        <f t="shared" si="225"/>
        <v>Pendiente</v>
      </c>
      <c r="E69" s="740" t="str">
        <f t="shared" si="226"/>
        <v>-</v>
      </c>
      <c r="F69" s="740" t="str">
        <f t="shared" si="227"/>
        <v>-</v>
      </c>
      <c r="G69" s="740"/>
      <c r="H69" s="740" t="str">
        <f t="shared" si="228"/>
        <v>-</v>
      </c>
      <c r="I69" s="740" t="str">
        <f t="shared" si="229"/>
        <v>-</v>
      </c>
      <c r="J69" s="740"/>
      <c r="K69" s="740" t="str">
        <f t="shared" si="230"/>
        <v>-</v>
      </c>
      <c r="L69" s="740" t="str">
        <f t="shared" si="231"/>
        <v>-</v>
      </c>
      <c r="M69" s="740"/>
      <c r="N69" s="740" t="str">
        <f t="shared" si="232"/>
        <v>-</v>
      </c>
      <c r="O69" s="740" t="str">
        <f t="shared" si="233"/>
        <v>-</v>
      </c>
      <c r="P69" s="740"/>
      <c r="Q69" s="740" t="str">
        <f t="shared" si="234"/>
        <v>-</v>
      </c>
      <c r="R69" s="740" t="str">
        <f t="shared" si="235"/>
        <v>-</v>
      </c>
      <c r="S69" s="740"/>
      <c r="T69" s="740" t="str">
        <f t="shared" si="236"/>
        <v>-</v>
      </c>
      <c r="U69" s="740" t="str">
        <f t="shared" si="237"/>
        <v>-</v>
      </c>
      <c r="V69" s="172"/>
      <c r="W69" s="912"/>
      <c r="X69" s="189">
        <f ca="1">Horarios!C69</f>
        <v>46189.75</v>
      </c>
      <c r="Y69" s="190">
        <f ca="1">Horarios!C69</f>
        <v>46189.75</v>
      </c>
      <c r="Z69" s="191" t="str">
        <f>$Z$4</f>
        <v>J1</v>
      </c>
      <c r="AA69" s="192" t="str">
        <f ca="1">A71</f>
        <v>Irak</v>
      </c>
      <c r="AB69" s="477" t="str" cm="1">
        <f t="array" aca="1" ref="AB69" ca="1">Ver_flag_local</f>
        <v/>
      </c>
      <c r="AC69" s="193"/>
      <c r="AD69" s="194"/>
      <c r="AE69" s="482"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5" t="str">
        <f t="shared" si="188"/>
        <v>3L</v>
      </c>
      <c r="BC69" s="752" t="s">
        <v>238</v>
      </c>
      <c r="BD69" s="740" t="str">
        <f t="shared" ca="1" si="175"/>
        <v>Ghana</v>
      </c>
      <c r="BE69" s="744">
        <f t="shared" ca="1" si="189"/>
        <v>0</v>
      </c>
      <c r="BF69" s="744">
        <f t="shared" ca="1" si="190"/>
        <v>0</v>
      </c>
      <c r="BG69" s="744">
        <f t="shared" ca="1" si="191"/>
        <v>0</v>
      </c>
      <c r="BH69" s="744">
        <f t="shared" ca="1" si="192"/>
        <v>0</v>
      </c>
      <c r="BI69" s="744">
        <f t="shared" ca="1" si="176"/>
        <v>0</v>
      </c>
      <c r="BJ69" s="744">
        <f t="shared" ca="1" si="177"/>
        <v>0</v>
      </c>
      <c r="BK69" s="744">
        <f t="shared" ca="1" si="178"/>
        <v>0</v>
      </c>
      <c r="BL69" s="744">
        <f t="shared" ca="1" si="193"/>
        <v>0</v>
      </c>
      <c r="BM69" s="744">
        <f t="shared" ca="1" si="194"/>
        <v>7</v>
      </c>
      <c r="BN69" s="744">
        <f t="shared" ca="1" si="195"/>
        <v>7</v>
      </c>
      <c r="BO69" s="734" t="str">
        <f t="shared" si="196"/>
        <v>4L</v>
      </c>
      <c r="BP69" s="734"/>
      <c r="BQ69" s="734"/>
      <c r="BR69" s="744">
        <f t="shared" ca="1" si="179"/>
        <v>0</v>
      </c>
      <c r="BS69" s="744">
        <f t="shared" ca="1" si="197"/>
        <v>1</v>
      </c>
      <c r="BT69" s="744" t="str">
        <f t="shared" ca="1" si="198"/>
        <v>Pos. 1 (12)</v>
      </c>
      <c r="BU69" s="744">
        <f t="shared" ca="1" si="180"/>
        <v>0</v>
      </c>
      <c r="BV69" s="744">
        <f t="shared" ca="1" si="181"/>
        <v>1</v>
      </c>
      <c r="BW69" s="744" t="str">
        <f t="shared" ca="1" si="182"/>
        <v>Pos. 1 (12)</v>
      </c>
      <c r="BX69" s="744">
        <f t="shared" ca="1" si="183"/>
        <v>0</v>
      </c>
      <c r="BY69" s="744">
        <f t="shared" ca="1" si="184"/>
        <v>1</v>
      </c>
      <c r="BZ69" s="744" t="str">
        <f t="shared" ca="1" si="185"/>
        <v>Pos. 1 (12)</v>
      </c>
      <c r="CA69" s="744">
        <f t="shared" ca="1" si="199"/>
        <v>5</v>
      </c>
      <c r="CB69" s="744">
        <f ca="1">BY69+COUNTIFS(BZ$58:BZ$69,BZ69,CA$58:CA$69,"&gt;"&amp;CA69)</f>
        <v>7</v>
      </c>
      <c r="CC69" s="744"/>
      <c r="CD69" s="744">
        <f t="shared" ca="1" si="201"/>
        <v>7</v>
      </c>
      <c r="CE69" s="744">
        <f t="shared" ca="1" si="202"/>
        <v>6</v>
      </c>
      <c r="CF69" s="744">
        <f t="shared" ca="1" si="203"/>
        <v>7</v>
      </c>
      <c r="CG69" s="744"/>
      <c r="CH69" s="744"/>
      <c r="CI69" s="744"/>
      <c r="CJ69" s="744"/>
      <c r="CK69" s="744"/>
      <c r="CL69" s="744"/>
      <c r="CM69" s="744"/>
      <c r="CN69" s="744"/>
      <c r="CO69" s="744"/>
      <c r="CP69" s="744"/>
      <c r="CQ69" s="744"/>
      <c r="CR69" s="744"/>
      <c r="CS69" s="744"/>
      <c r="CT69" s="744"/>
      <c r="CU69" s="744"/>
      <c r="CV69" s="744"/>
      <c r="CW69" s="740"/>
      <c r="CX69" s="740"/>
      <c r="CY69" s="740"/>
      <c r="CZ69" s="740"/>
      <c r="DA69" s="740"/>
      <c r="DB69" s="740"/>
      <c r="DC69" s="740"/>
      <c r="DD69" s="740"/>
      <c r="DE69" s="740"/>
      <c r="DF69" s="740"/>
      <c r="DG69" s="740"/>
      <c r="DH69" s="740"/>
      <c r="DI69" s="740"/>
      <c r="DJ69" s="740">
        <f t="shared" ca="1" si="186"/>
        <v>1</v>
      </c>
      <c r="DK69" s="740"/>
      <c r="DL69" s="740">
        <f t="shared" ca="1" si="204"/>
        <v>1</v>
      </c>
      <c r="DM69" s="734" t="str">
        <f t="shared" ca="1" si="187"/>
        <v>1.1</v>
      </c>
      <c r="DN69" s="740" cm="1">
        <f t="array" aca="1" ref="DN69" ca="1">OFFSET(Horarios!$P$3,DJ69-1,0,DL69,1)</f>
        <v>1</v>
      </c>
      <c r="DO69" s="740"/>
      <c r="DP69" s="740">
        <v>12</v>
      </c>
      <c r="DQ69" s="740" t="str">
        <f t="shared" ca="1" si="205"/>
        <v>Uzbekistán</v>
      </c>
      <c r="DR69" s="740"/>
      <c r="DS69" s="740"/>
      <c r="DT69" s="740" t="str">
        <f t="shared" ref="DT69:DT132" ca="1" si="242">AA69&amp;"-"&amp;AF69</f>
        <v>Irak-Noruega</v>
      </c>
      <c r="DU69" s="740"/>
      <c r="DV69" s="740"/>
      <c r="DW69" s="8"/>
    </row>
    <row r="70" spans="1:127" ht="15.95" customHeight="1">
      <c r="A70" s="741" t="str">
        <f ca="1">+Equipos!B35</f>
        <v>Senegal</v>
      </c>
      <c r="B70" s="738"/>
      <c r="C70" s="742"/>
      <c r="D70" s="740" t="str">
        <f t="shared" si="225"/>
        <v>Pendiente</v>
      </c>
      <c r="E70" s="740" t="str">
        <f t="shared" si="226"/>
        <v>-</v>
      </c>
      <c r="F70" s="740" t="str">
        <f t="shared" si="227"/>
        <v>-</v>
      </c>
      <c r="G70" s="740"/>
      <c r="H70" s="740" t="str">
        <f t="shared" si="228"/>
        <v>-</v>
      </c>
      <c r="I70" s="740" t="str">
        <f t="shared" si="229"/>
        <v>-</v>
      </c>
      <c r="J70" s="740"/>
      <c r="K70" s="740" t="str">
        <f t="shared" si="230"/>
        <v>-</v>
      </c>
      <c r="L70" s="740" t="str">
        <f t="shared" si="231"/>
        <v>-</v>
      </c>
      <c r="M70" s="740"/>
      <c r="N70" s="740" t="str">
        <f t="shared" si="232"/>
        <v>-</v>
      </c>
      <c r="O70" s="740" t="str">
        <f t="shared" si="233"/>
        <v>-</v>
      </c>
      <c r="P70" s="740"/>
      <c r="Q70" s="740" t="str">
        <f t="shared" si="234"/>
        <v>-</v>
      </c>
      <c r="R70" s="740" t="str">
        <f t="shared" si="235"/>
        <v>-</v>
      </c>
      <c r="S70" s="740"/>
      <c r="T70" s="740" t="str">
        <f t="shared" si="236"/>
        <v>-</v>
      </c>
      <c r="U70" s="740" t="str">
        <f t="shared" si="237"/>
        <v>-</v>
      </c>
      <c r="V70" s="172"/>
      <c r="W70" s="912"/>
      <c r="X70" s="189">
        <f ca="1">Horarios!C70</f>
        <v>46195.708333333336</v>
      </c>
      <c r="Y70" s="190">
        <f ca="1">Horarios!C70</f>
        <v>46195.708333333336</v>
      </c>
      <c r="Z70" s="191" t="str">
        <f>$Z$6</f>
        <v>J2</v>
      </c>
      <c r="AA70" s="192" t="str">
        <f ca="1">A69</f>
        <v>Francia</v>
      </c>
      <c r="AB70" s="477" t="str" cm="1">
        <f t="array" aca="1" ref="AB70" ca="1">Ver_flag_local</f>
        <v/>
      </c>
      <c r="AC70" s="193"/>
      <c r="AD70" s="194"/>
      <c r="AE70" s="482" t="str" cm="1">
        <f t="array" aca="1" ref="AE70" ca="1">Ver_flag_visit</f>
        <v/>
      </c>
      <c r="AF70" s="195" t="str">
        <f ca="1">A71</f>
        <v>Irak</v>
      </c>
      <c r="AG70" s="413">
        <f t="shared" si="238"/>
        <v>0</v>
      </c>
      <c r="AH70" s="196">
        <v>42</v>
      </c>
      <c r="AI70" s="19" t="str">
        <f>AJ70&amp;$B$68</f>
        <v>1I</v>
      </c>
      <c r="AJ70" s="211">
        <v>1</v>
      </c>
      <c r="AK70" s="487"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0"/>
      <c r="BC70" s="740"/>
      <c r="BD70" s="740"/>
      <c r="BE70" s="740"/>
      <c r="BF70" s="740"/>
      <c r="BG70" s="740"/>
      <c r="BH70" s="740"/>
      <c r="BI70" s="740"/>
      <c r="BJ70" s="740"/>
      <c r="BK70" s="740"/>
      <c r="BL70" s="740"/>
      <c r="BM70" s="740"/>
      <c r="BN70" s="745"/>
      <c r="BO70" s="745"/>
      <c r="BP70" s="745"/>
      <c r="BQ70" s="745"/>
      <c r="BR70" s="740"/>
      <c r="BS70" s="740"/>
      <c r="BT70" s="745"/>
      <c r="BU70" s="745"/>
      <c r="BV70" s="745"/>
      <c r="BW70" s="745"/>
      <c r="BX70" s="745"/>
      <c r="BY70" s="745"/>
      <c r="BZ70" s="745"/>
      <c r="CA70" s="745"/>
      <c r="CB70" s="745"/>
      <c r="CC70" s="745"/>
      <c r="CD70" s="745"/>
      <c r="CE70" s="745"/>
      <c r="CF70" s="745"/>
      <c r="CG70" s="745"/>
      <c r="CH70" s="745"/>
      <c r="CI70" s="745"/>
      <c r="CJ70" s="745"/>
      <c r="CK70" s="745"/>
      <c r="CL70" s="745"/>
      <c r="CM70" s="745"/>
      <c r="CN70" s="745"/>
      <c r="CO70" s="745"/>
      <c r="CP70" s="745"/>
      <c r="CQ70" s="745"/>
      <c r="CR70" s="745"/>
      <c r="CS70" s="745"/>
      <c r="CT70" s="745"/>
      <c r="CU70" s="745"/>
      <c r="CV70" s="745"/>
      <c r="CW70" s="740"/>
      <c r="CX70" s="745"/>
      <c r="CY70" s="740"/>
      <c r="CZ70" s="740"/>
      <c r="DA70" s="740"/>
      <c r="DB70" s="740"/>
      <c r="DC70" s="740"/>
      <c r="DD70" s="740"/>
      <c r="DE70" s="740"/>
      <c r="DF70" s="740"/>
      <c r="DG70" s="740"/>
      <c r="DH70" s="740"/>
      <c r="DI70" s="740"/>
      <c r="DJ70" s="740"/>
      <c r="DK70" s="740"/>
      <c r="DL70" s="740"/>
      <c r="DM70" s="740"/>
      <c r="DN70" s="740"/>
      <c r="DO70" s="740"/>
      <c r="DP70" s="740"/>
      <c r="DQ70" s="740"/>
      <c r="DR70" s="740"/>
      <c r="DS70" s="740"/>
      <c r="DT70" s="740" t="str">
        <f t="shared" ca="1" si="242"/>
        <v>Francia-Irak</v>
      </c>
      <c r="DU70" s="740"/>
      <c r="DV70" s="740"/>
      <c r="DW70" s="8"/>
    </row>
    <row r="71" spans="1:127" ht="15.95" customHeight="1">
      <c r="A71" s="741" t="str">
        <f ca="1">+Equipos!B36</f>
        <v>Irak</v>
      </c>
      <c r="B71" s="738"/>
      <c r="C71" s="740"/>
      <c r="D71" s="740" t="str">
        <f t="shared" si="225"/>
        <v>Pendiente</v>
      </c>
      <c r="E71" s="740" t="str">
        <f t="shared" si="226"/>
        <v>-</v>
      </c>
      <c r="F71" s="740" t="str">
        <f t="shared" si="227"/>
        <v>-</v>
      </c>
      <c r="G71" s="740"/>
      <c r="H71" s="740" t="str">
        <f t="shared" si="228"/>
        <v>-</v>
      </c>
      <c r="I71" s="740" t="str">
        <f t="shared" si="229"/>
        <v>-</v>
      </c>
      <c r="J71" s="740"/>
      <c r="K71" s="740" t="str">
        <f t="shared" si="230"/>
        <v>-</v>
      </c>
      <c r="L71" s="740" t="str">
        <f t="shared" si="231"/>
        <v>-</v>
      </c>
      <c r="M71" s="740"/>
      <c r="N71" s="740" t="str">
        <f t="shared" si="232"/>
        <v>-</v>
      </c>
      <c r="O71" s="740" t="str">
        <f t="shared" si="233"/>
        <v>-</v>
      </c>
      <c r="P71" s="740"/>
      <c r="Q71" s="740" t="str">
        <f t="shared" si="234"/>
        <v>-</v>
      </c>
      <c r="R71" s="740" t="str">
        <f t="shared" si="235"/>
        <v>-</v>
      </c>
      <c r="S71" s="740"/>
      <c r="T71" s="740" t="str">
        <f t="shared" si="236"/>
        <v>-</v>
      </c>
      <c r="U71" s="740" t="str">
        <f t="shared" si="237"/>
        <v>-</v>
      </c>
      <c r="V71" s="172"/>
      <c r="W71" s="912"/>
      <c r="X71" s="189">
        <f ca="1">Horarios!C71</f>
        <v>46195.833333333336</v>
      </c>
      <c r="Y71" s="190">
        <f ca="1">Horarios!C71</f>
        <v>46195.833333333336</v>
      </c>
      <c r="Z71" s="191" t="str">
        <f>$Z$6</f>
        <v>J2</v>
      </c>
      <c r="AA71" s="192" t="str">
        <f ca="1">A72</f>
        <v>Noruega</v>
      </c>
      <c r="AB71" s="477" t="str" cm="1">
        <f t="array" aca="1" ref="AB71" ca="1">Ver_flag_local</f>
        <v/>
      </c>
      <c r="AC71" s="193"/>
      <c r="AD71" s="194"/>
      <c r="AE71" s="482" t="str" cm="1">
        <f t="array" aca="1" ref="AE71" ca="1">Ver_flag_visit</f>
        <v/>
      </c>
      <c r="AF71" s="195" t="str">
        <f ca="1">A70</f>
        <v>Senegal</v>
      </c>
      <c r="AG71" s="413">
        <f t="shared" si="238"/>
        <v>0</v>
      </c>
      <c r="AH71" s="196">
        <v>41</v>
      </c>
      <c r="AI71" s="19" t="str">
        <f t="shared" ref="AI71:AI73" si="244">AJ71&amp;$B$68</f>
        <v>2I</v>
      </c>
      <c r="AJ71" s="221">
        <v>2</v>
      </c>
      <c r="AK71" s="485"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0"/>
      <c r="BC71" s="740"/>
      <c r="BD71" s="740"/>
      <c r="BE71" s="740"/>
      <c r="BF71" s="740"/>
      <c r="BG71" s="740"/>
      <c r="BH71" s="740"/>
      <c r="BI71" s="740"/>
      <c r="BJ71" s="740"/>
      <c r="BK71" s="740"/>
      <c r="BL71" s="740"/>
      <c r="BM71" s="740"/>
      <c r="BN71" s="745"/>
      <c r="BO71" s="745"/>
      <c r="BP71" s="745"/>
      <c r="BQ71" s="745"/>
      <c r="BR71" s="740"/>
      <c r="BS71" s="740"/>
      <c r="BT71" s="745"/>
      <c r="BU71" s="745"/>
      <c r="BV71" s="745"/>
      <c r="BW71" s="745"/>
      <c r="BX71" s="745"/>
      <c r="BY71" s="745"/>
      <c r="BZ71" s="745"/>
      <c r="CA71" s="745"/>
      <c r="CB71" s="745"/>
      <c r="CC71" s="745"/>
      <c r="CD71" s="745"/>
      <c r="CE71" s="745"/>
      <c r="CF71" s="745"/>
      <c r="CG71" s="745"/>
      <c r="CH71" s="745"/>
      <c r="CI71" s="745"/>
      <c r="CJ71" s="745"/>
      <c r="CK71" s="745"/>
      <c r="CL71" s="745"/>
      <c r="CM71" s="745"/>
      <c r="CN71" s="745"/>
      <c r="CO71" s="745"/>
      <c r="CP71" s="745"/>
      <c r="CQ71" s="745"/>
      <c r="CR71" s="745"/>
      <c r="CS71" s="745"/>
      <c r="CT71" s="745"/>
      <c r="CU71" s="745"/>
      <c r="CV71" s="745"/>
      <c r="CW71" s="740"/>
      <c r="CX71" s="745"/>
      <c r="CY71" s="740"/>
      <c r="CZ71" s="740"/>
      <c r="DA71" s="740"/>
      <c r="DB71" s="740"/>
      <c r="DC71" s="740"/>
      <c r="DD71" s="740"/>
      <c r="DE71" s="740"/>
      <c r="DF71" s="740"/>
      <c r="DG71" s="740"/>
      <c r="DH71" s="740"/>
      <c r="DI71" s="740"/>
      <c r="DJ71" s="740"/>
      <c r="DK71" s="740"/>
      <c r="DL71" s="740"/>
      <c r="DM71" s="740"/>
      <c r="DN71" s="740"/>
      <c r="DO71" s="740"/>
      <c r="DP71" s="740"/>
      <c r="DQ71" s="740"/>
      <c r="DR71" s="740"/>
      <c r="DS71" s="740"/>
      <c r="DT71" s="740" t="str">
        <f t="shared" ca="1" si="242"/>
        <v>Noruega-Senegal</v>
      </c>
      <c r="DU71" s="740"/>
      <c r="DV71" s="740"/>
      <c r="DW71" s="8"/>
    </row>
    <row r="72" spans="1:127" ht="15.95" customHeight="1">
      <c r="A72" s="741" t="str">
        <f ca="1">+Equipos!B37</f>
        <v>Noruega</v>
      </c>
      <c r="B72" s="738"/>
      <c r="C72" s="740"/>
      <c r="D72" s="740" t="str">
        <f t="shared" si="225"/>
        <v>Pendiente</v>
      </c>
      <c r="E72" s="740" t="str">
        <f t="shared" si="226"/>
        <v>-</v>
      </c>
      <c r="F72" s="740" t="str">
        <f t="shared" si="227"/>
        <v>-</v>
      </c>
      <c r="G72" s="740"/>
      <c r="H72" s="740" t="str">
        <f t="shared" si="228"/>
        <v>-</v>
      </c>
      <c r="I72" s="740" t="str">
        <f t="shared" si="229"/>
        <v>-</v>
      </c>
      <c r="J72" s="740"/>
      <c r="K72" s="740" t="str">
        <f t="shared" si="230"/>
        <v>-</v>
      </c>
      <c r="L72" s="740" t="str">
        <f t="shared" si="231"/>
        <v>-</v>
      </c>
      <c r="M72" s="740"/>
      <c r="N72" s="740" t="str">
        <f t="shared" si="232"/>
        <v>-</v>
      </c>
      <c r="O72" s="740" t="str">
        <f t="shared" si="233"/>
        <v>-</v>
      </c>
      <c r="P72" s="740"/>
      <c r="Q72" s="740" t="str">
        <f t="shared" si="234"/>
        <v>-</v>
      </c>
      <c r="R72" s="740" t="str">
        <f t="shared" si="235"/>
        <v>-</v>
      </c>
      <c r="S72" s="740"/>
      <c r="T72" s="740" t="str">
        <f t="shared" si="236"/>
        <v>-</v>
      </c>
      <c r="U72" s="740" t="str">
        <f t="shared" si="237"/>
        <v>-</v>
      </c>
      <c r="V72" s="172"/>
      <c r="W72" s="912"/>
      <c r="X72" s="189">
        <f ca="1">Horarios!C72</f>
        <v>46199.625</v>
      </c>
      <c r="Y72" s="190">
        <f ca="1">Horarios!C72</f>
        <v>46199.625</v>
      </c>
      <c r="Z72" s="191" t="str">
        <f>$Z$8</f>
        <v>J3</v>
      </c>
      <c r="AA72" s="192" t="str">
        <f ca="1">A72</f>
        <v>Noruega</v>
      </c>
      <c r="AB72" s="477" t="str" cm="1">
        <f t="array" aca="1" ref="AB72" ca="1">Ver_flag_local</f>
        <v/>
      </c>
      <c r="AC72" s="193"/>
      <c r="AD72" s="194"/>
      <c r="AE72" s="482" t="str" cm="1">
        <f t="array" aca="1" ref="AE72" ca="1">Ver_flag_visit</f>
        <v/>
      </c>
      <c r="AF72" s="195" t="str">
        <f ca="1">A69</f>
        <v>Francia</v>
      </c>
      <c r="AG72" s="413">
        <f t="shared" si="238"/>
        <v>0</v>
      </c>
      <c r="AH72" s="196">
        <v>61</v>
      </c>
      <c r="AI72" s="19" t="str">
        <f t="shared" si="244"/>
        <v>3I</v>
      </c>
      <c r="AJ72" s="221">
        <v>3</v>
      </c>
      <c r="AK72" s="485"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0"/>
      <c r="BC72" s="740"/>
      <c r="BD72" s="740"/>
      <c r="BE72" s="740"/>
      <c r="BF72" s="740"/>
      <c r="BG72" s="740"/>
      <c r="BH72" s="740"/>
      <c r="BI72" s="740"/>
      <c r="BJ72" s="740"/>
      <c r="BK72" s="740"/>
      <c r="BL72" s="740"/>
      <c r="BM72" s="740"/>
      <c r="BN72" s="745"/>
      <c r="BO72" s="745"/>
      <c r="BP72" s="745"/>
      <c r="BQ72" s="745"/>
      <c r="BR72" s="740"/>
      <c r="BS72" s="740"/>
      <c r="BT72" s="745"/>
      <c r="BU72" s="745"/>
      <c r="BV72" s="745"/>
      <c r="BW72" s="745"/>
      <c r="BX72" s="745"/>
      <c r="BY72" s="745"/>
      <c r="BZ72" s="745"/>
      <c r="CA72" s="745"/>
      <c r="CB72" s="745"/>
      <c r="CC72" s="745"/>
      <c r="CD72" s="745"/>
      <c r="CE72" s="745"/>
      <c r="CF72" s="745"/>
      <c r="CG72" s="745"/>
      <c r="CH72" s="745"/>
      <c r="CI72" s="745"/>
      <c r="CJ72" s="745"/>
      <c r="CK72" s="745"/>
      <c r="CL72" s="745"/>
      <c r="CM72" s="745"/>
      <c r="CN72" s="745"/>
      <c r="CO72" s="745"/>
      <c r="CP72" s="745"/>
      <c r="CQ72" s="745"/>
      <c r="CR72" s="745"/>
      <c r="CS72" s="745"/>
      <c r="CT72" s="745"/>
      <c r="CU72" s="745"/>
      <c r="CV72" s="745"/>
      <c r="CW72" s="740"/>
      <c r="CX72" s="745"/>
      <c r="CY72" s="740"/>
      <c r="CZ72" s="740"/>
      <c r="DA72" s="740"/>
      <c r="DB72" s="740"/>
      <c r="DC72" s="740"/>
      <c r="DD72" s="740"/>
      <c r="DE72" s="740"/>
      <c r="DF72" s="740"/>
      <c r="DG72" s="740"/>
      <c r="DH72" s="740"/>
      <c r="DI72" s="740"/>
      <c r="DJ72" s="740"/>
      <c r="DK72" s="740"/>
      <c r="DL72" s="740"/>
      <c r="DM72" s="740"/>
      <c r="DN72" s="740"/>
      <c r="DO72" s="740"/>
      <c r="DP72" s="740"/>
      <c r="DQ72" s="740"/>
      <c r="DR72" s="740"/>
      <c r="DS72" s="740"/>
      <c r="DT72" s="740" t="str">
        <f t="shared" ca="1" si="242"/>
        <v>Noruega-Francia</v>
      </c>
      <c r="DU72" s="740"/>
      <c r="DV72" s="740"/>
      <c r="DW72" s="8"/>
    </row>
    <row r="73" spans="1:127" ht="17.100000000000001" customHeight="1" thickBot="1">
      <c r="A73" s="735"/>
      <c r="B73" s="735"/>
      <c r="C73" s="735"/>
      <c r="D73" s="740" t="str">
        <f t="shared" si="225"/>
        <v>Pendiente</v>
      </c>
      <c r="E73" s="740" t="str">
        <f t="shared" si="226"/>
        <v>-</v>
      </c>
      <c r="F73" s="740" t="str">
        <f t="shared" si="227"/>
        <v>-</v>
      </c>
      <c r="G73" s="740"/>
      <c r="H73" s="740" t="str">
        <f t="shared" si="228"/>
        <v>-</v>
      </c>
      <c r="I73" s="740" t="str">
        <f t="shared" si="229"/>
        <v>-</v>
      </c>
      <c r="J73" s="740"/>
      <c r="K73" s="740" t="str">
        <f t="shared" si="230"/>
        <v>-</v>
      </c>
      <c r="L73" s="740" t="str">
        <f t="shared" si="231"/>
        <v>-</v>
      </c>
      <c r="M73" s="740"/>
      <c r="N73" s="740" t="str">
        <f t="shared" si="232"/>
        <v>-</v>
      </c>
      <c r="O73" s="740" t="str">
        <f t="shared" si="233"/>
        <v>-</v>
      </c>
      <c r="P73" s="740"/>
      <c r="Q73" s="740" t="str">
        <f t="shared" si="234"/>
        <v>-</v>
      </c>
      <c r="R73" s="740" t="str">
        <f t="shared" si="235"/>
        <v>-</v>
      </c>
      <c r="S73" s="740"/>
      <c r="T73" s="740" t="str">
        <f t="shared" si="236"/>
        <v>-</v>
      </c>
      <c r="U73" s="740" t="str">
        <f t="shared" si="237"/>
        <v>-</v>
      </c>
      <c r="V73" s="172"/>
      <c r="W73" s="913"/>
      <c r="X73" s="228">
        <f ca="1">Horarios!C73</f>
        <v>46199.625</v>
      </c>
      <c r="Y73" s="229">
        <f ca="1">Horarios!C73</f>
        <v>46199.625</v>
      </c>
      <c r="Z73" s="230" t="str">
        <f>$Z$8</f>
        <v>J3</v>
      </c>
      <c r="AA73" s="231" t="str">
        <f ca="1">A70</f>
        <v>Senegal</v>
      </c>
      <c r="AB73" s="478" t="str" cm="1">
        <f t="array" aca="1" ref="AB73" ca="1">Ver_flag_local</f>
        <v/>
      </c>
      <c r="AC73" s="232"/>
      <c r="AD73" s="233"/>
      <c r="AE73" s="483" t="str" cm="1">
        <f t="array" aca="1" ref="AE73" ca="1">Ver_flag_visit</f>
        <v/>
      </c>
      <c r="AF73" s="234" t="str">
        <f ca="1">A71</f>
        <v>Irak</v>
      </c>
      <c r="AG73" s="413">
        <f t="shared" si="238"/>
        <v>0</v>
      </c>
      <c r="AH73" s="196">
        <v>62</v>
      </c>
      <c r="AI73" s="19" t="str">
        <f t="shared" si="244"/>
        <v>4I</v>
      </c>
      <c r="AJ73" s="235">
        <v>4</v>
      </c>
      <c r="AK73" s="486"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0"/>
      <c r="BC73" s="740"/>
      <c r="BD73" s="740"/>
      <c r="BE73" s="740"/>
      <c r="BF73" s="740"/>
      <c r="BG73" s="740"/>
      <c r="BH73" s="740"/>
      <c r="BI73" s="740"/>
      <c r="BJ73" s="740"/>
      <c r="BK73" s="740"/>
      <c r="BL73" s="740"/>
      <c r="BM73" s="740"/>
      <c r="BN73" s="745"/>
      <c r="BO73" s="745"/>
      <c r="BP73" s="745"/>
      <c r="BQ73" s="745"/>
      <c r="BR73" s="740"/>
      <c r="BS73" s="740"/>
      <c r="BT73" s="745"/>
      <c r="BU73" s="745"/>
      <c r="BV73" s="745"/>
      <c r="BW73" s="745"/>
      <c r="BX73" s="745"/>
      <c r="BY73" s="745"/>
      <c r="BZ73" s="745"/>
      <c r="CA73" s="745"/>
      <c r="CB73" s="745"/>
      <c r="CC73" s="745"/>
      <c r="CD73" s="745"/>
      <c r="CE73" s="745"/>
      <c r="CF73" s="745"/>
      <c r="CG73" s="745"/>
      <c r="CH73" s="745"/>
      <c r="CI73" s="745"/>
      <c r="CJ73" s="745"/>
      <c r="CK73" s="745"/>
      <c r="CL73" s="745"/>
      <c r="CM73" s="745"/>
      <c r="CN73" s="745"/>
      <c r="CO73" s="745"/>
      <c r="CP73" s="745"/>
      <c r="CQ73" s="745"/>
      <c r="CR73" s="745"/>
      <c r="CS73" s="745"/>
      <c r="CT73" s="745"/>
      <c r="CU73" s="745"/>
      <c r="CV73" s="745"/>
      <c r="CW73" s="740"/>
      <c r="CX73" s="745"/>
      <c r="CY73" s="740"/>
      <c r="CZ73" s="740"/>
      <c r="DA73" s="740"/>
      <c r="DB73" s="740"/>
      <c r="DC73" s="740"/>
      <c r="DD73" s="740"/>
      <c r="DE73" s="740"/>
      <c r="DF73" s="740"/>
      <c r="DG73" s="740"/>
      <c r="DH73" s="740"/>
      <c r="DI73" s="740"/>
      <c r="DJ73" s="740"/>
      <c r="DK73" s="740"/>
      <c r="DL73" s="740"/>
      <c r="DM73" s="740"/>
      <c r="DN73" s="740"/>
      <c r="DO73" s="740"/>
      <c r="DP73" s="740"/>
      <c r="DQ73" s="740"/>
      <c r="DR73" s="740"/>
      <c r="DS73" s="740"/>
      <c r="DT73" s="740" t="str">
        <f t="shared" ca="1" si="242"/>
        <v>Senegal-Irak</v>
      </c>
      <c r="DU73" s="740"/>
      <c r="DV73" s="740"/>
      <c r="DW73" s="8"/>
    </row>
    <row r="74" spans="1:127" ht="15.75" thickBot="1">
      <c r="A74" s="735"/>
      <c r="B74" s="735"/>
      <c r="C74" s="735"/>
      <c r="D74" s="740"/>
      <c r="E74" s="740"/>
      <c r="F74" s="740"/>
      <c r="G74" s="740"/>
      <c r="H74" s="740"/>
      <c r="I74" s="740"/>
      <c r="J74" s="740"/>
      <c r="K74" s="740"/>
      <c r="L74" s="740"/>
      <c r="M74" s="740"/>
      <c r="N74" s="740"/>
      <c r="O74" s="740"/>
      <c r="P74" s="740"/>
      <c r="Q74" s="740"/>
      <c r="R74" s="740"/>
      <c r="S74" s="740"/>
      <c r="T74" s="740"/>
      <c r="U74" s="740"/>
      <c r="V74" s="172"/>
      <c r="W74" s="242"/>
      <c r="X74" s="243"/>
      <c r="Y74" s="242"/>
      <c r="Z74" s="244"/>
      <c r="AA74" s="245"/>
      <c r="AB74" s="481"/>
      <c r="AC74" s="247"/>
      <c r="AD74" s="247"/>
      <c r="AE74" s="481"/>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0"/>
      <c r="BC74" s="740"/>
      <c r="BD74" s="740"/>
      <c r="BE74" s="740"/>
      <c r="BF74" s="740"/>
      <c r="BG74" s="740"/>
      <c r="BH74" s="740"/>
      <c r="BI74" s="740"/>
      <c r="BJ74" s="740"/>
      <c r="BK74" s="740"/>
      <c r="BL74" s="740"/>
      <c r="BM74" s="740"/>
      <c r="BN74" s="745"/>
      <c r="BO74" s="745"/>
      <c r="BP74" s="745"/>
      <c r="BQ74" s="745"/>
      <c r="BR74" s="740"/>
      <c r="BS74" s="740"/>
      <c r="BT74" s="745"/>
      <c r="BU74" s="745"/>
      <c r="BV74" s="745"/>
      <c r="BW74" s="745"/>
      <c r="BX74" s="745"/>
      <c r="BY74" s="745"/>
      <c r="BZ74" s="745"/>
      <c r="CA74" s="745"/>
      <c r="CB74" s="745"/>
      <c r="CC74" s="745"/>
      <c r="CD74" s="745"/>
      <c r="CE74" s="745"/>
      <c r="CF74" s="745"/>
      <c r="CG74" s="745"/>
      <c r="CH74" s="745"/>
      <c r="CI74" s="745"/>
      <c r="CJ74" s="745"/>
      <c r="CK74" s="745"/>
      <c r="CL74" s="745"/>
      <c r="CM74" s="745"/>
      <c r="CN74" s="745"/>
      <c r="CO74" s="745"/>
      <c r="CP74" s="745"/>
      <c r="CQ74" s="745"/>
      <c r="CR74" s="745"/>
      <c r="CS74" s="745"/>
      <c r="CT74" s="745"/>
      <c r="CU74" s="745"/>
      <c r="CV74" s="745"/>
      <c r="CW74" s="740"/>
      <c r="CX74" s="745"/>
      <c r="CY74" s="740"/>
      <c r="CZ74" s="740"/>
      <c r="DA74" s="740"/>
      <c r="DB74" s="740"/>
      <c r="DC74" s="740"/>
      <c r="DD74" s="740"/>
      <c r="DE74" s="740"/>
      <c r="DF74" s="740"/>
      <c r="DG74" s="740"/>
      <c r="DH74" s="740"/>
      <c r="DI74" s="740"/>
      <c r="DJ74" s="740"/>
      <c r="DK74" s="740"/>
      <c r="DL74" s="740"/>
      <c r="DM74" s="740"/>
      <c r="DN74" s="740"/>
      <c r="DO74" s="740"/>
      <c r="DP74" s="740"/>
      <c r="DQ74" s="740"/>
      <c r="DR74" s="740"/>
      <c r="DS74" s="740"/>
      <c r="DT74" s="740" t="str">
        <f t="shared" si="242"/>
        <v>-</v>
      </c>
      <c r="DU74" s="740"/>
      <c r="DV74" s="740"/>
      <c r="DW74" s="8"/>
    </row>
    <row r="75" spans="1:127" ht="15.75" thickBot="1">
      <c r="A75" s="735"/>
      <c r="B75" s="738"/>
      <c r="C75" s="735"/>
      <c r="D75" s="735"/>
      <c r="E75" s="735"/>
      <c r="F75" s="735"/>
      <c r="G75" s="735"/>
      <c r="H75" s="735"/>
      <c r="I75" s="735"/>
      <c r="J75" s="735"/>
      <c r="K75" s="735"/>
      <c r="L75" s="735"/>
      <c r="M75" s="735"/>
      <c r="N75" s="740"/>
      <c r="O75" s="740"/>
      <c r="P75" s="740"/>
      <c r="Q75" s="740"/>
      <c r="R75" s="740"/>
      <c r="S75" s="740"/>
      <c r="T75" s="740"/>
      <c r="U75" s="740"/>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0"/>
      <c r="BC75" s="740"/>
      <c r="BD75" s="740"/>
      <c r="BE75" s="740"/>
      <c r="BF75" s="740"/>
      <c r="BG75" s="740"/>
      <c r="BH75" s="740"/>
      <c r="BI75" s="740"/>
      <c r="BJ75" s="740"/>
      <c r="BK75" s="740"/>
      <c r="BL75" s="740"/>
      <c r="BM75" s="740"/>
      <c r="BN75" s="740"/>
      <c r="BO75" s="740"/>
      <c r="BP75" s="740"/>
      <c r="BQ75" s="740"/>
      <c r="BR75" s="740"/>
      <c r="BS75" s="740"/>
      <c r="BT75" s="740"/>
      <c r="BU75" s="740"/>
      <c r="BV75" s="740"/>
      <c r="BW75" s="740"/>
      <c r="BX75" s="740"/>
      <c r="BY75" s="740"/>
      <c r="BZ75" s="740"/>
      <c r="CA75" s="740"/>
      <c r="CB75" s="740"/>
      <c r="CC75" s="740"/>
      <c r="CD75" s="740"/>
      <c r="CE75" s="740"/>
      <c r="CF75" s="740"/>
      <c r="CG75" s="740"/>
      <c r="CH75" s="740"/>
      <c r="CI75" s="740"/>
      <c r="CJ75" s="740"/>
      <c r="CK75" s="740"/>
      <c r="CL75" s="740"/>
      <c r="CM75" s="740"/>
      <c r="CN75" s="740"/>
      <c r="CO75" s="740"/>
      <c r="CP75" s="740"/>
      <c r="CQ75" s="740"/>
      <c r="CR75" s="740"/>
      <c r="CS75" s="740"/>
      <c r="CT75" s="740"/>
      <c r="CU75" s="740"/>
      <c r="CV75" s="740"/>
      <c r="CW75" s="740"/>
      <c r="CX75" s="740"/>
      <c r="CY75" s="740"/>
      <c r="CZ75" s="740"/>
      <c r="DA75" s="740"/>
      <c r="DB75" s="740"/>
      <c r="DC75" s="740"/>
      <c r="DD75" s="740"/>
      <c r="DE75" s="740"/>
      <c r="DF75" s="740"/>
      <c r="DG75" s="740"/>
      <c r="DH75" s="740"/>
      <c r="DI75" s="740"/>
      <c r="DJ75" s="740"/>
      <c r="DK75" s="740"/>
      <c r="DL75" s="740"/>
      <c r="DM75" s="740"/>
      <c r="DN75" s="740"/>
      <c r="DO75" s="740"/>
      <c r="DP75" s="740"/>
      <c r="DQ75" s="740"/>
      <c r="DR75" s="740"/>
      <c r="DS75" s="740"/>
      <c r="DT75" s="740" t="str">
        <f t="shared" si="242"/>
        <v>Casa-Fuera</v>
      </c>
      <c r="DU75" s="740"/>
      <c r="DV75" s="740"/>
      <c r="DW75" s="8"/>
    </row>
    <row r="76" spans="1:127" ht="15.95" customHeight="1" thickBot="1">
      <c r="A76" s="737" t="s">
        <v>30</v>
      </c>
      <c r="B76" s="738" t="s">
        <v>5</v>
      </c>
      <c r="C76" s="739">
        <f>COUNTIF(Equipos!$C$2:$C$49,WORLDCUP!B76)</f>
        <v>4</v>
      </c>
      <c r="D76" s="740" t="str">
        <f t="shared" ref="D76:D81" si="245">IF(OR(AC76="",AD76=""),"Pendiente",IF(AC76&gt;AD76,"Local",IF(AC76&lt;AD76,"Visitante","Empate")))</f>
        <v>Pendiente</v>
      </c>
      <c r="E76" s="740" t="str">
        <f t="shared" ref="E76:E81" si="246">IF(D76="Pendiente","-",INDEX($BT$6:$BT$53,MATCH($AA76,$BD$6:$BD$53,0)))</f>
        <v>-</v>
      </c>
      <c r="F76" s="740" t="str">
        <f t="shared" ref="F76:F81" si="247">IF(D76="Pendiente","-",INDEX($BT$6:$BT$53,MATCH($AF76,$BD$6:$BD$53,0)))</f>
        <v>-</v>
      </c>
      <c r="G76" s="740"/>
      <c r="H76" s="740" t="str">
        <f t="shared" ref="H76:H81" si="248">IF(D76="Pendiente","-",INDEX($BZ$6:$BZ$53,MATCH($AA76,$BD$6:$BD$53,0)))</f>
        <v>-</v>
      </c>
      <c r="I76" s="740" t="str">
        <f t="shared" ref="I76:I81" si="249">IF(D76="Pendiente","-",INDEX($BZ$6:$BZ$53,MATCH($AF76,$BD$6:$BD$53,0)))</f>
        <v>-</v>
      </c>
      <c r="J76" s="740"/>
      <c r="K76" s="740" t="str">
        <f t="shared" ref="K76:K81" si="250">IF(D76="Pendiente","-",INDEX($CE$6:$CE$53,MATCH($AA76,$BD$6:$BD$53,0)))</f>
        <v>-</v>
      </c>
      <c r="L76" s="740" t="str">
        <f t="shared" ref="L76:L81" si="251">IF(D76="Pendiente","-",INDEX($CE$6:$CE$53,MATCH($AF76,$BD$6:$BD$53,0)))</f>
        <v>-</v>
      </c>
      <c r="M76" s="740"/>
      <c r="N76" s="740" t="str">
        <f t="shared" ref="N76:N81" si="252">IF(D76="Pendiente","-",INDEX($CH$6:$CH$53,MATCH($AA76,$BD$6:$BD$53,0)))</f>
        <v>-</v>
      </c>
      <c r="O76" s="740" t="str">
        <f t="shared" ref="O76:O81" si="253">IF(D76="Pendiente","-",INDEX($CH$6:$CH$53,MATCH($AF76,$BD$6:$BD$53,0)))</f>
        <v>-</v>
      </c>
      <c r="P76" s="740"/>
      <c r="Q76" s="740" t="str">
        <f t="shared" ref="Q76:Q81" si="254">IF(D76="Pendiente","-",INDEX($CN$6:$CN$53,MATCH($AA76,$BD$6:$BD$53,0)))</f>
        <v>-</v>
      </c>
      <c r="R76" s="740" t="str">
        <f t="shared" ref="R76:R81" si="255">IF(D76="Pendiente","-",INDEX($CN$6:$CN$53,MATCH($AF76,$BD$6:$BD$53,0)))</f>
        <v>-</v>
      </c>
      <c r="S76" s="740"/>
      <c r="T76" s="740" t="str">
        <f t="shared" ref="T76:T81" si="256">IF(D76="Pendiente","-",INDEX($CS$6:$CS$53,MATCH($AA76,$BD$6:$BD$53,0)))</f>
        <v>-</v>
      </c>
      <c r="U76" s="740" t="str">
        <f t="shared" ref="U76:U81" si="257">IF(D76="Pendiente","-",INDEX($CS$6:$CS$53,MATCH($AF76,$BD$6:$BD$53,0)))</f>
        <v>-</v>
      </c>
      <c r="V76" s="172"/>
      <c r="W76" s="908" t="s">
        <v>5</v>
      </c>
      <c r="X76" s="189">
        <f ca="1">Horarios!C76</f>
        <v>46189.875</v>
      </c>
      <c r="Y76" s="190">
        <f ca="1">Horarios!C76</f>
        <v>46189.875</v>
      </c>
      <c r="Z76" s="191" t="str">
        <f>$Z$4</f>
        <v>J1</v>
      </c>
      <c r="AA76" s="192" t="str">
        <f ca="1">A77</f>
        <v>Argentina</v>
      </c>
      <c r="AB76" s="477" t="str" cm="1">
        <f t="array" aca="1" ref="AB76" ca="1">Ver_flag_local</f>
        <v/>
      </c>
      <c r="AC76" s="193"/>
      <c r="AD76" s="194"/>
      <c r="AE76" s="482"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0"/>
      <c r="BC76" s="740"/>
      <c r="BD76" s="740"/>
      <c r="BE76" s="740"/>
      <c r="BF76" s="740"/>
      <c r="BG76" s="740"/>
      <c r="BH76" s="740"/>
      <c r="BI76" s="740"/>
      <c r="BJ76" s="740"/>
      <c r="BK76" s="740"/>
      <c r="BL76" s="740"/>
      <c r="BM76" s="740"/>
      <c r="BN76" s="740"/>
      <c r="BO76" s="740"/>
      <c r="BP76" s="740"/>
      <c r="BQ76" s="740"/>
      <c r="BR76" s="740"/>
      <c r="BS76" s="740"/>
      <c r="BT76" s="740"/>
      <c r="BU76" s="740"/>
      <c r="BV76" s="740"/>
      <c r="BW76" s="740"/>
      <c r="BX76" s="740"/>
      <c r="BY76" s="740"/>
      <c r="BZ76" s="740"/>
      <c r="CA76" s="740"/>
      <c r="CB76" s="740"/>
      <c r="CC76" s="740"/>
      <c r="CD76" s="740"/>
      <c r="CE76" s="740"/>
      <c r="CF76" s="740"/>
      <c r="CG76" s="740"/>
      <c r="CH76" s="740"/>
      <c r="CI76" s="740"/>
      <c r="CJ76" s="740"/>
      <c r="CK76" s="740"/>
      <c r="CL76" s="740"/>
      <c r="CM76" s="740"/>
      <c r="CN76" s="740"/>
      <c r="CO76" s="740"/>
      <c r="CP76" s="740"/>
      <c r="CQ76" s="740"/>
      <c r="CR76" s="740"/>
      <c r="CS76" s="740"/>
      <c r="CT76" s="740"/>
      <c r="CU76" s="740"/>
      <c r="CV76" s="740"/>
      <c r="CW76" s="740"/>
      <c r="CX76" s="745"/>
      <c r="CY76" s="740"/>
      <c r="CZ76" s="740"/>
      <c r="DA76" s="740"/>
      <c r="DB76" s="740"/>
      <c r="DC76" s="740"/>
      <c r="DD76" s="740"/>
      <c r="DE76" s="740"/>
      <c r="DF76" s="740"/>
      <c r="DG76" s="740"/>
      <c r="DH76" s="740"/>
      <c r="DI76" s="740"/>
      <c r="DJ76" s="740"/>
      <c r="DK76" s="740"/>
      <c r="DL76" s="740"/>
      <c r="DM76" s="740"/>
      <c r="DN76" s="740"/>
      <c r="DO76" s="740"/>
      <c r="DP76" s="740"/>
      <c r="DQ76" s="740"/>
      <c r="DR76" s="740"/>
      <c r="DS76" s="740"/>
      <c r="DT76" s="740" t="str">
        <f t="shared" ca="1" si="242"/>
        <v>Argentina-Argelia</v>
      </c>
      <c r="DU76" s="740"/>
      <c r="DV76" s="740"/>
      <c r="DW76" s="8"/>
    </row>
    <row r="77" spans="1:127" ht="15.95" customHeight="1">
      <c r="A77" s="741" t="str">
        <f ca="1">+Equipos!B38</f>
        <v>Argentina</v>
      </c>
      <c r="B77" s="738"/>
      <c r="C77" s="738"/>
      <c r="D77" s="740" t="str">
        <f t="shared" si="245"/>
        <v>Pendiente</v>
      </c>
      <c r="E77" s="740" t="str">
        <f t="shared" si="246"/>
        <v>-</v>
      </c>
      <c r="F77" s="740" t="str">
        <f t="shared" si="247"/>
        <v>-</v>
      </c>
      <c r="G77" s="740"/>
      <c r="H77" s="740" t="str">
        <f t="shared" si="248"/>
        <v>-</v>
      </c>
      <c r="I77" s="740" t="str">
        <f t="shared" si="249"/>
        <v>-</v>
      </c>
      <c r="J77" s="740"/>
      <c r="K77" s="740" t="str">
        <f t="shared" si="250"/>
        <v>-</v>
      </c>
      <c r="L77" s="740" t="str">
        <f t="shared" si="251"/>
        <v>-</v>
      </c>
      <c r="M77" s="740"/>
      <c r="N77" s="740" t="str">
        <f t="shared" si="252"/>
        <v>-</v>
      </c>
      <c r="O77" s="740" t="str">
        <f t="shared" si="253"/>
        <v>-</v>
      </c>
      <c r="P77" s="740"/>
      <c r="Q77" s="740" t="str">
        <f t="shared" si="254"/>
        <v>-</v>
      </c>
      <c r="R77" s="740" t="str">
        <f t="shared" si="255"/>
        <v>-</v>
      </c>
      <c r="S77" s="740"/>
      <c r="T77" s="740" t="str">
        <f t="shared" si="256"/>
        <v>-</v>
      </c>
      <c r="U77" s="740" t="str">
        <f t="shared" si="257"/>
        <v>-</v>
      </c>
      <c r="V77" s="172"/>
      <c r="W77" s="908"/>
      <c r="X77" s="189">
        <f ca="1">Horarios!C77</f>
        <v>46190</v>
      </c>
      <c r="Y77" s="190">
        <f ca="1">Horarios!C77</f>
        <v>46190</v>
      </c>
      <c r="Z77" s="191" t="str">
        <f>$Z$4</f>
        <v>J1</v>
      </c>
      <c r="AA77" s="192" t="str">
        <f ca="1">A79</f>
        <v>Austria</v>
      </c>
      <c r="AB77" s="477" t="str" cm="1">
        <f t="array" aca="1" ref="AB77" ca="1">Ver_flag_local</f>
        <v/>
      </c>
      <c r="AC77" s="193"/>
      <c r="AD77" s="194"/>
      <c r="AE77" s="482"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0"/>
      <c r="BC77" s="740"/>
      <c r="BD77" s="740"/>
      <c r="BE77" s="740"/>
      <c r="BF77" s="740"/>
      <c r="BG77" s="740"/>
      <c r="BH77" s="740"/>
      <c r="BI77" s="740"/>
      <c r="BJ77" s="740"/>
      <c r="BK77" s="740"/>
      <c r="BL77" s="740"/>
      <c r="BM77" s="740"/>
      <c r="BN77" s="743"/>
      <c r="BO77" s="743"/>
      <c r="BP77" s="743"/>
      <c r="BQ77" s="743"/>
      <c r="BR77" s="740"/>
      <c r="BS77" s="740"/>
      <c r="BT77" s="743"/>
      <c r="BU77" s="743"/>
      <c r="BV77" s="743"/>
      <c r="BW77" s="743"/>
      <c r="BX77" s="743"/>
      <c r="BY77" s="743"/>
      <c r="BZ77" s="743"/>
      <c r="CA77" s="743"/>
      <c r="CB77" s="743"/>
      <c r="CC77" s="743"/>
      <c r="CD77" s="743"/>
      <c r="CE77" s="743"/>
      <c r="CF77" s="743"/>
      <c r="CG77" s="743"/>
      <c r="CH77" s="743"/>
      <c r="CI77" s="743"/>
      <c r="CJ77" s="743"/>
      <c r="CK77" s="743"/>
      <c r="CL77" s="743"/>
      <c r="CM77" s="743"/>
      <c r="CN77" s="743"/>
      <c r="CO77" s="743"/>
      <c r="CP77" s="743"/>
      <c r="CQ77" s="743"/>
      <c r="CR77" s="743"/>
      <c r="CS77" s="743"/>
      <c r="CT77" s="743"/>
      <c r="CU77" s="743"/>
      <c r="CV77" s="743"/>
      <c r="CW77" s="740"/>
      <c r="CX77" s="743"/>
      <c r="CY77" s="740"/>
      <c r="CZ77" s="740"/>
      <c r="DA77" s="740"/>
      <c r="DB77" s="740"/>
      <c r="DC77" s="740"/>
      <c r="DD77" s="740"/>
      <c r="DE77" s="740"/>
      <c r="DF77" s="740"/>
      <c r="DG77" s="740"/>
      <c r="DH77" s="740"/>
      <c r="DI77" s="740"/>
      <c r="DJ77" s="740"/>
      <c r="DK77" s="740"/>
      <c r="DL77" s="740"/>
      <c r="DM77" s="740"/>
      <c r="DN77" s="740"/>
      <c r="DO77" s="740"/>
      <c r="DP77" s="740"/>
      <c r="DQ77" s="740"/>
      <c r="DR77" s="740"/>
      <c r="DS77" s="740"/>
      <c r="DT77" s="740" t="str">
        <f t="shared" ca="1" si="242"/>
        <v>Austria-Jordania</v>
      </c>
      <c r="DU77" s="740"/>
      <c r="DV77" s="740"/>
      <c r="DW77" s="8"/>
    </row>
    <row r="78" spans="1:127" ht="15.95" customHeight="1">
      <c r="A78" s="741" t="str">
        <f ca="1">+Equipos!B39</f>
        <v>Argelia</v>
      </c>
      <c r="B78" s="738"/>
      <c r="C78" s="742"/>
      <c r="D78" s="740" t="str">
        <f t="shared" si="245"/>
        <v>Pendiente</v>
      </c>
      <c r="E78" s="740" t="str">
        <f t="shared" si="246"/>
        <v>-</v>
      </c>
      <c r="F78" s="740" t="str">
        <f t="shared" si="247"/>
        <v>-</v>
      </c>
      <c r="G78" s="740"/>
      <c r="H78" s="740" t="str">
        <f t="shared" si="248"/>
        <v>-</v>
      </c>
      <c r="I78" s="740" t="str">
        <f t="shared" si="249"/>
        <v>-</v>
      </c>
      <c r="J78" s="740"/>
      <c r="K78" s="740" t="str">
        <f t="shared" si="250"/>
        <v>-</v>
      </c>
      <c r="L78" s="740" t="str">
        <f t="shared" si="251"/>
        <v>-</v>
      </c>
      <c r="M78" s="740"/>
      <c r="N78" s="740" t="str">
        <f t="shared" si="252"/>
        <v>-</v>
      </c>
      <c r="O78" s="740" t="str">
        <f t="shared" si="253"/>
        <v>-</v>
      </c>
      <c r="P78" s="740"/>
      <c r="Q78" s="740" t="str">
        <f t="shared" si="254"/>
        <v>-</v>
      </c>
      <c r="R78" s="740" t="str">
        <f t="shared" si="255"/>
        <v>-</v>
      </c>
      <c r="S78" s="740"/>
      <c r="T78" s="740" t="str">
        <f t="shared" si="256"/>
        <v>-</v>
      </c>
      <c r="U78" s="740" t="str">
        <f t="shared" si="257"/>
        <v>-</v>
      </c>
      <c r="V78" s="172"/>
      <c r="W78" s="908"/>
      <c r="X78" s="189">
        <f ca="1">Horarios!C78</f>
        <v>46195.541666666664</v>
      </c>
      <c r="Y78" s="190">
        <f ca="1">Horarios!C78</f>
        <v>46195.541666666664</v>
      </c>
      <c r="Z78" s="191" t="str">
        <f>$Z$6</f>
        <v>J2</v>
      </c>
      <c r="AA78" s="192" t="str">
        <f ca="1">A77</f>
        <v>Argentina</v>
      </c>
      <c r="AB78" s="477" t="str" cm="1">
        <f t="array" aca="1" ref="AB78" ca="1">Ver_flag_local</f>
        <v/>
      </c>
      <c r="AC78" s="193"/>
      <c r="AD78" s="194"/>
      <c r="AE78" s="482" t="str" cm="1">
        <f t="array" aca="1" ref="AE78" ca="1">Ver_flag_visit</f>
        <v/>
      </c>
      <c r="AF78" s="195" t="str">
        <f ca="1">A79</f>
        <v>Austria</v>
      </c>
      <c r="AG78" s="413">
        <f t="shared" si="258"/>
        <v>0</v>
      </c>
      <c r="AH78" s="196">
        <v>43</v>
      </c>
      <c r="AI78" s="19" t="str">
        <f>AJ78&amp;$B$76</f>
        <v>1J</v>
      </c>
      <c r="AJ78" s="211">
        <v>1</v>
      </c>
      <c r="AK78" s="487"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0"/>
      <c r="BC78" s="740"/>
      <c r="BD78" s="740"/>
      <c r="BE78" s="740"/>
      <c r="BF78" s="740"/>
      <c r="BG78" s="740"/>
      <c r="BH78" s="740"/>
      <c r="BI78" s="740"/>
      <c r="BJ78" s="740"/>
      <c r="BK78" s="740"/>
      <c r="BL78" s="740"/>
      <c r="BM78" s="740"/>
      <c r="BN78" s="745"/>
      <c r="BO78" s="745"/>
      <c r="BP78" s="745"/>
      <c r="BQ78" s="745"/>
      <c r="BR78" s="740"/>
      <c r="BS78" s="740"/>
      <c r="BT78" s="745"/>
      <c r="BU78" s="745"/>
      <c r="BV78" s="745"/>
      <c r="BW78" s="745"/>
      <c r="BX78" s="745"/>
      <c r="BY78" s="745"/>
      <c r="BZ78" s="745"/>
      <c r="CA78" s="745"/>
      <c r="CB78" s="745"/>
      <c r="CC78" s="745"/>
      <c r="CD78" s="745"/>
      <c r="CE78" s="745"/>
      <c r="CF78" s="745"/>
      <c r="CG78" s="745"/>
      <c r="CH78" s="745"/>
      <c r="CI78" s="745"/>
      <c r="CJ78" s="745"/>
      <c r="CK78" s="745"/>
      <c r="CL78" s="745"/>
      <c r="CM78" s="745"/>
      <c r="CN78" s="745"/>
      <c r="CO78" s="745"/>
      <c r="CP78" s="745"/>
      <c r="CQ78" s="745"/>
      <c r="CR78" s="745"/>
      <c r="CS78" s="745"/>
      <c r="CT78" s="745"/>
      <c r="CU78" s="745"/>
      <c r="CV78" s="745"/>
      <c r="CW78" s="740"/>
      <c r="CX78" s="745"/>
      <c r="CY78" s="740"/>
      <c r="CZ78" s="740"/>
      <c r="DA78" s="740"/>
      <c r="DB78" s="740"/>
      <c r="DC78" s="740"/>
      <c r="DD78" s="740"/>
      <c r="DE78" s="740"/>
      <c r="DF78" s="740"/>
      <c r="DG78" s="740"/>
      <c r="DH78" s="740"/>
      <c r="DI78" s="740"/>
      <c r="DJ78" s="740"/>
      <c r="DK78" s="740"/>
      <c r="DL78" s="740"/>
      <c r="DM78" s="740"/>
      <c r="DN78" s="740"/>
      <c r="DO78" s="740"/>
      <c r="DP78" s="740"/>
      <c r="DQ78" s="740"/>
      <c r="DR78" s="740"/>
      <c r="DS78" s="740"/>
      <c r="DT78" s="740" t="str">
        <f t="shared" ca="1" si="242"/>
        <v>Argentina-Austria</v>
      </c>
      <c r="DU78" s="740"/>
      <c r="DV78" s="740"/>
      <c r="DW78" s="8"/>
    </row>
    <row r="79" spans="1:127" ht="15.95" customHeight="1">
      <c r="A79" s="741" t="str">
        <f ca="1">+Equipos!B40</f>
        <v>Austria</v>
      </c>
      <c r="B79" s="738"/>
      <c r="C79" s="740"/>
      <c r="D79" s="740" t="str">
        <f t="shared" si="245"/>
        <v>Pendiente</v>
      </c>
      <c r="E79" s="740" t="str">
        <f t="shared" si="246"/>
        <v>-</v>
      </c>
      <c r="F79" s="740" t="str">
        <f t="shared" si="247"/>
        <v>-</v>
      </c>
      <c r="G79" s="740"/>
      <c r="H79" s="740" t="str">
        <f t="shared" si="248"/>
        <v>-</v>
      </c>
      <c r="I79" s="740" t="str">
        <f t="shared" si="249"/>
        <v>-</v>
      </c>
      <c r="J79" s="740"/>
      <c r="K79" s="740" t="str">
        <f t="shared" si="250"/>
        <v>-</v>
      </c>
      <c r="L79" s="740" t="str">
        <f t="shared" si="251"/>
        <v>-</v>
      </c>
      <c r="M79" s="740"/>
      <c r="N79" s="740" t="str">
        <f t="shared" si="252"/>
        <v>-</v>
      </c>
      <c r="O79" s="740" t="str">
        <f t="shared" si="253"/>
        <v>-</v>
      </c>
      <c r="P79" s="740"/>
      <c r="Q79" s="740" t="str">
        <f t="shared" si="254"/>
        <v>-</v>
      </c>
      <c r="R79" s="740" t="str">
        <f t="shared" si="255"/>
        <v>-</v>
      </c>
      <c r="S79" s="740"/>
      <c r="T79" s="740" t="str">
        <f t="shared" si="256"/>
        <v>-</v>
      </c>
      <c r="U79" s="740" t="str">
        <f t="shared" si="257"/>
        <v>-</v>
      </c>
      <c r="V79" s="172"/>
      <c r="W79" s="908"/>
      <c r="X79" s="189">
        <f ca="1">Horarios!C79</f>
        <v>46195.958333333336</v>
      </c>
      <c r="Y79" s="190">
        <f ca="1">Horarios!C79</f>
        <v>46195.958333333336</v>
      </c>
      <c r="Z79" s="191" t="str">
        <f>$Z$6</f>
        <v>J2</v>
      </c>
      <c r="AA79" s="192" t="str">
        <f ca="1">A80</f>
        <v>Jordania</v>
      </c>
      <c r="AB79" s="477" t="str" cm="1">
        <f t="array" aca="1" ref="AB79" ca="1">Ver_flag_local</f>
        <v/>
      </c>
      <c r="AC79" s="193"/>
      <c r="AD79" s="194"/>
      <c r="AE79" s="482" t="str" cm="1">
        <f t="array" aca="1" ref="AE79" ca="1">Ver_flag_visit</f>
        <v/>
      </c>
      <c r="AF79" s="195" t="str">
        <f ca="1">A78</f>
        <v>Argelia</v>
      </c>
      <c r="AG79" s="413">
        <f t="shared" si="258"/>
        <v>0</v>
      </c>
      <c r="AH79" s="196">
        <v>44</v>
      </c>
      <c r="AI79" s="19" t="str">
        <f t="shared" ref="AI79:AI81" si="263">AJ79&amp;$B$76</f>
        <v>2J</v>
      </c>
      <c r="AJ79" s="221">
        <v>2</v>
      </c>
      <c r="AK79" s="485"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0"/>
      <c r="BC79" s="740"/>
      <c r="BD79" s="740"/>
      <c r="BE79" s="740"/>
      <c r="BF79" s="740"/>
      <c r="BG79" s="740"/>
      <c r="BH79" s="740"/>
      <c r="BI79" s="740"/>
      <c r="BJ79" s="740"/>
      <c r="BK79" s="740"/>
      <c r="BL79" s="740"/>
      <c r="BM79" s="740"/>
      <c r="BN79" s="745"/>
      <c r="BO79" s="745"/>
      <c r="BP79" s="745"/>
      <c r="BQ79" s="745"/>
      <c r="BR79" s="740"/>
      <c r="BS79" s="740"/>
      <c r="BT79" s="745"/>
      <c r="BU79" s="745"/>
      <c r="BV79" s="745"/>
      <c r="BW79" s="745"/>
      <c r="BX79" s="745"/>
      <c r="BY79" s="745"/>
      <c r="BZ79" s="745"/>
      <c r="CA79" s="745"/>
      <c r="CB79" s="745"/>
      <c r="CC79" s="745"/>
      <c r="CD79" s="745"/>
      <c r="CE79" s="745"/>
      <c r="CF79" s="745"/>
      <c r="CG79" s="745"/>
      <c r="CH79" s="745"/>
      <c r="CI79" s="745"/>
      <c r="CJ79" s="745"/>
      <c r="CK79" s="745"/>
      <c r="CL79" s="745"/>
      <c r="CM79" s="745"/>
      <c r="CN79" s="745"/>
      <c r="CO79" s="745"/>
      <c r="CP79" s="745"/>
      <c r="CQ79" s="745"/>
      <c r="CR79" s="745"/>
      <c r="CS79" s="745"/>
      <c r="CT79" s="745"/>
      <c r="CU79" s="745"/>
      <c r="CV79" s="745"/>
      <c r="CW79" s="740"/>
      <c r="CX79" s="745"/>
      <c r="CY79" s="740"/>
      <c r="CZ79" s="740"/>
      <c r="DA79" s="740"/>
      <c r="DB79" s="740"/>
      <c r="DC79" s="740"/>
      <c r="DD79" s="740"/>
      <c r="DE79" s="740"/>
      <c r="DF79" s="740"/>
      <c r="DG79" s="740"/>
      <c r="DH79" s="740"/>
      <c r="DI79" s="740"/>
      <c r="DJ79" s="740"/>
      <c r="DK79" s="740"/>
      <c r="DL79" s="740"/>
      <c r="DM79" s="740"/>
      <c r="DN79" s="740"/>
      <c r="DO79" s="740"/>
      <c r="DP79" s="740"/>
      <c r="DQ79" s="740"/>
      <c r="DR79" s="740"/>
      <c r="DS79" s="740"/>
      <c r="DT79" s="740" t="str">
        <f t="shared" ca="1" si="242"/>
        <v>Jordania-Argelia</v>
      </c>
      <c r="DU79" s="740"/>
      <c r="DV79" s="740"/>
      <c r="DW79" s="8"/>
    </row>
    <row r="80" spans="1:127" ht="15.95" customHeight="1">
      <c r="A80" s="741" t="str">
        <f ca="1">+Equipos!B41</f>
        <v>Jordania</v>
      </c>
      <c r="B80" s="738"/>
      <c r="C80" s="740"/>
      <c r="D80" s="740" t="str">
        <f t="shared" si="245"/>
        <v>Pendiente</v>
      </c>
      <c r="E80" s="740" t="str">
        <f t="shared" si="246"/>
        <v>-</v>
      </c>
      <c r="F80" s="740" t="str">
        <f t="shared" si="247"/>
        <v>-</v>
      </c>
      <c r="G80" s="740"/>
      <c r="H80" s="740" t="str">
        <f t="shared" si="248"/>
        <v>-</v>
      </c>
      <c r="I80" s="740" t="str">
        <f t="shared" si="249"/>
        <v>-</v>
      </c>
      <c r="J80" s="740"/>
      <c r="K80" s="740" t="str">
        <f t="shared" si="250"/>
        <v>-</v>
      </c>
      <c r="L80" s="740" t="str">
        <f t="shared" si="251"/>
        <v>-</v>
      </c>
      <c r="M80" s="740"/>
      <c r="N80" s="740" t="str">
        <f t="shared" si="252"/>
        <v>-</v>
      </c>
      <c r="O80" s="740" t="str">
        <f t="shared" si="253"/>
        <v>-</v>
      </c>
      <c r="P80" s="740"/>
      <c r="Q80" s="740" t="str">
        <f t="shared" si="254"/>
        <v>-</v>
      </c>
      <c r="R80" s="740" t="str">
        <f t="shared" si="255"/>
        <v>-</v>
      </c>
      <c r="S80" s="740"/>
      <c r="T80" s="740" t="str">
        <f t="shared" si="256"/>
        <v>-</v>
      </c>
      <c r="U80" s="740" t="str">
        <f t="shared" si="257"/>
        <v>-</v>
      </c>
      <c r="V80" s="172"/>
      <c r="W80" s="908"/>
      <c r="X80" s="189">
        <f ca="1">Horarios!C80</f>
        <v>46200.916666666664</v>
      </c>
      <c r="Y80" s="190">
        <f ca="1">Horarios!C80</f>
        <v>46200.916666666664</v>
      </c>
      <c r="Z80" s="191" t="str">
        <f>$Z$8</f>
        <v>J3</v>
      </c>
      <c r="AA80" s="192" t="str">
        <f ca="1">A78</f>
        <v>Argelia</v>
      </c>
      <c r="AB80" s="477" t="str" cm="1">
        <f t="array" aca="1" ref="AB80" ca="1">Ver_flag_local</f>
        <v/>
      </c>
      <c r="AC80" s="193"/>
      <c r="AD80" s="194"/>
      <c r="AE80" s="482" t="str" cm="1">
        <f t="array" aca="1" ref="AE80" ca="1">Ver_flag_visit</f>
        <v/>
      </c>
      <c r="AF80" s="195" t="str">
        <f ca="1">A79</f>
        <v>Austria</v>
      </c>
      <c r="AG80" s="413">
        <f t="shared" si="258"/>
        <v>0</v>
      </c>
      <c r="AH80" s="196">
        <v>69</v>
      </c>
      <c r="AI80" s="19" t="str">
        <f t="shared" si="263"/>
        <v>3J</v>
      </c>
      <c r="AJ80" s="221">
        <v>3</v>
      </c>
      <c r="AK80" s="485"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0"/>
      <c r="BC80" s="740"/>
      <c r="BD80" s="740"/>
      <c r="BE80" s="740"/>
      <c r="BF80" s="740"/>
      <c r="BG80" s="740"/>
      <c r="BH80" s="740"/>
      <c r="BI80" s="740"/>
      <c r="BJ80" s="740"/>
      <c r="BK80" s="740"/>
      <c r="BL80" s="740"/>
      <c r="BM80" s="740"/>
      <c r="BN80" s="745"/>
      <c r="BO80" s="745"/>
      <c r="BP80" s="745"/>
      <c r="BQ80" s="745"/>
      <c r="BR80" s="740"/>
      <c r="BS80" s="740"/>
      <c r="BT80" s="745"/>
      <c r="BU80" s="745"/>
      <c r="BV80" s="745"/>
      <c r="BW80" s="745"/>
      <c r="BX80" s="745"/>
      <c r="BY80" s="745"/>
      <c r="BZ80" s="745"/>
      <c r="CA80" s="745"/>
      <c r="CB80" s="745"/>
      <c r="CC80" s="745"/>
      <c r="CD80" s="745"/>
      <c r="CE80" s="745"/>
      <c r="CF80" s="745"/>
      <c r="CG80" s="745"/>
      <c r="CH80" s="745"/>
      <c r="CI80" s="745"/>
      <c r="CJ80" s="745"/>
      <c r="CK80" s="745"/>
      <c r="CL80" s="745"/>
      <c r="CM80" s="745"/>
      <c r="CN80" s="745"/>
      <c r="CO80" s="745"/>
      <c r="CP80" s="745"/>
      <c r="CQ80" s="745"/>
      <c r="CR80" s="745"/>
      <c r="CS80" s="745"/>
      <c r="CT80" s="745"/>
      <c r="CU80" s="745"/>
      <c r="CV80" s="745"/>
      <c r="CW80" s="740"/>
      <c r="CX80" s="745"/>
      <c r="CY80" s="740"/>
      <c r="CZ80" s="740"/>
      <c r="DA80" s="740"/>
      <c r="DB80" s="740"/>
      <c r="DC80" s="740"/>
      <c r="DD80" s="740"/>
      <c r="DE80" s="740"/>
      <c r="DF80" s="740"/>
      <c r="DG80" s="740"/>
      <c r="DH80" s="740"/>
      <c r="DI80" s="740"/>
      <c r="DJ80" s="740"/>
      <c r="DK80" s="740"/>
      <c r="DL80" s="740"/>
      <c r="DM80" s="740"/>
      <c r="DN80" s="740"/>
      <c r="DO80" s="740"/>
      <c r="DP80" s="740"/>
      <c r="DQ80" s="740"/>
      <c r="DR80" s="740"/>
      <c r="DS80" s="740"/>
      <c r="DT80" s="740" t="str">
        <f t="shared" ca="1" si="242"/>
        <v>Argelia-Austria</v>
      </c>
      <c r="DU80" s="740"/>
      <c r="DV80" s="740"/>
      <c r="DW80" s="8"/>
    </row>
    <row r="81" spans="1:127" ht="17.100000000000001" customHeight="1" thickBot="1">
      <c r="A81" s="735"/>
      <c r="B81" s="735"/>
      <c r="C81" s="735"/>
      <c r="D81" s="740" t="str">
        <f t="shared" si="245"/>
        <v>Pendiente</v>
      </c>
      <c r="E81" s="740" t="str">
        <f t="shared" si="246"/>
        <v>-</v>
      </c>
      <c r="F81" s="740" t="str">
        <f t="shared" si="247"/>
        <v>-</v>
      </c>
      <c r="G81" s="740"/>
      <c r="H81" s="740" t="str">
        <f t="shared" si="248"/>
        <v>-</v>
      </c>
      <c r="I81" s="740" t="str">
        <f t="shared" si="249"/>
        <v>-</v>
      </c>
      <c r="J81" s="740"/>
      <c r="K81" s="740" t="str">
        <f t="shared" si="250"/>
        <v>-</v>
      </c>
      <c r="L81" s="740" t="str">
        <f t="shared" si="251"/>
        <v>-</v>
      </c>
      <c r="M81" s="740"/>
      <c r="N81" s="740" t="str">
        <f t="shared" si="252"/>
        <v>-</v>
      </c>
      <c r="O81" s="740" t="str">
        <f t="shared" si="253"/>
        <v>-</v>
      </c>
      <c r="P81" s="740"/>
      <c r="Q81" s="740" t="str">
        <f t="shared" si="254"/>
        <v>-</v>
      </c>
      <c r="R81" s="740" t="str">
        <f t="shared" si="255"/>
        <v>-</v>
      </c>
      <c r="S81" s="740"/>
      <c r="T81" s="740" t="str">
        <f t="shared" si="256"/>
        <v>-</v>
      </c>
      <c r="U81" s="740" t="str">
        <f t="shared" si="257"/>
        <v>-</v>
      </c>
      <c r="V81" s="172"/>
      <c r="W81" s="909"/>
      <c r="X81" s="228">
        <f ca="1">Horarios!C81</f>
        <v>46200.916666666664</v>
      </c>
      <c r="Y81" s="229">
        <f ca="1">Horarios!C81</f>
        <v>46200.916666666664</v>
      </c>
      <c r="Z81" s="230" t="str">
        <f>$Z$8</f>
        <v>J3</v>
      </c>
      <c r="AA81" s="231" t="str">
        <f ca="1">A80</f>
        <v>Jordania</v>
      </c>
      <c r="AB81" s="478" t="str" cm="1">
        <f t="array" aca="1" ref="AB81" ca="1">Ver_flag_local</f>
        <v/>
      </c>
      <c r="AC81" s="232"/>
      <c r="AD81" s="233"/>
      <c r="AE81" s="483" t="str" cm="1">
        <f t="array" aca="1" ref="AE81" ca="1">Ver_flag_visit</f>
        <v/>
      </c>
      <c r="AF81" s="234" t="str">
        <f ca="1">A77</f>
        <v>Argentina</v>
      </c>
      <c r="AG81" s="413">
        <f t="shared" si="258"/>
        <v>0</v>
      </c>
      <c r="AH81" s="196">
        <v>70</v>
      </c>
      <c r="AI81" s="19" t="str">
        <f t="shared" si="263"/>
        <v>4J</v>
      </c>
      <c r="AJ81" s="235">
        <v>4</v>
      </c>
      <c r="AK81" s="486"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0"/>
      <c r="BC81" s="740"/>
      <c r="BD81" s="740"/>
      <c r="BE81" s="740"/>
      <c r="BF81" s="740"/>
      <c r="BG81" s="740"/>
      <c r="BH81" s="740"/>
      <c r="BI81" s="740"/>
      <c r="BJ81" s="740"/>
      <c r="BK81" s="740"/>
      <c r="BL81" s="740"/>
      <c r="BM81" s="740"/>
      <c r="BN81" s="745"/>
      <c r="BO81" s="745"/>
      <c r="BP81" s="745"/>
      <c r="BQ81" s="745"/>
      <c r="BR81" s="740"/>
      <c r="BS81" s="740"/>
      <c r="BT81" s="745"/>
      <c r="BU81" s="745"/>
      <c r="BV81" s="745"/>
      <c r="BW81" s="745"/>
      <c r="BX81" s="745"/>
      <c r="BY81" s="745"/>
      <c r="BZ81" s="745"/>
      <c r="CA81" s="745"/>
      <c r="CB81" s="745"/>
      <c r="CC81" s="745"/>
      <c r="CD81" s="745"/>
      <c r="CE81" s="745"/>
      <c r="CF81" s="745"/>
      <c r="CG81" s="745"/>
      <c r="CH81" s="745"/>
      <c r="CI81" s="745"/>
      <c r="CJ81" s="745"/>
      <c r="CK81" s="745"/>
      <c r="CL81" s="745"/>
      <c r="CM81" s="745"/>
      <c r="CN81" s="745"/>
      <c r="CO81" s="745"/>
      <c r="CP81" s="745"/>
      <c r="CQ81" s="745"/>
      <c r="CR81" s="745"/>
      <c r="CS81" s="745"/>
      <c r="CT81" s="745"/>
      <c r="CU81" s="745"/>
      <c r="CV81" s="745"/>
      <c r="CW81" s="740"/>
      <c r="CX81" s="745"/>
      <c r="CY81" s="740"/>
      <c r="CZ81" s="740"/>
      <c r="DA81" s="740"/>
      <c r="DB81" s="740"/>
      <c r="DC81" s="740"/>
      <c r="DD81" s="740"/>
      <c r="DE81" s="740"/>
      <c r="DF81" s="740"/>
      <c r="DG81" s="740"/>
      <c r="DH81" s="740"/>
      <c r="DI81" s="740"/>
      <c r="DJ81" s="740"/>
      <c r="DK81" s="740"/>
      <c r="DL81" s="740"/>
      <c r="DM81" s="740"/>
      <c r="DN81" s="740"/>
      <c r="DO81" s="740"/>
      <c r="DP81" s="740"/>
      <c r="DQ81" s="740"/>
      <c r="DR81" s="740"/>
      <c r="DS81" s="740"/>
      <c r="DT81" s="740" t="str">
        <f t="shared" ca="1" si="242"/>
        <v>Jordania-Argentina</v>
      </c>
      <c r="DU81" s="740"/>
      <c r="DV81" s="740"/>
      <c r="DW81" s="8"/>
    </row>
    <row r="82" spans="1:127" ht="15.75" thickBot="1">
      <c r="A82" s="735"/>
      <c r="B82" s="735"/>
      <c r="C82" s="735"/>
      <c r="D82" s="740"/>
      <c r="E82" s="740"/>
      <c r="F82" s="740"/>
      <c r="G82" s="740"/>
      <c r="H82" s="740"/>
      <c r="I82" s="740"/>
      <c r="J82" s="740"/>
      <c r="K82" s="740"/>
      <c r="L82" s="740"/>
      <c r="M82" s="740"/>
      <c r="N82" s="740"/>
      <c r="O82" s="740"/>
      <c r="P82" s="740"/>
      <c r="Q82" s="740"/>
      <c r="R82" s="740"/>
      <c r="S82" s="740"/>
      <c r="T82" s="740"/>
      <c r="U82" s="740"/>
      <c r="V82" s="172"/>
      <c r="W82" s="242"/>
      <c r="X82" s="243"/>
      <c r="Y82" s="242"/>
      <c r="Z82" s="244"/>
      <c r="AA82" s="245"/>
      <c r="AB82" s="481"/>
      <c r="AC82" s="247"/>
      <c r="AD82" s="247"/>
      <c r="AE82" s="481"/>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0"/>
      <c r="BC82" s="740"/>
      <c r="BD82" s="740"/>
      <c r="BE82" s="740"/>
      <c r="BF82" s="740"/>
      <c r="BG82" s="740"/>
      <c r="BH82" s="740"/>
      <c r="BI82" s="740"/>
      <c r="BJ82" s="740"/>
      <c r="BK82" s="740"/>
      <c r="BL82" s="740"/>
      <c r="BM82" s="740"/>
      <c r="BN82" s="745"/>
      <c r="BO82" s="745"/>
      <c r="BP82" s="745"/>
      <c r="BQ82" s="745"/>
      <c r="BR82" s="740"/>
      <c r="BS82" s="740"/>
      <c r="BT82" s="745"/>
      <c r="BU82" s="745"/>
      <c r="BV82" s="745"/>
      <c r="BW82" s="745"/>
      <c r="BX82" s="745"/>
      <c r="BY82" s="745"/>
      <c r="BZ82" s="745"/>
      <c r="CA82" s="745"/>
      <c r="CB82" s="745"/>
      <c r="CC82" s="745"/>
      <c r="CD82" s="745"/>
      <c r="CE82" s="745"/>
      <c r="CF82" s="745"/>
      <c r="CG82" s="745"/>
      <c r="CH82" s="745"/>
      <c r="CI82" s="745"/>
      <c r="CJ82" s="745"/>
      <c r="CK82" s="745"/>
      <c r="CL82" s="745"/>
      <c r="CM82" s="745"/>
      <c r="CN82" s="745"/>
      <c r="CO82" s="745"/>
      <c r="CP82" s="745"/>
      <c r="CQ82" s="745"/>
      <c r="CR82" s="745"/>
      <c r="CS82" s="745"/>
      <c r="CT82" s="745"/>
      <c r="CU82" s="745"/>
      <c r="CV82" s="745"/>
      <c r="CW82" s="740"/>
      <c r="CX82" s="745"/>
      <c r="CY82" s="740"/>
      <c r="CZ82" s="740"/>
      <c r="DA82" s="740"/>
      <c r="DB82" s="740"/>
      <c r="DC82" s="740"/>
      <c r="DD82" s="740"/>
      <c r="DE82" s="740"/>
      <c r="DF82" s="740"/>
      <c r="DG82" s="740"/>
      <c r="DH82" s="740"/>
      <c r="DI82" s="740"/>
      <c r="DJ82" s="740"/>
      <c r="DK82" s="740"/>
      <c r="DL82" s="740"/>
      <c r="DM82" s="740"/>
      <c r="DN82" s="740"/>
      <c r="DO82" s="740"/>
      <c r="DP82" s="740"/>
      <c r="DQ82" s="740"/>
      <c r="DR82" s="740"/>
      <c r="DS82" s="740"/>
      <c r="DT82" s="740" t="str">
        <f t="shared" si="242"/>
        <v>-</v>
      </c>
      <c r="DU82" s="740"/>
      <c r="DV82" s="740"/>
      <c r="DW82" s="8"/>
    </row>
    <row r="83" spans="1:127" ht="15.75" thickBot="1">
      <c r="A83" s="735"/>
      <c r="B83" s="738"/>
      <c r="C83" s="735"/>
      <c r="D83" s="735"/>
      <c r="E83" s="735"/>
      <c r="F83" s="735"/>
      <c r="G83" s="735"/>
      <c r="H83" s="735"/>
      <c r="I83" s="735"/>
      <c r="J83" s="735"/>
      <c r="K83" s="735"/>
      <c r="L83" s="735"/>
      <c r="M83" s="735"/>
      <c r="N83" s="740"/>
      <c r="O83" s="740"/>
      <c r="P83" s="740"/>
      <c r="Q83" s="740"/>
      <c r="R83" s="740"/>
      <c r="S83" s="740"/>
      <c r="T83" s="740"/>
      <c r="U83" s="740"/>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0"/>
      <c r="BC83" s="740"/>
      <c r="BD83" s="740"/>
      <c r="BE83" s="740"/>
      <c r="BF83" s="740"/>
      <c r="BG83" s="740"/>
      <c r="BH83" s="740"/>
      <c r="BI83" s="740"/>
      <c r="BJ83" s="740"/>
      <c r="BK83" s="740"/>
      <c r="BL83" s="740"/>
      <c r="BM83" s="740"/>
      <c r="BN83" s="740"/>
      <c r="BO83" s="740"/>
      <c r="BP83" s="740"/>
      <c r="BQ83" s="740"/>
      <c r="BR83" s="740"/>
      <c r="BS83" s="740"/>
      <c r="BT83" s="740"/>
      <c r="BU83" s="740"/>
      <c r="BV83" s="740"/>
      <c r="BW83" s="740"/>
      <c r="BX83" s="740"/>
      <c r="BY83" s="740"/>
      <c r="BZ83" s="740"/>
      <c r="CA83" s="740"/>
      <c r="CB83" s="740"/>
      <c r="CC83" s="740"/>
      <c r="CD83" s="740"/>
      <c r="CE83" s="740"/>
      <c r="CF83" s="740"/>
      <c r="CG83" s="740"/>
      <c r="CH83" s="740"/>
      <c r="CI83" s="740"/>
      <c r="CJ83" s="740"/>
      <c r="CK83" s="740"/>
      <c r="CL83" s="740"/>
      <c r="CM83" s="740"/>
      <c r="CN83" s="740"/>
      <c r="CO83" s="740"/>
      <c r="CP83" s="740"/>
      <c r="CQ83" s="740"/>
      <c r="CR83" s="740"/>
      <c r="CS83" s="740"/>
      <c r="CT83" s="740"/>
      <c r="CU83" s="740"/>
      <c r="CV83" s="740"/>
      <c r="CW83" s="740"/>
      <c r="CX83" s="740"/>
      <c r="CY83" s="740"/>
      <c r="CZ83" s="740"/>
      <c r="DA83" s="740"/>
      <c r="DB83" s="740"/>
      <c r="DC83" s="740"/>
      <c r="DD83" s="740"/>
      <c r="DE83" s="740"/>
      <c r="DF83" s="740"/>
      <c r="DG83" s="740"/>
      <c r="DH83" s="740"/>
      <c r="DI83" s="740"/>
      <c r="DJ83" s="740"/>
      <c r="DK83" s="740"/>
      <c r="DL83" s="740"/>
      <c r="DM83" s="740"/>
      <c r="DN83" s="740"/>
      <c r="DO83" s="740"/>
      <c r="DP83" s="740"/>
      <c r="DQ83" s="740"/>
      <c r="DR83" s="740"/>
      <c r="DS83" s="740"/>
      <c r="DT83" s="740" t="str">
        <f t="shared" si="242"/>
        <v>Casa-Fuera</v>
      </c>
      <c r="DU83" s="740"/>
      <c r="DV83" s="740"/>
      <c r="DW83" s="8"/>
    </row>
    <row r="84" spans="1:127" ht="15" customHeight="1" thickBot="1">
      <c r="A84" s="737" t="s">
        <v>30</v>
      </c>
      <c r="B84" s="738" t="s">
        <v>439</v>
      </c>
      <c r="C84" s="739">
        <f>COUNTIF(Equipos!$C$2:$C$49,WORLDCUP!B84)</f>
        <v>4</v>
      </c>
      <c r="D84" s="740" t="str">
        <f t="shared" ref="D84:D89" si="264">IF(OR(AC84="",AD84=""),"Pendiente",IF(AC84&gt;AD84,"Local",IF(AC84&lt;AD84,"Visitante","Empate")))</f>
        <v>Pendiente</v>
      </c>
      <c r="E84" s="740" t="str">
        <f t="shared" ref="E84:E89" si="265">IF(D84="Pendiente","-",INDEX($BT$6:$BT$53,MATCH($AA84,$BD$6:$BD$53,0)))</f>
        <v>-</v>
      </c>
      <c r="F84" s="740" t="str">
        <f t="shared" ref="F84:F89" si="266">IF(D84="Pendiente","-",INDEX($BT$6:$BT$53,MATCH($AF84,$BD$6:$BD$53,0)))</f>
        <v>-</v>
      </c>
      <c r="G84" s="740"/>
      <c r="H84" s="740" t="str">
        <f t="shared" ref="H84:H89" si="267">IF(D84="Pendiente","-",INDEX($BZ$6:$BZ$53,MATCH($AA84,$BD$6:$BD$53,0)))</f>
        <v>-</v>
      </c>
      <c r="I84" s="740" t="str">
        <f t="shared" ref="I84:I89" si="268">IF(D84="Pendiente","-",INDEX($BZ$6:$BZ$53,MATCH($AF84,$BD$6:$BD$53,0)))</f>
        <v>-</v>
      </c>
      <c r="J84" s="740"/>
      <c r="K84" s="740" t="str">
        <f t="shared" ref="K84:K89" si="269">IF(D84="Pendiente","-",INDEX($CE$6:$CE$53,MATCH($AA84,$BD$6:$BD$53,0)))</f>
        <v>-</v>
      </c>
      <c r="L84" s="740" t="str">
        <f t="shared" ref="L84:L89" si="270">IF(D84="Pendiente","-",INDEX($CE$6:$CE$53,MATCH($AF84,$BD$6:$BD$53,0)))</f>
        <v>-</v>
      </c>
      <c r="M84" s="740"/>
      <c r="N84" s="740" t="str">
        <f t="shared" ref="N84:N89" si="271">IF(D84="Pendiente","-",INDEX($CH$6:$CH$53,MATCH($AA84,$BD$6:$BD$53,0)))</f>
        <v>-</v>
      </c>
      <c r="O84" s="740" t="str">
        <f t="shared" ref="O84:O89" si="272">IF(D84="Pendiente","-",INDEX($CH$6:$CH$53,MATCH($AF84,$BD$6:$BD$53,0)))</f>
        <v>-</v>
      </c>
      <c r="P84" s="740"/>
      <c r="Q84" s="740" t="str">
        <f t="shared" ref="Q84:Q89" si="273">IF(D84="Pendiente","-",INDEX($CN$6:$CN$53,MATCH($AA84,$BD$6:$BD$53,0)))</f>
        <v>-</v>
      </c>
      <c r="R84" s="740" t="str">
        <f t="shared" ref="R84:R89" si="274">IF(D84="Pendiente","-",INDEX($CN$6:$CN$53,MATCH($AF84,$BD$6:$BD$53,0)))</f>
        <v>-</v>
      </c>
      <c r="S84" s="740"/>
      <c r="T84" s="740" t="str">
        <f t="shared" ref="T84:T89" si="275">IF(D84="Pendiente","-",INDEX($CS$6:$CS$53,MATCH($AA84,$BD$6:$BD$53,0)))</f>
        <v>-</v>
      </c>
      <c r="U84" s="740" t="str">
        <f t="shared" ref="U84:U89" si="276">IF(D84="Pendiente","-",INDEX($CS$6:$CS$53,MATCH($AF84,$BD$6:$BD$53,0)))</f>
        <v>-</v>
      </c>
      <c r="V84" s="172"/>
      <c r="W84" s="914" t="s">
        <v>439</v>
      </c>
      <c r="X84" s="189">
        <f ca="1">Horarios!C84</f>
        <v>46190.541666666664</v>
      </c>
      <c r="Y84" s="190">
        <f ca="1">Horarios!C84</f>
        <v>46190.541666666664</v>
      </c>
      <c r="Z84" s="191" t="str">
        <f>$Z$4</f>
        <v>J1</v>
      </c>
      <c r="AA84" s="192" t="str">
        <f ca="1">A85</f>
        <v>Portugal</v>
      </c>
      <c r="AB84" s="477" t="str" cm="1">
        <f t="array" aca="1" ref="AB84" ca="1">Ver_flag_local</f>
        <v/>
      </c>
      <c r="AC84" s="193"/>
      <c r="AD84" s="194"/>
      <c r="AE84" s="482"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0"/>
      <c r="BC84" s="740"/>
      <c r="BD84" s="740"/>
      <c r="BE84" s="740"/>
      <c r="BF84" s="740"/>
      <c r="BG84" s="740"/>
      <c r="BH84" s="740"/>
      <c r="BI84" s="740"/>
      <c r="BJ84" s="740"/>
      <c r="BK84" s="740"/>
      <c r="BL84" s="740"/>
      <c r="BM84" s="740"/>
      <c r="BN84" s="740"/>
      <c r="BO84" s="740"/>
      <c r="BP84" s="740"/>
      <c r="BQ84" s="740"/>
      <c r="BR84" s="740"/>
      <c r="BS84" s="740"/>
      <c r="BT84" s="740"/>
      <c r="BU84" s="740"/>
      <c r="BV84" s="740"/>
      <c r="BW84" s="740"/>
      <c r="BX84" s="740"/>
      <c r="BY84" s="740"/>
      <c r="BZ84" s="740"/>
      <c r="CA84" s="740"/>
      <c r="CB84" s="740"/>
      <c r="CC84" s="740"/>
      <c r="CD84" s="740"/>
      <c r="CE84" s="740"/>
      <c r="CF84" s="740"/>
      <c r="CG84" s="740"/>
      <c r="CH84" s="740"/>
      <c r="CI84" s="740"/>
      <c r="CJ84" s="740"/>
      <c r="CK84" s="740"/>
      <c r="CL84" s="740"/>
      <c r="CM84" s="740"/>
      <c r="CN84" s="740"/>
      <c r="CO84" s="740"/>
      <c r="CP84" s="740"/>
      <c r="CQ84" s="740"/>
      <c r="CR84" s="740"/>
      <c r="CS84" s="740"/>
      <c r="CT84" s="740"/>
      <c r="CU84" s="740"/>
      <c r="CV84" s="740"/>
      <c r="CW84" s="740"/>
      <c r="CX84" s="745"/>
      <c r="CY84" s="740"/>
      <c r="CZ84" s="740"/>
      <c r="DA84" s="740"/>
      <c r="DB84" s="740"/>
      <c r="DC84" s="740"/>
      <c r="DD84" s="740"/>
      <c r="DE84" s="740"/>
      <c r="DF84" s="740"/>
      <c r="DG84" s="740"/>
      <c r="DH84" s="740"/>
      <c r="DI84" s="740"/>
      <c r="DJ84" s="740"/>
      <c r="DK84" s="740"/>
      <c r="DL84" s="740"/>
      <c r="DM84" s="740"/>
      <c r="DN84" s="740"/>
      <c r="DO84" s="740"/>
      <c r="DP84" s="740"/>
      <c r="DQ84" s="740"/>
      <c r="DR84" s="740"/>
      <c r="DS84" s="740"/>
      <c r="DT84" s="740" t="str">
        <f t="shared" ca="1" si="242"/>
        <v>Portugal-RD Congo</v>
      </c>
      <c r="DU84" s="740"/>
      <c r="DV84" s="740"/>
      <c r="DW84" s="8"/>
    </row>
    <row r="85" spans="1:127" ht="15.95" customHeight="1">
      <c r="A85" s="741" t="str">
        <f ca="1">+Equipos!B42</f>
        <v>Portugal</v>
      </c>
      <c r="B85" s="738"/>
      <c r="C85" s="738"/>
      <c r="D85" s="740" t="str">
        <f t="shared" si="264"/>
        <v>Pendiente</v>
      </c>
      <c r="E85" s="740" t="str">
        <f t="shared" si="265"/>
        <v>-</v>
      </c>
      <c r="F85" s="740" t="str">
        <f t="shared" si="266"/>
        <v>-</v>
      </c>
      <c r="G85" s="740"/>
      <c r="H85" s="740" t="str">
        <f t="shared" si="267"/>
        <v>-</v>
      </c>
      <c r="I85" s="740" t="str">
        <f t="shared" si="268"/>
        <v>-</v>
      </c>
      <c r="J85" s="740"/>
      <c r="K85" s="740" t="str">
        <f t="shared" si="269"/>
        <v>-</v>
      </c>
      <c r="L85" s="740" t="str">
        <f t="shared" si="270"/>
        <v>-</v>
      </c>
      <c r="M85" s="740"/>
      <c r="N85" s="740" t="str">
        <f t="shared" si="271"/>
        <v>-</v>
      </c>
      <c r="O85" s="740" t="str">
        <f t="shared" si="272"/>
        <v>-</v>
      </c>
      <c r="P85" s="740"/>
      <c r="Q85" s="740" t="str">
        <f t="shared" si="273"/>
        <v>-</v>
      </c>
      <c r="R85" s="740" t="str">
        <f t="shared" si="274"/>
        <v>-</v>
      </c>
      <c r="S85" s="740"/>
      <c r="T85" s="740" t="str">
        <f t="shared" si="275"/>
        <v>-</v>
      </c>
      <c r="U85" s="740" t="str">
        <f t="shared" si="276"/>
        <v>-</v>
      </c>
      <c r="V85" s="172"/>
      <c r="W85" s="914"/>
      <c r="X85" s="189">
        <f ca="1">Horarios!C85</f>
        <v>46190.916666666664</v>
      </c>
      <c r="Y85" s="190">
        <f ca="1">Horarios!C85</f>
        <v>46190.916666666664</v>
      </c>
      <c r="Z85" s="191" t="str">
        <f>$Z$4</f>
        <v>J1</v>
      </c>
      <c r="AA85" s="192" t="str">
        <f ca="1">A87</f>
        <v>Uzbekistán</v>
      </c>
      <c r="AB85" s="477" t="str" cm="1">
        <f t="array" aca="1" ref="AB85" ca="1">Ver_flag_local</f>
        <v/>
      </c>
      <c r="AC85" s="193"/>
      <c r="AD85" s="194"/>
      <c r="AE85" s="482"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0"/>
      <c r="BC85" s="740"/>
      <c r="BD85" s="740"/>
      <c r="BE85" s="740"/>
      <c r="BF85" s="740"/>
      <c r="BG85" s="740"/>
      <c r="BH85" s="740"/>
      <c r="BI85" s="740"/>
      <c r="BJ85" s="740"/>
      <c r="BK85" s="740"/>
      <c r="BL85" s="740"/>
      <c r="BM85" s="740"/>
      <c r="BN85" s="743"/>
      <c r="BO85" s="743"/>
      <c r="BP85" s="743"/>
      <c r="BQ85" s="743"/>
      <c r="BR85" s="740"/>
      <c r="BS85" s="740"/>
      <c r="BT85" s="743"/>
      <c r="BU85" s="743"/>
      <c r="BV85" s="743"/>
      <c r="BW85" s="743"/>
      <c r="BX85" s="743"/>
      <c r="BY85" s="743"/>
      <c r="BZ85" s="743"/>
      <c r="CA85" s="743"/>
      <c r="CB85" s="743"/>
      <c r="CC85" s="743"/>
      <c r="CD85" s="743"/>
      <c r="CE85" s="743"/>
      <c r="CF85" s="743"/>
      <c r="CG85" s="743"/>
      <c r="CH85" s="743"/>
      <c r="CI85" s="743"/>
      <c r="CJ85" s="743"/>
      <c r="CK85" s="743"/>
      <c r="CL85" s="743"/>
      <c r="CM85" s="743"/>
      <c r="CN85" s="743"/>
      <c r="CO85" s="743"/>
      <c r="CP85" s="743"/>
      <c r="CQ85" s="743"/>
      <c r="CR85" s="743"/>
      <c r="CS85" s="743"/>
      <c r="CT85" s="743"/>
      <c r="CU85" s="743"/>
      <c r="CV85" s="743"/>
      <c r="CW85" s="740"/>
      <c r="CX85" s="743"/>
      <c r="CY85" s="740"/>
      <c r="CZ85" s="740"/>
      <c r="DA85" s="740"/>
      <c r="DB85" s="740"/>
      <c r="DC85" s="740"/>
      <c r="DD85" s="740"/>
      <c r="DE85" s="740"/>
      <c r="DF85" s="740"/>
      <c r="DG85" s="740"/>
      <c r="DH85" s="740"/>
      <c r="DI85" s="740"/>
      <c r="DJ85" s="740"/>
      <c r="DK85" s="740"/>
      <c r="DL85" s="740"/>
      <c r="DM85" s="740"/>
      <c r="DN85" s="740"/>
      <c r="DO85" s="740"/>
      <c r="DP85" s="740"/>
      <c r="DQ85" s="740"/>
      <c r="DR85" s="740"/>
      <c r="DS85" s="740"/>
      <c r="DT85" s="740" t="str">
        <f t="shared" ca="1" si="242"/>
        <v>Uzbekistán-Colombia</v>
      </c>
      <c r="DU85" s="740"/>
      <c r="DV85" s="740"/>
      <c r="DW85" s="8"/>
    </row>
    <row r="86" spans="1:127" ht="15.95" customHeight="1">
      <c r="A86" s="741" t="str">
        <f ca="1">+Equipos!B43</f>
        <v>RD Congo</v>
      </c>
      <c r="B86" s="738"/>
      <c r="C86" s="742"/>
      <c r="D86" s="740" t="str">
        <f t="shared" si="264"/>
        <v>Pendiente</v>
      </c>
      <c r="E86" s="740" t="str">
        <f t="shared" si="265"/>
        <v>-</v>
      </c>
      <c r="F86" s="740" t="str">
        <f t="shared" si="266"/>
        <v>-</v>
      </c>
      <c r="G86" s="740"/>
      <c r="H86" s="740" t="str">
        <f t="shared" si="267"/>
        <v>-</v>
      </c>
      <c r="I86" s="740" t="str">
        <f t="shared" si="268"/>
        <v>-</v>
      </c>
      <c r="J86" s="740"/>
      <c r="K86" s="740" t="str">
        <f t="shared" si="269"/>
        <v>-</v>
      </c>
      <c r="L86" s="740" t="str">
        <f t="shared" si="270"/>
        <v>-</v>
      </c>
      <c r="M86" s="740"/>
      <c r="N86" s="740" t="str">
        <f t="shared" si="271"/>
        <v>-</v>
      </c>
      <c r="O86" s="740" t="str">
        <f t="shared" si="272"/>
        <v>-</v>
      </c>
      <c r="P86" s="740"/>
      <c r="Q86" s="740" t="str">
        <f t="shared" si="273"/>
        <v>-</v>
      </c>
      <c r="R86" s="740" t="str">
        <f t="shared" si="274"/>
        <v>-</v>
      </c>
      <c r="S86" s="740"/>
      <c r="T86" s="740" t="str">
        <f t="shared" si="275"/>
        <v>-</v>
      </c>
      <c r="U86" s="740" t="str">
        <f t="shared" si="276"/>
        <v>-</v>
      </c>
      <c r="V86" s="172"/>
      <c r="W86" s="914"/>
      <c r="X86" s="189">
        <f ca="1">Horarios!C86</f>
        <v>46196.541666666664</v>
      </c>
      <c r="Y86" s="190">
        <f ca="1">Horarios!C86</f>
        <v>46196.541666666664</v>
      </c>
      <c r="Z86" s="191" t="str">
        <f>$Z$6</f>
        <v>J2</v>
      </c>
      <c r="AA86" s="192" t="str">
        <f ca="1">A85</f>
        <v>Portugal</v>
      </c>
      <c r="AB86" s="477" t="str" cm="1">
        <f t="array" aca="1" ref="AB86" ca="1">Ver_flag_local</f>
        <v/>
      </c>
      <c r="AC86" s="193"/>
      <c r="AD86" s="194"/>
      <c r="AE86" s="482" t="str" cm="1">
        <f t="array" aca="1" ref="AE86" ca="1">Ver_flag_visit</f>
        <v/>
      </c>
      <c r="AF86" s="195" t="str">
        <f ca="1">A87</f>
        <v>Uzbekistán</v>
      </c>
      <c r="AG86" s="413">
        <f t="shared" si="277"/>
        <v>0</v>
      </c>
      <c r="AH86" s="196">
        <v>47</v>
      </c>
      <c r="AI86" s="19" t="str">
        <f>AJ86&amp;$B$84</f>
        <v>1K</v>
      </c>
      <c r="AJ86" s="211">
        <v>1</v>
      </c>
      <c r="AK86" s="487"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0"/>
      <c r="BC86" s="740"/>
      <c r="BD86" s="740"/>
      <c r="BE86" s="740"/>
      <c r="BF86" s="740"/>
      <c r="BG86" s="740"/>
      <c r="BH86" s="740"/>
      <c r="BI86" s="740"/>
      <c r="BJ86" s="740"/>
      <c r="BK86" s="740"/>
      <c r="BL86" s="740"/>
      <c r="BM86" s="740"/>
      <c r="BN86" s="745"/>
      <c r="BO86" s="745"/>
      <c r="BP86" s="745"/>
      <c r="BQ86" s="745"/>
      <c r="BR86" s="740"/>
      <c r="BS86" s="740"/>
      <c r="BT86" s="745"/>
      <c r="BU86" s="745"/>
      <c r="BV86" s="745"/>
      <c r="BW86" s="745"/>
      <c r="BX86" s="745"/>
      <c r="BY86" s="745"/>
      <c r="BZ86" s="745"/>
      <c r="CA86" s="745"/>
      <c r="CB86" s="745"/>
      <c r="CC86" s="745"/>
      <c r="CD86" s="745"/>
      <c r="CE86" s="745"/>
      <c r="CF86" s="745"/>
      <c r="CG86" s="745"/>
      <c r="CH86" s="745"/>
      <c r="CI86" s="745"/>
      <c r="CJ86" s="745"/>
      <c r="CK86" s="745"/>
      <c r="CL86" s="745"/>
      <c r="CM86" s="745"/>
      <c r="CN86" s="745"/>
      <c r="CO86" s="745"/>
      <c r="CP86" s="745"/>
      <c r="CQ86" s="745"/>
      <c r="CR86" s="745"/>
      <c r="CS86" s="745"/>
      <c r="CT86" s="745"/>
      <c r="CU86" s="745"/>
      <c r="CV86" s="745"/>
      <c r="CW86" s="740"/>
      <c r="CX86" s="745"/>
      <c r="CY86" s="740"/>
      <c r="CZ86" s="740"/>
      <c r="DA86" s="740"/>
      <c r="DB86" s="740"/>
      <c r="DC86" s="740"/>
      <c r="DD86" s="740"/>
      <c r="DE86" s="740"/>
      <c r="DF86" s="740"/>
      <c r="DG86" s="740"/>
      <c r="DH86" s="740"/>
      <c r="DI86" s="740"/>
      <c r="DJ86" s="740"/>
      <c r="DK86" s="740"/>
      <c r="DL86" s="740"/>
      <c r="DM86" s="740"/>
      <c r="DN86" s="740"/>
      <c r="DO86" s="740"/>
      <c r="DP86" s="740"/>
      <c r="DQ86" s="740"/>
      <c r="DR86" s="740"/>
      <c r="DS86" s="740"/>
      <c r="DT86" s="740" t="str">
        <f t="shared" ca="1" si="242"/>
        <v>Portugal-Uzbekistán</v>
      </c>
      <c r="DU86" s="740"/>
      <c r="DV86" s="740"/>
      <c r="DW86" s="8"/>
    </row>
    <row r="87" spans="1:127" ht="15.95" customHeight="1">
      <c r="A87" s="741" t="str">
        <f ca="1">+Equipos!B44</f>
        <v>Uzbekistán</v>
      </c>
      <c r="B87" s="738"/>
      <c r="C87" s="740"/>
      <c r="D87" s="740" t="str">
        <f t="shared" si="264"/>
        <v>Pendiente</v>
      </c>
      <c r="E87" s="740" t="str">
        <f t="shared" si="265"/>
        <v>-</v>
      </c>
      <c r="F87" s="740" t="str">
        <f t="shared" si="266"/>
        <v>-</v>
      </c>
      <c r="G87" s="740"/>
      <c r="H87" s="740" t="str">
        <f t="shared" si="267"/>
        <v>-</v>
      </c>
      <c r="I87" s="740" t="str">
        <f t="shared" si="268"/>
        <v>-</v>
      </c>
      <c r="J87" s="740"/>
      <c r="K87" s="740" t="str">
        <f t="shared" si="269"/>
        <v>-</v>
      </c>
      <c r="L87" s="740" t="str">
        <f t="shared" si="270"/>
        <v>-</v>
      </c>
      <c r="M87" s="740"/>
      <c r="N87" s="740" t="str">
        <f t="shared" si="271"/>
        <v>-</v>
      </c>
      <c r="O87" s="740" t="str">
        <f t="shared" si="272"/>
        <v>-</v>
      </c>
      <c r="P87" s="740"/>
      <c r="Q87" s="740" t="str">
        <f t="shared" si="273"/>
        <v>-</v>
      </c>
      <c r="R87" s="740" t="str">
        <f t="shared" si="274"/>
        <v>-</v>
      </c>
      <c r="S87" s="740"/>
      <c r="T87" s="740" t="str">
        <f t="shared" si="275"/>
        <v>-</v>
      </c>
      <c r="U87" s="740" t="str">
        <f t="shared" si="276"/>
        <v>-</v>
      </c>
      <c r="V87" s="172"/>
      <c r="W87" s="914"/>
      <c r="X87" s="189">
        <f ca="1">Horarios!C87</f>
        <v>46196.916666666664</v>
      </c>
      <c r="Y87" s="190">
        <f ca="1">Horarios!C87</f>
        <v>46196.916666666664</v>
      </c>
      <c r="Z87" s="191" t="str">
        <f>$Z$6</f>
        <v>J2</v>
      </c>
      <c r="AA87" s="192" t="str">
        <f ca="1">A88</f>
        <v>Colombia</v>
      </c>
      <c r="AB87" s="477" t="str" cm="1">
        <f t="array" aca="1" ref="AB87" ca="1">Ver_flag_local</f>
        <v/>
      </c>
      <c r="AC87" s="193"/>
      <c r="AD87" s="194"/>
      <c r="AE87" s="482" t="str" cm="1">
        <f t="array" aca="1" ref="AE87" ca="1">Ver_flag_visit</f>
        <v/>
      </c>
      <c r="AF87" s="195" t="str">
        <f ca="1">A86</f>
        <v>RD Congo</v>
      </c>
      <c r="AG87" s="413">
        <f t="shared" si="277"/>
        <v>0</v>
      </c>
      <c r="AH87" s="196">
        <v>48</v>
      </c>
      <c r="AI87" s="19" t="str">
        <f t="shared" ref="AI87:AI89" si="282">AJ87&amp;$B$84</f>
        <v>2K</v>
      </c>
      <c r="AJ87" s="221">
        <v>2</v>
      </c>
      <c r="AK87" s="485"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0"/>
      <c r="BC87" s="740"/>
      <c r="BD87" s="740"/>
      <c r="BE87" s="740"/>
      <c r="BF87" s="740"/>
      <c r="BG87" s="740"/>
      <c r="BH87" s="740"/>
      <c r="BI87" s="740"/>
      <c r="BJ87" s="740"/>
      <c r="BK87" s="740"/>
      <c r="BL87" s="740"/>
      <c r="BM87" s="740"/>
      <c r="BN87" s="745"/>
      <c r="BO87" s="745"/>
      <c r="BP87" s="745"/>
      <c r="BQ87" s="745"/>
      <c r="BR87" s="740"/>
      <c r="BS87" s="740"/>
      <c r="BT87" s="745"/>
      <c r="BU87" s="745"/>
      <c r="BV87" s="745"/>
      <c r="BW87" s="745"/>
      <c r="BX87" s="745"/>
      <c r="BY87" s="745"/>
      <c r="BZ87" s="745"/>
      <c r="CA87" s="745"/>
      <c r="CB87" s="745"/>
      <c r="CC87" s="745"/>
      <c r="CD87" s="745"/>
      <c r="CE87" s="745"/>
      <c r="CF87" s="745"/>
      <c r="CG87" s="745"/>
      <c r="CH87" s="745"/>
      <c r="CI87" s="745"/>
      <c r="CJ87" s="745"/>
      <c r="CK87" s="745"/>
      <c r="CL87" s="745"/>
      <c r="CM87" s="745"/>
      <c r="CN87" s="745"/>
      <c r="CO87" s="745"/>
      <c r="CP87" s="745"/>
      <c r="CQ87" s="745"/>
      <c r="CR87" s="745"/>
      <c r="CS87" s="745"/>
      <c r="CT87" s="745"/>
      <c r="CU87" s="745"/>
      <c r="CV87" s="745"/>
      <c r="CW87" s="740"/>
      <c r="CX87" s="745"/>
      <c r="CY87" s="740"/>
      <c r="CZ87" s="740"/>
      <c r="DA87" s="740"/>
      <c r="DB87" s="740"/>
      <c r="DC87" s="740"/>
      <c r="DD87" s="740"/>
      <c r="DE87" s="740"/>
      <c r="DF87" s="740"/>
      <c r="DG87" s="740"/>
      <c r="DH87" s="740"/>
      <c r="DI87" s="740"/>
      <c r="DJ87" s="740"/>
      <c r="DK87" s="740"/>
      <c r="DL87" s="740"/>
      <c r="DM87" s="740"/>
      <c r="DN87" s="740"/>
      <c r="DO87" s="740"/>
      <c r="DP87" s="740"/>
      <c r="DQ87" s="740"/>
      <c r="DR87" s="740"/>
      <c r="DS87" s="740"/>
      <c r="DT87" s="740" t="str">
        <f t="shared" ca="1" si="242"/>
        <v>Colombia-RD Congo</v>
      </c>
      <c r="DU87" s="740"/>
      <c r="DV87" s="740"/>
      <c r="DW87" s="8"/>
    </row>
    <row r="88" spans="1:127" ht="15.95" customHeight="1">
      <c r="A88" s="741" t="str">
        <f ca="1">+Equipos!B45</f>
        <v>Colombia</v>
      </c>
      <c r="B88" s="738"/>
      <c r="C88" s="740"/>
      <c r="D88" s="740" t="str">
        <f t="shared" si="264"/>
        <v>Pendiente</v>
      </c>
      <c r="E88" s="740" t="str">
        <f t="shared" si="265"/>
        <v>-</v>
      </c>
      <c r="F88" s="740" t="str">
        <f t="shared" si="266"/>
        <v>-</v>
      </c>
      <c r="G88" s="740"/>
      <c r="H88" s="740" t="str">
        <f t="shared" si="267"/>
        <v>-</v>
      </c>
      <c r="I88" s="740" t="str">
        <f t="shared" si="268"/>
        <v>-</v>
      </c>
      <c r="J88" s="740"/>
      <c r="K88" s="740" t="str">
        <f t="shared" si="269"/>
        <v>-</v>
      </c>
      <c r="L88" s="740" t="str">
        <f t="shared" si="270"/>
        <v>-</v>
      </c>
      <c r="M88" s="740"/>
      <c r="N88" s="740" t="str">
        <f t="shared" si="271"/>
        <v>-</v>
      </c>
      <c r="O88" s="740" t="str">
        <f t="shared" si="272"/>
        <v>-</v>
      </c>
      <c r="P88" s="740"/>
      <c r="Q88" s="740" t="str">
        <f t="shared" si="273"/>
        <v>-</v>
      </c>
      <c r="R88" s="740" t="str">
        <f t="shared" si="274"/>
        <v>-</v>
      </c>
      <c r="S88" s="740"/>
      <c r="T88" s="740" t="str">
        <f t="shared" si="275"/>
        <v>-</v>
      </c>
      <c r="U88" s="740" t="str">
        <f t="shared" si="276"/>
        <v>-</v>
      </c>
      <c r="V88" s="172"/>
      <c r="W88" s="914"/>
      <c r="X88" s="189">
        <f ca="1">Horarios!C88</f>
        <v>46200.8125</v>
      </c>
      <c r="Y88" s="190">
        <f ca="1">Horarios!C88</f>
        <v>46200.8125</v>
      </c>
      <c r="Z88" s="191" t="str">
        <f>$Z$8</f>
        <v>J3</v>
      </c>
      <c r="AA88" s="192" t="str">
        <f ca="1">A88</f>
        <v>Colombia</v>
      </c>
      <c r="AB88" s="477" t="str" cm="1">
        <f t="array" aca="1" ref="AB88" ca="1">Ver_flag_local</f>
        <v/>
      </c>
      <c r="AC88" s="193"/>
      <c r="AD88" s="194"/>
      <c r="AE88" s="482" t="str" cm="1">
        <f t="array" aca="1" ref="AE88" ca="1">Ver_flag_visit</f>
        <v/>
      </c>
      <c r="AF88" s="195" t="str">
        <f ca="1">A85</f>
        <v>Portugal</v>
      </c>
      <c r="AG88" s="413">
        <f t="shared" si="277"/>
        <v>0</v>
      </c>
      <c r="AH88" s="196">
        <v>71</v>
      </c>
      <c r="AI88" s="19" t="str">
        <f t="shared" si="282"/>
        <v>3K</v>
      </c>
      <c r="AJ88" s="221">
        <v>3</v>
      </c>
      <c r="AK88" s="485"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0"/>
      <c r="BC88" s="740"/>
      <c r="BD88" s="740"/>
      <c r="BE88" s="740"/>
      <c r="BF88" s="740"/>
      <c r="BG88" s="740"/>
      <c r="BH88" s="740"/>
      <c r="BI88" s="740"/>
      <c r="BJ88" s="740"/>
      <c r="BK88" s="740"/>
      <c r="BL88" s="740"/>
      <c r="BM88" s="740"/>
      <c r="BN88" s="745"/>
      <c r="BO88" s="745"/>
      <c r="BP88" s="745"/>
      <c r="BQ88" s="745"/>
      <c r="BR88" s="740"/>
      <c r="BS88" s="740"/>
      <c r="BT88" s="745"/>
      <c r="BU88" s="745"/>
      <c r="BV88" s="745"/>
      <c r="BW88" s="745"/>
      <c r="BX88" s="745"/>
      <c r="BY88" s="745"/>
      <c r="BZ88" s="745"/>
      <c r="CA88" s="745"/>
      <c r="CB88" s="745"/>
      <c r="CC88" s="745"/>
      <c r="CD88" s="745"/>
      <c r="CE88" s="745"/>
      <c r="CF88" s="745"/>
      <c r="CG88" s="745"/>
      <c r="CH88" s="745"/>
      <c r="CI88" s="745"/>
      <c r="CJ88" s="745"/>
      <c r="CK88" s="745"/>
      <c r="CL88" s="745"/>
      <c r="CM88" s="745"/>
      <c r="CN88" s="745"/>
      <c r="CO88" s="745"/>
      <c r="CP88" s="745"/>
      <c r="CQ88" s="745"/>
      <c r="CR88" s="745"/>
      <c r="CS88" s="745"/>
      <c r="CT88" s="745"/>
      <c r="CU88" s="745"/>
      <c r="CV88" s="745"/>
      <c r="CW88" s="740"/>
      <c r="CX88" s="745"/>
      <c r="CY88" s="740"/>
      <c r="CZ88" s="740"/>
      <c r="DA88" s="740"/>
      <c r="DB88" s="740"/>
      <c r="DC88" s="740"/>
      <c r="DD88" s="740"/>
      <c r="DE88" s="740"/>
      <c r="DF88" s="740"/>
      <c r="DG88" s="740"/>
      <c r="DH88" s="740"/>
      <c r="DI88" s="740"/>
      <c r="DJ88" s="740"/>
      <c r="DK88" s="740"/>
      <c r="DL88" s="740"/>
      <c r="DM88" s="740"/>
      <c r="DN88" s="740"/>
      <c r="DO88" s="740"/>
      <c r="DP88" s="740"/>
      <c r="DQ88" s="740"/>
      <c r="DR88" s="740"/>
      <c r="DS88" s="740"/>
      <c r="DT88" s="740" t="str">
        <f t="shared" ca="1" si="242"/>
        <v>Colombia-Portugal</v>
      </c>
      <c r="DU88" s="740"/>
      <c r="DV88" s="740"/>
      <c r="DW88" s="8"/>
    </row>
    <row r="89" spans="1:127" ht="17.100000000000001" customHeight="1" thickBot="1">
      <c r="A89" s="735"/>
      <c r="B89" s="735"/>
      <c r="C89" s="735"/>
      <c r="D89" s="740" t="str">
        <f t="shared" si="264"/>
        <v>Pendiente</v>
      </c>
      <c r="E89" s="740" t="str">
        <f t="shared" si="265"/>
        <v>-</v>
      </c>
      <c r="F89" s="740" t="str">
        <f t="shared" si="266"/>
        <v>-</v>
      </c>
      <c r="G89" s="740"/>
      <c r="H89" s="740" t="str">
        <f t="shared" si="267"/>
        <v>-</v>
      </c>
      <c r="I89" s="740" t="str">
        <f t="shared" si="268"/>
        <v>-</v>
      </c>
      <c r="J89" s="740"/>
      <c r="K89" s="740" t="str">
        <f t="shared" si="269"/>
        <v>-</v>
      </c>
      <c r="L89" s="740" t="str">
        <f t="shared" si="270"/>
        <v>-</v>
      </c>
      <c r="M89" s="740"/>
      <c r="N89" s="740" t="str">
        <f t="shared" si="271"/>
        <v>-</v>
      </c>
      <c r="O89" s="740" t="str">
        <f t="shared" si="272"/>
        <v>-</v>
      </c>
      <c r="P89" s="740"/>
      <c r="Q89" s="740" t="str">
        <f t="shared" si="273"/>
        <v>-</v>
      </c>
      <c r="R89" s="740" t="str">
        <f t="shared" si="274"/>
        <v>-</v>
      </c>
      <c r="S89" s="740"/>
      <c r="T89" s="740" t="str">
        <f t="shared" si="275"/>
        <v>-</v>
      </c>
      <c r="U89" s="740" t="str">
        <f t="shared" si="276"/>
        <v>-</v>
      </c>
      <c r="V89" s="172"/>
      <c r="W89" s="915"/>
      <c r="X89" s="228">
        <f ca="1">Horarios!C89</f>
        <v>46200.8125</v>
      </c>
      <c r="Y89" s="229">
        <f ca="1">Horarios!C89</f>
        <v>46200.8125</v>
      </c>
      <c r="Z89" s="230" t="str">
        <f>$Z$8</f>
        <v>J3</v>
      </c>
      <c r="AA89" s="231" t="str">
        <f ca="1">A86</f>
        <v>RD Congo</v>
      </c>
      <c r="AB89" s="478" t="str" cm="1">
        <f t="array" aca="1" ref="AB89" ca="1">Ver_flag_local</f>
        <v/>
      </c>
      <c r="AC89" s="232"/>
      <c r="AD89" s="233"/>
      <c r="AE89" s="483" t="str" cm="1">
        <f t="array" aca="1" ref="AE89" ca="1">Ver_flag_visit</f>
        <v/>
      </c>
      <c r="AF89" s="234" t="str">
        <f ca="1">A87</f>
        <v>Uzbekistán</v>
      </c>
      <c r="AG89" s="413">
        <f t="shared" si="277"/>
        <v>0</v>
      </c>
      <c r="AH89" s="196">
        <v>72</v>
      </c>
      <c r="AI89" s="19" t="str">
        <f t="shared" si="282"/>
        <v>4K</v>
      </c>
      <c r="AJ89" s="235">
        <v>4</v>
      </c>
      <c r="AK89" s="486"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0"/>
      <c r="BC89" s="740"/>
      <c r="BD89" s="740"/>
      <c r="BE89" s="740"/>
      <c r="BF89" s="740"/>
      <c r="BG89" s="740"/>
      <c r="BH89" s="740"/>
      <c r="BI89" s="740"/>
      <c r="BJ89" s="740"/>
      <c r="BK89" s="740"/>
      <c r="BL89" s="740"/>
      <c r="BM89" s="740"/>
      <c r="BN89" s="745"/>
      <c r="BO89" s="745"/>
      <c r="BP89" s="745"/>
      <c r="BQ89" s="745"/>
      <c r="BR89" s="740"/>
      <c r="BS89" s="740"/>
      <c r="BT89" s="745"/>
      <c r="BU89" s="745"/>
      <c r="BV89" s="745"/>
      <c r="BW89" s="745"/>
      <c r="BX89" s="745"/>
      <c r="BY89" s="745"/>
      <c r="BZ89" s="745"/>
      <c r="CA89" s="745"/>
      <c r="CB89" s="745"/>
      <c r="CC89" s="745"/>
      <c r="CD89" s="745"/>
      <c r="CE89" s="745"/>
      <c r="CF89" s="745"/>
      <c r="CG89" s="745"/>
      <c r="CH89" s="745"/>
      <c r="CI89" s="745"/>
      <c r="CJ89" s="745"/>
      <c r="CK89" s="745"/>
      <c r="CL89" s="745"/>
      <c r="CM89" s="745"/>
      <c r="CN89" s="745"/>
      <c r="CO89" s="745"/>
      <c r="CP89" s="745"/>
      <c r="CQ89" s="745"/>
      <c r="CR89" s="745"/>
      <c r="CS89" s="745"/>
      <c r="CT89" s="745"/>
      <c r="CU89" s="745"/>
      <c r="CV89" s="745"/>
      <c r="CW89" s="740"/>
      <c r="CX89" s="745"/>
      <c r="CY89" s="740"/>
      <c r="CZ89" s="740"/>
      <c r="DA89" s="740"/>
      <c r="DB89" s="740"/>
      <c r="DC89" s="740"/>
      <c r="DD89" s="740"/>
      <c r="DE89" s="740"/>
      <c r="DF89" s="740"/>
      <c r="DG89" s="740"/>
      <c r="DH89" s="740"/>
      <c r="DI89" s="740"/>
      <c r="DJ89" s="740"/>
      <c r="DK89" s="740"/>
      <c r="DL89" s="740"/>
      <c r="DM89" s="740"/>
      <c r="DN89" s="740"/>
      <c r="DO89" s="740"/>
      <c r="DP89" s="740"/>
      <c r="DQ89" s="740"/>
      <c r="DR89" s="740"/>
      <c r="DS89" s="740"/>
      <c r="DT89" s="740" t="str">
        <f t="shared" ca="1" si="242"/>
        <v>RD Congo-Uzbekistán</v>
      </c>
      <c r="DU89" s="740"/>
      <c r="DV89" s="740"/>
      <c r="DW89" s="8"/>
    </row>
    <row r="90" spans="1:127" ht="15.75" thickBot="1">
      <c r="A90" s="735"/>
      <c r="B90" s="735"/>
      <c r="C90" s="735"/>
      <c r="D90" s="740"/>
      <c r="E90" s="740"/>
      <c r="F90" s="740"/>
      <c r="G90" s="740"/>
      <c r="H90" s="740"/>
      <c r="I90" s="740"/>
      <c r="J90" s="740"/>
      <c r="K90" s="740"/>
      <c r="L90" s="740"/>
      <c r="M90" s="740"/>
      <c r="N90" s="740"/>
      <c r="O90" s="740"/>
      <c r="P90" s="740"/>
      <c r="Q90" s="740"/>
      <c r="R90" s="740"/>
      <c r="S90" s="740"/>
      <c r="T90" s="740"/>
      <c r="U90" s="740"/>
      <c r="V90" s="172"/>
      <c r="W90" s="242"/>
      <c r="X90" s="243"/>
      <c r="Y90" s="242"/>
      <c r="Z90" s="244"/>
      <c r="AA90" s="245"/>
      <c r="AB90" s="481"/>
      <c r="AC90" s="247"/>
      <c r="AD90" s="247"/>
      <c r="AE90" s="481"/>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0"/>
      <c r="BC90" s="740"/>
      <c r="BD90" s="740"/>
      <c r="BE90" s="740"/>
      <c r="BF90" s="740"/>
      <c r="BG90" s="740"/>
      <c r="BH90" s="740"/>
      <c r="BI90" s="740"/>
      <c r="BJ90" s="740"/>
      <c r="BK90" s="740"/>
      <c r="BL90" s="740"/>
      <c r="BM90" s="740"/>
      <c r="BN90" s="745"/>
      <c r="BO90" s="745"/>
      <c r="BP90" s="745"/>
      <c r="BQ90" s="745"/>
      <c r="BR90" s="740"/>
      <c r="BS90" s="740"/>
      <c r="BT90" s="745"/>
      <c r="BU90" s="745"/>
      <c r="BV90" s="745"/>
      <c r="BW90" s="745"/>
      <c r="BX90" s="745"/>
      <c r="BY90" s="745"/>
      <c r="BZ90" s="745"/>
      <c r="CA90" s="745"/>
      <c r="CB90" s="745"/>
      <c r="CC90" s="745"/>
      <c r="CD90" s="745"/>
      <c r="CE90" s="745"/>
      <c r="CF90" s="745"/>
      <c r="CG90" s="745"/>
      <c r="CH90" s="745"/>
      <c r="CI90" s="745"/>
      <c r="CJ90" s="745"/>
      <c r="CK90" s="745"/>
      <c r="CL90" s="745"/>
      <c r="CM90" s="745"/>
      <c r="CN90" s="745"/>
      <c r="CO90" s="745"/>
      <c r="CP90" s="745"/>
      <c r="CQ90" s="745"/>
      <c r="CR90" s="745"/>
      <c r="CS90" s="745"/>
      <c r="CT90" s="745"/>
      <c r="CU90" s="745"/>
      <c r="CV90" s="745"/>
      <c r="CW90" s="740"/>
      <c r="CX90" s="745"/>
      <c r="CY90" s="740"/>
      <c r="CZ90" s="740"/>
      <c r="DA90" s="740"/>
      <c r="DB90" s="740"/>
      <c r="DC90" s="740"/>
      <c r="DD90" s="740"/>
      <c r="DE90" s="740"/>
      <c r="DF90" s="740"/>
      <c r="DG90" s="740"/>
      <c r="DH90" s="740"/>
      <c r="DI90" s="740"/>
      <c r="DJ90" s="740"/>
      <c r="DK90" s="740"/>
      <c r="DL90" s="740"/>
      <c r="DM90" s="740"/>
      <c r="DN90" s="740"/>
      <c r="DO90" s="740"/>
      <c r="DP90" s="740"/>
      <c r="DQ90" s="740"/>
      <c r="DR90" s="740"/>
      <c r="DS90" s="740"/>
      <c r="DT90" s="740" t="str">
        <f t="shared" si="242"/>
        <v>-</v>
      </c>
      <c r="DU90" s="740"/>
      <c r="DV90" s="740"/>
      <c r="DW90" s="8"/>
    </row>
    <row r="91" spans="1:127" ht="15.75" thickBot="1">
      <c r="A91" s="735"/>
      <c r="B91" s="738"/>
      <c r="C91" s="735"/>
      <c r="D91" s="735"/>
      <c r="E91" s="735"/>
      <c r="F91" s="735"/>
      <c r="G91" s="735"/>
      <c r="H91" s="735"/>
      <c r="I91" s="735"/>
      <c r="J91" s="735"/>
      <c r="K91" s="735"/>
      <c r="L91" s="735"/>
      <c r="M91" s="735"/>
      <c r="N91" s="740"/>
      <c r="O91" s="740"/>
      <c r="P91" s="740"/>
      <c r="Q91" s="740"/>
      <c r="R91" s="740"/>
      <c r="S91" s="740"/>
      <c r="T91" s="740"/>
      <c r="U91" s="740"/>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0"/>
      <c r="BC91" s="740"/>
      <c r="BD91" s="740"/>
      <c r="BE91" s="740"/>
      <c r="BF91" s="740"/>
      <c r="BG91" s="740"/>
      <c r="BH91" s="740"/>
      <c r="BI91" s="740"/>
      <c r="BJ91" s="740"/>
      <c r="BK91" s="740"/>
      <c r="BL91" s="740"/>
      <c r="BM91" s="740"/>
      <c r="BN91" s="740"/>
      <c r="BO91" s="740"/>
      <c r="BP91" s="740"/>
      <c r="BQ91" s="740"/>
      <c r="BR91" s="740"/>
      <c r="BS91" s="740"/>
      <c r="BT91" s="740"/>
      <c r="BU91" s="740"/>
      <c r="BV91" s="740"/>
      <c r="BW91" s="740"/>
      <c r="BX91" s="740"/>
      <c r="BY91" s="740"/>
      <c r="BZ91" s="740"/>
      <c r="CA91" s="740"/>
      <c r="CB91" s="740"/>
      <c r="CC91" s="740"/>
      <c r="CD91" s="740"/>
      <c r="CE91" s="740"/>
      <c r="CF91" s="740"/>
      <c r="CG91" s="740"/>
      <c r="CH91" s="740"/>
      <c r="CI91" s="740"/>
      <c r="CJ91" s="740"/>
      <c r="CK91" s="740"/>
      <c r="CL91" s="740"/>
      <c r="CM91" s="740"/>
      <c r="CN91" s="740"/>
      <c r="CO91" s="740"/>
      <c r="CP91" s="740"/>
      <c r="CQ91" s="740"/>
      <c r="CR91" s="740"/>
      <c r="CS91" s="740"/>
      <c r="CT91" s="740"/>
      <c r="CU91" s="740"/>
      <c r="CV91" s="740"/>
      <c r="CW91" s="740"/>
      <c r="CX91" s="740"/>
      <c r="CY91" s="740"/>
      <c r="CZ91" s="740"/>
      <c r="DA91" s="740"/>
      <c r="DB91" s="740"/>
      <c r="DC91" s="740"/>
      <c r="DD91" s="740"/>
      <c r="DE91" s="740"/>
      <c r="DF91" s="740"/>
      <c r="DG91" s="740"/>
      <c r="DH91" s="740"/>
      <c r="DI91" s="740"/>
      <c r="DJ91" s="740"/>
      <c r="DK91" s="740"/>
      <c r="DL91" s="740"/>
      <c r="DM91" s="740"/>
      <c r="DN91" s="740"/>
      <c r="DO91" s="740"/>
      <c r="DP91" s="740"/>
      <c r="DQ91" s="740"/>
      <c r="DR91" s="740"/>
      <c r="DS91" s="740"/>
      <c r="DT91" s="740" t="str">
        <f t="shared" si="242"/>
        <v>Casa-Fuera</v>
      </c>
      <c r="DU91" s="740"/>
      <c r="DV91" s="740"/>
      <c r="DW91" s="8"/>
    </row>
    <row r="92" spans="1:127" ht="15" customHeight="1" thickBot="1">
      <c r="A92" s="737" t="s">
        <v>30</v>
      </c>
      <c r="B92" s="738" t="s">
        <v>238</v>
      </c>
      <c r="C92" s="739">
        <f>COUNTIF(Equipos!$C$2:$C$49,WORLDCUP!B92)</f>
        <v>4</v>
      </c>
      <c r="D92" s="740" t="str">
        <f t="shared" ref="D92:D97" si="283">IF(OR(AC92="",AD92=""),"Pendiente",IF(AC92&gt;AD92,"Local",IF(AC92&lt;AD92,"Visitante","Empate")))</f>
        <v>Pendiente</v>
      </c>
      <c r="E92" s="740" t="str">
        <f t="shared" ref="E92:E97" si="284">IF(D92="Pendiente","-",INDEX($BT$6:$BT$53,MATCH($AA92,$BD$6:$BD$53,0)))</f>
        <v>-</v>
      </c>
      <c r="F92" s="740" t="str">
        <f t="shared" ref="F92:F97" si="285">IF(D92="Pendiente","-",INDEX($BT$6:$BT$53,MATCH($AF92,$BD$6:$BD$53,0)))</f>
        <v>-</v>
      </c>
      <c r="G92" s="740"/>
      <c r="H92" s="740" t="str">
        <f t="shared" ref="H92:H97" si="286">IF(D92="Pendiente","-",INDEX($BZ$6:$BZ$53,MATCH($AA92,$BD$6:$BD$53,0)))</f>
        <v>-</v>
      </c>
      <c r="I92" s="740" t="str">
        <f t="shared" ref="I92:I97" si="287">IF(D92="Pendiente","-",INDEX($BZ$6:$BZ$53,MATCH($AF92,$BD$6:$BD$53,0)))</f>
        <v>-</v>
      </c>
      <c r="J92" s="740"/>
      <c r="K92" s="740" t="str">
        <f t="shared" ref="K92:K97" si="288">IF(D92="Pendiente","-",INDEX($CE$6:$CE$53,MATCH($AA92,$BD$6:$BD$53,0)))</f>
        <v>-</v>
      </c>
      <c r="L92" s="740" t="str">
        <f t="shared" ref="L92:L97" si="289">IF(D92="Pendiente","-",INDEX($CE$6:$CE$53,MATCH($AF92,$BD$6:$BD$53,0)))</f>
        <v>-</v>
      </c>
      <c r="M92" s="740"/>
      <c r="N92" s="740" t="str">
        <f t="shared" ref="N92:N97" si="290">IF(D92="Pendiente","-",INDEX($CH$6:$CH$53,MATCH($AA92,$BD$6:$BD$53,0)))</f>
        <v>-</v>
      </c>
      <c r="O92" s="740" t="str">
        <f t="shared" ref="O92:O97" si="291">IF(D92="Pendiente","-",INDEX($CH$6:$CH$53,MATCH($AF92,$BD$6:$BD$53,0)))</f>
        <v>-</v>
      </c>
      <c r="P92" s="740"/>
      <c r="Q92" s="740" t="str">
        <f t="shared" ref="Q92:Q97" si="292">IF(D92="Pendiente","-",INDEX($CN$6:$CN$53,MATCH($AA92,$BD$6:$BD$53,0)))</f>
        <v>-</v>
      </c>
      <c r="R92" s="740" t="str">
        <f t="shared" ref="R92:R97" si="293">IF(D92="Pendiente","-",INDEX($CN$6:$CN$53,MATCH($AF92,$BD$6:$BD$53,0)))</f>
        <v>-</v>
      </c>
      <c r="S92" s="740"/>
      <c r="T92" s="740" t="str">
        <f t="shared" ref="T92:T97" si="294">IF(D92="Pendiente","-",INDEX($CS$6:$CS$53,MATCH($AA92,$BD$6:$BD$53,0)))</f>
        <v>-</v>
      </c>
      <c r="U92" s="740" t="str">
        <f t="shared" ref="U92:U97" si="295">IF(D92="Pendiente","-",INDEX($CS$6:$CS$53,MATCH($AF92,$BD$6:$BD$53,0)))</f>
        <v>-</v>
      </c>
      <c r="V92" s="172"/>
      <c r="W92" s="910" t="s">
        <v>238</v>
      </c>
      <c r="X92" s="189">
        <f ca="1">Horarios!C92</f>
        <v>46190.666666666664</v>
      </c>
      <c r="Y92" s="190">
        <f ca="1">Horarios!C92</f>
        <v>46190.666666666664</v>
      </c>
      <c r="Z92" s="191" t="str">
        <f>$Z$4</f>
        <v>J1</v>
      </c>
      <c r="AA92" s="192" t="str">
        <f ca="1">A93</f>
        <v>Inglaterra</v>
      </c>
      <c r="AB92" s="477" t="str" cm="1">
        <f t="array" aca="1" ref="AB92" ca="1">Ver_flag_local</f>
        <v/>
      </c>
      <c r="AC92" s="193"/>
      <c r="AD92" s="194"/>
      <c r="AE92" s="482"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0"/>
      <c r="BC92" s="740"/>
      <c r="BD92" s="740"/>
      <c r="BE92" s="740"/>
      <c r="BF92" s="740"/>
      <c r="BG92" s="740"/>
      <c r="BH92" s="740"/>
      <c r="BI92" s="740"/>
      <c r="BJ92" s="740"/>
      <c r="BK92" s="740"/>
      <c r="BL92" s="740"/>
      <c r="BM92" s="740"/>
      <c r="BN92" s="740"/>
      <c r="BO92" s="740"/>
      <c r="BP92" s="740"/>
      <c r="BQ92" s="740"/>
      <c r="BR92" s="740"/>
      <c r="BS92" s="740"/>
      <c r="BT92" s="740"/>
      <c r="BU92" s="740"/>
      <c r="BV92" s="740"/>
      <c r="BW92" s="740"/>
      <c r="BX92" s="740"/>
      <c r="BY92" s="740"/>
      <c r="BZ92" s="740"/>
      <c r="CA92" s="740"/>
      <c r="CB92" s="740"/>
      <c r="CC92" s="740"/>
      <c r="CD92" s="740"/>
      <c r="CE92" s="740"/>
      <c r="CF92" s="740"/>
      <c r="CG92" s="740"/>
      <c r="CH92" s="740"/>
      <c r="CI92" s="740"/>
      <c r="CJ92" s="740"/>
      <c r="CK92" s="740"/>
      <c r="CL92" s="740"/>
      <c r="CM92" s="740"/>
      <c r="CN92" s="740"/>
      <c r="CO92" s="740"/>
      <c r="CP92" s="740"/>
      <c r="CQ92" s="740"/>
      <c r="CR92" s="740"/>
      <c r="CS92" s="740"/>
      <c r="CT92" s="740"/>
      <c r="CU92" s="740"/>
      <c r="CV92" s="740"/>
      <c r="CW92" s="740"/>
      <c r="CX92" s="745"/>
      <c r="CY92" s="740"/>
      <c r="CZ92" s="740"/>
      <c r="DA92" s="740"/>
      <c r="DB92" s="740"/>
      <c r="DC92" s="740"/>
      <c r="DD92" s="740"/>
      <c r="DE92" s="740"/>
      <c r="DF92" s="740"/>
      <c r="DG92" s="740"/>
      <c r="DH92" s="740"/>
      <c r="DI92" s="740"/>
      <c r="DJ92" s="740"/>
      <c r="DK92" s="740"/>
      <c r="DL92" s="740"/>
      <c r="DM92" s="740"/>
      <c r="DN92" s="740"/>
      <c r="DO92" s="740"/>
      <c r="DP92" s="740"/>
      <c r="DQ92" s="740"/>
      <c r="DR92" s="740"/>
      <c r="DS92" s="740"/>
      <c r="DT92" s="740" t="str">
        <f t="shared" ca="1" si="242"/>
        <v>Inglaterra-Croacia</v>
      </c>
      <c r="DU92" s="740"/>
      <c r="DV92" s="740"/>
      <c r="DW92" s="8"/>
    </row>
    <row r="93" spans="1:127" ht="15.95" customHeight="1">
      <c r="A93" s="741" t="str">
        <f ca="1">+Equipos!B46</f>
        <v>Inglaterra</v>
      </c>
      <c r="B93" s="738"/>
      <c r="C93" s="738"/>
      <c r="D93" s="740" t="str">
        <f t="shared" si="283"/>
        <v>Pendiente</v>
      </c>
      <c r="E93" s="740" t="str">
        <f t="shared" si="284"/>
        <v>-</v>
      </c>
      <c r="F93" s="740" t="str">
        <f t="shared" si="285"/>
        <v>-</v>
      </c>
      <c r="G93" s="740"/>
      <c r="H93" s="740" t="str">
        <f t="shared" si="286"/>
        <v>-</v>
      </c>
      <c r="I93" s="740" t="str">
        <f t="shared" si="287"/>
        <v>-</v>
      </c>
      <c r="J93" s="740"/>
      <c r="K93" s="740" t="str">
        <f t="shared" si="288"/>
        <v>-</v>
      </c>
      <c r="L93" s="740" t="str">
        <f t="shared" si="289"/>
        <v>-</v>
      </c>
      <c r="M93" s="740"/>
      <c r="N93" s="740" t="str">
        <f t="shared" si="290"/>
        <v>-</v>
      </c>
      <c r="O93" s="740" t="str">
        <f t="shared" si="291"/>
        <v>-</v>
      </c>
      <c r="P93" s="740"/>
      <c r="Q93" s="740" t="str">
        <f t="shared" si="292"/>
        <v>-</v>
      </c>
      <c r="R93" s="740" t="str">
        <f t="shared" si="293"/>
        <v>-</v>
      </c>
      <c r="S93" s="740"/>
      <c r="T93" s="740" t="str">
        <f t="shared" si="294"/>
        <v>-</v>
      </c>
      <c r="U93" s="740" t="str">
        <f t="shared" si="295"/>
        <v>-</v>
      </c>
      <c r="V93" s="172"/>
      <c r="W93" s="910"/>
      <c r="X93" s="189">
        <f ca="1">Horarios!C93</f>
        <v>46190.791666666664</v>
      </c>
      <c r="Y93" s="190">
        <f ca="1">Horarios!C93</f>
        <v>46190.791666666664</v>
      </c>
      <c r="Z93" s="191" t="str">
        <f>$Z$4</f>
        <v>J1</v>
      </c>
      <c r="AA93" s="192" t="str">
        <f ca="1">A95</f>
        <v>Ghana</v>
      </c>
      <c r="AB93" s="477" t="str" cm="1">
        <f t="array" aca="1" ref="AB93" ca="1">Ver_flag_local</f>
        <v/>
      </c>
      <c r="AC93" s="193"/>
      <c r="AD93" s="194"/>
      <c r="AE93" s="482"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0"/>
      <c r="BC93" s="740"/>
      <c r="BD93" s="740"/>
      <c r="BE93" s="740"/>
      <c r="BF93" s="740"/>
      <c r="BG93" s="740"/>
      <c r="BH93" s="740"/>
      <c r="BI93" s="740"/>
      <c r="BJ93" s="740"/>
      <c r="BK93" s="740"/>
      <c r="BL93" s="740"/>
      <c r="BM93" s="740"/>
      <c r="BN93" s="743"/>
      <c r="BO93" s="743"/>
      <c r="BP93" s="743"/>
      <c r="BQ93" s="743"/>
      <c r="BR93" s="740"/>
      <c r="BS93" s="740"/>
      <c r="BT93" s="743"/>
      <c r="BU93" s="743"/>
      <c r="BV93" s="743"/>
      <c r="BW93" s="743"/>
      <c r="BX93" s="743"/>
      <c r="BY93" s="743"/>
      <c r="BZ93" s="743"/>
      <c r="CA93" s="743"/>
      <c r="CB93" s="743"/>
      <c r="CC93" s="743"/>
      <c r="CD93" s="743"/>
      <c r="CE93" s="743"/>
      <c r="CF93" s="743"/>
      <c r="CG93" s="743"/>
      <c r="CH93" s="743"/>
      <c r="CI93" s="743"/>
      <c r="CJ93" s="743"/>
      <c r="CK93" s="743"/>
      <c r="CL93" s="743"/>
      <c r="CM93" s="743"/>
      <c r="CN93" s="743"/>
      <c r="CO93" s="743"/>
      <c r="CP93" s="743"/>
      <c r="CQ93" s="743"/>
      <c r="CR93" s="743"/>
      <c r="CS93" s="743"/>
      <c r="CT93" s="743"/>
      <c r="CU93" s="743"/>
      <c r="CV93" s="743"/>
      <c r="CW93" s="740"/>
      <c r="CX93" s="743"/>
      <c r="CY93" s="740"/>
      <c r="CZ93" s="740"/>
      <c r="DA93" s="740"/>
      <c r="DB93" s="740"/>
      <c r="DC93" s="740"/>
      <c r="DD93" s="740"/>
      <c r="DE93" s="740"/>
      <c r="DF93" s="740"/>
      <c r="DG93" s="740"/>
      <c r="DH93" s="740"/>
      <c r="DI93" s="740"/>
      <c r="DJ93" s="740"/>
      <c r="DK93" s="740"/>
      <c r="DL93" s="740"/>
      <c r="DM93" s="740"/>
      <c r="DN93" s="740"/>
      <c r="DO93" s="740"/>
      <c r="DP93" s="740"/>
      <c r="DQ93" s="740"/>
      <c r="DR93" s="740"/>
      <c r="DS93" s="740"/>
      <c r="DT93" s="740" t="str">
        <f t="shared" ca="1" si="242"/>
        <v>Ghana-Panamá</v>
      </c>
      <c r="DU93" s="740"/>
      <c r="DV93" s="740"/>
      <c r="DW93" s="8"/>
    </row>
    <row r="94" spans="1:127" ht="15.95" customHeight="1">
      <c r="A94" s="741" t="str">
        <f ca="1">+Equipos!B47</f>
        <v>Croacia</v>
      </c>
      <c r="B94" s="738"/>
      <c r="C94" s="742"/>
      <c r="D94" s="740" t="str">
        <f t="shared" si="283"/>
        <v>Pendiente</v>
      </c>
      <c r="E94" s="740" t="str">
        <f t="shared" si="284"/>
        <v>-</v>
      </c>
      <c r="F94" s="740" t="str">
        <f t="shared" si="285"/>
        <v>-</v>
      </c>
      <c r="G94" s="740"/>
      <c r="H94" s="740" t="str">
        <f t="shared" si="286"/>
        <v>-</v>
      </c>
      <c r="I94" s="740" t="str">
        <f t="shared" si="287"/>
        <v>-</v>
      </c>
      <c r="J94" s="740"/>
      <c r="K94" s="740" t="str">
        <f t="shared" si="288"/>
        <v>-</v>
      </c>
      <c r="L94" s="740" t="str">
        <f t="shared" si="289"/>
        <v>-</v>
      </c>
      <c r="M94" s="740"/>
      <c r="N94" s="740" t="str">
        <f t="shared" si="290"/>
        <v>-</v>
      </c>
      <c r="O94" s="740" t="str">
        <f t="shared" si="291"/>
        <v>-</v>
      </c>
      <c r="P94" s="740"/>
      <c r="Q94" s="740" t="str">
        <f t="shared" si="292"/>
        <v>-</v>
      </c>
      <c r="R94" s="740" t="str">
        <f t="shared" si="293"/>
        <v>-</v>
      </c>
      <c r="S94" s="740"/>
      <c r="T94" s="740" t="str">
        <f t="shared" si="294"/>
        <v>-</v>
      </c>
      <c r="U94" s="740" t="str">
        <f t="shared" si="295"/>
        <v>-</v>
      </c>
      <c r="V94" s="172"/>
      <c r="W94" s="910"/>
      <c r="X94" s="189">
        <f ca="1">Horarios!C94</f>
        <v>46196.666666666664</v>
      </c>
      <c r="Y94" s="190">
        <f ca="1">Horarios!C94</f>
        <v>46196.666666666664</v>
      </c>
      <c r="Z94" s="191" t="str">
        <f>$Z$6</f>
        <v>J2</v>
      </c>
      <c r="AA94" s="192" t="str">
        <f ca="1">A93</f>
        <v>Inglaterra</v>
      </c>
      <c r="AB94" s="477" t="str" cm="1">
        <f t="array" aca="1" ref="AB94" ca="1">Ver_flag_local</f>
        <v/>
      </c>
      <c r="AC94" s="193"/>
      <c r="AD94" s="194"/>
      <c r="AE94" s="482" t="str" cm="1">
        <f t="array" aca="1" ref="AE94" ca="1">Ver_flag_visit</f>
        <v/>
      </c>
      <c r="AF94" s="195" t="str">
        <f ca="1">A95</f>
        <v>Ghana</v>
      </c>
      <c r="AG94" s="413">
        <f t="shared" si="296"/>
        <v>0</v>
      </c>
      <c r="AH94" s="196">
        <v>45</v>
      </c>
      <c r="AI94" s="19" t="str">
        <f>AJ94&amp;$B$92</f>
        <v>1L</v>
      </c>
      <c r="AJ94" s="211">
        <v>1</v>
      </c>
      <c r="AK94" s="487"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0"/>
      <c r="BC94" s="740"/>
      <c r="BD94" s="740"/>
      <c r="BE94" s="740"/>
      <c r="BF94" s="740"/>
      <c r="BG94" s="740"/>
      <c r="BH94" s="740"/>
      <c r="BI94" s="740"/>
      <c r="BJ94" s="740"/>
      <c r="BK94" s="740"/>
      <c r="BL94" s="740"/>
      <c r="BM94" s="740"/>
      <c r="BN94" s="745"/>
      <c r="BO94" s="745"/>
      <c r="BP94" s="745"/>
      <c r="BQ94" s="745"/>
      <c r="BR94" s="740"/>
      <c r="BS94" s="740"/>
      <c r="BT94" s="745"/>
      <c r="BU94" s="745"/>
      <c r="BV94" s="745"/>
      <c r="BW94" s="745"/>
      <c r="BX94" s="745"/>
      <c r="BY94" s="745"/>
      <c r="BZ94" s="745"/>
      <c r="CA94" s="745"/>
      <c r="CB94" s="745"/>
      <c r="CC94" s="745"/>
      <c r="CD94" s="745"/>
      <c r="CE94" s="745"/>
      <c r="CF94" s="745"/>
      <c r="CG94" s="745"/>
      <c r="CH94" s="745"/>
      <c r="CI94" s="745"/>
      <c r="CJ94" s="745"/>
      <c r="CK94" s="745"/>
      <c r="CL94" s="745"/>
      <c r="CM94" s="745"/>
      <c r="CN94" s="745"/>
      <c r="CO94" s="745"/>
      <c r="CP94" s="745"/>
      <c r="CQ94" s="745"/>
      <c r="CR94" s="745"/>
      <c r="CS94" s="745"/>
      <c r="CT94" s="745"/>
      <c r="CU94" s="745"/>
      <c r="CV94" s="745"/>
      <c r="CW94" s="740"/>
      <c r="CX94" s="745"/>
      <c r="CY94" s="740"/>
      <c r="CZ94" s="740"/>
      <c r="DA94" s="740"/>
      <c r="DB94" s="740"/>
      <c r="DC94" s="740"/>
      <c r="DD94" s="740"/>
      <c r="DE94" s="740"/>
      <c r="DF94" s="740"/>
      <c r="DG94" s="740"/>
      <c r="DH94" s="740"/>
      <c r="DI94" s="740"/>
      <c r="DJ94" s="740"/>
      <c r="DK94" s="740"/>
      <c r="DL94" s="740"/>
      <c r="DM94" s="740"/>
      <c r="DN94" s="740"/>
      <c r="DO94" s="740"/>
      <c r="DP94" s="740"/>
      <c r="DQ94" s="740"/>
      <c r="DR94" s="740"/>
      <c r="DS94" s="740"/>
      <c r="DT94" s="740" t="str">
        <f t="shared" ca="1" si="242"/>
        <v>Inglaterra-Ghana</v>
      </c>
      <c r="DU94" s="740"/>
      <c r="DV94" s="740"/>
      <c r="DW94" s="8"/>
    </row>
    <row r="95" spans="1:127" ht="15.95" customHeight="1">
      <c r="A95" s="741" t="str">
        <f ca="1">+Equipos!B48</f>
        <v>Ghana</v>
      </c>
      <c r="B95" s="738"/>
      <c r="C95" s="740"/>
      <c r="D95" s="740" t="str">
        <f t="shared" si="283"/>
        <v>Pendiente</v>
      </c>
      <c r="E95" s="740" t="str">
        <f t="shared" si="284"/>
        <v>-</v>
      </c>
      <c r="F95" s="740" t="str">
        <f t="shared" si="285"/>
        <v>-</v>
      </c>
      <c r="G95" s="740"/>
      <c r="H95" s="740" t="str">
        <f t="shared" si="286"/>
        <v>-</v>
      </c>
      <c r="I95" s="740" t="str">
        <f t="shared" si="287"/>
        <v>-</v>
      </c>
      <c r="J95" s="740"/>
      <c r="K95" s="740" t="str">
        <f t="shared" si="288"/>
        <v>-</v>
      </c>
      <c r="L95" s="740" t="str">
        <f t="shared" si="289"/>
        <v>-</v>
      </c>
      <c r="M95" s="740"/>
      <c r="N95" s="740" t="str">
        <f t="shared" si="290"/>
        <v>-</v>
      </c>
      <c r="O95" s="740" t="str">
        <f t="shared" si="291"/>
        <v>-</v>
      </c>
      <c r="P95" s="740"/>
      <c r="Q95" s="740" t="str">
        <f t="shared" si="292"/>
        <v>-</v>
      </c>
      <c r="R95" s="740" t="str">
        <f t="shared" si="293"/>
        <v>-</v>
      </c>
      <c r="S95" s="740"/>
      <c r="T95" s="740" t="str">
        <f t="shared" si="294"/>
        <v>-</v>
      </c>
      <c r="U95" s="740" t="str">
        <f t="shared" si="295"/>
        <v>-</v>
      </c>
      <c r="V95" s="172"/>
      <c r="W95" s="910"/>
      <c r="X95" s="189">
        <f ca="1">Horarios!C95</f>
        <v>46196.791666666664</v>
      </c>
      <c r="Y95" s="190">
        <f ca="1">Horarios!C95</f>
        <v>46196.791666666664</v>
      </c>
      <c r="Z95" s="191" t="str">
        <f>$Z$6</f>
        <v>J2</v>
      </c>
      <c r="AA95" s="192" t="str">
        <f ca="1">A96</f>
        <v>Panamá</v>
      </c>
      <c r="AB95" s="477" t="str" cm="1">
        <f t="array" aca="1" ref="AB95" ca="1">Ver_flag_local</f>
        <v/>
      </c>
      <c r="AC95" s="193"/>
      <c r="AD95" s="194"/>
      <c r="AE95" s="482" t="str" cm="1">
        <f t="array" aca="1" ref="AE95" ca="1">Ver_flag_visit</f>
        <v/>
      </c>
      <c r="AF95" s="195" t="str">
        <f ca="1">A94</f>
        <v>Croacia</v>
      </c>
      <c r="AG95" s="413">
        <f t="shared" si="296"/>
        <v>0</v>
      </c>
      <c r="AH95" s="196">
        <v>46</v>
      </c>
      <c r="AI95" s="19" t="str">
        <f t="shared" ref="AI95:AI97" si="301">AJ95&amp;$B$92</f>
        <v>2L</v>
      </c>
      <c r="AJ95" s="221">
        <v>2</v>
      </c>
      <c r="AK95" s="485"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0"/>
      <c r="BC95" s="740"/>
      <c r="BD95" s="740"/>
      <c r="BE95" s="740"/>
      <c r="BF95" s="740"/>
      <c r="BG95" s="740"/>
      <c r="BH95" s="740"/>
      <c r="BI95" s="740"/>
      <c r="BJ95" s="740"/>
      <c r="BK95" s="740"/>
      <c r="BL95" s="740"/>
      <c r="BM95" s="740"/>
      <c r="BN95" s="745"/>
      <c r="BO95" s="745"/>
      <c r="BP95" s="745"/>
      <c r="BQ95" s="745"/>
      <c r="BR95" s="740"/>
      <c r="BS95" s="740"/>
      <c r="BT95" s="745"/>
      <c r="BU95" s="745"/>
      <c r="BV95" s="745"/>
      <c r="BW95" s="745"/>
      <c r="BX95" s="745"/>
      <c r="BY95" s="745"/>
      <c r="BZ95" s="745"/>
      <c r="CA95" s="745"/>
      <c r="CB95" s="745"/>
      <c r="CC95" s="745"/>
      <c r="CD95" s="745"/>
      <c r="CE95" s="745"/>
      <c r="CF95" s="745"/>
      <c r="CG95" s="745"/>
      <c r="CH95" s="745"/>
      <c r="CI95" s="745"/>
      <c r="CJ95" s="745"/>
      <c r="CK95" s="745"/>
      <c r="CL95" s="745"/>
      <c r="CM95" s="745"/>
      <c r="CN95" s="745"/>
      <c r="CO95" s="745"/>
      <c r="CP95" s="745"/>
      <c r="CQ95" s="745"/>
      <c r="CR95" s="745"/>
      <c r="CS95" s="745"/>
      <c r="CT95" s="745"/>
      <c r="CU95" s="745"/>
      <c r="CV95" s="745"/>
      <c r="CW95" s="740"/>
      <c r="CX95" s="745"/>
      <c r="CY95" s="740"/>
      <c r="CZ95" s="740"/>
      <c r="DA95" s="740"/>
      <c r="DB95" s="740"/>
      <c r="DC95" s="740"/>
      <c r="DD95" s="740"/>
      <c r="DE95" s="740"/>
      <c r="DF95" s="740"/>
      <c r="DG95" s="740"/>
      <c r="DH95" s="740"/>
      <c r="DI95" s="740"/>
      <c r="DJ95" s="740"/>
      <c r="DK95" s="740"/>
      <c r="DL95" s="740"/>
      <c r="DM95" s="740"/>
      <c r="DN95" s="740"/>
      <c r="DO95" s="740"/>
      <c r="DP95" s="740"/>
      <c r="DQ95" s="740"/>
      <c r="DR95" s="740"/>
      <c r="DS95" s="740"/>
      <c r="DT95" s="740" t="str">
        <f t="shared" ca="1" si="242"/>
        <v>Panamá-Croacia</v>
      </c>
      <c r="DU95" s="740"/>
      <c r="DV95" s="740"/>
      <c r="DW95" s="8"/>
    </row>
    <row r="96" spans="1:127" ht="15.95" customHeight="1">
      <c r="A96" s="741" t="str">
        <f ca="1">+Equipos!B49</f>
        <v>Panamá</v>
      </c>
      <c r="B96" s="738"/>
      <c r="C96" s="740"/>
      <c r="D96" s="740" t="str">
        <f t="shared" si="283"/>
        <v>Pendiente</v>
      </c>
      <c r="E96" s="740" t="str">
        <f t="shared" si="284"/>
        <v>-</v>
      </c>
      <c r="F96" s="740" t="str">
        <f t="shared" si="285"/>
        <v>-</v>
      </c>
      <c r="G96" s="740"/>
      <c r="H96" s="740" t="str">
        <f t="shared" si="286"/>
        <v>-</v>
      </c>
      <c r="I96" s="740" t="str">
        <f t="shared" si="287"/>
        <v>-</v>
      </c>
      <c r="J96" s="740"/>
      <c r="K96" s="740" t="str">
        <f t="shared" si="288"/>
        <v>-</v>
      </c>
      <c r="L96" s="740" t="str">
        <f t="shared" si="289"/>
        <v>-</v>
      </c>
      <c r="M96" s="740"/>
      <c r="N96" s="740" t="str">
        <f t="shared" si="290"/>
        <v>-</v>
      </c>
      <c r="O96" s="740" t="str">
        <f t="shared" si="291"/>
        <v>-</v>
      </c>
      <c r="P96" s="740"/>
      <c r="Q96" s="740" t="str">
        <f t="shared" si="292"/>
        <v>-</v>
      </c>
      <c r="R96" s="740" t="str">
        <f t="shared" si="293"/>
        <v>-</v>
      </c>
      <c r="S96" s="740"/>
      <c r="T96" s="740" t="str">
        <f t="shared" si="294"/>
        <v>-</v>
      </c>
      <c r="U96" s="740" t="str">
        <f t="shared" si="295"/>
        <v>-</v>
      </c>
      <c r="V96" s="172"/>
      <c r="W96" s="910"/>
      <c r="X96" s="189">
        <f ca="1">Horarios!C96</f>
        <v>46200.708333333336</v>
      </c>
      <c r="Y96" s="190">
        <f ca="1">Horarios!C96</f>
        <v>46200.708333333336</v>
      </c>
      <c r="Z96" s="191" t="str">
        <f>$Z$8</f>
        <v>J3</v>
      </c>
      <c r="AA96" s="192" t="str">
        <f ca="1">A96</f>
        <v>Panamá</v>
      </c>
      <c r="AB96" s="477" t="str" cm="1">
        <f t="array" aca="1" ref="AB96" ca="1">Ver_flag_local</f>
        <v/>
      </c>
      <c r="AC96" s="193"/>
      <c r="AD96" s="194"/>
      <c r="AE96" s="482" t="str" cm="1">
        <f t="array" aca="1" ref="AE96" ca="1">Ver_flag_visit</f>
        <v/>
      </c>
      <c r="AF96" s="195" t="str">
        <f ca="1">A93</f>
        <v>Inglaterra</v>
      </c>
      <c r="AG96" s="413">
        <f t="shared" si="296"/>
        <v>0</v>
      </c>
      <c r="AH96" s="196">
        <v>67</v>
      </c>
      <c r="AI96" s="19" t="str">
        <f t="shared" si="301"/>
        <v>3L</v>
      </c>
      <c r="AJ96" s="221">
        <v>3</v>
      </c>
      <c r="AK96" s="485"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0"/>
      <c r="BC96" s="740"/>
      <c r="BD96" s="740"/>
      <c r="BE96" s="740"/>
      <c r="BF96" s="740"/>
      <c r="BG96" s="740"/>
      <c r="BH96" s="740"/>
      <c r="BI96" s="740"/>
      <c r="BJ96" s="740"/>
      <c r="BK96" s="740"/>
      <c r="BL96" s="740"/>
      <c r="BM96" s="740"/>
      <c r="BN96" s="745"/>
      <c r="BO96" s="745"/>
      <c r="BP96" s="745"/>
      <c r="BQ96" s="745"/>
      <c r="BR96" s="740"/>
      <c r="BS96" s="740"/>
      <c r="BT96" s="745"/>
      <c r="BU96" s="745"/>
      <c r="BV96" s="745"/>
      <c r="BW96" s="745"/>
      <c r="BX96" s="745"/>
      <c r="BY96" s="745"/>
      <c r="BZ96" s="745"/>
      <c r="CA96" s="745"/>
      <c r="CB96" s="745"/>
      <c r="CC96" s="745"/>
      <c r="CD96" s="745"/>
      <c r="CE96" s="745"/>
      <c r="CF96" s="745"/>
      <c r="CG96" s="745"/>
      <c r="CH96" s="745"/>
      <c r="CI96" s="745"/>
      <c r="CJ96" s="745"/>
      <c r="CK96" s="745"/>
      <c r="CL96" s="745"/>
      <c r="CM96" s="745"/>
      <c r="CN96" s="745"/>
      <c r="CO96" s="745"/>
      <c r="CP96" s="745"/>
      <c r="CQ96" s="745"/>
      <c r="CR96" s="745"/>
      <c r="CS96" s="745"/>
      <c r="CT96" s="745"/>
      <c r="CU96" s="745"/>
      <c r="CV96" s="745"/>
      <c r="CW96" s="740"/>
      <c r="CX96" s="745"/>
      <c r="CY96" s="740"/>
      <c r="CZ96" s="740"/>
      <c r="DA96" s="740"/>
      <c r="DB96" s="740"/>
      <c r="DC96" s="740"/>
      <c r="DD96" s="740"/>
      <c r="DE96" s="740"/>
      <c r="DF96" s="740"/>
      <c r="DG96" s="740"/>
      <c r="DH96" s="740"/>
      <c r="DI96" s="740"/>
      <c r="DJ96" s="740"/>
      <c r="DK96" s="740"/>
      <c r="DL96" s="740"/>
      <c r="DM96" s="740"/>
      <c r="DN96" s="740"/>
      <c r="DO96" s="740"/>
      <c r="DP96" s="740"/>
      <c r="DQ96" s="740"/>
      <c r="DR96" s="740"/>
      <c r="DS96" s="740"/>
      <c r="DT96" s="740" t="str">
        <f t="shared" ca="1" si="242"/>
        <v>Panamá-Inglaterra</v>
      </c>
      <c r="DU96" s="740"/>
      <c r="DV96" s="740"/>
      <c r="DW96" s="8"/>
    </row>
    <row r="97" spans="1:127" ht="17.100000000000001" customHeight="1" thickBot="1">
      <c r="A97" s="735"/>
      <c r="B97" s="735"/>
      <c r="C97" s="735"/>
      <c r="D97" s="740" t="str">
        <f t="shared" si="283"/>
        <v>Pendiente</v>
      </c>
      <c r="E97" s="740" t="str">
        <f t="shared" si="284"/>
        <v>-</v>
      </c>
      <c r="F97" s="740" t="str">
        <f t="shared" si="285"/>
        <v>-</v>
      </c>
      <c r="G97" s="740"/>
      <c r="H97" s="740" t="str">
        <f t="shared" si="286"/>
        <v>-</v>
      </c>
      <c r="I97" s="740" t="str">
        <f t="shared" si="287"/>
        <v>-</v>
      </c>
      <c r="J97" s="740"/>
      <c r="K97" s="740" t="str">
        <f t="shared" si="288"/>
        <v>-</v>
      </c>
      <c r="L97" s="740" t="str">
        <f t="shared" si="289"/>
        <v>-</v>
      </c>
      <c r="M97" s="740"/>
      <c r="N97" s="740" t="str">
        <f t="shared" si="290"/>
        <v>-</v>
      </c>
      <c r="O97" s="740" t="str">
        <f t="shared" si="291"/>
        <v>-</v>
      </c>
      <c r="P97" s="740"/>
      <c r="Q97" s="740" t="str">
        <f t="shared" si="292"/>
        <v>-</v>
      </c>
      <c r="R97" s="740" t="str">
        <f t="shared" si="293"/>
        <v>-</v>
      </c>
      <c r="S97" s="740"/>
      <c r="T97" s="740" t="str">
        <f t="shared" si="294"/>
        <v>-</v>
      </c>
      <c r="U97" s="740" t="str">
        <f t="shared" si="295"/>
        <v>-</v>
      </c>
      <c r="V97" s="172"/>
      <c r="W97" s="911"/>
      <c r="X97" s="228">
        <f ca="1">Horarios!C97</f>
        <v>46200.708333333336</v>
      </c>
      <c r="Y97" s="229">
        <f ca="1">Horarios!C97</f>
        <v>46200.708333333336</v>
      </c>
      <c r="Z97" s="230" t="str">
        <f>$Z$8</f>
        <v>J3</v>
      </c>
      <c r="AA97" s="231" t="str">
        <f ca="1">A94</f>
        <v>Croacia</v>
      </c>
      <c r="AB97" s="478" t="str" cm="1">
        <f t="array" aca="1" ref="AB97" ca="1">Ver_flag_local</f>
        <v/>
      </c>
      <c r="AC97" s="232"/>
      <c r="AD97" s="233"/>
      <c r="AE97" s="483" t="str" cm="1">
        <f t="array" aca="1" ref="AE97" ca="1">Ver_flag_visit</f>
        <v/>
      </c>
      <c r="AF97" s="234" t="str">
        <f ca="1">A95</f>
        <v>Ghana</v>
      </c>
      <c r="AG97" s="413">
        <f t="shared" si="296"/>
        <v>0</v>
      </c>
      <c r="AH97" s="196">
        <v>68</v>
      </c>
      <c r="AI97" s="19" t="str">
        <f t="shared" si="301"/>
        <v>4L</v>
      </c>
      <c r="AJ97" s="235">
        <v>4</v>
      </c>
      <c r="AK97" s="486"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0"/>
      <c r="BC97" s="740"/>
      <c r="BD97" s="740"/>
      <c r="BE97" s="740"/>
      <c r="BF97" s="740"/>
      <c r="BG97" s="740"/>
      <c r="BH97" s="740"/>
      <c r="BI97" s="740"/>
      <c r="BJ97" s="740"/>
      <c r="BK97" s="740"/>
      <c r="BL97" s="740"/>
      <c r="BM97" s="740"/>
      <c r="BN97" s="745"/>
      <c r="BO97" s="745"/>
      <c r="BP97" s="745"/>
      <c r="BQ97" s="745"/>
      <c r="BR97" s="740"/>
      <c r="BS97" s="740"/>
      <c r="BT97" s="745"/>
      <c r="BU97" s="745"/>
      <c r="BV97" s="745"/>
      <c r="BW97" s="745"/>
      <c r="BX97" s="745"/>
      <c r="BY97" s="745"/>
      <c r="BZ97" s="745"/>
      <c r="CA97" s="745"/>
      <c r="CB97" s="745"/>
      <c r="CC97" s="745"/>
      <c r="CD97" s="745"/>
      <c r="CE97" s="745"/>
      <c r="CF97" s="745"/>
      <c r="CG97" s="745"/>
      <c r="CH97" s="745"/>
      <c r="CI97" s="745"/>
      <c r="CJ97" s="745"/>
      <c r="CK97" s="745"/>
      <c r="CL97" s="745"/>
      <c r="CM97" s="745"/>
      <c r="CN97" s="745"/>
      <c r="CO97" s="745"/>
      <c r="CP97" s="745"/>
      <c r="CQ97" s="745"/>
      <c r="CR97" s="745"/>
      <c r="CS97" s="745"/>
      <c r="CT97" s="745"/>
      <c r="CU97" s="745"/>
      <c r="CV97" s="745"/>
      <c r="CW97" s="740"/>
      <c r="CX97" s="745"/>
      <c r="CY97" s="740"/>
      <c r="CZ97" s="740"/>
      <c r="DA97" s="740"/>
      <c r="DB97" s="740"/>
      <c r="DC97" s="740"/>
      <c r="DD97" s="740"/>
      <c r="DE97" s="740"/>
      <c r="DF97" s="740"/>
      <c r="DG97" s="740"/>
      <c r="DH97" s="740"/>
      <c r="DI97" s="740"/>
      <c r="DJ97" s="740"/>
      <c r="DK97" s="740"/>
      <c r="DL97" s="740"/>
      <c r="DM97" s="740"/>
      <c r="DN97" s="740"/>
      <c r="DO97" s="740"/>
      <c r="DP97" s="740"/>
      <c r="DQ97" s="740"/>
      <c r="DR97" s="740"/>
      <c r="DS97" s="740"/>
      <c r="DT97" s="740" t="str">
        <f t="shared" ca="1" si="242"/>
        <v>Croacia-Ghana</v>
      </c>
      <c r="DU97" s="740"/>
      <c r="DV97" s="740"/>
      <c r="DW97" s="8"/>
    </row>
    <row r="98" spans="1:127" ht="15.75" thickBot="1">
      <c r="A98" s="735"/>
      <c r="B98" s="735"/>
      <c r="C98" s="735"/>
      <c r="D98" s="740"/>
      <c r="E98" s="740"/>
      <c r="F98" s="740"/>
      <c r="G98" s="740"/>
      <c r="H98" s="740"/>
      <c r="I98" s="740"/>
      <c r="J98" s="740"/>
      <c r="K98" s="740"/>
      <c r="L98" s="740"/>
      <c r="M98" s="740"/>
      <c r="N98" s="740"/>
      <c r="O98" s="740"/>
      <c r="P98" s="740"/>
      <c r="Q98" s="740"/>
      <c r="R98" s="740"/>
      <c r="S98" s="740"/>
      <c r="T98" s="740"/>
      <c r="U98" s="740"/>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0"/>
      <c r="BC98" s="740"/>
      <c r="BD98" s="740"/>
      <c r="BE98" s="740"/>
      <c r="BF98" s="740"/>
      <c r="BG98" s="740"/>
      <c r="BH98" s="740"/>
      <c r="BI98" s="740"/>
      <c r="BJ98" s="740"/>
      <c r="BK98" s="740"/>
      <c r="BL98" s="740"/>
      <c r="BM98" s="740"/>
      <c r="BN98" s="740"/>
      <c r="BO98" s="740"/>
      <c r="BP98" s="740"/>
      <c r="BQ98" s="740"/>
      <c r="BR98" s="740"/>
      <c r="BS98" s="740"/>
      <c r="BT98" s="740"/>
      <c r="BU98" s="740"/>
      <c r="BV98" s="740"/>
      <c r="BW98" s="740"/>
      <c r="BX98" s="740"/>
      <c r="BY98" s="740"/>
      <c r="BZ98" s="740"/>
      <c r="CA98" s="740"/>
      <c r="CB98" s="740"/>
      <c r="CC98" s="740"/>
      <c r="CD98" s="740"/>
      <c r="CE98" s="740"/>
      <c r="CF98" s="740"/>
      <c r="CG98" s="740"/>
      <c r="CH98" s="740"/>
      <c r="CI98" s="740"/>
      <c r="CJ98" s="740"/>
      <c r="CK98" s="740"/>
      <c r="CL98" s="740"/>
      <c r="CM98" s="740"/>
      <c r="CN98" s="740"/>
      <c r="CO98" s="740"/>
      <c r="CP98" s="740"/>
      <c r="CQ98" s="740"/>
      <c r="CR98" s="740"/>
      <c r="CS98" s="740"/>
      <c r="CT98" s="740"/>
      <c r="CU98" s="740"/>
      <c r="CV98" s="740"/>
      <c r="CW98" s="740"/>
      <c r="CX98" s="740"/>
      <c r="CY98" s="740"/>
      <c r="CZ98" s="740"/>
      <c r="DA98" s="740"/>
      <c r="DB98" s="740"/>
      <c r="DC98" s="740"/>
      <c r="DD98" s="740"/>
      <c r="DE98" s="740"/>
      <c r="DF98" s="740"/>
      <c r="DG98" s="740"/>
      <c r="DH98" s="740"/>
      <c r="DI98" s="740"/>
      <c r="DJ98" s="740"/>
      <c r="DK98" s="740"/>
      <c r="DL98" s="740"/>
      <c r="DM98" s="740"/>
      <c r="DN98" s="740"/>
      <c r="DO98" s="740"/>
      <c r="DP98" s="740"/>
      <c r="DQ98" s="740"/>
      <c r="DR98" s="740"/>
      <c r="DS98" s="740"/>
      <c r="DT98" s="740" t="str">
        <f t="shared" si="242"/>
        <v>-</v>
      </c>
      <c r="DU98" s="740"/>
      <c r="DV98" s="740"/>
      <c r="DW98" s="8"/>
    </row>
    <row r="99" spans="1:127" ht="15.75" thickBot="1">
      <c r="A99" s="735"/>
      <c r="B99" s="735"/>
      <c r="C99" s="735"/>
      <c r="D99" s="740"/>
      <c r="E99" s="740"/>
      <c r="F99" s="740"/>
      <c r="G99" s="740"/>
      <c r="H99" s="740"/>
      <c r="I99" s="740"/>
      <c r="J99" s="740" t="s">
        <v>1294</v>
      </c>
      <c r="K99" s="740"/>
      <c r="L99" s="740"/>
      <c r="M99" s="740"/>
      <c r="N99" s="740"/>
      <c r="O99" s="740"/>
      <c r="P99" s="740"/>
      <c r="Q99" s="740"/>
      <c r="R99" s="740"/>
      <c r="S99" s="740"/>
      <c r="T99" s="740"/>
      <c r="U99" s="740"/>
      <c r="V99" s="172"/>
      <c r="W99" s="269" t="str">
        <f>Idiomas!D25</f>
        <v>Dieciseisavos de final</v>
      </c>
      <c r="X99" s="270"/>
      <c r="Y99" s="271"/>
      <c r="Z99" s="271"/>
      <c r="AA99" s="271"/>
      <c r="AB99" s="271"/>
      <c r="AC99" s="271"/>
      <c r="AD99" s="271"/>
      <c r="AE99" s="271"/>
      <c r="AF99" s="272"/>
      <c r="AG99" s="416"/>
      <c r="AH99" s="217"/>
      <c r="AI99" s="171"/>
      <c r="AJ99" s="495"/>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0"/>
      <c r="BC99" s="740"/>
      <c r="BD99" s="740"/>
      <c r="BE99" s="740"/>
      <c r="BF99" s="740"/>
      <c r="BG99" s="740"/>
      <c r="BH99" s="740"/>
      <c r="BI99" s="740"/>
      <c r="BJ99" s="740"/>
      <c r="BK99" s="740"/>
      <c r="BL99" s="740"/>
      <c r="BM99" s="740"/>
      <c r="BN99" s="740"/>
      <c r="BO99" s="740"/>
      <c r="BP99" s="740"/>
      <c r="BQ99" s="740"/>
      <c r="BR99" s="740"/>
      <c r="BS99" s="740"/>
      <c r="BT99" s="740"/>
      <c r="BU99" s="740"/>
      <c r="BV99" s="740"/>
      <c r="BW99" s="740"/>
      <c r="BX99" s="740"/>
      <c r="BY99" s="740"/>
      <c r="BZ99" s="740"/>
      <c r="CA99" s="740"/>
      <c r="CB99" s="740"/>
      <c r="CC99" s="740"/>
      <c r="CD99" s="740"/>
      <c r="CE99" s="740"/>
      <c r="CF99" s="740"/>
      <c r="CG99" s="740"/>
      <c r="CH99" s="740"/>
      <c r="CI99" s="740"/>
      <c r="CJ99" s="740"/>
      <c r="CK99" s="740"/>
      <c r="CL99" s="740"/>
      <c r="CM99" s="740"/>
      <c r="CN99" s="740"/>
      <c r="CO99" s="740"/>
      <c r="CP99" s="740"/>
      <c r="CQ99" s="740"/>
      <c r="CR99" s="740"/>
      <c r="CS99" s="740"/>
      <c r="CT99" s="740"/>
      <c r="CU99" s="740"/>
      <c r="CV99" s="740"/>
      <c r="CW99" s="740"/>
      <c r="CX99" s="740"/>
      <c r="CY99" s="740"/>
      <c r="CZ99" s="740"/>
      <c r="DA99" s="740"/>
      <c r="DB99" s="740"/>
      <c r="DC99" s="742"/>
      <c r="DD99" s="742"/>
      <c r="DE99" s="742"/>
      <c r="DF99" s="742"/>
      <c r="DG99" s="742"/>
      <c r="DH99" s="742"/>
      <c r="DI99" s="742"/>
      <c r="DJ99" s="742"/>
      <c r="DK99" s="742"/>
      <c r="DL99" s="742"/>
      <c r="DM99" s="742"/>
      <c r="DN99" s="742"/>
      <c r="DO99" s="742"/>
      <c r="DP99" s="742"/>
      <c r="DQ99" s="742"/>
      <c r="DR99" s="742"/>
      <c r="DS99" s="742"/>
      <c r="DT99" s="740" t="str">
        <f t="shared" si="242"/>
        <v>-</v>
      </c>
      <c r="DU99" s="742"/>
      <c r="DV99" s="742"/>
      <c r="DW99" s="492"/>
    </row>
    <row r="100" spans="1:127" ht="15.95" customHeight="1">
      <c r="A100" s="735" t="s">
        <v>1295</v>
      </c>
      <c r="B100" s="735"/>
      <c r="C100" s="735"/>
      <c r="D100" s="740"/>
      <c r="E100" s="740"/>
      <c r="F100" s="740"/>
      <c r="G100" s="740"/>
      <c r="H100" s="740"/>
      <c r="I100" s="740"/>
      <c r="J100" s="740" t="s">
        <v>1191</v>
      </c>
      <c r="K100" s="740" t="s">
        <v>720</v>
      </c>
      <c r="L100" s="740"/>
      <c r="M100" s="740" t="s">
        <v>1192</v>
      </c>
      <c r="N100" s="740" t="s">
        <v>1193</v>
      </c>
      <c r="O100" s="740"/>
      <c r="P100" s="740"/>
      <c r="Q100" s="740"/>
      <c r="R100" s="740"/>
      <c r="S100" s="740"/>
      <c r="T100" s="740"/>
      <c r="U100" s="740"/>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4"/>
      <c r="BC100" s="740"/>
      <c r="BD100" s="740"/>
      <c r="BE100" s="740"/>
      <c r="BF100" s="740"/>
      <c r="BG100" s="740"/>
      <c r="BH100" s="740"/>
      <c r="BI100" s="740"/>
      <c r="BJ100" s="740"/>
      <c r="BK100" s="740"/>
      <c r="BL100" s="740"/>
      <c r="BM100" s="734"/>
      <c r="BN100" s="734"/>
      <c r="BO100" s="734"/>
      <c r="BP100" s="734"/>
      <c r="BQ100" s="734"/>
      <c r="BR100" s="734"/>
      <c r="BS100" s="734"/>
      <c r="BT100" s="734"/>
      <c r="BU100" s="734"/>
      <c r="BV100" s="734"/>
      <c r="BW100" s="734"/>
      <c r="BX100" s="734"/>
      <c r="BY100" s="734"/>
      <c r="BZ100" s="734"/>
      <c r="CA100" s="734"/>
      <c r="CB100" s="734"/>
      <c r="CC100" s="734"/>
      <c r="CD100" s="734"/>
      <c r="CE100" s="734"/>
      <c r="CF100" s="734"/>
      <c r="CG100" s="734"/>
      <c r="CH100" s="734"/>
      <c r="CI100" s="734"/>
      <c r="CJ100" s="734"/>
      <c r="CK100" s="734"/>
      <c r="CL100" s="734"/>
      <c r="CM100" s="734"/>
      <c r="CN100" s="734"/>
      <c r="CO100" s="734"/>
      <c r="CP100" s="734"/>
      <c r="CQ100" s="734"/>
      <c r="CR100" s="734"/>
      <c r="CS100" s="734"/>
      <c r="CT100" s="734"/>
      <c r="CU100" s="734"/>
      <c r="CV100" s="734"/>
      <c r="CW100" s="734"/>
      <c r="CX100" s="734"/>
      <c r="CY100" s="734"/>
      <c r="CZ100" s="734"/>
      <c r="DA100" s="734"/>
      <c r="DB100" s="734"/>
      <c r="DC100" s="734"/>
      <c r="DD100" s="734"/>
      <c r="DE100" s="734"/>
      <c r="DF100" s="734"/>
      <c r="DG100" s="734"/>
      <c r="DH100" s="734"/>
      <c r="DI100" s="734"/>
      <c r="DJ100" s="734"/>
      <c r="DK100" s="734"/>
      <c r="DL100" s="734"/>
      <c r="DM100" s="734"/>
      <c r="DN100" s="734"/>
      <c r="DO100" s="734"/>
      <c r="DP100" s="734"/>
      <c r="DQ100" s="734"/>
      <c r="DR100" s="734"/>
      <c r="DS100" s="734"/>
      <c r="DT100" s="740" t="str">
        <f t="shared" si="242"/>
        <v>Casa-Fuera</v>
      </c>
      <c r="DU100" s="734"/>
      <c r="DV100" s="734"/>
      <c r="DW100" s="11"/>
    </row>
    <row r="101" spans="1:127" ht="15.95" customHeight="1" thickBot="1">
      <c r="A101" s="734" t="s">
        <v>646</v>
      </c>
      <c r="B101" s="734" t="s">
        <v>649</v>
      </c>
      <c r="C101" s="735"/>
      <c r="D101" s="743" t="str">
        <f t="shared" ref="D101:D116" si="302">IF(AND(OR(AC101="",AD101="")),"W"&amp;AH101,IF(AC101&gt;AD101,AA101,IF(AC101&lt;AD101,AF101,IF(AND(AC101=AD101,AB101=AE101),"W"&amp;AH101,IF(AND(AC101=AD101,OR(AB101="",AE101="")),"W"&amp;AH101,IF(AND(AC101=AD101,AB101&gt;AE101),AA101,AF101))))))</f>
        <v>W73</v>
      </c>
      <c r="E101" s="735" t="s">
        <v>0</v>
      </c>
      <c r="F101" s="735" t="s">
        <v>1</v>
      </c>
      <c r="G101" s="744" t="s">
        <v>0</v>
      </c>
      <c r="H101" s="745">
        <f t="shared" ref="H101:H112" ca="1" si="303">+SUMIF($BC$6:$BC$53,G101,$BF$6:$BF$53)</f>
        <v>0</v>
      </c>
      <c r="I101" s="740"/>
      <c r="J101" s="734">
        <v>73</v>
      </c>
      <c r="K101" s="734">
        <v>46201.75</v>
      </c>
      <c r="L101" s="734" t="s">
        <v>685</v>
      </c>
      <c r="M101" s="734" t="str">
        <f t="shared" ref="M101:M116" ca="1" si="304">+IF(OR(INDEX($H$101:$H$113,MATCH(E101,$G$101:$G$113,0))=12,$AJ$99=144),INDEX($AL$6:$AL$97,MATCH(A101,$AI$6:$AI$97,0)),A101)</f>
        <v>2A</v>
      </c>
      <c r="N101" s="734"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4"/>
      <c r="P101" s="734"/>
      <c r="Q101" s="734"/>
      <c r="R101" s="734"/>
      <c r="S101" s="734"/>
      <c r="T101" s="734"/>
      <c r="U101" s="734"/>
      <c r="V101" s="172"/>
      <c r="W101" s="9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0"/>
      <c r="BC101" s="740"/>
      <c r="BD101" s="740"/>
      <c r="BE101" s="740"/>
      <c r="BF101" s="740"/>
      <c r="BG101" s="740"/>
      <c r="BH101" s="740"/>
      <c r="BI101" s="740"/>
      <c r="BJ101" s="740"/>
      <c r="BK101" s="740"/>
      <c r="BL101" s="740"/>
      <c r="BM101" s="740"/>
      <c r="BN101" s="740"/>
      <c r="BO101" s="740"/>
      <c r="BP101" s="740"/>
      <c r="BQ101" s="740"/>
      <c r="BR101" s="740"/>
      <c r="BS101" s="740"/>
      <c r="BT101" s="740"/>
      <c r="BU101" s="740"/>
      <c r="BV101" s="740"/>
      <c r="BW101" s="740"/>
      <c r="BX101" s="740"/>
      <c r="BY101" s="740"/>
      <c r="BZ101" s="740"/>
      <c r="CA101" s="740"/>
      <c r="CB101" s="740"/>
      <c r="CC101" s="740"/>
      <c r="CD101" s="740"/>
      <c r="CE101" s="740"/>
      <c r="CF101" s="740"/>
      <c r="CG101" s="740"/>
      <c r="CH101" s="740"/>
      <c r="CI101" s="740"/>
      <c r="CJ101" s="740"/>
      <c r="CK101" s="740"/>
      <c r="CL101" s="740"/>
      <c r="CM101" s="740"/>
      <c r="CN101" s="740"/>
      <c r="CO101" s="740"/>
      <c r="CP101" s="740"/>
      <c r="CQ101" s="740"/>
      <c r="CR101" s="740"/>
      <c r="CS101" s="740"/>
      <c r="CT101" s="740"/>
      <c r="CU101" s="740"/>
      <c r="CV101" s="740"/>
      <c r="CW101" s="740"/>
      <c r="CX101" s="740"/>
      <c r="CY101" s="740"/>
      <c r="CZ101" s="740"/>
      <c r="DA101" s="740"/>
      <c r="DB101" s="740"/>
      <c r="DC101" s="740"/>
      <c r="DD101" s="740"/>
      <c r="DE101" s="740"/>
      <c r="DF101" s="740"/>
      <c r="DG101" s="740"/>
      <c r="DH101" s="740"/>
      <c r="DI101" s="740"/>
      <c r="DJ101" s="740"/>
      <c r="DK101" s="740"/>
      <c r="DL101" s="740"/>
      <c r="DM101" s="740"/>
      <c r="DN101" s="740"/>
      <c r="DO101" s="740"/>
      <c r="DP101" s="740"/>
      <c r="DQ101" s="740"/>
      <c r="DR101" s="740"/>
      <c r="DS101" s="740"/>
      <c r="DT101" s="740" t="str">
        <f t="shared" ca="1" si="242"/>
        <v>2A-2B</v>
      </c>
      <c r="DU101" s="740"/>
      <c r="DV101" s="740"/>
      <c r="DW101" s="8"/>
    </row>
    <row r="102" spans="1:127" ht="15.95" customHeight="1">
      <c r="A102" s="734" t="s">
        <v>661</v>
      </c>
      <c r="B102" s="734" t="s">
        <v>722</v>
      </c>
      <c r="C102" s="735"/>
      <c r="D102" s="743" t="str">
        <f t="shared" si="302"/>
        <v>W76</v>
      </c>
      <c r="E102" s="735" t="s">
        <v>3</v>
      </c>
      <c r="F102" s="735" t="s">
        <v>721</v>
      </c>
      <c r="G102" s="744" t="s">
        <v>1</v>
      </c>
      <c r="H102" s="745">
        <f t="shared" ca="1" si="303"/>
        <v>0</v>
      </c>
      <c r="I102" s="740"/>
      <c r="J102" s="734">
        <v>74</v>
      </c>
      <c r="K102" s="734">
        <v>46202.75</v>
      </c>
      <c r="L102" s="734" t="s">
        <v>686</v>
      </c>
      <c r="M102" s="734" t="str">
        <f t="shared" ca="1" si="304"/>
        <v>1E</v>
      </c>
      <c r="N102" s="734"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4"/>
      <c r="P102" s="734"/>
      <c r="Q102" s="734"/>
      <c r="R102" s="734"/>
      <c r="S102" s="734"/>
      <c r="T102" s="734"/>
      <c r="U102" s="734"/>
      <c r="V102" s="172"/>
      <c r="W102" s="9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4"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4"/>
      <c r="BC102" s="740"/>
      <c r="BD102" s="734"/>
      <c r="BE102" s="756" t="s">
        <v>444</v>
      </c>
      <c r="BF102" s="734" t="s">
        <v>719</v>
      </c>
      <c r="BG102" s="734" t="s">
        <v>764</v>
      </c>
      <c r="BH102" s="734"/>
      <c r="BI102" s="734" t="s">
        <v>85</v>
      </c>
      <c r="BJ102" s="734"/>
      <c r="BK102" s="740"/>
      <c r="BL102" s="740"/>
      <c r="BM102" s="734"/>
      <c r="BN102" s="734"/>
      <c r="BO102" s="734"/>
      <c r="BP102" s="734"/>
      <c r="BQ102" s="734"/>
      <c r="BR102" s="734"/>
      <c r="BS102" s="734"/>
      <c r="BT102" s="734"/>
      <c r="BU102" s="734"/>
      <c r="BV102" s="734"/>
      <c r="BW102" s="734"/>
      <c r="BX102" s="734"/>
      <c r="BY102" s="734"/>
      <c r="BZ102" s="734"/>
      <c r="CA102" s="734"/>
      <c r="CB102" s="734"/>
      <c r="CC102" s="734"/>
      <c r="CD102" s="734"/>
      <c r="CE102" s="734"/>
      <c r="CF102" s="734"/>
      <c r="CG102" s="734"/>
      <c r="CH102" s="734"/>
      <c r="CI102" s="734"/>
      <c r="CJ102" s="734"/>
      <c r="CK102" s="734"/>
      <c r="CL102" s="734"/>
      <c r="CM102" s="734"/>
      <c r="CN102" s="734"/>
      <c r="CO102" s="734"/>
      <c r="CP102" s="734"/>
      <c r="CQ102" s="734"/>
      <c r="CR102" s="734"/>
      <c r="CS102" s="734"/>
      <c r="CT102" s="734"/>
      <c r="CU102" s="734"/>
      <c r="CV102" s="734"/>
      <c r="CW102" s="734"/>
      <c r="CX102" s="734"/>
      <c r="CY102" s="734"/>
      <c r="CZ102" s="734"/>
      <c r="DA102" s="734"/>
      <c r="DB102" s="734"/>
      <c r="DC102" s="734"/>
      <c r="DD102" s="734"/>
      <c r="DE102" s="734"/>
      <c r="DF102" s="734"/>
      <c r="DG102" s="734"/>
      <c r="DH102" s="734"/>
      <c r="DI102" s="734"/>
      <c r="DJ102" s="734"/>
      <c r="DK102" s="734"/>
      <c r="DL102" s="734"/>
      <c r="DM102" s="734"/>
      <c r="DN102" s="734"/>
      <c r="DO102" s="734"/>
      <c r="DP102" s="734"/>
      <c r="DQ102" s="734"/>
      <c r="DR102" s="734"/>
      <c r="DS102" s="734"/>
      <c r="DT102" s="740" t="str">
        <f t="shared" ca="1" si="242"/>
        <v>1C-2F</v>
      </c>
      <c r="DU102" s="734"/>
      <c r="DV102" s="734"/>
      <c r="DW102" s="11"/>
    </row>
    <row r="103" spans="1:127" ht="15.95" customHeight="1">
      <c r="A103" s="734" t="s">
        <v>664</v>
      </c>
      <c r="B103" s="734" t="s">
        <v>656</v>
      </c>
      <c r="C103" s="735"/>
      <c r="D103" s="743" t="str">
        <f t="shared" si="302"/>
        <v>W74</v>
      </c>
      <c r="E103" s="735" t="s">
        <v>4</v>
      </c>
      <c r="F103" s="735" t="s">
        <v>2</v>
      </c>
      <c r="G103" s="744" t="s">
        <v>2</v>
      </c>
      <c r="H103" s="745">
        <f t="shared" ca="1" si="303"/>
        <v>0</v>
      </c>
      <c r="I103" s="740"/>
      <c r="J103" s="734">
        <v>75</v>
      </c>
      <c r="K103" s="734">
        <v>46202.75</v>
      </c>
      <c r="L103" s="734" t="s">
        <v>687</v>
      </c>
      <c r="M103" s="734" t="str">
        <f t="shared" ca="1" si="304"/>
        <v>1F</v>
      </c>
      <c r="N103" s="734"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4"/>
      <c r="P103" s="734"/>
      <c r="Q103" s="734"/>
      <c r="R103" s="734"/>
      <c r="S103" s="734"/>
      <c r="T103" s="734"/>
      <c r="U103" s="734"/>
      <c r="V103" s="172"/>
      <c r="W103" s="9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5"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4"/>
      <c r="BC103" s="740"/>
      <c r="BD103" s="734"/>
      <c r="BE103" s="734"/>
      <c r="BF103" s="734" t="str">
        <f t="shared" ref="BF103:BF110" ca="1" si="316">IFERROR(INDEX($BC$6:$BC$53,MATCH(AL102,$BD$6:$BD$53,0)),"")</f>
        <v/>
      </c>
      <c r="BG103" s="734">
        <f t="shared" ref="BG103:BG110" ca="1" si="317">COUNTIF($BF$103:$BF$110,"&lt;="&amp;BF103)</f>
        <v>0</v>
      </c>
      <c r="BH103" s="734"/>
      <c r="BI103" s="740">
        <v>1</v>
      </c>
      <c r="BJ103" s="734" t="str">
        <f t="shared" ref="BJ103:BJ110" ca="1" si="318">IFERROR(INDEX($BF$103:$BF$110,MATCH(BI103,$BG$103:$BG$110,0)),"Grupo")</f>
        <v>Grupo</v>
      </c>
      <c r="BK103" s="740"/>
      <c r="BL103" s="740"/>
      <c r="BM103" s="734"/>
      <c r="BN103" s="734"/>
      <c r="BO103" s="734"/>
      <c r="BP103" s="734"/>
      <c r="BQ103" s="734"/>
      <c r="BR103" s="734"/>
      <c r="BS103" s="734"/>
      <c r="BT103" s="734"/>
      <c r="BU103" s="734"/>
      <c r="BV103" s="734"/>
      <c r="BW103" s="734"/>
      <c r="BX103" s="734"/>
      <c r="BY103" s="734"/>
      <c r="BZ103" s="734"/>
      <c r="CA103" s="734"/>
      <c r="CB103" s="734"/>
      <c r="CC103" s="734"/>
      <c r="CD103" s="734"/>
      <c r="CE103" s="734"/>
      <c r="CF103" s="734"/>
      <c r="CG103" s="734"/>
      <c r="CH103" s="734"/>
      <c r="CI103" s="734"/>
      <c r="CJ103" s="734"/>
      <c r="CK103" s="734"/>
      <c r="CL103" s="734"/>
      <c r="CM103" s="734"/>
      <c r="CN103" s="734"/>
      <c r="CO103" s="734"/>
      <c r="CP103" s="734"/>
      <c r="CQ103" s="734"/>
      <c r="CR103" s="734"/>
      <c r="CS103" s="734"/>
      <c r="CT103" s="734"/>
      <c r="CU103" s="734"/>
      <c r="CV103" s="734"/>
      <c r="CW103" s="734"/>
      <c r="CX103" s="734"/>
      <c r="CY103" s="734"/>
      <c r="CZ103" s="734"/>
      <c r="DA103" s="734"/>
      <c r="DB103" s="734"/>
      <c r="DC103" s="734"/>
      <c r="DD103" s="734"/>
      <c r="DE103" s="734"/>
      <c r="DF103" s="734"/>
      <c r="DG103" s="734"/>
      <c r="DH103" s="734"/>
      <c r="DI103" s="734"/>
      <c r="DJ103" s="734"/>
      <c r="DK103" s="734"/>
      <c r="DL103" s="734"/>
      <c r="DM103" s="734"/>
      <c r="DN103" s="734"/>
      <c r="DO103" s="734"/>
      <c r="DP103" s="734"/>
      <c r="DQ103" s="734"/>
      <c r="DR103" s="734"/>
      <c r="DS103" s="734"/>
      <c r="DT103" s="740" t="str">
        <f t="shared" ca="1" si="242"/>
        <v>1E-3ABCDF</v>
      </c>
      <c r="DU103" s="734"/>
      <c r="DV103" s="734"/>
      <c r="DW103" s="11"/>
    </row>
    <row r="104" spans="1:127" ht="15.95" customHeight="1">
      <c r="A104" s="734" t="s">
        <v>651</v>
      </c>
      <c r="B104" s="734" t="s">
        <v>665</v>
      </c>
      <c r="C104" s="735"/>
      <c r="D104" s="743" t="str">
        <f t="shared" si="302"/>
        <v>W75</v>
      </c>
      <c r="E104" s="735" t="s">
        <v>2</v>
      </c>
      <c r="F104" s="735" t="s">
        <v>4</v>
      </c>
      <c r="G104" s="744" t="s">
        <v>73</v>
      </c>
      <c r="H104" s="745">
        <f t="shared" ca="1" si="303"/>
        <v>0</v>
      </c>
      <c r="I104" s="740"/>
      <c r="J104" s="734">
        <v>76</v>
      </c>
      <c r="K104" s="734">
        <v>46202.75</v>
      </c>
      <c r="L104" s="734" t="s">
        <v>688</v>
      </c>
      <c r="M104" s="734" t="str">
        <f t="shared" ca="1" si="304"/>
        <v>1C</v>
      </c>
      <c r="N104" s="734"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4"/>
      <c r="P104" s="734"/>
      <c r="Q104" s="734"/>
      <c r="R104" s="734"/>
      <c r="S104" s="734"/>
      <c r="T104" s="734"/>
      <c r="U104" s="734"/>
      <c r="V104" s="172"/>
      <c r="W104" s="9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5"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4"/>
      <c r="BC104" s="740"/>
      <c r="BD104" s="734"/>
      <c r="BE104" s="734"/>
      <c r="BF104" s="734" t="str">
        <f t="shared" ca="1" si="316"/>
        <v/>
      </c>
      <c r="BG104" s="734">
        <f t="shared" ca="1" si="317"/>
        <v>0</v>
      </c>
      <c r="BH104" s="734"/>
      <c r="BI104" s="740">
        <v>2</v>
      </c>
      <c r="BJ104" s="734" t="str">
        <f t="shared" ca="1" si="318"/>
        <v>Grupo</v>
      </c>
      <c r="BK104" s="740"/>
      <c r="BL104" s="740"/>
      <c r="BM104" s="734"/>
      <c r="BN104" s="734"/>
      <c r="BO104" s="734"/>
      <c r="BP104" s="734"/>
      <c r="BQ104" s="734"/>
      <c r="BR104" s="734"/>
      <c r="BS104" s="734"/>
      <c r="BT104" s="734"/>
      <c r="BU104" s="734"/>
      <c r="BV104" s="734"/>
      <c r="BW104" s="734"/>
      <c r="BX104" s="734"/>
      <c r="BY104" s="734"/>
      <c r="BZ104" s="734"/>
      <c r="CA104" s="734"/>
      <c r="CB104" s="734"/>
      <c r="CC104" s="734"/>
      <c r="CD104" s="734"/>
      <c r="CE104" s="734"/>
      <c r="CF104" s="734"/>
      <c r="CG104" s="734"/>
      <c r="CH104" s="734"/>
      <c r="CI104" s="734"/>
      <c r="CJ104" s="734"/>
      <c r="CK104" s="734"/>
      <c r="CL104" s="734"/>
      <c r="CM104" s="734"/>
      <c r="CN104" s="734"/>
      <c r="CO104" s="734"/>
      <c r="CP104" s="734"/>
      <c r="CQ104" s="734"/>
      <c r="CR104" s="734"/>
      <c r="CS104" s="734"/>
      <c r="CT104" s="734"/>
      <c r="CU104" s="734"/>
      <c r="CV104" s="734"/>
      <c r="CW104" s="734"/>
      <c r="CX104" s="734"/>
      <c r="CY104" s="734"/>
      <c r="CZ104" s="734"/>
      <c r="DA104" s="734"/>
      <c r="DB104" s="734"/>
      <c r="DC104" s="734"/>
      <c r="DD104" s="734"/>
      <c r="DE104" s="734"/>
      <c r="DF104" s="734"/>
      <c r="DG104" s="734"/>
      <c r="DH104" s="734"/>
      <c r="DI104" s="734"/>
      <c r="DJ104" s="734"/>
      <c r="DK104" s="734"/>
      <c r="DL104" s="734"/>
      <c r="DM104" s="734"/>
      <c r="DN104" s="734"/>
      <c r="DO104" s="734"/>
      <c r="DP104" s="734"/>
      <c r="DQ104" s="734"/>
      <c r="DR104" s="734"/>
      <c r="DS104" s="734"/>
      <c r="DT104" s="740" t="str">
        <f t="shared" ca="1" si="242"/>
        <v>1F-2C</v>
      </c>
      <c r="DU104" s="734"/>
      <c r="DV104" s="734"/>
      <c r="DW104" s="11"/>
    </row>
    <row r="105" spans="1:127" ht="15.95" customHeight="1">
      <c r="A105" s="734" t="s">
        <v>673</v>
      </c>
      <c r="B105" s="734" t="s">
        <v>723</v>
      </c>
      <c r="C105" s="735"/>
      <c r="D105" s="743" t="str">
        <f t="shared" si="302"/>
        <v>W78</v>
      </c>
      <c r="E105" s="735" t="s">
        <v>438</v>
      </c>
      <c r="F105" s="735" t="s">
        <v>721</v>
      </c>
      <c r="G105" s="744" t="s">
        <v>3</v>
      </c>
      <c r="H105" s="745">
        <f t="shared" ca="1" si="303"/>
        <v>0</v>
      </c>
      <c r="I105" s="740"/>
      <c r="J105" s="734">
        <v>77</v>
      </c>
      <c r="K105" s="734">
        <v>46203.75</v>
      </c>
      <c r="L105" s="734" t="s">
        <v>689</v>
      </c>
      <c r="M105" s="734" t="str">
        <f t="shared" ca="1" si="304"/>
        <v>1I</v>
      </c>
      <c r="N105" s="734"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4"/>
      <c r="P105" s="734"/>
      <c r="Q105" s="734"/>
      <c r="R105" s="734"/>
      <c r="S105" s="734"/>
      <c r="T105" s="734"/>
      <c r="U105" s="734"/>
      <c r="V105" s="172"/>
      <c r="W105" s="9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5"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4"/>
      <c r="BC105" s="740"/>
      <c r="BD105" s="734"/>
      <c r="BE105" s="734"/>
      <c r="BF105" s="734" t="str">
        <f t="shared" ca="1" si="316"/>
        <v/>
      </c>
      <c r="BG105" s="734">
        <f t="shared" ca="1" si="317"/>
        <v>0</v>
      </c>
      <c r="BH105" s="734"/>
      <c r="BI105" s="740">
        <v>3</v>
      </c>
      <c r="BJ105" s="734" t="str">
        <f t="shared" ca="1" si="318"/>
        <v>Grupo</v>
      </c>
      <c r="BK105" s="740"/>
      <c r="BL105" s="740"/>
      <c r="BM105" s="734"/>
      <c r="BN105" s="734"/>
      <c r="BO105" s="734"/>
      <c r="BP105" s="734"/>
      <c r="BQ105" s="734"/>
      <c r="BR105" s="734"/>
      <c r="BS105" s="734"/>
      <c r="BT105" s="734"/>
      <c r="BU105" s="734"/>
      <c r="BV105" s="734"/>
      <c r="BW105" s="734"/>
      <c r="BX105" s="734"/>
      <c r="BY105" s="734"/>
      <c r="BZ105" s="734"/>
      <c r="CA105" s="734"/>
      <c r="CB105" s="734"/>
      <c r="CC105" s="734"/>
      <c r="CD105" s="734"/>
      <c r="CE105" s="734"/>
      <c r="CF105" s="734"/>
      <c r="CG105" s="734"/>
      <c r="CH105" s="734"/>
      <c r="CI105" s="734"/>
      <c r="CJ105" s="734"/>
      <c r="CK105" s="734"/>
      <c r="CL105" s="734"/>
      <c r="CM105" s="734"/>
      <c r="CN105" s="734"/>
      <c r="CO105" s="734"/>
      <c r="CP105" s="734"/>
      <c r="CQ105" s="734"/>
      <c r="CR105" s="734"/>
      <c r="CS105" s="734"/>
      <c r="CT105" s="734"/>
      <c r="CU105" s="734"/>
      <c r="CV105" s="734"/>
      <c r="CW105" s="734"/>
      <c r="CX105" s="734"/>
      <c r="CY105" s="734"/>
      <c r="CZ105" s="734"/>
      <c r="DA105" s="734"/>
      <c r="DB105" s="734"/>
      <c r="DC105" s="734"/>
      <c r="DD105" s="734"/>
      <c r="DE105" s="734"/>
      <c r="DF105" s="734"/>
      <c r="DG105" s="734"/>
      <c r="DH105" s="734"/>
      <c r="DI105" s="734"/>
      <c r="DJ105" s="734"/>
      <c r="DK105" s="734"/>
      <c r="DL105" s="734"/>
      <c r="DM105" s="734"/>
      <c r="DN105" s="734"/>
      <c r="DO105" s="734"/>
      <c r="DP105" s="734"/>
      <c r="DQ105" s="734"/>
      <c r="DR105" s="734"/>
      <c r="DS105" s="734"/>
      <c r="DT105" s="740" t="str">
        <f t="shared" ca="1" si="242"/>
        <v>2E-2I</v>
      </c>
      <c r="DU105" s="734"/>
      <c r="DV105" s="734"/>
      <c r="DW105" s="11"/>
    </row>
    <row r="106" spans="1:127" ht="15.95" customHeight="1">
      <c r="A106" s="734" t="s">
        <v>662</v>
      </c>
      <c r="B106" s="734" t="s">
        <v>674</v>
      </c>
      <c r="C106" s="735"/>
      <c r="D106" s="743" t="str">
        <f t="shared" si="302"/>
        <v>W77</v>
      </c>
      <c r="E106" s="735" t="s">
        <v>3</v>
      </c>
      <c r="F106" s="735" t="s">
        <v>438</v>
      </c>
      <c r="G106" s="744" t="s">
        <v>4</v>
      </c>
      <c r="H106" s="745">
        <f t="shared" ca="1" si="303"/>
        <v>0</v>
      </c>
      <c r="I106" s="740"/>
      <c r="J106" s="734">
        <v>78</v>
      </c>
      <c r="K106" s="734">
        <v>46203.75</v>
      </c>
      <c r="L106" s="734" t="s">
        <v>690</v>
      </c>
      <c r="M106" s="734" t="str">
        <f t="shared" ca="1" si="304"/>
        <v>2E</v>
      </c>
      <c r="N106" s="734"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4"/>
      <c r="P106" s="734"/>
      <c r="Q106" s="734"/>
      <c r="R106" s="734"/>
      <c r="S106" s="734"/>
      <c r="T106" s="734"/>
      <c r="U106" s="734"/>
      <c r="V106" s="172"/>
      <c r="W106" s="9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5"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4"/>
      <c r="BC106" s="740"/>
      <c r="BD106" s="734"/>
      <c r="BE106" s="734"/>
      <c r="BF106" s="734" t="str">
        <f t="shared" ca="1" si="316"/>
        <v/>
      </c>
      <c r="BG106" s="734">
        <f t="shared" ca="1" si="317"/>
        <v>0</v>
      </c>
      <c r="BH106" s="734"/>
      <c r="BI106" s="740">
        <v>4</v>
      </c>
      <c r="BJ106" s="734" t="str">
        <f t="shared" ca="1" si="318"/>
        <v>Grupo</v>
      </c>
      <c r="BK106" s="740"/>
      <c r="BL106" s="740"/>
      <c r="BM106" s="734"/>
      <c r="BN106" s="734"/>
      <c r="BO106" s="734"/>
      <c r="BP106" s="734"/>
      <c r="BQ106" s="734"/>
      <c r="BR106" s="734"/>
      <c r="BS106" s="734"/>
      <c r="BT106" s="734"/>
      <c r="BU106" s="734"/>
      <c r="BV106" s="734"/>
      <c r="BW106" s="734"/>
      <c r="BX106" s="734"/>
      <c r="BY106" s="734"/>
      <c r="BZ106" s="734"/>
      <c r="CA106" s="734"/>
      <c r="CB106" s="734"/>
      <c r="CC106" s="734"/>
      <c r="CD106" s="734"/>
      <c r="CE106" s="734"/>
      <c r="CF106" s="734"/>
      <c r="CG106" s="734"/>
      <c r="CH106" s="734"/>
      <c r="CI106" s="734"/>
      <c r="CJ106" s="734"/>
      <c r="CK106" s="734"/>
      <c r="CL106" s="734"/>
      <c r="CM106" s="734"/>
      <c r="CN106" s="734"/>
      <c r="CO106" s="734"/>
      <c r="CP106" s="734"/>
      <c r="CQ106" s="734"/>
      <c r="CR106" s="734"/>
      <c r="CS106" s="734"/>
      <c r="CT106" s="734"/>
      <c r="CU106" s="734"/>
      <c r="CV106" s="734"/>
      <c r="CW106" s="734"/>
      <c r="CX106" s="734"/>
      <c r="CY106" s="734"/>
      <c r="CZ106" s="734"/>
      <c r="DA106" s="734"/>
      <c r="DB106" s="734"/>
      <c r="DC106" s="734"/>
      <c r="DD106" s="734"/>
      <c r="DE106" s="734"/>
      <c r="DF106" s="734"/>
      <c r="DG106" s="734"/>
      <c r="DH106" s="734"/>
      <c r="DI106" s="734"/>
      <c r="DJ106" s="734"/>
      <c r="DK106" s="734"/>
      <c r="DL106" s="734"/>
      <c r="DM106" s="734"/>
      <c r="DN106" s="734"/>
      <c r="DO106" s="734"/>
      <c r="DP106" s="734"/>
      <c r="DQ106" s="734"/>
      <c r="DR106" s="734"/>
      <c r="DS106" s="734"/>
      <c r="DT106" s="740" t="str">
        <f t="shared" ca="1" si="242"/>
        <v>1I-3CDFGH</v>
      </c>
      <c r="DU106" s="734"/>
      <c r="DV106" s="734"/>
      <c r="DW106" s="11"/>
    </row>
    <row r="107" spans="1:127" ht="15.95" customHeight="1">
      <c r="A107" s="734" t="s">
        <v>645</v>
      </c>
      <c r="B107" s="734" t="s">
        <v>724</v>
      </c>
      <c r="C107" s="735"/>
      <c r="D107" s="743" t="str">
        <f t="shared" si="302"/>
        <v>W79</v>
      </c>
      <c r="E107" s="735" t="s">
        <v>0</v>
      </c>
      <c r="F107" s="735" t="s">
        <v>721</v>
      </c>
      <c r="G107" s="744" t="s">
        <v>6</v>
      </c>
      <c r="H107" s="745">
        <f t="shared" ca="1" si="303"/>
        <v>0</v>
      </c>
      <c r="I107" s="740"/>
      <c r="J107" s="734">
        <v>79</v>
      </c>
      <c r="K107" s="734">
        <v>46203.75</v>
      </c>
      <c r="L107" s="734" t="s">
        <v>691</v>
      </c>
      <c r="M107" s="734" t="str">
        <f t="shared" ca="1" si="304"/>
        <v>1A</v>
      </c>
      <c r="N107" s="734"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4"/>
      <c r="P107" s="734"/>
      <c r="Q107" s="734"/>
      <c r="R107" s="734"/>
      <c r="S107" s="734"/>
      <c r="T107" s="734"/>
      <c r="U107" s="734"/>
      <c r="V107" s="172"/>
      <c r="W107" s="9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5"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4"/>
      <c r="BC107" s="740"/>
      <c r="BD107" s="734"/>
      <c r="BE107" s="740"/>
      <c r="BF107" s="734" t="str">
        <f t="shared" ca="1" si="316"/>
        <v/>
      </c>
      <c r="BG107" s="734">
        <f t="shared" ca="1" si="317"/>
        <v>0</v>
      </c>
      <c r="BH107" s="734"/>
      <c r="BI107" s="734">
        <v>5</v>
      </c>
      <c r="BJ107" s="734" t="str">
        <f t="shared" ca="1" si="318"/>
        <v>Grupo</v>
      </c>
      <c r="BK107" s="740"/>
      <c r="BL107" s="740"/>
      <c r="BM107" s="734"/>
      <c r="BN107" s="734"/>
      <c r="BO107" s="734"/>
      <c r="BP107" s="734"/>
      <c r="BQ107" s="734"/>
      <c r="BR107" s="734"/>
      <c r="BS107" s="734"/>
      <c r="BT107" s="734"/>
      <c r="BU107" s="734"/>
      <c r="BV107" s="734"/>
      <c r="BW107" s="734"/>
      <c r="BX107" s="734"/>
      <c r="BY107" s="734"/>
      <c r="BZ107" s="734"/>
      <c r="CA107" s="734"/>
      <c r="CB107" s="734"/>
      <c r="CC107" s="734"/>
      <c r="CD107" s="734"/>
      <c r="CE107" s="734"/>
      <c r="CF107" s="734"/>
      <c r="CG107" s="734"/>
      <c r="CH107" s="734"/>
      <c r="CI107" s="734"/>
      <c r="CJ107" s="734"/>
      <c r="CK107" s="734"/>
      <c r="CL107" s="734"/>
      <c r="CM107" s="734"/>
      <c r="CN107" s="734"/>
      <c r="CO107" s="734"/>
      <c r="CP107" s="734"/>
      <c r="CQ107" s="734"/>
      <c r="CR107" s="734"/>
      <c r="CS107" s="734"/>
      <c r="CT107" s="734"/>
      <c r="CU107" s="734"/>
      <c r="CV107" s="734"/>
      <c r="CW107" s="734"/>
      <c r="CX107" s="734"/>
      <c r="CY107" s="734"/>
      <c r="CZ107" s="734"/>
      <c r="DA107" s="734"/>
      <c r="DB107" s="734"/>
      <c r="DC107" s="734"/>
      <c r="DD107" s="734"/>
      <c r="DE107" s="734"/>
      <c r="DF107" s="734"/>
      <c r="DG107" s="734"/>
      <c r="DH107" s="734"/>
      <c r="DI107" s="734"/>
      <c r="DJ107" s="734"/>
      <c r="DK107" s="734"/>
      <c r="DL107" s="734"/>
      <c r="DM107" s="734"/>
      <c r="DN107" s="734"/>
      <c r="DO107" s="734"/>
      <c r="DP107" s="734"/>
      <c r="DQ107" s="734"/>
      <c r="DR107" s="734"/>
      <c r="DS107" s="734"/>
      <c r="DT107" s="740" t="str">
        <f t="shared" ca="1" si="242"/>
        <v>1A-3CEFHI</v>
      </c>
      <c r="DU107" s="734"/>
      <c r="DV107" s="734"/>
      <c r="DW107" s="11"/>
    </row>
    <row r="108" spans="1:127" ht="15.95" customHeight="1">
      <c r="A108" s="734" t="s">
        <v>682</v>
      </c>
      <c r="B108" s="734" t="s">
        <v>725</v>
      </c>
      <c r="C108" s="735"/>
      <c r="D108" s="743" t="str">
        <f t="shared" si="302"/>
        <v>W80</v>
      </c>
      <c r="E108" s="735" t="s">
        <v>238</v>
      </c>
      <c r="F108" s="735" t="s">
        <v>721</v>
      </c>
      <c r="G108" s="744" t="s">
        <v>437</v>
      </c>
      <c r="H108" s="745">
        <f t="shared" ca="1" si="303"/>
        <v>0</v>
      </c>
      <c r="I108" s="740"/>
      <c r="J108" s="734">
        <v>80</v>
      </c>
      <c r="K108" s="734">
        <v>46204.75</v>
      </c>
      <c r="L108" s="734" t="s">
        <v>692</v>
      </c>
      <c r="M108" s="734" t="str">
        <f t="shared" ca="1" si="304"/>
        <v>1L</v>
      </c>
      <c r="N108" s="734"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4"/>
      <c r="P108" s="734"/>
      <c r="Q108" s="734"/>
      <c r="R108" s="734"/>
      <c r="S108" s="734"/>
      <c r="T108" s="734"/>
      <c r="U108" s="734"/>
      <c r="V108" s="172"/>
      <c r="W108" s="9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5"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4"/>
      <c r="BC108" s="734"/>
      <c r="BD108" s="734"/>
      <c r="BE108" s="740"/>
      <c r="BF108" s="734" t="str">
        <f t="shared" ca="1" si="316"/>
        <v/>
      </c>
      <c r="BG108" s="734">
        <f t="shared" ca="1" si="317"/>
        <v>0</v>
      </c>
      <c r="BH108" s="734"/>
      <c r="BI108" s="734">
        <v>6</v>
      </c>
      <c r="BJ108" s="734" t="str">
        <f t="shared" ca="1" si="318"/>
        <v>Grupo</v>
      </c>
      <c r="BK108" s="740"/>
      <c r="BL108" s="734"/>
      <c r="BM108" s="734"/>
      <c r="BN108" s="734"/>
      <c r="BO108" s="734"/>
      <c r="BP108" s="734"/>
      <c r="BQ108" s="734"/>
      <c r="BR108" s="734"/>
      <c r="BS108" s="734"/>
      <c r="BT108" s="734"/>
      <c r="BU108" s="734"/>
      <c r="BV108" s="734"/>
      <c r="BW108" s="734"/>
      <c r="BX108" s="734"/>
      <c r="BY108" s="734"/>
      <c r="BZ108" s="734"/>
      <c r="CA108" s="734"/>
      <c r="CB108" s="734"/>
      <c r="CC108" s="734"/>
      <c r="CD108" s="734"/>
      <c r="CE108" s="734"/>
      <c r="CF108" s="734"/>
      <c r="CG108" s="734"/>
      <c r="CH108" s="734"/>
      <c r="CI108" s="734"/>
      <c r="CJ108" s="734"/>
      <c r="CK108" s="734"/>
      <c r="CL108" s="734"/>
      <c r="CM108" s="734"/>
      <c r="CN108" s="734"/>
      <c r="CO108" s="734"/>
      <c r="CP108" s="734"/>
      <c r="CQ108" s="734"/>
      <c r="CR108" s="734"/>
      <c r="CS108" s="734"/>
      <c r="CT108" s="734"/>
      <c r="CU108" s="734"/>
      <c r="CV108" s="734"/>
      <c r="CW108" s="734"/>
      <c r="CX108" s="734"/>
      <c r="CY108" s="734"/>
      <c r="CZ108" s="734"/>
      <c r="DA108" s="734"/>
      <c r="DB108" s="734"/>
      <c r="DC108" s="734"/>
      <c r="DD108" s="734"/>
      <c r="DE108" s="734"/>
      <c r="DF108" s="734"/>
      <c r="DG108" s="734"/>
      <c r="DH108" s="734"/>
      <c r="DI108" s="734"/>
      <c r="DJ108" s="734"/>
      <c r="DK108" s="734"/>
      <c r="DL108" s="734"/>
      <c r="DM108" s="734"/>
      <c r="DN108" s="734"/>
      <c r="DO108" s="734"/>
      <c r="DP108" s="734"/>
      <c r="DQ108" s="734"/>
      <c r="DR108" s="734"/>
      <c r="DS108" s="734"/>
      <c r="DT108" s="740" t="str">
        <f t="shared" ca="1" si="242"/>
        <v>1L-3EHIJK</v>
      </c>
      <c r="DU108" s="734"/>
      <c r="DV108" s="734"/>
      <c r="DW108" s="11"/>
    </row>
    <row r="109" spans="1:127" ht="15.95" customHeight="1">
      <c r="A109" s="734" t="s">
        <v>658</v>
      </c>
      <c r="B109" s="734" t="s">
        <v>726</v>
      </c>
      <c r="C109" s="735"/>
      <c r="D109" s="743" t="str">
        <f t="shared" si="302"/>
        <v>W82</v>
      </c>
      <c r="E109" s="735" t="s">
        <v>73</v>
      </c>
      <c r="F109" s="735" t="s">
        <v>721</v>
      </c>
      <c r="G109" s="744" t="s">
        <v>438</v>
      </c>
      <c r="H109" s="745">
        <f t="shared" ca="1" si="303"/>
        <v>0</v>
      </c>
      <c r="I109" s="740"/>
      <c r="J109" s="734">
        <v>81</v>
      </c>
      <c r="K109" s="734">
        <v>46204.75</v>
      </c>
      <c r="L109" s="734" t="s">
        <v>693</v>
      </c>
      <c r="M109" s="734" t="str">
        <f t="shared" ca="1" si="304"/>
        <v>1D</v>
      </c>
      <c r="N109" s="734"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4"/>
      <c r="P109" s="734"/>
      <c r="Q109" s="734"/>
      <c r="R109" s="734"/>
      <c r="S109" s="734"/>
      <c r="T109" s="734"/>
      <c r="U109" s="734"/>
      <c r="V109" s="172"/>
      <c r="W109" s="9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5"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4"/>
      <c r="BC109" s="734"/>
      <c r="BD109" s="734"/>
      <c r="BE109" s="740"/>
      <c r="BF109" s="734" t="str">
        <f t="shared" ca="1" si="316"/>
        <v/>
      </c>
      <c r="BG109" s="734">
        <f t="shared" ca="1" si="317"/>
        <v>0</v>
      </c>
      <c r="BH109" s="734"/>
      <c r="BI109" s="734">
        <v>7</v>
      </c>
      <c r="BJ109" s="734" t="str">
        <f t="shared" ca="1" si="318"/>
        <v>Grupo</v>
      </c>
      <c r="BK109" s="740"/>
      <c r="BL109" s="734"/>
      <c r="BM109" s="734"/>
      <c r="BN109" s="734"/>
      <c r="BO109" s="734"/>
      <c r="BP109" s="734"/>
      <c r="BQ109" s="734"/>
      <c r="BR109" s="734"/>
      <c r="BS109" s="734"/>
      <c r="BT109" s="734"/>
      <c r="BU109" s="734"/>
      <c r="BV109" s="734"/>
      <c r="BW109" s="734"/>
      <c r="BX109" s="734"/>
      <c r="BY109" s="734"/>
      <c r="BZ109" s="734"/>
      <c r="CA109" s="734"/>
      <c r="CB109" s="734"/>
      <c r="CC109" s="734"/>
      <c r="CD109" s="734"/>
      <c r="CE109" s="734"/>
      <c r="CF109" s="734"/>
      <c r="CG109" s="734"/>
      <c r="CH109" s="734"/>
      <c r="CI109" s="734"/>
      <c r="CJ109" s="734"/>
      <c r="CK109" s="734"/>
      <c r="CL109" s="734"/>
      <c r="CM109" s="734"/>
      <c r="CN109" s="734"/>
      <c r="CO109" s="734"/>
      <c r="CP109" s="734"/>
      <c r="CQ109" s="734"/>
      <c r="CR109" s="734"/>
      <c r="CS109" s="734"/>
      <c r="CT109" s="734"/>
      <c r="CU109" s="734"/>
      <c r="CV109" s="734"/>
      <c r="CW109" s="734"/>
      <c r="CX109" s="734"/>
      <c r="CY109" s="734"/>
      <c r="CZ109" s="734"/>
      <c r="DA109" s="734"/>
      <c r="DB109" s="734"/>
      <c r="DC109" s="734"/>
      <c r="DD109" s="734"/>
      <c r="DE109" s="734"/>
      <c r="DF109" s="734"/>
      <c r="DG109" s="734"/>
      <c r="DH109" s="734"/>
      <c r="DI109" s="734"/>
      <c r="DJ109" s="734"/>
      <c r="DK109" s="734"/>
      <c r="DL109" s="734"/>
      <c r="DM109" s="734"/>
      <c r="DN109" s="734"/>
      <c r="DO109" s="734"/>
      <c r="DP109" s="734"/>
      <c r="DQ109" s="734"/>
      <c r="DR109" s="734"/>
      <c r="DS109" s="734"/>
      <c r="DT109" s="740" t="str">
        <f t="shared" ca="1" si="242"/>
        <v>1G-3AEHIJ</v>
      </c>
      <c r="DU109" s="734"/>
      <c r="DV109" s="734"/>
      <c r="DW109" s="11"/>
    </row>
    <row r="110" spans="1:127" ht="15.95" customHeight="1">
      <c r="A110" s="734" t="s">
        <v>667</v>
      </c>
      <c r="B110" s="734" t="s">
        <v>727</v>
      </c>
      <c r="C110" s="735"/>
      <c r="D110" s="743" t="str">
        <f t="shared" si="302"/>
        <v>W81</v>
      </c>
      <c r="E110" s="735" t="s">
        <v>6</v>
      </c>
      <c r="F110" s="735" t="s">
        <v>721</v>
      </c>
      <c r="G110" s="744" t="s">
        <v>5</v>
      </c>
      <c r="H110" s="745">
        <f t="shared" ca="1" si="303"/>
        <v>0</v>
      </c>
      <c r="I110" s="740"/>
      <c r="J110" s="734">
        <v>82</v>
      </c>
      <c r="K110" s="734">
        <v>46204.75</v>
      </c>
      <c r="L110" s="734" t="s">
        <v>694</v>
      </c>
      <c r="M110" s="734" t="str">
        <f t="shared" ca="1" si="304"/>
        <v>1G</v>
      </c>
      <c r="N110" s="734"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4"/>
      <c r="P110" s="734"/>
      <c r="Q110" s="734"/>
      <c r="R110" s="734"/>
      <c r="S110" s="734"/>
      <c r="T110" s="734"/>
      <c r="U110" s="734"/>
      <c r="V110" s="172"/>
      <c r="W110" s="9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5"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4"/>
      <c r="BC110" s="734"/>
      <c r="BD110" s="734"/>
      <c r="BE110" s="740"/>
      <c r="BF110" s="734" t="str">
        <f t="shared" ca="1" si="316"/>
        <v/>
      </c>
      <c r="BG110" s="734">
        <f t="shared" ca="1" si="317"/>
        <v>0</v>
      </c>
      <c r="BH110" s="734"/>
      <c r="BI110" s="740">
        <v>8</v>
      </c>
      <c r="BJ110" s="734" t="str">
        <f t="shared" ca="1" si="318"/>
        <v>Grupo</v>
      </c>
      <c r="BK110" s="740"/>
      <c r="BL110" s="734"/>
      <c r="BM110" s="734"/>
      <c r="BN110" s="734"/>
      <c r="BO110" s="734"/>
      <c r="BP110" s="734"/>
      <c r="BQ110" s="734"/>
      <c r="BR110" s="734"/>
      <c r="BS110" s="734"/>
      <c r="BT110" s="734"/>
      <c r="BU110" s="734"/>
      <c r="BV110" s="734"/>
      <c r="BW110" s="734"/>
      <c r="BX110" s="734"/>
      <c r="BY110" s="734"/>
      <c r="BZ110" s="734"/>
      <c r="CA110" s="734"/>
      <c r="CB110" s="734"/>
      <c r="CC110" s="734"/>
      <c r="CD110" s="734"/>
      <c r="CE110" s="734"/>
      <c r="CF110" s="734"/>
      <c r="CG110" s="734"/>
      <c r="CH110" s="734"/>
      <c r="CI110" s="734"/>
      <c r="CJ110" s="734"/>
      <c r="CK110" s="734"/>
      <c r="CL110" s="734"/>
      <c r="CM110" s="734"/>
      <c r="CN110" s="734"/>
      <c r="CO110" s="734"/>
      <c r="CP110" s="734"/>
      <c r="CQ110" s="734"/>
      <c r="CR110" s="734"/>
      <c r="CS110" s="734"/>
      <c r="CT110" s="734"/>
      <c r="CU110" s="734"/>
      <c r="CV110" s="734"/>
      <c r="CW110" s="734"/>
      <c r="CX110" s="734"/>
      <c r="CY110" s="734"/>
      <c r="CZ110" s="734"/>
      <c r="DA110" s="734"/>
      <c r="DB110" s="734"/>
      <c r="DC110" s="734"/>
      <c r="DD110" s="734"/>
      <c r="DE110" s="734"/>
      <c r="DF110" s="734"/>
      <c r="DG110" s="734"/>
      <c r="DH110" s="734"/>
      <c r="DI110" s="734"/>
      <c r="DJ110" s="734"/>
      <c r="DK110" s="734"/>
      <c r="DL110" s="734"/>
      <c r="DM110" s="734"/>
      <c r="DN110" s="734"/>
      <c r="DO110" s="734"/>
      <c r="DP110" s="734"/>
      <c r="DQ110" s="734"/>
      <c r="DR110" s="734"/>
      <c r="DS110" s="734"/>
      <c r="DT110" s="740" t="str">
        <f t="shared" ca="1" si="242"/>
        <v>1D-3BEFIJ</v>
      </c>
      <c r="DU110" s="734"/>
      <c r="DV110" s="734"/>
      <c r="DW110" s="11"/>
    </row>
    <row r="111" spans="1:127" ht="15.95" customHeight="1">
      <c r="A111" s="734" t="s">
        <v>680</v>
      </c>
      <c r="B111" s="734" t="s">
        <v>683</v>
      </c>
      <c r="C111" s="735"/>
      <c r="D111" s="743" t="str">
        <f t="shared" si="302"/>
        <v>W84</v>
      </c>
      <c r="E111" s="735" t="s">
        <v>439</v>
      </c>
      <c r="F111" s="735" t="s">
        <v>238</v>
      </c>
      <c r="G111" s="744" t="s">
        <v>439</v>
      </c>
      <c r="H111" s="745">
        <f t="shared" ca="1" si="303"/>
        <v>0</v>
      </c>
      <c r="I111" s="740"/>
      <c r="J111" s="734">
        <v>83</v>
      </c>
      <c r="K111" s="734">
        <v>46205.75</v>
      </c>
      <c r="L111" s="734" t="s">
        <v>695</v>
      </c>
      <c r="M111" s="734" t="str">
        <f t="shared" ca="1" si="304"/>
        <v>2K</v>
      </c>
      <c r="N111" s="734"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4"/>
      <c r="P111" s="734"/>
      <c r="Q111" s="734"/>
      <c r="R111" s="734"/>
      <c r="S111" s="734"/>
      <c r="T111" s="734"/>
      <c r="U111" s="734"/>
      <c r="V111" s="172"/>
      <c r="W111" s="9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5"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4"/>
      <c r="BC111" s="734"/>
      <c r="BD111" s="742"/>
      <c r="BE111" s="734"/>
      <c r="BF111" s="734"/>
      <c r="BG111" s="734"/>
      <c r="BH111" s="734"/>
      <c r="BI111" s="734" t="s">
        <v>86</v>
      </c>
      <c r="BJ111" s="734"/>
      <c r="BK111" s="740"/>
      <c r="BL111" s="734"/>
      <c r="BM111" s="734"/>
      <c r="BN111" s="734"/>
      <c r="BO111" s="734"/>
      <c r="BP111" s="734"/>
      <c r="BQ111" s="734"/>
      <c r="BR111" s="734"/>
      <c r="BS111" s="734"/>
      <c r="BT111" s="734"/>
      <c r="BU111" s="734"/>
      <c r="BV111" s="734"/>
      <c r="BW111" s="734"/>
      <c r="BX111" s="734"/>
      <c r="BY111" s="734"/>
      <c r="BZ111" s="734"/>
      <c r="CA111" s="734"/>
      <c r="CB111" s="734"/>
      <c r="CC111" s="734"/>
      <c r="CD111" s="734"/>
      <c r="CE111" s="734"/>
      <c r="CF111" s="734"/>
      <c r="CG111" s="734"/>
      <c r="CH111" s="734"/>
      <c r="CI111" s="734"/>
      <c r="CJ111" s="734"/>
      <c r="CK111" s="734"/>
      <c r="CL111" s="734"/>
      <c r="CM111" s="734"/>
      <c r="CN111" s="734"/>
      <c r="CO111" s="734"/>
      <c r="CP111" s="734"/>
      <c r="CQ111" s="734"/>
      <c r="CR111" s="734"/>
      <c r="CS111" s="734"/>
      <c r="CT111" s="734"/>
      <c r="CU111" s="734"/>
      <c r="CV111" s="734"/>
      <c r="CW111" s="734"/>
      <c r="CX111" s="734"/>
      <c r="CY111" s="734"/>
      <c r="CZ111" s="734"/>
      <c r="DA111" s="734"/>
      <c r="DB111" s="734"/>
      <c r="DC111" s="734"/>
      <c r="DD111" s="734"/>
      <c r="DE111" s="734"/>
      <c r="DF111" s="734"/>
      <c r="DG111" s="734"/>
      <c r="DH111" s="734"/>
      <c r="DI111" s="734"/>
      <c r="DJ111" s="734"/>
      <c r="DK111" s="734"/>
      <c r="DL111" s="734"/>
      <c r="DM111" s="734"/>
      <c r="DN111" s="734"/>
      <c r="DO111" s="734"/>
      <c r="DP111" s="734"/>
      <c r="DQ111" s="734"/>
      <c r="DR111" s="734"/>
      <c r="DS111" s="734"/>
      <c r="DT111" s="740" t="str">
        <f t="shared" ca="1" si="242"/>
        <v>1H-2J</v>
      </c>
      <c r="DU111" s="734"/>
      <c r="DV111" s="734"/>
      <c r="DW111" s="11"/>
    </row>
    <row r="112" spans="1:127" ht="15.95" customHeight="1">
      <c r="A112" s="734" t="s">
        <v>670</v>
      </c>
      <c r="B112" s="734" t="s">
        <v>677</v>
      </c>
      <c r="C112" s="735"/>
      <c r="D112" s="743" t="str">
        <f t="shared" si="302"/>
        <v>W83</v>
      </c>
      <c r="E112" s="735" t="s">
        <v>437</v>
      </c>
      <c r="F112" s="735" t="s">
        <v>5</v>
      </c>
      <c r="G112" s="744" t="s">
        <v>238</v>
      </c>
      <c r="H112" s="745">
        <f t="shared" ca="1" si="303"/>
        <v>0</v>
      </c>
      <c r="I112" s="740"/>
      <c r="J112" s="734">
        <v>84</v>
      </c>
      <c r="K112" s="734">
        <v>46205.75</v>
      </c>
      <c r="L112" s="734" t="s">
        <v>696</v>
      </c>
      <c r="M112" s="734" t="str">
        <f t="shared" ca="1" si="304"/>
        <v>1H</v>
      </c>
      <c r="N112" s="734"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4"/>
      <c r="P112" s="734"/>
      <c r="Q112" s="734"/>
      <c r="R112" s="734"/>
      <c r="S112" s="734"/>
      <c r="T112" s="734"/>
      <c r="U112" s="734"/>
      <c r="V112" s="172"/>
      <c r="W112" s="9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5"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4"/>
      <c r="BC112" s="734"/>
      <c r="BD112" s="742"/>
      <c r="BE112" s="734"/>
      <c r="BF112" s="734"/>
      <c r="BG112" s="734"/>
      <c r="BH112" s="734"/>
      <c r="BI112" s="734" t="str">
        <f ca="1">IFERROR(CONCATENATE(BJ103,BJ104,BJ105,BJ106,BJ107,BJ108,BJ109,BJ110),"¿A/B/C/D/E/F/G/H/I/J/K/L?")</f>
        <v>GrupoGrupoGrupoGrupoGrupoGrupoGrupoGrupo</v>
      </c>
      <c r="BJ112" s="734"/>
      <c r="BK112" s="740"/>
      <c r="BL112" s="734"/>
      <c r="BM112" s="734"/>
      <c r="BN112" s="734"/>
      <c r="BO112" s="734"/>
      <c r="BP112" s="734"/>
      <c r="BQ112" s="734"/>
      <c r="BR112" s="734"/>
      <c r="BS112" s="734"/>
      <c r="BT112" s="734"/>
      <c r="BU112" s="734"/>
      <c r="BV112" s="734"/>
      <c r="BW112" s="734"/>
      <c r="BX112" s="734"/>
      <c r="BY112" s="734"/>
      <c r="BZ112" s="734"/>
      <c r="CA112" s="734"/>
      <c r="CB112" s="734"/>
      <c r="CC112" s="734"/>
      <c r="CD112" s="734"/>
      <c r="CE112" s="734"/>
      <c r="CF112" s="734"/>
      <c r="CG112" s="734"/>
      <c r="CH112" s="734"/>
      <c r="CI112" s="734"/>
      <c r="CJ112" s="734"/>
      <c r="CK112" s="734"/>
      <c r="CL112" s="734"/>
      <c r="CM112" s="734"/>
      <c r="CN112" s="734"/>
      <c r="CO112" s="734"/>
      <c r="CP112" s="734"/>
      <c r="CQ112" s="734"/>
      <c r="CR112" s="734"/>
      <c r="CS112" s="734"/>
      <c r="CT112" s="734"/>
      <c r="CU112" s="734"/>
      <c r="CV112" s="734"/>
      <c r="CW112" s="734"/>
      <c r="CX112" s="734"/>
      <c r="CY112" s="734"/>
      <c r="CZ112" s="734"/>
      <c r="DA112" s="734"/>
      <c r="DB112" s="734"/>
      <c r="DC112" s="734"/>
      <c r="DD112" s="734"/>
      <c r="DE112" s="734"/>
      <c r="DF112" s="734"/>
      <c r="DG112" s="734"/>
      <c r="DH112" s="734"/>
      <c r="DI112" s="734"/>
      <c r="DJ112" s="734"/>
      <c r="DK112" s="734"/>
      <c r="DL112" s="734"/>
      <c r="DM112" s="734"/>
      <c r="DN112" s="734"/>
      <c r="DO112" s="734"/>
      <c r="DP112" s="734"/>
      <c r="DQ112" s="734"/>
      <c r="DR112" s="734"/>
      <c r="DS112" s="734"/>
      <c r="DT112" s="740" t="str">
        <f t="shared" ca="1" si="242"/>
        <v>2K-2L</v>
      </c>
      <c r="DU112" s="734"/>
      <c r="DV112" s="734"/>
      <c r="DW112" s="11"/>
    </row>
    <row r="113" spans="1:127" ht="15.95" customHeight="1" thickBot="1">
      <c r="A113" s="734" t="s">
        <v>648</v>
      </c>
      <c r="B113" s="734" t="s">
        <v>728</v>
      </c>
      <c r="C113" s="735"/>
      <c r="D113" s="743" t="str">
        <f t="shared" si="302"/>
        <v>W85</v>
      </c>
      <c r="E113" s="735" t="s">
        <v>1</v>
      </c>
      <c r="F113" s="735" t="s">
        <v>721</v>
      </c>
      <c r="G113" s="744" t="s">
        <v>721</v>
      </c>
      <c r="H113" s="745">
        <f ca="1">+IF(AJ99&lt;&gt;144,SUM(H101:H112),AJ99)</f>
        <v>0</v>
      </c>
      <c r="I113" s="740"/>
      <c r="J113" s="734">
        <v>85</v>
      </c>
      <c r="K113" s="734">
        <v>46205.75</v>
      </c>
      <c r="L113" s="734" t="s">
        <v>697</v>
      </c>
      <c r="M113" s="734" t="str">
        <f t="shared" ca="1" si="304"/>
        <v>1B</v>
      </c>
      <c r="N113" s="734"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4"/>
      <c r="P113" s="734"/>
      <c r="Q113" s="734"/>
      <c r="R113" s="734"/>
      <c r="S113" s="734"/>
      <c r="T113" s="734"/>
      <c r="U113" s="734"/>
      <c r="V113" s="172"/>
      <c r="W113" s="9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6"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4"/>
      <c r="BC113" s="734"/>
      <c r="BD113" s="734"/>
      <c r="BE113" s="734"/>
      <c r="BF113" s="734"/>
      <c r="BG113" s="734"/>
      <c r="BH113" s="734"/>
      <c r="BI113" s="734"/>
      <c r="BJ113" s="734"/>
      <c r="BK113" s="734"/>
      <c r="BL113" s="734"/>
      <c r="BM113" s="734"/>
      <c r="BN113" s="734"/>
      <c r="BO113" s="734"/>
      <c r="BP113" s="734"/>
      <c r="BQ113" s="734"/>
      <c r="BR113" s="734"/>
      <c r="BS113" s="734"/>
      <c r="BT113" s="734"/>
      <c r="BU113" s="734"/>
      <c r="BV113" s="734"/>
      <c r="BW113" s="734"/>
      <c r="BX113" s="734"/>
      <c r="BY113" s="734"/>
      <c r="BZ113" s="734"/>
      <c r="CA113" s="734"/>
      <c r="CB113" s="734"/>
      <c r="CC113" s="734"/>
      <c r="CD113" s="734"/>
      <c r="CE113" s="734"/>
      <c r="CF113" s="734"/>
      <c r="CG113" s="734"/>
      <c r="CH113" s="734"/>
      <c r="CI113" s="734"/>
      <c r="CJ113" s="734"/>
      <c r="CK113" s="734"/>
      <c r="CL113" s="734"/>
      <c r="CM113" s="734"/>
      <c r="CN113" s="734"/>
      <c r="CO113" s="734"/>
      <c r="CP113" s="734"/>
      <c r="CQ113" s="734"/>
      <c r="CR113" s="734"/>
      <c r="CS113" s="734"/>
      <c r="CT113" s="734"/>
      <c r="CU113" s="734"/>
      <c r="CV113" s="734"/>
      <c r="CW113" s="734"/>
      <c r="CX113" s="734"/>
      <c r="CY113" s="734"/>
      <c r="CZ113" s="734"/>
      <c r="DA113" s="734"/>
      <c r="DB113" s="734"/>
      <c r="DC113" s="734"/>
      <c r="DD113" s="734"/>
      <c r="DE113" s="734"/>
      <c r="DF113" s="734"/>
      <c r="DG113" s="734"/>
      <c r="DH113" s="734"/>
      <c r="DI113" s="734"/>
      <c r="DJ113" s="734"/>
      <c r="DK113" s="734"/>
      <c r="DL113" s="734"/>
      <c r="DM113" s="734"/>
      <c r="DN113" s="734"/>
      <c r="DO113" s="734"/>
      <c r="DP113" s="734"/>
      <c r="DQ113" s="734"/>
      <c r="DR113" s="734"/>
      <c r="DS113" s="734"/>
      <c r="DT113" s="740" t="str">
        <f t="shared" ca="1" si="242"/>
        <v>1B-3EFGIJ</v>
      </c>
      <c r="DU113" s="734"/>
      <c r="DV113" s="734"/>
      <c r="DW113" s="11"/>
    </row>
    <row r="114" spans="1:127" ht="15.95" customHeight="1">
      <c r="A114" s="734" t="s">
        <v>676</v>
      </c>
      <c r="B114" s="734" t="s">
        <v>671</v>
      </c>
      <c r="C114" s="735"/>
      <c r="D114" s="743" t="str">
        <f t="shared" si="302"/>
        <v>W88</v>
      </c>
      <c r="E114" s="735" t="s">
        <v>5</v>
      </c>
      <c r="F114" s="735" t="s">
        <v>437</v>
      </c>
      <c r="G114" s="740"/>
      <c r="H114" s="740"/>
      <c r="I114" s="740"/>
      <c r="J114" s="734">
        <v>86</v>
      </c>
      <c r="K114" s="734">
        <v>46206.75</v>
      </c>
      <c r="L114" s="734" t="s">
        <v>698</v>
      </c>
      <c r="M114" s="734" t="str">
        <f t="shared" ca="1" si="304"/>
        <v>1J</v>
      </c>
      <c r="N114" s="734"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4"/>
      <c r="P114" s="734"/>
      <c r="Q114" s="734"/>
      <c r="R114" s="734"/>
      <c r="S114" s="734"/>
      <c r="T114" s="734"/>
      <c r="U114" s="734"/>
      <c r="V114" s="172"/>
      <c r="W114" s="9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0"/>
      <c r="BC114" s="740"/>
      <c r="BD114" s="740"/>
      <c r="BE114" s="740"/>
      <c r="BF114" s="740"/>
      <c r="BG114" s="740"/>
      <c r="BH114" s="740"/>
      <c r="BI114" s="740"/>
      <c r="BJ114" s="740"/>
      <c r="BK114" s="740"/>
      <c r="BL114" s="740"/>
      <c r="BM114" s="740"/>
      <c r="BN114" s="740"/>
      <c r="BO114" s="740"/>
      <c r="BP114" s="740"/>
      <c r="BQ114" s="740"/>
      <c r="BR114" s="740"/>
      <c r="BS114" s="740"/>
      <c r="BT114" s="740"/>
      <c r="BU114" s="740"/>
      <c r="BV114" s="740"/>
      <c r="BW114" s="740"/>
      <c r="BX114" s="740"/>
      <c r="BY114" s="740"/>
      <c r="BZ114" s="740"/>
      <c r="CA114" s="740"/>
      <c r="CB114" s="740"/>
      <c r="CC114" s="740"/>
      <c r="CD114" s="740"/>
      <c r="CE114" s="740"/>
      <c r="CF114" s="740"/>
      <c r="CG114" s="740"/>
      <c r="CH114" s="740"/>
      <c r="CI114" s="740"/>
      <c r="CJ114" s="740"/>
      <c r="CK114" s="740"/>
      <c r="CL114" s="740"/>
      <c r="CM114" s="740"/>
      <c r="CN114" s="740"/>
      <c r="CO114" s="740"/>
      <c r="CP114" s="740"/>
      <c r="CQ114" s="740"/>
      <c r="CR114" s="740"/>
      <c r="CS114" s="740"/>
      <c r="CT114" s="740"/>
      <c r="CU114" s="740"/>
      <c r="CV114" s="740"/>
      <c r="CW114" s="740"/>
      <c r="CX114" s="740"/>
      <c r="CY114" s="740"/>
      <c r="CZ114" s="740"/>
      <c r="DA114" s="740"/>
      <c r="DB114" s="740"/>
      <c r="DC114" s="740"/>
      <c r="DD114" s="740"/>
      <c r="DE114" s="740"/>
      <c r="DF114" s="740"/>
      <c r="DG114" s="740"/>
      <c r="DH114" s="740"/>
      <c r="DI114" s="740"/>
      <c r="DJ114" s="740"/>
      <c r="DK114" s="740"/>
      <c r="DL114" s="740"/>
      <c r="DM114" s="740"/>
      <c r="DN114" s="740"/>
      <c r="DO114" s="740"/>
      <c r="DP114" s="740"/>
      <c r="DQ114" s="740"/>
      <c r="DR114" s="740"/>
      <c r="DS114" s="740"/>
      <c r="DT114" s="740" t="str">
        <f t="shared" ca="1" si="242"/>
        <v>2D-2G</v>
      </c>
      <c r="DU114" s="740"/>
      <c r="DV114" s="740"/>
      <c r="DW114" s="8"/>
    </row>
    <row r="115" spans="1:127" ht="15.95" customHeight="1">
      <c r="A115" s="734" t="s">
        <v>679</v>
      </c>
      <c r="B115" s="734" t="s">
        <v>729</v>
      </c>
      <c r="C115" s="735"/>
      <c r="D115" s="743" t="str">
        <f t="shared" si="302"/>
        <v>W86</v>
      </c>
      <c r="E115" s="735" t="s">
        <v>439</v>
      </c>
      <c r="F115" s="735" t="s">
        <v>721</v>
      </c>
      <c r="G115" s="740"/>
      <c r="H115" s="740"/>
      <c r="I115" s="740"/>
      <c r="J115" s="734">
        <v>87</v>
      </c>
      <c r="K115" s="734">
        <v>46206.75</v>
      </c>
      <c r="L115" s="734" t="s">
        <v>699</v>
      </c>
      <c r="M115" s="734" t="str">
        <f t="shared" ca="1" si="304"/>
        <v>1K</v>
      </c>
      <c r="N115" s="734"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4"/>
      <c r="P115" s="734"/>
      <c r="Q115" s="734"/>
      <c r="R115" s="734"/>
      <c r="S115" s="734"/>
      <c r="T115" s="734"/>
      <c r="U115" s="734"/>
      <c r="V115" s="172"/>
      <c r="W115" s="9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0"/>
      <c r="BC115" s="740"/>
      <c r="BD115" s="740"/>
      <c r="BE115" s="740"/>
      <c r="BF115" s="740"/>
      <c r="BG115" s="740"/>
      <c r="BH115" s="740"/>
      <c r="BI115" s="740"/>
      <c r="BJ115" s="740"/>
      <c r="BK115" s="740"/>
      <c r="BL115" s="740"/>
      <c r="BM115" s="740"/>
      <c r="BN115" s="740"/>
      <c r="BO115" s="740"/>
      <c r="BP115" s="740"/>
      <c r="BQ115" s="740"/>
      <c r="BR115" s="740"/>
      <c r="BS115" s="740"/>
      <c r="BT115" s="740"/>
      <c r="BU115" s="740"/>
      <c r="BV115" s="740"/>
      <c r="BW115" s="740"/>
      <c r="BX115" s="740"/>
      <c r="BY115" s="740"/>
      <c r="BZ115" s="740"/>
      <c r="CA115" s="740"/>
      <c r="CB115" s="740"/>
      <c r="CC115" s="740"/>
      <c r="CD115" s="740"/>
      <c r="CE115" s="740"/>
      <c r="CF115" s="740"/>
      <c r="CG115" s="740"/>
      <c r="CH115" s="740"/>
      <c r="CI115" s="740"/>
      <c r="CJ115" s="740"/>
      <c r="CK115" s="740"/>
      <c r="CL115" s="740"/>
      <c r="CM115" s="740"/>
      <c r="CN115" s="740"/>
      <c r="CO115" s="740"/>
      <c r="CP115" s="740"/>
      <c r="CQ115" s="740"/>
      <c r="CR115" s="740"/>
      <c r="CS115" s="740"/>
      <c r="CT115" s="740"/>
      <c r="CU115" s="740"/>
      <c r="CV115" s="740"/>
      <c r="CW115" s="740"/>
      <c r="CX115" s="740"/>
      <c r="CY115" s="740"/>
      <c r="CZ115" s="740"/>
      <c r="DA115" s="740"/>
      <c r="DB115" s="740"/>
      <c r="DC115" s="740"/>
      <c r="DD115" s="740"/>
      <c r="DE115" s="740"/>
      <c r="DF115" s="740"/>
      <c r="DG115" s="740"/>
      <c r="DH115" s="740"/>
      <c r="DI115" s="740"/>
      <c r="DJ115" s="740"/>
      <c r="DK115" s="740"/>
      <c r="DL115" s="740"/>
      <c r="DM115" s="740"/>
      <c r="DN115" s="740"/>
      <c r="DO115" s="740"/>
      <c r="DP115" s="740"/>
      <c r="DQ115" s="740"/>
      <c r="DR115" s="740"/>
      <c r="DS115" s="740"/>
      <c r="DT115" s="740" t="str">
        <f t="shared" ca="1" si="242"/>
        <v>1J-2H</v>
      </c>
      <c r="DU115" s="740"/>
      <c r="DV115" s="740"/>
      <c r="DW115" s="8"/>
    </row>
    <row r="116" spans="1:127" ht="15.95" customHeight="1" thickBot="1">
      <c r="A116" s="734" t="s">
        <v>659</v>
      </c>
      <c r="B116" s="734" t="s">
        <v>668</v>
      </c>
      <c r="C116" s="735"/>
      <c r="D116" s="743" t="str">
        <f t="shared" si="302"/>
        <v>W87</v>
      </c>
      <c r="E116" s="735" t="s">
        <v>73</v>
      </c>
      <c r="F116" s="735" t="s">
        <v>6</v>
      </c>
      <c r="G116" s="740"/>
      <c r="H116" s="740"/>
      <c r="I116" s="740"/>
      <c r="J116" s="734">
        <v>88</v>
      </c>
      <c r="K116" s="734">
        <v>46206.75</v>
      </c>
      <c r="L116" s="734" t="s">
        <v>700</v>
      </c>
      <c r="M116" s="734" t="str">
        <f t="shared" ca="1" si="304"/>
        <v>2D</v>
      </c>
      <c r="N116" s="734"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4"/>
      <c r="P116" s="734"/>
      <c r="Q116" s="734"/>
      <c r="R116" s="734"/>
      <c r="S116" s="734"/>
      <c r="T116" s="734"/>
      <c r="U116" s="734"/>
      <c r="V116" s="172"/>
      <c r="W116" s="9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4" t="s">
        <v>1808</v>
      </c>
      <c r="AM116" s="297"/>
      <c r="AN116" s="297"/>
      <c r="AO116" s="297"/>
      <c r="AP116" s="297"/>
      <c r="AQ116" s="297"/>
      <c r="AR116" s="297"/>
      <c r="AS116" s="297"/>
      <c r="AT116" s="297"/>
      <c r="AU116" s="19"/>
      <c r="AV116" s="19"/>
      <c r="AW116" s="297"/>
      <c r="AX116" s="297"/>
      <c r="AY116" s="242"/>
      <c r="AZ116" s="243"/>
      <c r="BA116" s="175"/>
      <c r="BB116" s="740"/>
      <c r="BC116" s="740"/>
      <c r="BD116" s="740"/>
      <c r="BE116" s="740"/>
      <c r="BF116" s="740"/>
      <c r="BG116" s="740"/>
      <c r="BH116" s="740"/>
      <c r="BI116" s="740"/>
      <c r="BJ116" s="740"/>
      <c r="BK116" s="740"/>
      <c r="BL116" s="740"/>
      <c r="BM116" s="740"/>
      <c r="BN116" s="740"/>
      <c r="BO116" s="740"/>
      <c r="BP116" s="740"/>
      <c r="BQ116" s="740"/>
      <c r="BR116" s="740"/>
      <c r="BS116" s="740"/>
      <c r="BT116" s="740"/>
      <c r="BU116" s="740"/>
      <c r="BV116" s="740"/>
      <c r="BW116" s="740"/>
      <c r="BX116" s="740"/>
      <c r="BY116" s="740"/>
      <c r="BZ116" s="740"/>
      <c r="CA116" s="740"/>
      <c r="CB116" s="740"/>
      <c r="CC116" s="740"/>
      <c r="CD116" s="740"/>
      <c r="CE116" s="740"/>
      <c r="CF116" s="740"/>
      <c r="CG116" s="740"/>
      <c r="CH116" s="740"/>
      <c r="CI116" s="740"/>
      <c r="CJ116" s="740"/>
      <c r="CK116" s="740"/>
      <c r="CL116" s="740"/>
      <c r="CM116" s="740"/>
      <c r="CN116" s="740"/>
      <c r="CO116" s="740"/>
      <c r="CP116" s="740"/>
      <c r="CQ116" s="740"/>
      <c r="CR116" s="740"/>
      <c r="CS116" s="740"/>
      <c r="CT116" s="740"/>
      <c r="CU116" s="740"/>
      <c r="CV116" s="740"/>
      <c r="CW116" s="740"/>
      <c r="CX116" s="740"/>
      <c r="CY116" s="740"/>
      <c r="CZ116" s="740"/>
      <c r="DA116" s="740"/>
      <c r="DB116" s="740"/>
      <c r="DC116" s="740"/>
      <c r="DD116" s="740"/>
      <c r="DE116" s="740"/>
      <c r="DF116" s="740"/>
      <c r="DG116" s="740"/>
      <c r="DH116" s="740"/>
      <c r="DI116" s="740"/>
      <c r="DJ116" s="740"/>
      <c r="DK116" s="740"/>
      <c r="DL116" s="740"/>
      <c r="DM116" s="740"/>
      <c r="DN116" s="740"/>
      <c r="DO116" s="740"/>
      <c r="DP116" s="740"/>
      <c r="DQ116" s="740"/>
      <c r="DR116" s="740"/>
      <c r="DS116" s="740"/>
      <c r="DT116" s="740" t="str">
        <f t="shared" ca="1" si="242"/>
        <v>1K-3DEIJL</v>
      </c>
      <c r="DU116" s="740"/>
      <c r="DV116" s="740"/>
      <c r="DW116" s="8"/>
    </row>
    <row r="117" spans="1:127" ht="15.95" customHeight="1" thickBot="1">
      <c r="A117" s="735"/>
      <c r="B117" s="735"/>
      <c r="C117" s="735"/>
      <c r="D117" s="746"/>
      <c r="E117" s="740"/>
      <c r="F117" s="740"/>
      <c r="G117" s="740"/>
      <c r="H117" s="740"/>
      <c r="I117" s="740"/>
      <c r="J117" s="740"/>
      <c r="K117" s="740"/>
      <c r="L117" s="740"/>
      <c r="M117" s="740"/>
      <c r="N117" s="740"/>
      <c r="O117" s="740"/>
      <c r="P117" s="740"/>
      <c r="Q117" s="740"/>
      <c r="R117" s="740"/>
      <c r="S117" s="740"/>
      <c r="T117" s="740"/>
      <c r="U117" s="740"/>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0"/>
      <c r="BC117" s="740"/>
      <c r="BD117" s="740"/>
      <c r="BE117" s="740"/>
      <c r="BF117" s="757" t="s">
        <v>645</v>
      </c>
      <c r="BG117" s="740" t="e">
        <f ca="1">+INDEX(Combinaciones3!$P$2:$W$496,MATCH(1,Combinaciones3!$B$2:$B$497,0),MATCH(WORLDCUP!BF117,Combinaciones3!$P$1:$W$1,0))</f>
        <v>#N/A</v>
      </c>
      <c r="BH117" s="740"/>
      <c r="BI117" s="740"/>
      <c r="BJ117" s="740"/>
      <c r="BK117" s="740"/>
      <c r="BL117" s="740"/>
      <c r="BM117" s="740"/>
      <c r="BN117" s="740"/>
      <c r="BO117" s="740"/>
      <c r="BP117" s="740"/>
      <c r="BQ117" s="740"/>
      <c r="BR117" s="740"/>
      <c r="BS117" s="740"/>
      <c r="BT117" s="740"/>
      <c r="BU117" s="740"/>
      <c r="BV117" s="740"/>
      <c r="BW117" s="740"/>
      <c r="BX117" s="740"/>
      <c r="BY117" s="740"/>
      <c r="BZ117" s="740"/>
      <c r="CA117" s="740"/>
      <c r="CB117" s="740"/>
      <c r="CC117" s="740"/>
      <c r="CD117" s="740"/>
      <c r="CE117" s="740"/>
      <c r="CF117" s="740"/>
      <c r="CG117" s="740"/>
      <c r="CH117" s="740"/>
      <c r="CI117" s="740"/>
      <c r="CJ117" s="740"/>
      <c r="CK117" s="740"/>
      <c r="CL117" s="740"/>
      <c r="CM117" s="740"/>
      <c r="CN117" s="740"/>
      <c r="CO117" s="740"/>
      <c r="CP117" s="740"/>
      <c r="CQ117" s="740"/>
      <c r="CR117" s="740"/>
      <c r="CS117" s="740"/>
      <c r="CT117" s="740"/>
      <c r="CU117" s="740"/>
      <c r="CV117" s="740"/>
      <c r="CW117" s="740"/>
      <c r="CX117" s="740"/>
      <c r="CY117" s="740"/>
      <c r="CZ117" s="740"/>
      <c r="DA117" s="740"/>
      <c r="DB117" s="740"/>
      <c r="DC117" s="740"/>
      <c r="DD117" s="740"/>
      <c r="DE117" s="740"/>
      <c r="DF117" s="740"/>
      <c r="DG117" s="740"/>
      <c r="DH117" s="740"/>
      <c r="DI117" s="740"/>
      <c r="DJ117" s="740"/>
      <c r="DK117" s="740"/>
      <c r="DL117" s="740"/>
      <c r="DM117" s="740"/>
      <c r="DN117" s="740"/>
      <c r="DO117" s="740"/>
      <c r="DP117" s="740"/>
      <c r="DQ117" s="740"/>
      <c r="DR117" s="740"/>
      <c r="DS117" s="740"/>
      <c r="DT117" s="740" t="str">
        <f t="shared" si="242"/>
        <v>-</v>
      </c>
      <c r="DU117" s="740"/>
      <c r="DV117" s="740"/>
      <c r="DW117" s="8"/>
    </row>
    <row r="118" spans="1:127" ht="15.95" customHeight="1" thickBot="1">
      <c r="A118" s="735"/>
      <c r="B118" s="735"/>
      <c r="C118" s="735"/>
      <c r="D118" s="746"/>
      <c r="E118" s="740"/>
      <c r="F118" s="740"/>
      <c r="G118" s="740"/>
      <c r="H118" s="740"/>
      <c r="I118" s="740"/>
      <c r="J118" s="740"/>
      <c r="K118" s="740"/>
      <c r="L118" s="740"/>
      <c r="M118" s="740"/>
      <c r="N118" s="740"/>
      <c r="O118" s="740"/>
      <c r="P118" s="740"/>
      <c r="Q118" s="740"/>
      <c r="R118" s="740"/>
      <c r="S118" s="740"/>
      <c r="T118" s="740"/>
      <c r="U118" s="740"/>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0"/>
      <c r="BC118" s="740"/>
      <c r="BD118" s="740"/>
      <c r="BE118" s="740"/>
      <c r="BF118" s="757" t="s">
        <v>648</v>
      </c>
      <c r="BG118" s="740" t="e">
        <f ca="1">+INDEX(Combinaciones3!$P$2:$W$496,MATCH(1,Combinaciones3!$B$2:$B$497,0),MATCH(WORLDCUP!BF118,Combinaciones3!$P$1:$W$1,0))</f>
        <v>#N/A</v>
      </c>
      <c r="BH118" s="740"/>
      <c r="BI118" s="740"/>
      <c r="BJ118" s="740"/>
      <c r="BK118" s="740"/>
      <c r="BL118" s="740"/>
      <c r="BM118" s="740"/>
      <c r="BN118" s="740"/>
      <c r="BO118" s="740"/>
      <c r="BP118" s="740"/>
      <c r="BQ118" s="740"/>
      <c r="BR118" s="740"/>
      <c r="BS118" s="740"/>
      <c r="BT118" s="740"/>
      <c r="BU118" s="740"/>
      <c r="BV118" s="740"/>
      <c r="BW118" s="740"/>
      <c r="BX118" s="740"/>
      <c r="BY118" s="740"/>
      <c r="BZ118" s="740"/>
      <c r="CA118" s="740"/>
      <c r="CB118" s="740"/>
      <c r="CC118" s="740"/>
      <c r="CD118" s="740"/>
      <c r="CE118" s="740"/>
      <c r="CF118" s="740"/>
      <c r="CG118" s="740"/>
      <c r="CH118" s="740"/>
      <c r="CI118" s="740"/>
      <c r="CJ118" s="740"/>
      <c r="CK118" s="740"/>
      <c r="CL118" s="740"/>
      <c r="CM118" s="740"/>
      <c r="CN118" s="740"/>
      <c r="CO118" s="740"/>
      <c r="CP118" s="740"/>
      <c r="CQ118" s="740"/>
      <c r="CR118" s="740"/>
      <c r="CS118" s="740"/>
      <c r="CT118" s="740"/>
      <c r="CU118" s="740"/>
      <c r="CV118" s="740"/>
      <c r="CW118" s="740"/>
      <c r="CX118" s="740"/>
      <c r="CY118" s="740"/>
      <c r="CZ118" s="740"/>
      <c r="DA118" s="740"/>
      <c r="DB118" s="740"/>
      <c r="DC118" s="740"/>
      <c r="DD118" s="740"/>
      <c r="DE118" s="740"/>
      <c r="DF118" s="740"/>
      <c r="DG118" s="740"/>
      <c r="DH118" s="740"/>
      <c r="DI118" s="740"/>
      <c r="DJ118" s="740"/>
      <c r="DK118" s="740"/>
      <c r="DL118" s="740"/>
      <c r="DM118" s="740"/>
      <c r="DN118" s="740"/>
      <c r="DO118" s="740"/>
      <c r="DP118" s="740"/>
      <c r="DQ118" s="740"/>
      <c r="DR118" s="740"/>
      <c r="DS118" s="740"/>
      <c r="DT118" s="740" t="str">
        <f t="shared" si="242"/>
        <v>-</v>
      </c>
      <c r="DU118" s="740"/>
      <c r="DV118" s="740"/>
      <c r="DW118" s="8"/>
    </row>
    <row r="119" spans="1:127" ht="15.95" customHeight="1">
      <c r="A119" s="735"/>
      <c r="B119" s="735"/>
      <c r="C119" s="735"/>
      <c r="D119" s="746"/>
      <c r="E119" s="740"/>
      <c r="F119" s="740"/>
      <c r="G119" s="740"/>
      <c r="H119" s="740"/>
      <c r="I119" s="740"/>
      <c r="J119" s="740"/>
      <c r="K119" s="740"/>
      <c r="L119" s="740"/>
      <c r="M119" s="740"/>
      <c r="N119" s="740"/>
      <c r="O119" s="740"/>
      <c r="P119" s="740"/>
      <c r="Q119" s="740"/>
      <c r="R119" s="740"/>
      <c r="S119" s="740"/>
      <c r="T119" s="740"/>
      <c r="U119" s="740"/>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0"/>
      <c r="BC119" s="740"/>
      <c r="BD119" s="740"/>
      <c r="BE119" s="740"/>
      <c r="BF119" s="757" t="s">
        <v>658</v>
      </c>
      <c r="BG119" s="740" t="e">
        <f ca="1">+INDEX(Combinaciones3!$P$2:$W$496,MATCH(1,Combinaciones3!$B$2:$B$497,0),MATCH(WORLDCUP!BF119,Combinaciones3!$P$1:$W$1,0))</f>
        <v>#N/A</v>
      </c>
      <c r="BH119" s="740"/>
      <c r="BI119" s="740"/>
      <c r="BJ119" s="740"/>
      <c r="BK119" s="740"/>
      <c r="BL119" s="740"/>
      <c r="BM119" s="740"/>
      <c r="BN119" s="740"/>
      <c r="BO119" s="740"/>
      <c r="BP119" s="740"/>
      <c r="BQ119" s="740"/>
      <c r="BR119" s="740"/>
      <c r="BS119" s="740"/>
      <c r="BT119" s="740"/>
      <c r="BU119" s="740"/>
      <c r="BV119" s="740"/>
      <c r="BW119" s="740"/>
      <c r="BX119" s="740"/>
      <c r="BY119" s="740"/>
      <c r="BZ119" s="740"/>
      <c r="CA119" s="740"/>
      <c r="CB119" s="740"/>
      <c r="CC119" s="740"/>
      <c r="CD119" s="740"/>
      <c r="CE119" s="740"/>
      <c r="CF119" s="740"/>
      <c r="CG119" s="740"/>
      <c r="CH119" s="740"/>
      <c r="CI119" s="740"/>
      <c r="CJ119" s="740"/>
      <c r="CK119" s="740"/>
      <c r="CL119" s="740"/>
      <c r="CM119" s="740"/>
      <c r="CN119" s="740"/>
      <c r="CO119" s="740"/>
      <c r="CP119" s="740"/>
      <c r="CQ119" s="740"/>
      <c r="CR119" s="740"/>
      <c r="CS119" s="740"/>
      <c r="CT119" s="740"/>
      <c r="CU119" s="740"/>
      <c r="CV119" s="740"/>
      <c r="CW119" s="740"/>
      <c r="CX119" s="740"/>
      <c r="CY119" s="740"/>
      <c r="CZ119" s="740"/>
      <c r="DA119" s="740"/>
      <c r="DB119" s="740"/>
      <c r="DC119" s="740"/>
      <c r="DD119" s="740"/>
      <c r="DE119" s="740"/>
      <c r="DF119" s="740"/>
      <c r="DG119" s="740"/>
      <c r="DH119" s="740"/>
      <c r="DI119" s="740"/>
      <c r="DJ119" s="740"/>
      <c r="DK119" s="740"/>
      <c r="DL119" s="740"/>
      <c r="DM119" s="740"/>
      <c r="DN119" s="740"/>
      <c r="DO119" s="740"/>
      <c r="DP119" s="740"/>
      <c r="DQ119" s="740"/>
      <c r="DR119" s="740"/>
      <c r="DS119" s="740"/>
      <c r="DT119" s="740" t="str">
        <f t="shared" si="242"/>
        <v>Casa-Fuera</v>
      </c>
      <c r="DU119" s="740"/>
      <c r="DV119" s="740"/>
      <c r="DW119" s="8"/>
    </row>
    <row r="120" spans="1:127" ht="15.95" customHeight="1">
      <c r="A120" s="734" t="s">
        <v>730</v>
      </c>
      <c r="B120" s="734" t="s">
        <v>731</v>
      </c>
      <c r="C120" s="735"/>
      <c r="D120" s="743" t="str">
        <f t="shared" ref="D120:D127" si="329">IF(AND(OR(AC120="",AD120="")),"W"&amp;AH120,IF(AC120&gt;AD120,AA120,IF(AC120&lt;AD120,AF120,IF(AND(AC120=AD120,AB120=AE120),"W"&amp;AH120,IF(AND(AC120=AD120,OR(AB120="",AE120="")),"W"&amp;AH120,IF(AND(AC120=AD120,AB120&gt;AE120),AA120,AF120))))))</f>
        <v>W90</v>
      </c>
      <c r="E120" s="740">
        <v>74</v>
      </c>
      <c r="F120" s="740">
        <v>77</v>
      </c>
      <c r="G120" s="740"/>
      <c r="H120" s="740"/>
      <c r="I120" s="740"/>
      <c r="J120" s="734">
        <v>89</v>
      </c>
      <c r="K120" s="734">
        <v>46207.75</v>
      </c>
      <c r="L120" s="734" t="s">
        <v>701</v>
      </c>
      <c r="M120" s="740" t="str">
        <f t="shared" ref="M120:N127" si="330">+INDEX($D$101:$D$147,MATCH(E120,$AH$101:$AH$147,0))</f>
        <v>W74</v>
      </c>
      <c r="N120" s="740" t="str">
        <f t="shared" si="330"/>
        <v>W77</v>
      </c>
      <c r="O120" s="740"/>
      <c r="P120" s="740"/>
      <c r="Q120" s="740"/>
      <c r="R120" s="740"/>
      <c r="S120" s="740"/>
      <c r="T120" s="740"/>
      <c r="U120" s="740"/>
      <c r="V120" s="172"/>
      <c r="W120" s="9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0"/>
      <c r="BC120" s="740"/>
      <c r="BD120" s="740"/>
      <c r="BE120" s="740"/>
      <c r="BF120" s="757" t="s">
        <v>661</v>
      </c>
      <c r="BG120" s="740" t="e">
        <f ca="1">+INDEX(Combinaciones3!$P$2:$W$496,MATCH(1,Combinaciones3!$B$2:$B$497,0),MATCH(WORLDCUP!BF120,Combinaciones3!$P$1:$W$1,0))</f>
        <v>#N/A</v>
      </c>
      <c r="BH120" s="740"/>
      <c r="BI120" s="740"/>
      <c r="BJ120" s="740"/>
      <c r="BK120" s="740"/>
      <c r="BL120" s="740"/>
      <c r="BM120" s="740"/>
      <c r="BN120" s="740"/>
      <c r="BO120" s="740"/>
      <c r="BP120" s="740"/>
      <c r="BQ120" s="740"/>
      <c r="BR120" s="740"/>
      <c r="BS120" s="740"/>
      <c r="BT120" s="740"/>
      <c r="BU120" s="740"/>
      <c r="BV120" s="740"/>
      <c r="BW120" s="740"/>
      <c r="BX120" s="740"/>
      <c r="BY120" s="740"/>
      <c r="BZ120" s="740"/>
      <c r="CA120" s="740"/>
      <c r="CB120" s="740"/>
      <c r="CC120" s="740"/>
      <c r="CD120" s="740"/>
      <c r="CE120" s="740"/>
      <c r="CF120" s="740"/>
      <c r="CG120" s="740"/>
      <c r="CH120" s="740"/>
      <c r="CI120" s="740"/>
      <c r="CJ120" s="740"/>
      <c r="CK120" s="740"/>
      <c r="CL120" s="740"/>
      <c r="CM120" s="740"/>
      <c r="CN120" s="740"/>
      <c r="CO120" s="740"/>
      <c r="CP120" s="740"/>
      <c r="CQ120" s="740"/>
      <c r="CR120" s="740"/>
      <c r="CS120" s="740"/>
      <c r="CT120" s="740"/>
      <c r="CU120" s="740"/>
      <c r="CV120" s="740"/>
      <c r="CW120" s="740"/>
      <c r="CX120" s="740"/>
      <c r="CY120" s="740"/>
      <c r="CZ120" s="740"/>
      <c r="DA120" s="740"/>
      <c r="DB120" s="740"/>
      <c r="DC120" s="740"/>
      <c r="DD120" s="740"/>
      <c r="DE120" s="740"/>
      <c r="DF120" s="740"/>
      <c r="DG120" s="740"/>
      <c r="DH120" s="740"/>
      <c r="DI120" s="740"/>
      <c r="DJ120" s="740"/>
      <c r="DK120" s="740"/>
      <c r="DL120" s="740"/>
      <c r="DM120" s="740"/>
      <c r="DN120" s="740"/>
      <c r="DO120" s="740"/>
      <c r="DP120" s="740"/>
      <c r="DQ120" s="740"/>
      <c r="DR120" s="740"/>
      <c r="DS120" s="740"/>
      <c r="DT120" s="740" t="str">
        <f t="shared" si="242"/>
        <v>W73-W75</v>
      </c>
      <c r="DU120" s="740"/>
      <c r="DV120" s="740"/>
      <c r="DW120" s="8"/>
    </row>
    <row r="121" spans="1:127" ht="15.95" customHeight="1">
      <c r="A121" s="734" t="s">
        <v>732</v>
      </c>
      <c r="B121" s="734" t="s">
        <v>733</v>
      </c>
      <c r="C121" s="735"/>
      <c r="D121" s="743" t="str">
        <f t="shared" si="329"/>
        <v>W89</v>
      </c>
      <c r="E121" s="740">
        <v>73</v>
      </c>
      <c r="F121" s="740">
        <v>75</v>
      </c>
      <c r="G121" s="740"/>
      <c r="H121" s="740"/>
      <c r="I121" s="740"/>
      <c r="J121" s="734">
        <v>90</v>
      </c>
      <c r="K121" s="734">
        <v>46207.875</v>
      </c>
      <c r="L121" s="734" t="s">
        <v>702</v>
      </c>
      <c r="M121" s="740" t="str">
        <f t="shared" si="330"/>
        <v>W73</v>
      </c>
      <c r="N121" s="740" t="str">
        <f t="shared" si="330"/>
        <v>W75</v>
      </c>
      <c r="O121" s="740"/>
      <c r="P121" s="740"/>
      <c r="Q121" s="740"/>
      <c r="R121" s="740"/>
      <c r="S121" s="740"/>
      <c r="T121" s="740"/>
      <c r="U121" s="740"/>
      <c r="V121" s="172"/>
      <c r="W121" s="9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0"/>
      <c r="BC121" s="740"/>
      <c r="BD121" s="740"/>
      <c r="BE121" s="740"/>
      <c r="BF121" s="757" t="s">
        <v>667</v>
      </c>
      <c r="BG121" s="740" t="e">
        <f ca="1">+INDEX(Combinaciones3!$P$2:$W$496,MATCH(1,Combinaciones3!$B$2:$B$497,0),MATCH(WORLDCUP!BF121,Combinaciones3!$P$1:$W$1,0))</f>
        <v>#N/A</v>
      </c>
      <c r="BH121" s="740"/>
      <c r="BI121" s="740"/>
      <c r="BJ121" s="740"/>
      <c r="BK121" s="740"/>
      <c r="BL121" s="740"/>
      <c r="BM121" s="740"/>
      <c r="BN121" s="740"/>
      <c r="BO121" s="740"/>
      <c r="BP121" s="740"/>
      <c r="BQ121" s="740"/>
      <c r="BR121" s="740"/>
      <c r="BS121" s="740"/>
      <c r="BT121" s="740"/>
      <c r="BU121" s="740"/>
      <c r="BV121" s="740"/>
      <c r="BW121" s="740"/>
      <c r="BX121" s="740"/>
      <c r="BY121" s="740"/>
      <c r="BZ121" s="740"/>
      <c r="CA121" s="740"/>
      <c r="CB121" s="740"/>
      <c r="CC121" s="740"/>
      <c r="CD121" s="740"/>
      <c r="CE121" s="740"/>
      <c r="CF121" s="740"/>
      <c r="CG121" s="740"/>
      <c r="CH121" s="740"/>
      <c r="CI121" s="740"/>
      <c r="CJ121" s="740"/>
      <c r="CK121" s="740"/>
      <c r="CL121" s="740"/>
      <c r="CM121" s="740"/>
      <c r="CN121" s="740"/>
      <c r="CO121" s="740"/>
      <c r="CP121" s="740"/>
      <c r="CQ121" s="740"/>
      <c r="CR121" s="740"/>
      <c r="CS121" s="740"/>
      <c r="CT121" s="740"/>
      <c r="CU121" s="740"/>
      <c r="CV121" s="740"/>
      <c r="CW121" s="740"/>
      <c r="CX121" s="740"/>
      <c r="CY121" s="740"/>
      <c r="CZ121" s="740"/>
      <c r="DA121" s="740"/>
      <c r="DB121" s="740"/>
      <c r="DC121" s="740"/>
      <c r="DD121" s="740"/>
      <c r="DE121" s="740"/>
      <c r="DF121" s="740"/>
      <c r="DG121" s="740"/>
      <c r="DH121" s="740"/>
      <c r="DI121" s="740"/>
      <c r="DJ121" s="740"/>
      <c r="DK121" s="740"/>
      <c r="DL121" s="740"/>
      <c r="DM121" s="740"/>
      <c r="DN121" s="740"/>
      <c r="DO121" s="740"/>
      <c r="DP121" s="740"/>
      <c r="DQ121" s="740"/>
      <c r="DR121" s="740"/>
      <c r="DS121" s="740"/>
      <c r="DT121" s="740" t="str">
        <f t="shared" si="242"/>
        <v>W74-W77</v>
      </c>
      <c r="DU121" s="740"/>
      <c r="DV121" s="740"/>
      <c r="DW121" s="8"/>
    </row>
    <row r="122" spans="1:127" ht="15.95" customHeight="1">
      <c r="A122" s="734" t="s">
        <v>734</v>
      </c>
      <c r="B122" s="734" t="s">
        <v>735</v>
      </c>
      <c r="C122" s="735"/>
      <c r="D122" s="743" t="str">
        <f t="shared" si="329"/>
        <v>W91</v>
      </c>
      <c r="E122" s="740">
        <v>76</v>
      </c>
      <c r="F122" s="740">
        <v>78</v>
      </c>
      <c r="G122" s="740"/>
      <c r="H122" s="740"/>
      <c r="I122" s="740"/>
      <c r="J122" s="734">
        <v>91</v>
      </c>
      <c r="K122" s="734">
        <v>46208.75</v>
      </c>
      <c r="L122" s="734" t="s">
        <v>703</v>
      </c>
      <c r="M122" s="740" t="str">
        <f t="shared" si="330"/>
        <v>W76</v>
      </c>
      <c r="N122" s="740" t="str">
        <f t="shared" si="330"/>
        <v>W78</v>
      </c>
      <c r="O122" s="740"/>
      <c r="P122" s="740"/>
      <c r="Q122" s="740"/>
      <c r="R122" s="740"/>
      <c r="S122" s="740"/>
      <c r="T122" s="740"/>
      <c r="U122" s="740"/>
      <c r="V122" s="172"/>
      <c r="W122" s="9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0"/>
      <c r="BC122" s="740"/>
      <c r="BD122" s="740"/>
      <c r="BE122" s="740"/>
      <c r="BF122" s="748" t="s">
        <v>673</v>
      </c>
      <c r="BG122" s="740" t="e">
        <f ca="1">+INDEX(Combinaciones3!$P$2:$W$496,MATCH(1,Combinaciones3!$B$2:$B$497,0),MATCH(WORLDCUP!BF122,Combinaciones3!$P$1:$W$1,0))</f>
        <v>#N/A</v>
      </c>
      <c r="BH122" s="740"/>
      <c r="BI122" s="740"/>
      <c r="BJ122" s="740"/>
      <c r="BK122" s="740"/>
      <c r="BL122" s="740"/>
      <c r="BM122" s="740"/>
      <c r="BN122" s="740"/>
      <c r="BO122" s="740"/>
      <c r="BP122" s="740"/>
      <c r="BQ122" s="740"/>
      <c r="BR122" s="740"/>
      <c r="BS122" s="740"/>
      <c r="BT122" s="740"/>
      <c r="BU122" s="740"/>
      <c r="BV122" s="740"/>
      <c r="BW122" s="740"/>
      <c r="BX122" s="740"/>
      <c r="BY122" s="740"/>
      <c r="BZ122" s="740"/>
      <c r="CA122" s="740"/>
      <c r="CB122" s="740"/>
      <c r="CC122" s="740"/>
      <c r="CD122" s="740"/>
      <c r="CE122" s="740"/>
      <c r="CF122" s="740"/>
      <c r="CG122" s="740"/>
      <c r="CH122" s="740"/>
      <c r="CI122" s="740"/>
      <c r="CJ122" s="740"/>
      <c r="CK122" s="740"/>
      <c r="CL122" s="740"/>
      <c r="CM122" s="740"/>
      <c r="CN122" s="740"/>
      <c r="CO122" s="740"/>
      <c r="CP122" s="740"/>
      <c r="CQ122" s="740"/>
      <c r="CR122" s="740"/>
      <c r="CS122" s="740"/>
      <c r="CT122" s="740"/>
      <c r="CU122" s="740"/>
      <c r="CV122" s="740"/>
      <c r="CW122" s="740"/>
      <c r="CX122" s="740"/>
      <c r="CY122" s="740"/>
      <c r="CZ122" s="740"/>
      <c r="DA122" s="740"/>
      <c r="DB122" s="740"/>
      <c r="DC122" s="740"/>
      <c r="DD122" s="740"/>
      <c r="DE122" s="740"/>
      <c r="DF122" s="740"/>
      <c r="DG122" s="740"/>
      <c r="DH122" s="740"/>
      <c r="DI122" s="740"/>
      <c r="DJ122" s="740"/>
      <c r="DK122" s="740"/>
      <c r="DL122" s="740"/>
      <c r="DM122" s="740"/>
      <c r="DN122" s="740"/>
      <c r="DO122" s="740"/>
      <c r="DP122" s="740"/>
      <c r="DQ122" s="740"/>
      <c r="DR122" s="740"/>
      <c r="DS122" s="740"/>
      <c r="DT122" s="740" t="str">
        <f t="shared" si="242"/>
        <v>W76-W78</v>
      </c>
      <c r="DU122" s="740"/>
      <c r="DV122" s="740"/>
      <c r="DW122" s="8"/>
    </row>
    <row r="123" spans="1:127" ht="15.95" customHeight="1">
      <c r="A123" s="734" t="s">
        <v>736</v>
      </c>
      <c r="B123" s="734" t="s">
        <v>737</v>
      </c>
      <c r="C123" s="735"/>
      <c r="D123" s="743" t="str">
        <f t="shared" si="329"/>
        <v>W92</v>
      </c>
      <c r="E123" s="740">
        <v>79</v>
      </c>
      <c r="F123" s="740">
        <v>80</v>
      </c>
      <c r="G123" s="740"/>
      <c r="H123" s="740"/>
      <c r="I123" s="740"/>
      <c r="J123" s="734">
        <v>92</v>
      </c>
      <c r="K123" s="734">
        <v>46208.875</v>
      </c>
      <c r="L123" s="734" t="s">
        <v>704</v>
      </c>
      <c r="M123" s="740" t="str">
        <f t="shared" si="330"/>
        <v>W79</v>
      </c>
      <c r="N123" s="740" t="str">
        <f t="shared" si="330"/>
        <v>W80</v>
      </c>
      <c r="O123" s="740"/>
      <c r="P123" s="740"/>
      <c r="Q123" s="740"/>
      <c r="R123" s="740"/>
      <c r="S123" s="740"/>
      <c r="T123" s="740"/>
      <c r="U123" s="740"/>
      <c r="V123" s="172"/>
      <c r="W123" s="9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0"/>
      <c r="BC123" s="740"/>
      <c r="BD123" s="740"/>
      <c r="BE123" s="740"/>
      <c r="BF123" s="748" t="s">
        <v>679</v>
      </c>
      <c r="BG123" s="740" t="e">
        <f ca="1">+INDEX(Combinaciones3!$P$2:$W$496,MATCH(1,Combinaciones3!$B$2:$B$497,0),MATCH(WORLDCUP!BF123,Combinaciones3!$P$1:$W$1,0))</f>
        <v>#N/A</v>
      </c>
      <c r="BH123" s="740"/>
      <c r="BI123" s="740"/>
      <c r="BJ123" s="740"/>
      <c r="BK123" s="740"/>
      <c r="BL123" s="740"/>
      <c r="BM123" s="740"/>
      <c r="BN123" s="740"/>
      <c r="BO123" s="740"/>
      <c r="BP123" s="740"/>
      <c r="BQ123" s="740"/>
      <c r="BR123" s="740"/>
      <c r="BS123" s="740"/>
      <c r="BT123" s="740"/>
      <c r="BU123" s="740"/>
      <c r="BV123" s="740"/>
      <c r="BW123" s="740"/>
      <c r="BX123" s="740"/>
      <c r="BY123" s="740"/>
      <c r="BZ123" s="740"/>
      <c r="CA123" s="740"/>
      <c r="CB123" s="740"/>
      <c r="CC123" s="740"/>
      <c r="CD123" s="740"/>
      <c r="CE123" s="740"/>
      <c r="CF123" s="740"/>
      <c r="CG123" s="740"/>
      <c r="CH123" s="740"/>
      <c r="CI123" s="740"/>
      <c r="CJ123" s="740"/>
      <c r="CK123" s="740"/>
      <c r="CL123" s="740"/>
      <c r="CM123" s="740"/>
      <c r="CN123" s="740"/>
      <c r="CO123" s="740"/>
      <c r="CP123" s="740"/>
      <c r="CQ123" s="740"/>
      <c r="CR123" s="740"/>
      <c r="CS123" s="740"/>
      <c r="CT123" s="740"/>
      <c r="CU123" s="740"/>
      <c r="CV123" s="740"/>
      <c r="CW123" s="740"/>
      <c r="CX123" s="740"/>
      <c r="CY123" s="740"/>
      <c r="CZ123" s="740"/>
      <c r="DA123" s="740"/>
      <c r="DB123" s="740"/>
      <c r="DC123" s="740"/>
      <c r="DD123" s="740"/>
      <c r="DE123" s="740"/>
      <c r="DF123" s="740"/>
      <c r="DG123" s="740"/>
      <c r="DH123" s="740"/>
      <c r="DI123" s="740"/>
      <c r="DJ123" s="740"/>
      <c r="DK123" s="740"/>
      <c r="DL123" s="740"/>
      <c r="DM123" s="740"/>
      <c r="DN123" s="740"/>
      <c r="DO123" s="740"/>
      <c r="DP123" s="740"/>
      <c r="DQ123" s="740"/>
      <c r="DR123" s="740"/>
      <c r="DS123" s="740"/>
      <c r="DT123" s="740" t="str">
        <f t="shared" si="242"/>
        <v>W79-W80</v>
      </c>
      <c r="DU123" s="740"/>
      <c r="DV123" s="740"/>
      <c r="DW123" s="8"/>
    </row>
    <row r="124" spans="1:127" ht="15.95" customHeight="1">
      <c r="A124" s="734" t="s">
        <v>738</v>
      </c>
      <c r="B124" s="734" t="s">
        <v>739</v>
      </c>
      <c r="C124" s="735"/>
      <c r="D124" s="743" t="str">
        <f t="shared" si="329"/>
        <v>W93</v>
      </c>
      <c r="E124" s="740">
        <v>83</v>
      </c>
      <c r="F124" s="740">
        <v>84</v>
      </c>
      <c r="G124" s="740"/>
      <c r="H124" s="740"/>
      <c r="I124" s="740"/>
      <c r="J124" s="734">
        <v>93</v>
      </c>
      <c r="K124" s="734">
        <v>46209.75</v>
      </c>
      <c r="L124" s="734" t="s">
        <v>705</v>
      </c>
      <c r="M124" s="740" t="str">
        <f t="shared" si="330"/>
        <v>W83</v>
      </c>
      <c r="N124" s="740" t="str">
        <f t="shared" si="330"/>
        <v>W84</v>
      </c>
      <c r="O124" s="740"/>
      <c r="P124" s="740"/>
      <c r="Q124" s="740"/>
      <c r="R124" s="740"/>
      <c r="S124" s="740"/>
      <c r="T124" s="740"/>
      <c r="U124" s="740"/>
      <c r="V124" s="172"/>
      <c r="W124" s="9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0"/>
      <c r="BC124" s="740"/>
      <c r="BD124" s="740"/>
      <c r="BE124" s="740"/>
      <c r="BF124" s="748" t="s">
        <v>682</v>
      </c>
      <c r="BG124" s="740" t="e">
        <f ca="1">+INDEX(Combinaciones3!$P$2:$W$496,MATCH(1,Combinaciones3!$B$2:$B$497,0),MATCH(WORLDCUP!BF124,Combinaciones3!$P$1:$W$1,0))</f>
        <v>#N/A</v>
      </c>
      <c r="BH124" s="740"/>
      <c r="BI124" s="740"/>
      <c r="BJ124" s="740"/>
      <c r="BK124" s="740"/>
      <c r="BL124" s="740"/>
      <c r="BM124" s="740"/>
      <c r="BN124" s="740"/>
      <c r="BO124" s="740"/>
      <c r="BP124" s="740"/>
      <c r="BQ124" s="740"/>
      <c r="BR124" s="740"/>
      <c r="BS124" s="740"/>
      <c r="BT124" s="740"/>
      <c r="BU124" s="740"/>
      <c r="BV124" s="740"/>
      <c r="BW124" s="740"/>
      <c r="BX124" s="740"/>
      <c r="BY124" s="740"/>
      <c r="BZ124" s="740"/>
      <c r="CA124" s="740"/>
      <c r="CB124" s="740"/>
      <c r="CC124" s="740"/>
      <c r="CD124" s="740"/>
      <c r="CE124" s="740"/>
      <c r="CF124" s="740"/>
      <c r="CG124" s="740"/>
      <c r="CH124" s="740"/>
      <c r="CI124" s="740"/>
      <c r="CJ124" s="740"/>
      <c r="CK124" s="740"/>
      <c r="CL124" s="740"/>
      <c r="CM124" s="740"/>
      <c r="CN124" s="740"/>
      <c r="CO124" s="740"/>
      <c r="CP124" s="740"/>
      <c r="CQ124" s="740"/>
      <c r="CR124" s="740"/>
      <c r="CS124" s="740"/>
      <c r="CT124" s="740"/>
      <c r="CU124" s="740"/>
      <c r="CV124" s="740"/>
      <c r="CW124" s="740"/>
      <c r="CX124" s="740"/>
      <c r="CY124" s="740"/>
      <c r="CZ124" s="740"/>
      <c r="DA124" s="740"/>
      <c r="DB124" s="740"/>
      <c r="DC124" s="740"/>
      <c r="DD124" s="740"/>
      <c r="DE124" s="740"/>
      <c r="DF124" s="740"/>
      <c r="DG124" s="740"/>
      <c r="DH124" s="740"/>
      <c r="DI124" s="740"/>
      <c r="DJ124" s="740"/>
      <c r="DK124" s="740"/>
      <c r="DL124" s="740"/>
      <c r="DM124" s="740"/>
      <c r="DN124" s="740"/>
      <c r="DO124" s="740"/>
      <c r="DP124" s="740"/>
      <c r="DQ124" s="740"/>
      <c r="DR124" s="740"/>
      <c r="DS124" s="740"/>
      <c r="DT124" s="740" t="str">
        <f t="shared" si="242"/>
        <v>W83-W84</v>
      </c>
      <c r="DU124" s="740"/>
      <c r="DV124" s="740"/>
      <c r="DW124" s="8"/>
    </row>
    <row r="125" spans="1:127" ht="15.95" customHeight="1">
      <c r="A125" s="734" t="s">
        <v>740</v>
      </c>
      <c r="B125" s="734" t="s">
        <v>741</v>
      </c>
      <c r="C125" s="735"/>
      <c r="D125" s="743" t="str">
        <f t="shared" si="329"/>
        <v>W94</v>
      </c>
      <c r="E125" s="740">
        <v>81</v>
      </c>
      <c r="F125" s="740">
        <v>82</v>
      </c>
      <c r="G125" s="740"/>
      <c r="H125" s="740"/>
      <c r="I125" s="740"/>
      <c r="J125" s="734">
        <v>94</v>
      </c>
      <c r="K125" s="734">
        <v>46209.875</v>
      </c>
      <c r="L125" s="734" t="s">
        <v>706</v>
      </c>
      <c r="M125" s="740" t="str">
        <f t="shared" si="330"/>
        <v>W81</v>
      </c>
      <c r="N125" s="740" t="str">
        <f t="shared" si="330"/>
        <v>W82</v>
      </c>
      <c r="O125" s="740"/>
      <c r="P125" s="740"/>
      <c r="Q125" s="740"/>
      <c r="R125" s="740"/>
      <c r="S125" s="740"/>
      <c r="T125" s="740"/>
      <c r="U125" s="740"/>
      <c r="V125" s="172"/>
      <c r="W125" s="9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0"/>
      <c r="BC125" s="740"/>
      <c r="BD125" s="740"/>
      <c r="BE125" s="740"/>
      <c r="BF125" s="740"/>
      <c r="BG125" s="740"/>
      <c r="BH125" s="740"/>
      <c r="BI125" s="740"/>
      <c r="BJ125" s="740"/>
      <c r="BK125" s="740"/>
      <c r="BL125" s="740"/>
      <c r="BM125" s="740"/>
      <c r="BN125" s="740"/>
      <c r="BO125" s="740"/>
      <c r="BP125" s="740"/>
      <c r="BQ125" s="740"/>
      <c r="BR125" s="740"/>
      <c r="BS125" s="740"/>
      <c r="BT125" s="740"/>
      <c r="BU125" s="740"/>
      <c r="BV125" s="740"/>
      <c r="BW125" s="740"/>
      <c r="BX125" s="740"/>
      <c r="BY125" s="740"/>
      <c r="BZ125" s="740"/>
      <c r="CA125" s="740"/>
      <c r="CB125" s="740"/>
      <c r="CC125" s="740"/>
      <c r="CD125" s="740"/>
      <c r="CE125" s="740"/>
      <c r="CF125" s="740"/>
      <c r="CG125" s="740"/>
      <c r="CH125" s="740"/>
      <c r="CI125" s="740"/>
      <c r="CJ125" s="740"/>
      <c r="CK125" s="740"/>
      <c r="CL125" s="740"/>
      <c r="CM125" s="740"/>
      <c r="CN125" s="740"/>
      <c r="CO125" s="740"/>
      <c r="CP125" s="740"/>
      <c r="CQ125" s="740"/>
      <c r="CR125" s="740"/>
      <c r="CS125" s="740"/>
      <c r="CT125" s="740"/>
      <c r="CU125" s="740"/>
      <c r="CV125" s="740"/>
      <c r="CW125" s="740"/>
      <c r="CX125" s="740"/>
      <c r="CY125" s="740"/>
      <c r="CZ125" s="740"/>
      <c r="DA125" s="740"/>
      <c r="DB125" s="740"/>
      <c r="DC125" s="740"/>
      <c r="DD125" s="740"/>
      <c r="DE125" s="740"/>
      <c r="DF125" s="740"/>
      <c r="DG125" s="740"/>
      <c r="DH125" s="740"/>
      <c r="DI125" s="740"/>
      <c r="DJ125" s="740"/>
      <c r="DK125" s="740"/>
      <c r="DL125" s="740"/>
      <c r="DM125" s="740"/>
      <c r="DN125" s="740"/>
      <c r="DO125" s="740"/>
      <c r="DP125" s="740"/>
      <c r="DQ125" s="740"/>
      <c r="DR125" s="740"/>
      <c r="DS125" s="740"/>
      <c r="DT125" s="740" t="str">
        <f t="shared" si="242"/>
        <v>W81-W82</v>
      </c>
      <c r="DU125" s="740"/>
      <c r="DV125" s="740"/>
      <c r="DW125" s="8"/>
    </row>
    <row r="126" spans="1:127" ht="15.95" customHeight="1">
      <c r="A126" s="734" t="s">
        <v>742</v>
      </c>
      <c r="B126" s="734" t="s">
        <v>743</v>
      </c>
      <c r="C126" s="735"/>
      <c r="D126" s="743" t="str">
        <f t="shared" si="329"/>
        <v>W95</v>
      </c>
      <c r="E126" s="740">
        <v>86</v>
      </c>
      <c r="F126" s="740">
        <v>88</v>
      </c>
      <c r="G126" s="740"/>
      <c r="H126" s="740"/>
      <c r="I126" s="740"/>
      <c r="J126" s="734">
        <v>95</v>
      </c>
      <c r="K126" s="734">
        <v>46210.75</v>
      </c>
      <c r="L126" s="734" t="s">
        <v>707</v>
      </c>
      <c r="M126" s="740" t="str">
        <f t="shared" si="330"/>
        <v>W86</v>
      </c>
      <c r="N126" s="740" t="str">
        <f t="shared" si="330"/>
        <v>W88</v>
      </c>
      <c r="O126" s="740"/>
      <c r="P126" s="740"/>
      <c r="Q126" s="740"/>
      <c r="R126" s="740"/>
      <c r="S126" s="740"/>
      <c r="T126" s="740"/>
      <c r="U126" s="740"/>
      <c r="V126" s="172"/>
      <c r="W126" s="9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0"/>
      <c r="BC126" s="740"/>
      <c r="BD126" s="740"/>
      <c r="BE126" s="740"/>
      <c r="BF126" s="740"/>
      <c r="BG126" s="740"/>
      <c r="BH126" s="740"/>
      <c r="BI126" s="740"/>
      <c r="BJ126" s="740"/>
      <c r="BK126" s="740"/>
      <c r="BL126" s="740"/>
      <c r="BM126" s="740"/>
      <c r="BN126" s="740"/>
      <c r="BO126" s="740"/>
      <c r="BP126" s="740"/>
      <c r="BQ126" s="740"/>
      <c r="BR126" s="740"/>
      <c r="BS126" s="740"/>
      <c r="BT126" s="740"/>
      <c r="BU126" s="740"/>
      <c r="BV126" s="740"/>
      <c r="BW126" s="740"/>
      <c r="BX126" s="740"/>
      <c r="BY126" s="740"/>
      <c r="BZ126" s="740"/>
      <c r="CA126" s="740"/>
      <c r="CB126" s="740"/>
      <c r="CC126" s="740"/>
      <c r="CD126" s="740"/>
      <c r="CE126" s="740"/>
      <c r="CF126" s="740"/>
      <c r="CG126" s="740"/>
      <c r="CH126" s="740"/>
      <c r="CI126" s="740"/>
      <c r="CJ126" s="740"/>
      <c r="CK126" s="740"/>
      <c r="CL126" s="740"/>
      <c r="CM126" s="740"/>
      <c r="CN126" s="740"/>
      <c r="CO126" s="740"/>
      <c r="CP126" s="740"/>
      <c r="CQ126" s="740"/>
      <c r="CR126" s="740"/>
      <c r="CS126" s="740"/>
      <c r="CT126" s="740"/>
      <c r="CU126" s="740"/>
      <c r="CV126" s="740"/>
      <c r="CW126" s="740"/>
      <c r="CX126" s="740"/>
      <c r="CY126" s="740"/>
      <c r="CZ126" s="740"/>
      <c r="DA126" s="740"/>
      <c r="DB126" s="740"/>
      <c r="DC126" s="740"/>
      <c r="DD126" s="740"/>
      <c r="DE126" s="740"/>
      <c r="DF126" s="740"/>
      <c r="DG126" s="740"/>
      <c r="DH126" s="740"/>
      <c r="DI126" s="740"/>
      <c r="DJ126" s="740"/>
      <c r="DK126" s="740"/>
      <c r="DL126" s="740"/>
      <c r="DM126" s="740"/>
      <c r="DN126" s="740"/>
      <c r="DO126" s="740"/>
      <c r="DP126" s="740"/>
      <c r="DQ126" s="740"/>
      <c r="DR126" s="740"/>
      <c r="DS126" s="740"/>
      <c r="DT126" s="740" t="str">
        <f t="shared" si="242"/>
        <v>W86-W88</v>
      </c>
      <c r="DU126" s="740"/>
      <c r="DV126" s="740"/>
      <c r="DW126" s="8"/>
    </row>
    <row r="127" spans="1:127" ht="15.95" customHeight="1" thickBot="1">
      <c r="A127" s="734" t="s">
        <v>744</v>
      </c>
      <c r="B127" s="734" t="s">
        <v>745</v>
      </c>
      <c r="C127" s="735"/>
      <c r="D127" s="743" t="str">
        <f t="shared" si="329"/>
        <v>W96</v>
      </c>
      <c r="E127" s="740">
        <v>85</v>
      </c>
      <c r="F127" s="740">
        <v>87</v>
      </c>
      <c r="G127" s="740"/>
      <c r="H127" s="740"/>
      <c r="I127" s="740"/>
      <c r="J127" s="734">
        <v>96</v>
      </c>
      <c r="K127" s="734">
        <v>46210.875</v>
      </c>
      <c r="L127" s="734" t="s">
        <v>708</v>
      </c>
      <c r="M127" s="740" t="str">
        <f t="shared" si="330"/>
        <v>W85</v>
      </c>
      <c r="N127" s="740" t="str">
        <f t="shared" si="330"/>
        <v>W87</v>
      </c>
      <c r="O127" s="740"/>
      <c r="P127" s="740"/>
      <c r="Q127" s="740"/>
      <c r="R127" s="740"/>
      <c r="S127" s="740"/>
      <c r="T127" s="740"/>
      <c r="U127" s="740"/>
      <c r="V127" s="172"/>
      <c r="W127" s="9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0"/>
      <c r="BC127" s="740"/>
      <c r="BD127" s="740"/>
      <c r="BE127" s="740"/>
      <c r="BF127" s="740"/>
      <c r="BG127" s="740"/>
      <c r="BH127" s="740"/>
      <c r="BI127" s="740"/>
      <c r="BJ127" s="740"/>
      <c r="BK127" s="740"/>
      <c r="BL127" s="740"/>
      <c r="BM127" s="740"/>
      <c r="BN127" s="740"/>
      <c r="BO127" s="740"/>
      <c r="BP127" s="740"/>
      <c r="BQ127" s="740"/>
      <c r="BR127" s="740"/>
      <c r="BS127" s="740"/>
      <c r="BT127" s="740"/>
      <c r="BU127" s="740"/>
      <c r="BV127" s="740"/>
      <c r="BW127" s="740"/>
      <c r="BX127" s="740"/>
      <c r="BY127" s="740"/>
      <c r="BZ127" s="740"/>
      <c r="CA127" s="740"/>
      <c r="CB127" s="740"/>
      <c r="CC127" s="740"/>
      <c r="CD127" s="740"/>
      <c r="CE127" s="740"/>
      <c r="CF127" s="740"/>
      <c r="CG127" s="740"/>
      <c r="CH127" s="740"/>
      <c r="CI127" s="740"/>
      <c r="CJ127" s="740"/>
      <c r="CK127" s="740"/>
      <c r="CL127" s="740"/>
      <c r="CM127" s="740"/>
      <c r="CN127" s="740"/>
      <c r="CO127" s="740"/>
      <c r="CP127" s="740"/>
      <c r="CQ127" s="740"/>
      <c r="CR127" s="740"/>
      <c r="CS127" s="740"/>
      <c r="CT127" s="740"/>
      <c r="CU127" s="740"/>
      <c r="CV127" s="740"/>
      <c r="CW127" s="740"/>
      <c r="CX127" s="740"/>
      <c r="CY127" s="740"/>
      <c r="CZ127" s="740"/>
      <c r="DA127" s="740"/>
      <c r="DB127" s="740"/>
      <c r="DC127" s="740"/>
      <c r="DD127" s="740"/>
      <c r="DE127" s="740"/>
      <c r="DF127" s="740"/>
      <c r="DG127" s="740"/>
      <c r="DH127" s="740"/>
      <c r="DI127" s="740"/>
      <c r="DJ127" s="740"/>
      <c r="DK127" s="740"/>
      <c r="DL127" s="740"/>
      <c r="DM127" s="740"/>
      <c r="DN127" s="740"/>
      <c r="DO127" s="740"/>
      <c r="DP127" s="740"/>
      <c r="DQ127" s="740"/>
      <c r="DR127" s="740"/>
      <c r="DS127" s="740"/>
      <c r="DT127" s="740" t="str">
        <f t="shared" si="242"/>
        <v>W85-W87</v>
      </c>
      <c r="DU127" s="740"/>
      <c r="DV127" s="740"/>
      <c r="DW127" s="8"/>
    </row>
    <row r="128" spans="1:127" ht="15.95" customHeight="1" thickBot="1">
      <c r="A128" s="735"/>
      <c r="B128" s="735"/>
      <c r="C128" s="735"/>
      <c r="D128" s="743"/>
      <c r="E128" s="740"/>
      <c r="F128" s="740"/>
      <c r="G128" s="740"/>
      <c r="H128" s="740"/>
      <c r="I128" s="740"/>
      <c r="J128" s="740"/>
      <c r="K128" s="740"/>
      <c r="L128" s="740"/>
      <c r="M128" s="740"/>
      <c r="N128" s="740"/>
      <c r="O128" s="740"/>
      <c r="P128" s="740"/>
      <c r="Q128" s="740"/>
      <c r="R128" s="740"/>
      <c r="S128" s="740"/>
      <c r="T128" s="740"/>
      <c r="U128" s="740"/>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0"/>
      <c r="BC128" s="740"/>
      <c r="BD128" s="740"/>
      <c r="BE128" s="740"/>
      <c r="BF128" s="740"/>
      <c r="BG128" s="740"/>
      <c r="BH128" s="740"/>
      <c r="BI128" s="740"/>
      <c r="BJ128" s="740"/>
      <c r="BK128" s="740"/>
      <c r="BL128" s="740"/>
      <c r="BM128" s="740"/>
      <c r="BN128" s="740"/>
      <c r="BO128" s="740"/>
      <c r="BP128" s="740"/>
      <c r="BQ128" s="740"/>
      <c r="BR128" s="740"/>
      <c r="BS128" s="740"/>
      <c r="BT128" s="740"/>
      <c r="BU128" s="740"/>
      <c r="BV128" s="740"/>
      <c r="BW128" s="740"/>
      <c r="BX128" s="740"/>
      <c r="BY128" s="740"/>
      <c r="BZ128" s="740"/>
      <c r="CA128" s="740"/>
      <c r="CB128" s="740"/>
      <c r="CC128" s="740"/>
      <c r="CD128" s="740"/>
      <c r="CE128" s="740"/>
      <c r="CF128" s="740"/>
      <c r="CG128" s="740"/>
      <c r="CH128" s="740"/>
      <c r="CI128" s="740"/>
      <c r="CJ128" s="740"/>
      <c r="CK128" s="740"/>
      <c r="CL128" s="740"/>
      <c r="CM128" s="740"/>
      <c r="CN128" s="740"/>
      <c r="CO128" s="740"/>
      <c r="CP128" s="740"/>
      <c r="CQ128" s="740"/>
      <c r="CR128" s="740"/>
      <c r="CS128" s="740"/>
      <c r="CT128" s="740"/>
      <c r="CU128" s="740"/>
      <c r="CV128" s="740"/>
      <c r="CW128" s="740"/>
      <c r="CX128" s="740"/>
      <c r="CY128" s="740"/>
      <c r="CZ128" s="740"/>
      <c r="DA128" s="740"/>
      <c r="DB128" s="740"/>
      <c r="DC128" s="740"/>
      <c r="DD128" s="740"/>
      <c r="DE128" s="740"/>
      <c r="DF128" s="740"/>
      <c r="DG128" s="740"/>
      <c r="DH128" s="740"/>
      <c r="DI128" s="740"/>
      <c r="DJ128" s="740"/>
      <c r="DK128" s="740"/>
      <c r="DL128" s="740"/>
      <c r="DM128" s="740"/>
      <c r="DN128" s="740"/>
      <c r="DO128" s="740"/>
      <c r="DP128" s="740"/>
      <c r="DQ128" s="740"/>
      <c r="DR128" s="740"/>
      <c r="DS128" s="740"/>
      <c r="DT128" s="740" t="str">
        <f t="shared" si="242"/>
        <v>-</v>
      </c>
      <c r="DU128" s="740"/>
      <c r="DV128" s="740"/>
      <c r="DW128" s="8"/>
    </row>
    <row r="129" spans="1:127" ht="15.95" customHeight="1" thickBot="1">
      <c r="A129" s="735"/>
      <c r="B129" s="735"/>
      <c r="C129" s="735"/>
      <c r="D129" s="743"/>
      <c r="E129" s="740"/>
      <c r="F129" s="740"/>
      <c r="G129" s="740"/>
      <c r="H129" s="740"/>
      <c r="I129" s="740"/>
      <c r="J129" s="740"/>
      <c r="K129" s="740"/>
      <c r="L129" s="740"/>
      <c r="M129" s="740"/>
      <c r="N129" s="740"/>
      <c r="O129" s="740"/>
      <c r="P129" s="740"/>
      <c r="Q129" s="740"/>
      <c r="R129" s="740"/>
      <c r="S129" s="740"/>
      <c r="T129" s="740"/>
      <c r="U129" s="740"/>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0"/>
      <c r="BC129" s="740"/>
      <c r="BD129" s="740"/>
      <c r="BE129" s="740"/>
      <c r="BF129" s="740"/>
      <c r="BG129" s="740"/>
      <c r="BH129" s="740"/>
      <c r="BI129" s="740"/>
      <c r="BJ129" s="740"/>
      <c r="BK129" s="740"/>
      <c r="BL129" s="740"/>
      <c r="BM129" s="740"/>
      <c r="BN129" s="740"/>
      <c r="BO129" s="740"/>
      <c r="BP129" s="740"/>
      <c r="BQ129" s="740"/>
      <c r="BR129" s="740"/>
      <c r="BS129" s="740"/>
      <c r="BT129" s="740"/>
      <c r="BU129" s="740"/>
      <c r="BV129" s="740"/>
      <c r="BW129" s="740"/>
      <c r="BX129" s="740"/>
      <c r="BY129" s="740"/>
      <c r="BZ129" s="740"/>
      <c r="CA129" s="740"/>
      <c r="CB129" s="740"/>
      <c r="CC129" s="740"/>
      <c r="CD129" s="740"/>
      <c r="CE129" s="740"/>
      <c r="CF129" s="740"/>
      <c r="CG129" s="740"/>
      <c r="CH129" s="740"/>
      <c r="CI129" s="740"/>
      <c r="CJ129" s="740"/>
      <c r="CK129" s="740"/>
      <c r="CL129" s="740"/>
      <c r="CM129" s="740"/>
      <c r="CN129" s="740"/>
      <c r="CO129" s="740"/>
      <c r="CP129" s="740"/>
      <c r="CQ129" s="740"/>
      <c r="CR129" s="740"/>
      <c r="CS129" s="740"/>
      <c r="CT129" s="740"/>
      <c r="CU129" s="740"/>
      <c r="CV129" s="740"/>
      <c r="CW129" s="740"/>
      <c r="CX129" s="740"/>
      <c r="CY129" s="740"/>
      <c r="CZ129" s="740"/>
      <c r="DA129" s="740"/>
      <c r="DB129" s="740"/>
      <c r="DC129" s="740"/>
      <c r="DD129" s="740"/>
      <c r="DE129" s="740"/>
      <c r="DF129" s="740"/>
      <c r="DG129" s="740"/>
      <c r="DH129" s="740"/>
      <c r="DI129" s="740"/>
      <c r="DJ129" s="740"/>
      <c r="DK129" s="740"/>
      <c r="DL129" s="740"/>
      <c r="DM129" s="740"/>
      <c r="DN129" s="740"/>
      <c r="DO129" s="740"/>
      <c r="DP129" s="740"/>
      <c r="DQ129" s="740"/>
      <c r="DR129" s="740"/>
      <c r="DS129" s="740"/>
      <c r="DT129" s="740" t="str">
        <f t="shared" si="242"/>
        <v>-</v>
      </c>
      <c r="DU129" s="740"/>
      <c r="DV129" s="740"/>
      <c r="DW129" s="8"/>
    </row>
    <row r="130" spans="1:127" ht="15.95" customHeight="1">
      <c r="A130" s="735"/>
      <c r="B130" s="735"/>
      <c r="C130" s="735"/>
      <c r="D130" s="743"/>
      <c r="E130" s="740"/>
      <c r="F130" s="740"/>
      <c r="G130" s="740"/>
      <c r="H130" s="740"/>
      <c r="I130" s="740"/>
      <c r="J130" s="740"/>
      <c r="K130" s="740"/>
      <c r="L130" s="740"/>
      <c r="M130" s="740"/>
      <c r="N130" s="740"/>
      <c r="O130" s="740"/>
      <c r="P130" s="740"/>
      <c r="Q130" s="740"/>
      <c r="R130" s="740"/>
      <c r="S130" s="740"/>
      <c r="T130" s="740"/>
      <c r="U130" s="740"/>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0"/>
      <c r="BC130" s="740"/>
      <c r="BD130" s="740"/>
      <c r="BE130" s="740"/>
      <c r="BF130" s="740"/>
      <c r="BG130" s="740"/>
      <c r="BH130" s="740"/>
      <c r="BI130" s="740"/>
      <c r="BJ130" s="740"/>
      <c r="BK130" s="740"/>
      <c r="BL130" s="740"/>
      <c r="BM130" s="740"/>
      <c r="BN130" s="740"/>
      <c r="BO130" s="740"/>
      <c r="BP130" s="740"/>
      <c r="BQ130" s="740"/>
      <c r="BR130" s="740"/>
      <c r="BS130" s="740"/>
      <c r="BT130" s="740"/>
      <c r="BU130" s="740"/>
      <c r="BV130" s="740"/>
      <c r="BW130" s="740"/>
      <c r="BX130" s="740"/>
      <c r="BY130" s="740"/>
      <c r="BZ130" s="740"/>
      <c r="CA130" s="740"/>
      <c r="CB130" s="740"/>
      <c r="CC130" s="740"/>
      <c r="CD130" s="740"/>
      <c r="CE130" s="740"/>
      <c r="CF130" s="740"/>
      <c r="CG130" s="740"/>
      <c r="CH130" s="740"/>
      <c r="CI130" s="740"/>
      <c r="CJ130" s="740"/>
      <c r="CK130" s="740"/>
      <c r="CL130" s="740"/>
      <c r="CM130" s="740"/>
      <c r="CN130" s="740"/>
      <c r="CO130" s="740"/>
      <c r="CP130" s="740"/>
      <c r="CQ130" s="740"/>
      <c r="CR130" s="740"/>
      <c r="CS130" s="740"/>
      <c r="CT130" s="740"/>
      <c r="CU130" s="740"/>
      <c r="CV130" s="740"/>
      <c r="CW130" s="740"/>
      <c r="CX130" s="740"/>
      <c r="CY130" s="740"/>
      <c r="CZ130" s="740"/>
      <c r="DA130" s="740"/>
      <c r="DB130" s="740"/>
      <c r="DC130" s="740"/>
      <c r="DD130" s="740"/>
      <c r="DE130" s="740"/>
      <c r="DF130" s="740"/>
      <c r="DG130" s="740"/>
      <c r="DH130" s="740"/>
      <c r="DI130" s="740"/>
      <c r="DJ130" s="740"/>
      <c r="DK130" s="740"/>
      <c r="DL130" s="740"/>
      <c r="DM130" s="740"/>
      <c r="DN130" s="740"/>
      <c r="DO130" s="740"/>
      <c r="DP130" s="740"/>
      <c r="DQ130" s="740"/>
      <c r="DR130" s="740"/>
      <c r="DS130" s="740"/>
      <c r="DT130" s="740" t="str">
        <f t="shared" si="242"/>
        <v>Casa-Fuera</v>
      </c>
      <c r="DU130" s="740"/>
      <c r="DV130" s="740"/>
      <c r="DW130" s="8"/>
    </row>
    <row r="131" spans="1:127" ht="15.95" customHeight="1">
      <c r="A131" s="734" t="s">
        <v>746</v>
      </c>
      <c r="B131" s="734" t="s">
        <v>747</v>
      </c>
      <c r="C131" s="735"/>
      <c r="D131" s="743" t="str">
        <f>IF(AND(OR(AC131="",AD131="")),"W"&amp;AH131,IF(AC131&gt;AD131,AA131,IF(AC131&lt;AD131,AF131,IF(AND(AC131=AD131,AB131=AE131),"W"&amp;AH131,IF(AND(AC131=AD131,OR(AB131="",AE131="")),"W"&amp;AH131,IF(AND(AC131=AD131,AB131&gt;AE131),AA131,AF131))))))</f>
        <v>W97</v>
      </c>
      <c r="E131" s="740">
        <v>89</v>
      </c>
      <c r="F131" s="740">
        <v>90</v>
      </c>
      <c r="G131" s="740"/>
      <c r="H131" s="740"/>
      <c r="I131" s="740"/>
      <c r="J131" s="734">
        <v>97</v>
      </c>
      <c r="K131" s="734">
        <v>46212.75</v>
      </c>
      <c r="L131" s="734" t="s">
        <v>709</v>
      </c>
      <c r="M131" s="740" t="str">
        <f t="shared" ref="M131:N134" si="335">+INDEX($D$101:$D$147,MATCH(E131,$AH$101:$AH$147,0))</f>
        <v>W89</v>
      </c>
      <c r="N131" s="740" t="str">
        <f t="shared" si="335"/>
        <v>W90</v>
      </c>
      <c r="O131" s="740"/>
      <c r="P131" s="740"/>
      <c r="Q131" s="740"/>
      <c r="R131" s="740"/>
      <c r="S131" s="740"/>
      <c r="T131" s="740"/>
      <c r="U131" s="740"/>
      <c r="V131" s="172"/>
      <c r="W131" s="9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0"/>
      <c r="BC131" s="743"/>
      <c r="BD131" s="740"/>
      <c r="BE131" s="740"/>
      <c r="BF131" s="740"/>
      <c r="BG131" s="740"/>
      <c r="BH131" s="740"/>
      <c r="BI131" s="740"/>
      <c r="BJ131" s="740"/>
      <c r="BK131" s="740"/>
      <c r="BL131" s="740"/>
      <c r="BM131" s="740"/>
      <c r="BN131" s="740"/>
      <c r="BO131" s="740"/>
      <c r="BP131" s="740"/>
      <c r="BQ131" s="740"/>
      <c r="BR131" s="740"/>
      <c r="BS131" s="740"/>
      <c r="BT131" s="740"/>
      <c r="BU131" s="740"/>
      <c r="BV131" s="740"/>
      <c r="BW131" s="740"/>
      <c r="BX131" s="740"/>
      <c r="BY131" s="740"/>
      <c r="BZ131" s="740"/>
      <c r="CA131" s="740"/>
      <c r="CB131" s="740"/>
      <c r="CC131" s="740"/>
      <c r="CD131" s="740"/>
      <c r="CE131" s="740"/>
      <c r="CF131" s="740"/>
      <c r="CG131" s="740"/>
      <c r="CH131" s="740"/>
      <c r="CI131" s="740"/>
      <c r="CJ131" s="740"/>
      <c r="CK131" s="740"/>
      <c r="CL131" s="740"/>
      <c r="CM131" s="740"/>
      <c r="CN131" s="740"/>
      <c r="CO131" s="740"/>
      <c r="CP131" s="740"/>
      <c r="CQ131" s="740"/>
      <c r="CR131" s="740"/>
      <c r="CS131" s="740"/>
      <c r="CT131" s="740"/>
      <c r="CU131" s="740"/>
      <c r="CV131" s="740"/>
      <c r="CW131" s="740"/>
      <c r="CX131" s="740"/>
      <c r="CY131" s="740"/>
      <c r="CZ131" s="740"/>
      <c r="DA131" s="740"/>
      <c r="DB131" s="740"/>
      <c r="DC131" s="740"/>
      <c r="DD131" s="740"/>
      <c r="DE131" s="740"/>
      <c r="DF131" s="740"/>
      <c r="DG131" s="740"/>
      <c r="DH131" s="740"/>
      <c r="DI131" s="740"/>
      <c r="DJ131" s="740"/>
      <c r="DK131" s="740"/>
      <c r="DL131" s="740"/>
      <c r="DM131" s="740"/>
      <c r="DN131" s="740"/>
      <c r="DO131" s="740"/>
      <c r="DP131" s="740"/>
      <c r="DQ131" s="740"/>
      <c r="DR131" s="740"/>
      <c r="DS131" s="740"/>
      <c r="DT131" s="740" t="str">
        <f t="shared" si="242"/>
        <v>W89-W90</v>
      </c>
      <c r="DU131" s="740"/>
      <c r="DV131" s="740"/>
      <c r="DW131" s="8"/>
    </row>
    <row r="132" spans="1:127" ht="15.95" customHeight="1">
      <c r="A132" s="734" t="s">
        <v>748</v>
      </c>
      <c r="B132" s="734" t="s">
        <v>749</v>
      </c>
      <c r="C132" s="735"/>
      <c r="D132" s="743" t="str">
        <f>IF(AND(OR(AC132="",AD132="")),"W"&amp;AH132,IF(AC132&gt;AD132,AA132,IF(AC132&lt;AD132,AF132,IF(AND(AC132=AD132,AB132=AE132),"W"&amp;AH132,IF(AND(AC132=AD132,OR(AB132="",AE132="")),"W"&amp;AH132,IF(AND(AC132=AD132,AB132&gt;AE132),AA132,AF132))))))</f>
        <v>W98</v>
      </c>
      <c r="E132" s="740">
        <v>93</v>
      </c>
      <c r="F132" s="740">
        <v>94</v>
      </c>
      <c r="G132" s="740"/>
      <c r="H132" s="740"/>
      <c r="I132" s="740"/>
      <c r="J132" s="734">
        <v>98</v>
      </c>
      <c r="K132" s="734">
        <v>46213.875</v>
      </c>
      <c r="L132" s="734" t="s">
        <v>710</v>
      </c>
      <c r="M132" s="740" t="str">
        <f t="shared" si="335"/>
        <v>W93</v>
      </c>
      <c r="N132" s="740" t="str">
        <f t="shared" si="335"/>
        <v>W94</v>
      </c>
      <c r="O132" s="740"/>
      <c r="P132" s="740"/>
      <c r="Q132" s="740"/>
      <c r="R132" s="740"/>
      <c r="S132" s="740"/>
      <c r="T132" s="740"/>
      <c r="U132" s="740"/>
      <c r="V132" s="172"/>
      <c r="W132" s="9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0"/>
      <c r="BC132" s="743"/>
      <c r="BD132" s="740"/>
      <c r="BE132" s="740"/>
      <c r="BF132" s="740"/>
      <c r="BG132" s="740"/>
      <c r="BH132" s="740"/>
      <c r="BI132" s="740"/>
      <c r="BJ132" s="740"/>
      <c r="BK132" s="740"/>
      <c r="BL132" s="740"/>
      <c r="BM132" s="740"/>
      <c r="BN132" s="740"/>
      <c r="BO132" s="740"/>
      <c r="BP132" s="740"/>
      <c r="BQ132" s="740"/>
      <c r="BR132" s="740"/>
      <c r="BS132" s="740"/>
      <c r="BT132" s="740"/>
      <c r="BU132" s="740"/>
      <c r="BV132" s="740"/>
      <c r="BW132" s="740"/>
      <c r="BX132" s="740"/>
      <c r="BY132" s="740"/>
      <c r="BZ132" s="740"/>
      <c r="CA132" s="740"/>
      <c r="CB132" s="740"/>
      <c r="CC132" s="740"/>
      <c r="CD132" s="740"/>
      <c r="CE132" s="740"/>
      <c r="CF132" s="740"/>
      <c r="CG132" s="740"/>
      <c r="CH132" s="740"/>
      <c r="CI132" s="740"/>
      <c r="CJ132" s="740"/>
      <c r="CK132" s="740"/>
      <c r="CL132" s="740"/>
      <c r="CM132" s="740"/>
      <c r="CN132" s="740"/>
      <c r="CO132" s="740"/>
      <c r="CP132" s="740"/>
      <c r="CQ132" s="740"/>
      <c r="CR132" s="740"/>
      <c r="CS132" s="740"/>
      <c r="CT132" s="740"/>
      <c r="CU132" s="740"/>
      <c r="CV132" s="740"/>
      <c r="CW132" s="740"/>
      <c r="CX132" s="740"/>
      <c r="CY132" s="740"/>
      <c r="CZ132" s="740"/>
      <c r="DA132" s="740"/>
      <c r="DB132" s="740"/>
      <c r="DC132" s="740"/>
      <c r="DD132" s="740"/>
      <c r="DE132" s="740"/>
      <c r="DF132" s="740"/>
      <c r="DG132" s="740"/>
      <c r="DH132" s="740"/>
      <c r="DI132" s="740"/>
      <c r="DJ132" s="740"/>
      <c r="DK132" s="740"/>
      <c r="DL132" s="740"/>
      <c r="DM132" s="740"/>
      <c r="DN132" s="740"/>
      <c r="DO132" s="740"/>
      <c r="DP132" s="740"/>
      <c r="DQ132" s="740"/>
      <c r="DR132" s="740"/>
      <c r="DS132" s="740"/>
      <c r="DT132" s="740" t="str">
        <f t="shared" si="242"/>
        <v>W93-W94</v>
      </c>
      <c r="DU132" s="740"/>
      <c r="DV132" s="740"/>
      <c r="DW132" s="8"/>
    </row>
    <row r="133" spans="1:127" ht="15.95" customHeight="1">
      <c r="A133" s="734" t="s">
        <v>750</v>
      </c>
      <c r="B133" s="734" t="s">
        <v>751</v>
      </c>
      <c r="C133" s="735"/>
      <c r="D133" s="743" t="str">
        <f>IF(AND(OR(AC133="",AD133="")),"W"&amp;AH133,IF(AC133&gt;AD133,AA133,IF(AC133&lt;AD133,AF133,IF(AND(AC133=AD133,AB133=AE133),"W"&amp;AH133,IF(AND(AC133=AD133,OR(AB133="",AE133="")),"W"&amp;AH133,IF(AND(AC133=AD133,AB133&gt;AE133),AA133,AF133))))))</f>
        <v>W99</v>
      </c>
      <c r="E133" s="740">
        <v>91</v>
      </c>
      <c r="F133" s="740">
        <v>92</v>
      </c>
      <c r="G133" s="740"/>
      <c r="H133" s="740"/>
      <c r="I133" s="740"/>
      <c r="J133" s="734">
        <v>99</v>
      </c>
      <c r="K133" s="734">
        <v>46214.75</v>
      </c>
      <c r="L133" s="734" t="s">
        <v>711</v>
      </c>
      <c r="M133" s="740" t="str">
        <f t="shared" si="335"/>
        <v>W91</v>
      </c>
      <c r="N133" s="740" t="str">
        <f t="shared" si="335"/>
        <v>W92</v>
      </c>
      <c r="O133" s="740"/>
      <c r="P133" s="740"/>
      <c r="Q133" s="740"/>
      <c r="R133" s="740"/>
      <c r="S133" s="740"/>
      <c r="T133" s="740"/>
      <c r="U133" s="740"/>
      <c r="V133" s="172"/>
      <c r="W133" s="9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0"/>
      <c r="BC133" s="743"/>
      <c r="BD133" s="740"/>
      <c r="BE133" s="740"/>
      <c r="BF133" s="740"/>
      <c r="BG133" s="740"/>
      <c r="BH133" s="740"/>
      <c r="BI133" s="740"/>
      <c r="BJ133" s="740"/>
      <c r="BK133" s="740"/>
      <c r="BL133" s="740"/>
      <c r="BM133" s="740"/>
      <c r="BN133" s="740"/>
      <c r="BO133" s="740"/>
      <c r="BP133" s="740"/>
      <c r="BQ133" s="740"/>
      <c r="BR133" s="740"/>
      <c r="BS133" s="740"/>
      <c r="BT133" s="740"/>
      <c r="BU133" s="740"/>
      <c r="BV133" s="740"/>
      <c r="BW133" s="740"/>
      <c r="BX133" s="740"/>
      <c r="BY133" s="740"/>
      <c r="BZ133" s="740"/>
      <c r="CA133" s="740"/>
      <c r="CB133" s="740"/>
      <c r="CC133" s="740"/>
      <c r="CD133" s="740"/>
      <c r="CE133" s="740"/>
      <c r="CF133" s="740"/>
      <c r="CG133" s="740"/>
      <c r="CH133" s="740"/>
      <c r="CI133" s="740"/>
      <c r="CJ133" s="740"/>
      <c r="CK133" s="740"/>
      <c r="CL133" s="740"/>
      <c r="CM133" s="740"/>
      <c r="CN133" s="740"/>
      <c r="CO133" s="740"/>
      <c r="CP133" s="740"/>
      <c r="CQ133" s="740"/>
      <c r="CR133" s="740"/>
      <c r="CS133" s="740"/>
      <c r="CT133" s="740"/>
      <c r="CU133" s="740"/>
      <c r="CV133" s="740"/>
      <c r="CW133" s="740"/>
      <c r="CX133" s="740"/>
      <c r="CY133" s="740"/>
      <c r="CZ133" s="740"/>
      <c r="DA133" s="740"/>
      <c r="DB133" s="740"/>
      <c r="DC133" s="740"/>
      <c r="DD133" s="740"/>
      <c r="DE133" s="740"/>
      <c r="DF133" s="740"/>
      <c r="DG133" s="740"/>
      <c r="DH133" s="740"/>
      <c r="DI133" s="740"/>
      <c r="DJ133" s="740"/>
      <c r="DK133" s="740"/>
      <c r="DL133" s="740"/>
      <c r="DM133" s="740"/>
      <c r="DN133" s="740"/>
      <c r="DO133" s="740"/>
      <c r="DP133" s="740"/>
      <c r="DQ133" s="740"/>
      <c r="DR133" s="740"/>
      <c r="DS133" s="740"/>
      <c r="DT133" s="740" t="str">
        <f t="shared" ref="DT133:DT147" si="338">AA133&amp;"-"&amp;AF133</f>
        <v>W91-W92</v>
      </c>
      <c r="DU133" s="740"/>
      <c r="DV133" s="740"/>
      <c r="DW133" s="8"/>
    </row>
    <row r="134" spans="1:127" ht="15.95" customHeight="1" thickBot="1">
      <c r="A134" s="734" t="s">
        <v>752</v>
      </c>
      <c r="B134" s="734" t="s">
        <v>753</v>
      </c>
      <c r="C134" s="735"/>
      <c r="D134" s="743" t="str">
        <f>IF(AND(OR(AC134="",AD134="")),"W"&amp;AH134,IF(AC134&gt;AD134,AA134,IF(AC134&lt;AD134,AF134,IF(AND(AC134=AD134,AB134=AE134),"W"&amp;AH134,IF(AND(AC134=AD134,OR(AB134="",AE134="")),"W"&amp;AH134,IF(AND(AC134=AD134,AB134&gt;AE134),AA134,AF134))))))</f>
        <v>W100</v>
      </c>
      <c r="E134" s="740">
        <v>95</v>
      </c>
      <c r="F134" s="740">
        <v>96</v>
      </c>
      <c r="G134" s="740"/>
      <c r="H134" s="740"/>
      <c r="I134" s="740"/>
      <c r="J134" s="734">
        <v>100</v>
      </c>
      <c r="K134" s="734">
        <v>46214.875</v>
      </c>
      <c r="L134" s="734" t="s">
        <v>712</v>
      </c>
      <c r="M134" s="740" t="str">
        <f t="shared" si="335"/>
        <v>W95</v>
      </c>
      <c r="N134" s="740" t="str">
        <f t="shared" si="335"/>
        <v>W96</v>
      </c>
      <c r="O134" s="740"/>
      <c r="P134" s="740"/>
      <c r="Q134" s="740"/>
      <c r="R134" s="740"/>
      <c r="S134" s="740"/>
      <c r="T134" s="740"/>
      <c r="U134" s="740"/>
      <c r="V134" s="172"/>
      <c r="W134" s="9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0"/>
      <c r="BC134" s="743"/>
      <c r="BD134" s="740"/>
      <c r="BE134" s="740"/>
      <c r="BF134" s="740"/>
      <c r="BG134" s="740"/>
      <c r="BH134" s="740"/>
      <c r="BI134" s="740"/>
      <c r="BJ134" s="740"/>
      <c r="BK134" s="740"/>
      <c r="BL134" s="740"/>
      <c r="BM134" s="740"/>
      <c r="BN134" s="740"/>
      <c r="BO134" s="740"/>
      <c r="BP134" s="740"/>
      <c r="BQ134" s="740"/>
      <c r="BR134" s="740"/>
      <c r="BS134" s="740"/>
      <c r="BT134" s="740"/>
      <c r="BU134" s="740"/>
      <c r="BV134" s="740"/>
      <c r="BW134" s="740"/>
      <c r="BX134" s="740"/>
      <c r="BY134" s="740"/>
      <c r="BZ134" s="740"/>
      <c r="CA134" s="740"/>
      <c r="CB134" s="740"/>
      <c r="CC134" s="740"/>
      <c r="CD134" s="740"/>
      <c r="CE134" s="740"/>
      <c r="CF134" s="740"/>
      <c r="CG134" s="740"/>
      <c r="CH134" s="740"/>
      <c r="CI134" s="740"/>
      <c r="CJ134" s="740"/>
      <c r="CK134" s="740"/>
      <c r="CL134" s="740"/>
      <c r="CM134" s="740"/>
      <c r="CN134" s="740"/>
      <c r="CO134" s="740"/>
      <c r="CP134" s="740"/>
      <c r="CQ134" s="740"/>
      <c r="CR134" s="740"/>
      <c r="CS134" s="740"/>
      <c r="CT134" s="740"/>
      <c r="CU134" s="740"/>
      <c r="CV134" s="740"/>
      <c r="CW134" s="740"/>
      <c r="CX134" s="740"/>
      <c r="CY134" s="740"/>
      <c r="CZ134" s="740"/>
      <c r="DA134" s="740"/>
      <c r="DB134" s="740"/>
      <c r="DC134" s="740"/>
      <c r="DD134" s="740"/>
      <c r="DE134" s="740"/>
      <c r="DF134" s="740"/>
      <c r="DG134" s="740"/>
      <c r="DH134" s="740"/>
      <c r="DI134" s="740"/>
      <c r="DJ134" s="740"/>
      <c r="DK134" s="740"/>
      <c r="DL134" s="740"/>
      <c r="DM134" s="740"/>
      <c r="DN134" s="740"/>
      <c r="DO134" s="740"/>
      <c r="DP134" s="740"/>
      <c r="DQ134" s="740"/>
      <c r="DR134" s="740"/>
      <c r="DS134" s="740"/>
      <c r="DT134" s="740" t="str">
        <f t="shared" si="338"/>
        <v>W95-W96</v>
      </c>
      <c r="DU134" s="740"/>
      <c r="DV134" s="740"/>
      <c r="DW134" s="8"/>
    </row>
    <row r="135" spans="1:127" ht="15.95" customHeight="1" thickBot="1">
      <c r="A135" s="735"/>
      <c r="B135" s="735"/>
      <c r="C135" s="735"/>
      <c r="D135" s="743"/>
      <c r="E135" s="740"/>
      <c r="F135" s="740"/>
      <c r="G135" s="740"/>
      <c r="H135" s="740"/>
      <c r="I135" s="740"/>
      <c r="J135" s="740"/>
      <c r="K135" s="740"/>
      <c r="L135" s="740"/>
      <c r="M135" s="740"/>
      <c r="N135" s="740"/>
      <c r="O135" s="740"/>
      <c r="P135" s="740"/>
      <c r="Q135" s="740"/>
      <c r="R135" s="740"/>
      <c r="S135" s="740"/>
      <c r="T135" s="740"/>
      <c r="U135" s="740"/>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0"/>
      <c r="BC135" s="743"/>
      <c r="BD135" s="740"/>
      <c r="BE135" s="740"/>
      <c r="BF135" s="740"/>
      <c r="BG135" s="740"/>
      <c r="BH135" s="740"/>
      <c r="BI135" s="740"/>
      <c r="BJ135" s="740"/>
      <c r="BK135" s="740"/>
      <c r="BL135" s="740"/>
      <c r="BM135" s="740"/>
      <c r="BN135" s="740"/>
      <c r="BO135" s="740"/>
      <c r="BP135" s="740"/>
      <c r="BQ135" s="740"/>
      <c r="BR135" s="740"/>
      <c r="BS135" s="740"/>
      <c r="BT135" s="740"/>
      <c r="BU135" s="740"/>
      <c r="BV135" s="740"/>
      <c r="BW135" s="740"/>
      <c r="BX135" s="740"/>
      <c r="BY135" s="740"/>
      <c r="BZ135" s="740"/>
      <c r="CA135" s="740"/>
      <c r="CB135" s="740"/>
      <c r="CC135" s="740"/>
      <c r="CD135" s="740"/>
      <c r="CE135" s="740"/>
      <c r="CF135" s="740"/>
      <c r="CG135" s="740"/>
      <c r="CH135" s="740"/>
      <c r="CI135" s="740"/>
      <c r="CJ135" s="740"/>
      <c r="CK135" s="740"/>
      <c r="CL135" s="740"/>
      <c r="CM135" s="740"/>
      <c r="CN135" s="740"/>
      <c r="CO135" s="740"/>
      <c r="CP135" s="740"/>
      <c r="CQ135" s="740"/>
      <c r="CR135" s="740"/>
      <c r="CS135" s="740"/>
      <c r="CT135" s="740"/>
      <c r="CU135" s="740"/>
      <c r="CV135" s="740"/>
      <c r="CW135" s="740"/>
      <c r="CX135" s="740"/>
      <c r="CY135" s="740"/>
      <c r="CZ135" s="740"/>
      <c r="DA135" s="740"/>
      <c r="DB135" s="740"/>
      <c r="DC135" s="740"/>
      <c r="DD135" s="740"/>
      <c r="DE135" s="740"/>
      <c r="DF135" s="740"/>
      <c r="DG135" s="740"/>
      <c r="DH135" s="740"/>
      <c r="DI135" s="740"/>
      <c r="DJ135" s="740"/>
      <c r="DK135" s="740"/>
      <c r="DL135" s="740"/>
      <c r="DM135" s="740"/>
      <c r="DN135" s="740"/>
      <c r="DO135" s="740"/>
      <c r="DP135" s="740"/>
      <c r="DQ135" s="740"/>
      <c r="DR135" s="740"/>
      <c r="DS135" s="740"/>
      <c r="DT135" s="740" t="str">
        <f t="shared" si="338"/>
        <v>-</v>
      </c>
      <c r="DU135" s="740"/>
      <c r="DV135" s="740"/>
      <c r="DW135" s="8"/>
    </row>
    <row r="136" spans="1:127" ht="15.95" customHeight="1" thickBot="1">
      <c r="A136" s="735"/>
      <c r="B136" s="735"/>
      <c r="C136" s="735"/>
      <c r="D136" s="743"/>
      <c r="E136" s="740"/>
      <c r="F136" s="740" t="s">
        <v>1194</v>
      </c>
      <c r="G136" s="740"/>
      <c r="H136" s="740"/>
      <c r="I136" s="740"/>
      <c r="J136" s="740"/>
      <c r="K136" s="740"/>
      <c r="L136" s="740"/>
      <c r="M136" s="740"/>
      <c r="N136" s="740"/>
      <c r="O136" s="740"/>
      <c r="P136" s="740"/>
      <c r="Q136" s="740"/>
      <c r="R136" s="740"/>
      <c r="S136" s="740"/>
      <c r="T136" s="740"/>
      <c r="U136" s="740"/>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0"/>
      <c r="BC136" s="743"/>
      <c r="BD136" s="740"/>
      <c r="BE136" s="740"/>
      <c r="BF136" s="740"/>
      <c r="BG136" s="740"/>
      <c r="BH136" s="740"/>
      <c r="BI136" s="740"/>
      <c r="BJ136" s="740"/>
      <c r="BK136" s="740"/>
      <c r="BL136" s="740"/>
      <c r="BM136" s="740"/>
      <c r="BN136" s="740"/>
      <c r="BO136" s="740"/>
      <c r="BP136" s="740"/>
      <c r="BQ136" s="740"/>
      <c r="BR136" s="740"/>
      <c r="BS136" s="740"/>
      <c r="BT136" s="740"/>
      <c r="BU136" s="740"/>
      <c r="BV136" s="740"/>
      <c r="BW136" s="740"/>
      <c r="BX136" s="740"/>
      <c r="BY136" s="740"/>
      <c r="BZ136" s="740"/>
      <c r="CA136" s="740"/>
      <c r="CB136" s="740"/>
      <c r="CC136" s="740"/>
      <c r="CD136" s="740"/>
      <c r="CE136" s="740"/>
      <c r="CF136" s="740"/>
      <c r="CG136" s="740"/>
      <c r="CH136" s="740"/>
      <c r="CI136" s="740"/>
      <c r="CJ136" s="740"/>
      <c r="CK136" s="740"/>
      <c r="CL136" s="740"/>
      <c r="CM136" s="740"/>
      <c r="CN136" s="740"/>
      <c r="CO136" s="740"/>
      <c r="CP136" s="740"/>
      <c r="CQ136" s="740"/>
      <c r="CR136" s="740"/>
      <c r="CS136" s="740"/>
      <c r="CT136" s="740"/>
      <c r="CU136" s="740"/>
      <c r="CV136" s="740"/>
      <c r="CW136" s="740"/>
      <c r="CX136" s="740"/>
      <c r="CY136" s="740"/>
      <c r="CZ136" s="740"/>
      <c r="DA136" s="740"/>
      <c r="DB136" s="740"/>
      <c r="DC136" s="740"/>
      <c r="DD136" s="740"/>
      <c r="DE136" s="740"/>
      <c r="DF136" s="740"/>
      <c r="DG136" s="740"/>
      <c r="DH136" s="740"/>
      <c r="DI136" s="740"/>
      <c r="DJ136" s="740"/>
      <c r="DK136" s="740"/>
      <c r="DL136" s="740"/>
      <c r="DM136" s="740"/>
      <c r="DN136" s="740"/>
      <c r="DO136" s="740"/>
      <c r="DP136" s="740"/>
      <c r="DQ136" s="740"/>
      <c r="DR136" s="740"/>
      <c r="DS136" s="740"/>
      <c r="DT136" s="740" t="str">
        <f t="shared" si="338"/>
        <v>-</v>
      </c>
      <c r="DU136" s="740"/>
      <c r="DV136" s="740"/>
      <c r="DW136" s="8"/>
    </row>
    <row r="137" spans="1:127" ht="15.95" customHeight="1">
      <c r="A137" s="735"/>
      <c r="B137" s="735"/>
      <c r="C137" s="735"/>
      <c r="D137" s="743"/>
      <c r="E137" s="740"/>
      <c r="F137" s="740"/>
      <c r="G137" s="740"/>
      <c r="H137" s="740" t="s">
        <v>1371</v>
      </c>
      <c r="I137" s="740"/>
      <c r="J137" s="740"/>
      <c r="K137" s="740"/>
      <c r="L137" s="740"/>
      <c r="M137" s="740"/>
      <c r="N137" s="740"/>
      <c r="O137" s="740"/>
      <c r="P137" s="740"/>
      <c r="Q137" s="740"/>
      <c r="R137" s="740"/>
      <c r="S137" s="740"/>
      <c r="T137" s="740"/>
      <c r="U137" s="740"/>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0"/>
      <c r="BC137" s="743"/>
      <c r="BD137" s="740"/>
      <c r="BE137" s="740"/>
      <c r="BF137" s="740"/>
      <c r="BG137" s="740"/>
      <c r="BH137" s="740"/>
      <c r="BI137" s="740"/>
      <c r="BJ137" s="740"/>
      <c r="BK137" s="740"/>
      <c r="BL137" s="740"/>
      <c r="BM137" s="740"/>
      <c r="BN137" s="740"/>
      <c r="BO137" s="740"/>
      <c r="BP137" s="740"/>
      <c r="BQ137" s="740"/>
      <c r="BR137" s="740"/>
      <c r="BS137" s="740"/>
      <c r="BT137" s="740"/>
      <c r="BU137" s="740"/>
      <c r="BV137" s="740"/>
      <c r="BW137" s="740"/>
      <c r="BX137" s="740"/>
      <c r="BY137" s="740"/>
      <c r="BZ137" s="740"/>
      <c r="CA137" s="740"/>
      <c r="CB137" s="740"/>
      <c r="CC137" s="740"/>
      <c r="CD137" s="740"/>
      <c r="CE137" s="740"/>
      <c r="CF137" s="740"/>
      <c r="CG137" s="740"/>
      <c r="CH137" s="740"/>
      <c r="CI137" s="740"/>
      <c r="CJ137" s="740"/>
      <c r="CK137" s="740"/>
      <c r="CL137" s="740"/>
      <c r="CM137" s="740"/>
      <c r="CN137" s="740"/>
      <c r="CO137" s="740"/>
      <c r="CP137" s="740"/>
      <c r="CQ137" s="740"/>
      <c r="CR137" s="740"/>
      <c r="CS137" s="740"/>
      <c r="CT137" s="740"/>
      <c r="CU137" s="740"/>
      <c r="CV137" s="740"/>
      <c r="CW137" s="740"/>
      <c r="CX137" s="740"/>
      <c r="CY137" s="740"/>
      <c r="CZ137" s="740"/>
      <c r="DA137" s="740"/>
      <c r="DB137" s="740"/>
      <c r="DC137" s="740"/>
      <c r="DD137" s="740"/>
      <c r="DE137" s="740"/>
      <c r="DF137" s="740"/>
      <c r="DG137" s="740"/>
      <c r="DH137" s="740"/>
      <c r="DI137" s="740"/>
      <c r="DJ137" s="740"/>
      <c r="DK137" s="740"/>
      <c r="DL137" s="740"/>
      <c r="DM137" s="740"/>
      <c r="DN137" s="740"/>
      <c r="DO137" s="740"/>
      <c r="DP137" s="740"/>
      <c r="DQ137" s="740"/>
      <c r="DR137" s="740"/>
      <c r="DS137" s="740"/>
      <c r="DT137" s="740" t="str">
        <f t="shared" si="338"/>
        <v>Casa-Fuera</v>
      </c>
      <c r="DU137" s="740"/>
      <c r="DV137" s="740"/>
      <c r="DW137" s="8"/>
    </row>
    <row r="138" spans="1:127" ht="15.95" customHeight="1">
      <c r="A138" s="734" t="s">
        <v>754</v>
      </c>
      <c r="B138" s="734" t="s">
        <v>755</v>
      </c>
      <c r="C138" s="735"/>
      <c r="D138" s="743" t="str">
        <f>IF(AND(OR(AC138="",AD138="")),"W"&amp;AH138,IF(AC138&gt;AD138,AA138,IF(AC138&lt;AD138,AF138,IF(AND(AC138=AD138,AB138=AE138),"W"&amp;AH138,IF(AND(AC138=AD138,OR(AB138="",AE138="")),"W"&amp;AH138,IF(AND(AC138=AD138,AB138&gt;AE138),AA138,AF138))))))</f>
        <v>W101</v>
      </c>
      <c r="E138" s="740">
        <v>97</v>
      </c>
      <c r="F138" s="740">
        <v>98</v>
      </c>
      <c r="G138" s="740"/>
      <c r="H138" s="740" t="str">
        <f>IF(AND(OR(AC138="",AD138="")),"L101",IF(AC138&gt;AD138,AF138,IF(AC138&lt;AD138,AA138,IF(AND(AC138=AD138,AB138=AE138),"L101",IF(AND(AC138=AD138,OR(AB138="",AE138="")),"L101",IF(AND(AC138=AD138,AB138&gt;AE138),AF138,AA138))))))</f>
        <v>L101</v>
      </c>
      <c r="I138" s="740"/>
      <c r="J138" s="734">
        <v>101</v>
      </c>
      <c r="K138" s="734">
        <v>46217.875</v>
      </c>
      <c r="L138" s="734" t="s">
        <v>713</v>
      </c>
      <c r="M138" s="734" t="str">
        <f>+INDEX($D$101:$D$147,MATCH(E138,$AH$101:$AH$147,0))</f>
        <v>W97</v>
      </c>
      <c r="N138" s="734" t="str">
        <f>+INDEX($D$101:$D$147,MATCH(F138,$AH$101:$AH$147,0))</f>
        <v>W98</v>
      </c>
      <c r="O138" s="734"/>
      <c r="P138" s="734"/>
      <c r="Q138" s="734"/>
      <c r="R138" s="734"/>
      <c r="S138" s="734"/>
      <c r="T138" s="734"/>
      <c r="U138" s="734"/>
      <c r="V138" s="172"/>
      <c r="W138" s="9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0"/>
      <c r="BC138" s="743"/>
      <c r="BD138" s="740"/>
      <c r="BE138" s="740"/>
      <c r="BF138" s="740"/>
      <c r="BG138" s="740"/>
      <c r="BH138" s="740"/>
      <c r="BI138" s="740"/>
      <c r="BJ138" s="740"/>
      <c r="BK138" s="740"/>
      <c r="BL138" s="740"/>
      <c r="BM138" s="740"/>
      <c r="BN138" s="740"/>
      <c r="BO138" s="740"/>
      <c r="BP138" s="740"/>
      <c r="BQ138" s="740"/>
      <c r="BR138" s="740"/>
      <c r="BS138" s="740"/>
      <c r="BT138" s="740"/>
      <c r="BU138" s="740"/>
      <c r="BV138" s="740"/>
      <c r="BW138" s="740"/>
      <c r="BX138" s="740"/>
      <c r="BY138" s="740"/>
      <c r="BZ138" s="740"/>
      <c r="CA138" s="740"/>
      <c r="CB138" s="740"/>
      <c r="CC138" s="740"/>
      <c r="CD138" s="740"/>
      <c r="CE138" s="740"/>
      <c r="CF138" s="740"/>
      <c r="CG138" s="740"/>
      <c r="CH138" s="740"/>
      <c r="CI138" s="740"/>
      <c r="CJ138" s="740"/>
      <c r="CK138" s="740"/>
      <c r="CL138" s="740"/>
      <c r="CM138" s="740"/>
      <c r="CN138" s="740"/>
      <c r="CO138" s="740"/>
      <c r="CP138" s="740"/>
      <c r="CQ138" s="740"/>
      <c r="CR138" s="740"/>
      <c r="CS138" s="740"/>
      <c r="CT138" s="740"/>
      <c r="CU138" s="740"/>
      <c r="CV138" s="740"/>
      <c r="CW138" s="740"/>
      <c r="CX138" s="740"/>
      <c r="CY138" s="740"/>
      <c r="CZ138" s="740"/>
      <c r="DA138" s="740"/>
      <c r="DB138" s="740"/>
      <c r="DC138" s="740"/>
      <c r="DD138" s="740"/>
      <c r="DE138" s="740"/>
      <c r="DF138" s="740"/>
      <c r="DG138" s="740"/>
      <c r="DH138" s="740"/>
      <c r="DI138" s="740"/>
      <c r="DJ138" s="740"/>
      <c r="DK138" s="740"/>
      <c r="DL138" s="740"/>
      <c r="DM138" s="740"/>
      <c r="DN138" s="740"/>
      <c r="DO138" s="740"/>
      <c r="DP138" s="740"/>
      <c r="DQ138" s="740"/>
      <c r="DR138" s="740"/>
      <c r="DS138" s="740"/>
      <c r="DT138" s="740" t="str">
        <f t="shared" si="338"/>
        <v>W97-W98</v>
      </c>
      <c r="DU138" s="740"/>
      <c r="DV138" s="740"/>
      <c r="DW138" s="8"/>
    </row>
    <row r="139" spans="1:127" ht="15.95" customHeight="1" thickBot="1">
      <c r="A139" s="734" t="s">
        <v>756</v>
      </c>
      <c r="B139" s="734" t="s">
        <v>757</v>
      </c>
      <c r="C139" s="735"/>
      <c r="D139" s="743" t="str">
        <f>IF(AND(OR(AC139="",AD139="")),"W"&amp;AH139,IF(AC139&gt;AD139,AA139,IF(AC139&lt;AD139,AF139,IF(AND(AC139=AD139,AB139=AE139),"W"&amp;AH139,IF(AND(AC139=AD139,OR(AB139="",AE139="")),"W"&amp;AH139,IF(AND(AC139=AD139,AB139&gt;AE139),AA139,AF139))))))</f>
        <v>W102</v>
      </c>
      <c r="E139" s="740">
        <v>99</v>
      </c>
      <c r="F139" s="740">
        <v>100</v>
      </c>
      <c r="G139" s="740"/>
      <c r="H139" s="740" t="str">
        <f>IF(AND(OR(AC139="",AD139="")),"L102",IF(AC139&gt;AD139,AF139,IF(AC139&lt;AD139,AA139,IF(AND(AC139=AD139,AB139=AE139),"W102",IF(AND(AC139=AD139,OR(AB139="",AE139="")),"L102",IF(AND(AC139=AD139,AB139&gt;AE139),AF139,AA139))))))</f>
        <v>L102</v>
      </c>
      <c r="I139" s="740"/>
      <c r="J139" s="734">
        <v>102</v>
      </c>
      <c r="K139" s="734">
        <v>46218.875</v>
      </c>
      <c r="L139" s="734" t="s">
        <v>714</v>
      </c>
      <c r="M139" s="734" t="str">
        <f>+INDEX($D$101:$D$147,MATCH(E139,$AH$101:$AH$147,0))</f>
        <v>W99</v>
      </c>
      <c r="N139" s="734" t="str">
        <f>+INDEX($D$101:$D$147,MATCH(F139,$AH$101:$AH$147,0))</f>
        <v>W100</v>
      </c>
      <c r="O139" s="734"/>
      <c r="P139" s="734"/>
      <c r="Q139" s="734"/>
      <c r="R139" s="734"/>
      <c r="S139" s="734"/>
      <c r="T139" s="734"/>
      <c r="U139" s="734"/>
      <c r="V139" s="172"/>
      <c r="W139" s="9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0"/>
      <c r="BC139" s="743"/>
      <c r="BD139" s="740"/>
      <c r="BE139" s="740"/>
      <c r="BF139" s="740"/>
      <c r="BG139" s="740"/>
      <c r="BH139" s="740"/>
      <c r="BI139" s="740"/>
      <c r="BJ139" s="740"/>
      <c r="BK139" s="740"/>
      <c r="BL139" s="740"/>
      <c r="BM139" s="740"/>
      <c r="BN139" s="740"/>
      <c r="BO139" s="740"/>
      <c r="BP139" s="740"/>
      <c r="BQ139" s="740"/>
      <c r="BR139" s="740"/>
      <c r="BS139" s="740"/>
      <c r="BT139" s="740"/>
      <c r="BU139" s="740"/>
      <c r="BV139" s="740"/>
      <c r="BW139" s="740"/>
      <c r="BX139" s="740"/>
      <c r="BY139" s="740"/>
      <c r="BZ139" s="740"/>
      <c r="CA139" s="740"/>
      <c r="CB139" s="740"/>
      <c r="CC139" s="740"/>
      <c r="CD139" s="740"/>
      <c r="CE139" s="740"/>
      <c r="CF139" s="740"/>
      <c r="CG139" s="740"/>
      <c r="CH139" s="740"/>
      <c r="CI139" s="740"/>
      <c r="CJ139" s="740"/>
      <c r="CK139" s="740"/>
      <c r="CL139" s="740"/>
      <c r="CM139" s="740"/>
      <c r="CN139" s="740"/>
      <c r="CO139" s="740"/>
      <c r="CP139" s="740"/>
      <c r="CQ139" s="740"/>
      <c r="CR139" s="740"/>
      <c r="CS139" s="740"/>
      <c r="CT139" s="740"/>
      <c r="CU139" s="740"/>
      <c r="CV139" s="740"/>
      <c r="CW139" s="740"/>
      <c r="CX139" s="740"/>
      <c r="CY139" s="740"/>
      <c r="CZ139" s="740"/>
      <c r="DA139" s="740"/>
      <c r="DB139" s="740"/>
      <c r="DC139" s="740"/>
      <c r="DD139" s="740"/>
      <c r="DE139" s="740"/>
      <c r="DF139" s="740"/>
      <c r="DG139" s="740"/>
      <c r="DH139" s="740"/>
      <c r="DI139" s="740"/>
      <c r="DJ139" s="740"/>
      <c r="DK139" s="740"/>
      <c r="DL139" s="740"/>
      <c r="DM139" s="740"/>
      <c r="DN139" s="740"/>
      <c r="DO139" s="740"/>
      <c r="DP139" s="740"/>
      <c r="DQ139" s="740"/>
      <c r="DR139" s="740"/>
      <c r="DS139" s="740"/>
      <c r="DT139" s="740" t="str">
        <f t="shared" si="338"/>
        <v>W99-W100</v>
      </c>
      <c r="DU139" s="740"/>
      <c r="DV139" s="740"/>
      <c r="DW139" s="8"/>
    </row>
    <row r="140" spans="1:127" ht="15.95" customHeight="1" thickBot="1">
      <c r="A140" s="735"/>
      <c r="B140" s="735"/>
      <c r="C140" s="735"/>
      <c r="D140" s="743"/>
      <c r="E140" s="740"/>
      <c r="F140" s="740"/>
      <c r="G140" s="740"/>
      <c r="H140" s="740"/>
      <c r="I140" s="740"/>
      <c r="J140" s="740"/>
      <c r="K140" s="740"/>
      <c r="L140" s="740"/>
      <c r="M140" s="740"/>
      <c r="N140" s="740"/>
      <c r="O140" s="740"/>
      <c r="P140" s="740"/>
      <c r="Q140" s="740"/>
      <c r="R140" s="740"/>
      <c r="S140" s="740"/>
      <c r="T140" s="740"/>
      <c r="U140" s="740"/>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0"/>
      <c r="BC140" s="743"/>
      <c r="BD140" s="740"/>
      <c r="BE140" s="740"/>
      <c r="BF140" s="740"/>
      <c r="BG140" s="740"/>
      <c r="BH140" s="740"/>
      <c r="BI140" s="740"/>
      <c r="BJ140" s="740"/>
      <c r="BK140" s="740"/>
      <c r="BL140" s="740"/>
      <c r="BM140" s="740"/>
      <c r="BN140" s="740"/>
      <c r="BO140" s="740"/>
      <c r="BP140" s="740"/>
      <c r="BQ140" s="740"/>
      <c r="BR140" s="740"/>
      <c r="BS140" s="740"/>
      <c r="BT140" s="740"/>
      <c r="BU140" s="740"/>
      <c r="BV140" s="740"/>
      <c r="BW140" s="740"/>
      <c r="BX140" s="740"/>
      <c r="BY140" s="740"/>
      <c r="BZ140" s="740"/>
      <c r="CA140" s="740"/>
      <c r="CB140" s="740"/>
      <c r="CC140" s="740"/>
      <c r="CD140" s="740"/>
      <c r="CE140" s="740"/>
      <c r="CF140" s="740"/>
      <c r="CG140" s="740"/>
      <c r="CH140" s="740"/>
      <c r="CI140" s="740"/>
      <c r="CJ140" s="740"/>
      <c r="CK140" s="740"/>
      <c r="CL140" s="740"/>
      <c r="CM140" s="740"/>
      <c r="CN140" s="740"/>
      <c r="CO140" s="740"/>
      <c r="CP140" s="740"/>
      <c r="CQ140" s="740"/>
      <c r="CR140" s="740"/>
      <c r="CS140" s="740"/>
      <c r="CT140" s="740"/>
      <c r="CU140" s="740"/>
      <c r="CV140" s="740"/>
      <c r="CW140" s="740"/>
      <c r="CX140" s="740"/>
      <c r="CY140" s="740"/>
      <c r="CZ140" s="740"/>
      <c r="DA140" s="740"/>
      <c r="DB140" s="740"/>
      <c r="DC140" s="740"/>
      <c r="DD140" s="740"/>
      <c r="DE140" s="740"/>
      <c r="DF140" s="740"/>
      <c r="DG140" s="740"/>
      <c r="DH140" s="740"/>
      <c r="DI140" s="740"/>
      <c r="DJ140" s="740"/>
      <c r="DK140" s="740"/>
      <c r="DL140" s="740"/>
      <c r="DM140" s="740"/>
      <c r="DN140" s="740"/>
      <c r="DO140" s="740"/>
      <c r="DP140" s="740"/>
      <c r="DQ140" s="740"/>
      <c r="DR140" s="740"/>
      <c r="DS140" s="740"/>
      <c r="DT140" s="740" t="str">
        <f t="shared" si="338"/>
        <v>-</v>
      </c>
      <c r="DU140" s="740"/>
      <c r="DV140" s="740"/>
      <c r="DW140" s="8"/>
    </row>
    <row r="141" spans="1:127" ht="15.95" customHeight="1" thickBot="1">
      <c r="A141" s="735"/>
      <c r="B141" s="735"/>
      <c r="C141" s="735"/>
      <c r="D141" s="743"/>
      <c r="E141" s="740"/>
      <c r="F141" s="740"/>
      <c r="G141" s="740"/>
      <c r="H141" s="740"/>
      <c r="I141" s="740"/>
      <c r="J141" s="740"/>
      <c r="K141" s="740"/>
      <c r="L141" s="740"/>
      <c r="M141" s="740"/>
      <c r="N141" s="740"/>
      <c r="O141" s="740"/>
      <c r="P141" s="740"/>
      <c r="Q141" s="740"/>
      <c r="R141" s="740"/>
      <c r="S141" s="740"/>
      <c r="T141" s="740"/>
      <c r="U141" s="740"/>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0"/>
      <c r="BC141" s="743"/>
      <c r="BD141" s="740"/>
      <c r="BE141" s="740"/>
      <c r="BF141" s="740"/>
      <c r="BG141" s="740"/>
      <c r="BH141" s="740"/>
      <c r="BI141" s="740"/>
      <c r="BJ141" s="740"/>
      <c r="BK141" s="740"/>
      <c r="BL141" s="740"/>
      <c r="BM141" s="740"/>
      <c r="BN141" s="740"/>
      <c r="BO141" s="740"/>
      <c r="BP141" s="740"/>
      <c r="BQ141" s="740"/>
      <c r="BR141" s="740"/>
      <c r="BS141" s="740"/>
      <c r="BT141" s="740"/>
      <c r="BU141" s="740"/>
      <c r="BV141" s="740"/>
      <c r="BW141" s="740"/>
      <c r="BX141" s="740"/>
      <c r="BY141" s="740"/>
      <c r="BZ141" s="740"/>
      <c r="CA141" s="740"/>
      <c r="CB141" s="740"/>
      <c r="CC141" s="740"/>
      <c r="CD141" s="740"/>
      <c r="CE141" s="740"/>
      <c r="CF141" s="740"/>
      <c r="CG141" s="740"/>
      <c r="CH141" s="740"/>
      <c r="CI141" s="740"/>
      <c r="CJ141" s="740"/>
      <c r="CK141" s="740"/>
      <c r="CL141" s="740"/>
      <c r="CM141" s="740"/>
      <c r="CN141" s="740"/>
      <c r="CO141" s="740"/>
      <c r="CP141" s="740"/>
      <c r="CQ141" s="740"/>
      <c r="CR141" s="740"/>
      <c r="CS141" s="740"/>
      <c r="CT141" s="740"/>
      <c r="CU141" s="740"/>
      <c r="CV141" s="740"/>
      <c r="CW141" s="740"/>
      <c r="CX141" s="740"/>
      <c r="CY141" s="740"/>
      <c r="CZ141" s="740"/>
      <c r="DA141" s="740"/>
      <c r="DB141" s="740"/>
      <c r="DC141" s="740"/>
      <c r="DD141" s="740"/>
      <c r="DE141" s="740"/>
      <c r="DF141" s="740"/>
      <c r="DG141" s="740"/>
      <c r="DH141" s="740"/>
      <c r="DI141" s="740"/>
      <c r="DJ141" s="740"/>
      <c r="DK141" s="740"/>
      <c r="DL141" s="740"/>
      <c r="DM141" s="740"/>
      <c r="DN141" s="740"/>
      <c r="DO141" s="740"/>
      <c r="DP141" s="740"/>
      <c r="DQ141" s="740"/>
      <c r="DR141" s="740"/>
      <c r="DS141" s="740"/>
      <c r="DT141" s="740" t="str">
        <f t="shared" si="338"/>
        <v>-</v>
      </c>
      <c r="DU141" s="740"/>
      <c r="DV141" s="740"/>
      <c r="DW141" s="8"/>
    </row>
    <row r="142" spans="1:127" ht="15.95" customHeight="1">
      <c r="A142" s="735"/>
      <c r="B142" s="735"/>
      <c r="C142" s="735"/>
      <c r="D142" s="743"/>
      <c r="E142" s="740"/>
      <c r="F142" s="740"/>
      <c r="G142" s="740"/>
      <c r="H142" s="740"/>
      <c r="I142" s="740"/>
      <c r="J142" s="740"/>
      <c r="K142" s="740"/>
      <c r="L142" s="740"/>
      <c r="M142" s="740"/>
      <c r="N142" s="740"/>
      <c r="O142" s="740"/>
      <c r="P142" s="740"/>
      <c r="Q142" s="740"/>
      <c r="R142" s="740"/>
      <c r="S142" s="740"/>
      <c r="T142" s="740"/>
      <c r="U142" s="740"/>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0"/>
      <c r="BC142" s="740"/>
      <c r="BD142" s="740"/>
      <c r="BE142" s="740"/>
      <c r="BF142" s="740"/>
      <c r="BG142" s="740"/>
      <c r="BH142" s="740"/>
      <c r="BI142" s="740"/>
      <c r="BJ142" s="740"/>
      <c r="BK142" s="740"/>
      <c r="BL142" s="740"/>
      <c r="BM142" s="740"/>
      <c r="BN142" s="740"/>
      <c r="BO142" s="740"/>
      <c r="BP142" s="740"/>
      <c r="BQ142" s="740"/>
      <c r="BR142" s="740"/>
      <c r="BS142" s="740"/>
      <c r="BT142" s="740"/>
      <c r="BU142" s="740"/>
      <c r="BV142" s="740"/>
      <c r="BW142" s="740"/>
      <c r="BX142" s="740"/>
      <c r="BY142" s="740"/>
      <c r="BZ142" s="740"/>
      <c r="CA142" s="740"/>
      <c r="CB142" s="740"/>
      <c r="CC142" s="740"/>
      <c r="CD142" s="740"/>
      <c r="CE142" s="740"/>
      <c r="CF142" s="740"/>
      <c r="CG142" s="740"/>
      <c r="CH142" s="740"/>
      <c r="CI142" s="740"/>
      <c r="CJ142" s="740"/>
      <c r="CK142" s="740"/>
      <c r="CL142" s="740"/>
      <c r="CM142" s="740"/>
      <c r="CN142" s="740"/>
      <c r="CO142" s="740"/>
      <c r="CP142" s="740"/>
      <c r="CQ142" s="740"/>
      <c r="CR142" s="740"/>
      <c r="CS142" s="740"/>
      <c r="CT142" s="740"/>
      <c r="CU142" s="740"/>
      <c r="CV142" s="740"/>
      <c r="CW142" s="740"/>
      <c r="CX142" s="740"/>
      <c r="CY142" s="740"/>
      <c r="CZ142" s="740"/>
      <c r="DA142" s="740"/>
      <c r="DB142" s="740"/>
      <c r="DC142" s="740"/>
      <c r="DD142" s="740"/>
      <c r="DE142" s="740"/>
      <c r="DF142" s="740"/>
      <c r="DG142" s="740"/>
      <c r="DH142" s="740"/>
      <c r="DI142" s="740"/>
      <c r="DJ142" s="740"/>
      <c r="DK142" s="740"/>
      <c r="DL142" s="740"/>
      <c r="DM142" s="740"/>
      <c r="DN142" s="740"/>
      <c r="DO142" s="740"/>
      <c r="DP142" s="740"/>
      <c r="DQ142" s="740"/>
      <c r="DR142" s="740"/>
      <c r="DS142" s="740"/>
      <c r="DT142" s="740" t="str">
        <f t="shared" si="338"/>
        <v>Casa-Fuera</v>
      </c>
      <c r="DU142" s="740"/>
      <c r="DV142" s="740"/>
      <c r="DW142" s="8"/>
    </row>
    <row r="143" spans="1:127" ht="15.95" customHeight="1" thickBot="1">
      <c r="A143" s="734" t="s">
        <v>758</v>
      </c>
      <c r="B143" s="734" t="s">
        <v>759</v>
      </c>
      <c r="C143" s="735"/>
      <c r="D143" s="743" t="str">
        <f>IF(AND(OR(AC143="",AD143="")),"W"&amp;AH143,IF(AC143&gt;AD143,AA143,IF(AC143&lt;AD143,AF143,IF(AND(AC143=AD143,AB143=AE143),"W"&amp;AH143,IF(AND(AC143=AD143,OR(AB143="",AE143="")),"W"&amp;AH143,IF(AND(AC143=AD143,AB143&gt;AE143),AA143,AF143))))))</f>
        <v>W103</v>
      </c>
      <c r="E143" s="740">
        <v>101</v>
      </c>
      <c r="F143" s="740">
        <v>102</v>
      </c>
      <c r="G143" s="740"/>
      <c r="H143" s="740"/>
      <c r="I143" s="740"/>
      <c r="J143" s="734">
        <v>103</v>
      </c>
      <c r="K143" s="734">
        <v>46221.875</v>
      </c>
      <c r="L143" s="734" t="s">
        <v>715</v>
      </c>
      <c r="M143" s="734" t="str">
        <f>+INDEX($D$101:$D$147,MATCH(E143,$AH$101:$AH$147,0))</f>
        <v>W101</v>
      </c>
      <c r="N143" s="734" t="str">
        <f>+INDEX($D$101:$D$147,MATCH(F143,$AH$101:$AH$147,0))</f>
        <v>W102</v>
      </c>
      <c r="O143" s="734"/>
      <c r="P143" s="734"/>
      <c r="Q143" s="734"/>
      <c r="R143" s="734"/>
      <c r="S143" s="734"/>
      <c r="T143" s="734"/>
      <c r="U143" s="734"/>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0"/>
      <c r="BC143" s="740"/>
      <c r="BD143" s="740"/>
      <c r="BE143" s="740"/>
      <c r="BF143" s="740"/>
      <c r="BG143" s="740"/>
      <c r="BH143" s="740"/>
      <c r="BI143" s="740"/>
      <c r="BJ143" s="740"/>
      <c r="BK143" s="740"/>
      <c r="BL143" s="740"/>
      <c r="BM143" s="740"/>
      <c r="BN143" s="740"/>
      <c r="BO143" s="740"/>
      <c r="BP143" s="740"/>
      <c r="BQ143" s="740"/>
      <c r="BR143" s="740"/>
      <c r="BS143" s="740"/>
      <c r="BT143" s="740"/>
      <c r="BU143" s="740"/>
      <c r="BV143" s="740"/>
      <c r="BW143" s="740"/>
      <c r="BX143" s="740"/>
      <c r="BY143" s="740"/>
      <c r="BZ143" s="740"/>
      <c r="CA143" s="740"/>
      <c r="CB143" s="740"/>
      <c r="CC143" s="740"/>
      <c r="CD143" s="740"/>
      <c r="CE143" s="740"/>
      <c r="CF143" s="740"/>
      <c r="CG143" s="740"/>
      <c r="CH143" s="740"/>
      <c r="CI143" s="740"/>
      <c r="CJ143" s="740"/>
      <c r="CK143" s="740"/>
      <c r="CL143" s="740"/>
      <c r="CM143" s="740"/>
      <c r="CN143" s="740"/>
      <c r="CO143" s="740"/>
      <c r="CP143" s="740"/>
      <c r="CQ143" s="740"/>
      <c r="CR143" s="740"/>
      <c r="CS143" s="740"/>
      <c r="CT143" s="740"/>
      <c r="CU143" s="740"/>
      <c r="CV143" s="740"/>
      <c r="CW143" s="740"/>
      <c r="CX143" s="740"/>
      <c r="CY143" s="740"/>
      <c r="CZ143" s="740"/>
      <c r="DA143" s="740"/>
      <c r="DB143" s="740"/>
      <c r="DC143" s="740"/>
      <c r="DD143" s="740"/>
      <c r="DE143" s="740"/>
      <c r="DF143" s="740"/>
      <c r="DG143" s="740"/>
      <c r="DH143" s="740"/>
      <c r="DI143" s="740"/>
      <c r="DJ143" s="740"/>
      <c r="DK143" s="740"/>
      <c r="DL143" s="740"/>
      <c r="DM143" s="740"/>
      <c r="DN143" s="740"/>
      <c r="DO143" s="740"/>
      <c r="DP143" s="740"/>
      <c r="DQ143" s="740"/>
      <c r="DR143" s="740"/>
      <c r="DS143" s="740"/>
      <c r="DT143" s="740" t="str">
        <f t="shared" si="338"/>
        <v>L101-L102</v>
      </c>
      <c r="DU143" s="740"/>
      <c r="DV143" s="740"/>
      <c r="DW143" s="8"/>
    </row>
    <row r="144" spans="1:127" ht="15.95" customHeight="1" thickBot="1">
      <c r="A144" s="735"/>
      <c r="B144" s="735"/>
      <c r="C144" s="735"/>
      <c r="D144" s="743"/>
      <c r="E144" s="740"/>
      <c r="F144" s="740"/>
      <c r="G144" s="740"/>
      <c r="H144" s="740"/>
      <c r="I144" s="740"/>
      <c r="J144" s="740"/>
      <c r="K144" s="740"/>
      <c r="L144" s="740"/>
      <c r="M144" s="740"/>
      <c r="N144" s="740"/>
      <c r="O144" s="740"/>
      <c r="P144" s="740"/>
      <c r="Q144" s="740"/>
      <c r="R144" s="740"/>
      <c r="S144" s="740"/>
      <c r="T144" s="740"/>
      <c r="U144" s="740"/>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0"/>
      <c r="BC144" s="740"/>
      <c r="BD144" s="740"/>
      <c r="BE144" s="740"/>
      <c r="BF144" s="740"/>
      <c r="BG144" s="740"/>
      <c r="BH144" s="740"/>
      <c r="BI144" s="740"/>
      <c r="BJ144" s="740"/>
      <c r="BK144" s="740"/>
      <c r="BL144" s="740"/>
      <c r="BM144" s="740"/>
      <c r="BN144" s="740"/>
      <c r="BO144" s="740"/>
      <c r="BP144" s="740"/>
      <c r="BQ144" s="740"/>
      <c r="BR144" s="740"/>
      <c r="BS144" s="740"/>
      <c r="BT144" s="740"/>
      <c r="BU144" s="740"/>
      <c r="BV144" s="740"/>
      <c r="BW144" s="740"/>
      <c r="BX144" s="740"/>
      <c r="BY144" s="740"/>
      <c r="BZ144" s="740"/>
      <c r="CA144" s="740"/>
      <c r="CB144" s="740"/>
      <c r="CC144" s="740"/>
      <c r="CD144" s="740"/>
      <c r="CE144" s="740"/>
      <c r="CF144" s="740"/>
      <c r="CG144" s="740"/>
      <c r="CH144" s="740"/>
      <c r="CI144" s="740"/>
      <c r="CJ144" s="740"/>
      <c r="CK144" s="740"/>
      <c r="CL144" s="740"/>
      <c r="CM144" s="740"/>
      <c r="CN144" s="740"/>
      <c r="CO144" s="740"/>
      <c r="CP144" s="740"/>
      <c r="CQ144" s="740"/>
      <c r="CR144" s="740"/>
      <c r="CS144" s="740"/>
      <c r="CT144" s="740"/>
      <c r="CU144" s="740"/>
      <c r="CV144" s="740"/>
      <c r="CW144" s="740"/>
      <c r="CX144" s="740"/>
      <c r="CY144" s="740"/>
      <c r="CZ144" s="740"/>
      <c r="DA144" s="740"/>
      <c r="DB144" s="740"/>
      <c r="DC144" s="740"/>
      <c r="DD144" s="740"/>
      <c r="DE144" s="740"/>
      <c r="DF144" s="740"/>
      <c r="DG144" s="740"/>
      <c r="DH144" s="740"/>
      <c r="DI144" s="740"/>
      <c r="DJ144" s="740"/>
      <c r="DK144" s="740"/>
      <c r="DL144" s="740"/>
      <c r="DM144" s="740"/>
      <c r="DN144" s="740"/>
      <c r="DO144" s="740"/>
      <c r="DP144" s="740"/>
      <c r="DQ144" s="740"/>
      <c r="DR144" s="740"/>
      <c r="DS144" s="740"/>
      <c r="DT144" s="740" t="str">
        <f t="shared" si="338"/>
        <v>-</v>
      </c>
      <c r="DU144" s="740"/>
      <c r="DV144" s="740"/>
      <c r="DW144" s="8"/>
    </row>
    <row r="145" spans="1:127" ht="15.95" customHeight="1" thickBot="1">
      <c r="A145" s="735"/>
      <c r="B145" s="735"/>
      <c r="C145" s="735"/>
      <c r="D145" s="743"/>
      <c r="E145" s="740"/>
      <c r="F145" s="740"/>
      <c r="G145" s="740"/>
      <c r="H145" s="740"/>
      <c r="I145" s="740"/>
      <c r="J145" s="740"/>
      <c r="K145" s="740"/>
      <c r="L145" s="740"/>
      <c r="M145" s="740"/>
      <c r="N145" s="740"/>
      <c r="O145" s="740"/>
      <c r="P145" s="740"/>
      <c r="Q145" s="740"/>
      <c r="R145" s="740"/>
      <c r="S145" s="740"/>
      <c r="T145" s="740"/>
      <c r="U145" s="740"/>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0"/>
      <c r="BC145" s="740"/>
      <c r="BD145" s="740"/>
      <c r="BE145" s="740"/>
      <c r="BF145" s="740"/>
      <c r="BG145" s="740"/>
      <c r="BH145" s="740"/>
      <c r="BI145" s="740"/>
      <c r="BJ145" s="740"/>
      <c r="BK145" s="740"/>
      <c r="BL145" s="740"/>
      <c r="BM145" s="740"/>
      <c r="BN145" s="740"/>
      <c r="BO145" s="740"/>
      <c r="BP145" s="740"/>
      <c r="BQ145" s="740"/>
      <c r="BR145" s="740"/>
      <c r="BS145" s="740"/>
      <c r="BT145" s="740"/>
      <c r="BU145" s="740"/>
      <c r="BV145" s="740"/>
      <c r="BW145" s="740"/>
      <c r="BX145" s="740"/>
      <c r="BY145" s="740"/>
      <c r="BZ145" s="740"/>
      <c r="CA145" s="740"/>
      <c r="CB145" s="740"/>
      <c r="CC145" s="740"/>
      <c r="CD145" s="740"/>
      <c r="CE145" s="740"/>
      <c r="CF145" s="740"/>
      <c r="CG145" s="740"/>
      <c r="CH145" s="740"/>
      <c r="CI145" s="740"/>
      <c r="CJ145" s="740"/>
      <c r="CK145" s="740"/>
      <c r="CL145" s="740"/>
      <c r="CM145" s="740"/>
      <c r="CN145" s="740"/>
      <c r="CO145" s="740"/>
      <c r="CP145" s="740"/>
      <c r="CQ145" s="740"/>
      <c r="CR145" s="740"/>
      <c r="CS145" s="740"/>
      <c r="CT145" s="740"/>
      <c r="CU145" s="740"/>
      <c r="CV145" s="740"/>
      <c r="CW145" s="740"/>
      <c r="CX145" s="740"/>
      <c r="CY145" s="740"/>
      <c r="CZ145" s="740"/>
      <c r="DA145" s="740"/>
      <c r="DB145" s="740"/>
      <c r="DC145" s="740"/>
      <c r="DD145" s="740"/>
      <c r="DE145" s="740"/>
      <c r="DF145" s="740"/>
      <c r="DG145" s="740"/>
      <c r="DH145" s="740"/>
      <c r="DI145" s="740"/>
      <c r="DJ145" s="740"/>
      <c r="DK145" s="740"/>
      <c r="DL145" s="740"/>
      <c r="DM145" s="740"/>
      <c r="DN145" s="740"/>
      <c r="DO145" s="740"/>
      <c r="DP145" s="740"/>
      <c r="DQ145" s="740"/>
      <c r="DR145" s="740"/>
      <c r="DS145" s="740"/>
      <c r="DT145" s="740" t="str">
        <f t="shared" si="338"/>
        <v>-</v>
      </c>
      <c r="DU145" s="740"/>
      <c r="DV145" s="740"/>
      <c r="DW145" s="8"/>
    </row>
    <row r="146" spans="1:127" ht="15.95" customHeight="1">
      <c r="A146" s="735"/>
      <c r="B146" s="735"/>
      <c r="C146" s="735"/>
      <c r="D146" s="743"/>
      <c r="E146" s="740"/>
      <c r="F146" s="740"/>
      <c r="G146" s="740"/>
      <c r="H146" s="740"/>
      <c r="I146" s="740"/>
      <c r="J146" s="740"/>
      <c r="K146" s="740"/>
      <c r="L146" s="740"/>
      <c r="M146" s="740"/>
      <c r="N146" s="740"/>
      <c r="O146" s="740"/>
      <c r="P146" s="740"/>
      <c r="Q146" s="740"/>
      <c r="R146" s="740"/>
      <c r="S146" s="740"/>
      <c r="T146" s="740"/>
      <c r="U146" s="740"/>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0"/>
      <c r="BC146" s="740"/>
      <c r="BD146" s="740"/>
      <c r="BE146" s="740"/>
      <c r="BF146" s="740"/>
      <c r="BG146" s="740"/>
      <c r="BH146" s="740"/>
      <c r="BI146" s="740"/>
      <c r="BJ146" s="740"/>
      <c r="BK146" s="740"/>
      <c r="BL146" s="740"/>
      <c r="BM146" s="740"/>
      <c r="BN146" s="740"/>
      <c r="BO146" s="740"/>
      <c r="BP146" s="740"/>
      <c r="BQ146" s="740"/>
      <c r="BR146" s="740"/>
      <c r="BS146" s="740"/>
      <c r="BT146" s="740"/>
      <c r="BU146" s="740"/>
      <c r="BV146" s="740"/>
      <c r="BW146" s="740"/>
      <c r="BX146" s="740"/>
      <c r="BY146" s="740"/>
      <c r="BZ146" s="740"/>
      <c r="CA146" s="740"/>
      <c r="CB146" s="740"/>
      <c r="CC146" s="740"/>
      <c r="CD146" s="740"/>
      <c r="CE146" s="740"/>
      <c r="CF146" s="740"/>
      <c r="CG146" s="740"/>
      <c r="CH146" s="740"/>
      <c r="CI146" s="740"/>
      <c r="CJ146" s="740"/>
      <c r="CK146" s="740"/>
      <c r="CL146" s="740"/>
      <c r="CM146" s="740"/>
      <c r="CN146" s="740"/>
      <c r="CO146" s="740"/>
      <c r="CP146" s="740"/>
      <c r="CQ146" s="740"/>
      <c r="CR146" s="740"/>
      <c r="CS146" s="740"/>
      <c r="CT146" s="740"/>
      <c r="CU146" s="740"/>
      <c r="CV146" s="740"/>
      <c r="CW146" s="740"/>
      <c r="CX146" s="740"/>
      <c r="CY146" s="740"/>
      <c r="CZ146" s="740"/>
      <c r="DA146" s="740"/>
      <c r="DB146" s="740"/>
      <c r="DC146" s="740"/>
      <c r="DD146" s="740"/>
      <c r="DE146" s="740"/>
      <c r="DF146" s="740"/>
      <c r="DG146" s="740"/>
      <c r="DH146" s="740"/>
      <c r="DI146" s="740"/>
      <c r="DJ146" s="740"/>
      <c r="DK146" s="740"/>
      <c r="DL146" s="740"/>
      <c r="DM146" s="740"/>
      <c r="DN146" s="740"/>
      <c r="DO146" s="740"/>
      <c r="DP146" s="740"/>
      <c r="DQ146" s="740"/>
      <c r="DR146" s="740"/>
      <c r="DS146" s="740"/>
      <c r="DT146" s="740" t="str">
        <f t="shared" si="338"/>
        <v>Casa-Fuera</v>
      </c>
      <c r="DU146" s="740"/>
      <c r="DV146" s="740"/>
      <c r="DW146" s="8"/>
    </row>
    <row r="147" spans="1:127" ht="15.95" customHeight="1" thickBot="1">
      <c r="A147" s="734" t="s">
        <v>760</v>
      </c>
      <c r="B147" s="734" t="s">
        <v>761</v>
      </c>
      <c r="C147" s="735"/>
      <c r="D147" s="743" t="str">
        <f>IF(AND(OR(AC147="",AD147="")),"W"&amp;AH147,IF(AC147&gt;AD147,AA147,IF(AC147&lt;AD147,AF147,IF(AND(AC147=AD147,AB147=AE147),"W"&amp;AH147,IF(AND(AC147=AD147,OR(AB147="",AE147="")),"W"&amp;AH147,IF(AND(AC147=AD147,AB147&gt;AE147),AA147,AF147))))))</f>
        <v>W104</v>
      </c>
      <c r="E147" s="740">
        <v>101</v>
      </c>
      <c r="F147" s="740">
        <v>102</v>
      </c>
      <c r="G147" s="740"/>
      <c r="H147" s="740" t="str">
        <f>IF(AND(OR(AC147="",AD147="")),"LF",IF(AC147&gt;AD147,AF147,IF(AC147&lt;AD147,AA147,IF(AND(AC147=AD147,AB147=AE147),"LF",IF(AND(AC147=AD147,OR(AB147="",AE147="")),"LF",IF(AND(AC147=AD147,AB147&gt;AE147),AF147,AA147))))))</f>
        <v>LF</v>
      </c>
      <c r="I147" s="740"/>
      <c r="J147" s="734">
        <v>104</v>
      </c>
      <c r="K147" s="734">
        <v>46222.875</v>
      </c>
      <c r="L147" s="734" t="s">
        <v>716</v>
      </c>
      <c r="M147" s="734" t="str">
        <f>+INDEX($D$101:$D$147,MATCH(E147,$AH$101:$AH$147,0))</f>
        <v>W101</v>
      </c>
      <c r="N147" s="734" t="str">
        <f>+INDEX($D$101:$D$147,MATCH(F147,$AH$101:$AH$147,0))</f>
        <v>W102</v>
      </c>
      <c r="O147" s="734"/>
      <c r="P147" s="734"/>
      <c r="Q147" s="734"/>
      <c r="R147" s="734"/>
      <c r="S147" s="734"/>
      <c r="T147" s="734"/>
      <c r="U147" s="734"/>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0"/>
      <c r="BC147" s="740"/>
      <c r="BD147" s="740"/>
      <c r="BE147" s="740"/>
      <c r="BF147" s="740"/>
      <c r="BG147" s="740"/>
      <c r="BH147" s="740"/>
      <c r="BI147" s="740"/>
      <c r="BJ147" s="740"/>
      <c r="BK147" s="740"/>
      <c r="BL147" s="740"/>
      <c r="BM147" s="740"/>
      <c r="BN147" s="740"/>
      <c r="BO147" s="740"/>
      <c r="BP147" s="740"/>
      <c r="BQ147" s="740"/>
      <c r="BR147" s="740"/>
      <c r="BS147" s="740"/>
      <c r="BT147" s="740"/>
      <c r="BU147" s="740"/>
      <c r="BV147" s="740"/>
      <c r="BW147" s="740"/>
      <c r="BX147" s="740"/>
      <c r="BY147" s="740"/>
      <c r="BZ147" s="740"/>
      <c r="CA147" s="740"/>
      <c r="CB147" s="740"/>
      <c r="CC147" s="740"/>
      <c r="CD147" s="740"/>
      <c r="CE147" s="740"/>
      <c r="CF147" s="740"/>
      <c r="CG147" s="740"/>
      <c r="CH147" s="740"/>
      <c r="CI147" s="740"/>
      <c r="CJ147" s="740"/>
      <c r="CK147" s="740"/>
      <c r="CL147" s="740"/>
      <c r="CM147" s="740"/>
      <c r="CN147" s="740"/>
      <c r="CO147" s="740"/>
      <c r="CP147" s="740"/>
      <c r="CQ147" s="740"/>
      <c r="CR147" s="740"/>
      <c r="CS147" s="740"/>
      <c r="CT147" s="740"/>
      <c r="CU147" s="740"/>
      <c r="CV147" s="740"/>
      <c r="CW147" s="740"/>
      <c r="CX147" s="740"/>
      <c r="CY147" s="740"/>
      <c r="CZ147" s="740"/>
      <c r="DA147" s="740"/>
      <c r="DB147" s="740"/>
      <c r="DC147" s="740"/>
      <c r="DD147" s="740"/>
      <c r="DE147" s="740"/>
      <c r="DF147" s="740"/>
      <c r="DG147" s="740"/>
      <c r="DH147" s="740"/>
      <c r="DI147" s="740"/>
      <c r="DJ147" s="740"/>
      <c r="DK147" s="740"/>
      <c r="DL147" s="740"/>
      <c r="DM147" s="740"/>
      <c r="DN147" s="740"/>
      <c r="DO147" s="740"/>
      <c r="DP147" s="740"/>
      <c r="DQ147" s="740"/>
      <c r="DR147" s="740"/>
      <c r="DS147" s="740"/>
      <c r="DT147" s="740" t="str">
        <f t="shared" si="338"/>
        <v>W101-W102</v>
      </c>
      <c r="DU147" s="740"/>
      <c r="DV147" s="740"/>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0"/>
      <c r="BC148" s="740"/>
      <c r="BD148" s="740"/>
      <c r="BE148" s="740"/>
      <c r="BF148" s="740"/>
      <c r="BG148" s="740"/>
      <c r="BH148" s="740"/>
      <c r="BI148" s="740"/>
      <c r="BJ148" s="740"/>
      <c r="BK148" s="740"/>
      <c r="BL148" s="740"/>
      <c r="BM148" s="740"/>
      <c r="BN148" s="740"/>
      <c r="BO148" s="740"/>
      <c r="BP148" s="740"/>
      <c r="BQ148" s="740"/>
      <c r="BR148" s="740"/>
      <c r="BS148" s="740"/>
      <c r="BT148" s="740"/>
      <c r="BU148" s="740"/>
      <c r="BV148" s="740"/>
      <c r="BW148" s="740"/>
      <c r="BX148" s="740"/>
      <c r="BY148" s="740"/>
      <c r="BZ148" s="740"/>
      <c r="CA148" s="740"/>
      <c r="CB148" s="740"/>
      <c r="CC148" s="740"/>
      <c r="CD148" s="740"/>
      <c r="CE148" s="740"/>
      <c r="CF148" s="740"/>
      <c r="CG148" s="740"/>
      <c r="CH148" s="740"/>
      <c r="CI148" s="740"/>
      <c r="CJ148" s="740"/>
      <c r="CK148" s="740"/>
      <c r="CL148" s="740"/>
      <c r="CM148" s="740"/>
      <c r="CN148" s="740"/>
      <c r="CO148" s="740"/>
      <c r="CP148" s="740"/>
      <c r="CQ148" s="740"/>
      <c r="CR148" s="740"/>
      <c r="CS148" s="740"/>
      <c r="CT148" s="740"/>
      <c r="CU148" s="740"/>
      <c r="CV148" s="740"/>
      <c r="CW148" s="740"/>
      <c r="CX148" s="740"/>
      <c r="CY148" s="740"/>
      <c r="CZ148" s="740"/>
      <c r="DA148" s="740"/>
      <c r="DB148" s="740"/>
      <c r="DC148" s="740"/>
      <c r="DD148" s="740"/>
      <c r="DE148" s="740"/>
      <c r="DF148" s="740"/>
      <c r="DG148" s="740"/>
      <c r="DH148" s="740"/>
      <c r="DI148" s="740"/>
      <c r="DJ148" s="740"/>
      <c r="DK148" s="740"/>
      <c r="DL148" s="740"/>
      <c r="DM148" s="740"/>
      <c r="DN148" s="740"/>
      <c r="DO148" s="740"/>
      <c r="DP148" s="740"/>
      <c r="DQ148" s="740"/>
      <c r="DR148" s="740"/>
      <c r="DS148" s="740"/>
      <c r="DT148" s="740"/>
      <c r="DU148" s="740"/>
      <c r="DV148" s="740"/>
      <c r="DW148" s="8"/>
    </row>
    <row r="149" spans="1:127" ht="15.95" customHeight="1" thickBot="1">
      <c r="A149" s="724"/>
      <c r="B149" s="724"/>
      <c r="C149" s="724"/>
      <c r="D149" s="724"/>
      <c r="E149" s="724"/>
      <c r="F149" s="724"/>
      <c r="G149" s="724"/>
      <c r="H149" s="724"/>
      <c r="I149" s="724"/>
      <c r="J149" s="724"/>
      <c r="K149" s="724"/>
      <c r="L149" s="724"/>
      <c r="M149" s="724"/>
      <c r="N149" s="724"/>
      <c r="O149" s="724"/>
      <c r="P149" s="724"/>
      <c r="Q149" s="724"/>
      <c r="R149" s="724"/>
      <c r="S149" s="724"/>
      <c r="T149" s="724"/>
      <c r="U149" s="724"/>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0"/>
      <c r="BC149" s="740"/>
      <c r="BD149" s="740"/>
      <c r="BE149" s="740"/>
      <c r="BF149" s="740"/>
      <c r="BG149" s="740"/>
      <c r="BH149" s="740"/>
      <c r="BI149" s="740"/>
      <c r="BJ149" s="740"/>
      <c r="BK149" s="740"/>
      <c r="BL149" s="740"/>
      <c r="BM149" s="740"/>
      <c r="BN149" s="740"/>
      <c r="BO149" s="740"/>
      <c r="BP149" s="740"/>
      <c r="BQ149" s="740"/>
      <c r="BR149" s="740"/>
      <c r="BS149" s="740"/>
      <c r="BT149" s="740"/>
      <c r="BU149" s="740"/>
      <c r="BV149" s="740"/>
      <c r="BW149" s="740"/>
      <c r="BX149" s="740"/>
      <c r="BY149" s="740"/>
      <c r="BZ149" s="740"/>
      <c r="CA149" s="740"/>
      <c r="CB149" s="740"/>
      <c r="CC149" s="740"/>
      <c r="CD149" s="740"/>
      <c r="CE149" s="740"/>
      <c r="CF149" s="740"/>
      <c r="CG149" s="740"/>
      <c r="CH149" s="740"/>
      <c r="CI149" s="740"/>
      <c r="CJ149" s="740"/>
      <c r="CK149" s="740"/>
      <c r="CL149" s="740"/>
      <c r="CM149" s="740"/>
      <c r="CN149" s="740"/>
      <c r="CO149" s="740"/>
      <c r="CP149" s="740"/>
      <c r="CQ149" s="740"/>
      <c r="CR149" s="740"/>
      <c r="CS149" s="740"/>
      <c r="CT149" s="740"/>
      <c r="CU149" s="740"/>
      <c r="CV149" s="740"/>
      <c r="CW149" s="740"/>
      <c r="CX149" s="740"/>
      <c r="CY149" s="740"/>
      <c r="CZ149" s="740"/>
      <c r="DA149" s="740"/>
      <c r="DB149" s="740"/>
      <c r="DC149" s="740"/>
      <c r="DD149" s="740"/>
      <c r="DE149" s="740"/>
      <c r="DF149" s="740"/>
      <c r="DG149" s="740"/>
      <c r="DH149" s="740"/>
      <c r="DI149" s="740"/>
      <c r="DJ149" s="740"/>
      <c r="DK149" s="740"/>
      <c r="DL149" s="740"/>
      <c r="DM149" s="740"/>
      <c r="DN149" s="740"/>
      <c r="DO149" s="740"/>
      <c r="DP149" s="740"/>
      <c r="DQ149" s="740"/>
      <c r="DR149" s="740"/>
      <c r="DS149" s="740"/>
      <c r="DT149" s="740"/>
      <c r="DU149" s="740"/>
      <c r="DV149" s="740"/>
      <c r="DW149" s="8"/>
    </row>
    <row r="150" spans="1:127" ht="15.95" customHeight="1" thickBot="1">
      <c r="A150" s="724"/>
      <c r="B150" s="724"/>
      <c r="C150" s="724"/>
      <c r="D150" s="724"/>
      <c r="E150" s="724"/>
      <c r="F150" s="724"/>
      <c r="G150" s="724"/>
      <c r="H150" s="724"/>
      <c r="I150" s="724"/>
      <c r="J150" s="724"/>
      <c r="K150" s="724"/>
      <c r="L150" s="724"/>
      <c r="M150" s="724"/>
      <c r="N150" s="724"/>
      <c r="O150" s="724"/>
      <c r="P150" s="724"/>
      <c r="Q150" s="724"/>
      <c r="R150" s="724"/>
      <c r="S150" s="724"/>
      <c r="T150" s="724"/>
      <c r="U150" s="724"/>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0"/>
      <c r="BC150" s="740"/>
      <c r="BD150" s="740"/>
      <c r="BE150" s="740"/>
      <c r="BF150" s="740"/>
      <c r="BG150" s="740"/>
      <c r="BH150" s="740"/>
      <c r="BI150" s="740"/>
      <c r="BJ150" s="740"/>
      <c r="BK150" s="740"/>
      <c r="BL150" s="740"/>
      <c r="BM150" s="740"/>
      <c r="BN150" s="740"/>
      <c r="BO150" s="740"/>
      <c r="BP150" s="740"/>
      <c r="BQ150" s="740"/>
      <c r="BR150" s="740"/>
      <c r="BS150" s="740"/>
      <c r="BT150" s="740"/>
      <c r="BU150" s="740"/>
      <c r="BV150" s="740"/>
      <c r="BW150" s="740"/>
      <c r="BX150" s="740"/>
      <c r="BY150" s="740"/>
      <c r="BZ150" s="740"/>
      <c r="CA150" s="740"/>
      <c r="CB150" s="740"/>
      <c r="CC150" s="740"/>
      <c r="CD150" s="740"/>
      <c r="CE150" s="740"/>
      <c r="CF150" s="740"/>
      <c r="CG150" s="740"/>
      <c r="CH150" s="740"/>
      <c r="CI150" s="740"/>
      <c r="CJ150" s="740"/>
      <c r="CK150" s="740"/>
      <c r="CL150" s="740"/>
      <c r="CM150" s="740"/>
      <c r="CN150" s="740"/>
      <c r="CO150" s="740"/>
      <c r="CP150" s="740"/>
      <c r="CQ150" s="740"/>
      <c r="CR150" s="740"/>
      <c r="CS150" s="740"/>
      <c r="CT150" s="740"/>
      <c r="CU150" s="740"/>
      <c r="CV150" s="740"/>
      <c r="CW150" s="740"/>
      <c r="CX150" s="740"/>
      <c r="CY150" s="740"/>
      <c r="CZ150" s="740"/>
      <c r="DA150" s="740"/>
      <c r="DB150" s="740"/>
      <c r="DC150" s="740"/>
      <c r="DD150" s="740"/>
      <c r="DE150" s="740"/>
      <c r="DF150" s="740"/>
      <c r="DG150" s="740"/>
      <c r="DH150" s="740"/>
      <c r="DI150" s="740"/>
      <c r="DJ150" s="740"/>
      <c r="DK150" s="740"/>
      <c r="DL150" s="740"/>
      <c r="DM150" s="740"/>
      <c r="DN150" s="740"/>
      <c r="DO150" s="740"/>
      <c r="DP150" s="740"/>
      <c r="DQ150" s="740"/>
      <c r="DR150" s="740"/>
      <c r="DS150" s="740"/>
      <c r="DT150" s="740"/>
      <c r="DU150" s="740"/>
      <c r="DV150" s="740"/>
      <c r="DW150" s="8"/>
    </row>
    <row r="151" spans="1:127" ht="15.95" customHeight="1">
      <c r="A151" s="724"/>
      <c r="B151" s="724"/>
      <c r="C151" s="724"/>
      <c r="D151" s="724"/>
      <c r="E151" s="724"/>
      <c r="F151" s="724"/>
      <c r="G151" s="724"/>
      <c r="H151" s="724"/>
      <c r="I151" s="724"/>
      <c r="J151" s="724"/>
      <c r="K151" s="724"/>
      <c r="L151" s="724"/>
      <c r="M151" s="724"/>
      <c r="N151" s="724"/>
      <c r="O151" s="724"/>
      <c r="P151" s="724"/>
      <c r="Q151" s="724"/>
      <c r="R151" s="724"/>
      <c r="S151" s="724"/>
      <c r="T151" s="724"/>
      <c r="U151" s="724"/>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86" t="str">
        <f>IF(SUM(COUNTIF(AG4:AG97,0),COUNTIF(AG101:AG160,0)&gt;0),AL148,AL149)</f>
        <v>MUNDIAL EN CURSO</v>
      </c>
      <c r="AK151" s="887"/>
      <c r="AL151" s="887"/>
      <c r="AM151" s="887"/>
      <c r="AN151" s="887"/>
      <c r="AO151" s="887"/>
      <c r="AP151" s="887"/>
      <c r="AQ151" s="887"/>
      <c r="AR151" s="887"/>
      <c r="AS151" s="887"/>
      <c r="AT151" s="887"/>
      <c r="AU151" s="888"/>
      <c r="AV151" s="355"/>
      <c r="AW151" s="243"/>
      <c r="AX151" s="242"/>
      <c r="AY151" s="244"/>
      <c r="AZ151" s="245"/>
      <c r="BA151" s="175"/>
      <c r="DW151" s="8"/>
    </row>
    <row r="152" spans="1:127" ht="15.95" customHeight="1" thickBot="1">
      <c r="A152" s="724"/>
      <c r="B152" s="724"/>
      <c r="C152" s="724"/>
      <c r="D152" s="724"/>
      <c r="E152" s="724"/>
      <c r="F152" s="724"/>
      <c r="G152" s="724"/>
      <c r="H152" s="724"/>
      <c r="I152" s="724"/>
      <c r="J152" s="724"/>
      <c r="K152" s="724"/>
      <c r="L152" s="724"/>
      <c r="M152" s="724"/>
      <c r="N152" s="724"/>
      <c r="O152" s="724"/>
      <c r="P152" s="724"/>
      <c r="Q152" s="724"/>
      <c r="R152" s="724"/>
      <c r="S152" s="724"/>
      <c r="T152" s="724"/>
      <c r="U152" s="724"/>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89"/>
      <c r="AK152" s="890"/>
      <c r="AL152" s="890"/>
      <c r="AM152" s="890"/>
      <c r="AN152" s="890"/>
      <c r="AO152" s="890"/>
      <c r="AP152" s="890"/>
      <c r="AQ152" s="890"/>
      <c r="AR152" s="890"/>
      <c r="AS152" s="890"/>
      <c r="AT152" s="890"/>
      <c r="AU152" s="891"/>
      <c r="AV152" s="355"/>
      <c r="AW152" s="243"/>
      <c r="AX152" s="242"/>
      <c r="AY152" s="244"/>
      <c r="AZ152" s="245"/>
      <c r="BA152" s="175"/>
      <c r="DW152" s="8"/>
    </row>
    <row r="153" spans="1:127" ht="15.95" customHeight="1" thickBot="1">
      <c r="A153" s="724"/>
      <c r="B153" s="724"/>
      <c r="C153" s="724"/>
      <c r="D153" s="724"/>
      <c r="E153" s="724"/>
      <c r="F153" s="724"/>
      <c r="G153" s="724"/>
      <c r="H153" s="724"/>
      <c r="I153" s="724"/>
      <c r="J153" s="724"/>
      <c r="K153" s="724"/>
      <c r="L153" s="724"/>
      <c r="M153" s="724"/>
      <c r="N153" s="724"/>
      <c r="O153" s="724"/>
      <c r="P153" s="724"/>
      <c r="Q153" s="724"/>
      <c r="R153" s="724"/>
      <c r="S153" s="724"/>
      <c r="T153" s="724"/>
      <c r="U153" s="724"/>
      <c r="V153" s="172"/>
      <c r="W153" s="242"/>
      <c r="X153" s="243"/>
      <c r="Y153" s="242"/>
      <c r="Z153" s="244"/>
      <c r="AA153" s="245"/>
      <c r="AB153" s="246"/>
      <c r="AC153" s="247"/>
      <c r="AD153" s="247"/>
      <c r="AE153" s="246"/>
      <c r="AF153" s="248"/>
      <c r="AG153" s="415"/>
      <c r="AH153" s="345"/>
      <c r="AI153" s="345"/>
      <c r="AJ153" s="889"/>
      <c r="AK153" s="890"/>
      <c r="AL153" s="890"/>
      <c r="AM153" s="890"/>
      <c r="AN153" s="890"/>
      <c r="AO153" s="890"/>
      <c r="AP153" s="890"/>
      <c r="AQ153" s="890"/>
      <c r="AR153" s="890"/>
      <c r="AS153" s="890"/>
      <c r="AT153" s="890"/>
      <c r="AU153" s="891"/>
      <c r="AV153" s="355"/>
      <c r="AW153" s="243"/>
      <c r="AX153" s="242"/>
      <c r="AY153" s="244"/>
      <c r="AZ153" s="245"/>
      <c r="BA153" s="175"/>
      <c r="DW153" s="8"/>
    </row>
    <row r="154" spans="1:127" ht="15.95" customHeight="1">
      <c r="A154" s="724"/>
      <c r="B154" s="724"/>
      <c r="C154" s="724"/>
      <c r="D154" s="724"/>
      <c r="E154" s="724"/>
      <c r="F154" s="724"/>
      <c r="G154" s="724"/>
      <c r="H154" s="724"/>
      <c r="I154" s="724"/>
      <c r="J154" s="724"/>
      <c r="K154" s="724"/>
      <c r="L154" s="724"/>
      <c r="M154" s="724"/>
      <c r="N154" s="724"/>
      <c r="O154" s="724"/>
      <c r="P154" s="724"/>
      <c r="Q154" s="724"/>
      <c r="R154" s="724"/>
      <c r="S154" s="724"/>
      <c r="T154" s="724"/>
      <c r="U154" s="724"/>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89"/>
      <c r="AK154" s="890"/>
      <c r="AL154" s="890"/>
      <c r="AM154" s="890"/>
      <c r="AN154" s="890"/>
      <c r="AO154" s="890"/>
      <c r="AP154" s="890"/>
      <c r="AQ154" s="890"/>
      <c r="AR154" s="890"/>
      <c r="AS154" s="890"/>
      <c r="AT154" s="890"/>
      <c r="AU154" s="891"/>
      <c r="AV154" s="355"/>
      <c r="AW154" s="243"/>
      <c r="AX154" s="242"/>
      <c r="AY154" s="244"/>
      <c r="AZ154" s="245"/>
      <c r="BA154" s="175"/>
      <c r="DW154" s="8"/>
    </row>
    <row r="155" spans="1:127" ht="15.95" customHeight="1">
      <c r="A155" s="724"/>
      <c r="B155" s="724"/>
      <c r="C155" s="724"/>
      <c r="D155" s="724"/>
      <c r="E155" s="724"/>
      <c r="F155" s="724"/>
      <c r="G155" s="724"/>
      <c r="H155" s="724"/>
      <c r="I155" s="724"/>
      <c r="J155" s="724"/>
      <c r="K155" s="724"/>
      <c r="L155" s="724"/>
      <c r="M155" s="724"/>
      <c r="N155" s="724"/>
      <c r="O155" s="724"/>
      <c r="P155" s="724"/>
      <c r="Q155" s="724"/>
      <c r="R155" s="724"/>
      <c r="S155" s="724"/>
      <c r="T155" s="724"/>
      <c r="U155" s="724"/>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98" t="str">
        <f>IF(SUM(COUNTIF(AG4:AG97,0),COUNTIF(AG101:AG160,0)&gt;0),AM148,AM149)</f>
        <v>Todavía hay emoción</v>
      </c>
      <c r="AK155" s="899"/>
      <c r="AL155" s="899"/>
      <c r="AM155" s="899"/>
      <c r="AN155" s="899"/>
      <c r="AO155" s="899"/>
      <c r="AP155" s="899"/>
      <c r="AQ155" s="899"/>
      <c r="AR155" s="899"/>
      <c r="AS155" s="899"/>
      <c r="AT155" s="899"/>
      <c r="AU155" s="900"/>
      <c r="AV155" s="355"/>
      <c r="AW155" s="243"/>
      <c r="AX155" s="242"/>
      <c r="AY155" s="244"/>
      <c r="AZ155" s="245"/>
      <c r="BA155" s="373"/>
      <c r="DW155" s="8"/>
    </row>
    <row r="156" spans="1:127" ht="15.95" customHeight="1" thickBot="1">
      <c r="A156" s="724"/>
      <c r="B156" s="724"/>
      <c r="C156" s="724"/>
      <c r="D156" s="724"/>
      <c r="E156" s="724"/>
      <c r="F156" s="724"/>
      <c r="G156" s="724"/>
      <c r="H156" s="724"/>
      <c r="I156" s="724"/>
      <c r="J156" s="724"/>
      <c r="K156" s="724"/>
      <c r="L156" s="724"/>
      <c r="M156" s="724"/>
      <c r="N156" s="724"/>
      <c r="O156" s="724"/>
      <c r="P156" s="724"/>
      <c r="Q156" s="724"/>
      <c r="R156" s="724"/>
      <c r="S156" s="724"/>
      <c r="T156" s="724"/>
      <c r="U156" s="724"/>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98"/>
      <c r="AK156" s="899"/>
      <c r="AL156" s="899"/>
      <c r="AM156" s="899"/>
      <c r="AN156" s="899"/>
      <c r="AO156" s="899"/>
      <c r="AP156" s="899"/>
      <c r="AQ156" s="899"/>
      <c r="AR156" s="899"/>
      <c r="AS156" s="899"/>
      <c r="AT156" s="899"/>
      <c r="AU156" s="900"/>
      <c r="AV156" s="355"/>
      <c r="AW156" s="243"/>
      <c r="AX156" s="242"/>
      <c r="AY156" s="244"/>
      <c r="AZ156" s="245"/>
      <c r="BA156" s="373"/>
      <c r="DW156" s="8"/>
    </row>
    <row r="157" spans="1:127" ht="15.95" customHeight="1" thickBot="1">
      <c r="A157" s="724"/>
      <c r="B157" s="724"/>
      <c r="C157" s="724"/>
      <c r="D157" s="724"/>
      <c r="E157" s="724"/>
      <c r="F157" s="724"/>
      <c r="G157" s="724"/>
      <c r="H157" s="724"/>
      <c r="I157" s="724"/>
      <c r="J157" s="724"/>
      <c r="K157" s="724"/>
      <c r="L157" s="724"/>
      <c r="M157" s="724"/>
      <c r="N157" s="724"/>
      <c r="O157" s="724"/>
      <c r="P157" s="724"/>
      <c r="Q157" s="724"/>
      <c r="R157" s="724"/>
      <c r="S157" s="724"/>
      <c r="T157" s="724"/>
      <c r="U157" s="724"/>
      <c r="V157" s="172"/>
      <c r="W157" s="242"/>
      <c r="X157" s="243"/>
      <c r="Y157" s="242"/>
      <c r="Z157" s="244"/>
      <c r="AA157" s="245"/>
      <c r="AB157" s="246"/>
      <c r="AC157" s="247"/>
      <c r="AD157" s="247"/>
      <c r="AE157" s="246"/>
      <c r="AF157" s="248"/>
      <c r="AG157" s="415"/>
      <c r="AH157" s="345"/>
      <c r="AI157" s="345"/>
      <c r="AJ157" s="901"/>
      <c r="AK157" s="902"/>
      <c r="AL157" s="902"/>
      <c r="AM157" s="902"/>
      <c r="AN157" s="902"/>
      <c r="AO157" s="902"/>
      <c r="AP157" s="902"/>
      <c r="AQ157" s="902"/>
      <c r="AR157" s="902"/>
      <c r="AS157" s="902"/>
      <c r="AT157" s="902"/>
      <c r="AU157" s="903"/>
      <c r="AV157" s="355"/>
      <c r="AW157" s="243"/>
      <c r="AX157" s="242"/>
      <c r="AY157" s="244"/>
      <c r="AZ157" s="245"/>
      <c r="BA157" s="373"/>
      <c r="DW157" s="8"/>
    </row>
    <row r="158" spans="1:127" ht="15.95" customHeight="1">
      <c r="A158" s="724"/>
      <c r="B158" s="724"/>
      <c r="C158" s="724"/>
      <c r="D158" s="724"/>
      <c r="E158" s="724"/>
      <c r="F158" s="724"/>
      <c r="G158" s="724"/>
      <c r="H158" s="724"/>
      <c r="I158" s="724"/>
      <c r="J158" s="724"/>
      <c r="K158" s="724"/>
      <c r="L158" s="724"/>
      <c r="M158" s="724"/>
      <c r="N158" s="724"/>
      <c r="O158" s="724"/>
      <c r="P158" s="724"/>
      <c r="Q158" s="724"/>
      <c r="R158" s="724"/>
      <c r="S158" s="724"/>
      <c r="T158" s="724"/>
      <c r="U158" s="724"/>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4"/>
      <c r="B159" s="724"/>
      <c r="C159" s="724"/>
      <c r="D159" s="724"/>
      <c r="E159" s="724"/>
      <c r="F159" s="724"/>
      <c r="G159" s="724"/>
      <c r="H159" s="724"/>
      <c r="I159" s="724"/>
      <c r="J159" s="724"/>
      <c r="K159" s="724"/>
      <c r="L159" s="724"/>
      <c r="M159" s="724"/>
      <c r="N159" s="724"/>
      <c r="O159" s="724"/>
      <c r="P159" s="724"/>
      <c r="Q159" s="724"/>
      <c r="R159" s="724"/>
      <c r="S159" s="724"/>
      <c r="T159" s="724"/>
      <c r="U159" s="724"/>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4"/>
      <c r="B160" s="724"/>
      <c r="C160" s="724"/>
      <c r="D160" s="724"/>
      <c r="E160" s="724"/>
      <c r="F160" s="724"/>
      <c r="G160" s="724"/>
      <c r="H160" s="724"/>
      <c r="I160" s="724"/>
      <c r="J160" s="724"/>
      <c r="K160" s="724"/>
      <c r="L160" s="724"/>
      <c r="M160" s="724"/>
      <c r="N160" s="724"/>
      <c r="O160" s="724"/>
      <c r="P160" s="724"/>
      <c r="Q160" s="724"/>
      <c r="R160" s="724"/>
      <c r="S160" s="724"/>
      <c r="T160" s="724"/>
      <c r="U160" s="724"/>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4"/>
      <c r="B161" s="724"/>
      <c r="C161" s="724"/>
      <c r="D161" s="724"/>
      <c r="E161" s="724"/>
      <c r="F161" s="724"/>
      <c r="G161" s="724"/>
      <c r="H161" s="724"/>
      <c r="I161" s="724"/>
      <c r="J161" s="724"/>
      <c r="K161" s="724"/>
      <c r="L161" s="724"/>
      <c r="M161" s="724"/>
      <c r="N161" s="724"/>
      <c r="O161" s="724"/>
      <c r="P161" s="724"/>
      <c r="Q161" s="724"/>
      <c r="R161" s="724"/>
      <c r="S161" s="724"/>
      <c r="T161" s="724"/>
      <c r="U161" s="724"/>
      <c r="V161" s="172"/>
      <c r="W161" s="242"/>
      <c r="X161" s="242"/>
      <c r="Y161" s="243"/>
      <c r="Z161" s="242"/>
      <c r="AA161" s="244"/>
      <c r="AB161" s="245"/>
      <c r="AC161" s="246"/>
      <c r="AD161" s="247"/>
      <c r="AE161" s="247"/>
      <c r="AF161" s="246"/>
      <c r="AG161" s="173"/>
      <c r="AH161" s="345"/>
      <c r="AI161" s="345"/>
      <c r="AJ161" s="173"/>
      <c r="AK161" s="173"/>
      <c r="AL161" s="379" t="s">
        <v>1317</v>
      </c>
      <c r="AM161" s="380"/>
      <c r="AN161" s="761"/>
      <c r="AO161" s="173"/>
      <c r="AP161" s="173"/>
      <c r="AQ161" s="173"/>
      <c r="AR161" s="173"/>
      <c r="AS161" s="173"/>
      <c r="AT161" s="173"/>
      <c r="AU161" s="345"/>
      <c r="AV161" s="355"/>
      <c r="AW161" s="243"/>
      <c r="AX161" s="242"/>
      <c r="AY161" s="244"/>
      <c r="AZ161" s="245"/>
      <c r="BA161" s="373"/>
      <c r="DW161" s="8"/>
    </row>
    <row r="162" spans="1:127" ht="15.95" customHeight="1" thickBot="1">
      <c r="A162" s="724"/>
      <c r="B162" s="724"/>
      <c r="C162" s="724"/>
      <c r="D162" s="724"/>
      <c r="E162" s="724"/>
      <c r="F162" s="724"/>
      <c r="G162" s="724"/>
      <c r="H162" s="724"/>
      <c r="I162" s="724"/>
      <c r="J162" s="724"/>
      <c r="K162" s="724"/>
      <c r="L162" s="724"/>
      <c r="M162" s="724"/>
      <c r="N162" s="724"/>
      <c r="O162" s="724"/>
      <c r="P162" s="724"/>
      <c r="Q162" s="724"/>
      <c r="R162" s="724"/>
      <c r="S162" s="724"/>
      <c r="T162" s="724"/>
      <c r="U162" s="724"/>
      <c r="V162" s="172"/>
      <c r="W162" s="242"/>
      <c r="X162" s="242"/>
      <c r="Y162" s="243"/>
      <c r="Z162" s="242"/>
      <c r="AA162" s="242"/>
      <c r="AB162" s="245"/>
      <c r="AC162" s="246"/>
      <c r="AD162" s="247"/>
      <c r="AE162" s="247"/>
      <c r="AF162" s="710"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4"/>
      <c r="B163" s="724"/>
      <c r="C163" s="724"/>
      <c r="D163" s="724"/>
      <c r="E163" s="724"/>
      <c r="F163" s="724"/>
      <c r="G163" s="724"/>
      <c r="H163" s="724"/>
      <c r="I163" s="724"/>
      <c r="J163" s="724"/>
      <c r="K163" s="724"/>
      <c r="L163" s="724"/>
      <c r="M163" s="724"/>
      <c r="N163" s="724"/>
      <c r="O163" s="724"/>
      <c r="P163" s="724"/>
      <c r="Q163" s="724"/>
      <c r="R163" s="724"/>
      <c r="S163" s="724"/>
      <c r="T163" s="724"/>
      <c r="U163" s="724"/>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4"/>
      <c r="B164" s="724"/>
      <c r="C164" s="724"/>
      <c r="D164" s="724"/>
      <c r="E164" s="724"/>
      <c r="F164" s="724"/>
      <c r="G164" s="724"/>
      <c r="H164" s="724"/>
      <c r="I164" s="724"/>
      <c r="J164" s="724"/>
      <c r="K164" s="724"/>
      <c r="L164" s="724"/>
      <c r="M164" s="724"/>
      <c r="N164" s="724"/>
      <c r="O164" s="724"/>
      <c r="P164" s="724"/>
      <c r="Q164" s="724"/>
      <c r="R164" s="724"/>
      <c r="S164" s="724"/>
      <c r="T164" s="724"/>
      <c r="U164" s="724"/>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43"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42" priority="6" stopIfTrue="1">
      <formula>AC4=""</formula>
    </cfRule>
  </conditionalFormatting>
  <conditionalFormatting sqref="AJ8:AT8 AJ16:AT16 AJ24:AT24 AJ32:AT32 AJ40:AT40 AJ48:AT48 AJ56:AT56 AJ64:AT64 AJ72:AT72 AJ80:AT80 AJ88:AT88 AJ96:AT96 AJ110:AT113">
    <cfRule type="expression" dxfId="41" priority="3">
      <formula>AND(OR(SUM($AN$102:$AN$113)=36,$AJ$99=144),COUNTIF($AL$110:$AL$113,$AL8))</formula>
    </cfRule>
  </conditionalFormatting>
  <conditionalFormatting sqref="AJ9:AT9 AJ17:AT17 AJ25:AT25 AJ33:AT33 AJ41:AT41 AJ49:AT49 AJ57:AT57 AJ65:AT65 AJ73:AT73 AJ81:AT81 AJ89:AT89 AJ97:AT97">
    <cfRule type="expression" dxfId="40" priority="10" stopIfTrue="1">
      <formula>OR(SUM($AN6:$AN9)=12,$AJ$99=144)</formula>
    </cfRule>
  </conditionalFormatting>
  <conditionalFormatting sqref="AJ151:AU157">
    <cfRule type="expression" dxfId="39" priority="9">
      <formula>IF($AJ$151=$AL$149,1,0)</formula>
    </cfRule>
  </conditionalFormatting>
  <conditionalFormatting sqref="AL115">
    <cfRule type="expression" dxfId="38" priority="2">
      <formula>IF($AJ$99=144,1,0)</formula>
    </cfRule>
  </conditionalFormatting>
  <conditionalFormatting sqref="AL116">
    <cfRule type="expression" dxfId="37" priority="1">
      <formula>IF($AJ$99=144,1,0)</formula>
    </cfRule>
  </conditionalFormatting>
  <conditionalFormatting sqref="AM102:AM113 AR102:AT113">
    <cfRule type="expression" dxfId="36" priority="12" stopIfTrue="1">
      <formula>$BB$57=3</formula>
    </cfRule>
  </conditionalFormatting>
  <conditionalFormatting sqref="AV6:AV9 AV14:AV17 AV22:AV25 AV30:AV33 AV38:AV41 AV46:AV49 AV54:AV57 AV62:AV65 AV70:AV73 AV78:AV81 AV86:AV89 AV94:AV97">
    <cfRule type="expression" dxfId="35" priority="13" stopIfTrue="1">
      <formula>INDEX($DL$6:$DL$53,MATCH($AL6,$DQ$6:$DQ$53,0))&gt;1</formula>
    </cfRule>
  </conditionalFormatting>
  <conditionalFormatting sqref="AV102:AV113">
    <cfRule type="expression" dxfId="34" priority="14" stopIfTrue="1">
      <formula>AND(INDEX($DL$58:$DL$69,MATCH($AL102,$DQ$58:$DQ$69,0))&gt;1,$H$113=144)</formula>
    </cfRule>
  </conditionalFormatting>
  <conditionalFormatting sqref="AW6:AW9 AW14:AW17 AW22:AW25 AW30:AW33 AW38:AW41 AW46:AW49 AW54:AW57 AW62:AW65 AW70:AW73 AW78:AW81 AW86:AW89 AW94:AW97">
    <cfRule type="expression" dxfId="33" priority="15" stopIfTrue="1">
      <formula>INDEX($DL$6:$DL$53,MATCH($AL6,$DQ$6:$DQ$53,0))&gt;1</formula>
    </cfRule>
  </conditionalFormatting>
  <conditionalFormatting sqref="AW102:AW113">
    <cfRule type="expression" dxfId="32" priority="16">
      <formula>AND(INDEX($DL$58:$DL$69,MATCH($AL102,$DQ$58:$DQ$69,0))&gt;1,$H$113=144)</formula>
    </cfRule>
  </conditionalFormatting>
  <conditionalFormatting sqref="AY5:AZ97">
    <cfRule type="expression" dxfId="31" priority="4">
      <formula>IF($AZ$3="No",1,0)</formula>
    </cfRule>
  </conditionalFormatting>
  <conditionalFormatting sqref="AY101:AZ101">
    <cfRule type="expression" dxfId="30"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85" zoomScaleNormal="85"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7"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3" hidden="1" customWidth="1"/>
    <col min="15" max="15" width="3.140625" style="443" hidden="1" customWidth="1"/>
    <col min="16" max="16" width="2.85546875" style="443" hidden="1" customWidth="1"/>
    <col min="17" max="17" width="3.140625" style="443"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6"/>
      <c r="G1" s="49"/>
      <c r="H1" s="49"/>
      <c r="I1" s="65"/>
      <c r="J1" s="93"/>
      <c r="K1" s="664"/>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6"/>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6"/>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6"/>
      <c r="G4" s="49"/>
      <c r="H4" s="49"/>
      <c r="I4" s="665"/>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1">
        <v>19</v>
      </c>
      <c r="E5" s="111"/>
      <c r="F5" s="444" t="s">
        <v>1577</v>
      </c>
      <c r="G5" s="444" t="s">
        <v>1649</v>
      </c>
      <c r="H5" s="444" t="s">
        <v>10</v>
      </c>
      <c r="I5" s="118" t="s">
        <v>1578</v>
      </c>
      <c r="J5" s="669" t="str">
        <f>HYPERLINK(Idiomas!D446,Idiomas!D445)</f>
        <v>?</v>
      </c>
      <c r="K5" s="113" t="str">
        <f>Idiomas!D135</f>
        <v>FASE DE GRUPOS</v>
      </c>
      <c r="L5" s="50"/>
      <c r="M5" s="71"/>
      <c r="N5" s="25"/>
      <c r="O5" s="25"/>
      <c r="P5" s="25"/>
      <c r="Q5" s="25"/>
      <c r="R5" s="65">
        <v>0</v>
      </c>
      <c r="S5" s="851" t="s">
        <v>2336</v>
      </c>
      <c r="T5" s="70"/>
      <c r="U5" s="65">
        <v>1</v>
      </c>
      <c r="V5" s="790" t="s">
        <v>1946</v>
      </c>
      <c r="W5" s="70"/>
      <c r="X5" s="65">
        <v>2</v>
      </c>
      <c r="Y5" s="795" t="s">
        <v>2003</v>
      </c>
      <c r="Z5" s="70"/>
      <c r="AA5" s="65">
        <v>3</v>
      </c>
      <c r="AB5" s="800" t="s">
        <v>1944</v>
      </c>
      <c r="AC5" s="70"/>
      <c r="AD5" s="65">
        <v>4</v>
      </c>
      <c r="AE5" s="805" t="s">
        <v>2079</v>
      </c>
      <c r="AF5" s="70"/>
      <c r="AG5" s="65">
        <v>5</v>
      </c>
      <c r="AH5" s="69" t="s">
        <v>1943</v>
      </c>
      <c r="AI5" s="70"/>
      <c r="AJ5" s="65">
        <v>6</v>
      </c>
      <c r="AK5" s="810" t="s">
        <v>2143</v>
      </c>
      <c r="AL5" s="70"/>
      <c r="AM5" s="65">
        <v>7</v>
      </c>
      <c r="AN5" s="815" t="s">
        <v>1941</v>
      </c>
      <c r="AO5" s="70"/>
      <c r="AP5" s="65">
        <v>8</v>
      </c>
      <c r="AQ5" s="820" t="s">
        <v>1940</v>
      </c>
      <c r="AR5" s="70"/>
      <c r="AS5" s="65">
        <v>9</v>
      </c>
      <c r="AT5" s="825" t="s">
        <v>2210</v>
      </c>
      <c r="AU5" s="70"/>
      <c r="AV5" s="65">
        <v>10</v>
      </c>
      <c r="AW5" s="829" t="s">
        <v>2226</v>
      </c>
      <c r="AX5" s="70"/>
      <c r="AY5" s="65">
        <v>11</v>
      </c>
      <c r="AZ5" s="835" t="s">
        <v>2256</v>
      </c>
      <c r="BA5" s="70"/>
      <c r="BB5" s="65">
        <v>12</v>
      </c>
      <c r="BC5" s="842" t="s">
        <v>2278</v>
      </c>
      <c r="BD5" s="70"/>
      <c r="BE5" s="65">
        <v>13</v>
      </c>
      <c r="BF5" s="69" t="s">
        <v>2384</v>
      </c>
      <c r="BG5" s="70"/>
      <c r="BH5" s="65">
        <v>14</v>
      </c>
      <c r="BI5" s="856" t="s">
        <v>2361</v>
      </c>
      <c r="BJ5" s="70"/>
      <c r="BK5" s="65">
        <v>15</v>
      </c>
      <c r="BL5" s="861" t="s">
        <v>1942</v>
      </c>
      <c r="BM5" s="70"/>
      <c r="BN5" s="65">
        <v>16</v>
      </c>
      <c r="BO5" s="866" t="s">
        <v>2408</v>
      </c>
      <c r="BP5" s="70"/>
      <c r="BQ5" s="65">
        <v>17</v>
      </c>
      <c r="BR5" s="69" t="s">
        <v>2441</v>
      </c>
      <c r="BS5" s="70"/>
      <c r="BT5" s="65">
        <v>18</v>
      </c>
      <c r="BU5" s="870" t="s">
        <v>2442</v>
      </c>
      <c r="BV5" s="70"/>
      <c r="BW5" s="65">
        <v>19</v>
      </c>
      <c r="BX5" s="69">
        <v>1</v>
      </c>
      <c r="BY5" s="70"/>
      <c r="BZ5" s="65">
        <v>20</v>
      </c>
      <c r="CA5" s="69">
        <v>1</v>
      </c>
      <c r="CB5" s="70"/>
      <c r="CC5" s="65">
        <v>21</v>
      </c>
      <c r="CD5" s="69">
        <v>1</v>
      </c>
      <c r="CE5" s="70"/>
      <c r="CF5" s="65">
        <v>22</v>
      </c>
      <c r="CG5" s="69">
        <v>1</v>
      </c>
      <c r="CH5" s="70"/>
      <c r="CI5" s="65">
        <v>23</v>
      </c>
      <c r="CJ5" s="69">
        <v>1</v>
      </c>
      <c r="CK5" s="70"/>
      <c r="CL5" s="65">
        <v>24</v>
      </c>
      <c r="CM5" s="69">
        <v>1</v>
      </c>
      <c r="CN5" s="70"/>
      <c r="CO5" s="65">
        <v>25</v>
      </c>
      <c r="CP5" s="65"/>
    </row>
    <row r="6" spans="1:94" ht="15.75" thickBot="1">
      <c r="A6" s="49"/>
      <c r="B6" s="49"/>
      <c r="C6" s="668"/>
      <c r="D6" s="49"/>
      <c r="E6" s="111"/>
      <c r="F6" s="444">
        <f>SUM($D$8:$D$10)*I6</f>
        <v>6</v>
      </c>
      <c r="G6" s="444">
        <f ca="1">VLOOKUP(H6,Equipos!$Q$1:$R$25,2,0)</f>
        <v>1</v>
      </c>
      <c r="H6" s="445">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852" t="s">
        <v>1962</v>
      </c>
      <c r="T6" s="73">
        <f>IFERROR(IF($M6=S6,($D$8+$D$9+$D$10)*$I6,IF($N6=LEFT(S6,1),($D$8+MAX(0,IF($D$50=1,$D$9*(1-(ABS($Q6-ABS(VALUE(MID(S6,FIND("|",S6)+1,FIND("-",S6)-FIND("|",S6)-1))-VALUE(MID(S6,FIND("-",S6)+1,10)))))*$D$50),$D$9*(1-(IF($N6="X",ABS($O6-VALUE(MID(S6,FIND("|",S6)+1,FIND("-",S6)-FIND("|",S6)-1))),ABS($Q6-ABS(VALUE(MID(S6,FIND("|",S6)+1,FIND("-",S6)-FIND("|",S6)-1))-VALUE(MID(S6,FIND("-",S6)+1,10)))))*$D$50)))))*$I6,0)),0)</f>
        <v>0</v>
      </c>
      <c r="U6" s="111"/>
      <c r="V6" s="791" t="s">
        <v>1947</v>
      </c>
      <c r="W6" s="73">
        <f>IFERROR(IF($M6=V6,($D$8+$D$9+$D$10)*$I6,IF($N6=LEFT(V6,1),($D$8+MAX(0,IF($D$50=1,$D$9*(1-(ABS($Q6-ABS(VALUE(MID(V6,FIND("|",V6)+1,FIND("-",V6)-FIND("|",V6)-1))-VALUE(MID(V6,FIND("-",V6)+1,10)))))*$D$50),$D$9*(1-(IF($N6="X",ABS($O6-VALUE(MID(V6,FIND("|",V6)+1,FIND("-",V6)-FIND("|",V6)-1))),ABS($Q6-ABS(VALUE(MID(V6,FIND("|",V6)+1,FIND("-",V6)-FIND("|",V6)-1))-VALUE(MID(V6,FIND("-",V6)+1,10)))))*$D$50)))))*$I6,0)),0)</f>
        <v>0</v>
      </c>
      <c r="X6" s="111"/>
      <c r="Y6" s="796" t="s">
        <v>1949</v>
      </c>
      <c r="Z6" s="73">
        <f t="shared" ref="Z6" si="24">IFERROR(IF($M6=Y6,($D$8+$D$9+$D$10)*$I6,IF($N6=LEFT(Y6,1),($D$8+MAX(0,IF($D$50=1,$D$9*(1-(ABS($Q6-ABS(VALUE(MID(Y6,FIND("|",Y6)+1,FIND("-",Y6)-FIND("|",Y6)-1))-VALUE(MID(Y6,FIND("-",Y6)+1,10)))))*$D$50),$D$9*(1-(IF($N6="X",ABS($O6-VALUE(MID(Y6,FIND("|",Y6)+1,FIND("-",Y6)-FIND("|",Y6)-1))),ABS($Q6-ABS(VALUE(MID(Y6,FIND("|",Y6)+1,FIND("-",Y6)-FIND("|",Y6)-1))-VALUE(MID(Y6,FIND("-",Y6)+1,10)))))*$D$50)))))*$I6,0)),0)</f>
        <v>0</v>
      </c>
      <c r="AA6" s="111"/>
      <c r="AB6" s="801" t="s">
        <v>1963</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806" t="s">
        <v>1948</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1953</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811" t="s">
        <v>1962</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816" t="s">
        <v>1953</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821" t="s">
        <v>1962</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826" t="s">
        <v>1962</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830" t="s">
        <v>1948</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836" t="s">
        <v>1953</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843" t="s">
        <v>1962</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847" t="s">
        <v>1953</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857" t="s">
        <v>1962</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862" t="s">
        <v>1948</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867" t="s">
        <v>1962</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836" t="s">
        <v>1962</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871" t="s">
        <v>1953</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79" t="str">
        <f>HYPERLINK(Idiomas!D302,Idiomas!D301)</f>
        <v>Regla* (Click para ver la explicación)</v>
      </c>
      <c r="D7" s="54" t="str">
        <f>Idiomas!D303</f>
        <v>Puntos</v>
      </c>
      <c r="E7" s="111"/>
      <c r="F7" s="444">
        <f t="shared" ref="F7:F70" si="47">SUM($D$8:$D$10)*I7</f>
        <v>6</v>
      </c>
      <c r="G7" s="444">
        <f ca="1">VLOOKUP(H7,Equipos!$Q$1:$R$25,2,0)</f>
        <v>1</v>
      </c>
      <c r="H7" s="445">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853" t="s">
        <v>1948</v>
      </c>
      <c r="T7" s="73">
        <f t="shared" ref="T7:T70" si="48">IFERROR(IF($M7=S7,($D$8+$D$9+$D$10)*$I7,IF($N7=LEFT(S7,1),($D$8+MAX(0,IF($D$50=1,$D$9*(1-(ABS($Q7-ABS(VALUE(MID(S7,FIND("|",S7)+1,FIND("-",S7)-FIND("|",S7)-1))-VALUE(MID(S7,FIND("-",S7)+1,10)))))*$D$50),$D$9*(1-(IF($N7="X",ABS($O7-VALUE(MID(S7,FIND("|",S7)+1,FIND("-",S7)-FIND("|",S7)-1))),ABS($Q7-ABS(VALUE(MID(S7,FIND("|",S7)+1,FIND("-",S7)-FIND("|",S7)-1))-VALUE(MID(S7,FIND("-",S7)+1,10)))))*$D$50)))))*$I7,0)),0)</f>
        <v>0</v>
      </c>
      <c r="U7" s="111"/>
      <c r="V7" s="792" t="s">
        <v>1948</v>
      </c>
      <c r="W7" s="73">
        <f t="shared" ref="W7:W41" si="49">IFERROR(IF($M7=V7,($D$8+$D$9+$D$10)*$I7,IF($N7=LEFT(V7,1),($D$8+MAX(0,IF($D$50=1,$D$9*(1-(ABS($Q7-ABS(VALUE(MID(V7,FIND("|",V7)+1,FIND("-",V7)-FIND("|",V7)-1))-VALUE(MID(V7,FIND("-",V7)+1,10)))))*$D$50),$D$9*(1-(IF($N7="X",ABS($O7-VALUE(MID(V7,FIND("|",V7)+1,FIND("-",V7)-FIND("|",V7)-1))),ABS($Q7-ABS(VALUE(MID(V7,FIND("|",V7)+1,FIND("-",V7)-FIND("|",V7)-1))-VALUE(MID(V7,FIND("-",V7)+1,10)))))*$D$50)))))*$I7,0)),0)</f>
        <v>0</v>
      </c>
      <c r="X7" s="111"/>
      <c r="Y7" s="797" t="s">
        <v>1949</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802" t="s">
        <v>1948</v>
      </c>
      <c r="AC7" s="73">
        <f t="shared" si="50"/>
        <v>0</v>
      </c>
      <c r="AD7" s="111"/>
      <c r="AE7" s="807" t="s">
        <v>1948</v>
      </c>
      <c r="AF7" s="73">
        <f t="shared" si="50"/>
        <v>0</v>
      </c>
      <c r="AG7" s="111"/>
      <c r="AH7" s="72" t="s">
        <v>1955</v>
      </c>
      <c r="AI7" s="73">
        <f t="shared" si="50"/>
        <v>0</v>
      </c>
      <c r="AJ7" s="111"/>
      <c r="AK7" s="812" t="s">
        <v>1948</v>
      </c>
      <c r="AL7" s="73">
        <f t="shared" si="50"/>
        <v>0</v>
      </c>
      <c r="AM7" s="111"/>
      <c r="AN7" s="817" t="s">
        <v>1953</v>
      </c>
      <c r="AO7" s="73">
        <f t="shared" si="50"/>
        <v>0</v>
      </c>
      <c r="AP7" s="111"/>
      <c r="AQ7" s="822" t="s">
        <v>1961</v>
      </c>
      <c r="AR7" s="73">
        <f t="shared" si="50"/>
        <v>0</v>
      </c>
      <c r="AS7" s="111"/>
      <c r="AT7" s="827" t="s">
        <v>1948</v>
      </c>
      <c r="AU7" s="73">
        <f t="shared" si="50"/>
        <v>0</v>
      </c>
      <c r="AV7" s="111"/>
      <c r="AW7" s="831" t="s">
        <v>1951</v>
      </c>
      <c r="AX7" s="73">
        <f t="shared" si="50"/>
        <v>0</v>
      </c>
      <c r="AY7" s="111"/>
      <c r="AZ7" s="837" t="s">
        <v>1949</v>
      </c>
      <c r="BA7" s="73">
        <f t="shared" si="50"/>
        <v>0</v>
      </c>
      <c r="BB7" s="111"/>
      <c r="BC7" s="844" t="s">
        <v>1955</v>
      </c>
      <c r="BD7" s="73">
        <f t="shared" si="50"/>
        <v>0</v>
      </c>
      <c r="BE7" s="111"/>
      <c r="BF7" s="848" t="s">
        <v>1962</v>
      </c>
      <c r="BG7" s="73">
        <f t="shared" si="50"/>
        <v>0</v>
      </c>
      <c r="BH7" s="111"/>
      <c r="BI7" s="858" t="s">
        <v>1949</v>
      </c>
      <c r="BJ7" s="73">
        <f t="shared" si="50"/>
        <v>0</v>
      </c>
      <c r="BK7" s="111"/>
      <c r="BL7" s="863" t="s">
        <v>1962</v>
      </c>
      <c r="BM7" s="73">
        <f t="shared" si="50"/>
        <v>0</v>
      </c>
      <c r="BN7" s="111"/>
      <c r="BO7" s="868" t="s">
        <v>1948</v>
      </c>
      <c r="BP7" s="73">
        <f t="shared" si="50"/>
        <v>0</v>
      </c>
      <c r="BQ7" s="111"/>
      <c r="BR7" s="837" t="s">
        <v>1955</v>
      </c>
      <c r="BS7" s="73">
        <f t="shared" si="50"/>
        <v>0</v>
      </c>
      <c r="BT7" s="111"/>
      <c r="BU7" s="872" t="s">
        <v>1958</v>
      </c>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4">
        <f t="shared" si="47"/>
        <v>6</v>
      </c>
      <c r="G8" s="444">
        <f ca="1">VLOOKUP(H8,Equipos!$Q$1:$R$25,2,0)</f>
        <v>2</v>
      </c>
      <c r="H8" s="445">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853" t="s">
        <v>1949</v>
      </c>
      <c r="T8" s="73">
        <f t="shared" si="48"/>
        <v>0</v>
      </c>
      <c r="U8" s="65"/>
      <c r="V8" s="792" t="s">
        <v>1949</v>
      </c>
      <c r="W8" s="73">
        <f t="shared" si="49"/>
        <v>0</v>
      </c>
      <c r="X8" s="65"/>
      <c r="Y8" s="797" t="s">
        <v>1949</v>
      </c>
      <c r="Z8" s="73">
        <f t="shared" si="50"/>
        <v>0</v>
      </c>
      <c r="AA8" s="65"/>
      <c r="AB8" s="802" t="s">
        <v>1953</v>
      </c>
      <c r="AC8" s="73">
        <f t="shared" si="50"/>
        <v>0</v>
      </c>
      <c r="AD8" s="65"/>
      <c r="AE8" s="807" t="s">
        <v>1949</v>
      </c>
      <c r="AF8" s="73">
        <f t="shared" si="50"/>
        <v>0</v>
      </c>
      <c r="AG8" s="65"/>
      <c r="AH8" s="74" t="s">
        <v>1962</v>
      </c>
      <c r="AI8" s="73">
        <f t="shared" si="50"/>
        <v>0</v>
      </c>
      <c r="AJ8" s="65"/>
      <c r="AK8" s="812" t="s">
        <v>1949</v>
      </c>
      <c r="AL8" s="73">
        <f t="shared" si="50"/>
        <v>0</v>
      </c>
      <c r="AM8" s="65"/>
      <c r="AN8" s="817" t="s">
        <v>1955</v>
      </c>
      <c r="AO8" s="73">
        <f t="shared" si="50"/>
        <v>0</v>
      </c>
      <c r="AP8" s="65"/>
      <c r="AQ8" s="822" t="s">
        <v>1948</v>
      </c>
      <c r="AR8" s="73">
        <f t="shared" si="50"/>
        <v>0</v>
      </c>
      <c r="AS8" s="65"/>
      <c r="AT8" s="827" t="s">
        <v>1949</v>
      </c>
      <c r="AU8" s="73">
        <f t="shared" si="50"/>
        <v>0</v>
      </c>
      <c r="AV8" s="65"/>
      <c r="AW8" s="831" t="s">
        <v>1949</v>
      </c>
      <c r="AX8" s="73">
        <f t="shared" si="50"/>
        <v>0</v>
      </c>
      <c r="AY8" s="65"/>
      <c r="AZ8" s="837" t="s">
        <v>1955</v>
      </c>
      <c r="BA8" s="73">
        <f t="shared" si="50"/>
        <v>0</v>
      </c>
      <c r="BB8" s="65"/>
      <c r="BC8" s="844" t="s">
        <v>1961</v>
      </c>
      <c r="BD8" s="73">
        <f t="shared" si="50"/>
        <v>0</v>
      </c>
      <c r="BE8" s="65"/>
      <c r="BF8" s="848" t="s">
        <v>1953</v>
      </c>
      <c r="BG8" s="73">
        <f t="shared" si="50"/>
        <v>0</v>
      </c>
      <c r="BH8" s="65"/>
      <c r="BI8" s="858" t="s">
        <v>1948</v>
      </c>
      <c r="BJ8" s="73">
        <f t="shared" si="50"/>
        <v>0</v>
      </c>
      <c r="BK8" s="65"/>
      <c r="BL8" s="863" t="s">
        <v>1948</v>
      </c>
      <c r="BM8" s="73">
        <f t="shared" si="50"/>
        <v>0</v>
      </c>
      <c r="BN8" s="65"/>
      <c r="BO8" s="868" t="s">
        <v>1953</v>
      </c>
      <c r="BP8" s="73">
        <f t="shared" si="50"/>
        <v>0</v>
      </c>
      <c r="BQ8" s="65"/>
      <c r="BR8" s="837" t="s">
        <v>1948</v>
      </c>
      <c r="BS8" s="73">
        <f t="shared" si="50"/>
        <v>0</v>
      </c>
      <c r="BT8" s="65"/>
      <c r="BU8" s="872" t="s">
        <v>1962</v>
      </c>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4">
        <f t="shared" si="47"/>
        <v>6</v>
      </c>
      <c r="G9" s="444">
        <f ca="1">VLOOKUP(H9,Equipos!$Q$1:$R$25,2,0)</f>
        <v>3</v>
      </c>
      <c r="H9" s="445">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854" t="s">
        <v>1961</v>
      </c>
      <c r="T9" s="73">
        <f t="shared" si="48"/>
        <v>0</v>
      </c>
      <c r="U9" s="65"/>
      <c r="V9" s="793" t="s">
        <v>1950</v>
      </c>
      <c r="W9" s="73">
        <f t="shared" si="49"/>
        <v>0</v>
      </c>
      <c r="X9" s="65"/>
      <c r="Y9" s="798" t="s">
        <v>1951</v>
      </c>
      <c r="Z9" s="73">
        <f t="shared" si="50"/>
        <v>0</v>
      </c>
      <c r="AA9" s="65"/>
      <c r="AB9" s="803" t="s">
        <v>1961</v>
      </c>
      <c r="AC9" s="73">
        <f t="shared" si="50"/>
        <v>0</v>
      </c>
      <c r="AD9" s="65"/>
      <c r="AE9" s="808" t="s">
        <v>1951</v>
      </c>
      <c r="AF9" s="73">
        <f t="shared" si="50"/>
        <v>0</v>
      </c>
      <c r="AG9" s="65"/>
      <c r="AH9" s="75" t="s">
        <v>1955</v>
      </c>
      <c r="AI9" s="73">
        <f t="shared" si="50"/>
        <v>0</v>
      </c>
      <c r="AJ9" s="65"/>
      <c r="AK9" s="813" t="s">
        <v>1951</v>
      </c>
      <c r="AL9" s="73">
        <f t="shared" si="50"/>
        <v>0</v>
      </c>
      <c r="AM9" s="65"/>
      <c r="AN9" s="818" t="s">
        <v>1960</v>
      </c>
      <c r="AO9" s="73">
        <f t="shared" si="50"/>
        <v>0</v>
      </c>
      <c r="AP9" s="65"/>
      <c r="AQ9" s="823" t="s">
        <v>1951</v>
      </c>
      <c r="AR9" s="73">
        <f t="shared" si="50"/>
        <v>0</v>
      </c>
      <c r="AS9" s="65"/>
      <c r="AT9" s="828" t="s">
        <v>1951</v>
      </c>
      <c r="AU9" s="73">
        <f t="shared" si="50"/>
        <v>0</v>
      </c>
      <c r="AV9" s="65"/>
      <c r="AW9" s="832" t="s">
        <v>1951</v>
      </c>
      <c r="AX9" s="73">
        <f t="shared" si="50"/>
        <v>0</v>
      </c>
      <c r="AY9" s="65"/>
      <c r="AZ9" s="838" t="s">
        <v>1948</v>
      </c>
      <c r="BA9" s="73">
        <f t="shared" si="50"/>
        <v>0</v>
      </c>
      <c r="BB9" s="65"/>
      <c r="BC9" s="845" t="s">
        <v>1951</v>
      </c>
      <c r="BD9" s="73">
        <f t="shared" si="50"/>
        <v>0</v>
      </c>
      <c r="BE9" s="65"/>
      <c r="BF9" s="849" t="s">
        <v>1960</v>
      </c>
      <c r="BG9" s="73">
        <f t="shared" si="50"/>
        <v>0</v>
      </c>
      <c r="BH9" s="65"/>
      <c r="BI9" s="859" t="s">
        <v>1960</v>
      </c>
      <c r="BJ9" s="73">
        <f t="shared" si="50"/>
        <v>0</v>
      </c>
      <c r="BK9" s="65"/>
      <c r="BL9" s="864" t="s">
        <v>1951</v>
      </c>
      <c r="BM9" s="73">
        <f t="shared" si="50"/>
        <v>0</v>
      </c>
      <c r="BN9" s="65"/>
      <c r="BO9" s="869" t="s">
        <v>1960</v>
      </c>
      <c r="BP9" s="73">
        <f t="shared" si="50"/>
        <v>0</v>
      </c>
      <c r="BQ9" s="65"/>
      <c r="BR9" s="838" t="s">
        <v>1967</v>
      </c>
      <c r="BS9" s="73">
        <f t="shared" si="50"/>
        <v>0</v>
      </c>
      <c r="BT9" s="65"/>
      <c r="BU9" s="873" t="s">
        <v>1967</v>
      </c>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4">
        <f t="shared" si="47"/>
        <v>6</v>
      </c>
      <c r="G10" s="444">
        <f ca="1">VLOOKUP(H10,Equipos!$Q$1:$R$25,2,0)</f>
        <v>3</v>
      </c>
      <c r="H10" s="445">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854" t="s">
        <v>1949</v>
      </c>
      <c r="T10" s="73">
        <f t="shared" si="48"/>
        <v>0</v>
      </c>
      <c r="U10" s="65"/>
      <c r="V10" s="793" t="s">
        <v>1950</v>
      </c>
      <c r="W10" s="73">
        <f t="shared" si="49"/>
        <v>0</v>
      </c>
      <c r="X10" s="65"/>
      <c r="Y10" s="798" t="s">
        <v>1948</v>
      </c>
      <c r="Z10" s="73">
        <f t="shared" si="50"/>
        <v>0</v>
      </c>
      <c r="AA10" s="65"/>
      <c r="AB10" s="803" t="s">
        <v>1947</v>
      </c>
      <c r="AC10" s="73">
        <f t="shared" si="50"/>
        <v>0</v>
      </c>
      <c r="AD10" s="65"/>
      <c r="AE10" s="808" t="s">
        <v>1953</v>
      </c>
      <c r="AF10" s="73">
        <f t="shared" si="50"/>
        <v>0</v>
      </c>
      <c r="AG10" s="65"/>
      <c r="AH10" s="74" t="s">
        <v>1953</v>
      </c>
      <c r="AI10" s="73">
        <f t="shared" si="50"/>
        <v>0</v>
      </c>
      <c r="AJ10" s="65"/>
      <c r="AK10" s="813" t="s">
        <v>1954</v>
      </c>
      <c r="AL10" s="73">
        <f t="shared" si="50"/>
        <v>0</v>
      </c>
      <c r="AM10" s="65"/>
      <c r="AN10" s="818" t="s">
        <v>1953</v>
      </c>
      <c r="AO10" s="73">
        <f t="shared" si="50"/>
        <v>0</v>
      </c>
      <c r="AP10" s="65"/>
      <c r="AQ10" s="823" t="s">
        <v>1953</v>
      </c>
      <c r="AR10" s="73">
        <f t="shared" si="50"/>
        <v>0</v>
      </c>
      <c r="AS10" s="65"/>
      <c r="AT10" s="828" t="s">
        <v>1963</v>
      </c>
      <c r="AU10" s="73">
        <f t="shared" si="50"/>
        <v>0</v>
      </c>
      <c r="AV10" s="65"/>
      <c r="AW10" s="832" t="s">
        <v>1953</v>
      </c>
      <c r="AX10" s="73">
        <f t="shared" si="50"/>
        <v>0</v>
      </c>
      <c r="AY10" s="65"/>
      <c r="AZ10" s="838" t="s">
        <v>1958</v>
      </c>
      <c r="BA10" s="73">
        <f t="shared" si="50"/>
        <v>0</v>
      </c>
      <c r="BB10" s="65"/>
      <c r="BC10" s="845" t="s">
        <v>1962</v>
      </c>
      <c r="BD10" s="73">
        <f t="shared" si="50"/>
        <v>0</v>
      </c>
      <c r="BE10" s="65"/>
      <c r="BF10" s="849" t="s">
        <v>1955</v>
      </c>
      <c r="BG10" s="73">
        <f t="shared" si="50"/>
        <v>0</v>
      </c>
      <c r="BH10" s="65"/>
      <c r="BI10" s="859" t="s">
        <v>1948</v>
      </c>
      <c r="BJ10" s="73">
        <f t="shared" si="50"/>
        <v>0</v>
      </c>
      <c r="BK10" s="65"/>
      <c r="BL10" s="864" t="s">
        <v>1953</v>
      </c>
      <c r="BM10" s="73">
        <f t="shared" si="50"/>
        <v>0</v>
      </c>
      <c r="BN10" s="65"/>
      <c r="BO10" s="869" t="s">
        <v>1953</v>
      </c>
      <c r="BP10" s="73">
        <f t="shared" si="50"/>
        <v>0</v>
      </c>
      <c r="BQ10" s="65"/>
      <c r="BR10" s="838" t="s">
        <v>1953</v>
      </c>
      <c r="BS10" s="73">
        <f t="shared" si="50"/>
        <v>0</v>
      </c>
      <c r="BT10" s="65"/>
      <c r="BU10" s="873" t="s">
        <v>1947</v>
      </c>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4">
        <f t="shared" si="47"/>
        <v>6</v>
      </c>
      <c r="G11" s="444">
        <f ca="1">VLOOKUP(H11,Equipos!$Q$1:$R$25,2,0)</f>
        <v>3</v>
      </c>
      <c r="H11" s="445">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854" t="s">
        <v>1951</v>
      </c>
      <c r="T11" s="73">
        <f t="shared" si="48"/>
        <v>0</v>
      </c>
      <c r="U11" s="65"/>
      <c r="V11" s="793" t="s">
        <v>1951</v>
      </c>
      <c r="W11" s="73">
        <f t="shared" si="49"/>
        <v>0</v>
      </c>
      <c r="X11" s="65"/>
      <c r="Y11" s="798" t="s">
        <v>1961</v>
      </c>
      <c r="Z11" s="73">
        <f t="shared" si="50"/>
        <v>0</v>
      </c>
      <c r="AA11" s="65"/>
      <c r="AB11" s="803" t="s">
        <v>1955</v>
      </c>
      <c r="AC11" s="73">
        <f t="shared" si="50"/>
        <v>0</v>
      </c>
      <c r="AD11" s="65"/>
      <c r="AE11" s="808" t="s">
        <v>1951</v>
      </c>
      <c r="AF11" s="73">
        <f t="shared" si="50"/>
        <v>0</v>
      </c>
      <c r="AG11" s="65"/>
      <c r="AH11" s="74" t="s">
        <v>1951</v>
      </c>
      <c r="AI11" s="73">
        <f t="shared" si="50"/>
        <v>0</v>
      </c>
      <c r="AJ11" s="65"/>
      <c r="AK11" s="813" t="s">
        <v>1951</v>
      </c>
      <c r="AL11" s="73">
        <f t="shared" si="50"/>
        <v>0</v>
      </c>
      <c r="AM11" s="65"/>
      <c r="AN11" s="818" t="s">
        <v>2043</v>
      </c>
      <c r="AO11" s="73">
        <f t="shared" si="50"/>
        <v>0</v>
      </c>
      <c r="AP11" s="65"/>
      <c r="AQ11" s="823" t="s">
        <v>1960</v>
      </c>
      <c r="AR11" s="73">
        <f t="shared" si="50"/>
        <v>0</v>
      </c>
      <c r="AS11" s="65"/>
      <c r="AT11" s="828" t="s">
        <v>1951</v>
      </c>
      <c r="AU11" s="73">
        <f t="shared" si="50"/>
        <v>0</v>
      </c>
      <c r="AV11" s="65"/>
      <c r="AW11" s="832" t="s">
        <v>1948</v>
      </c>
      <c r="AX11" s="73">
        <f t="shared" si="50"/>
        <v>0</v>
      </c>
      <c r="AY11" s="65"/>
      <c r="AZ11" s="838" t="s">
        <v>1965</v>
      </c>
      <c r="BA11" s="73">
        <f t="shared" si="50"/>
        <v>0</v>
      </c>
      <c r="BB11" s="65"/>
      <c r="BC11" s="845" t="s">
        <v>1960</v>
      </c>
      <c r="BD11" s="73">
        <f t="shared" si="50"/>
        <v>0</v>
      </c>
      <c r="BE11" s="65"/>
      <c r="BF11" s="849" t="s">
        <v>1951</v>
      </c>
      <c r="BG11" s="73">
        <f t="shared" si="50"/>
        <v>0</v>
      </c>
      <c r="BH11" s="65"/>
      <c r="BI11" s="859" t="s">
        <v>1951</v>
      </c>
      <c r="BJ11" s="73">
        <f t="shared" si="50"/>
        <v>0</v>
      </c>
      <c r="BK11" s="65"/>
      <c r="BL11" s="864" t="s">
        <v>1951</v>
      </c>
      <c r="BM11" s="73">
        <f t="shared" si="50"/>
        <v>0</v>
      </c>
      <c r="BN11" s="65"/>
      <c r="BO11" s="869" t="s">
        <v>1960</v>
      </c>
      <c r="BP11" s="73">
        <f t="shared" si="50"/>
        <v>0</v>
      </c>
      <c r="BQ11" s="65"/>
      <c r="BR11" s="838" t="s">
        <v>1951</v>
      </c>
      <c r="BS11" s="73">
        <f t="shared" si="50"/>
        <v>0</v>
      </c>
      <c r="BT11" s="65"/>
      <c r="BU11" s="873" t="s">
        <v>1960</v>
      </c>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4">
        <f t="shared" si="47"/>
        <v>6</v>
      </c>
      <c r="G12" s="444">
        <f ca="1">VLOOKUP(H12,Equipos!$Q$1:$R$25,2,0)</f>
        <v>2</v>
      </c>
      <c r="H12" s="445">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854" t="s">
        <v>1965</v>
      </c>
      <c r="T12" s="73">
        <f t="shared" si="48"/>
        <v>0</v>
      </c>
      <c r="U12" s="65"/>
      <c r="V12" s="793" t="s">
        <v>1952</v>
      </c>
      <c r="W12" s="73">
        <f t="shared" si="49"/>
        <v>0</v>
      </c>
      <c r="X12" s="65"/>
      <c r="Y12" s="798" t="s">
        <v>1949</v>
      </c>
      <c r="Z12" s="73">
        <f t="shared" si="50"/>
        <v>0</v>
      </c>
      <c r="AA12" s="65"/>
      <c r="AB12" s="803" t="s">
        <v>1961</v>
      </c>
      <c r="AC12" s="73">
        <f t="shared" si="50"/>
        <v>0</v>
      </c>
      <c r="AD12" s="65"/>
      <c r="AE12" s="808" t="s">
        <v>1948</v>
      </c>
      <c r="AF12" s="73">
        <f t="shared" si="50"/>
        <v>0</v>
      </c>
      <c r="AG12" s="65"/>
      <c r="AH12" s="74" t="s">
        <v>1948</v>
      </c>
      <c r="AI12" s="73">
        <f t="shared" si="50"/>
        <v>0</v>
      </c>
      <c r="AJ12" s="65"/>
      <c r="AK12" s="813" t="s">
        <v>1948</v>
      </c>
      <c r="AL12" s="73">
        <f t="shared" si="50"/>
        <v>0</v>
      </c>
      <c r="AM12" s="65"/>
      <c r="AN12" s="818" t="s">
        <v>1958</v>
      </c>
      <c r="AO12" s="73">
        <f t="shared" si="50"/>
        <v>0</v>
      </c>
      <c r="AP12" s="65"/>
      <c r="AQ12" s="823" t="s">
        <v>1948</v>
      </c>
      <c r="AR12" s="73">
        <f t="shared" si="50"/>
        <v>0</v>
      </c>
      <c r="AS12" s="65"/>
      <c r="AT12" s="828" t="s">
        <v>1953</v>
      </c>
      <c r="AU12" s="73">
        <f t="shared" si="50"/>
        <v>0</v>
      </c>
      <c r="AV12" s="65"/>
      <c r="AW12" s="832" t="s">
        <v>1953</v>
      </c>
      <c r="AX12" s="73">
        <f t="shared" si="50"/>
        <v>0</v>
      </c>
      <c r="AY12" s="65"/>
      <c r="AZ12" s="838" t="s">
        <v>1953</v>
      </c>
      <c r="BA12" s="73">
        <f t="shared" si="50"/>
        <v>0</v>
      </c>
      <c r="BB12" s="65"/>
      <c r="BC12" s="845" t="s">
        <v>1953</v>
      </c>
      <c r="BD12" s="73">
        <f t="shared" si="50"/>
        <v>0</v>
      </c>
      <c r="BE12" s="65"/>
      <c r="BF12" s="849" t="s">
        <v>1953</v>
      </c>
      <c r="BG12" s="73">
        <f t="shared" si="50"/>
        <v>0</v>
      </c>
      <c r="BH12" s="65"/>
      <c r="BI12" s="859" t="s">
        <v>1961</v>
      </c>
      <c r="BJ12" s="73">
        <f t="shared" si="50"/>
        <v>0</v>
      </c>
      <c r="BK12" s="65"/>
      <c r="BL12" s="864" t="s">
        <v>1949</v>
      </c>
      <c r="BM12" s="73">
        <f t="shared" si="50"/>
        <v>0</v>
      </c>
      <c r="BN12" s="65"/>
      <c r="BO12" s="869" t="s">
        <v>1948</v>
      </c>
      <c r="BP12" s="73">
        <f t="shared" si="50"/>
        <v>0</v>
      </c>
      <c r="BQ12" s="65"/>
      <c r="BR12" s="838" t="s">
        <v>1948</v>
      </c>
      <c r="BS12" s="73">
        <f t="shared" si="50"/>
        <v>0</v>
      </c>
      <c r="BT12" s="65"/>
      <c r="BU12" s="873" t="s">
        <v>1958</v>
      </c>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4">
        <f t="shared" si="47"/>
        <v>6</v>
      </c>
      <c r="G13" s="444">
        <f ca="1">VLOOKUP(H13,Equipos!$Q$1:$R$25,2,0)</f>
        <v>3</v>
      </c>
      <c r="H13" s="445">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854" t="s">
        <v>1961</v>
      </c>
      <c r="T13" s="73">
        <f t="shared" si="48"/>
        <v>0</v>
      </c>
      <c r="U13" s="65"/>
      <c r="V13" s="793" t="s">
        <v>1953</v>
      </c>
      <c r="W13" s="73">
        <f t="shared" si="49"/>
        <v>0</v>
      </c>
      <c r="X13" s="65"/>
      <c r="Y13" s="798" t="s">
        <v>1958</v>
      </c>
      <c r="Z13" s="73">
        <f t="shared" si="50"/>
        <v>0</v>
      </c>
      <c r="AA13" s="65"/>
      <c r="AB13" s="803" t="s">
        <v>1955</v>
      </c>
      <c r="AC13" s="73">
        <f t="shared" si="50"/>
        <v>0</v>
      </c>
      <c r="AD13" s="65"/>
      <c r="AE13" s="808" t="s">
        <v>1955</v>
      </c>
      <c r="AF13" s="73">
        <f t="shared" si="50"/>
        <v>0</v>
      </c>
      <c r="AG13" s="65"/>
      <c r="AH13" s="74" t="s">
        <v>1955</v>
      </c>
      <c r="AI13" s="73">
        <f t="shared" si="50"/>
        <v>0</v>
      </c>
      <c r="AJ13" s="65"/>
      <c r="AK13" s="813" t="s">
        <v>1951</v>
      </c>
      <c r="AL13" s="73">
        <f t="shared" si="50"/>
        <v>0</v>
      </c>
      <c r="AM13" s="65"/>
      <c r="AN13" s="818" t="s">
        <v>1955</v>
      </c>
      <c r="AO13" s="73">
        <f t="shared" si="50"/>
        <v>0</v>
      </c>
      <c r="AP13" s="65"/>
      <c r="AQ13" s="823" t="s">
        <v>1951</v>
      </c>
      <c r="AR13" s="73">
        <f t="shared" si="50"/>
        <v>0</v>
      </c>
      <c r="AS13" s="65"/>
      <c r="AT13" s="828" t="s">
        <v>1948</v>
      </c>
      <c r="AU13" s="73">
        <f t="shared" si="50"/>
        <v>0</v>
      </c>
      <c r="AV13" s="65"/>
      <c r="AW13" s="832" t="s">
        <v>1955</v>
      </c>
      <c r="AX13" s="73">
        <f t="shared" si="50"/>
        <v>0</v>
      </c>
      <c r="AY13" s="65"/>
      <c r="AZ13" s="838" t="s">
        <v>1948</v>
      </c>
      <c r="BA13" s="73">
        <f t="shared" si="50"/>
        <v>0</v>
      </c>
      <c r="BB13" s="65"/>
      <c r="BC13" s="845" t="s">
        <v>1961</v>
      </c>
      <c r="BD13" s="73">
        <f t="shared" si="50"/>
        <v>0</v>
      </c>
      <c r="BE13" s="65"/>
      <c r="BF13" s="849" t="s">
        <v>1951</v>
      </c>
      <c r="BG13" s="73">
        <f t="shared" si="50"/>
        <v>0</v>
      </c>
      <c r="BH13" s="65"/>
      <c r="BI13" s="859" t="s">
        <v>1955</v>
      </c>
      <c r="BJ13" s="73">
        <f t="shared" si="50"/>
        <v>0</v>
      </c>
      <c r="BK13" s="65"/>
      <c r="BL13" s="864" t="s">
        <v>1967</v>
      </c>
      <c r="BM13" s="73">
        <f t="shared" si="50"/>
        <v>0</v>
      </c>
      <c r="BN13" s="65"/>
      <c r="BO13" s="869" t="s">
        <v>1951</v>
      </c>
      <c r="BP13" s="73">
        <f t="shared" si="50"/>
        <v>0</v>
      </c>
      <c r="BQ13" s="65"/>
      <c r="BR13" s="838" t="s">
        <v>1960</v>
      </c>
      <c r="BS13" s="73">
        <f t="shared" si="50"/>
        <v>0</v>
      </c>
      <c r="BT13" s="65"/>
      <c r="BU13" s="873" t="s">
        <v>1953</v>
      </c>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4">
        <f t="shared" si="47"/>
        <v>6</v>
      </c>
      <c r="G14" s="444">
        <f ca="1">VLOOKUP(H14,Equipos!$Q$1:$R$25,2,0)</f>
        <v>4</v>
      </c>
      <c r="H14" s="445">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854" t="s">
        <v>1950</v>
      </c>
      <c r="T14" s="73">
        <f t="shared" si="48"/>
        <v>0</v>
      </c>
      <c r="U14" s="65"/>
      <c r="V14" s="793" t="s">
        <v>1954</v>
      </c>
      <c r="W14" s="73">
        <f t="shared" si="49"/>
        <v>0</v>
      </c>
      <c r="X14" s="65"/>
      <c r="Y14" s="798" t="s">
        <v>1962</v>
      </c>
      <c r="Z14" s="73">
        <f t="shared" si="50"/>
        <v>0</v>
      </c>
      <c r="AA14" s="65"/>
      <c r="AB14" s="803" t="s">
        <v>1947</v>
      </c>
      <c r="AC14" s="73">
        <f t="shared" si="50"/>
        <v>0</v>
      </c>
      <c r="AD14" s="65"/>
      <c r="AE14" s="808" t="s">
        <v>1947</v>
      </c>
      <c r="AF14" s="73">
        <f t="shared" si="50"/>
        <v>0</v>
      </c>
      <c r="AG14" s="65"/>
      <c r="AH14" s="74" t="s">
        <v>1963</v>
      </c>
      <c r="AI14" s="73">
        <f t="shared" si="50"/>
        <v>0</v>
      </c>
      <c r="AJ14" s="65"/>
      <c r="AK14" s="813" t="s">
        <v>1963</v>
      </c>
      <c r="AL14" s="73">
        <f t="shared" si="50"/>
        <v>0</v>
      </c>
      <c r="AM14" s="65"/>
      <c r="AN14" s="818" t="s">
        <v>1950</v>
      </c>
      <c r="AO14" s="73">
        <f t="shared" si="50"/>
        <v>0</v>
      </c>
      <c r="AP14" s="65"/>
      <c r="AQ14" s="823" t="s">
        <v>1950</v>
      </c>
      <c r="AR14" s="73">
        <f t="shared" si="50"/>
        <v>0</v>
      </c>
      <c r="AS14" s="65"/>
      <c r="AT14" s="828" t="s">
        <v>1950</v>
      </c>
      <c r="AU14" s="73">
        <f t="shared" si="50"/>
        <v>0</v>
      </c>
      <c r="AV14" s="65"/>
      <c r="AW14" s="832" t="s">
        <v>1950</v>
      </c>
      <c r="AX14" s="73">
        <f t="shared" si="50"/>
        <v>0</v>
      </c>
      <c r="AY14" s="65"/>
      <c r="AZ14" s="838" t="s">
        <v>1950</v>
      </c>
      <c r="BA14" s="73">
        <f t="shared" si="50"/>
        <v>0</v>
      </c>
      <c r="BB14" s="65"/>
      <c r="BC14" s="845" t="s">
        <v>1950</v>
      </c>
      <c r="BD14" s="73">
        <f t="shared" si="50"/>
        <v>0</v>
      </c>
      <c r="BE14" s="65"/>
      <c r="BF14" s="849" t="s">
        <v>2308</v>
      </c>
      <c r="BG14" s="73">
        <f t="shared" si="50"/>
        <v>0</v>
      </c>
      <c r="BH14" s="65"/>
      <c r="BI14" s="859" t="s">
        <v>2042</v>
      </c>
      <c r="BJ14" s="73">
        <f t="shared" si="50"/>
        <v>0</v>
      </c>
      <c r="BK14" s="65"/>
      <c r="BL14" s="864" t="s">
        <v>1963</v>
      </c>
      <c r="BM14" s="73">
        <f t="shared" si="50"/>
        <v>0</v>
      </c>
      <c r="BN14" s="65"/>
      <c r="BO14" s="869" t="s">
        <v>1950</v>
      </c>
      <c r="BP14" s="73">
        <f t="shared" si="50"/>
        <v>0</v>
      </c>
      <c r="BQ14" s="65"/>
      <c r="BR14" s="838" t="s">
        <v>1950</v>
      </c>
      <c r="BS14" s="73">
        <f t="shared" si="50"/>
        <v>0</v>
      </c>
      <c r="BT14" s="65"/>
      <c r="BU14" s="873" t="s">
        <v>1950</v>
      </c>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4">
        <f t="shared" si="47"/>
        <v>6</v>
      </c>
      <c r="G15" s="444">
        <f ca="1">VLOOKUP(H15,Equipos!$Q$1:$R$25,2,0)</f>
        <v>4</v>
      </c>
      <c r="H15" s="445">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854" t="s">
        <v>1953</v>
      </c>
      <c r="T15" s="73">
        <f t="shared" si="48"/>
        <v>0</v>
      </c>
      <c r="U15" s="65"/>
      <c r="V15" s="793" t="s">
        <v>1955</v>
      </c>
      <c r="W15" s="73">
        <f t="shared" si="49"/>
        <v>0</v>
      </c>
      <c r="X15" s="65"/>
      <c r="Y15" s="798" t="s">
        <v>1948</v>
      </c>
      <c r="Z15" s="73">
        <f t="shared" si="50"/>
        <v>0</v>
      </c>
      <c r="AA15" s="65"/>
      <c r="AB15" s="803" t="s">
        <v>1955</v>
      </c>
      <c r="AC15" s="73">
        <f t="shared" si="50"/>
        <v>0</v>
      </c>
      <c r="AD15" s="65"/>
      <c r="AE15" s="808" t="s">
        <v>1948</v>
      </c>
      <c r="AF15" s="73">
        <f t="shared" si="50"/>
        <v>0</v>
      </c>
      <c r="AG15" s="65"/>
      <c r="AH15" s="74" t="s">
        <v>1951</v>
      </c>
      <c r="AI15" s="73">
        <f t="shared" si="50"/>
        <v>0</v>
      </c>
      <c r="AJ15" s="65"/>
      <c r="AK15" s="813" t="s">
        <v>1955</v>
      </c>
      <c r="AL15" s="73">
        <f t="shared" si="50"/>
        <v>0</v>
      </c>
      <c r="AM15" s="65"/>
      <c r="AN15" s="818" t="s">
        <v>1955</v>
      </c>
      <c r="AO15" s="73">
        <f t="shared" si="50"/>
        <v>0</v>
      </c>
      <c r="AP15" s="65"/>
      <c r="AQ15" s="823" t="s">
        <v>1948</v>
      </c>
      <c r="AR15" s="73">
        <f t="shared" si="50"/>
        <v>0</v>
      </c>
      <c r="AS15" s="65"/>
      <c r="AT15" s="828" t="s">
        <v>1955</v>
      </c>
      <c r="AU15" s="73">
        <f t="shared" si="50"/>
        <v>0</v>
      </c>
      <c r="AV15" s="65"/>
      <c r="AW15" s="832" t="s">
        <v>1951</v>
      </c>
      <c r="AX15" s="73">
        <f t="shared" si="50"/>
        <v>0</v>
      </c>
      <c r="AY15" s="65"/>
      <c r="AZ15" s="838" t="s">
        <v>1948</v>
      </c>
      <c r="BA15" s="73">
        <f t="shared" si="50"/>
        <v>0</v>
      </c>
      <c r="BB15" s="65"/>
      <c r="BC15" s="845" t="s">
        <v>1967</v>
      </c>
      <c r="BD15" s="73">
        <f t="shared" si="50"/>
        <v>0</v>
      </c>
      <c r="BE15" s="65"/>
      <c r="BF15" s="849" t="s">
        <v>1954</v>
      </c>
      <c r="BG15" s="73">
        <f t="shared" si="50"/>
        <v>0</v>
      </c>
      <c r="BH15" s="65"/>
      <c r="BI15" s="859" t="s">
        <v>1953</v>
      </c>
      <c r="BJ15" s="73">
        <f t="shared" si="50"/>
        <v>0</v>
      </c>
      <c r="BK15" s="65"/>
      <c r="BL15" s="864" t="s">
        <v>1958</v>
      </c>
      <c r="BM15" s="73">
        <f t="shared" si="50"/>
        <v>0</v>
      </c>
      <c r="BN15" s="65"/>
      <c r="BO15" s="869" t="s">
        <v>1948</v>
      </c>
      <c r="BP15" s="73">
        <f t="shared" si="50"/>
        <v>0</v>
      </c>
      <c r="BQ15" s="65"/>
      <c r="BR15" s="838" t="s">
        <v>1955</v>
      </c>
      <c r="BS15" s="73">
        <f t="shared" si="50"/>
        <v>0</v>
      </c>
      <c r="BT15" s="65"/>
      <c r="BU15" s="873" t="s">
        <v>1958</v>
      </c>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4">
        <f t="shared" si="47"/>
        <v>6</v>
      </c>
      <c r="G16" s="444">
        <f ca="1">VLOOKUP(H16,Equipos!$Q$1:$R$25,2,0)</f>
        <v>4</v>
      </c>
      <c r="H16" s="445">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854" t="s">
        <v>1953</v>
      </c>
      <c r="T16" s="73">
        <f t="shared" si="48"/>
        <v>0</v>
      </c>
      <c r="U16" s="65"/>
      <c r="V16" s="793" t="s">
        <v>1955</v>
      </c>
      <c r="W16" s="73">
        <f t="shared" si="49"/>
        <v>0</v>
      </c>
      <c r="X16" s="65"/>
      <c r="Y16" s="798" t="s">
        <v>1961</v>
      </c>
      <c r="Z16" s="73">
        <f t="shared" si="50"/>
        <v>0</v>
      </c>
      <c r="AA16" s="65"/>
      <c r="AB16" s="803" t="s">
        <v>1961</v>
      </c>
      <c r="AC16" s="73">
        <f t="shared" si="50"/>
        <v>0</v>
      </c>
      <c r="AD16" s="65"/>
      <c r="AE16" s="808" t="s">
        <v>1953</v>
      </c>
      <c r="AF16" s="73">
        <f t="shared" si="50"/>
        <v>0</v>
      </c>
      <c r="AG16" s="65"/>
      <c r="AH16" s="74" t="s">
        <v>1953</v>
      </c>
      <c r="AI16" s="73">
        <f t="shared" si="50"/>
        <v>0</v>
      </c>
      <c r="AJ16" s="65"/>
      <c r="AK16" s="813" t="s">
        <v>1949</v>
      </c>
      <c r="AL16" s="73">
        <f t="shared" si="50"/>
        <v>0</v>
      </c>
      <c r="AM16" s="65"/>
      <c r="AN16" s="818" t="s">
        <v>1953</v>
      </c>
      <c r="AO16" s="73">
        <f t="shared" si="50"/>
        <v>0</v>
      </c>
      <c r="AP16" s="65"/>
      <c r="AQ16" s="823" t="s">
        <v>1953</v>
      </c>
      <c r="AR16" s="73">
        <f t="shared" si="50"/>
        <v>0</v>
      </c>
      <c r="AS16" s="65"/>
      <c r="AT16" s="828" t="s">
        <v>1947</v>
      </c>
      <c r="AU16" s="73">
        <f t="shared" si="50"/>
        <v>0</v>
      </c>
      <c r="AV16" s="65"/>
      <c r="AW16" s="832" t="s">
        <v>1953</v>
      </c>
      <c r="AX16" s="73">
        <f t="shared" si="50"/>
        <v>0</v>
      </c>
      <c r="AY16" s="65"/>
      <c r="AZ16" s="838" t="s">
        <v>1953</v>
      </c>
      <c r="BA16" s="73">
        <f t="shared" si="50"/>
        <v>0</v>
      </c>
      <c r="BB16" s="65"/>
      <c r="BC16" s="845" t="s">
        <v>1958</v>
      </c>
      <c r="BD16" s="73">
        <f t="shared" si="50"/>
        <v>0</v>
      </c>
      <c r="BE16" s="65"/>
      <c r="BF16" s="849" t="s">
        <v>1947</v>
      </c>
      <c r="BG16" s="73">
        <f t="shared" si="50"/>
        <v>0</v>
      </c>
      <c r="BH16" s="65"/>
      <c r="BI16" s="859" t="s">
        <v>1953</v>
      </c>
      <c r="BJ16" s="73">
        <f t="shared" si="50"/>
        <v>0</v>
      </c>
      <c r="BK16" s="65"/>
      <c r="BL16" s="864" t="s">
        <v>1958</v>
      </c>
      <c r="BM16" s="73">
        <f t="shared" si="50"/>
        <v>0</v>
      </c>
      <c r="BN16" s="65"/>
      <c r="BO16" s="869" t="s">
        <v>1962</v>
      </c>
      <c r="BP16" s="73">
        <f t="shared" si="50"/>
        <v>0</v>
      </c>
      <c r="BQ16" s="65"/>
      <c r="BR16" s="838" t="s">
        <v>1962</v>
      </c>
      <c r="BS16" s="73">
        <f t="shared" si="50"/>
        <v>0</v>
      </c>
      <c r="BT16" s="65"/>
      <c r="BU16" s="873" t="s">
        <v>1954</v>
      </c>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4">
        <f t="shared" si="47"/>
        <v>6</v>
      </c>
      <c r="G17" s="444">
        <f ca="1">VLOOKUP(H17,Equipos!$Q$1:$R$25,2,0)</f>
        <v>4</v>
      </c>
      <c r="H17" s="445">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854" t="s">
        <v>1948</v>
      </c>
      <c r="T17" s="73">
        <f t="shared" si="48"/>
        <v>0</v>
      </c>
      <c r="U17" s="65"/>
      <c r="V17" s="793" t="s">
        <v>1947</v>
      </c>
      <c r="W17" s="73">
        <f t="shared" si="49"/>
        <v>0</v>
      </c>
      <c r="X17" s="65"/>
      <c r="Y17" s="798" t="s">
        <v>1965</v>
      </c>
      <c r="Z17" s="73">
        <f t="shared" si="50"/>
        <v>0</v>
      </c>
      <c r="AA17" s="65"/>
      <c r="AB17" s="803" t="s">
        <v>1949</v>
      </c>
      <c r="AC17" s="73">
        <f t="shared" si="50"/>
        <v>0</v>
      </c>
      <c r="AD17" s="65"/>
      <c r="AE17" s="808" t="s">
        <v>1948</v>
      </c>
      <c r="AF17" s="73">
        <f t="shared" si="50"/>
        <v>0</v>
      </c>
      <c r="AG17" s="65"/>
      <c r="AH17" s="74" t="s">
        <v>1962</v>
      </c>
      <c r="AI17" s="73">
        <f t="shared" si="50"/>
        <v>0</v>
      </c>
      <c r="AJ17" s="65"/>
      <c r="AK17" s="813" t="s">
        <v>1953</v>
      </c>
      <c r="AL17" s="73">
        <f t="shared" si="50"/>
        <v>0</v>
      </c>
      <c r="AM17" s="65"/>
      <c r="AN17" s="818" t="s">
        <v>1949</v>
      </c>
      <c r="AO17" s="73">
        <f t="shared" si="50"/>
        <v>0</v>
      </c>
      <c r="AP17" s="65"/>
      <c r="AQ17" s="823" t="s">
        <v>1962</v>
      </c>
      <c r="AR17" s="73">
        <f t="shared" si="50"/>
        <v>0</v>
      </c>
      <c r="AS17" s="65"/>
      <c r="AT17" s="828" t="s">
        <v>1962</v>
      </c>
      <c r="AU17" s="73">
        <f t="shared" si="50"/>
        <v>0</v>
      </c>
      <c r="AV17" s="65"/>
      <c r="AW17" s="832" t="s">
        <v>1949</v>
      </c>
      <c r="AX17" s="73">
        <f t="shared" si="50"/>
        <v>0</v>
      </c>
      <c r="AY17" s="65"/>
      <c r="AZ17" s="838" t="s">
        <v>1947</v>
      </c>
      <c r="BA17" s="73">
        <f t="shared" si="50"/>
        <v>0</v>
      </c>
      <c r="BB17" s="65"/>
      <c r="BC17" s="845" t="s">
        <v>1947</v>
      </c>
      <c r="BD17" s="73">
        <f t="shared" si="50"/>
        <v>0</v>
      </c>
      <c r="BE17" s="65"/>
      <c r="BF17" s="849" t="s">
        <v>1962</v>
      </c>
      <c r="BG17" s="73">
        <f t="shared" si="50"/>
        <v>0</v>
      </c>
      <c r="BH17" s="65"/>
      <c r="BI17" s="859" t="s">
        <v>1949</v>
      </c>
      <c r="BJ17" s="73">
        <f t="shared" si="50"/>
        <v>0</v>
      </c>
      <c r="BK17" s="65"/>
      <c r="BL17" s="864" t="s">
        <v>1949</v>
      </c>
      <c r="BM17" s="73">
        <f t="shared" si="50"/>
        <v>0</v>
      </c>
      <c r="BN17" s="65"/>
      <c r="BO17" s="869" t="s">
        <v>1953</v>
      </c>
      <c r="BP17" s="73">
        <f t="shared" si="50"/>
        <v>0</v>
      </c>
      <c r="BQ17" s="65"/>
      <c r="BR17" s="838" t="s">
        <v>1953</v>
      </c>
      <c r="BS17" s="73">
        <f t="shared" si="50"/>
        <v>0</v>
      </c>
      <c r="BT17" s="65"/>
      <c r="BU17" s="873" t="s">
        <v>1947</v>
      </c>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4">
        <f t="shared" si="47"/>
        <v>6</v>
      </c>
      <c r="G18" s="444">
        <f ca="1">VLOOKUP(H18,Equipos!$Q$1:$R$25,2,0)</f>
        <v>5</v>
      </c>
      <c r="H18" s="445">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854" t="s">
        <v>1953</v>
      </c>
      <c r="T18" s="73">
        <f t="shared" si="48"/>
        <v>0</v>
      </c>
      <c r="U18" s="65"/>
      <c r="V18" s="793" t="s">
        <v>1947</v>
      </c>
      <c r="W18" s="73">
        <f t="shared" si="49"/>
        <v>0</v>
      </c>
      <c r="X18" s="65"/>
      <c r="Y18" s="798" t="s">
        <v>1947</v>
      </c>
      <c r="Z18" s="73">
        <f t="shared" si="50"/>
        <v>0</v>
      </c>
      <c r="AA18" s="65"/>
      <c r="AB18" s="803" t="s">
        <v>1962</v>
      </c>
      <c r="AC18" s="73">
        <f t="shared" si="50"/>
        <v>0</v>
      </c>
      <c r="AD18" s="65"/>
      <c r="AE18" s="808" t="s">
        <v>1953</v>
      </c>
      <c r="AF18" s="73">
        <f t="shared" si="50"/>
        <v>0</v>
      </c>
      <c r="AG18" s="65"/>
      <c r="AH18" s="74" t="s">
        <v>1953</v>
      </c>
      <c r="AI18" s="73">
        <f t="shared" si="50"/>
        <v>0</v>
      </c>
      <c r="AJ18" s="65"/>
      <c r="AK18" s="813" t="s">
        <v>1953</v>
      </c>
      <c r="AL18" s="73">
        <f t="shared" si="50"/>
        <v>0</v>
      </c>
      <c r="AM18" s="65"/>
      <c r="AN18" s="818" t="s">
        <v>1962</v>
      </c>
      <c r="AO18" s="73">
        <f t="shared" si="50"/>
        <v>0</v>
      </c>
      <c r="AP18" s="65"/>
      <c r="AQ18" s="823" t="s">
        <v>1953</v>
      </c>
      <c r="AR18" s="73">
        <f t="shared" si="50"/>
        <v>0</v>
      </c>
      <c r="AS18" s="65"/>
      <c r="AT18" s="828" t="s">
        <v>1963</v>
      </c>
      <c r="AU18" s="73">
        <f t="shared" si="50"/>
        <v>0</v>
      </c>
      <c r="AV18" s="65"/>
      <c r="AW18" s="832" t="s">
        <v>1963</v>
      </c>
      <c r="AX18" s="73">
        <f t="shared" si="50"/>
        <v>0</v>
      </c>
      <c r="AY18" s="65"/>
      <c r="AZ18" s="838" t="s">
        <v>1958</v>
      </c>
      <c r="BA18" s="73">
        <f t="shared" si="50"/>
        <v>0</v>
      </c>
      <c r="BB18" s="65"/>
      <c r="BC18" s="845" t="s">
        <v>1953</v>
      </c>
      <c r="BD18" s="73">
        <f t="shared" si="50"/>
        <v>0</v>
      </c>
      <c r="BE18" s="65"/>
      <c r="BF18" s="849" t="s">
        <v>1953</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859" t="s">
        <v>1962</v>
      </c>
      <c r="BJ18" s="73">
        <f t="shared" si="52"/>
        <v>0</v>
      </c>
      <c r="BK18" s="65"/>
      <c r="BL18" s="864" t="s">
        <v>1953</v>
      </c>
      <c r="BM18" s="73">
        <f t="shared" si="52"/>
        <v>0</v>
      </c>
      <c r="BN18" s="65"/>
      <c r="BO18" s="869" t="s">
        <v>1947</v>
      </c>
      <c r="BP18" s="73">
        <f t="shared" si="52"/>
        <v>0</v>
      </c>
      <c r="BQ18" s="65"/>
      <c r="BR18" s="838" t="s">
        <v>1962</v>
      </c>
      <c r="BS18" s="73">
        <f t="shared" si="52"/>
        <v>0</v>
      </c>
      <c r="BT18" s="65"/>
      <c r="BU18" s="873" t="s">
        <v>1947</v>
      </c>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4">
        <f t="shared" si="47"/>
        <v>6</v>
      </c>
      <c r="G19" s="444">
        <f ca="1">VLOOKUP(H19,Equipos!$Q$1:$R$25,2,0)</f>
        <v>5</v>
      </c>
      <c r="H19" s="445">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854" t="s">
        <v>1951</v>
      </c>
      <c r="T19" s="73">
        <f t="shared" si="48"/>
        <v>0</v>
      </c>
      <c r="U19" s="65"/>
      <c r="V19" s="793" t="s">
        <v>1951</v>
      </c>
      <c r="W19" s="73">
        <f t="shared" si="49"/>
        <v>0</v>
      </c>
      <c r="X19" s="65"/>
      <c r="Y19" s="798" t="s">
        <v>1953</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803" t="s">
        <v>1948</v>
      </c>
      <c r="AC19" s="73">
        <f t="shared" si="53"/>
        <v>0</v>
      </c>
      <c r="AD19" s="65"/>
      <c r="AE19" s="808" t="s">
        <v>1965</v>
      </c>
      <c r="AF19" s="73">
        <f t="shared" si="53"/>
        <v>0</v>
      </c>
      <c r="AG19" s="65"/>
      <c r="AH19" s="74" t="s">
        <v>1949</v>
      </c>
      <c r="AI19" s="73">
        <f t="shared" si="53"/>
        <v>0</v>
      </c>
      <c r="AJ19" s="65"/>
      <c r="AK19" s="813" t="s">
        <v>1949</v>
      </c>
      <c r="AL19" s="73">
        <f t="shared" si="53"/>
        <v>0</v>
      </c>
      <c r="AM19" s="65"/>
      <c r="AN19" s="818" t="s">
        <v>1948</v>
      </c>
      <c r="AO19" s="73">
        <f t="shared" si="53"/>
        <v>0</v>
      </c>
      <c r="AP19" s="65"/>
      <c r="AQ19" s="823" t="s">
        <v>1953</v>
      </c>
      <c r="AR19" s="73">
        <f t="shared" si="53"/>
        <v>0</v>
      </c>
      <c r="AS19" s="65"/>
      <c r="AT19" s="828" t="s">
        <v>1949</v>
      </c>
      <c r="AU19" s="73">
        <f t="shared" si="53"/>
        <v>0</v>
      </c>
      <c r="AV19" s="65"/>
      <c r="AW19" s="832" t="s">
        <v>1948</v>
      </c>
      <c r="AX19" s="73">
        <f t="shared" si="53"/>
        <v>0</v>
      </c>
      <c r="AY19" s="65"/>
      <c r="AZ19" s="838" t="s">
        <v>1949</v>
      </c>
      <c r="BA19" s="73">
        <f t="shared" si="53"/>
        <v>0</v>
      </c>
      <c r="BB19" s="65"/>
      <c r="BC19" s="845" t="s">
        <v>1967</v>
      </c>
      <c r="BD19" s="73">
        <f t="shared" si="53"/>
        <v>0</v>
      </c>
      <c r="BE19" s="65"/>
      <c r="BF19" s="849" t="s">
        <v>1949</v>
      </c>
      <c r="BG19" s="73">
        <f t="shared" si="53"/>
        <v>0</v>
      </c>
      <c r="BH19" s="65"/>
      <c r="BI19" s="859" t="s">
        <v>1949</v>
      </c>
      <c r="BJ19" s="73">
        <f t="shared" si="53"/>
        <v>0</v>
      </c>
      <c r="BK19" s="65"/>
      <c r="BL19" s="864" t="s">
        <v>1962</v>
      </c>
      <c r="BM19" s="73">
        <f t="shared" si="53"/>
        <v>0</v>
      </c>
      <c r="BN19" s="65"/>
      <c r="BO19" s="869" t="s">
        <v>1949</v>
      </c>
      <c r="BP19" s="73">
        <f t="shared" si="53"/>
        <v>0</v>
      </c>
      <c r="BQ19" s="65"/>
      <c r="BR19" s="838" t="s">
        <v>1953</v>
      </c>
      <c r="BS19" s="73">
        <f t="shared" si="53"/>
        <v>0</v>
      </c>
      <c r="BT19" s="65"/>
      <c r="BU19" s="873" t="s">
        <v>1953</v>
      </c>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4">
        <f t="shared" si="47"/>
        <v>6</v>
      </c>
      <c r="G20" s="444">
        <f ca="1">VLOOKUP(H20,Equipos!$Q$1:$R$25,2,0)</f>
        <v>5</v>
      </c>
      <c r="H20" s="445">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854" t="s">
        <v>1963</v>
      </c>
      <c r="T20" s="73">
        <f t="shared" si="48"/>
        <v>0</v>
      </c>
      <c r="U20" s="65"/>
      <c r="V20" s="793" t="s">
        <v>1956</v>
      </c>
      <c r="W20" s="73">
        <f t="shared" si="49"/>
        <v>0</v>
      </c>
      <c r="X20" s="65"/>
      <c r="Y20" s="798" t="s">
        <v>1962</v>
      </c>
      <c r="Z20" s="73">
        <f t="shared" si="53"/>
        <v>0</v>
      </c>
      <c r="AA20" s="65"/>
      <c r="AB20" s="803" t="s">
        <v>2042</v>
      </c>
      <c r="AC20" s="73">
        <f t="shared" si="53"/>
        <v>0</v>
      </c>
      <c r="AD20" s="65"/>
      <c r="AE20" s="808" t="s">
        <v>1963</v>
      </c>
      <c r="AF20" s="73">
        <f t="shared" si="53"/>
        <v>0</v>
      </c>
      <c r="AG20" s="65"/>
      <c r="AH20" s="74" t="s">
        <v>1950</v>
      </c>
      <c r="AI20" s="73">
        <f t="shared" si="53"/>
        <v>0</v>
      </c>
      <c r="AJ20" s="65"/>
      <c r="AK20" s="813" t="s">
        <v>1950</v>
      </c>
      <c r="AL20" s="73">
        <f t="shared" si="53"/>
        <v>0</v>
      </c>
      <c r="AM20" s="65"/>
      <c r="AN20" s="818" t="s">
        <v>1950</v>
      </c>
      <c r="AO20" s="73">
        <f t="shared" si="53"/>
        <v>0</v>
      </c>
      <c r="AP20" s="65"/>
      <c r="AQ20" s="823" t="s">
        <v>1963</v>
      </c>
      <c r="AR20" s="73">
        <f t="shared" si="53"/>
        <v>0</v>
      </c>
      <c r="AS20" s="65"/>
      <c r="AT20" s="828" t="s">
        <v>1963</v>
      </c>
      <c r="AU20" s="73">
        <f t="shared" si="53"/>
        <v>0</v>
      </c>
      <c r="AV20" s="65"/>
      <c r="AW20" s="832" t="s">
        <v>1950</v>
      </c>
      <c r="AX20" s="73">
        <f t="shared" si="53"/>
        <v>0</v>
      </c>
      <c r="AY20" s="65"/>
      <c r="AZ20" s="838" t="s">
        <v>1963</v>
      </c>
      <c r="BA20" s="73">
        <f t="shared" si="53"/>
        <v>0</v>
      </c>
      <c r="BB20" s="65"/>
      <c r="BC20" s="845" t="s">
        <v>1963</v>
      </c>
      <c r="BD20" s="73">
        <f t="shared" si="53"/>
        <v>0</v>
      </c>
      <c r="BE20" s="65"/>
      <c r="BF20" s="849" t="s">
        <v>2042</v>
      </c>
      <c r="BG20" s="73">
        <f t="shared" si="53"/>
        <v>0</v>
      </c>
      <c r="BH20" s="65"/>
      <c r="BI20" s="859" t="s">
        <v>1950</v>
      </c>
      <c r="BJ20" s="73">
        <f t="shared" si="53"/>
        <v>0</v>
      </c>
      <c r="BK20" s="65"/>
      <c r="BL20" s="864" t="s">
        <v>1963</v>
      </c>
      <c r="BM20" s="73">
        <f t="shared" si="53"/>
        <v>0</v>
      </c>
      <c r="BN20" s="65"/>
      <c r="BO20" s="869" t="s">
        <v>1950</v>
      </c>
      <c r="BP20" s="73">
        <f t="shared" si="53"/>
        <v>0</v>
      </c>
      <c r="BQ20" s="65"/>
      <c r="BR20" s="838" t="s">
        <v>1950</v>
      </c>
      <c r="BS20" s="73">
        <f t="shared" si="53"/>
        <v>0</v>
      </c>
      <c r="BT20" s="65"/>
      <c r="BU20" s="873" t="s">
        <v>2042</v>
      </c>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4">
        <f t="shared" si="47"/>
        <v>6</v>
      </c>
      <c r="G21" s="444">
        <f ca="1">VLOOKUP(H21,Equipos!$Q$1:$R$25,2,0)</f>
        <v>5</v>
      </c>
      <c r="H21" s="445">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854" t="s">
        <v>1951</v>
      </c>
      <c r="T21" s="73">
        <f t="shared" si="48"/>
        <v>0</v>
      </c>
      <c r="U21" s="65"/>
      <c r="V21" s="793" t="s">
        <v>1952</v>
      </c>
      <c r="W21" s="73">
        <f t="shared" si="49"/>
        <v>0</v>
      </c>
      <c r="X21" s="65"/>
      <c r="Y21" s="798" t="s">
        <v>1967</v>
      </c>
      <c r="Z21" s="73">
        <f t="shared" si="53"/>
        <v>0</v>
      </c>
      <c r="AA21" s="65"/>
      <c r="AB21" s="803" t="s">
        <v>1961</v>
      </c>
      <c r="AC21" s="73">
        <f t="shared" si="53"/>
        <v>0</v>
      </c>
      <c r="AD21" s="65"/>
      <c r="AE21" s="808" t="s">
        <v>1948</v>
      </c>
      <c r="AF21" s="73">
        <f t="shared" si="53"/>
        <v>0</v>
      </c>
      <c r="AG21" s="65"/>
      <c r="AH21" s="74" t="s">
        <v>1955</v>
      </c>
      <c r="AI21" s="73">
        <f t="shared" si="53"/>
        <v>0</v>
      </c>
      <c r="AJ21" s="65"/>
      <c r="AK21" s="813" t="s">
        <v>1951</v>
      </c>
      <c r="AL21" s="73">
        <f t="shared" si="53"/>
        <v>0</v>
      </c>
      <c r="AM21" s="65"/>
      <c r="AN21" s="818" t="s">
        <v>1951</v>
      </c>
      <c r="AO21" s="73">
        <f t="shared" si="53"/>
        <v>0</v>
      </c>
      <c r="AP21" s="65"/>
      <c r="AQ21" s="823" t="s">
        <v>1951</v>
      </c>
      <c r="AR21" s="73">
        <f t="shared" si="53"/>
        <v>0</v>
      </c>
      <c r="AS21" s="65"/>
      <c r="AT21" s="828" t="s">
        <v>1960</v>
      </c>
      <c r="AU21" s="73">
        <f t="shared" si="53"/>
        <v>0</v>
      </c>
      <c r="AV21" s="65"/>
      <c r="AW21" s="832" t="s">
        <v>1960</v>
      </c>
      <c r="AX21" s="73">
        <f t="shared" si="53"/>
        <v>0</v>
      </c>
      <c r="AY21" s="65"/>
      <c r="AZ21" s="838" t="s">
        <v>1958</v>
      </c>
      <c r="BA21" s="73">
        <f t="shared" si="53"/>
        <v>0</v>
      </c>
      <c r="BB21" s="65"/>
      <c r="BC21" s="845" t="s">
        <v>1953</v>
      </c>
      <c r="BD21" s="73">
        <f t="shared" si="53"/>
        <v>0</v>
      </c>
      <c r="BE21" s="65"/>
      <c r="BF21" s="849" t="s">
        <v>1967</v>
      </c>
      <c r="BG21" s="73">
        <f t="shared" si="53"/>
        <v>0</v>
      </c>
      <c r="BH21" s="65"/>
      <c r="BI21" s="859" t="s">
        <v>1955</v>
      </c>
      <c r="BJ21" s="73">
        <f t="shared" si="53"/>
        <v>0</v>
      </c>
      <c r="BK21" s="65"/>
      <c r="BL21" s="864" t="s">
        <v>1955</v>
      </c>
      <c r="BM21" s="73">
        <f t="shared" si="53"/>
        <v>0</v>
      </c>
      <c r="BN21" s="65"/>
      <c r="BO21" s="869" t="s">
        <v>1955</v>
      </c>
      <c r="BP21" s="73">
        <f t="shared" si="53"/>
        <v>0</v>
      </c>
      <c r="BQ21" s="65"/>
      <c r="BR21" s="838" t="s">
        <v>1961</v>
      </c>
      <c r="BS21" s="73">
        <f t="shared" si="53"/>
        <v>0</v>
      </c>
      <c r="BT21" s="65"/>
      <c r="BU21" s="873" t="s">
        <v>1960</v>
      </c>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4">
        <f t="shared" si="47"/>
        <v>6</v>
      </c>
      <c r="G22" s="444">
        <f ca="1">VLOOKUP(H22,Equipos!$Q$1:$R$25,2,0)</f>
        <v>6</v>
      </c>
      <c r="H22" s="445">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854" t="s">
        <v>1947</v>
      </c>
      <c r="T22" s="73">
        <f t="shared" si="48"/>
        <v>0</v>
      </c>
      <c r="U22" s="65"/>
      <c r="V22" s="793" t="s">
        <v>1957</v>
      </c>
      <c r="W22" s="73">
        <f t="shared" si="49"/>
        <v>0</v>
      </c>
      <c r="X22" s="65"/>
      <c r="Y22" s="798" t="s">
        <v>1949</v>
      </c>
      <c r="Z22" s="73">
        <f t="shared" si="53"/>
        <v>0</v>
      </c>
      <c r="AA22" s="65"/>
      <c r="AB22" s="803" t="s">
        <v>1956</v>
      </c>
      <c r="AC22" s="73">
        <f t="shared" si="53"/>
        <v>0</v>
      </c>
      <c r="AD22" s="65"/>
      <c r="AE22" s="808" t="s">
        <v>1953</v>
      </c>
      <c r="AF22" s="73">
        <f t="shared" si="53"/>
        <v>0</v>
      </c>
      <c r="AG22" s="65"/>
      <c r="AH22" s="74" t="s">
        <v>1947</v>
      </c>
      <c r="AI22" s="73">
        <f t="shared" si="53"/>
        <v>0</v>
      </c>
      <c r="AJ22" s="65"/>
      <c r="AK22" s="813" t="s">
        <v>1953</v>
      </c>
      <c r="AL22" s="73">
        <f t="shared" si="53"/>
        <v>0</v>
      </c>
      <c r="AM22" s="65"/>
      <c r="AN22" s="818" t="s">
        <v>1947</v>
      </c>
      <c r="AO22" s="73">
        <f t="shared" si="53"/>
        <v>0</v>
      </c>
      <c r="AP22" s="65"/>
      <c r="AQ22" s="823" t="s">
        <v>1962</v>
      </c>
      <c r="AR22" s="73">
        <f t="shared" si="53"/>
        <v>0</v>
      </c>
      <c r="AS22" s="65"/>
      <c r="AT22" s="828" t="s">
        <v>1947</v>
      </c>
      <c r="AU22" s="73">
        <f t="shared" si="53"/>
        <v>0</v>
      </c>
      <c r="AV22" s="65"/>
      <c r="AW22" s="832" t="s">
        <v>1954</v>
      </c>
      <c r="AX22" s="73">
        <f t="shared" si="53"/>
        <v>0</v>
      </c>
      <c r="AY22" s="65"/>
      <c r="AZ22" s="838" t="s">
        <v>1947</v>
      </c>
      <c r="BA22" s="73">
        <f t="shared" si="53"/>
        <v>0</v>
      </c>
      <c r="BB22" s="65"/>
      <c r="BC22" s="845" t="s">
        <v>1963</v>
      </c>
      <c r="BD22" s="73">
        <f t="shared" si="53"/>
        <v>0</v>
      </c>
      <c r="BE22" s="65"/>
      <c r="BF22" s="849" t="s">
        <v>1953</v>
      </c>
      <c r="BG22" s="73">
        <f t="shared" si="53"/>
        <v>0</v>
      </c>
      <c r="BH22" s="65"/>
      <c r="BI22" s="859" t="s">
        <v>1953</v>
      </c>
      <c r="BJ22" s="73">
        <f t="shared" si="53"/>
        <v>0</v>
      </c>
      <c r="BK22" s="65"/>
      <c r="BL22" s="864" t="s">
        <v>1963</v>
      </c>
      <c r="BM22" s="73">
        <f t="shared" si="53"/>
        <v>0</v>
      </c>
      <c r="BN22" s="65"/>
      <c r="BO22" s="869" t="s">
        <v>1947</v>
      </c>
      <c r="BP22" s="73">
        <f t="shared" si="53"/>
        <v>0</v>
      </c>
      <c r="BQ22" s="65"/>
      <c r="BR22" s="838" t="s">
        <v>1962</v>
      </c>
      <c r="BS22" s="73">
        <f t="shared" si="53"/>
        <v>0</v>
      </c>
      <c r="BT22" s="65"/>
      <c r="BU22" s="873" t="s">
        <v>1947</v>
      </c>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4">
        <f t="shared" si="47"/>
        <v>6</v>
      </c>
      <c r="G23" s="444">
        <f ca="1">VLOOKUP(H23,Equipos!$Q$1:$R$25,2,0)</f>
        <v>6</v>
      </c>
      <c r="H23" s="445">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854" t="s">
        <v>1948</v>
      </c>
      <c r="T23" s="73">
        <f t="shared" si="48"/>
        <v>0</v>
      </c>
      <c r="U23" s="65"/>
      <c r="V23" s="793" t="s">
        <v>1955</v>
      </c>
      <c r="W23" s="73">
        <f t="shared" si="49"/>
        <v>0</v>
      </c>
      <c r="X23" s="65"/>
      <c r="Y23" s="798" t="s">
        <v>1952</v>
      </c>
      <c r="Z23" s="73">
        <f t="shared" si="53"/>
        <v>0</v>
      </c>
      <c r="AA23" s="65"/>
      <c r="AB23" s="803" t="s">
        <v>2043</v>
      </c>
      <c r="AC23" s="73">
        <f t="shared" si="53"/>
        <v>0</v>
      </c>
      <c r="AD23" s="65"/>
      <c r="AE23" s="808" t="s">
        <v>1951</v>
      </c>
      <c r="AF23" s="73">
        <f t="shared" si="53"/>
        <v>0</v>
      </c>
      <c r="AG23" s="65"/>
      <c r="AH23" s="74" t="s">
        <v>1951</v>
      </c>
      <c r="AI23" s="73">
        <f t="shared" si="53"/>
        <v>0</v>
      </c>
      <c r="AJ23" s="65"/>
      <c r="AK23" s="813" t="s">
        <v>1951</v>
      </c>
      <c r="AL23" s="73">
        <f t="shared" si="53"/>
        <v>0</v>
      </c>
      <c r="AM23" s="65"/>
      <c r="AN23" s="818" t="s">
        <v>1951</v>
      </c>
      <c r="AO23" s="73">
        <f t="shared" si="53"/>
        <v>0</v>
      </c>
      <c r="AP23" s="65"/>
      <c r="AQ23" s="823" t="s">
        <v>1960</v>
      </c>
      <c r="AR23" s="73">
        <f t="shared" si="53"/>
        <v>0</v>
      </c>
      <c r="AS23" s="65"/>
      <c r="AT23" s="828" t="s">
        <v>1951</v>
      </c>
      <c r="AU23" s="73">
        <f t="shared" si="53"/>
        <v>0</v>
      </c>
      <c r="AV23" s="65"/>
      <c r="AW23" s="832" t="s">
        <v>1953</v>
      </c>
      <c r="AX23" s="73">
        <f t="shared" si="53"/>
        <v>0</v>
      </c>
      <c r="AY23" s="65"/>
      <c r="AZ23" s="838" t="s">
        <v>1951</v>
      </c>
      <c r="BA23" s="73">
        <f t="shared" si="53"/>
        <v>0</v>
      </c>
      <c r="BB23" s="65"/>
      <c r="BC23" s="845" t="s">
        <v>1960</v>
      </c>
      <c r="BD23" s="73">
        <f t="shared" si="53"/>
        <v>0</v>
      </c>
      <c r="BE23" s="65"/>
      <c r="BF23" s="849" t="s">
        <v>1960</v>
      </c>
      <c r="BG23" s="73">
        <f t="shared" si="53"/>
        <v>0</v>
      </c>
      <c r="BH23" s="65"/>
      <c r="BI23" s="859" t="s">
        <v>1960</v>
      </c>
      <c r="BJ23" s="73">
        <f t="shared" si="53"/>
        <v>0</v>
      </c>
      <c r="BK23" s="65"/>
      <c r="BL23" s="864" t="s">
        <v>1952</v>
      </c>
      <c r="BM23" s="73">
        <f t="shared" si="53"/>
        <v>0</v>
      </c>
      <c r="BN23" s="65"/>
      <c r="BO23" s="869" t="s">
        <v>1951</v>
      </c>
      <c r="BP23" s="73">
        <f t="shared" si="53"/>
        <v>0</v>
      </c>
      <c r="BQ23" s="65"/>
      <c r="BR23" s="838" t="s">
        <v>1960</v>
      </c>
      <c r="BS23" s="73">
        <f t="shared" si="53"/>
        <v>0</v>
      </c>
      <c r="BT23" s="65"/>
      <c r="BU23" s="873" t="s">
        <v>1951</v>
      </c>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4">
        <f t="shared" si="47"/>
        <v>6</v>
      </c>
      <c r="G24" s="444">
        <f ca="1">VLOOKUP(H24,Equipos!$Q$1:$R$25,2,0)</f>
        <v>6</v>
      </c>
      <c r="H24" s="445">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854" t="s">
        <v>1947</v>
      </c>
      <c r="T24" s="77">
        <f t="shared" si="48"/>
        <v>0</v>
      </c>
      <c r="U24" s="65"/>
      <c r="V24" s="793" t="s">
        <v>1958</v>
      </c>
      <c r="W24" s="77">
        <f t="shared" si="49"/>
        <v>0</v>
      </c>
      <c r="X24" s="65"/>
      <c r="Y24" s="798" t="s">
        <v>1962</v>
      </c>
      <c r="Z24" s="77">
        <f t="shared" si="53"/>
        <v>0</v>
      </c>
      <c r="AA24" s="65"/>
      <c r="AB24" s="803" t="s">
        <v>1949</v>
      </c>
      <c r="AC24" s="77">
        <f t="shared" si="53"/>
        <v>0</v>
      </c>
      <c r="AD24" s="65"/>
      <c r="AE24" s="808" t="s">
        <v>1948</v>
      </c>
      <c r="AF24" s="77">
        <f t="shared" si="53"/>
        <v>0</v>
      </c>
      <c r="AG24" s="65"/>
      <c r="AH24" s="76" t="s">
        <v>1963</v>
      </c>
      <c r="AI24" s="77">
        <f t="shared" si="53"/>
        <v>0</v>
      </c>
      <c r="AJ24" s="65"/>
      <c r="AK24" s="813" t="s">
        <v>1953</v>
      </c>
      <c r="AL24" s="77">
        <f t="shared" si="53"/>
        <v>0</v>
      </c>
      <c r="AM24" s="65"/>
      <c r="AN24" s="818" t="s">
        <v>1947</v>
      </c>
      <c r="AO24" s="77">
        <f t="shared" si="53"/>
        <v>0</v>
      </c>
      <c r="AP24" s="65"/>
      <c r="AQ24" s="823" t="s">
        <v>1953</v>
      </c>
      <c r="AR24" s="77">
        <f t="shared" si="53"/>
        <v>0</v>
      </c>
      <c r="AS24" s="65"/>
      <c r="AT24" s="828" t="s">
        <v>1962</v>
      </c>
      <c r="AU24" s="77">
        <f t="shared" si="53"/>
        <v>0</v>
      </c>
      <c r="AV24" s="65"/>
      <c r="AW24" s="832" t="s">
        <v>1949</v>
      </c>
      <c r="AX24" s="77">
        <f t="shared" si="53"/>
        <v>0</v>
      </c>
      <c r="AY24" s="65"/>
      <c r="AZ24" s="838" t="s">
        <v>1963</v>
      </c>
      <c r="BA24" s="77">
        <f t="shared" si="53"/>
        <v>0</v>
      </c>
      <c r="BB24" s="65"/>
      <c r="BC24" s="845" t="s">
        <v>1963</v>
      </c>
      <c r="BD24" s="77">
        <f t="shared" si="53"/>
        <v>0</v>
      </c>
      <c r="BE24" s="65"/>
      <c r="BF24" s="849" t="s">
        <v>1947</v>
      </c>
      <c r="BG24" s="77">
        <f t="shared" si="53"/>
        <v>0</v>
      </c>
      <c r="BH24" s="65"/>
      <c r="BI24" s="859" t="s">
        <v>1963</v>
      </c>
      <c r="BJ24" s="77">
        <f t="shared" si="53"/>
        <v>0</v>
      </c>
      <c r="BK24" s="65"/>
      <c r="BL24" s="864" t="s">
        <v>1947</v>
      </c>
      <c r="BM24" s="77">
        <f t="shared" si="53"/>
        <v>0</v>
      </c>
      <c r="BN24" s="65"/>
      <c r="BO24" s="869" t="s">
        <v>1962</v>
      </c>
      <c r="BP24" s="77">
        <f t="shared" si="53"/>
        <v>0</v>
      </c>
      <c r="BQ24" s="65"/>
      <c r="BR24" s="838" t="s">
        <v>1962</v>
      </c>
      <c r="BS24" s="77">
        <f t="shared" si="53"/>
        <v>0</v>
      </c>
      <c r="BT24" s="65"/>
      <c r="BU24" s="873" t="s">
        <v>1947</v>
      </c>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4">
        <f t="shared" si="47"/>
        <v>6</v>
      </c>
      <c r="G25" s="444">
        <f ca="1">VLOOKUP(H25,Equipos!$Q$1:$R$25,2,0)</f>
        <v>6</v>
      </c>
      <c r="H25" s="445">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854" t="s">
        <v>1965</v>
      </c>
      <c r="T25" s="73">
        <f t="shared" si="48"/>
        <v>0</v>
      </c>
      <c r="U25" s="65"/>
      <c r="V25" s="793" t="s">
        <v>1949</v>
      </c>
      <c r="W25" s="73">
        <f t="shared" si="49"/>
        <v>0</v>
      </c>
      <c r="X25" s="65"/>
      <c r="Y25" s="798" t="s">
        <v>1962</v>
      </c>
      <c r="Z25" s="73">
        <f t="shared" si="53"/>
        <v>0</v>
      </c>
      <c r="AA25" s="65"/>
      <c r="AB25" s="803" t="s">
        <v>1949</v>
      </c>
      <c r="AC25" s="73">
        <f t="shared" si="53"/>
        <v>0</v>
      </c>
      <c r="AD25" s="65"/>
      <c r="AE25" s="808" t="s">
        <v>1962</v>
      </c>
      <c r="AF25" s="73">
        <f t="shared" si="53"/>
        <v>0</v>
      </c>
      <c r="AG25" s="65"/>
      <c r="AH25" s="74" t="s">
        <v>1962</v>
      </c>
      <c r="AI25" s="73">
        <f t="shared" si="53"/>
        <v>0</v>
      </c>
      <c r="AJ25" s="65"/>
      <c r="AK25" s="813" t="s">
        <v>1949</v>
      </c>
      <c r="AL25" s="73">
        <f t="shared" si="53"/>
        <v>0</v>
      </c>
      <c r="AM25" s="65"/>
      <c r="AN25" s="818" t="s">
        <v>1949</v>
      </c>
      <c r="AO25" s="73">
        <f t="shared" si="53"/>
        <v>0</v>
      </c>
      <c r="AP25" s="65"/>
      <c r="AQ25" s="823" t="s">
        <v>1962</v>
      </c>
      <c r="AR25" s="73">
        <f t="shared" si="53"/>
        <v>0</v>
      </c>
      <c r="AS25" s="65"/>
      <c r="AT25" s="828" t="s">
        <v>1953</v>
      </c>
      <c r="AU25" s="73">
        <f t="shared" si="53"/>
        <v>0</v>
      </c>
      <c r="AV25" s="65"/>
      <c r="AW25" s="832" t="s">
        <v>1949</v>
      </c>
      <c r="AX25" s="73">
        <f t="shared" si="53"/>
        <v>0</v>
      </c>
      <c r="AY25" s="65"/>
      <c r="AZ25" s="838" t="s">
        <v>1961</v>
      </c>
      <c r="BA25" s="73">
        <f t="shared" si="53"/>
        <v>0</v>
      </c>
      <c r="BB25" s="65"/>
      <c r="BC25" s="845" t="s">
        <v>1949</v>
      </c>
      <c r="BD25" s="73">
        <f t="shared" si="53"/>
        <v>0</v>
      </c>
      <c r="BE25" s="65"/>
      <c r="BF25" s="849" t="s">
        <v>1953</v>
      </c>
      <c r="BG25" s="73">
        <f t="shared" si="53"/>
        <v>0</v>
      </c>
      <c r="BH25" s="65"/>
      <c r="BI25" s="859" t="s">
        <v>1949</v>
      </c>
      <c r="BJ25" s="73">
        <f t="shared" si="53"/>
        <v>0</v>
      </c>
      <c r="BK25" s="65"/>
      <c r="BL25" s="864" t="s">
        <v>1962</v>
      </c>
      <c r="BM25" s="73">
        <f t="shared" si="53"/>
        <v>0</v>
      </c>
      <c r="BN25" s="65"/>
      <c r="BO25" s="869" t="s">
        <v>1953</v>
      </c>
      <c r="BP25" s="73">
        <f t="shared" si="53"/>
        <v>0</v>
      </c>
      <c r="BQ25" s="65"/>
      <c r="BR25" s="838" t="s">
        <v>1963</v>
      </c>
      <c r="BS25" s="73">
        <f t="shared" si="53"/>
        <v>0</v>
      </c>
      <c r="BT25" s="65"/>
      <c r="BU25" s="873" t="s">
        <v>1962</v>
      </c>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4">
        <f t="shared" si="47"/>
        <v>6</v>
      </c>
      <c r="G26" s="444">
        <f ca="1">VLOOKUP(H26,Equipos!$Q$1:$R$25,2,0)</f>
        <v>7</v>
      </c>
      <c r="H26" s="445">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854" t="s">
        <v>1956</v>
      </c>
      <c r="T26" s="73">
        <f t="shared" si="48"/>
        <v>0</v>
      </c>
      <c r="U26" s="65"/>
      <c r="V26" s="793" t="s">
        <v>1956</v>
      </c>
      <c r="W26" s="73">
        <f t="shared" si="49"/>
        <v>0</v>
      </c>
      <c r="X26" s="65"/>
      <c r="Y26" s="798" t="s">
        <v>1953</v>
      </c>
      <c r="Z26" s="73">
        <f t="shared" si="53"/>
        <v>0</v>
      </c>
      <c r="AA26" s="65"/>
      <c r="AB26" s="803" t="s">
        <v>1963</v>
      </c>
      <c r="AC26" s="73">
        <f t="shared" si="53"/>
        <v>0</v>
      </c>
      <c r="AD26" s="65"/>
      <c r="AE26" s="808" t="s">
        <v>1963</v>
      </c>
      <c r="AF26" s="73">
        <f t="shared" si="53"/>
        <v>0</v>
      </c>
      <c r="AG26" s="65"/>
      <c r="AH26" s="74" t="s">
        <v>1950</v>
      </c>
      <c r="AI26" s="73">
        <f t="shared" si="53"/>
        <v>0</v>
      </c>
      <c r="AJ26" s="65"/>
      <c r="AK26" s="813" t="s">
        <v>1963</v>
      </c>
      <c r="AL26" s="73">
        <f t="shared" si="53"/>
        <v>0</v>
      </c>
      <c r="AM26" s="65"/>
      <c r="AN26" s="818" t="s">
        <v>1950</v>
      </c>
      <c r="AO26" s="73">
        <f t="shared" si="53"/>
        <v>0</v>
      </c>
      <c r="AP26" s="65"/>
      <c r="AQ26" s="823" t="s">
        <v>1963</v>
      </c>
      <c r="AR26" s="73">
        <f t="shared" si="53"/>
        <v>0</v>
      </c>
      <c r="AS26" s="65"/>
      <c r="AT26" s="828" t="s">
        <v>1963</v>
      </c>
      <c r="AU26" s="73">
        <f t="shared" si="53"/>
        <v>0</v>
      </c>
      <c r="AV26" s="65"/>
      <c r="AW26" s="832" t="s">
        <v>1950</v>
      </c>
      <c r="AX26" s="73">
        <f t="shared" si="53"/>
        <v>0</v>
      </c>
      <c r="AY26" s="65"/>
      <c r="AZ26" s="838" t="s">
        <v>1950</v>
      </c>
      <c r="BA26" s="73">
        <f t="shared" si="53"/>
        <v>0</v>
      </c>
      <c r="BB26" s="65"/>
      <c r="BC26" s="845" t="s">
        <v>1963</v>
      </c>
      <c r="BD26" s="73">
        <f t="shared" si="53"/>
        <v>0</v>
      </c>
      <c r="BE26" s="65"/>
      <c r="BF26" s="849" t="s">
        <v>2042</v>
      </c>
      <c r="BG26" s="73">
        <f t="shared" si="53"/>
        <v>0</v>
      </c>
      <c r="BH26" s="65"/>
      <c r="BI26" s="859" t="s">
        <v>1947</v>
      </c>
      <c r="BJ26" s="73">
        <f t="shared" si="53"/>
        <v>0</v>
      </c>
      <c r="BK26" s="65"/>
      <c r="BL26" s="864" t="s">
        <v>1962</v>
      </c>
      <c r="BM26" s="73">
        <f t="shared" si="53"/>
        <v>0</v>
      </c>
      <c r="BN26" s="65"/>
      <c r="BO26" s="869" t="s">
        <v>1963</v>
      </c>
      <c r="BP26" s="73">
        <f t="shared" si="53"/>
        <v>0</v>
      </c>
      <c r="BQ26" s="65"/>
      <c r="BR26" s="838" t="s">
        <v>1963</v>
      </c>
      <c r="BS26" s="73">
        <f t="shared" si="53"/>
        <v>0</v>
      </c>
      <c r="BT26" s="65"/>
      <c r="BU26" s="873" t="s">
        <v>1950</v>
      </c>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4">
        <f t="shared" si="47"/>
        <v>6</v>
      </c>
      <c r="G27" s="444">
        <f ca="1">VLOOKUP(H27,Equipos!$Q$1:$R$25,2,0)</f>
        <v>7</v>
      </c>
      <c r="H27" s="445">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854" t="s">
        <v>1961</v>
      </c>
      <c r="T27" s="73">
        <f t="shared" si="48"/>
        <v>0</v>
      </c>
      <c r="U27" s="65"/>
      <c r="V27" s="793" t="s">
        <v>1951</v>
      </c>
      <c r="W27" s="73">
        <f t="shared" si="49"/>
        <v>0</v>
      </c>
      <c r="X27" s="65"/>
      <c r="Y27" s="798" t="s">
        <v>1961</v>
      </c>
      <c r="Z27" s="73">
        <f t="shared" si="53"/>
        <v>0</v>
      </c>
      <c r="AA27" s="65"/>
      <c r="AB27" s="803" t="s">
        <v>1948</v>
      </c>
      <c r="AC27" s="73">
        <f t="shared" si="53"/>
        <v>0</v>
      </c>
      <c r="AD27" s="65"/>
      <c r="AE27" s="808" t="s">
        <v>1948</v>
      </c>
      <c r="AF27" s="73">
        <f t="shared" si="53"/>
        <v>0</v>
      </c>
      <c r="AG27" s="65"/>
      <c r="AH27" s="74" t="s">
        <v>1951</v>
      </c>
      <c r="AI27" s="73">
        <f t="shared" si="53"/>
        <v>0</v>
      </c>
      <c r="AJ27" s="65"/>
      <c r="AK27" s="813" t="s">
        <v>1951</v>
      </c>
      <c r="AL27" s="73">
        <f t="shared" si="53"/>
        <v>0</v>
      </c>
      <c r="AM27" s="65"/>
      <c r="AN27" s="818" t="s">
        <v>1960</v>
      </c>
      <c r="AO27" s="73">
        <f t="shared" si="53"/>
        <v>0</v>
      </c>
      <c r="AP27" s="65"/>
      <c r="AQ27" s="823" t="s">
        <v>1955</v>
      </c>
      <c r="AR27" s="73">
        <f t="shared" si="53"/>
        <v>0</v>
      </c>
      <c r="AS27" s="65"/>
      <c r="AT27" s="828" t="s">
        <v>1955</v>
      </c>
      <c r="AU27" s="73">
        <f t="shared" si="53"/>
        <v>0</v>
      </c>
      <c r="AV27" s="65"/>
      <c r="AW27" s="832" t="s">
        <v>1960</v>
      </c>
      <c r="AX27" s="73">
        <f t="shared" si="53"/>
        <v>0</v>
      </c>
      <c r="AY27" s="65"/>
      <c r="AZ27" s="838" t="s">
        <v>1951</v>
      </c>
      <c r="BA27" s="73">
        <f t="shared" si="53"/>
        <v>0</v>
      </c>
      <c r="BB27" s="65"/>
      <c r="BC27" s="845" t="s">
        <v>1961</v>
      </c>
      <c r="BD27" s="73">
        <f t="shared" si="53"/>
        <v>0</v>
      </c>
      <c r="BE27" s="65"/>
      <c r="BF27" s="849" t="s">
        <v>1955</v>
      </c>
      <c r="BG27" s="73">
        <f t="shared" si="53"/>
        <v>0</v>
      </c>
      <c r="BH27" s="65"/>
      <c r="BI27" s="859" t="s">
        <v>1951</v>
      </c>
      <c r="BJ27" s="73">
        <f t="shared" si="53"/>
        <v>0</v>
      </c>
      <c r="BK27" s="65"/>
      <c r="BL27" s="864" t="s">
        <v>1951</v>
      </c>
      <c r="BM27" s="73">
        <f t="shared" si="53"/>
        <v>0</v>
      </c>
      <c r="BN27" s="65"/>
      <c r="BO27" s="869" t="s">
        <v>1951</v>
      </c>
      <c r="BP27" s="73">
        <f t="shared" si="53"/>
        <v>0</v>
      </c>
      <c r="BQ27" s="65"/>
      <c r="BR27" s="838" t="s">
        <v>1967</v>
      </c>
      <c r="BS27" s="73">
        <f t="shared" si="53"/>
        <v>0</v>
      </c>
      <c r="BT27" s="65"/>
      <c r="BU27" s="873" t="s">
        <v>1960</v>
      </c>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4">
        <f t="shared" si="47"/>
        <v>6</v>
      </c>
      <c r="G28" s="444">
        <f ca="1">VLOOKUP(H28,Equipos!$Q$1:$R$25,2,0)</f>
        <v>7</v>
      </c>
      <c r="H28" s="445">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854" t="s">
        <v>1948</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93" t="s">
        <v>1958</v>
      </c>
      <c r="W28" s="73">
        <f t="shared" si="49"/>
        <v>0</v>
      </c>
      <c r="X28" s="65"/>
      <c r="Y28" s="798" t="s">
        <v>1949</v>
      </c>
      <c r="Z28" s="73">
        <f t="shared" si="53"/>
        <v>0</v>
      </c>
      <c r="AA28" s="65"/>
      <c r="AB28" s="803" t="s">
        <v>1953</v>
      </c>
      <c r="AC28" s="73">
        <f t="shared" si="53"/>
        <v>0</v>
      </c>
      <c r="AD28" s="65"/>
      <c r="AE28" s="808" t="s">
        <v>1953</v>
      </c>
      <c r="AF28" s="73">
        <f t="shared" si="53"/>
        <v>0</v>
      </c>
      <c r="AG28" s="65"/>
      <c r="AH28" s="74" t="s">
        <v>1953</v>
      </c>
      <c r="AI28" s="73">
        <f t="shared" si="53"/>
        <v>0</v>
      </c>
      <c r="AJ28" s="65"/>
      <c r="AK28" s="813" t="s">
        <v>1953</v>
      </c>
      <c r="AL28" s="73">
        <f t="shared" si="53"/>
        <v>0</v>
      </c>
      <c r="AM28" s="65"/>
      <c r="AN28" s="818" t="s">
        <v>1953</v>
      </c>
      <c r="AO28" s="73">
        <f t="shared" si="53"/>
        <v>0</v>
      </c>
      <c r="AP28" s="65"/>
      <c r="AQ28" s="823" t="s">
        <v>1962</v>
      </c>
      <c r="AR28" s="73">
        <f t="shared" si="53"/>
        <v>0</v>
      </c>
      <c r="AS28" s="65"/>
      <c r="AT28" s="828" t="s">
        <v>1947</v>
      </c>
      <c r="AU28" s="73">
        <f t="shared" si="53"/>
        <v>0</v>
      </c>
      <c r="AV28" s="65"/>
      <c r="AW28" s="832" t="s">
        <v>1949</v>
      </c>
      <c r="AX28" s="73">
        <f t="shared" si="53"/>
        <v>0</v>
      </c>
      <c r="AY28" s="65"/>
      <c r="AZ28" s="838" t="s">
        <v>1953</v>
      </c>
      <c r="BA28" s="73">
        <f t="shared" si="53"/>
        <v>0</v>
      </c>
      <c r="BB28" s="65"/>
      <c r="BC28" s="845" t="s">
        <v>1958</v>
      </c>
      <c r="BD28" s="73">
        <f t="shared" si="53"/>
        <v>0</v>
      </c>
      <c r="BE28" s="65"/>
      <c r="BF28" s="849" t="s">
        <v>1962</v>
      </c>
      <c r="BG28" s="73">
        <f t="shared" si="53"/>
        <v>0</v>
      </c>
      <c r="BH28" s="65"/>
      <c r="BI28" s="859" t="s">
        <v>1953</v>
      </c>
      <c r="BJ28" s="73">
        <f t="shared" si="53"/>
        <v>0</v>
      </c>
      <c r="BK28" s="65"/>
      <c r="BL28" s="864" t="s">
        <v>1948</v>
      </c>
      <c r="BM28" s="73">
        <f t="shared" si="53"/>
        <v>0</v>
      </c>
      <c r="BN28" s="65"/>
      <c r="BO28" s="869" t="s">
        <v>1949</v>
      </c>
      <c r="BP28" s="73">
        <f t="shared" si="53"/>
        <v>0</v>
      </c>
      <c r="BQ28" s="65"/>
      <c r="BR28" s="838" t="s">
        <v>1962</v>
      </c>
      <c r="BS28" s="73">
        <f t="shared" si="53"/>
        <v>0</v>
      </c>
      <c r="BT28" s="65"/>
      <c r="BU28" s="873" t="s">
        <v>1958</v>
      </c>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4">
        <f t="shared" si="47"/>
        <v>6</v>
      </c>
      <c r="G29" s="444">
        <f ca="1">VLOOKUP(H29,Equipos!$Q$1:$R$25,2,0)</f>
        <v>7</v>
      </c>
      <c r="H29" s="445">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854" t="s">
        <v>1949</v>
      </c>
      <c r="T29" s="79">
        <f t="shared" si="54"/>
        <v>0</v>
      </c>
      <c r="U29" s="65"/>
      <c r="V29" s="793" t="s">
        <v>1947</v>
      </c>
      <c r="W29" s="79">
        <f t="shared" si="49"/>
        <v>0</v>
      </c>
      <c r="X29" s="65"/>
      <c r="Y29" s="798" t="s">
        <v>1948</v>
      </c>
      <c r="Z29" s="79">
        <f t="shared" si="53"/>
        <v>0</v>
      </c>
      <c r="AA29" s="65"/>
      <c r="AB29" s="803" t="s">
        <v>1958</v>
      </c>
      <c r="AC29" s="79">
        <f t="shared" si="53"/>
        <v>0</v>
      </c>
      <c r="AD29" s="65"/>
      <c r="AE29" s="808" t="s">
        <v>1953</v>
      </c>
      <c r="AF29" s="79">
        <f t="shared" si="53"/>
        <v>0</v>
      </c>
      <c r="AG29" s="65"/>
      <c r="AH29" s="78" t="s">
        <v>1949</v>
      </c>
      <c r="AI29" s="79">
        <f t="shared" si="53"/>
        <v>0</v>
      </c>
      <c r="AJ29" s="65"/>
      <c r="AK29" s="813" t="s">
        <v>1948</v>
      </c>
      <c r="AL29" s="79">
        <f t="shared" si="53"/>
        <v>0</v>
      </c>
      <c r="AM29" s="65"/>
      <c r="AN29" s="818" t="s">
        <v>1962</v>
      </c>
      <c r="AO29" s="79">
        <f t="shared" si="53"/>
        <v>0</v>
      </c>
      <c r="AP29" s="65"/>
      <c r="AQ29" s="823" t="s">
        <v>1948</v>
      </c>
      <c r="AR29" s="79">
        <f t="shared" si="53"/>
        <v>0</v>
      </c>
      <c r="AS29" s="65"/>
      <c r="AT29" s="828" t="s">
        <v>1962</v>
      </c>
      <c r="AU29" s="79">
        <f t="shared" si="53"/>
        <v>0</v>
      </c>
      <c r="AV29" s="65"/>
      <c r="AW29" s="832" t="s">
        <v>1961</v>
      </c>
      <c r="AX29" s="79">
        <f t="shared" si="53"/>
        <v>0</v>
      </c>
      <c r="AY29" s="65"/>
      <c r="AZ29" s="838" t="s">
        <v>1949</v>
      </c>
      <c r="BA29" s="79">
        <f t="shared" si="53"/>
        <v>0</v>
      </c>
      <c r="BB29" s="65"/>
      <c r="BC29" s="845" t="s">
        <v>1953</v>
      </c>
      <c r="BD29" s="79">
        <f t="shared" si="53"/>
        <v>0</v>
      </c>
      <c r="BE29" s="65"/>
      <c r="BF29" s="849" t="s">
        <v>1963</v>
      </c>
      <c r="BG29" s="79">
        <f t="shared" si="53"/>
        <v>0</v>
      </c>
      <c r="BH29" s="65"/>
      <c r="BI29" s="859" t="s">
        <v>1962</v>
      </c>
      <c r="BJ29" s="79">
        <f t="shared" si="53"/>
        <v>0</v>
      </c>
      <c r="BK29" s="65"/>
      <c r="BL29" s="864" t="s">
        <v>1962</v>
      </c>
      <c r="BM29" s="79">
        <f t="shared" si="53"/>
        <v>0</v>
      </c>
      <c r="BN29" s="65"/>
      <c r="BO29" s="869" t="s">
        <v>1962</v>
      </c>
      <c r="BP29" s="79">
        <f t="shared" si="53"/>
        <v>0</v>
      </c>
      <c r="BQ29" s="65"/>
      <c r="BR29" s="838" t="s">
        <v>1949</v>
      </c>
      <c r="BS29" s="79">
        <f t="shared" si="53"/>
        <v>0</v>
      </c>
      <c r="BT29" s="65"/>
      <c r="BU29" s="873" t="s">
        <v>1947</v>
      </c>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4">
        <f t="shared" si="47"/>
        <v>6</v>
      </c>
      <c r="G30" s="444">
        <f ca="1">VLOOKUP(H30,Equipos!$Q$1:$R$25,2,0)</f>
        <v>8</v>
      </c>
      <c r="H30" s="445">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854" t="s">
        <v>1948</v>
      </c>
      <c r="T30" s="77">
        <f t="shared" si="54"/>
        <v>0</v>
      </c>
      <c r="U30" s="65"/>
      <c r="V30" s="793" t="s">
        <v>1951</v>
      </c>
      <c r="W30" s="77">
        <f t="shared" si="49"/>
        <v>0</v>
      </c>
      <c r="X30" s="65"/>
      <c r="Y30" s="798" t="s">
        <v>1949</v>
      </c>
      <c r="Z30" s="77">
        <f t="shared" si="53"/>
        <v>0</v>
      </c>
      <c r="AA30" s="65"/>
      <c r="AB30" s="803" t="s">
        <v>1962</v>
      </c>
      <c r="AC30" s="77">
        <f t="shared" si="53"/>
        <v>0</v>
      </c>
      <c r="AD30" s="65"/>
      <c r="AE30" s="808" t="s">
        <v>1962</v>
      </c>
      <c r="AF30" s="77">
        <f t="shared" si="53"/>
        <v>0</v>
      </c>
      <c r="AG30" s="65"/>
      <c r="AH30" s="76" t="s">
        <v>1953</v>
      </c>
      <c r="AI30" s="77">
        <f t="shared" si="53"/>
        <v>0</v>
      </c>
      <c r="AJ30" s="65"/>
      <c r="AK30" s="813" t="s">
        <v>1949</v>
      </c>
      <c r="AL30" s="77">
        <f t="shared" si="53"/>
        <v>0</v>
      </c>
      <c r="AM30" s="65"/>
      <c r="AN30" s="818" t="s">
        <v>1953</v>
      </c>
      <c r="AO30" s="77">
        <f t="shared" si="53"/>
        <v>0</v>
      </c>
      <c r="AP30" s="65"/>
      <c r="AQ30" s="823" t="s">
        <v>1953</v>
      </c>
      <c r="AR30" s="77">
        <f t="shared" si="53"/>
        <v>0</v>
      </c>
      <c r="AS30" s="65"/>
      <c r="AT30" s="828" t="s">
        <v>1949</v>
      </c>
      <c r="AU30" s="77">
        <f t="shared" si="53"/>
        <v>0</v>
      </c>
      <c r="AV30" s="65"/>
      <c r="AW30" s="832" t="s">
        <v>1949</v>
      </c>
      <c r="AX30" s="77">
        <f t="shared" si="53"/>
        <v>0</v>
      </c>
      <c r="AY30" s="65"/>
      <c r="AZ30" s="838" t="s">
        <v>1948</v>
      </c>
      <c r="BA30" s="77">
        <f t="shared" si="53"/>
        <v>0</v>
      </c>
      <c r="BB30" s="65"/>
      <c r="BC30" s="845" t="s">
        <v>1948</v>
      </c>
      <c r="BD30" s="77">
        <f t="shared" si="53"/>
        <v>0</v>
      </c>
      <c r="BE30" s="65"/>
      <c r="BF30" s="849" t="s">
        <v>1962</v>
      </c>
      <c r="BG30" s="77">
        <f t="shared" si="53"/>
        <v>0</v>
      </c>
      <c r="BH30" s="65"/>
      <c r="BI30" s="859" t="s">
        <v>1948</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864" t="s">
        <v>1967</v>
      </c>
      <c r="BM30" s="77">
        <f t="shared" si="55"/>
        <v>0</v>
      </c>
      <c r="BN30" s="65"/>
      <c r="BO30" s="869" t="s">
        <v>1963</v>
      </c>
      <c r="BP30" s="77">
        <f t="shared" si="55"/>
        <v>0</v>
      </c>
      <c r="BQ30" s="65"/>
      <c r="BR30" s="838" t="s">
        <v>1953</v>
      </c>
      <c r="BS30" s="77">
        <f t="shared" si="55"/>
        <v>0</v>
      </c>
      <c r="BT30" s="65"/>
      <c r="BU30" s="873" t="s">
        <v>1962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4">
        <f t="shared" si="47"/>
        <v>6</v>
      </c>
      <c r="G31" s="444">
        <f ca="1">VLOOKUP(H31,Equipos!$Q$1:$R$25,2,0)</f>
        <v>8</v>
      </c>
      <c r="H31" s="445">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854" t="s">
        <v>1953</v>
      </c>
      <c r="T31" s="73">
        <f t="shared" si="54"/>
        <v>0</v>
      </c>
      <c r="U31" s="65"/>
      <c r="V31" s="793" t="s">
        <v>1953</v>
      </c>
      <c r="W31" s="73">
        <f t="shared" si="49"/>
        <v>0</v>
      </c>
      <c r="X31" s="65"/>
      <c r="Y31" s="798" t="s">
        <v>1948</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803" t="s">
        <v>1951</v>
      </c>
      <c r="AC31" s="73">
        <f t="shared" si="56"/>
        <v>0</v>
      </c>
      <c r="AD31" s="65"/>
      <c r="AE31" s="808" t="s">
        <v>1955</v>
      </c>
      <c r="AF31" s="73">
        <f t="shared" si="56"/>
        <v>0</v>
      </c>
      <c r="AG31" s="65"/>
      <c r="AH31" s="74" t="s">
        <v>1953</v>
      </c>
      <c r="AI31" s="73">
        <f t="shared" si="56"/>
        <v>0</v>
      </c>
      <c r="AJ31" s="65"/>
      <c r="AK31" s="813" t="s">
        <v>1953</v>
      </c>
      <c r="AL31" s="73">
        <f t="shared" si="56"/>
        <v>0</v>
      </c>
      <c r="AM31" s="65"/>
      <c r="AN31" s="818" t="s">
        <v>1958</v>
      </c>
      <c r="AO31" s="73">
        <f t="shared" si="56"/>
        <v>0</v>
      </c>
      <c r="AP31" s="65"/>
      <c r="AQ31" s="823" t="s">
        <v>1948</v>
      </c>
      <c r="AR31" s="73">
        <f t="shared" si="56"/>
        <v>0</v>
      </c>
      <c r="AS31" s="65"/>
      <c r="AT31" s="828" t="s">
        <v>1953</v>
      </c>
      <c r="AU31" s="73">
        <f t="shared" si="56"/>
        <v>0</v>
      </c>
      <c r="AV31" s="65"/>
      <c r="AW31" s="832" t="s">
        <v>1953</v>
      </c>
      <c r="AX31" s="73">
        <f t="shared" si="56"/>
        <v>0</v>
      </c>
      <c r="AY31" s="65"/>
      <c r="AZ31" s="838" t="s">
        <v>1958</v>
      </c>
      <c r="BA31" s="73">
        <f t="shared" si="56"/>
        <v>0</v>
      </c>
      <c r="BB31" s="65"/>
      <c r="BC31" s="845" t="s">
        <v>1948</v>
      </c>
      <c r="BD31" s="73">
        <f t="shared" si="56"/>
        <v>0</v>
      </c>
      <c r="BE31" s="65"/>
      <c r="BF31" s="849" t="s">
        <v>1947</v>
      </c>
      <c r="BG31" s="73">
        <f t="shared" si="56"/>
        <v>0</v>
      </c>
      <c r="BH31" s="65"/>
      <c r="BI31" s="859" t="s">
        <v>1948</v>
      </c>
      <c r="BJ31" s="73">
        <f t="shared" si="56"/>
        <v>0</v>
      </c>
      <c r="BK31" s="65"/>
      <c r="BL31" s="864" t="s">
        <v>1953</v>
      </c>
      <c r="BM31" s="73">
        <f t="shared" si="56"/>
        <v>0</v>
      </c>
      <c r="BN31" s="65"/>
      <c r="BO31" s="869" t="s">
        <v>1953</v>
      </c>
      <c r="BP31" s="73">
        <f t="shared" si="56"/>
        <v>0</v>
      </c>
      <c r="BQ31" s="65"/>
      <c r="BR31" s="838" t="s">
        <v>1949</v>
      </c>
      <c r="BS31" s="73">
        <f t="shared" si="56"/>
        <v>0</v>
      </c>
      <c r="BT31" s="65"/>
      <c r="BU31" s="873" t="s">
        <v>1958</v>
      </c>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4">
        <f t="shared" si="47"/>
        <v>6</v>
      </c>
      <c r="G32" s="444">
        <f ca="1">VLOOKUP(H32,Equipos!$Q$1:$R$25,2,0)</f>
        <v>8</v>
      </c>
      <c r="H32" s="445">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854" t="s">
        <v>1949</v>
      </c>
      <c r="T32" s="73">
        <f t="shared" si="54"/>
        <v>0</v>
      </c>
      <c r="U32" s="65"/>
      <c r="V32" s="793" t="s">
        <v>1958</v>
      </c>
      <c r="W32" s="73">
        <f t="shared" si="49"/>
        <v>0</v>
      </c>
      <c r="X32" s="65"/>
      <c r="Y32" s="798" t="s">
        <v>1948</v>
      </c>
      <c r="Z32" s="73">
        <f t="shared" si="56"/>
        <v>0</v>
      </c>
      <c r="AA32" s="65"/>
      <c r="AB32" s="803" t="s">
        <v>1953</v>
      </c>
      <c r="AC32" s="73">
        <f t="shared" si="56"/>
        <v>0</v>
      </c>
      <c r="AD32" s="65"/>
      <c r="AE32" s="808" t="s">
        <v>1948</v>
      </c>
      <c r="AF32" s="73">
        <f t="shared" si="56"/>
        <v>0</v>
      </c>
      <c r="AG32" s="65"/>
      <c r="AH32" s="74" t="s">
        <v>1949</v>
      </c>
      <c r="AI32" s="73">
        <f t="shared" si="56"/>
        <v>0</v>
      </c>
      <c r="AJ32" s="65"/>
      <c r="AK32" s="813" t="s">
        <v>1949</v>
      </c>
      <c r="AL32" s="73">
        <f t="shared" si="56"/>
        <v>0</v>
      </c>
      <c r="AM32" s="65"/>
      <c r="AN32" s="818" t="s">
        <v>1962</v>
      </c>
      <c r="AO32" s="73">
        <f t="shared" si="56"/>
        <v>0</v>
      </c>
      <c r="AP32" s="65"/>
      <c r="AQ32" s="823" t="s">
        <v>1953</v>
      </c>
      <c r="AR32" s="73">
        <f t="shared" si="56"/>
        <v>0</v>
      </c>
      <c r="AS32" s="65"/>
      <c r="AT32" s="828" t="s">
        <v>1953</v>
      </c>
      <c r="AU32" s="73">
        <f t="shared" si="56"/>
        <v>0</v>
      </c>
      <c r="AV32" s="65"/>
      <c r="AW32" s="832" t="s">
        <v>1953</v>
      </c>
      <c r="AX32" s="73">
        <f t="shared" si="56"/>
        <v>0</v>
      </c>
      <c r="AY32" s="65"/>
      <c r="AZ32" s="838" t="s">
        <v>1948</v>
      </c>
      <c r="BA32" s="73">
        <f t="shared" si="56"/>
        <v>0</v>
      </c>
      <c r="BB32" s="65"/>
      <c r="BC32" s="845" t="s">
        <v>1953</v>
      </c>
      <c r="BD32" s="73">
        <f t="shared" si="56"/>
        <v>0</v>
      </c>
      <c r="BE32" s="65"/>
      <c r="BF32" s="849" t="s">
        <v>1962</v>
      </c>
      <c r="BG32" s="73">
        <f t="shared" si="56"/>
        <v>0</v>
      </c>
      <c r="BH32" s="65"/>
      <c r="BI32" s="859" t="s">
        <v>1948</v>
      </c>
      <c r="BJ32" s="73">
        <f t="shared" si="56"/>
        <v>0</v>
      </c>
      <c r="BK32" s="65"/>
      <c r="BL32" s="864" t="s">
        <v>1958</v>
      </c>
      <c r="BM32" s="73">
        <f t="shared" si="56"/>
        <v>0</v>
      </c>
      <c r="BN32" s="65"/>
      <c r="BO32" s="869" t="s">
        <v>1955</v>
      </c>
      <c r="BP32" s="73">
        <f t="shared" si="56"/>
        <v>0</v>
      </c>
      <c r="BQ32" s="65"/>
      <c r="BR32" s="838" t="s">
        <v>1953</v>
      </c>
      <c r="BS32" s="73">
        <f t="shared" si="56"/>
        <v>0</v>
      </c>
      <c r="BT32" s="65"/>
      <c r="BU32" s="873" t="s">
        <v>1962</v>
      </c>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4">
        <f t="shared" si="47"/>
        <v>6</v>
      </c>
      <c r="G33" s="444">
        <f ca="1">VLOOKUP(H33,Equipos!$Q$1:$R$25,2,0)</f>
        <v>8</v>
      </c>
      <c r="H33" s="445">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854" t="s">
        <v>1948</v>
      </c>
      <c r="T33" s="73">
        <f t="shared" si="54"/>
        <v>0</v>
      </c>
      <c r="U33" s="65"/>
      <c r="V33" s="793" t="s">
        <v>1955</v>
      </c>
      <c r="W33" s="73">
        <f t="shared" si="49"/>
        <v>0</v>
      </c>
      <c r="X33" s="65"/>
      <c r="Y33" s="798" t="s">
        <v>1962</v>
      </c>
      <c r="Z33" s="73">
        <f t="shared" si="56"/>
        <v>0</v>
      </c>
      <c r="AA33" s="65"/>
      <c r="AB33" s="803" t="s">
        <v>1950</v>
      </c>
      <c r="AC33" s="73">
        <f t="shared" si="56"/>
        <v>0</v>
      </c>
      <c r="AD33" s="65"/>
      <c r="AE33" s="808" t="s">
        <v>1949</v>
      </c>
      <c r="AF33" s="73">
        <f t="shared" si="56"/>
        <v>0</v>
      </c>
      <c r="AG33" s="65"/>
      <c r="AH33" s="74" t="s">
        <v>1962</v>
      </c>
      <c r="AI33" s="73">
        <f t="shared" si="56"/>
        <v>0</v>
      </c>
      <c r="AJ33" s="65"/>
      <c r="AK33" s="813" t="s">
        <v>1949</v>
      </c>
      <c r="AL33" s="73">
        <f t="shared" si="56"/>
        <v>0</v>
      </c>
      <c r="AM33" s="65"/>
      <c r="AN33" s="818" t="s">
        <v>1962</v>
      </c>
      <c r="AO33" s="73">
        <f t="shared" si="56"/>
        <v>0</v>
      </c>
      <c r="AP33" s="65"/>
      <c r="AQ33" s="823" t="s">
        <v>1953</v>
      </c>
      <c r="AR33" s="73">
        <f t="shared" si="56"/>
        <v>0</v>
      </c>
      <c r="AS33" s="65"/>
      <c r="AT33" s="828" t="s">
        <v>1962</v>
      </c>
      <c r="AU33" s="73">
        <f t="shared" si="56"/>
        <v>0</v>
      </c>
      <c r="AV33" s="65"/>
      <c r="AW33" s="832" t="s">
        <v>1949</v>
      </c>
      <c r="AX33" s="73">
        <f t="shared" si="56"/>
        <v>0</v>
      </c>
      <c r="AY33" s="65"/>
      <c r="AZ33" s="838" t="s">
        <v>1955</v>
      </c>
      <c r="BA33" s="73">
        <f t="shared" si="56"/>
        <v>0</v>
      </c>
      <c r="BB33" s="65"/>
      <c r="BC33" s="845" t="s">
        <v>1961</v>
      </c>
      <c r="BD33" s="73">
        <f t="shared" si="56"/>
        <v>0</v>
      </c>
      <c r="BE33" s="65"/>
      <c r="BF33" s="849" t="s">
        <v>1950</v>
      </c>
      <c r="BG33" s="73">
        <f t="shared" si="56"/>
        <v>0</v>
      </c>
      <c r="BH33" s="65"/>
      <c r="BI33" s="859" t="s">
        <v>1953</v>
      </c>
      <c r="BJ33" s="73">
        <f t="shared" si="56"/>
        <v>0</v>
      </c>
      <c r="BK33" s="65"/>
      <c r="BL33" s="864" t="s">
        <v>1947</v>
      </c>
      <c r="BM33" s="73">
        <f t="shared" si="56"/>
        <v>0</v>
      </c>
      <c r="BN33" s="65"/>
      <c r="BO33" s="869" t="s">
        <v>1950</v>
      </c>
      <c r="BP33" s="73">
        <f t="shared" si="56"/>
        <v>0</v>
      </c>
      <c r="BQ33" s="65"/>
      <c r="BR33" s="838" t="s">
        <v>1949</v>
      </c>
      <c r="BS33" s="73">
        <f t="shared" si="56"/>
        <v>0</v>
      </c>
      <c r="BT33" s="65"/>
      <c r="BU33" s="873" t="s">
        <v>1962</v>
      </c>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4">
        <f t="shared" si="47"/>
        <v>6</v>
      </c>
      <c r="G34" s="444">
        <f ca="1">VLOOKUP(H34,Equipos!$Q$1:$R$25,2,0)</f>
        <v>9</v>
      </c>
      <c r="H34" s="445">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854" t="s">
        <v>1951</v>
      </c>
      <c r="T34" s="73">
        <f t="shared" si="54"/>
        <v>0</v>
      </c>
      <c r="U34" s="65"/>
      <c r="V34" s="793" t="s">
        <v>1947</v>
      </c>
      <c r="W34" s="73">
        <f t="shared" si="49"/>
        <v>0</v>
      </c>
      <c r="X34" s="65"/>
      <c r="Y34" s="798" t="s">
        <v>1955</v>
      </c>
      <c r="Z34" s="73">
        <f t="shared" si="56"/>
        <v>0</v>
      </c>
      <c r="AA34" s="65"/>
      <c r="AB34" s="803" t="s">
        <v>1967</v>
      </c>
      <c r="AC34" s="73">
        <f t="shared" si="56"/>
        <v>0</v>
      </c>
      <c r="AD34" s="65"/>
      <c r="AE34" s="808" t="s">
        <v>1955</v>
      </c>
      <c r="AF34" s="73">
        <f t="shared" si="56"/>
        <v>0</v>
      </c>
      <c r="AG34" s="65"/>
      <c r="AH34" s="74" t="s">
        <v>1955</v>
      </c>
      <c r="AI34" s="73">
        <f t="shared" si="56"/>
        <v>0</v>
      </c>
      <c r="AJ34" s="65"/>
      <c r="AK34" s="813" t="s">
        <v>1955</v>
      </c>
      <c r="AL34" s="73">
        <f t="shared" si="56"/>
        <v>0</v>
      </c>
      <c r="AM34" s="65"/>
      <c r="AN34" s="818" t="s">
        <v>1951</v>
      </c>
      <c r="AO34" s="73">
        <f t="shared" si="56"/>
        <v>0</v>
      </c>
      <c r="AP34" s="65"/>
      <c r="AQ34" s="823" t="s">
        <v>1965</v>
      </c>
      <c r="AR34" s="73">
        <f t="shared" si="56"/>
        <v>0</v>
      </c>
      <c r="AS34" s="65"/>
      <c r="AT34" s="828" t="s">
        <v>1955</v>
      </c>
      <c r="AU34" s="73">
        <f t="shared" si="56"/>
        <v>0</v>
      </c>
      <c r="AV34" s="65"/>
      <c r="AW34" s="832" t="s">
        <v>1951</v>
      </c>
      <c r="AX34" s="73">
        <f t="shared" si="56"/>
        <v>0</v>
      </c>
      <c r="AY34" s="65"/>
      <c r="AZ34" s="838" t="s">
        <v>1951</v>
      </c>
      <c r="BA34" s="73">
        <f t="shared" si="56"/>
        <v>0</v>
      </c>
      <c r="BB34" s="65"/>
      <c r="BC34" s="845" t="s">
        <v>1948</v>
      </c>
      <c r="BD34" s="73">
        <f t="shared" si="56"/>
        <v>0</v>
      </c>
      <c r="BE34" s="65"/>
      <c r="BF34" s="849" t="s">
        <v>1967</v>
      </c>
      <c r="BG34" s="73">
        <f t="shared" si="56"/>
        <v>0</v>
      </c>
      <c r="BH34" s="65"/>
      <c r="BI34" s="859" t="s">
        <v>1951</v>
      </c>
      <c r="BJ34" s="73">
        <f t="shared" si="56"/>
        <v>0</v>
      </c>
      <c r="BK34" s="65"/>
      <c r="BL34" s="864" t="s">
        <v>1961</v>
      </c>
      <c r="BM34" s="73">
        <f t="shared" si="56"/>
        <v>0</v>
      </c>
      <c r="BN34" s="65"/>
      <c r="BO34" s="869" t="s">
        <v>1955</v>
      </c>
      <c r="BP34" s="73">
        <f t="shared" si="56"/>
        <v>0</v>
      </c>
      <c r="BQ34" s="65"/>
      <c r="BR34" s="838" t="s">
        <v>1955</v>
      </c>
      <c r="BS34" s="73">
        <f t="shared" si="56"/>
        <v>0</v>
      </c>
      <c r="BT34" s="65"/>
      <c r="BU34" s="873" t="s">
        <v>1948</v>
      </c>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4">
        <f t="shared" si="47"/>
        <v>6</v>
      </c>
      <c r="G35" s="444">
        <f ca="1">VLOOKUP(H35,Equipos!$Q$1:$R$25,2,0)</f>
        <v>9</v>
      </c>
      <c r="H35" s="445">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854" t="s">
        <v>1963</v>
      </c>
      <c r="T35" s="73">
        <f t="shared" si="54"/>
        <v>0</v>
      </c>
      <c r="U35" s="65"/>
      <c r="V35" s="793" t="s">
        <v>1947</v>
      </c>
      <c r="W35" s="73">
        <f t="shared" si="49"/>
        <v>0</v>
      </c>
      <c r="X35" s="65"/>
      <c r="Y35" s="798" t="s">
        <v>1963</v>
      </c>
      <c r="Z35" s="73">
        <f t="shared" si="56"/>
        <v>0</v>
      </c>
      <c r="AA35" s="65"/>
      <c r="AB35" s="803" t="s">
        <v>1950</v>
      </c>
      <c r="AC35" s="73">
        <f t="shared" si="56"/>
        <v>0</v>
      </c>
      <c r="AD35" s="65"/>
      <c r="AE35" s="808" t="s">
        <v>1950</v>
      </c>
      <c r="AF35" s="73">
        <f t="shared" si="56"/>
        <v>0</v>
      </c>
      <c r="AG35" s="65"/>
      <c r="AH35" s="74" t="s">
        <v>1950</v>
      </c>
      <c r="AI35" s="73">
        <f t="shared" si="56"/>
        <v>0</v>
      </c>
      <c r="AJ35" s="65"/>
      <c r="AK35" s="813" t="s">
        <v>1963</v>
      </c>
      <c r="AL35" s="73">
        <f t="shared" si="56"/>
        <v>0</v>
      </c>
      <c r="AM35" s="65"/>
      <c r="AN35" s="818" t="s">
        <v>2042</v>
      </c>
      <c r="AO35" s="73">
        <f t="shared" si="56"/>
        <v>0</v>
      </c>
      <c r="AP35" s="65"/>
      <c r="AQ35" s="823" t="s">
        <v>1963</v>
      </c>
      <c r="AR35" s="73">
        <f t="shared" si="56"/>
        <v>0</v>
      </c>
      <c r="AS35" s="65"/>
      <c r="AT35" s="828" t="s">
        <v>1950</v>
      </c>
      <c r="AU35" s="73">
        <f t="shared" si="56"/>
        <v>0</v>
      </c>
      <c r="AV35" s="65"/>
      <c r="AW35" s="832" t="s">
        <v>1962</v>
      </c>
      <c r="AX35" s="73">
        <f t="shared" si="56"/>
        <v>0</v>
      </c>
      <c r="AY35" s="65"/>
      <c r="AZ35" s="838" t="s">
        <v>1950</v>
      </c>
      <c r="BA35" s="73">
        <f t="shared" si="56"/>
        <v>0</v>
      </c>
      <c r="BB35" s="65"/>
      <c r="BC35" s="845" t="s">
        <v>1963</v>
      </c>
      <c r="BD35" s="73">
        <f t="shared" si="56"/>
        <v>0</v>
      </c>
      <c r="BE35" s="65"/>
      <c r="BF35" s="849" t="s">
        <v>2042</v>
      </c>
      <c r="BG35" s="73">
        <f t="shared" si="56"/>
        <v>0</v>
      </c>
      <c r="BH35" s="65"/>
      <c r="BI35" s="859" t="s">
        <v>1950</v>
      </c>
      <c r="BJ35" s="73">
        <f t="shared" si="56"/>
        <v>0</v>
      </c>
      <c r="BK35" s="65"/>
      <c r="BL35" s="864" t="s">
        <v>1947</v>
      </c>
      <c r="BM35" s="73">
        <f t="shared" si="56"/>
        <v>0</v>
      </c>
      <c r="BN35" s="65"/>
      <c r="BO35" s="869" t="s">
        <v>1950</v>
      </c>
      <c r="BP35" s="73">
        <f t="shared" si="56"/>
        <v>0</v>
      </c>
      <c r="BQ35" s="65"/>
      <c r="BR35" s="838" t="s">
        <v>1950</v>
      </c>
      <c r="BS35" s="73">
        <f t="shared" si="56"/>
        <v>0</v>
      </c>
      <c r="BT35" s="65"/>
      <c r="BU35" s="873" t="s">
        <v>1950</v>
      </c>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4">
        <f t="shared" si="47"/>
        <v>6</v>
      </c>
      <c r="G36" s="444">
        <f ca="1">VLOOKUP(H36,Equipos!$Q$1:$R$25,2,0)</f>
        <v>9</v>
      </c>
      <c r="H36" s="445">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854" t="s">
        <v>1953</v>
      </c>
      <c r="T36" s="73">
        <f t="shared" si="54"/>
        <v>0</v>
      </c>
      <c r="U36" s="65"/>
      <c r="V36" s="793" t="s">
        <v>1959</v>
      </c>
      <c r="W36" s="73">
        <f t="shared" si="49"/>
        <v>0</v>
      </c>
      <c r="X36" s="65"/>
      <c r="Y36" s="798" t="s">
        <v>1949</v>
      </c>
      <c r="Z36" s="73">
        <f t="shared" si="56"/>
        <v>0</v>
      </c>
      <c r="AA36" s="65"/>
      <c r="AB36" s="803" t="s">
        <v>1947</v>
      </c>
      <c r="AC36" s="73">
        <f t="shared" si="56"/>
        <v>0</v>
      </c>
      <c r="AD36" s="65"/>
      <c r="AE36" s="808" t="s">
        <v>1953</v>
      </c>
      <c r="AF36" s="73">
        <f t="shared" si="56"/>
        <v>0</v>
      </c>
      <c r="AG36" s="65"/>
      <c r="AH36" s="74" t="s">
        <v>1953</v>
      </c>
      <c r="AI36" s="73">
        <f t="shared" si="56"/>
        <v>0</v>
      </c>
      <c r="AJ36" s="65"/>
      <c r="AK36" s="813" t="s">
        <v>1949</v>
      </c>
      <c r="AL36" s="73">
        <f t="shared" si="56"/>
        <v>0</v>
      </c>
      <c r="AM36" s="65"/>
      <c r="AN36" s="818" t="s">
        <v>1953</v>
      </c>
      <c r="AO36" s="73">
        <f t="shared" si="56"/>
        <v>0</v>
      </c>
      <c r="AP36" s="65"/>
      <c r="AQ36" s="823" t="s">
        <v>1953</v>
      </c>
      <c r="AR36" s="73">
        <f t="shared" si="56"/>
        <v>0</v>
      </c>
      <c r="AS36" s="65"/>
      <c r="AT36" s="828" t="s">
        <v>1962</v>
      </c>
      <c r="AU36" s="73">
        <f t="shared" si="56"/>
        <v>0</v>
      </c>
      <c r="AV36" s="65"/>
      <c r="AW36" s="832" t="s">
        <v>1962</v>
      </c>
      <c r="AX36" s="73">
        <f t="shared" si="56"/>
        <v>0</v>
      </c>
      <c r="AY36" s="65"/>
      <c r="AZ36" s="838" t="s">
        <v>1962</v>
      </c>
      <c r="BA36" s="73">
        <f t="shared" si="56"/>
        <v>0</v>
      </c>
      <c r="BB36" s="65"/>
      <c r="BC36" s="845" t="s">
        <v>1961</v>
      </c>
      <c r="BD36" s="73">
        <f t="shared" si="56"/>
        <v>0</v>
      </c>
      <c r="BE36" s="65"/>
      <c r="BF36" s="849" t="s">
        <v>1948</v>
      </c>
      <c r="BG36" s="73">
        <f t="shared" si="56"/>
        <v>0</v>
      </c>
      <c r="BH36" s="65"/>
      <c r="BI36" s="859" t="s">
        <v>1953</v>
      </c>
      <c r="BJ36" s="73">
        <f t="shared" si="56"/>
        <v>0</v>
      </c>
      <c r="BK36" s="65"/>
      <c r="BL36" s="864" t="s">
        <v>1958</v>
      </c>
      <c r="BM36" s="73">
        <f t="shared" si="56"/>
        <v>0</v>
      </c>
      <c r="BN36" s="65"/>
      <c r="BO36" s="869" t="s">
        <v>1949</v>
      </c>
      <c r="BP36" s="73">
        <f t="shared" si="56"/>
        <v>0</v>
      </c>
      <c r="BQ36" s="65"/>
      <c r="BR36" s="838" t="s">
        <v>1953</v>
      </c>
      <c r="BS36" s="73">
        <f t="shared" si="56"/>
        <v>0</v>
      </c>
      <c r="BT36" s="65"/>
      <c r="BU36" s="873" t="s">
        <v>1953</v>
      </c>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4">
        <f t="shared" si="47"/>
        <v>6</v>
      </c>
      <c r="G37" s="444">
        <f ca="1">VLOOKUP(H37,Equipos!$Q$1:$R$25,2,0)</f>
        <v>9</v>
      </c>
      <c r="H37" s="445">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854" t="s">
        <v>1948</v>
      </c>
      <c r="T37" s="73">
        <f t="shared" si="48"/>
        <v>0</v>
      </c>
      <c r="U37" s="65"/>
      <c r="V37" s="793" t="s">
        <v>1960</v>
      </c>
      <c r="W37" s="73">
        <f t="shared" si="49"/>
        <v>0</v>
      </c>
      <c r="X37" s="65"/>
      <c r="Y37" s="798" t="s">
        <v>1948</v>
      </c>
      <c r="Z37" s="73">
        <f t="shared" si="56"/>
        <v>0</v>
      </c>
      <c r="AA37" s="65"/>
      <c r="AB37" s="803" t="s">
        <v>1954</v>
      </c>
      <c r="AC37" s="73">
        <f t="shared" si="56"/>
        <v>0</v>
      </c>
      <c r="AD37" s="65"/>
      <c r="AE37" s="808" t="s">
        <v>1962</v>
      </c>
      <c r="AF37" s="73">
        <f t="shared" si="56"/>
        <v>0</v>
      </c>
      <c r="AG37" s="65"/>
      <c r="AH37" s="74" t="s">
        <v>1953</v>
      </c>
      <c r="AI37" s="73">
        <f t="shared" si="56"/>
        <v>0</v>
      </c>
      <c r="AJ37" s="65"/>
      <c r="AK37" s="813" t="s">
        <v>1948</v>
      </c>
      <c r="AL37" s="73">
        <f t="shared" si="56"/>
        <v>0</v>
      </c>
      <c r="AM37" s="65"/>
      <c r="AN37" s="818" t="s">
        <v>1955</v>
      </c>
      <c r="AO37" s="73">
        <f t="shared" si="56"/>
        <v>0</v>
      </c>
      <c r="AP37" s="65"/>
      <c r="AQ37" s="823" t="s">
        <v>1965</v>
      </c>
      <c r="AR37" s="73">
        <f t="shared" si="56"/>
        <v>0</v>
      </c>
      <c r="AS37" s="65"/>
      <c r="AT37" s="828" t="s">
        <v>1953</v>
      </c>
      <c r="AU37" s="73">
        <f t="shared" si="56"/>
        <v>0</v>
      </c>
      <c r="AV37" s="65"/>
      <c r="AW37" s="832" t="s">
        <v>1948</v>
      </c>
      <c r="AX37" s="73">
        <f t="shared" si="56"/>
        <v>0</v>
      </c>
      <c r="AY37" s="65"/>
      <c r="AZ37" s="838" t="s">
        <v>1948</v>
      </c>
      <c r="BA37" s="73">
        <f t="shared" si="56"/>
        <v>0</v>
      </c>
      <c r="BB37" s="65"/>
      <c r="BC37" s="845" t="s">
        <v>1953</v>
      </c>
      <c r="BD37" s="73">
        <f t="shared" si="56"/>
        <v>0</v>
      </c>
      <c r="BE37" s="65"/>
      <c r="BF37" s="849" t="s">
        <v>1963</v>
      </c>
      <c r="BG37" s="73">
        <f t="shared" si="56"/>
        <v>0</v>
      </c>
      <c r="BH37" s="65"/>
      <c r="BI37" s="859" t="s">
        <v>1948</v>
      </c>
      <c r="BJ37" s="73">
        <f t="shared" si="56"/>
        <v>0</v>
      </c>
      <c r="BK37" s="65"/>
      <c r="BL37" s="864" t="s">
        <v>1953</v>
      </c>
      <c r="BM37" s="73">
        <f t="shared" si="56"/>
        <v>0</v>
      </c>
      <c r="BN37" s="65"/>
      <c r="BO37" s="869" t="s">
        <v>1953</v>
      </c>
      <c r="BP37" s="73">
        <f t="shared" si="56"/>
        <v>0</v>
      </c>
      <c r="BQ37" s="65"/>
      <c r="BR37" s="838" t="s">
        <v>1953</v>
      </c>
      <c r="BS37" s="73">
        <f t="shared" si="56"/>
        <v>0</v>
      </c>
      <c r="BT37" s="65"/>
      <c r="BU37" s="873" t="s">
        <v>1953</v>
      </c>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4">
        <f t="shared" si="47"/>
        <v>6</v>
      </c>
      <c r="G38" s="444">
        <f ca="1">VLOOKUP(H38,Equipos!$Q$1:$R$25,2,0)</f>
        <v>10</v>
      </c>
      <c r="H38" s="445">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854" t="s">
        <v>1948</v>
      </c>
      <c r="T38" s="73">
        <f t="shared" si="48"/>
        <v>0</v>
      </c>
      <c r="U38" s="65"/>
      <c r="V38" s="793" t="s">
        <v>1956</v>
      </c>
      <c r="W38" s="73">
        <f t="shared" si="49"/>
        <v>0</v>
      </c>
      <c r="X38" s="65"/>
      <c r="Y38" s="798" t="s">
        <v>1953</v>
      </c>
      <c r="Z38" s="73">
        <f t="shared" si="56"/>
        <v>0</v>
      </c>
      <c r="AA38" s="65"/>
      <c r="AB38" s="803" t="s">
        <v>1958</v>
      </c>
      <c r="AC38" s="73">
        <f t="shared" si="56"/>
        <v>0</v>
      </c>
      <c r="AD38" s="65"/>
      <c r="AE38" s="808" t="s">
        <v>1948</v>
      </c>
      <c r="AF38" s="73">
        <f t="shared" si="56"/>
        <v>0</v>
      </c>
      <c r="AG38" s="65"/>
      <c r="AH38" s="74" t="s">
        <v>1962</v>
      </c>
      <c r="AI38" s="73">
        <f t="shared" si="56"/>
        <v>0</v>
      </c>
      <c r="AJ38" s="65"/>
      <c r="AK38" s="813" t="s">
        <v>1953</v>
      </c>
      <c r="AL38" s="73">
        <f t="shared" si="56"/>
        <v>0</v>
      </c>
      <c r="AM38" s="65"/>
      <c r="AN38" s="818" t="s">
        <v>1947</v>
      </c>
      <c r="AO38" s="73">
        <f t="shared" si="56"/>
        <v>0</v>
      </c>
      <c r="AP38" s="65"/>
      <c r="AQ38" s="823" t="s">
        <v>1962</v>
      </c>
      <c r="AR38" s="73">
        <f t="shared" si="56"/>
        <v>0</v>
      </c>
      <c r="AS38" s="65"/>
      <c r="AT38" s="828" t="s">
        <v>1947</v>
      </c>
      <c r="AU38" s="73">
        <f t="shared" si="56"/>
        <v>0</v>
      </c>
      <c r="AV38" s="65"/>
      <c r="AW38" s="832" t="s">
        <v>1963</v>
      </c>
      <c r="AX38" s="73">
        <f t="shared" si="56"/>
        <v>0</v>
      </c>
      <c r="AY38" s="65"/>
      <c r="AZ38" s="838" t="s">
        <v>1953</v>
      </c>
      <c r="BA38" s="73">
        <f t="shared" si="56"/>
        <v>0</v>
      </c>
      <c r="BB38" s="65"/>
      <c r="BC38" s="845" t="s">
        <v>1947</v>
      </c>
      <c r="BD38" s="73">
        <f t="shared" si="56"/>
        <v>0</v>
      </c>
      <c r="BE38" s="65"/>
      <c r="BF38" s="849" t="s">
        <v>1948</v>
      </c>
      <c r="BG38" s="73">
        <f t="shared" si="56"/>
        <v>0</v>
      </c>
      <c r="BH38" s="65"/>
      <c r="BI38" s="859" t="s">
        <v>1958</v>
      </c>
      <c r="BJ38" s="73">
        <f t="shared" si="56"/>
        <v>0</v>
      </c>
      <c r="BK38" s="65"/>
      <c r="BL38" s="864" t="s">
        <v>1953</v>
      </c>
      <c r="BM38" s="73">
        <f t="shared" si="56"/>
        <v>0</v>
      </c>
      <c r="BN38" s="65"/>
      <c r="BO38" s="869" t="s">
        <v>1953</v>
      </c>
      <c r="BP38" s="73">
        <f t="shared" si="56"/>
        <v>0</v>
      </c>
      <c r="BQ38" s="65"/>
      <c r="BR38" s="838" t="s">
        <v>1953</v>
      </c>
      <c r="BS38" s="73">
        <f t="shared" si="56"/>
        <v>0</v>
      </c>
      <c r="BT38" s="65"/>
      <c r="BU38" s="873" t="s">
        <v>1947</v>
      </c>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4">
        <f t="shared" si="47"/>
        <v>6</v>
      </c>
      <c r="G39" s="444">
        <f ca="1">VLOOKUP(H39,Equipos!$Q$1:$R$25,2,0)</f>
        <v>10</v>
      </c>
      <c r="H39" s="445">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854" t="s">
        <v>1962</v>
      </c>
      <c r="T39" s="73">
        <f t="shared" si="48"/>
        <v>0</v>
      </c>
      <c r="U39" s="65"/>
      <c r="V39" s="793" t="s">
        <v>1953</v>
      </c>
      <c r="W39" s="73">
        <f t="shared" si="49"/>
        <v>0</v>
      </c>
      <c r="X39" s="65"/>
      <c r="Y39" s="798" t="s">
        <v>1962</v>
      </c>
      <c r="Z39" s="73">
        <f t="shared" si="56"/>
        <v>0</v>
      </c>
      <c r="AA39" s="65"/>
      <c r="AB39" s="803" t="s">
        <v>1963</v>
      </c>
      <c r="AC39" s="73">
        <f t="shared" si="56"/>
        <v>0</v>
      </c>
      <c r="AD39" s="65"/>
      <c r="AE39" s="808" t="s">
        <v>1953</v>
      </c>
      <c r="AF39" s="73">
        <f t="shared" si="56"/>
        <v>0</v>
      </c>
      <c r="AG39" s="65"/>
      <c r="AH39" s="74" t="s">
        <v>1962</v>
      </c>
      <c r="AI39" s="73">
        <f t="shared" si="56"/>
        <v>0</v>
      </c>
      <c r="AJ39" s="65"/>
      <c r="AK39" s="813" t="s">
        <v>1963</v>
      </c>
      <c r="AL39" s="73">
        <f t="shared" si="56"/>
        <v>0</v>
      </c>
      <c r="AM39" s="65"/>
      <c r="AN39" s="818" t="s">
        <v>1963</v>
      </c>
      <c r="AO39" s="73">
        <f t="shared" si="56"/>
        <v>0</v>
      </c>
      <c r="AP39" s="65"/>
      <c r="AQ39" s="823" t="s">
        <v>1947</v>
      </c>
      <c r="AR39" s="73">
        <f t="shared" si="56"/>
        <v>0</v>
      </c>
      <c r="AS39" s="65"/>
      <c r="AT39" s="828" t="s">
        <v>1963</v>
      </c>
      <c r="AU39" s="73">
        <f t="shared" si="56"/>
        <v>0</v>
      </c>
      <c r="AV39" s="65"/>
      <c r="AW39" s="832" t="s">
        <v>1962</v>
      </c>
      <c r="AX39" s="73">
        <f t="shared" si="56"/>
        <v>0</v>
      </c>
      <c r="AY39" s="65"/>
      <c r="AZ39" s="838" t="s">
        <v>1963</v>
      </c>
      <c r="BA39" s="73">
        <f t="shared" si="56"/>
        <v>0</v>
      </c>
      <c r="BB39" s="65"/>
      <c r="BC39" s="845" t="s">
        <v>1962</v>
      </c>
      <c r="BD39" s="73">
        <f t="shared" si="56"/>
        <v>0</v>
      </c>
      <c r="BE39" s="65"/>
      <c r="BF39" s="849" t="s">
        <v>1963</v>
      </c>
      <c r="BG39" s="73">
        <f t="shared" si="56"/>
        <v>0</v>
      </c>
      <c r="BH39" s="65"/>
      <c r="BI39" s="859" t="s">
        <v>1962</v>
      </c>
      <c r="BJ39" s="73">
        <f t="shared" si="56"/>
        <v>0</v>
      </c>
      <c r="BK39" s="65"/>
      <c r="BL39" s="864" t="s">
        <v>1962</v>
      </c>
      <c r="BM39" s="73">
        <f t="shared" si="56"/>
        <v>0</v>
      </c>
      <c r="BN39" s="65"/>
      <c r="BO39" s="869" t="s">
        <v>1962</v>
      </c>
      <c r="BP39" s="73">
        <f t="shared" si="56"/>
        <v>0</v>
      </c>
      <c r="BQ39" s="65"/>
      <c r="BR39" s="838" t="s">
        <v>1963</v>
      </c>
      <c r="BS39" s="73">
        <f t="shared" si="56"/>
        <v>0</v>
      </c>
      <c r="BT39" s="65"/>
      <c r="BU39" s="873" t="s">
        <v>1962</v>
      </c>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4">
        <f t="shared" si="47"/>
        <v>6</v>
      </c>
      <c r="G40" s="444">
        <f ca="1">VLOOKUP(H40,Equipos!$Q$1:$R$25,2,0)</f>
        <v>10</v>
      </c>
      <c r="H40" s="445">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854" t="s">
        <v>1953</v>
      </c>
      <c r="T40" s="73">
        <f t="shared" si="48"/>
        <v>0</v>
      </c>
      <c r="U40" s="65"/>
      <c r="V40" s="793" t="s">
        <v>1958</v>
      </c>
      <c r="W40" s="73">
        <f t="shared" si="49"/>
        <v>0</v>
      </c>
      <c r="X40" s="65"/>
      <c r="Y40" s="798" t="s">
        <v>1953</v>
      </c>
      <c r="Z40" s="73">
        <f t="shared" si="56"/>
        <v>0</v>
      </c>
      <c r="AA40" s="65"/>
      <c r="AB40" s="803" t="s">
        <v>1958</v>
      </c>
      <c r="AC40" s="73">
        <f t="shared" si="56"/>
        <v>0</v>
      </c>
      <c r="AD40" s="65"/>
      <c r="AE40" s="808" t="s">
        <v>1953</v>
      </c>
      <c r="AF40" s="73">
        <f t="shared" si="56"/>
        <v>0</v>
      </c>
      <c r="AG40" s="65"/>
      <c r="AH40" s="74" t="s">
        <v>1953</v>
      </c>
      <c r="AI40" s="73">
        <f t="shared" si="56"/>
        <v>0</v>
      </c>
      <c r="AJ40" s="65"/>
      <c r="AK40" s="813" t="s">
        <v>1953</v>
      </c>
      <c r="AL40" s="73">
        <f t="shared" si="56"/>
        <v>0</v>
      </c>
      <c r="AM40" s="65"/>
      <c r="AN40" s="818" t="s">
        <v>1953</v>
      </c>
      <c r="AO40" s="73">
        <f t="shared" si="56"/>
        <v>0</v>
      </c>
      <c r="AP40" s="65"/>
      <c r="AQ40" s="823" t="s">
        <v>1949</v>
      </c>
      <c r="AR40" s="73">
        <f t="shared" si="56"/>
        <v>0</v>
      </c>
      <c r="AS40" s="65"/>
      <c r="AT40" s="828" t="s">
        <v>1948</v>
      </c>
      <c r="AU40" s="73">
        <f t="shared" si="56"/>
        <v>0</v>
      </c>
      <c r="AV40" s="65"/>
      <c r="AW40" s="832" t="s">
        <v>1963</v>
      </c>
      <c r="AX40" s="73">
        <f t="shared" si="56"/>
        <v>0</v>
      </c>
      <c r="AY40" s="65"/>
      <c r="AZ40" s="838" t="s">
        <v>1958</v>
      </c>
      <c r="BA40" s="73">
        <f t="shared" si="56"/>
        <v>0</v>
      </c>
      <c r="BB40" s="65"/>
      <c r="BC40" s="845" t="s">
        <v>1953</v>
      </c>
      <c r="BD40" s="73">
        <f t="shared" si="56"/>
        <v>0</v>
      </c>
      <c r="BE40" s="65"/>
      <c r="BF40" s="849" t="s">
        <v>1947</v>
      </c>
      <c r="BG40" s="73">
        <f t="shared" si="56"/>
        <v>0</v>
      </c>
      <c r="BH40" s="65"/>
      <c r="BI40" s="859" t="s">
        <v>1962</v>
      </c>
      <c r="BJ40" s="73">
        <f t="shared" si="56"/>
        <v>0</v>
      </c>
      <c r="BK40" s="65"/>
      <c r="BL40" s="864" t="s">
        <v>1947</v>
      </c>
      <c r="BM40" s="73">
        <f t="shared" si="56"/>
        <v>0</v>
      </c>
      <c r="BN40" s="65"/>
      <c r="BO40" s="869" t="s">
        <v>1949</v>
      </c>
      <c r="BP40" s="73">
        <f t="shared" si="56"/>
        <v>0</v>
      </c>
      <c r="BQ40" s="65"/>
      <c r="BR40" s="838" t="s">
        <v>1947</v>
      </c>
      <c r="BS40" s="73">
        <f t="shared" si="56"/>
        <v>0</v>
      </c>
      <c r="BT40" s="65"/>
      <c r="BU40" s="873" t="s">
        <v>1953</v>
      </c>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4">
        <f t="shared" si="47"/>
        <v>6</v>
      </c>
      <c r="G41" s="444">
        <f ca="1">VLOOKUP(H41,Equipos!$Q$1:$R$25,2,0)</f>
        <v>10</v>
      </c>
      <c r="H41" s="445">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854" t="s">
        <v>1961</v>
      </c>
      <c r="T41" s="73">
        <f t="shared" si="48"/>
        <v>0</v>
      </c>
      <c r="U41" s="65"/>
      <c r="V41" s="793" t="s">
        <v>1961</v>
      </c>
      <c r="W41" s="73">
        <f t="shared" si="49"/>
        <v>0</v>
      </c>
      <c r="X41" s="65"/>
      <c r="Y41" s="798" t="s">
        <v>1948</v>
      </c>
      <c r="Z41" s="73">
        <f t="shared" si="56"/>
        <v>0</v>
      </c>
      <c r="AA41" s="65"/>
      <c r="AB41" s="803" t="s">
        <v>1951</v>
      </c>
      <c r="AC41" s="73">
        <f t="shared" si="56"/>
        <v>0</v>
      </c>
      <c r="AD41" s="65"/>
      <c r="AE41" s="808" t="s">
        <v>1961</v>
      </c>
      <c r="AF41" s="73">
        <f t="shared" si="56"/>
        <v>0</v>
      </c>
      <c r="AG41" s="65"/>
      <c r="AH41" s="74" t="s">
        <v>1951</v>
      </c>
      <c r="AI41" s="73">
        <f t="shared" si="56"/>
        <v>0</v>
      </c>
      <c r="AJ41" s="65"/>
      <c r="AK41" s="813" t="s">
        <v>1955</v>
      </c>
      <c r="AL41" s="73">
        <f t="shared" si="56"/>
        <v>0</v>
      </c>
      <c r="AM41" s="65"/>
      <c r="AN41" s="818" t="s">
        <v>1960</v>
      </c>
      <c r="AO41" s="73">
        <f t="shared" si="56"/>
        <v>0</v>
      </c>
      <c r="AP41" s="65"/>
      <c r="AQ41" s="823" t="s">
        <v>1961</v>
      </c>
      <c r="AR41" s="73">
        <f t="shared" si="56"/>
        <v>0</v>
      </c>
      <c r="AS41" s="65"/>
      <c r="AT41" s="828" t="s">
        <v>1961</v>
      </c>
      <c r="AU41" s="73">
        <f t="shared" si="56"/>
        <v>0</v>
      </c>
      <c r="AV41" s="65"/>
      <c r="AW41" s="832" t="s">
        <v>1955</v>
      </c>
      <c r="AX41" s="73">
        <f t="shared" si="56"/>
        <v>0</v>
      </c>
      <c r="AY41" s="65"/>
      <c r="AZ41" s="838" t="s">
        <v>1955</v>
      </c>
      <c r="BA41" s="73">
        <f t="shared" si="56"/>
        <v>0</v>
      </c>
      <c r="BB41" s="65"/>
      <c r="BC41" s="845" t="s">
        <v>1955</v>
      </c>
      <c r="BD41" s="73">
        <f t="shared" si="56"/>
        <v>0</v>
      </c>
      <c r="BE41" s="65"/>
      <c r="BF41" s="849" t="s">
        <v>1948</v>
      </c>
      <c r="BG41" s="73">
        <f t="shared" si="56"/>
        <v>0</v>
      </c>
      <c r="BH41" s="65"/>
      <c r="BI41" s="859" t="s">
        <v>1960</v>
      </c>
      <c r="BJ41" s="73">
        <f t="shared" si="56"/>
        <v>0</v>
      </c>
      <c r="BK41" s="65"/>
      <c r="BL41" s="864" t="s">
        <v>1955</v>
      </c>
      <c r="BM41" s="73">
        <f t="shared" si="56"/>
        <v>0</v>
      </c>
      <c r="BN41" s="65"/>
      <c r="BO41" s="869" t="s">
        <v>1955</v>
      </c>
      <c r="BP41" s="73">
        <f t="shared" si="56"/>
        <v>0</v>
      </c>
      <c r="BQ41" s="65"/>
      <c r="BR41" s="838" t="s">
        <v>1951</v>
      </c>
      <c r="BS41" s="73">
        <f t="shared" si="56"/>
        <v>0</v>
      </c>
      <c r="BT41" s="65"/>
      <c r="BU41" s="873" t="s">
        <v>1951</v>
      </c>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4">
        <f t="shared" si="47"/>
        <v>6</v>
      </c>
      <c r="G42" s="444">
        <f ca="1">VLOOKUP(H42,Equipos!$Q$1:$R$25,2,0)</f>
        <v>11</v>
      </c>
      <c r="H42" s="445">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854" t="s">
        <v>1947</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93" t="s">
        <v>1949</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98" t="s">
        <v>1953</v>
      </c>
      <c r="Z42" s="77">
        <f t="shared" si="56"/>
        <v>0</v>
      </c>
      <c r="AA42" s="65"/>
      <c r="AB42" s="803" t="s">
        <v>1963</v>
      </c>
      <c r="AC42" s="77">
        <f t="shared" si="56"/>
        <v>0</v>
      </c>
      <c r="AD42" s="65"/>
      <c r="AE42" s="808" t="s">
        <v>1963</v>
      </c>
      <c r="AF42" s="77">
        <f t="shared" si="56"/>
        <v>0</v>
      </c>
      <c r="AG42" s="65"/>
      <c r="AH42" s="76" t="s">
        <v>1962</v>
      </c>
      <c r="AI42" s="77">
        <f t="shared" si="56"/>
        <v>0</v>
      </c>
      <c r="AJ42" s="65"/>
      <c r="AK42" s="813" t="s">
        <v>1953</v>
      </c>
      <c r="AL42" s="77">
        <f t="shared" si="56"/>
        <v>0</v>
      </c>
      <c r="AM42" s="65"/>
      <c r="AN42" s="818" t="s">
        <v>1962</v>
      </c>
      <c r="AO42" s="77">
        <f t="shared" si="56"/>
        <v>0</v>
      </c>
      <c r="AP42" s="65"/>
      <c r="AQ42" s="823" t="s">
        <v>1962</v>
      </c>
      <c r="AR42" s="77">
        <f t="shared" si="56"/>
        <v>0</v>
      </c>
      <c r="AS42" s="65"/>
      <c r="AT42" s="828" t="s">
        <v>1962</v>
      </c>
      <c r="AU42" s="77">
        <f t="shared" si="56"/>
        <v>0</v>
      </c>
      <c r="AV42" s="65"/>
      <c r="AW42" s="832" t="s">
        <v>1962</v>
      </c>
      <c r="AX42" s="77">
        <f t="shared" si="56"/>
        <v>0</v>
      </c>
      <c r="AY42" s="65"/>
      <c r="AZ42" s="838" t="s">
        <v>1962</v>
      </c>
      <c r="BA42" s="77">
        <f t="shared" si="56"/>
        <v>0</v>
      </c>
      <c r="BB42" s="65"/>
      <c r="BC42" s="845" t="s">
        <v>1962</v>
      </c>
      <c r="BD42" s="77">
        <f t="shared" si="56"/>
        <v>0</v>
      </c>
      <c r="BE42" s="65"/>
      <c r="BF42" s="849" t="s">
        <v>1962</v>
      </c>
      <c r="BG42" s="77">
        <f t="shared" si="56"/>
        <v>0</v>
      </c>
      <c r="BH42" s="65"/>
      <c r="BI42" s="859" t="s">
        <v>1962</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864" t="s">
        <v>1963</v>
      </c>
      <c r="BM42" s="77">
        <f t="shared" si="57"/>
        <v>0</v>
      </c>
      <c r="BN42" s="65"/>
      <c r="BO42" s="869" t="s">
        <v>1963</v>
      </c>
      <c r="BP42" s="77">
        <f t="shared" si="57"/>
        <v>0</v>
      </c>
      <c r="BQ42" s="65"/>
      <c r="BR42" s="838" t="s">
        <v>1962</v>
      </c>
      <c r="BS42" s="77">
        <f t="shared" si="57"/>
        <v>0</v>
      </c>
      <c r="BT42" s="65"/>
      <c r="BU42" s="873" t="s">
        <v>1963</v>
      </c>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4">
        <f t="shared" si="47"/>
        <v>6</v>
      </c>
      <c r="G43" s="444">
        <f ca="1">VLOOKUP(H43,Equipos!$Q$1:$R$25,2,0)</f>
        <v>11</v>
      </c>
      <c r="H43" s="445">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854" t="s">
        <v>1948</v>
      </c>
      <c r="T43" s="73">
        <f t="shared" si="48"/>
        <v>0</v>
      </c>
      <c r="U43" s="65"/>
      <c r="V43" s="793" t="s">
        <v>1953</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98" t="s">
        <v>1958</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803" t="s">
        <v>1958</v>
      </c>
      <c r="AC43" s="73">
        <f t="shared" si="59"/>
        <v>0</v>
      </c>
      <c r="AD43" s="65"/>
      <c r="AE43" s="808" t="s">
        <v>1955</v>
      </c>
      <c r="AF43" s="73">
        <f t="shared" si="59"/>
        <v>0</v>
      </c>
      <c r="AG43" s="65"/>
      <c r="AH43" s="74" t="s">
        <v>1955</v>
      </c>
      <c r="AI43" s="73">
        <f t="shared" si="59"/>
        <v>0</v>
      </c>
      <c r="AJ43" s="65"/>
      <c r="AK43" s="813" t="s">
        <v>1951</v>
      </c>
      <c r="AL43" s="73">
        <f t="shared" si="59"/>
        <v>0</v>
      </c>
      <c r="AM43" s="65"/>
      <c r="AN43" s="818" t="s">
        <v>1955</v>
      </c>
      <c r="AO43" s="73">
        <f t="shared" si="59"/>
        <v>0</v>
      </c>
      <c r="AP43" s="65"/>
      <c r="AQ43" s="823" t="s">
        <v>1951</v>
      </c>
      <c r="AR43" s="73">
        <f t="shared" si="59"/>
        <v>0</v>
      </c>
      <c r="AS43" s="65"/>
      <c r="AT43" s="828" t="s">
        <v>1951</v>
      </c>
      <c r="AU43" s="73">
        <f t="shared" si="59"/>
        <v>0</v>
      </c>
      <c r="AV43" s="65"/>
      <c r="AW43" s="832" t="s">
        <v>1948</v>
      </c>
      <c r="AX43" s="73">
        <f t="shared" si="59"/>
        <v>0</v>
      </c>
      <c r="AY43" s="65"/>
      <c r="AZ43" s="838" t="s">
        <v>1951</v>
      </c>
      <c r="BA43" s="73">
        <f t="shared" si="59"/>
        <v>0</v>
      </c>
      <c r="BB43" s="65"/>
      <c r="BC43" s="845" t="s">
        <v>1948</v>
      </c>
      <c r="BD43" s="73">
        <f t="shared" si="59"/>
        <v>0</v>
      </c>
      <c r="BE43" s="65"/>
      <c r="BF43" s="849" t="s">
        <v>1951</v>
      </c>
      <c r="BG43" s="73">
        <f t="shared" si="59"/>
        <v>0</v>
      </c>
      <c r="BH43" s="65"/>
      <c r="BI43" s="859" t="s">
        <v>1955</v>
      </c>
      <c r="BJ43" s="73">
        <f t="shared" si="59"/>
        <v>0</v>
      </c>
      <c r="BK43" s="65"/>
      <c r="BL43" s="864" t="s">
        <v>1961</v>
      </c>
      <c r="BM43" s="73">
        <f t="shared" si="59"/>
        <v>0</v>
      </c>
      <c r="BN43" s="65"/>
      <c r="BO43" s="869" t="s">
        <v>1967</v>
      </c>
      <c r="BP43" s="73">
        <f t="shared" si="59"/>
        <v>0</v>
      </c>
      <c r="BQ43" s="65"/>
      <c r="BR43" s="838" t="s">
        <v>1951</v>
      </c>
      <c r="BS43" s="73">
        <f t="shared" si="59"/>
        <v>0</v>
      </c>
      <c r="BT43" s="65"/>
      <c r="BU43" s="873" t="s">
        <v>1955</v>
      </c>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4">
        <f t="shared" si="47"/>
        <v>6</v>
      </c>
      <c r="G44" s="444">
        <f ca="1">VLOOKUP(H44,Equipos!$Q$1:$R$25,2,0)</f>
        <v>11</v>
      </c>
      <c r="H44" s="445">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854" t="s">
        <v>1956</v>
      </c>
      <c r="T44" s="73">
        <f t="shared" si="48"/>
        <v>0</v>
      </c>
      <c r="U44" s="65"/>
      <c r="V44" s="793" t="s">
        <v>1962</v>
      </c>
      <c r="W44" s="73">
        <f t="shared" si="58"/>
        <v>0</v>
      </c>
      <c r="X44" s="65"/>
      <c r="Y44" s="798" t="s">
        <v>1947</v>
      </c>
      <c r="Z44" s="73">
        <f t="shared" si="59"/>
        <v>0</v>
      </c>
      <c r="AA44" s="65"/>
      <c r="AB44" s="803" t="s">
        <v>1962</v>
      </c>
      <c r="AC44" s="73">
        <f t="shared" si="59"/>
        <v>0</v>
      </c>
      <c r="AD44" s="65"/>
      <c r="AE44" s="808" t="s">
        <v>1953</v>
      </c>
      <c r="AF44" s="73">
        <f t="shared" si="59"/>
        <v>0</v>
      </c>
      <c r="AG44" s="65"/>
      <c r="AH44" s="74" t="s">
        <v>1963</v>
      </c>
      <c r="AI44" s="73">
        <f t="shared" si="59"/>
        <v>0</v>
      </c>
      <c r="AJ44" s="65"/>
      <c r="AK44" s="813" t="s">
        <v>1953</v>
      </c>
      <c r="AL44" s="73">
        <f t="shared" si="59"/>
        <v>0</v>
      </c>
      <c r="AM44" s="65"/>
      <c r="AN44" s="818" t="s">
        <v>1963</v>
      </c>
      <c r="AO44" s="73">
        <f t="shared" si="59"/>
        <v>0</v>
      </c>
      <c r="AP44" s="65"/>
      <c r="AQ44" s="823" t="s">
        <v>1962</v>
      </c>
      <c r="AR44" s="73">
        <f t="shared" si="59"/>
        <v>0</v>
      </c>
      <c r="AS44" s="65"/>
      <c r="AT44" s="828" t="s">
        <v>1962</v>
      </c>
      <c r="AU44" s="73">
        <f t="shared" si="59"/>
        <v>0</v>
      </c>
      <c r="AV44" s="65"/>
      <c r="AW44" s="832" t="s">
        <v>1947</v>
      </c>
      <c r="AX44" s="73">
        <f t="shared" si="59"/>
        <v>0</v>
      </c>
      <c r="AY44" s="65"/>
      <c r="AZ44" s="838" t="s">
        <v>1953</v>
      </c>
      <c r="BA44" s="73">
        <f t="shared" si="59"/>
        <v>0</v>
      </c>
      <c r="BB44" s="65"/>
      <c r="BC44" s="845" t="s">
        <v>1949</v>
      </c>
      <c r="BD44" s="73">
        <f t="shared" si="59"/>
        <v>0</v>
      </c>
      <c r="BE44" s="65"/>
      <c r="BF44" s="849" t="s">
        <v>1947</v>
      </c>
      <c r="BG44" s="73">
        <f t="shared" si="59"/>
        <v>0</v>
      </c>
      <c r="BH44" s="65"/>
      <c r="BI44" s="859" t="s">
        <v>1962</v>
      </c>
      <c r="BJ44" s="73">
        <f t="shared" si="59"/>
        <v>0</v>
      </c>
      <c r="BK44" s="65"/>
      <c r="BL44" s="864" t="s">
        <v>1949</v>
      </c>
      <c r="BM44" s="73">
        <f t="shared" si="59"/>
        <v>0</v>
      </c>
      <c r="BN44" s="65"/>
      <c r="BO44" s="869" t="s">
        <v>1963</v>
      </c>
      <c r="BP44" s="73">
        <f t="shared" si="59"/>
        <v>0</v>
      </c>
      <c r="BQ44" s="65"/>
      <c r="BR44" s="838" t="s">
        <v>1963</v>
      </c>
      <c r="BS44" s="73">
        <f t="shared" si="59"/>
        <v>0</v>
      </c>
      <c r="BT44" s="65"/>
      <c r="BU44" s="873" t="s">
        <v>1956</v>
      </c>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4">
        <f t="shared" si="47"/>
        <v>6</v>
      </c>
      <c r="G45" s="444">
        <f ca="1">VLOOKUP(H45,Equipos!$Q$1:$R$25,2,0)</f>
        <v>11</v>
      </c>
      <c r="H45" s="445">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854" t="s">
        <v>1947</v>
      </c>
      <c r="T45" s="73">
        <f t="shared" si="48"/>
        <v>0</v>
      </c>
      <c r="U45" s="65"/>
      <c r="V45" s="793" t="s">
        <v>1963</v>
      </c>
      <c r="W45" s="73">
        <f t="shared" si="58"/>
        <v>0</v>
      </c>
      <c r="X45" s="65"/>
      <c r="Y45" s="798" t="s">
        <v>1948</v>
      </c>
      <c r="Z45" s="73">
        <f t="shared" si="59"/>
        <v>0</v>
      </c>
      <c r="AA45" s="65"/>
      <c r="AB45" s="803" t="s">
        <v>1963</v>
      </c>
      <c r="AC45" s="73">
        <f t="shared" si="59"/>
        <v>0</v>
      </c>
      <c r="AD45" s="65"/>
      <c r="AE45" s="808" t="s">
        <v>1949</v>
      </c>
      <c r="AF45" s="73">
        <f t="shared" si="59"/>
        <v>0</v>
      </c>
      <c r="AG45" s="65"/>
      <c r="AH45" s="74" t="s">
        <v>1963</v>
      </c>
      <c r="AI45" s="73">
        <f t="shared" si="59"/>
        <v>0</v>
      </c>
      <c r="AJ45" s="65"/>
      <c r="AK45" s="813" t="s">
        <v>1962</v>
      </c>
      <c r="AL45" s="73">
        <f t="shared" si="59"/>
        <v>0</v>
      </c>
      <c r="AM45" s="65"/>
      <c r="AN45" s="818" t="s">
        <v>1963</v>
      </c>
      <c r="AO45" s="73">
        <f t="shared" si="59"/>
        <v>0</v>
      </c>
      <c r="AP45" s="65"/>
      <c r="AQ45" s="823" t="s">
        <v>1962</v>
      </c>
      <c r="AR45" s="73">
        <f t="shared" si="59"/>
        <v>0</v>
      </c>
      <c r="AS45" s="65"/>
      <c r="AT45" s="828" t="s">
        <v>1950</v>
      </c>
      <c r="AU45" s="73">
        <f t="shared" si="59"/>
        <v>0</v>
      </c>
      <c r="AV45" s="65"/>
      <c r="AW45" s="832" t="s">
        <v>1963</v>
      </c>
      <c r="AX45" s="73">
        <f t="shared" si="59"/>
        <v>0</v>
      </c>
      <c r="AY45" s="65"/>
      <c r="AZ45" s="838" t="s">
        <v>1963</v>
      </c>
      <c r="BA45" s="73">
        <f t="shared" si="59"/>
        <v>0</v>
      </c>
      <c r="BB45" s="65"/>
      <c r="BC45" s="845" t="s">
        <v>1962</v>
      </c>
      <c r="BD45" s="73">
        <f t="shared" si="59"/>
        <v>0</v>
      </c>
      <c r="BE45" s="65"/>
      <c r="BF45" s="849" t="s">
        <v>1963</v>
      </c>
      <c r="BG45" s="73">
        <f t="shared" si="59"/>
        <v>0</v>
      </c>
      <c r="BH45" s="65"/>
      <c r="BI45" s="859" t="s">
        <v>1963</v>
      </c>
      <c r="BJ45" s="73">
        <f t="shared" si="59"/>
        <v>0</v>
      </c>
      <c r="BK45" s="65"/>
      <c r="BL45" s="864" t="s">
        <v>1962</v>
      </c>
      <c r="BM45" s="73">
        <f t="shared" si="59"/>
        <v>0</v>
      </c>
      <c r="BN45" s="65"/>
      <c r="BO45" s="869" t="s">
        <v>1962</v>
      </c>
      <c r="BP45" s="73">
        <f t="shared" si="59"/>
        <v>0</v>
      </c>
      <c r="BQ45" s="65"/>
      <c r="BR45" s="838" t="s">
        <v>1962</v>
      </c>
      <c r="BS45" s="73">
        <f t="shared" si="59"/>
        <v>0</v>
      </c>
      <c r="BT45" s="65"/>
      <c r="BU45" s="873" t="s">
        <v>1963</v>
      </c>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4">
        <f t="shared" si="47"/>
        <v>6</v>
      </c>
      <c r="G46" s="444">
        <f ca="1">VLOOKUP(H46,Equipos!$Q$1:$R$25,2,0)</f>
        <v>12</v>
      </c>
      <c r="H46" s="445">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854" t="s">
        <v>1962</v>
      </c>
      <c r="T46" s="73">
        <f t="shared" si="48"/>
        <v>0</v>
      </c>
      <c r="U46" s="65"/>
      <c r="V46" s="793" t="s">
        <v>1947</v>
      </c>
      <c r="W46" s="73">
        <f t="shared" si="58"/>
        <v>0</v>
      </c>
      <c r="X46" s="65"/>
      <c r="Y46" s="798" t="s">
        <v>1962</v>
      </c>
      <c r="Z46" s="73">
        <f t="shared" si="59"/>
        <v>0</v>
      </c>
      <c r="AA46" s="65"/>
      <c r="AB46" s="803" t="s">
        <v>1949</v>
      </c>
      <c r="AC46" s="73">
        <f t="shared" si="59"/>
        <v>0</v>
      </c>
      <c r="AD46" s="65"/>
      <c r="AE46" s="808" t="s">
        <v>1963</v>
      </c>
      <c r="AF46" s="73">
        <f t="shared" si="59"/>
        <v>0</v>
      </c>
      <c r="AG46" s="65"/>
      <c r="AH46" s="74" t="s">
        <v>1963</v>
      </c>
      <c r="AI46" s="73">
        <f t="shared" si="59"/>
        <v>0</v>
      </c>
      <c r="AJ46" s="65"/>
      <c r="AK46" s="813" t="s">
        <v>1947</v>
      </c>
      <c r="AL46" s="73">
        <f t="shared" si="59"/>
        <v>0</v>
      </c>
      <c r="AM46" s="65"/>
      <c r="AN46" s="818" t="s">
        <v>1963</v>
      </c>
      <c r="AO46" s="73">
        <f t="shared" si="59"/>
        <v>0</v>
      </c>
      <c r="AP46" s="65"/>
      <c r="AQ46" s="823" t="s">
        <v>1947</v>
      </c>
      <c r="AR46" s="73">
        <f t="shared" si="59"/>
        <v>0</v>
      </c>
      <c r="AS46" s="65"/>
      <c r="AT46" s="828" t="s">
        <v>1950</v>
      </c>
      <c r="AU46" s="73">
        <f t="shared" si="59"/>
        <v>0</v>
      </c>
      <c r="AV46" s="65"/>
      <c r="AW46" s="832" t="s">
        <v>1958</v>
      </c>
      <c r="AX46" s="73">
        <f t="shared" si="59"/>
        <v>0</v>
      </c>
      <c r="AY46" s="65"/>
      <c r="AZ46" s="838" t="s">
        <v>1963</v>
      </c>
      <c r="BA46" s="73">
        <f t="shared" si="59"/>
        <v>0</v>
      </c>
      <c r="BB46" s="65"/>
      <c r="BC46" s="845" t="s">
        <v>1953</v>
      </c>
      <c r="BD46" s="73">
        <f t="shared" si="59"/>
        <v>0</v>
      </c>
      <c r="BE46" s="65"/>
      <c r="BF46" s="849" t="s">
        <v>1950</v>
      </c>
      <c r="BG46" s="73">
        <f t="shared" si="59"/>
        <v>0</v>
      </c>
      <c r="BH46" s="65"/>
      <c r="BI46" s="859" t="s">
        <v>1950</v>
      </c>
      <c r="BJ46" s="73">
        <f t="shared" si="59"/>
        <v>0</v>
      </c>
      <c r="BK46" s="65"/>
      <c r="BL46" s="864" t="s">
        <v>1953</v>
      </c>
      <c r="BM46" s="73">
        <f t="shared" si="59"/>
        <v>0</v>
      </c>
      <c r="BN46" s="65"/>
      <c r="BO46" s="869" t="s">
        <v>1950</v>
      </c>
      <c r="BP46" s="73">
        <f t="shared" si="59"/>
        <v>0</v>
      </c>
      <c r="BQ46" s="65"/>
      <c r="BR46" s="838" t="s">
        <v>1963</v>
      </c>
      <c r="BS46" s="73">
        <f t="shared" si="59"/>
        <v>0</v>
      </c>
      <c r="BT46" s="65"/>
      <c r="BU46" s="873" t="s">
        <v>2042</v>
      </c>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4">
        <f t="shared" si="47"/>
        <v>6</v>
      </c>
      <c r="G47" s="444">
        <f ca="1">VLOOKUP(H47,Equipos!$Q$1:$R$25,2,0)</f>
        <v>12</v>
      </c>
      <c r="H47" s="445">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854" t="s">
        <v>1949</v>
      </c>
      <c r="T47" s="73">
        <f t="shared" si="48"/>
        <v>0</v>
      </c>
      <c r="U47" s="65"/>
      <c r="V47" s="793" t="s">
        <v>1949</v>
      </c>
      <c r="W47" s="73">
        <f t="shared" si="58"/>
        <v>0</v>
      </c>
      <c r="X47" s="65"/>
      <c r="Y47" s="798" t="s">
        <v>1958</v>
      </c>
      <c r="Z47" s="73">
        <f t="shared" si="59"/>
        <v>0</v>
      </c>
      <c r="AA47" s="65"/>
      <c r="AB47" s="803" t="s">
        <v>2044</v>
      </c>
      <c r="AC47" s="73">
        <f t="shared" si="59"/>
        <v>0</v>
      </c>
      <c r="AD47" s="65"/>
      <c r="AE47" s="808" t="s">
        <v>1948</v>
      </c>
      <c r="AF47" s="73">
        <f t="shared" si="59"/>
        <v>0</v>
      </c>
      <c r="AG47" s="65"/>
      <c r="AH47" s="74" t="s">
        <v>1962</v>
      </c>
      <c r="AI47" s="73">
        <f t="shared" si="59"/>
        <v>0</v>
      </c>
      <c r="AJ47" s="65"/>
      <c r="AK47" s="813" t="s">
        <v>1958</v>
      </c>
      <c r="AL47" s="73">
        <f t="shared" si="59"/>
        <v>0</v>
      </c>
      <c r="AM47" s="65"/>
      <c r="AN47" s="818" t="s">
        <v>1953</v>
      </c>
      <c r="AO47" s="73">
        <f t="shared" si="59"/>
        <v>0</v>
      </c>
      <c r="AP47" s="65"/>
      <c r="AQ47" s="823" t="s">
        <v>1948</v>
      </c>
      <c r="AR47" s="73">
        <f t="shared" si="59"/>
        <v>0</v>
      </c>
      <c r="AS47" s="65"/>
      <c r="AT47" s="828" t="s">
        <v>1958</v>
      </c>
      <c r="AU47" s="73">
        <f t="shared" si="59"/>
        <v>0</v>
      </c>
      <c r="AV47" s="65"/>
      <c r="AW47" s="832" t="s">
        <v>1948</v>
      </c>
      <c r="AX47" s="73">
        <f t="shared" si="59"/>
        <v>0</v>
      </c>
      <c r="AY47" s="65"/>
      <c r="AZ47" s="838" t="s">
        <v>1948</v>
      </c>
      <c r="BA47" s="73">
        <f t="shared" si="59"/>
        <v>0</v>
      </c>
      <c r="BB47" s="65"/>
      <c r="BC47" s="845" t="s">
        <v>1948</v>
      </c>
      <c r="BD47" s="73">
        <f t="shared" si="59"/>
        <v>0</v>
      </c>
      <c r="BE47" s="65"/>
      <c r="BF47" s="849" t="s">
        <v>1962</v>
      </c>
      <c r="BG47" s="73">
        <f t="shared" si="59"/>
        <v>0</v>
      </c>
      <c r="BH47" s="65"/>
      <c r="BI47" s="859" t="s">
        <v>1949</v>
      </c>
      <c r="BJ47" s="73">
        <f t="shared" si="59"/>
        <v>0</v>
      </c>
      <c r="BK47" s="65"/>
      <c r="BL47" s="864" t="s">
        <v>1948</v>
      </c>
      <c r="BM47" s="73">
        <f t="shared" si="59"/>
        <v>0</v>
      </c>
      <c r="BN47" s="65"/>
      <c r="BO47" s="869" t="s">
        <v>1953</v>
      </c>
      <c r="BP47" s="73">
        <f t="shared" si="59"/>
        <v>0</v>
      </c>
      <c r="BQ47" s="65"/>
      <c r="BR47" s="838" t="s">
        <v>1952</v>
      </c>
      <c r="BS47" s="73">
        <f t="shared" si="59"/>
        <v>0</v>
      </c>
      <c r="BT47" s="65"/>
      <c r="BU47" s="873" t="s">
        <v>1954</v>
      </c>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4">
        <f t="shared" si="47"/>
        <v>6</v>
      </c>
      <c r="G48" s="444">
        <f ca="1">VLOOKUP(H48,Equipos!$Q$1:$R$25,2,0)</f>
        <v>12</v>
      </c>
      <c r="H48" s="445">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854" t="s">
        <v>1962</v>
      </c>
      <c r="T48" s="73">
        <f t="shared" si="48"/>
        <v>0</v>
      </c>
      <c r="U48" s="65"/>
      <c r="V48" s="793" t="s">
        <v>1947</v>
      </c>
      <c r="W48" s="73">
        <f t="shared" si="58"/>
        <v>0</v>
      </c>
      <c r="X48" s="65"/>
      <c r="Y48" s="798" t="s">
        <v>1947</v>
      </c>
      <c r="Z48" s="73">
        <f t="shared" si="59"/>
        <v>0</v>
      </c>
      <c r="AA48" s="65"/>
      <c r="AB48" s="803" t="s">
        <v>1963</v>
      </c>
      <c r="AC48" s="73">
        <f t="shared" si="59"/>
        <v>0</v>
      </c>
      <c r="AD48" s="65"/>
      <c r="AE48" s="808" t="s">
        <v>1958</v>
      </c>
      <c r="AF48" s="73">
        <f t="shared" si="59"/>
        <v>0</v>
      </c>
      <c r="AG48" s="65"/>
      <c r="AH48" s="74" t="s">
        <v>1953</v>
      </c>
      <c r="AI48" s="73">
        <f t="shared" si="59"/>
        <v>0</v>
      </c>
      <c r="AJ48" s="65"/>
      <c r="AK48" s="813" t="s">
        <v>1962</v>
      </c>
      <c r="AL48" s="73">
        <f t="shared" si="59"/>
        <v>0</v>
      </c>
      <c r="AM48" s="65"/>
      <c r="AN48" s="818" t="s">
        <v>1953</v>
      </c>
      <c r="AO48" s="73">
        <f t="shared" si="59"/>
        <v>0</v>
      </c>
      <c r="AP48" s="65"/>
      <c r="AQ48" s="823" t="s">
        <v>1949</v>
      </c>
      <c r="AR48" s="73">
        <f t="shared" si="59"/>
        <v>0</v>
      </c>
      <c r="AS48" s="65"/>
      <c r="AT48" s="828" t="s">
        <v>1963</v>
      </c>
      <c r="AU48" s="73">
        <f t="shared" si="59"/>
        <v>0</v>
      </c>
      <c r="AV48" s="65"/>
      <c r="AW48" s="832" t="s">
        <v>1953</v>
      </c>
      <c r="AX48" s="73">
        <f t="shared" si="59"/>
        <v>0</v>
      </c>
      <c r="AY48" s="65"/>
      <c r="AZ48" s="838" t="s">
        <v>1962</v>
      </c>
      <c r="BA48" s="73">
        <f t="shared" si="59"/>
        <v>0</v>
      </c>
      <c r="BB48" s="65"/>
      <c r="BC48" s="845" t="s">
        <v>1953</v>
      </c>
      <c r="BD48" s="73">
        <f t="shared" si="59"/>
        <v>0</v>
      </c>
      <c r="BE48" s="65"/>
      <c r="BF48" s="849" t="s">
        <v>1958</v>
      </c>
      <c r="BG48" s="73">
        <f t="shared" si="59"/>
        <v>0</v>
      </c>
      <c r="BH48" s="65"/>
      <c r="BI48" s="859" t="s">
        <v>1962</v>
      </c>
      <c r="BJ48" s="73">
        <f t="shared" si="59"/>
        <v>0</v>
      </c>
      <c r="BK48" s="65"/>
      <c r="BL48" s="864" t="s">
        <v>1962</v>
      </c>
      <c r="BM48" s="73">
        <f t="shared" si="59"/>
        <v>0</v>
      </c>
      <c r="BN48" s="65"/>
      <c r="BO48" s="869" t="s">
        <v>1949</v>
      </c>
      <c r="BP48" s="73">
        <f t="shared" si="59"/>
        <v>0</v>
      </c>
      <c r="BQ48" s="65"/>
      <c r="BR48" s="838" t="s">
        <v>1953</v>
      </c>
      <c r="BS48" s="73">
        <f t="shared" si="59"/>
        <v>0</v>
      </c>
      <c r="BT48" s="65"/>
      <c r="BU48" s="873" t="s">
        <v>1953</v>
      </c>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6" t="str">
        <f>"**"&amp;Idiomas!D441&amp;": -&gt;"</f>
        <v>**% Ajuste por desvío en Diferencia/Distancia de goles: -&gt;</v>
      </c>
      <c r="D49" s="667" t="s">
        <v>1927</v>
      </c>
      <c r="E49" s="89"/>
      <c r="F49" s="444">
        <f t="shared" si="47"/>
        <v>6</v>
      </c>
      <c r="G49" s="444">
        <f ca="1">VLOOKUP(H49,Equipos!$Q$1:$R$25,2,0)</f>
        <v>12</v>
      </c>
      <c r="H49" s="445">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854" t="s">
        <v>1948</v>
      </c>
      <c r="T49" s="73">
        <f t="shared" si="48"/>
        <v>0</v>
      </c>
      <c r="U49" s="65"/>
      <c r="V49" s="793" t="s">
        <v>1955</v>
      </c>
      <c r="W49" s="73">
        <f t="shared" si="58"/>
        <v>0</v>
      </c>
      <c r="X49" s="65"/>
      <c r="Y49" s="798" t="s">
        <v>1951</v>
      </c>
      <c r="Z49" s="73">
        <f t="shared" si="59"/>
        <v>0</v>
      </c>
      <c r="AA49" s="65"/>
      <c r="AB49" s="803" t="s">
        <v>1955</v>
      </c>
      <c r="AC49" s="73">
        <f t="shared" si="59"/>
        <v>0</v>
      </c>
      <c r="AD49" s="65"/>
      <c r="AE49" s="808" t="s">
        <v>1955</v>
      </c>
      <c r="AF49" s="73">
        <f t="shared" si="59"/>
        <v>0</v>
      </c>
      <c r="AG49" s="65"/>
      <c r="AH49" s="74" t="s">
        <v>1961</v>
      </c>
      <c r="AI49" s="73">
        <f t="shared" si="59"/>
        <v>0</v>
      </c>
      <c r="AJ49" s="65"/>
      <c r="AK49" s="813" t="s">
        <v>1955</v>
      </c>
      <c r="AL49" s="73">
        <f t="shared" si="59"/>
        <v>0</v>
      </c>
      <c r="AM49" s="65"/>
      <c r="AN49" s="818" t="s">
        <v>1961</v>
      </c>
      <c r="AO49" s="73">
        <f t="shared" si="59"/>
        <v>0</v>
      </c>
      <c r="AP49" s="65"/>
      <c r="AQ49" s="823" t="s">
        <v>1951</v>
      </c>
      <c r="AR49" s="73">
        <f t="shared" si="59"/>
        <v>0</v>
      </c>
      <c r="AS49" s="65"/>
      <c r="AT49" s="828" t="s">
        <v>1961</v>
      </c>
      <c r="AU49" s="73">
        <f t="shared" si="59"/>
        <v>0</v>
      </c>
      <c r="AV49" s="65"/>
      <c r="AW49" s="832" t="s">
        <v>1951</v>
      </c>
      <c r="AX49" s="73">
        <f t="shared" si="59"/>
        <v>0</v>
      </c>
      <c r="AY49" s="65"/>
      <c r="AZ49" s="838" t="s">
        <v>1948</v>
      </c>
      <c r="BA49" s="73">
        <f t="shared" si="59"/>
        <v>0</v>
      </c>
      <c r="BB49" s="65"/>
      <c r="BC49" s="845" t="s">
        <v>1948</v>
      </c>
      <c r="BD49" s="73">
        <f t="shared" si="59"/>
        <v>0</v>
      </c>
      <c r="BE49" s="65"/>
      <c r="BF49" s="849" t="s">
        <v>1955</v>
      </c>
      <c r="BG49" s="73">
        <f t="shared" si="59"/>
        <v>0</v>
      </c>
      <c r="BH49" s="65"/>
      <c r="BI49" s="859" t="s">
        <v>1955</v>
      </c>
      <c r="BJ49" s="73">
        <f t="shared" si="59"/>
        <v>0</v>
      </c>
      <c r="BK49" s="65"/>
      <c r="BL49" s="864" t="s">
        <v>1951</v>
      </c>
      <c r="BM49" s="73">
        <f t="shared" si="59"/>
        <v>0</v>
      </c>
      <c r="BN49" s="65"/>
      <c r="BO49" s="869" t="s">
        <v>1961</v>
      </c>
      <c r="BP49" s="73">
        <f t="shared" si="59"/>
        <v>0</v>
      </c>
      <c r="BQ49" s="65"/>
      <c r="BR49" s="838" t="s">
        <v>1955</v>
      </c>
      <c r="BS49" s="73">
        <f t="shared" si="59"/>
        <v>0</v>
      </c>
      <c r="BT49" s="65"/>
      <c r="BU49" s="873" t="s">
        <v>1948</v>
      </c>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0" t="str">
        <f>HYPERLINK(Idiomas!D444,Idiomas!D443)</f>
        <v>**¿Qué es esto y cómo funciona?</v>
      </c>
      <c r="D50" s="429">
        <f>IF(D49=Idiomas!$D$442,1,D49)</f>
        <v>1</v>
      </c>
      <c r="E50" s="89"/>
      <c r="F50" s="444">
        <f t="shared" si="47"/>
        <v>6</v>
      </c>
      <c r="G50" s="444">
        <f ca="1">VLOOKUP(H50,Equipos!$Q$1:$R$25,2,0)</f>
        <v>13</v>
      </c>
      <c r="H50" s="445">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854" t="s">
        <v>1953</v>
      </c>
      <c r="T50" s="73">
        <f t="shared" si="48"/>
        <v>0</v>
      </c>
      <c r="U50" s="65"/>
      <c r="V50" s="793" t="s">
        <v>1953</v>
      </c>
      <c r="W50" s="73">
        <f t="shared" si="58"/>
        <v>0</v>
      </c>
      <c r="X50" s="65"/>
      <c r="Y50" s="798" t="s">
        <v>1963</v>
      </c>
      <c r="Z50" s="73">
        <f t="shared" si="59"/>
        <v>0</v>
      </c>
      <c r="AA50" s="65"/>
      <c r="AB50" s="803" t="s">
        <v>1949</v>
      </c>
      <c r="AC50" s="73">
        <f t="shared" si="59"/>
        <v>0</v>
      </c>
      <c r="AD50" s="65"/>
      <c r="AE50" s="808" t="s">
        <v>1962</v>
      </c>
      <c r="AF50" s="73">
        <f t="shared" si="59"/>
        <v>0</v>
      </c>
      <c r="AG50" s="65"/>
      <c r="AH50" s="74" t="s">
        <v>1963</v>
      </c>
      <c r="AI50" s="73">
        <f t="shared" si="59"/>
        <v>0</v>
      </c>
      <c r="AJ50" s="65"/>
      <c r="AK50" s="813" t="s">
        <v>1962</v>
      </c>
      <c r="AL50" s="73">
        <f t="shared" si="59"/>
        <v>0</v>
      </c>
      <c r="AM50" s="65"/>
      <c r="AN50" s="818" t="s">
        <v>1963</v>
      </c>
      <c r="AO50" s="73">
        <f t="shared" si="59"/>
        <v>0</v>
      </c>
      <c r="AP50" s="65"/>
      <c r="AQ50" s="823" t="s">
        <v>1962</v>
      </c>
      <c r="AR50" s="73">
        <f t="shared" si="59"/>
        <v>0</v>
      </c>
      <c r="AS50" s="65"/>
      <c r="AT50" s="828" t="s">
        <v>1962</v>
      </c>
      <c r="AU50" s="73">
        <f t="shared" si="59"/>
        <v>0</v>
      </c>
      <c r="AV50" s="65"/>
      <c r="AW50" s="832" t="s">
        <v>2042</v>
      </c>
      <c r="AX50" s="73">
        <f t="shared" si="59"/>
        <v>0</v>
      </c>
      <c r="AY50" s="65"/>
      <c r="AZ50" s="838" t="s">
        <v>1963</v>
      </c>
      <c r="BA50" s="73">
        <f t="shared" si="59"/>
        <v>0</v>
      </c>
      <c r="BB50" s="65"/>
      <c r="BC50" s="845" t="s">
        <v>1962</v>
      </c>
      <c r="BD50" s="73">
        <f t="shared" si="59"/>
        <v>0</v>
      </c>
      <c r="BE50" s="65"/>
      <c r="BF50" s="849" t="s">
        <v>1947</v>
      </c>
      <c r="BG50" s="73">
        <f t="shared" si="59"/>
        <v>0</v>
      </c>
      <c r="BH50" s="65"/>
      <c r="BI50" s="859" t="s">
        <v>1962</v>
      </c>
      <c r="BJ50" s="73">
        <f t="shared" si="59"/>
        <v>0</v>
      </c>
      <c r="BK50" s="65"/>
      <c r="BL50" s="864" t="s">
        <v>1963</v>
      </c>
      <c r="BM50" s="73">
        <f t="shared" si="59"/>
        <v>0</v>
      </c>
      <c r="BN50" s="65"/>
      <c r="BO50" s="869" t="s">
        <v>1962</v>
      </c>
      <c r="BP50" s="73">
        <f t="shared" si="59"/>
        <v>0</v>
      </c>
      <c r="BQ50" s="65"/>
      <c r="BR50" s="838" t="s">
        <v>1963</v>
      </c>
      <c r="BS50" s="73">
        <f t="shared" si="59"/>
        <v>0</v>
      </c>
      <c r="BT50" s="65"/>
      <c r="BU50" s="873" t="s">
        <v>1963</v>
      </c>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4">
        <f t="shared" si="47"/>
        <v>6</v>
      </c>
      <c r="G51" s="444">
        <f ca="1">VLOOKUP(H51,Equipos!$Q$1:$R$25,2,0)</f>
        <v>13</v>
      </c>
      <c r="H51" s="445">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854" t="s">
        <v>1962</v>
      </c>
      <c r="T51" s="73">
        <f t="shared" si="48"/>
        <v>0</v>
      </c>
      <c r="U51" s="65"/>
      <c r="V51" s="793" t="s">
        <v>1963</v>
      </c>
      <c r="W51" s="73">
        <f t="shared" si="58"/>
        <v>0</v>
      </c>
      <c r="X51" s="65"/>
      <c r="Y51" s="798" t="s">
        <v>1948</v>
      </c>
      <c r="Z51" s="73">
        <f t="shared" si="59"/>
        <v>0</v>
      </c>
      <c r="AA51" s="65"/>
      <c r="AB51" s="803" t="s">
        <v>1962</v>
      </c>
      <c r="AC51" s="73">
        <f t="shared" si="59"/>
        <v>0</v>
      </c>
      <c r="AD51" s="65"/>
      <c r="AE51" s="808" t="s">
        <v>1962</v>
      </c>
      <c r="AF51" s="73">
        <f t="shared" si="59"/>
        <v>0</v>
      </c>
      <c r="AG51" s="65"/>
      <c r="AH51" s="74" t="s">
        <v>1962</v>
      </c>
      <c r="AI51" s="73">
        <f t="shared" si="59"/>
        <v>0</v>
      </c>
      <c r="AJ51" s="65"/>
      <c r="AK51" s="813" t="s">
        <v>1963</v>
      </c>
      <c r="AL51" s="73">
        <f t="shared" si="59"/>
        <v>0</v>
      </c>
      <c r="AM51" s="65"/>
      <c r="AN51" s="818" t="s">
        <v>1963</v>
      </c>
      <c r="AO51" s="73">
        <f t="shared" si="59"/>
        <v>0</v>
      </c>
      <c r="AP51" s="65"/>
      <c r="AQ51" s="823" t="s">
        <v>1949</v>
      </c>
      <c r="AR51" s="73">
        <f t="shared" si="59"/>
        <v>0</v>
      </c>
      <c r="AS51" s="65"/>
      <c r="AT51" s="828" t="s">
        <v>1953</v>
      </c>
      <c r="AU51" s="73">
        <f t="shared" si="59"/>
        <v>0</v>
      </c>
      <c r="AV51" s="65"/>
      <c r="AW51" s="832" t="s">
        <v>1950</v>
      </c>
      <c r="AX51" s="73">
        <f t="shared" si="59"/>
        <v>0</v>
      </c>
      <c r="AY51" s="65"/>
      <c r="AZ51" s="838" t="s">
        <v>1962</v>
      </c>
      <c r="BA51" s="73">
        <f t="shared" si="59"/>
        <v>0</v>
      </c>
      <c r="BB51" s="65"/>
      <c r="BC51" s="845" t="s">
        <v>1962</v>
      </c>
      <c r="BD51" s="73">
        <f t="shared" si="59"/>
        <v>0</v>
      </c>
      <c r="BE51" s="65"/>
      <c r="BF51" s="849" t="s">
        <v>1962</v>
      </c>
      <c r="BG51" s="73">
        <f t="shared" si="59"/>
        <v>0</v>
      </c>
      <c r="BH51" s="65"/>
      <c r="BI51" s="859" t="s">
        <v>1949</v>
      </c>
      <c r="BJ51" s="73">
        <f t="shared" si="59"/>
        <v>0</v>
      </c>
      <c r="BK51" s="65"/>
      <c r="BL51" s="864" t="s">
        <v>1953</v>
      </c>
      <c r="BM51" s="73">
        <f t="shared" si="59"/>
        <v>0</v>
      </c>
      <c r="BN51" s="65"/>
      <c r="BO51" s="869" t="s">
        <v>1947</v>
      </c>
      <c r="BP51" s="73">
        <f t="shared" si="59"/>
        <v>0</v>
      </c>
      <c r="BQ51" s="65"/>
      <c r="BR51" s="838" t="s">
        <v>1962</v>
      </c>
      <c r="BS51" s="73">
        <f t="shared" si="59"/>
        <v>0</v>
      </c>
      <c r="BT51" s="65"/>
      <c r="BU51" s="873" t="s">
        <v>1950</v>
      </c>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4">
        <f t="shared" si="47"/>
        <v>6</v>
      </c>
      <c r="G52" s="444">
        <f ca="1">VLOOKUP(H52,Equipos!$Q$1:$R$25,2,0)</f>
        <v>13</v>
      </c>
      <c r="H52" s="445">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854" t="s">
        <v>1953</v>
      </c>
      <c r="T52" s="73">
        <f t="shared" si="48"/>
        <v>0</v>
      </c>
      <c r="U52" s="65"/>
      <c r="V52" s="793" t="s">
        <v>1959</v>
      </c>
      <c r="W52" s="73">
        <f t="shared" si="58"/>
        <v>0</v>
      </c>
      <c r="X52" s="65"/>
      <c r="Y52" s="798" t="s">
        <v>1962</v>
      </c>
      <c r="Z52" s="73">
        <f t="shared" si="59"/>
        <v>0</v>
      </c>
      <c r="AA52" s="65"/>
      <c r="AB52" s="803" t="s">
        <v>1949</v>
      </c>
      <c r="AC52" s="73">
        <f t="shared" si="59"/>
        <v>0</v>
      </c>
      <c r="AD52" s="65"/>
      <c r="AE52" s="808" t="s">
        <v>1962</v>
      </c>
      <c r="AF52" s="73">
        <f t="shared" si="59"/>
        <v>0</v>
      </c>
      <c r="AG52" s="65"/>
      <c r="AH52" s="74" t="s">
        <v>1962</v>
      </c>
      <c r="AI52" s="73">
        <f t="shared" si="59"/>
        <v>0</v>
      </c>
      <c r="AJ52" s="65"/>
      <c r="AK52" s="813" t="s">
        <v>1962</v>
      </c>
      <c r="AL52" s="73">
        <f t="shared" si="59"/>
        <v>0</v>
      </c>
      <c r="AM52" s="65"/>
      <c r="AN52" s="818" t="s">
        <v>1953</v>
      </c>
      <c r="AO52" s="73">
        <f t="shared" si="59"/>
        <v>0</v>
      </c>
      <c r="AP52" s="65"/>
      <c r="AQ52" s="823" t="s">
        <v>1953</v>
      </c>
      <c r="AR52" s="73">
        <f t="shared" si="59"/>
        <v>0</v>
      </c>
      <c r="AS52" s="65"/>
      <c r="AT52" s="828" t="s">
        <v>1950</v>
      </c>
      <c r="AU52" s="73">
        <f t="shared" si="59"/>
        <v>0</v>
      </c>
      <c r="AV52" s="65"/>
      <c r="AW52" s="832" t="s">
        <v>1962</v>
      </c>
      <c r="AX52" s="73">
        <f t="shared" si="59"/>
        <v>0</v>
      </c>
      <c r="AY52" s="65"/>
      <c r="AZ52" s="838" t="s">
        <v>1948</v>
      </c>
      <c r="BA52" s="73">
        <f t="shared" si="59"/>
        <v>0</v>
      </c>
      <c r="BB52" s="65"/>
      <c r="BC52" s="845" t="s">
        <v>1963</v>
      </c>
      <c r="BD52" s="73">
        <f t="shared" si="59"/>
        <v>0</v>
      </c>
      <c r="BE52" s="65"/>
      <c r="BF52" s="849" t="s">
        <v>1947</v>
      </c>
      <c r="BG52" s="73">
        <f t="shared" si="59"/>
        <v>0</v>
      </c>
      <c r="BH52" s="65"/>
      <c r="BI52" s="859" t="s">
        <v>1947</v>
      </c>
      <c r="BJ52" s="73">
        <f t="shared" si="59"/>
        <v>0</v>
      </c>
      <c r="BK52" s="65"/>
      <c r="BL52" s="864" t="s">
        <v>1947</v>
      </c>
      <c r="BM52" s="73">
        <f t="shared" si="59"/>
        <v>0</v>
      </c>
      <c r="BN52" s="65"/>
      <c r="BO52" s="869" t="s">
        <v>1947</v>
      </c>
      <c r="BP52" s="73">
        <f t="shared" si="59"/>
        <v>0</v>
      </c>
      <c r="BQ52" s="65"/>
      <c r="BR52" s="838" t="s">
        <v>1963</v>
      </c>
      <c r="BS52" s="73">
        <f t="shared" si="59"/>
        <v>0</v>
      </c>
      <c r="BT52" s="65"/>
      <c r="BU52" s="873" t="s">
        <v>1953</v>
      </c>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4">
        <f t="shared" si="47"/>
        <v>6</v>
      </c>
      <c r="G53" s="444">
        <f ca="1">VLOOKUP(H53,Equipos!$Q$1:$R$25,2,0)</f>
        <v>13</v>
      </c>
      <c r="H53" s="445">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854" t="s">
        <v>1948</v>
      </c>
      <c r="T53" s="79">
        <f t="shared" si="48"/>
        <v>0</v>
      </c>
      <c r="U53" s="65"/>
      <c r="V53" s="793" t="s">
        <v>1948</v>
      </c>
      <c r="W53" s="79">
        <f t="shared" si="58"/>
        <v>0</v>
      </c>
      <c r="X53" s="65"/>
      <c r="Y53" s="798" t="s">
        <v>1955</v>
      </c>
      <c r="Z53" s="79">
        <f t="shared" si="59"/>
        <v>0</v>
      </c>
      <c r="AA53" s="65"/>
      <c r="AB53" s="803" t="s">
        <v>1951</v>
      </c>
      <c r="AC53" s="79">
        <f t="shared" si="59"/>
        <v>0</v>
      </c>
      <c r="AD53" s="65"/>
      <c r="AE53" s="808" t="s">
        <v>1951</v>
      </c>
      <c r="AF53" s="79">
        <f t="shared" si="59"/>
        <v>0</v>
      </c>
      <c r="AG53" s="65"/>
      <c r="AH53" s="78" t="s">
        <v>1951</v>
      </c>
      <c r="AI53" s="79">
        <f t="shared" si="59"/>
        <v>0</v>
      </c>
      <c r="AJ53" s="65"/>
      <c r="AK53" s="813" t="s">
        <v>1951</v>
      </c>
      <c r="AL53" s="79">
        <f t="shared" si="59"/>
        <v>0</v>
      </c>
      <c r="AM53" s="65"/>
      <c r="AN53" s="818" t="s">
        <v>1960</v>
      </c>
      <c r="AO53" s="79">
        <f t="shared" si="59"/>
        <v>0</v>
      </c>
      <c r="AP53" s="65"/>
      <c r="AQ53" s="823" t="s">
        <v>1951</v>
      </c>
      <c r="AR53" s="79">
        <f t="shared" si="59"/>
        <v>0</v>
      </c>
      <c r="AS53" s="65"/>
      <c r="AT53" s="828" t="s">
        <v>1951</v>
      </c>
      <c r="AU53" s="79">
        <f t="shared" si="59"/>
        <v>0</v>
      </c>
      <c r="AV53" s="65"/>
      <c r="AW53" s="832" t="s">
        <v>1951</v>
      </c>
      <c r="AX53" s="79">
        <f t="shared" si="59"/>
        <v>0</v>
      </c>
      <c r="AY53" s="65"/>
      <c r="AZ53" s="838" t="s">
        <v>1951</v>
      </c>
      <c r="BA53" s="79">
        <f t="shared" si="59"/>
        <v>0</v>
      </c>
      <c r="BB53" s="65"/>
      <c r="BC53" s="845" t="s">
        <v>1960</v>
      </c>
      <c r="BD53" s="79">
        <f t="shared" si="59"/>
        <v>0</v>
      </c>
      <c r="BE53" s="65"/>
      <c r="BF53" s="849" t="s">
        <v>1959</v>
      </c>
      <c r="BG53" s="79">
        <f t="shared" si="59"/>
        <v>0</v>
      </c>
      <c r="BH53" s="65"/>
      <c r="BI53" s="859" t="s">
        <v>1951</v>
      </c>
      <c r="BJ53" s="79">
        <f t="shared" si="59"/>
        <v>0</v>
      </c>
      <c r="BK53" s="65"/>
      <c r="BL53" s="864" t="s">
        <v>1960</v>
      </c>
      <c r="BM53" s="79">
        <f t="shared" si="59"/>
        <v>0</v>
      </c>
      <c r="BN53" s="65"/>
      <c r="BO53" s="869" t="s">
        <v>1961</v>
      </c>
      <c r="BP53" s="79">
        <f t="shared" si="59"/>
        <v>0</v>
      </c>
      <c r="BQ53" s="65"/>
      <c r="BR53" s="838" t="s">
        <v>1967</v>
      </c>
      <c r="BS53" s="79">
        <f t="shared" si="59"/>
        <v>0</v>
      </c>
      <c r="BT53" s="65"/>
      <c r="BU53" s="873" t="s">
        <v>1960</v>
      </c>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4">
        <f t="shared" si="47"/>
        <v>6</v>
      </c>
      <c r="G54" s="444">
        <f ca="1">VLOOKUP(H54,Equipos!$Q$1:$R$25,2,0)</f>
        <v>14</v>
      </c>
      <c r="H54" s="445">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854" t="s">
        <v>1951</v>
      </c>
      <c r="T54" s="77">
        <f t="shared" si="48"/>
        <v>0</v>
      </c>
      <c r="U54" s="65"/>
      <c r="V54" s="793" t="s">
        <v>1952</v>
      </c>
      <c r="W54" s="77">
        <f t="shared" si="58"/>
        <v>0</v>
      </c>
      <c r="X54" s="65"/>
      <c r="Y54" s="798" t="s">
        <v>1948</v>
      </c>
      <c r="Z54" s="77">
        <f t="shared" si="59"/>
        <v>0</v>
      </c>
      <c r="AA54" s="65"/>
      <c r="AB54" s="803" t="s">
        <v>1949</v>
      </c>
      <c r="AC54" s="77">
        <f t="shared" si="59"/>
        <v>0</v>
      </c>
      <c r="AD54" s="65"/>
      <c r="AE54" s="808" t="s">
        <v>1949</v>
      </c>
      <c r="AF54" s="77">
        <f t="shared" si="59"/>
        <v>0</v>
      </c>
      <c r="AG54" s="65"/>
      <c r="AH54" s="76" t="s">
        <v>1955</v>
      </c>
      <c r="AI54" s="77">
        <f t="shared" si="59"/>
        <v>0</v>
      </c>
      <c r="AJ54" s="65"/>
      <c r="AK54" s="813" t="s">
        <v>1961</v>
      </c>
      <c r="AL54" s="77">
        <f t="shared" si="59"/>
        <v>0</v>
      </c>
      <c r="AM54" s="65"/>
      <c r="AN54" s="818" t="s">
        <v>1951</v>
      </c>
      <c r="AO54" s="77">
        <f t="shared" si="59"/>
        <v>0</v>
      </c>
      <c r="AP54" s="65"/>
      <c r="AQ54" s="823" t="s">
        <v>1961</v>
      </c>
      <c r="AR54" s="77">
        <f t="shared" si="59"/>
        <v>0</v>
      </c>
      <c r="AS54" s="65"/>
      <c r="AT54" s="828" t="s">
        <v>1955</v>
      </c>
      <c r="AU54" s="77">
        <f t="shared" si="59"/>
        <v>0</v>
      </c>
      <c r="AV54" s="65"/>
      <c r="AW54" s="832" t="s">
        <v>1953</v>
      </c>
      <c r="AX54" s="77">
        <f t="shared" si="59"/>
        <v>0</v>
      </c>
      <c r="AY54" s="65"/>
      <c r="AZ54" s="838" t="s">
        <v>1967</v>
      </c>
      <c r="BA54" s="77">
        <f t="shared" si="59"/>
        <v>0</v>
      </c>
      <c r="BB54" s="65"/>
      <c r="BC54" s="845" t="s">
        <v>1961</v>
      </c>
      <c r="BD54" s="77">
        <f t="shared" si="59"/>
        <v>0</v>
      </c>
      <c r="BE54" s="65"/>
      <c r="BF54" s="849" t="s">
        <v>1948</v>
      </c>
      <c r="BG54" s="77">
        <f t="shared" si="59"/>
        <v>0</v>
      </c>
      <c r="BH54" s="65"/>
      <c r="BI54" s="859" t="s">
        <v>1955</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864" t="s">
        <v>1960</v>
      </c>
      <c r="BM54" s="77">
        <f t="shared" si="60"/>
        <v>0</v>
      </c>
      <c r="BN54" s="65"/>
      <c r="BO54" s="869" t="s">
        <v>1958</v>
      </c>
      <c r="BP54" s="77">
        <f t="shared" si="60"/>
        <v>0</v>
      </c>
      <c r="BQ54" s="65"/>
      <c r="BR54" s="838" t="s">
        <v>1948</v>
      </c>
      <c r="BS54" s="77">
        <f t="shared" si="60"/>
        <v>0</v>
      </c>
      <c r="BT54" s="65"/>
      <c r="BU54" s="873" t="s">
        <v>1955</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4">
        <f t="shared" si="47"/>
        <v>6</v>
      </c>
      <c r="G55" s="444">
        <f ca="1">VLOOKUP(H55,Equipos!$Q$1:$R$25,2,0)</f>
        <v>14</v>
      </c>
      <c r="H55" s="445">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854" t="s">
        <v>1953</v>
      </c>
      <c r="T55" s="73">
        <f t="shared" si="48"/>
        <v>0</v>
      </c>
      <c r="U55" s="65"/>
      <c r="V55" s="793" t="s">
        <v>1963</v>
      </c>
      <c r="W55" s="73">
        <f t="shared" si="58"/>
        <v>0</v>
      </c>
      <c r="X55" s="65"/>
      <c r="Y55" s="798" t="s">
        <v>1949</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803" t="s">
        <v>1951</v>
      </c>
      <c r="AC55" s="73">
        <f t="shared" si="61"/>
        <v>0</v>
      </c>
      <c r="AD55" s="65"/>
      <c r="AE55" s="808" t="s">
        <v>1948</v>
      </c>
      <c r="AF55" s="73">
        <f t="shared" si="61"/>
        <v>0</v>
      </c>
      <c r="AG55" s="65"/>
      <c r="AH55" s="74" t="s">
        <v>1955</v>
      </c>
      <c r="AI55" s="73">
        <f t="shared" si="61"/>
        <v>0</v>
      </c>
      <c r="AJ55" s="65"/>
      <c r="AK55" s="813" t="s">
        <v>1961</v>
      </c>
      <c r="AL55" s="73">
        <f t="shared" si="61"/>
        <v>0</v>
      </c>
      <c r="AM55" s="65"/>
      <c r="AN55" s="818" t="s">
        <v>1967</v>
      </c>
      <c r="AO55" s="73">
        <f t="shared" si="61"/>
        <v>0</v>
      </c>
      <c r="AP55" s="65"/>
      <c r="AQ55" s="823" t="s">
        <v>1951</v>
      </c>
      <c r="AR55" s="73">
        <f t="shared" si="61"/>
        <v>0</v>
      </c>
      <c r="AS55" s="65"/>
      <c r="AT55" s="828" t="s">
        <v>1955</v>
      </c>
      <c r="AU55" s="73">
        <f t="shared" si="61"/>
        <v>0</v>
      </c>
      <c r="AV55" s="65"/>
      <c r="AW55" s="832" t="s">
        <v>1949</v>
      </c>
      <c r="AX55" s="73">
        <f t="shared" si="61"/>
        <v>0</v>
      </c>
      <c r="AY55" s="65"/>
      <c r="AZ55" s="838" t="s">
        <v>1948</v>
      </c>
      <c r="BA55" s="73">
        <f t="shared" si="61"/>
        <v>0</v>
      </c>
      <c r="BB55" s="65"/>
      <c r="BC55" s="845" t="s">
        <v>1948</v>
      </c>
      <c r="BD55" s="73">
        <f t="shared" si="61"/>
        <v>0</v>
      </c>
      <c r="BE55" s="65"/>
      <c r="BF55" s="849" t="s">
        <v>1948</v>
      </c>
      <c r="BG55" s="73">
        <f t="shared" si="61"/>
        <v>0</v>
      </c>
      <c r="BH55" s="65"/>
      <c r="BI55" s="859" t="s">
        <v>1951</v>
      </c>
      <c r="BJ55" s="73">
        <f t="shared" si="61"/>
        <v>0</v>
      </c>
      <c r="BK55" s="65"/>
      <c r="BL55" s="864" t="s">
        <v>1951</v>
      </c>
      <c r="BM55" s="73">
        <f t="shared" si="61"/>
        <v>0</v>
      </c>
      <c r="BN55" s="65"/>
      <c r="BO55" s="869" t="s">
        <v>1967</v>
      </c>
      <c r="BP55" s="73">
        <f t="shared" si="61"/>
        <v>0</v>
      </c>
      <c r="BQ55" s="65"/>
      <c r="BR55" s="838" t="s">
        <v>1961</v>
      </c>
      <c r="BS55" s="73">
        <f t="shared" si="61"/>
        <v>0</v>
      </c>
      <c r="BT55" s="65"/>
      <c r="BU55" s="873" t="s">
        <v>1955</v>
      </c>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4">
        <f t="shared" si="47"/>
        <v>6</v>
      </c>
      <c r="G56" s="444">
        <f ca="1">VLOOKUP(H56,Equipos!$Q$1:$R$25,2,0)</f>
        <v>14</v>
      </c>
      <c r="H56" s="445">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854" t="s">
        <v>1953</v>
      </c>
      <c r="T56" s="73">
        <f t="shared" si="48"/>
        <v>0</v>
      </c>
      <c r="U56" s="65"/>
      <c r="V56" s="793" t="s">
        <v>1952</v>
      </c>
      <c r="W56" s="73">
        <f t="shared" si="58"/>
        <v>0</v>
      </c>
      <c r="X56" s="65"/>
      <c r="Y56" s="798" t="s">
        <v>1949</v>
      </c>
      <c r="Z56" s="73">
        <f t="shared" si="61"/>
        <v>0</v>
      </c>
      <c r="AA56" s="65"/>
      <c r="AB56" s="803" t="s">
        <v>1955</v>
      </c>
      <c r="AC56" s="73">
        <f t="shared" si="61"/>
        <v>0</v>
      </c>
      <c r="AD56" s="65"/>
      <c r="AE56" s="808" t="s">
        <v>1958</v>
      </c>
      <c r="AF56" s="73">
        <f t="shared" si="61"/>
        <v>0</v>
      </c>
      <c r="AG56" s="65"/>
      <c r="AH56" s="74" t="s">
        <v>1958</v>
      </c>
      <c r="AI56" s="73">
        <f t="shared" si="61"/>
        <v>0</v>
      </c>
      <c r="AJ56" s="65"/>
      <c r="AK56" s="813" t="s">
        <v>1953</v>
      </c>
      <c r="AL56" s="73">
        <f t="shared" si="61"/>
        <v>0</v>
      </c>
      <c r="AM56" s="65"/>
      <c r="AN56" s="818" t="s">
        <v>1953</v>
      </c>
      <c r="AO56" s="73">
        <f t="shared" si="61"/>
        <v>0</v>
      </c>
      <c r="AP56" s="65"/>
      <c r="AQ56" s="823" t="s">
        <v>1949</v>
      </c>
      <c r="AR56" s="73">
        <f t="shared" si="61"/>
        <v>0</v>
      </c>
      <c r="AS56" s="65"/>
      <c r="AT56" s="828" t="s">
        <v>1948</v>
      </c>
      <c r="AU56" s="73">
        <f t="shared" si="61"/>
        <v>0</v>
      </c>
      <c r="AV56" s="65"/>
      <c r="AW56" s="832" t="s">
        <v>1953</v>
      </c>
      <c r="AX56" s="73">
        <f t="shared" si="61"/>
        <v>0</v>
      </c>
      <c r="AY56" s="65"/>
      <c r="AZ56" s="838" t="s">
        <v>1953</v>
      </c>
      <c r="BA56" s="73">
        <f t="shared" si="61"/>
        <v>0</v>
      </c>
      <c r="BB56" s="65"/>
      <c r="BC56" s="845" t="s">
        <v>1948</v>
      </c>
      <c r="BD56" s="73">
        <f t="shared" si="61"/>
        <v>0</v>
      </c>
      <c r="BE56" s="65"/>
      <c r="BF56" s="849" t="s">
        <v>1953</v>
      </c>
      <c r="BG56" s="73">
        <f t="shared" si="61"/>
        <v>0</v>
      </c>
      <c r="BH56" s="65"/>
      <c r="BI56" s="859" t="s">
        <v>1949</v>
      </c>
      <c r="BJ56" s="73">
        <f t="shared" si="61"/>
        <v>0</v>
      </c>
      <c r="BK56" s="65"/>
      <c r="BL56" s="864" t="s">
        <v>1949</v>
      </c>
      <c r="BM56" s="73">
        <f t="shared" si="61"/>
        <v>0</v>
      </c>
      <c r="BN56" s="65"/>
      <c r="BO56" s="869" t="s">
        <v>1967</v>
      </c>
      <c r="BP56" s="73">
        <f t="shared" si="61"/>
        <v>0</v>
      </c>
      <c r="BQ56" s="65"/>
      <c r="BR56" s="838" t="s">
        <v>1962</v>
      </c>
      <c r="BS56" s="73">
        <f t="shared" si="61"/>
        <v>0</v>
      </c>
      <c r="BT56" s="65"/>
      <c r="BU56" s="873" t="s">
        <v>1958</v>
      </c>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4">
        <f t="shared" si="47"/>
        <v>6</v>
      </c>
      <c r="G57" s="444">
        <f ca="1">VLOOKUP(H57,Equipos!$Q$1:$R$25,2,0)</f>
        <v>14</v>
      </c>
      <c r="H57" s="445">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854" t="s">
        <v>1965</v>
      </c>
      <c r="T57" s="73">
        <f t="shared" si="48"/>
        <v>0</v>
      </c>
      <c r="U57" s="65"/>
      <c r="V57" s="793" t="s">
        <v>1964</v>
      </c>
      <c r="W57" s="73">
        <f t="shared" si="58"/>
        <v>0</v>
      </c>
      <c r="X57" s="65"/>
      <c r="Y57" s="798" t="s">
        <v>1953</v>
      </c>
      <c r="Z57" s="73">
        <f t="shared" si="61"/>
        <v>0</v>
      </c>
      <c r="AA57" s="65"/>
      <c r="AB57" s="803" t="s">
        <v>1949</v>
      </c>
      <c r="AC57" s="73">
        <f t="shared" si="61"/>
        <v>0</v>
      </c>
      <c r="AD57" s="65"/>
      <c r="AE57" s="808" t="s">
        <v>1947</v>
      </c>
      <c r="AF57" s="73">
        <f t="shared" si="61"/>
        <v>0</v>
      </c>
      <c r="AG57" s="65"/>
      <c r="AH57" s="74" t="s">
        <v>1948</v>
      </c>
      <c r="AI57" s="73">
        <f t="shared" si="61"/>
        <v>0</v>
      </c>
      <c r="AJ57" s="65"/>
      <c r="AK57" s="813" t="s">
        <v>1962</v>
      </c>
      <c r="AL57" s="73">
        <f t="shared" si="61"/>
        <v>0</v>
      </c>
      <c r="AM57" s="65"/>
      <c r="AN57" s="818" t="s">
        <v>1962</v>
      </c>
      <c r="AO57" s="73">
        <f t="shared" si="61"/>
        <v>0</v>
      </c>
      <c r="AP57" s="65"/>
      <c r="AQ57" s="823" t="s">
        <v>1962</v>
      </c>
      <c r="AR57" s="73">
        <f t="shared" si="61"/>
        <v>0</v>
      </c>
      <c r="AS57" s="65"/>
      <c r="AT57" s="828" t="s">
        <v>1962</v>
      </c>
      <c r="AU57" s="73">
        <f t="shared" si="61"/>
        <v>0</v>
      </c>
      <c r="AV57" s="65"/>
      <c r="AW57" s="832" t="s">
        <v>1948</v>
      </c>
      <c r="AX57" s="73">
        <f t="shared" si="61"/>
        <v>0</v>
      </c>
      <c r="AY57" s="65"/>
      <c r="AZ57" s="838" t="s">
        <v>1961</v>
      </c>
      <c r="BA57" s="73">
        <f t="shared" si="61"/>
        <v>0</v>
      </c>
      <c r="BB57" s="65"/>
      <c r="BC57" s="845" t="s">
        <v>1958</v>
      </c>
      <c r="BD57" s="73">
        <f t="shared" si="61"/>
        <v>0</v>
      </c>
      <c r="BE57" s="65"/>
      <c r="BF57" s="849" t="s">
        <v>1953</v>
      </c>
      <c r="BG57" s="73">
        <f t="shared" si="61"/>
        <v>0</v>
      </c>
      <c r="BH57" s="65"/>
      <c r="BI57" s="859" t="s">
        <v>1962</v>
      </c>
      <c r="BJ57" s="73">
        <f t="shared" si="61"/>
        <v>0</v>
      </c>
      <c r="BK57" s="65"/>
      <c r="BL57" s="864" t="s">
        <v>1948</v>
      </c>
      <c r="BM57" s="73">
        <f t="shared" si="61"/>
        <v>0</v>
      </c>
      <c r="BN57" s="65"/>
      <c r="BO57" s="869" t="s">
        <v>1963</v>
      </c>
      <c r="BP57" s="73">
        <f t="shared" si="61"/>
        <v>0</v>
      </c>
      <c r="BQ57" s="65"/>
      <c r="BR57" s="838" t="s">
        <v>1962</v>
      </c>
      <c r="BS57" s="73">
        <f t="shared" si="61"/>
        <v>0</v>
      </c>
      <c r="BT57" s="65"/>
      <c r="BU57" s="873" t="s">
        <v>1949</v>
      </c>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4">
        <f t="shared" si="47"/>
        <v>6</v>
      </c>
      <c r="G58" s="444">
        <f ca="1">VLOOKUP(H58,Equipos!$Q$1:$R$25,2,0)</f>
        <v>14</v>
      </c>
      <c r="H58" s="445">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854" t="s">
        <v>1967</v>
      </c>
      <c r="T58" s="73">
        <f t="shared" si="48"/>
        <v>0</v>
      </c>
      <c r="U58" s="65"/>
      <c r="V58" s="793" t="s">
        <v>1964</v>
      </c>
      <c r="W58" s="73">
        <f t="shared" si="58"/>
        <v>0</v>
      </c>
      <c r="X58" s="65"/>
      <c r="Y58" s="798" t="s">
        <v>1951</v>
      </c>
      <c r="Z58" s="73">
        <f t="shared" si="61"/>
        <v>0</v>
      </c>
      <c r="AA58" s="65"/>
      <c r="AB58" s="803" t="s">
        <v>1959</v>
      </c>
      <c r="AC58" s="73">
        <f t="shared" si="61"/>
        <v>0</v>
      </c>
      <c r="AD58" s="65"/>
      <c r="AE58" s="808" t="s">
        <v>1967</v>
      </c>
      <c r="AF58" s="73">
        <f t="shared" si="61"/>
        <v>0</v>
      </c>
      <c r="AG58" s="65"/>
      <c r="AH58" s="74" t="s">
        <v>1951</v>
      </c>
      <c r="AI58" s="73">
        <f t="shared" si="61"/>
        <v>0</v>
      </c>
      <c r="AJ58" s="65"/>
      <c r="AK58" s="813" t="s">
        <v>1951</v>
      </c>
      <c r="AL58" s="73">
        <f t="shared" si="61"/>
        <v>0</v>
      </c>
      <c r="AM58" s="65"/>
      <c r="AN58" s="818" t="s">
        <v>1967</v>
      </c>
      <c r="AO58" s="73">
        <f t="shared" si="61"/>
        <v>0</v>
      </c>
      <c r="AP58" s="65"/>
      <c r="AQ58" s="823" t="s">
        <v>1951</v>
      </c>
      <c r="AR58" s="73">
        <f t="shared" si="61"/>
        <v>0</v>
      </c>
      <c r="AS58" s="65"/>
      <c r="AT58" s="828" t="s">
        <v>1967</v>
      </c>
      <c r="AU58" s="73">
        <f t="shared" si="61"/>
        <v>0</v>
      </c>
      <c r="AV58" s="65"/>
      <c r="AW58" s="832" t="s">
        <v>1967</v>
      </c>
      <c r="AX58" s="73">
        <f t="shared" si="61"/>
        <v>0</v>
      </c>
      <c r="AY58" s="65"/>
      <c r="AZ58" s="838" t="s">
        <v>1951</v>
      </c>
      <c r="BA58" s="73">
        <f t="shared" si="61"/>
        <v>0</v>
      </c>
      <c r="BB58" s="65"/>
      <c r="BC58" s="845" t="s">
        <v>1967</v>
      </c>
      <c r="BD58" s="73">
        <f t="shared" si="61"/>
        <v>0</v>
      </c>
      <c r="BE58" s="65"/>
      <c r="BF58" s="849" t="s">
        <v>1955</v>
      </c>
      <c r="BG58" s="73">
        <f t="shared" si="61"/>
        <v>0</v>
      </c>
      <c r="BH58" s="65"/>
      <c r="BI58" s="859" t="s">
        <v>1955</v>
      </c>
      <c r="BJ58" s="73">
        <f t="shared" si="61"/>
        <v>0</v>
      </c>
      <c r="BK58" s="65"/>
      <c r="BL58" s="864" t="s">
        <v>1952</v>
      </c>
      <c r="BM58" s="73">
        <f t="shared" si="61"/>
        <v>0</v>
      </c>
      <c r="BN58" s="65"/>
      <c r="BO58" s="869" t="s">
        <v>1967</v>
      </c>
      <c r="BP58" s="73">
        <f t="shared" si="61"/>
        <v>0</v>
      </c>
      <c r="BQ58" s="65"/>
      <c r="BR58" s="838" t="s">
        <v>1951</v>
      </c>
      <c r="BS58" s="73">
        <f t="shared" si="61"/>
        <v>0</v>
      </c>
      <c r="BT58" s="65"/>
      <c r="BU58" s="873" t="s">
        <v>1955</v>
      </c>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4">
        <f t="shared" si="47"/>
        <v>6</v>
      </c>
      <c r="G59" s="444">
        <f ca="1">VLOOKUP(H59,Equipos!$Q$1:$R$25,2,0)</f>
        <v>14</v>
      </c>
      <c r="H59" s="445">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854" t="s">
        <v>1962</v>
      </c>
      <c r="T59" s="73">
        <f t="shared" si="48"/>
        <v>0</v>
      </c>
      <c r="U59" s="65"/>
      <c r="V59" s="793" t="s">
        <v>1948</v>
      </c>
      <c r="W59" s="73">
        <f t="shared" si="58"/>
        <v>0</v>
      </c>
      <c r="X59" s="65"/>
      <c r="Y59" s="798" t="s">
        <v>1949</v>
      </c>
      <c r="Z59" s="73">
        <f t="shared" si="61"/>
        <v>0</v>
      </c>
      <c r="AA59" s="65"/>
      <c r="AB59" s="803" t="s">
        <v>1962</v>
      </c>
      <c r="AC59" s="73">
        <f t="shared" si="61"/>
        <v>0</v>
      </c>
      <c r="AD59" s="65"/>
      <c r="AE59" s="808" t="s">
        <v>1963</v>
      </c>
      <c r="AF59" s="73">
        <f t="shared" si="61"/>
        <v>0</v>
      </c>
      <c r="AG59" s="65"/>
      <c r="AH59" s="74" t="s">
        <v>1962</v>
      </c>
      <c r="AI59" s="73">
        <f t="shared" si="61"/>
        <v>0</v>
      </c>
      <c r="AJ59" s="65"/>
      <c r="AK59" s="813" t="s">
        <v>1962</v>
      </c>
      <c r="AL59" s="73">
        <f t="shared" si="61"/>
        <v>0</v>
      </c>
      <c r="AM59" s="65"/>
      <c r="AN59" s="818" t="s">
        <v>1963</v>
      </c>
      <c r="AO59" s="73">
        <f t="shared" si="61"/>
        <v>0</v>
      </c>
      <c r="AP59" s="65"/>
      <c r="AQ59" s="823" t="s">
        <v>1953</v>
      </c>
      <c r="AR59" s="73">
        <f t="shared" si="61"/>
        <v>0</v>
      </c>
      <c r="AS59" s="65"/>
      <c r="AT59" s="828" t="s">
        <v>1963</v>
      </c>
      <c r="AU59" s="73">
        <f t="shared" si="61"/>
        <v>0</v>
      </c>
      <c r="AV59" s="65"/>
      <c r="AW59" s="832" t="s">
        <v>1963</v>
      </c>
      <c r="AX59" s="73">
        <f t="shared" si="61"/>
        <v>0</v>
      </c>
      <c r="AY59" s="65"/>
      <c r="AZ59" s="838" t="s">
        <v>1963</v>
      </c>
      <c r="BA59" s="73">
        <f t="shared" si="61"/>
        <v>0</v>
      </c>
      <c r="BB59" s="65"/>
      <c r="BC59" s="845" t="s">
        <v>1948</v>
      </c>
      <c r="BD59" s="73">
        <f t="shared" si="61"/>
        <v>0</v>
      </c>
      <c r="BE59" s="65"/>
      <c r="BF59" s="849" t="s">
        <v>1963</v>
      </c>
      <c r="BG59" s="73">
        <f t="shared" si="61"/>
        <v>0</v>
      </c>
      <c r="BH59" s="65"/>
      <c r="BI59" s="859" t="s">
        <v>1963</v>
      </c>
      <c r="BJ59" s="73">
        <f t="shared" si="61"/>
        <v>0</v>
      </c>
      <c r="BK59" s="65"/>
      <c r="BL59" s="864" t="s">
        <v>1953</v>
      </c>
      <c r="BM59" s="73">
        <f t="shared" si="61"/>
        <v>0</v>
      </c>
      <c r="BN59" s="65"/>
      <c r="BO59" s="869" t="s">
        <v>1963</v>
      </c>
      <c r="BP59" s="73">
        <f t="shared" si="61"/>
        <v>0</v>
      </c>
      <c r="BQ59" s="65"/>
      <c r="BR59" s="838" t="s">
        <v>1962</v>
      </c>
      <c r="BS59" s="73">
        <f t="shared" si="61"/>
        <v>0</v>
      </c>
      <c r="BT59" s="65"/>
      <c r="BU59" s="873" t="s">
        <v>1962</v>
      </c>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4">
        <f t="shared" si="47"/>
        <v>6</v>
      </c>
      <c r="G60" s="444">
        <f ca="1">VLOOKUP(H60,Equipos!$Q$1:$R$25,2,0)</f>
        <v>15</v>
      </c>
      <c r="H60" s="445">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854" t="s">
        <v>1947</v>
      </c>
      <c r="T60" s="77">
        <f t="shared" si="48"/>
        <v>0</v>
      </c>
      <c r="U60" s="65"/>
      <c r="V60" s="793" t="s">
        <v>1965</v>
      </c>
      <c r="W60" s="77">
        <f t="shared" si="58"/>
        <v>0</v>
      </c>
      <c r="X60" s="65"/>
      <c r="Y60" s="798" t="s">
        <v>1953</v>
      </c>
      <c r="Z60" s="77">
        <f t="shared" si="61"/>
        <v>0</v>
      </c>
      <c r="AA60" s="65"/>
      <c r="AB60" s="803" t="s">
        <v>1949</v>
      </c>
      <c r="AC60" s="77">
        <f t="shared" si="61"/>
        <v>0</v>
      </c>
      <c r="AD60" s="65"/>
      <c r="AE60" s="808" t="s">
        <v>1948</v>
      </c>
      <c r="AF60" s="77">
        <f t="shared" si="61"/>
        <v>0</v>
      </c>
      <c r="AG60" s="65"/>
      <c r="AH60" s="76" t="s">
        <v>1948</v>
      </c>
      <c r="AI60" s="77">
        <f t="shared" si="61"/>
        <v>0</v>
      </c>
      <c r="AJ60" s="65"/>
      <c r="AK60" s="813" t="s">
        <v>1953</v>
      </c>
      <c r="AL60" s="77">
        <f t="shared" si="61"/>
        <v>0</v>
      </c>
      <c r="AM60" s="65"/>
      <c r="AN60" s="818" t="s">
        <v>1953</v>
      </c>
      <c r="AO60" s="77">
        <f t="shared" si="61"/>
        <v>0</v>
      </c>
      <c r="AP60" s="65"/>
      <c r="AQ60" s="823" t="s">
        <v>1953</v>
      </c>
      <c r="AR60" s="77">
        <f t="shared" si="61"/>
        <v>0</v>
      </c>
      <c r="AS60" s="65"/>
      <c r="AT60" s="828" t="s">
        <v>1955</v>
      </c>
      <c r="AU60" s="77">
        <f t="shared" si="61"/>
        <v>0</v>
      </c>
      <c r="AV60" s="65"/>
      <c r="AW60" s="832" t="s">
        <v>1955</v>
      </c>
      <c r="AX60" s="77">
        <f t="shared" si="61"/>
        <v>0</v>
      </c>
      <c r="AY60" s="65"/>
      <c r="AZ60" s="838" t="s">
        <v>1953</v>
      </c>
      <c r="BA60" s="77">
        <f t="shared" si="61"/>
        <v>0</v>
      </c>
      <c r="BB60" s="65"/>
      <c r="BC60" s="845" t="s">
        <v>1949</v>
      </c>
      <c r="BD60" s="77">
        <f t="shared" si="61"/>
        <v>0</v>
      </c>
      <c r="BE60" s="65"/>
      <c r="BF60" s="849" t="s">
        <v>1953</v>
      </c>
      <c r="BG60" s="77">
        <f t="shared" si="61"/>
        <v>0</v>
      </c>
      <c r="BH60" s="65"/>
      <c r="BI60" s="859" t="s">
        <v>1948</v>
      </c>
      <c r="BJ60" s="77">
        <f t="shared" si="61"/>
        <v>0</v>
      </c>
      <c r="BK60" s="65"/>
      <c r="BL60" s="864" t="s">
        <v>1954</v>
      </c>
      <c r="BM60" s="77">
        <f t="shared" si="61"/>
        <v>0</v>
      </c>
      <c r="BN60" s="65"/>
      <c r="BO60" s="869" t="s">
        <v>1958</v>
      </c>
      <c r="BP60" s="77">
        <f t="shared" si="61"/>
        <v>0</v>
      </c>
      <c r="BQ60" s="65"/>
      <c r="BR60" s="838" t="s">
        <v>1949</v>
      </c>
      <c r="BS60" s="77">
        <f t="shared" si="61"/>
        <v>0</v>
      </c>
      <c r="BT60" s="65"/>
      <c r="BU60" s="873" t="s">
        <v>1958</v>
      </c>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4">
        <f t="shared" si="47"/>
        <v>6</v>
      </c>
      <c r="G61" s="444">
        <f ca="1">VLOOKUP(H61,Equipos!$Q$1:$R$25,2,0)</f>
        <v>15</v>
      </c>
      <c r="H61" s="445">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854" t="s">
        <v>1948</v>
      </c>
      <c r="T61" s="73">
        <f t="shared" si="48"/>
        <v>0</v>
      </c>
      <c r="U61" s="65"/>
      <c r="V61" s="793" t="s">
        <v>1958</v>
      </c>
      <c r="W61" s="73">
        <f t="shared" si="58"/>
        <v>0</v>
      </c>
      <c r="X61" s="65"/>
      <c r="Y61" s="798" t="s">
        <v>1949</v>
      </c>
      <c r="Z61" s="73">
        <f t="shared" si="61"/>
        <v>0</v>
      </c>
      <c r="AA61" s="65"/>
      <c r="AB61" s="803" t="s">
        <v>1962</v>
      </c>
      <c r="AC61" s="73">
        <f t="shared" si="61"/>
        <v>0</v>
      </c>
      <c r="AD61" s="65"/>
      <c r="AE61" s="808" t="s">
        <v>1949</v>
      </c>
      <c r="AF61" s="73">
        <f t="shared" si="61"/>
        <v>0</v>
      </c>
      <c r="AG61" s="65"/>
      <c r="AH61" s="74" t="s">
        <v>1953</v>
      </c>
      <c r="AI61" s="73">
        <f t="shared" si="61"/>
        <v>0</v>
      </c>
      <c r="AJ61" s="65"/>
      <c r="AK61" s="813" t="s">
        <v>1962</v>
      </c>
      <c r="AL61" s="73">
        <f t="shared" si="61"/>
        <v>0</v>
      </c>
      <c r="AM61" s="65"/>
      <c r="AN61" s="818" t="s">
        <v>1949</v>
      </c>
      <c r="AO61" s="73">
        <f t="shared" si="61"/>
        <v>0</v>
      </c>
      <c r="AP61" s="65"/>
      <c r="AQ61" s="823" t="s">
        <v>1953</v>
      </c>
      <c r="AR61" s="73">
        <f t="shared" si="61"/>
        <v>0</v>
      </c>
      <c r="AS61" s="65"/>
      <c r="AT61" s="828" t="s">
        <v>1948</v>
      </c>
      <c r="AU61" s="73">
        <f t="shared" si="61"/>
        <v>0</v>
      </c>
      <c r="AV61" s="65"/>
      <c r="AW61" s="832" t="s">
        <v>1962</v>
      </c>
      <c r="AX61" s="73">
        <f t="shared" si="61"/>
        <v>0</v>
      </c>
      <c r="AY61" s="65"/>
      <c r="AZ61" s="838" t="s">
        <v>1965</v>
      </c>
      <c r="BA61" s="73">
        <f t="shared" si="61"/>
        <v>0</v>
      </c>
      <c r="BB61" s="65"/>
      <c r="BC61" s="845" t="s">
        <v>1953</v>
      </c>
      <c r="BD61" s="73">
        <f t="shared" si="61"/>
        <v>0</v>
      </c>
      <c r="BE61" s="65"/>
      <c r="BF61" s="849" t="s">
        <v>1947</v>
      </c>
      <c r="BG61" s="73">
        <f t="shared" si="61"/>
        <v>0</v>
      </c>
      <c r="BH61" s="65"/>
      <c r="BI61" s="859" t="s">
        <v>1949</v>
      </c>
      <c r="BJ61" s="73">
        <f t="shared" si="61"/>
        <v>0</v>
      </c>
      <c r="BK61" s="65"/>
      <c r="BL61" s="864" t="s">
        <v>1965</v>
      </c>
      <c r="BM61" s="73">
        <f t="shared" si="61"/>
        <v>0</v>
      </c>
      <c r="BN61" s="65"/>
      <c r="BO61" s="869" t="s">
        <v>1953</v>
      </c>
      <c r="BP61" s="73">
        <f t="shared" si="61"/>
        <v>0</v>
      </c>
      <c r="BQ61" s="65"/>
      <c r="BR61" s="838" t="s">
        <v>1962</v>
      </c>
      <c r="BS61" s="73">
        <f t="shared" si="61"/>
        <v>0</v>
      </c>
      <c r="BT61" s="65"/>
      <c r="BU61" s="873" t="s">
        <v>1953</v>
      </c>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4">
        <f t="shared" si="47"/>
        <v>6</v>
      </c>
      <c r="G62" s="444">
        <f ca="1">VLOOKUP(H62,Equipos!$Q$1:$R$25,2,0)</f>
        <v>15</v>
      </c>
      <c r="H62" s="445">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854" t="s">
        <v>1960</v>
      </c>
      <c r="T62" s="73">
        <f t="shared" si="48"/>
        <v>0</v>
      </c>
      <c r="U62" s="65"/>
      <c r="V62" s="793" t="s">
        <v>1953</v>
      </c>
      <c r="W62" s="73">
        <f t="shared" si="58"/>
        <v>0</v>
      </c>
      <c r="X62" s="65"/>
      <c r="Y62" s="798" t="s">
        <v>1967</v>
      </c>
      <c r="Z62" s="73">
        <f t="shared" si="61"/>
        <v>0</v>
      </c>
      <c r="AA62" s="65"/>
      <c r="AB62" s="803" t="s">
        <v>1955</v>
      </c>
      <c r="AC62" s="73">
        <f t="shared" si="61"/>
        <v>0</v>
      </c>
      <c r="AD62" s="65"/>
      <c r="AE62" s="808" t="s">
        <v>1960</v>
      </c>
      <c r="AF62" s="73">
        <f t="shared" si="61"/>
        <v>0</v>
      </c>
      <c r="AG62" s="65"/>
      <c r="AH62" s="74" t="s">
        <v>1948</v>
      </c>
      <c r="AI62" s="73">
        <f t="shared" si="61"/>
        <v>0</v>
      </c>
      <c r="AJ62" s="65"/>
      <c r="AK62" s="813" t="s">
        <v>1951</v>
      </c>
      <c r="AL62" s="73">
        <f t="shared" si="61"/>
        <v>0</v>
      </c>
      <c r="AM62" s="65"/>
      <c r="AN62" s="818" t="s">
        <v>1960</v>
      </c>
      <c r="AO62" s="73">
        <f t="shared" si="61"/>
        <v>0</v>
      </c>
      <c r="AP62" s="65"/>
      <c r="AQ62" s="823" t="s">
        <v>1951</v>
      </c>
      <c r="AR62" s="73">
        <f t="shared" si="61"/>
        <v>0</v>
      </c>
      <c r="AS62" s="65"/>
      <c r="AT62" s="828" t="s">
        <v>1951</v>
      </c>
      <c r="AU62" s="73">
        <f t="shared" si="61"/>
        <v>0</v>
      </c>
      <c r="AV62" s="65"/>
      <c r="AW62" s="832" t="s">
        <v>1965</v>
      </c>
      <c r="AX62" s="73">
        <f t="shared" si="61"/>
        <v>0</v>
      </c>
      <c r="AY62" s="65"/>
      <c r="AZ62" s="838" t="s">
        <v>1951</v>
      </c>
      <c r="BA62" s="73">
        <f t="shared" si="61"/>
        <v>0</v>
      </c>
      <c r="BB62" s="65"/>
      <c r="BC62" s="845" t="s">
        <v>1965</v>
      </c>
      <c r="BD62" s="73">
        <f t="shared" si="61"/>
        <v>0</v>
      </c>
      <c r="BE62" s="65"/>
      <c r="BF62" s="849" t="s">
        <v>1959</v>
      </c>
      <c r="BG62" s="73">
        <f t="shared" si="61"/>
        <v>0</v>
      </c>
      <c r="BH62" s="65"/>
      <c r="BI62" s="859" t="s">
        <v>1960</v>
      </c>
      <c r="BJ62" s="73">
        <f t="shared" si="61"/>
        <v>0</v>
      </c>
      <c r="BK62" s="65"/>
      <c r="BL62" s="864" t="s">
        <v>1955</v>
      </c>
      <c r="BM62" s="73">
        <f t="shared" si="61"/>
        <v>0</v>
      </c>
      <c r="BN62" s="65"/>
      <c r="BO62" s="869" t="s">
        <v>1960</v>
      </c>
      <c r="BP62" s="73">
        <f t="shared" si="61"/>
        <v>0</v>
      </c>
      <c r="BQ62" s="65"/>
      <c r="BR62" s="838" t="s">
        <v>1960</v>
      </c>
      <c r="BS62" s="73">
        <f t="shared" si="61"/>
        <v>0</v>
      </c>
      <c r="BT62" s="65"/>
      <c r="BU62" s="873" t="s">
        <v>1960</v>
      </c>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4">
        <f t="shared" si="47"/>
        <v>6</v>
      </c>
      <c r="G63" s="444">
        <f ca="1">VLOOKUP(H63,Equipos!$Q$1:$R$25,2,0)</f>
        <v>15</v>
      </c>
      <c r="H63" s="445">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854" t="s">
        <v>1951</v>
      </c>
      <c r="T63" s="73">
        <f t="shared" si="48"/>
        <v>0</v>
      </c>
      <c r="U63" s="65"/>
      <c r="V63" s="793" t="s">
        <v>1966</v>
      </c>
      <c r="W63" s="73">
        <f t="shared" si="58"/>
        <v>0</v>
      </c>
      <c r="X63" s="65"/>
      <c r="Y63" s="798" t="s">
        <v>1965</v>
      </c>
      <c r="Z63" s="73">
        <f t="shared" si="61"/>
        <v>0</v>
      </c>
      <c r="AA63" s="65"/>
      <c r="AB63" s="803" t="s">
        <v>1966</v>
      </c>
      <c r="AC63" s="73">
        <f t="shared" si="61"/>
        <v>0</v>
      </c>
      <c r="AD63" s="65"/>
      <c r="AE63" s="808" t="s">
        <v>1955</v>
      </c>
      <c r="AF63" s="73">
        <f t="shared" si="61"/>
        <v>0</v>
      </c>
      <c r="AG63" s="65"/>
      <c r="AH63" s="74" t="s">
        <v>1955</v>
      </c>
      <c r="AI63" s="73">
        <f t="shared" si="61"/>
        <v>0</v>
      </c>
      <c r="AJ63" s="65"/>
      <c r="AK63" s="813" t="s">
        <v>1955</v>
      </c>
      <c r="AL63" s="73">
        <f t="shared" si="61"/>
        <v>0</v>
      </c>
      <c r="AM63" s="65"/>
      <c r="AN63" s="818" t="s">
        <v>1951</v>
      </c>
      <c r="AO63" s="73">
        <f t="shared" si="61"/>
        <v>0</v>
      </c>
      <c r="AP63" s="65"/>
      <c r="AQ63" s="823" t="s">
        <v>1961</v>
      </c>
      <c r="AR63" s="73">
        <f t="shared" si="61"/>
        <v>0</v>
      </c>
      <c r="AS63" s="65"/>
      <c r="AT63" s="828" t="s">
        <v>1948</v>
      </c>
      <c r="AU63" s="73">
        <f t="shared" si="61"/>
        <v>0</v>
      </c>
      <c r="AV63" s="65"/>
      <c r="AW63" s="832" t="s">
        <v>1967</v>
      </c>
      <c r="AX63" s="73">
        <f t="shared" si="61"/>
        <v>0</v>
      </c>
      <c r="AY63" s="65"/>
      <c r="AZ63" s="838" t="s">
        <v>1948</v>
      </c>
      <c r="BA63" s="73">
        <f t="shared" si="61"/>
        <v>0</v>
      </c>
      <c r="BB63" s="65"/>
      <c r="BC63" s="845" t="s">
        <v>1955</v>
      </c>
      <c r="BD63" s="73">
        <f t="shared" si="61"/>
        <v>0</v>
      </c>
      <c r="BE63" s="65"/>
      <c r="BF63" s="849" t="s">
        <v>1967</v>
      </c>
      <c r="BG63" s="73">
        <f t="shared" si="61"/>
        <v>0</v>
      </c>
      <c r="BH63" s="65"/>
      <c r="BI63" s="859" t="s">
        <v>1948</v>
      </c>
      <c r="BJ63" s="73">
        <f t="shared" si="61"/>
        <v>0</v>
      </c>
      <c r="BK63" s="65"/>
      <c r="BL63" s="864" t="s">
        <v>1948</v>
      </c>
      <c r="BM63" s="73">
        <f t="shared" si="61"/>
        <v>0</v>
      </c>
      <c r="BN63" s="65"/>
      <c r="BO63" s="869" t="s">
        <v>1958</v>
      </c>
      <c r="BP63" s="73">
        <f t="shared" si="61"/>
        <v>0</v>
      </c>
      <c r="BQ63" s="65"/>
      <c r="BR63" s="838" t="s">
        <v>1948</v>
      </c>
      <c r="BS63" s="73">
        <f t="shared" si="61"/>
        <v>0</v>
      </c>
      <c r="BT63" s="65"/>
      <c r="BU63" s="873" t="s">
        <v>1967</v>
      </c>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4">
        <f t="shared" si="47"/>
        <v>6</v>
      </c>
      <c r="G64" s="444">
        <f ca="1">VLOOKUP(H64,Equipos!$Q$1:$R$25,2,0)</f>
        <v>15</v>
      </c>
      <c r="H64" s="445">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854" t="s">
        <v>1948</v>
      </c>
      <c r="T64" s="73">
        <f t="shared" si="48"/>
        <v>0</v>
      </c>
      <c r="U64" s="65"/>
      <c r="V64" s="793" t="s">
        <v>1958</v>
      </c>
      <c r="W64" s="73">
        <f t="shared" si="58"/>
        <v>0</v>
      </c>
      <c r="X64" s="65"/>
      <c r="Y64" s="798" t="s">
        <v>1947</v>
      </c>
      <c r="Z64" s="73">
        <f t="shared" si="61"/>
        <v>0</v>
      </c>
      <c r="AA64" s="65"/>
      <c r="AB64" s="803" t="s">
        <v>1953</v>
      </c>
      <c r="AC64" s="73">
        <f t="shared" si="61"/>
        <v>0</v>
      </c>
      <c r="AD64" s="65"/>
      <c r="AE64" s="808" t="s">
        <v>1958</v>
      </c>
      <c r="AF64" s="73">
        <f t="shared" si="61"/>
        <v>0</v>
      </c>
      <c r="AG64" s="65"/>
      <c r="AH64" s="74" t="s">
        <v>1955</v>
      </c>
      <c r="AI64" s="73">
        <f t="shared" si="61"/>
        <v>0</v>
      </c>
      <c r="AJ64" s="65"/>
      <c r="AK64" s="813" t="s">
        <v>1953</v>
      </c>
      <c r="AL64" s="73">
        <f t="shared" si="61"/>
        <v>0</v>
      </c>
      <c r="AM64" s="65"/>
      <c r="AN64" s="818" t="s">
        <v>1953</v>
      </c>
      <c r="AO64" s="73">
        <f t="shared" si="61"/>
        <v>0</v>
      </c>
      <c r="AP64" s="65"/>
      <c r="AQ64" s="823" t="s">
        <v>1948</v>
      </c>
      <c r="AR64" s="73">
        <f t="shared" si="61"/>
        <v>0</v>
      </c>
      <c r="AS64" s="65"/>
      <c r="AT64" s="828" t="s">
        <v>1948</v>
      </c>
      <c r="AU64" s="73">
        <f t="shared" si="61"/>
        <v>0</v>
      </c>
      <c r="AV64" s="65"/>
      <c r="AW64" s="832" t="s">
        <v>1953</v>
      </c>
      <c r="AX64" s="73">
        <f t="shared" si="61"/>
        <v>0</v>
      </c>
      <c r="AY64" s="65"/>
      <c r="AZ64" s="838" t="s">
        <v>1948</v>
      </c>
      <c r="BA64" s="73">
        <f t="shared" si="61"/>
        <v>0</v>
      </c>
      <c r="BB64" s="65"/>
      <c r="BC64" s="845" t="s">
        <v>1948</v>
      </c>
      <c r="BD64" s="73">
        <f t="shared" si="61"/>
        <v>0</v>
      </c>
      <c r="BE64" s="65"/>
      <c r="BF64" s="849" t="s">
        <v>1965</v>
      </c>
      <c r="BG64" s="73">
        <f t="shared" si="61"/>
        <v>0</v>
      </c>
      <c r="BH64" s="65"/>
      <c r="BI64" s="859" t="s">
        <v>1953</v>
      </c>
      <c r="BJ64" s="73">
        <f t="shared" si="61"/>
        <v>0</v>
      </c>
      <c r="BK64" s="65"/>
      <c r="BL64" s="864" t="s">
        <v>1965</v>
      </c>
      <c r="BM64" s="73">
        <f t="shared" si="61"/>
        <v>0</v>
      </c>
      <c r="BN64" s="65"/>
      <c r="BO64" s="869" t="s">
        <v>1953</v>
      </c>
      <c r="BP64" s="73">
        <f t="shared" si="61"/>
        <v>0</v>
      </c>
      <c r="BQ64" s="65"/>
      <c r="BR64" s="838" t="s">
        <v>1948</v>
      </c>
      <c r="BS64" s="73">
        <f t="shared" si="61"/>
        <v>0</v>
      </c>
      <c r="BT64" s="65"/>
      <c r="BU64" s="873" t="s">
        <v>1948</v>
      </c>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4">
        <f t="shared" si="47"/>
        <v>6</v>
      </c>
      <c r="G65" s="444">
        <f ca="1">VLOOKUP(H65,Equipos!$Q$1:$R$25,2,0)</f>
        <v>15</v>
      </c>
      <c r="H65" s="445">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854" t="s">
        <v>1961</v>
      </c>
      <c r="T65" s="73">
        <f t="shared" si="48"/>
        <v>0</v>
      </c>
      <c r="U65" s="65"/>
      <c r="V65" s="793" t="s">
        <v>1951</v>
      </c>
      <c r="W65" s="73">
        <f t="shared" si="58"/>
        <v>0</v>
      </c>
      <c r="X65" s="65"/>
      <c r="Y65" s="798" t="s">
        <v>1951</v>
      </c>
      <c r="Z65" s="73">
        <f t="shared" si="61"/>
        <v>0</v>
      </c>
      <c r="AA65" s="65"/>
      <c r="AB65" s="803" t="s">
        <v>1961</v>
      </c>
      <c r="AC65" s="73">
        <f t="shared" si="61"/>
        <v>0</v>
      </c>
      <c r="AD65" s="65"/>
      <c r="AE65" s="808" t="s">
        <v>1961</v>
      </c>
      <c r="AF65" s="73">
        <f t="shared" si="61"/>
        <v>0</v>
      </c>
      <c r="AG65" s="65"/>
      <c r="AH65" s="74" t="s">
        <v>1951</v>
      </c>
      <c r="AI65" s="73">
        <f t="shared" si="61"/>
        <v>0</v>
      </c>
      <c r="AJ65" s="65"/>
      <c r="AK65" s="813" t="s">
        <v>1951</v>
      </c>
      <c r="AL65" s="73">
        <f t="shared" si="61"/>
        <v>0</v>
      </c>
      <c r="AM65" s="65"/>
      <c r="AN65" s="818" t="s">
        <v>1960</v>
      </c>
      <c r="AO65" s="73">
        <f t="shared" si="61"/>
        <v>0</v>
      </c>
      <c r="AP65" s="65"/>
      <c r="AQ65" s="823" t="s">
        <v>1967</v>
      </c>
      <c r="AR65" s="73">
        <f t="shared" si="61"/>
        <v>0</v>
      </c>
      <c r="AS65" s="65"/>
      <c r="AT65" s="828" t="s">
        <v>1960</v>
      </c>
      <c r="AU65" s="73">
        <f t="shared" si="61"/>
        <v>0</v>
      </c>
      <c r="AV65" s="65"/>
      <c r="AW65" s="832" t="s">
        <v>1960</v>
      </c>
      <c r="AX65" s="73">
        <f t="shared" si="61"/>
        <v>0</v>
      </c>
      <c r="AY65" s="65"/>
      <c r="AZ65" s="838" t="s">
        <v>1951</v>
      </c>
      <c r="BA65" s="73">
        <f t="shared" si="61"/>
        <v>0</v>
      </c>
      <c r="BB65" s="65"/>
      <c r="BC65" s="845" t="s">
        <v>1948</v>
      </c>
      <c r="BD65" s="73">
        <f t="shared" si="61"/>
        <v>0</v>
      </c>
      <c r="BE65" s="65"/>
      <c r="BF65" s="849" t="s">
        <v>2309</v>
      </c>
      <c r="BG65" s="73">
        <f t="shared" si="61"/>
        <v>0</v>
      </c>
      <c r="BH65" s="65"/>
      <c r="BI65" s="859" t="s">
        <v>1960</v>
      </c>
      <c r="BJ65" s="73">
        <f t="shared" si="61"/>
        <v>0</v>
      </c>
      <c r="BK65" s="65"/>
      <c r="BL65" s="864" t="s">
        <v>1951</v>
      </c>
      <c r="BM65" s="73">
        <f t="shared" si="61"/>
        <v>0</v>
      </c>
      <c r="BN65" s="65"/>
      <c r="BO65" s="869" t="s">
        <v>1960</v>
      </c>
      <c r="BP65" s="73">
        <f t="shared" si="61"/>
        <v>0</v>
      </c>
      <c r="BQ65" s="65"/>
      <c r="BR65" s="838" t="s">
        <v>1951</v>
      </c>
      <c r="BS65" s="73">
        <f t="shared" si="61"/>
        <v>0</v>
      </c>
      <c r="BT65" s="65"/>
      <c r="BU65" s="873" t="s">
        <v>1960</v>
      </c>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4">
        <f t="shared" si="47"/>
        <v>6</v>
      </c>
      <c r="G66" s="444">
        <f ca="1">VLOOKUP(H66,Equipos!$Q$1:$R$25,2,0)</f>
        <v>16</v>
      </c>
      <c r="H66" s="445">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854" t="s">
        <v>1965</v>
      </c>
      <c r="T66" s="73">
        <f t="shared" si="48"/>
        <v>0</v>
      </c>
      <c r="U66" s="65"/>
      <c r="V66" s="793" t="s">
        <v>1947</v>
      </c>
      <c r="W66" s="73">
        <f t="shared" si="58"/>
        <v>0</v>
      </c>
      <c r="X66" s="65"/>
      <c r="Y66" s="798" t="s">
        <v>1948</v>
      </c>
      <c r="Z66" s="73">
        <f t="shared" si="61"/>
        <v>0</v>
      </c>
      <c r="AA66" s="65"/>
      <c r="AB66" s="803" t="s">
        <v>1962</v>
      </c>
      <c r="AC66" s="73">
        <f t="shared" si="61"/>
        <v>0</v>
      </c>
      <c r="AD66" s="65"/>
      <c r="AE66" s="808" t="s">
        <v>1962</v>
      </c>
      <c r="AF66" s="73">
        <f t="shared" si="61"/>
        <v>0</v>
      </c>
      <c r="AG66" s="65"/>
      <c r="AH66" s="74" t="s">
        <v>1948</v>
      </c>
      <c r="AI66" s="73">
        <f t="shared" si="61"/>
        <v>0</v>
      </c>
      <c r="AJ66" s="65"/>
      <c r="AK66" s="813" t="s">
        <v>1948</v>
      </c>
      <c r="AL66" s="73">
        <f t="shared" si="61"/>
        <v>0</v>
      </c>
      <c r="AM66" s="65"/>
      <c r="AN66" s="818" t="s">
        <v>1949</v>
      </c>
      <c r="AO66" s="73">
        <f t="shared" si="61"/>
        <v>0</v>
      </c>
      <c r="AP66" s="65"/>
      <c r="AQ66" s="823" t="s">
        <v>1949</v>
      </c>
      <c r="AR66" s="73">
        <f t="shared" si="61"/>
        <v>0</v>
      </c>
      <c r="AS66" s="65"/>
      <c r="AT66" s="828" t="s">
        <v>1958</v>
      </c>
      <c r="AU66" s="73">
        <f t="shared" si="61"/>
        <v>0</v>
      </c>
      <c r="AV66" s="65"/>
      <c r="AW66" s="832" t="s">
        <v>1965</v>
      </c>
      <c r="AX66" s="73">
        <f t="shared" si="61"/>
        <v>0</v>
      </c>
      <c r="AY66" s="65"/>
      <c r="AZ66" s="838" t="s">
        <v>1962</v>
      </c>
      <c r="BA66" s="73">
        <f t="shared" si="61"/>
        <v>0</v>
      </c>
      <c r="BB66" s="65"/>
      <c r="BC66" s="845" t="s">
        <v>1948</v>
      </c>
      <c r="BD66" s="73">
        <f t="shared" si="61"/>
        <v>0</v>
      </c>
      <c r="BE66" s="65"/>
      <c r="BF66" s="849" t="s">
        <v>1948</v>
      </c>
      <c r="BG66" s="73">
        <f t="shared" si="61"/>
        <v>0</v>
      </c>
      <c r="BH66" s="65"/>
      <c r="BI66" s="859" t="s">
        <v>1965</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864" t="s">
        <v>1947</v>
      </c>
      <c r="BM66" s="73">
        <f t="shared" si="62"/>
        <v>0</v>
      </c>
      <c r="BN66" s="65"/>
      <c r="BO66" s="869" t="s">
        <v>1949</v>
      </c>
      <c r="BP66" s="73">
        <f t="shared" si="62"/>
        <v>0</v>
      </c>
      <c r="BQ66" s="65"/>
      <c r="BR66" s="838" t="s">
        <v>1953</v>
      </c>
      <c r="BS66" s="73">
        <f t="shared" si="62"/>
        <v>0</v>
      </c>
      <c r="BT66" s="65"/>
      <c r="BU66" s="873" t="s">
        <v>1948</v>
      </c>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4">
        <f t="shared" si="47"/>
        <v>6</v>
      </c>
      <c r="G67" s="444">
        <f ca="1">VLOOKUP(H67,Equipos!$Q$1:$R$25,2,0)</f>
        <v>16</v>
      </c>
      <c r="H67" s="445">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854" t="s">
        <v>1948</v>
      </c>
      <c r="T67" s="73">
        <f t="shared" si="48"/>
        <v>0</v>
      </c>
      <c r="U67" s="65"/>
      <c r="V67" s="793" t="s">
        <v>1957</v>
      </c>
      <c r="W67" s="73">
        <f t="shared" si="58"/>
        <v>0</v>
      </c>
      <c r="X67" s="65"/>
      <c r="Y67" s="798" t="s">
        <v>1948</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803" t="s">
        <v>1955</v>
      </c>
      <c r="AC67" s="73">
        <f t="shared" si="63"/>
        <v>0</v>
      </c>
      <c r="AD67" s="65"/>
      <c r="AE67" s="808" t="s">
        <v>1967</v>
      </c>
      <c r="AF67" s="73">
        <f t="shared" si="63"/>
        <v>0</v>
      </c>
      <c r="AG67" s="65"/>
      <c r="AH67" s="74" t="s">
        <v>1951</v>
      </c>
      <c r="AI67" s="73">
        <f t="shared" si="63"/>
        <v>0</v>
      </c>
      <c r="AJ67" s="65"/>
      <c r="AK67" s="813" t="s">
        <v>1951</v>
      </c>
      <c r="AL67" s="73">
        <f t="shared" si="63"/>
        <v>0</v>
      </c>
      <c r="AM67" s="65"/>
      <c r="AN67" s="818" t="s">
        <v>1951</v>
      </c>
      <c r="AO67" s="73">
        <f t="shared" si="63"/>
        <v>0</v>
      </c>
      <c r="AP67" s="65"/>
      <c r="AQ67" s="823" t="s">
        <v>1960</v>
      </c>
      <c r="AR67" s="73">
        <f t="shared" si="63"/>
        <v>0</v>
      </c>
      <c r="AS67" s="65"/>
      <c r="AT67" s="828" t="s">
        <v>1959</v>
      </c>
      <c r="AU67" s="73">
        <f t="shared" si="63"/>
        <v>0</v>
      </c>
      <c r="AV67" s="65"/>
      <c r="AW67" s="832" t="s">
        <v>1951</v>
      </c>
      <c r="AX67" s="73">
        <f t="shared" si="63"/>
        <v>0</v>
      </c>
      <c r="AY67" s="65"/>
      <c r="AZ67" s="838" t="s">
        <v>1951</v>
      </c>
      <c r="BA67" s="73">
        <f t="shared" si="63"/>
        <v>0</v>
      </c>
      <c r="BB67" s="65"/>
      <c r="BC67" s="845" t="s">
        <v>1967</v>
      </c>
      <c r="BD67" s="73">
        <f t="shared" si="63"/>
        <v>0</v>
      </c>
      <c r="BE67" s="65"/>
      <c r="BF67" s="849" t="s">
        <v>1960</v>
      </c>
      <c r="BG67" s="73">
        <f t="shared" si="63"/>
        <v>0</v>
      </c>
      <c r="BH67" s="65"/>
      <c r="BI67" s="859" t="s">
        <v>1951</v>
      </c>
      <c r="BJ67" s="73">
        <f t="shared" si="63"/>
        <v>0</v>
      </c>
      <c r="BK67" s="65"/>
      <c r="BL67" s="864" t="s">
        <v>1948</v>
      </c>
      <c r="BM67" s="73">
        <f t="shared" si="63"/>
        <v>0</v>
      </c>
      <c r="BN67" s="65"/>
      <c r="BO67" s="869" t="s">
        <v>2043</v>
      </c>
      <c r="BP67" s="73">
        <f t="shared" si="63"/>
        <v>0</v>
      </c>
      <c r="BQ67" s="65"/>
      <c r="BR67" s="838" t="s">
        <v>1951</v>
      </c>
      <c r="BS67" s="73">
        <f t="shared" si="63"/>
        <v>0</v>
      </c>
      <c r="BT67" s="65"/>
      <c r="BU67" s="873" t="s">
        <v>1951</v>
      </c>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4">
        <f t="shared" si="47"/>
        <v>6</v>
      </c>
      <c r="G68" s="444">
        <f ca="1">VLOOKUP(H68,Equipos!$Q$1:$R$25,2,0)</f>
        <v>16</v>
      </c>
      <c r="H68" s="445">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854" t="s">
        <v>1965</v>
      </c>
      <c r="T68" s="73">
        <f t="shared" si="48"/>
        <v>0</v>
      </c>
      <c r="U68" s="65"/>
      <c r="V68" s="793" t="s">
        <v>1955</v>
      </c>
      <c r="W68" s="73">
        <f t="shared" si="58"/>
        <v>0</v>
      </c>
      <c r="X68" s="65"/>
      <c r="Y68" s="798" t="s">
        <v>1947</v>
      </c>
      <c r="Z68" s="73">
        <f t="shared" si="63"/>
        <v>0</v>
      </c>
      <c r="AA68" s="65"/>
      <c r="AB68" s="803" t="s">
        <v>1961</v>
      </c>
      <c r="AC68" s="73">
        <f t="shared" si="63"/>
        <v>0</v>
      </c>
      <c r="AD68" s="65"/>
      <c r="AE68" s="808" t="s">
        <v>1955</v>
      </c>
      <c r="AF68" s="73">
        <f t="shared" si="63"/>
        <v>0</v>
      </c>
      <c r="AG68" s="65"/>
      <c r="AH68" s="74" t="s">
        <v>1951</v>
      </c>
      <c r="AI68" s="73">
        <f t="shared" si="63"/>
        <v>0</v>
      </c>
      <c r="AJ68" s="65"/>
      <c r="AK68" s="813" t="s">
        <v>1961</v>
      </c>
      <c r="AL68" s="73">
        <f t="shared" si="63"/>
        <v>0</v>
      </c>
      <c r="AM68" s="65"/>
      <c r="AN68" s="818" t="s">
        <v>1961</v>
      </c>
      <c r="AO68" s="73">
        <f t="shared" si="63"/>
        <v>0</v>
      </c>
      <c r="AP68" s="65"/>
      <c r="AQ68" s="823" t="s">
        <v>1961</v>
      </c>
      <c r="AR68" s="73">
        <f t="shared" si="63"/>
        <v>0</v>
      </c>
      <c r="AS68" s="65"/>
      <c r="AT68" s="828" t="s">
        <v>1948</v>
      </c>
      <c r="AU68" s="73">
        <f t="shared" si="63"/>
        <v>0</v>
      </c>
      <c r="AV68" s="65"/>
      <c r="AW68" s="832" t="s">
        <v>1965</v>
      </c>
      <c r="AX68" s="73">
        <f t="shared" si="63"/>
        <v>0</v>
      </c>
      <c r="AY68" s="65"/>
      <c r="AZ68" s="838" t="s">
        <v>1951</v>
      </c>
      <c r="BA68" s="73">
        <f t="shared" si="63"/>
        <v>0</v>
      </c>
      <c r="BB68" s="65"/>
      <c r="BC68" s="845" t="s">
        <v>1961</v>
      </c>
      <c r="BD68" s="73">
        <f t="shared" si="63"/>
        <v>0</v>
      </c>
      <c r="BE68" s="65"/>
      <c r="BF68" s="849" t="s">
        <v>1955</v>
      </c>
      <c r="BG68" s="73">
        <f t="shared" si="63"/>
        <v>0</v>
      </c>
      <c r="BH68" s="65"/>
      <c r="BI68" s="859" t="s">
        <v>1961</v>
      </c>
      <c r="BJ68" s="73">
        <f t="shared" si="63"/>
        <v>0</v>
      </c>
      <c r="BK68" s="65"/>
      <c r="BL68" s="864" t="s">
        <v>1948</v>
      </c>
      <c r="BM68" s="73">
        <f t="shared" si="63"/>
        <v>0</v>
      </c>
      <c r="BN68" s="65"/>
      <c r="BO68" s="869" t="s">
        <v>1967</v>
      </c>
      <c r="BP68" s="73">
        <f t="shared" si="63"/>
        <v>0</v>
      </c>
      <c r="BQ68" s="65"/>
      <c r="BR68" s="838" t="s">
        <v>1948</v>
      </c>
      <c r="BS68" s="73">
        <f t="shared" si="63"/>
        <v>0</v>
      </c>
      <c r="BT68" s="65"/>
      <c r="BU68" s="873" t="s">
        <v>1955</v>
      </c>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4">
        <f t="shared" si="47"/>
        <v>6</v>
      </c>
      <c r="G69" s="444">
        <f ca="1">VLOOKUP(H69,Equipos!$Q$1:$R$25,2,0)</f>
        <v>16</v>
      </c>
      <c r="H69" s="445">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854" t="s">
        <v>1955</v>
      </c>
      <c r="T69" s="73">
        <f t="shared" si="48"/>
        <v>0</v>
      </c>
      <c r="U69" s="65"/>
      <c r="V69" s="793" t="s">
        <v>1957</v>
      </c>
      <c r="W69" s="73">
        <f t="shared" si="58"/>
        <v>0</v>
      </c>
      <c r="X69" s="65"/>
      <c r="Y69" s="798" t="s">
        <v>1961</v>
      </c>
      <c r="Z69" s="73">
        <f t="shared" si="63"/>
        <v>0</v>
      </c>
      <c r="AA69" s="65"/>
      <c r="AB69" s="803" t="s">
        <v>1967</v>
      </c>
      <c r="AC69" s="73">
        <f t="shared" si="63"/>
        <v>0</v>
      </c>
      <c r="AD69" s="65"/>
      <c r="AE69" s="808" t="s">
        <v>1948</v>
      </c>
      <c r="AF69" s="73">
        <f t="shared" si="63"/>
        <v>0</v>
      </c>
      <c r="AG69" s="65"/>
      <c r="AH69" s="74" t="s">
        <v>1967</v>
      </c>
      <c r="AI69" s="73">
        <f t="shared" si="63"/>
        <v>0</v>
      </c>
      <c r="AJ69" s="65"/>
      <c r="AK69" s="813" t="s">
        <v>1955</v>
      </c>
      <c r="AL69" s="73">
        <f t="shared" si="63"/>
        <v>0</v>
      </c>
      <c r="AM69" s="65"/>
      <c r="AN69" s="818" t="s">
        <v>1955</v>
      </c>
      <c r="AO69" s="73">
        <f t="shared" si="63"/>
        <v>0</v>
      </c>
      <c r="AP69" s="65"/>
      <c r="AQ69" s="823" t="s">
        <v>1955</v>
      </c>
      <c r="AR69" s="73">
        <f t="shared" si="63"/>
        <v>0</v>
      </c>
      <c r="AS69" s="65"/>
      <c r="AT69" s="828" t="s">
        <v>1955</v>
      </c>
      <c r="AU69" s="73">
        <f t="shared" si="63"/>
        <v>0</v>
      </c>
      <c r="AV69" s="65"/>
      <c r="AW69" s="832" t="s">
        <v>1958</v>
      </c>
      <c r="AX69" s="73">
        <f t="shared" si="63"/>
        <v>0</v>
      </c>
      <c r="AY69" s="65"/>
      <c r="AZ69" s="838" t="s">
        <v>1958</v>
      </c>
      <c r="BA69" s="73">
        <f t="shared" si="63"/>
        <v>0</v>
      </c>
      <c r="BB69" s="65"/>
      <c r="BC69" s="845" t="s">
        <v>1953</v>
      </c>
      <c r="BD69" s="73">
        <f t="shared" si="63"/>
        <v>0</v>
      </c>
      <c r="BE69" s="65"/>
      <c r="BF69" s="849" t="s">
        <v>1955</v>
      </c>
      <c r="BG69" s="73">
        <f t="shared" si="63"/>
        <v>0</v>
      </c>
      <c r="BH69" s="65"/>
      <c r="BI69" s="859" t="s">
        <v>1955</v>
      </c>
      <c r="BJ69" s="73">
        <f t="shared" si="63"/>
        <v>0</v>
      </c>
      <c r="BK69" s="65"/>
      <c r="BL69" s="864" t="s">
        <v>1958</v>
      </c>
      <c r="BM69" s="73">
        <f t="shared" si="63"/>
        <v>0</v>
      </c>
      <c r="BN69" s="65"/>
      <c r="BO69" s="869" t="s">
        <v>1951</v>
      </c>
      <c r="BP69" s="73">
        <f t="shared" si="63"/>
        <v>0</v>
      </c>
      <c r="BQ69" s="65"/>
      <c r="BR69" s="838" t="s">
        <v>1951</v>
      </c>
      <c r="BS69" s="73">
        <f t="shared" si="63"/>
        <v>0</v>
      </c>
      <c r="BT69" s="65"/>
      <c r="BU69" s="873" t="s">
        <v>1958</v>
      </c>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4">
        <f t="shared" si="47"/>
        <v>6</v>
      </c>
      <c r="G70" s="444">
        <f ca="1">VLOOKUP(H70,Equipos!$Q$1:$R$25,2,0)</f>
        <v>16</v>
      </c>
      <c r="H70" s="445">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854" t="s">
        <v>1955</v>
      </c>
      <c r="T70" s="73">
        <f t="shared" si="48"/>
        <v>0</v>
      </c>
      <c r="U70" s="65"/>
      <c r="V70" s="793" t="s">
        <v>1967</v>
      </c>
      <c r="W70" s="73">
        <f t="shared" si="58"/>
        <v>0</v>
      </c>
      <c r="X70" s="65"/>
      <c r="Y70" s="798" t="s">
        <v>1948</v>
      </c>
      <c r="Z70" s="73">
        <f t="shared" si="63"/>
        <v>0</v>
      </c>
      <c r="AA70" s="65"/>
      <c r="AB70" s="803" t="s">
        <v>1948</v>
      </c>
      <c r="AC70" s="73">
        <f t="shared" si="63"/>
        <v>0</v>
      </c>
      <c r="AD70" s="65"/>
      <c r="AE70" s="808" t="s">
        <v>1955</v>
      </c>
      <c r="AF70" s="73">
        <f t="shared" si="63"/>
        <v>0</v>
      </c>
      <c r="AG70" s="65"/>
      <c r="AH70" s="74" t="s">
        <v>1955</v>
      </c>
      <c r="AI70" s="73">
        <f t="shared" si="63"/>
        <v>0</v>
      </c>
      <c r="AJ70" s="65"/>
      <c r="AK70" s="813" t="s">
        <v>1955</v>
      </c>
      <c r="AL70" s="73">
        <f t="shared" si="63"/>
        <v>0</v>
      </c>
      <c r="AM70" s="65"/>
      <c r="AN70" s="818" t="s">
        <v>1955</v>
      </c>
      <c r="AO70" s="73">
        <f t="shared" si="63"/>
        <v>0</v>
      </c>
      <c r="AP70" s="65"/>
      <c r="AQ70" s="823" t="s">
        <v>1961</v>
      </c>
      <c r="AR70" s="73">
        <f t="shared" si="63"/>
        <v>0</v>
      </c>
      <c r="AS70" s="65"/>
      <c r="AT70" s="828" t="s">
        <v>1955</v>
      </c>
      <c r="AU70" s="73">
        <f t="shared" si="63"/>
        <v>0</v>
      </c>
      <c r="AV70" s="65"/>
      <c r="AW70" s="832" t="s">
        <v>1960</v>
      </c>
      <c r="AX70" s="73">
        <f t="shared" si="63"/>
        <v>0</v>
      </c>
      <c r="AY70" s="65"/>
      <c r="AZ70" s="838" t="s">
        <v>1955</v>
      </c>
      <c r="BA70" s="73">
        <f t="shared" si="63"/>
        <v>0</v>
      </c>
      <c r="BB70" s="65"/>
      <c r="BC70" s="845" t="s">
        <v>1958</v>
      </c>
      <c r="BD70" s="73">
        <f t="shared" si="63"/>
        <v>0</v>
      </c>
      <c r="BE70" s="65"/>
      <c r="BF70" s="849" t="s">
        <v>1948</v>
      </c>
      <c r="BG70" s="73">
        <f t="shared" si="63"/>
        <v>0</v>
      </c>
      <c r="BH70" s="65"/>
      <c r="BI70" s="859" t="s">
        <v>1952</v>
      </c>
      <c r="BJ70" s="73">
        <f t="shared" si="63"/>
        <v>0</v>
      </c>
      <c r="BK70" s="65"/>
      <c r="BL70" s="864" t="s">
        <v>1967</v>
      </c>
      <c r="BM70" s="73">
        <f t="shared" si="63"/>
        <v>0</v>
      </c>
      <c r="BN70" s="65"/>
      <c r="BO70" s="869" t="s">
        <v>1951</v>
      </c>
      <c r="BP70" s="73">
        <f t="shared" si="63"/>
        <v>0</v>
      </c>
      <c r="BQ70" s="65"/>
      <c r="BR70" s="838" t="s">
        <v>1952</v>
      </c>
      <c r="BS70" s="73">
        <f t="shared" si="63"/>
        <v>0</v>
      </c>
      <c r="BT70" s="65"/>
      <c r="BU70" s="873" t="s">
        <v>1958</v>
      </c>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4">
        <f t="shared" ref="F71:F77" si="64">SUM($D$8:$D$10)*I71</f>
        <v>6</v>
      </c>
      <c r="G71" s="444">
        <f ca="1">VLOOKUP(H71,Equipos!$Q$1:$R$25,2,0)</f>
        <v>16</v>
      </c>
      <c r="H71" s="445">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854" t="s">
        <v>1948</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93" t="s">
        <v>1948</v>
      </c>
      <c r="W71" s="73">
        <f t="shared" si="58"/>
        <v>0</v>
      </c>
      <c r="X71" s="65"/>
      <c r="Y71" s="798" t="s">
        <v>1953</v>
      </c>
      <c r="Z71" s="73">
        <f t="shared" si="63"/>
        <v>0</v>
      </c>
      <c r="AA71" s="65"/>
      <c r="AB71" s="803" t="s">
        <v>1962</v>
      </c>
      <c r="AC71" s="73">
        <f t="shared" si="63"/>
        <v>0</v>
      </c>
      <c r="AD71" s="65"/>
      <c r="AE71" s="808" t="s">
        <v>1962</v>
      </c>
      <c r="AF71" s="73">
        <f t="shared" si="63"/>
        <v>0</v>
      </c>
      <c r="AG71" s="65"/>
      <c r="AH71" s="74" t="s">
        <v>1962</v>
      </c>
      <c r="AI71" s="73">
        <f t="shared" si="63"/>
        <v>0</v>
      </c>
      <c r="AJ71" s="65"/>
      <c r="AK71" s="813" t="s">
        <v>1962</v>
      </c>
      <c r="AL71" s="73">
        <f t="shared" si="63"/>
        <v>0</v>
      </c>
      <c r="AM71" s="65"/>
      <c r="AN71" s="818" t="s">
        <v>1962</v>
      </c>
      <c r="AO71" s="73">
        <f t="shared" si="63"/>
        <v>0</v>
      </c>
      <c r="AP71" s="65"/>
      <c r="AQ71" s="823" t="s">
        <v>1962</v>
      </c>
      <c r="AR71" s="73">
        <f t="shared" si="63"/>
        <v>0</v>
      </c>
      <c r="AS71" s="65"/>
      <c r="AT71" s="828" t="s">
        <v>1962</v>
      </c>
      <c r="AU71" s="73">
        <f t="shared" si="63"/>
        <v>0</v>
      </c>
      <c r="AV71" s="65"/>
      <c r="AW71" s="832" t="s">
        <v>2043</v>
      </c>
      <c r="AX71" s="73">
        <f t="shared" si="63"/>
        <v>0</v>
      </c>
      <c r="AY71" s="65"/>
      <c r="AZ71" s="838" t="s">
        <v>1949</v>
      </c>
      <c r="BA71" s="73">
        <f t="shared" si="63"/>
        <v>0</v>
      </c>
      <c r="BB71" s="65"/>
      <c r="BC71" s="845" t="s">
        <v>1953</v>
      </c>
      <c r="BD71" s="73">
        <f t="shared" si="63"/>
        <v>0</v>
      </c>
      <c r="BE71" s="65"/>
      <c r="BF71" s="849" t="s">
        <v>1963</v>
      </c>
      <c r="BG71" s="73">
        <f t="shared" si="63"/>
        <v>0</v>
      </c>
      <c r="BH71" s="65"/>
      <c r="BI71" s="859" t="s">
        <v>1962</v>
      </c>
      <c r="BJ71" s="73">
        <f t="shared" si="63"/>
        <v>0</v>
      </c>
      <c r="BK71" s="65"/>
      <c r="BL71" s="864" t="s">
        <v>1962</v>
      </c>
      <c r="BM71" s="73">
        <f t="shared" si="63"/>
        <v>0</v>
      </c>
      <c r="BN71" s="65"/>
      <c r="BO71" s="869" t="s">
        <v>1963</v>
      </c>
      <c r="BP71" s="73">
        <f t="shared" si="63"/>
        <v>0</v>
      </c>
      <c r="BQ71" s="65"/>
      <c r="BR71" s="838" t="s">
        <v>1962</v>
      </c>
      <c r="BS71" s="73">
        <f t="shared" si="63"/>
        <v>0</v>
      </c>
      <c r="BT71" s="65"/>
      <c r="BU71" s="873" t="s">
        <v>1962</v>
      </c>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4">
        <f t="shared" si="64"/>
        <v>6</v>
      </c>
      <c r="G72" s="444">
        <f ca="1">VLOOKUP(H72,Equipos!$Q$1:$R$25,2,0)</f>
        <v>17</v>
      </c>
      <c r="H72" s="445">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854" t="s">
        <v>1961</v>
      </c>
      <c r="T72" s="73">
        <f t="shared" si="66"/>
        <v>0</v>
      </c>
      <c r="U72" s="65"/>
      <c r="V72" s="793" t="s">
        <v>1951</v>
      </c>
      <c r="W72" s="73">
        <f t="shared" si="58"/>
        <v>0</v>
      </c>
      <c r="X72" s="65"/>
      <c r="Y72" s="798" t="s">
        <v>1948</v>
      </c>
      <c r="Z72" s="73">
        <f t="shared" si="63"/>
        <v>0</v>
      </c>
      <c r="AA72" s="65"/>
      <c r="AB72" s="803" t="s">
        <v>1949</v>
      </c>
      <c r="AC72" s="73">
        <f t="shared" si="63"/>
        <v>0</v>
      </c>
      <c r="AD72" s="65"/>
      <c r="AE72" s="808" t="s">
        <v>1948</v>
      </c>
      <c r="AF72" s="73">
        <f t="shared" si="63"/>
        <v>0</v>
      </c>
      <c r="AG72" s="65"/>
      <c r="AH72" s="74" t="s">
        <v>1955</v>
      </c>
      <c r="AI72" s="73">
        <f t="shared" si="63"/>
        <v>0</v>
      </c>
      <c r="AJ72" s="65"/>
      <c r="AK72" s="813" t="s">
        <v>1961</v>
      </c>
      <c r="AL72" s="73">
        <f t="shared" si="63"/>
        <v>0</v>
      </c>
      <c r="AM72" s="65"/>
      <c r="AN72" s="818" t="s">
        <v>1961</v>
      </c>
      <c r="AO72" s="73">
        <f t="shared" si="63"/>
        <v>0</v>
      </c>
      <c r="AP72" s="65"/>
      <c r="AQ72" s="823" t="s">
        <v>1961</v>
      </c>
      <c r="AR72" s="73">
        <f t="shared" si="63"/>
        <v>0</v>
      </c>
      <c r="AS72" s="65"/>
      <c r="AT72" s="828" t="s">
        <v>1948</v>
      </c>
      <c r="AU72" s="73">
        <f t="shared" si="63"/>
        <v>0</v>
      </c>
      <c r="AV72" s="65"/>
      <c r="AW72" s="832" t="s">
        <v>1953</v>
      </c>
      <c r="AX72" s="73">
        <f t="shared" si="63"/>
        <v>0</v>
      </c>
      <c r="AY72" s="65"/>
      <c r="AZ72" s="838" t="s">
        <v>1962</v>
      </c>
      <c r="BA72" s="73">
        <f t="shared" si="63"/>
        <v>0</v>
      </c>
      <c r="BB72" s="65"/>
      <c r="BC72" s="845" t="s">
        <v>1953</v>
      </c>
      <c r="BD72" s="73">
        <f t="shared" si="63"/>
        <v>0</v>
      </c>
      <c r="BE72" s="65"/>
      <c r="BF72" s="849" t="s">
        <v>1949</v>
      </c>
      <c r="BG72" s="73">
        <f t="shared" si="63"/>
        <v>0</v>
      </c>
      <c r="BH72" s="65"/>
      <c r="BI72" s="859" t="s">
        <v>1965</v>
      </c>
      <c r="BJ72" s="73">
        <f t="shared" si="63"/>
        <v>0</v>
      </c>
      <c r="BK72" s="65"/>
      <c r="BL72" s="864" t="s">
        <v>1965</v>
      </c>
      <c r="BM72" s="73">
        <f t="shared" si="63"/>
        <v>0</v>
      </c>
      <c r="BN72" s="65"/>
      <c r="BO72" s="869" t="s">
        <v>1955</v>
      </c>
      <c r="BP72" s="73">
        <f t="shared" si="63"/>
        <v>0</v>
      </c>
      <c r="BQ72" s="65"/>
      <c r="BR72" s="838" t="s">
        <v>1961</v>
      </c>
      <c r="BS72" s="73">
        <f t="shared" si="63"/>
        <v>0</v>
      </c>
      <c r="BT72" s="65"/>
      <c r="BU72" s="873" t="s">
        <v>1955</v>
      </c>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4">
        <f t="shared" si="64"/>
        <v>6</v>
      </c>
      <c r="G73" s="444">
        <f ca="1">VLOOKUP(H73,Equipos!$Q$1:$R$25,2,0)</f>
        <v>17</v>
      </c>
      <c r="H73" s="445">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854" t="s">
        <v>1960</v>
      </c>
      <c r="T73" s="73">
        <f t="shared" si="66"/>
        <v>0</v>
      </c>
      <c r="U73" s="65"/>
      <c r="V73" s="793" t="s">
        <v>1964</v>
      </c>
      <c r="W73" s="73">
        <f t="shared" si="58"/>
        <v>0</v>
      </c>
      <c r="X73" s="65"/>
      <c r="Y73" s="798" t="s">
        <v>1967</v>
      </c>
      <c r="Z73" s="73">
        <f t="shared" si="63"/>
        <v>0</v>
      </c>
      <c r="AA73" s="65"/>
      <c r="AB73" s="803" t="s">
        <v>1959</v>
      </c>
      <c r="AC73" s="73">
        <f t="shared" si="63"/>
        <v>0</v>
      </c>
      <c r="AD73" s="65"/>
      <c r="AE73" s="808" t="s">
        <v>1955</v>
      </c>
      <c r="AF73" s="73">
        <f t="shared" si="63"/>
        <v>0</v>
      </c>
      <c r="AG73" s="65"/>
      <c r="AH73" s="74" t="s">
        <v>1960</v>
      </c>
      <c r="AI73" s="73">
        <f t="shared" si="63"/>
        <v>0</v>
      </c>
      <c r="AJ73" s="65"/>
      <c r="AK73" s="813" t="s">
        <v>1967</v>
      </c>
      <c r="AL73" s="73">
        <f t="shared" si="63"/>
        <v>0</v>
      </c>
      <c r="AM73" s="65"/>
      <c r="AN73" s="818" t="s">
        <v>1960</v>
      </c>
      <c r="AO73" s="73">
        <f t="shared" si="63"/>
        <v>0</v>
      </c>
      <c r="AP73" s="65"/>
      <c r="AQ73" s="823" t="s">
        <v>1960</v>
      </c>
      <c r="AR73" s="73">
        <f t="shared" si="63"/>
        <v>0</v>
      </c>
      <c r="AS73" s="65"/>
      <c r="AT73" s="828" t="s">
        <v>2043</v>
      </c>
      <c r="AU73" s="73">
        <f t="shared" si="63"/>
        <v>0</v>
      </c>
      <c r="AV73" s="65"/>
      <c r="AW73" s="832" t="s">
        <v>2043</v>
      </c>
      <c r="AX73" s="73">
        <f t="shared" si="63"/>
        <v>0</v>
      </c>
      <c r="AY73" s="65"/>
      <c r="AZ73" s="838" t="s">
        <v>1951</v>
      </c>
      <c r="BA73" s="73">
        <f t="shared" si="63"/>
        <v>0</v>
      </c>
      <c r="BB73" s="65"/>
      <c r="BC73" s="845" t="s">
        <v>1959</v>
      </c>
      <c r="BD73" s="73">
        <f t="shared" si="63"/>
        <v>0</v>
      </c>
      <c r="BE73" s="65"/>
      <c r="BF73" s="849" t="s">
        <v>1967</v>
      </c>
      <c r="BG73" s="73">
        <f t="shared" si="63"/>
        <v>0</v>
      </c>
      <c r="BH73" s="65"/>
      <c r="BI73" s="859" t="s">
        <v>1951</v>
      </c>
      <c r="BJ73" s="73">
        <f t="shared" si="63"/>
        <v>0</v>
      </c>
      <c r="BK73" s="65"/>
      <c r="BL73" s="864" t="s">
        <v>1951</v>
      </c>
      <c r="BM73" s="73">
        <f t="shared" si="63"/>
        <v>0</v>
      </c>
      <c r="BN73" s="65"/>
      <c r="BO73" s="869" t="s">
        <v>1960</v>
      </c>
      <c r="BP73" s="73">
        <f t="shared" si="63"/>
        <v>0</v>
      </c>
      <c r="BQ73" s="65"/>
      <c r="BR73" s="838" t="s">
        <v>1951</v>
      </c>
      <c r="BS73" s="73">
        <f t="shared" si="63"/>
        <v>0</v>
      </c>
      <c r="BT73" s="65"/>
      <c r="BU73" s="873" t="s">
        <v>1960</v>
      </c>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4">
        <f t="shared" si="64"/>
        <v>6</v>
      </c>
      <c r="G74" s="444">
        <f ca="1">VLOOKUP(H74,Equipos!$Q$1:$R$25,2,0)</f>
        <v>17</v>
      </c>
      <c r="H74" s="445">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854" t="s">
        <v>1955</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93" t="s">
        <v>1959</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98" t="s">
        <v>1961</v>
      </c>
      <c r="Z74" s="73">
        <f t="shared" si="63"/>
        <v>0</v>
      </c>
      <c r="AA74" s="65"/>
      <c r="AB74" s="803" t="s">
        <v>1955</v>
      </c>
      <c r="AC74" s="73">
        <f t="shared" si="63"/>
        <v>0</v>
      </c>
      <c r="AD74" s="65"/>
      <c r="AE74" s="808" t="s">
        <v>1955</v>
      </c>
      <c r="AF74" s="73">
        <f t="shared" si="63"/>
        <v>0</v>
      </c>
      <c r="AG74" s="65"/>
      <c r="AH74" s="74" t="s">
        <v>1955</v>
      </c>
      <c r="AI74" s="73">
        <f t="shared" si="63"/>
        <v>0</v>
      </c>
      <c r="AJ74" s="65"/>
      <c r="AK74" s="813" t="s">
        <v>1958</v>
      </c>
      <c r="AL74" s="73">
        <f t="shared" si="63"/>
        <v>0</v>
      </c>
      <c r="AM74" s="65"/>
      <c r="AN74" s="818" t="s">
        <v>1955</v>
      </c>
      <c r="AO74" s="73">
        <f t="shared" si="63"/>
        <v>0</v>
      </c>
      <c r="AP74" s="65"/>
      <c r="AQ74" s="823" t="s">
        <v>1955</v>
      </c>
      <c r="AR74" s="73">
        <f t="shared" si="63"/>
        <v>0</v>
      </c>
      <c r="AS74" s="65"/>
      <c r="AT74" s="828" t="s">
        <v>1955</v>
      </c>
      <c r="AU74" s="73">
        <f t="shared" si="63"/>
        <v>0</v>
      </c>
      <c r="AV74" s="65"/>
      <c r="AW74" s="832" t="s">
        <v>1948</v>
      </c>
      <c r="AX74" s="73">
        <f t="shared" si="63"/>
        <v>0</v>
      </c>
      <c r="AY74" s="65"/>
      <c r="AZ74" s="838" t="s">
        <v>1958</v>
      </c>
      <c r="BA74" s="73">
        <f t="shared" si="63"/>
        <v>0</v>
      </c>
      <c r="BB74" s="65"/>
      <c r="BC74" s="845" t="s">
        <v>1967</v>
      </c>
      <c r="BD74" s="73">
        <f t="shared" si="63"/>
        <v>0</v>
      </c>
      <c r="BE74" s="65"/>
      <c r="BF74" s="849" t="s">
        <v>1952</v>
      </c>
      <c r="BG74" s="73">
        <f t="shared" si="63"/>
        <v>0</v>
      </c>
      <c r="BH74" s="65"/>
      <c r="BI74" s="859" t="s">
        <v>1955</v>
      </c>
      <c r="BJ74" s="73">
        <f t="shared" si="63"/>
        <v>0</v>
      </c>
      <c r="BK74" s="65"/>
      <c r="BL74" s="864" t="s">
        <v>1952</v>
      </c>
      <c r="BM74" s="73">
        <f t="shared" si="63"/>
        <v>0</v>
      </c>
      <c r="BN74" s="65"/>
      <c r="BO74" s="869" t="s">
        <v>1948</v>
      </c>
      <c r="BP74" s="73">
        <f t="shared" si="63"/>
        <v>0</v>
      </c>
      <c r="BQ74" s="65"/>
      <c r="BR74" s="838" t="s">
        <v>1955</v>
      </c>
      <c r="BS74" s="73">
        <f t="shared" si="63"/>
        <v>0</v>
      </c>
      <c r="BT74" s="65"/>
      <c r="BU74" s="873" t="s">
        <v>1958</v>
      </c>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4">
        <f t="shared" si="64"/>
        <v>6</v>
      </c>
      <c r="G75" s="444">
        <f ca="1">VLOOKUP(H75,Equipos!$Q$1:$R$25,2,0)</f>
        <v>17</v>
      </c>
      <c r="H75" s="445">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854" t="s">
        <v>1948</v>
      </c>
      <c r="T75" s="73">
        <f t="shared" si="66"/>
        <v>0</v>
      </c>
      <c r="U75" s="65"/>
      <c r="V75" s="793" t="s">
        <v>1951</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98" t="s">
        <v>1949</v>
      </c>
      <c r="Z75" s="73">
        <f t="shared" si="63"/>
        <v>0</v>
      </c>
      <c r="AA75" s="65"/>
      <c r="AB75" s="803" t="s">
        <v>1951</v>
      </c>
      <c r="AC75" s="73">
        <f t="shared" si="63"/>
        <v>0</v>
      </c>
      <c r="AD75" s="65"/>
      <c r="AE75" s="808" t="s">
        <v>1965</v>
      </c>
      <c r="AF75" s="73">
        <f t="shared" si="63"/>
        <v>0</v>
      </c>
      <c r="AG75" s="65"/>
      <c r="AH75" s="74" t="s">
        <v>1948</v>
      </c>
      <c r="AI75" s="73">
        <f t="shared" si="63"/>
        <v>0</v>
      </c>
      <c r="AJ75" s="65"/>
      <c r="AK75" s="813" t="s">
        <v>1961</v>
      </c>
      <c r="AL75" s="73">
        <f t="shared" si="63"/>
        <v>0</v>
      </c>
      <c r="AM75" s="65"/>
      <c r="AN75" s="818" t="s">
        <v>1961</v>
      </c>
      <c r="AO75" s="73">
        <f t="shared" si="63"/>
        <v>0</v>
      </c>
      <c r="AP75" s="65"/>
      <c r="AQ75" s="823" t="s">
        <v>1949</v>
      </c>
      <c r="AR75" s="73">
        <f t="shared" si="63"/>
        <v>0</v>
      </c>
      <c r="AS75" s="65"/>
      <c r="AT75" s="828" t="s">
        <v>1948</v>
      </c>
      <c r="AU75" s="73">
        <f t="shared" si="63"/>
        <v>0</v>
      </c>
      <c r="AV75" s="65"/>
      <c r="AW75" s="832" t="s">
        <v>1949</v>
      </c>
      <c r="AX75" s="73">
        <f t="shared" si="63"/>
        <v>0</v>
      </c>
      <c r="AY75" s="65"/>
      <c r="AZ75" s="838" t="s">
        <v>1965</v>
      </c>
      <c r="BA75" s="73">
        <f t="shared" si="63"/>
        <v>0</v>
      </c>
      <c r="BB75" s="65"/>
      <c r="BC75" s="845" t="s">
        <v>1948</v>
      </c>
      <c r="BD75" s="73">
        <f t="shared" si="63"/>
        <v>0</v>
      </c>
      <c r="BE75" s="65"/>
      <c r="BF75" s="849" t="s">
        <v>1967</v>
      </c>
      <c r="BG75" s="73">
        <f t="shared" si="63"/>
        <v>0</v>
      </c>
      <c r="BH75" s="65"/>
      <c r="BI75" s="859" t="s">
        <v>1949</v>
      </c>
      <c r="BJ75" s="73">
        <f t="shared" si="63"/>
        <v>0</v>
      </c>
      <c r="BK75" s="65"/>
      <c r="BL75" s="864" t="s">
        <v>1949</v>
      </c>
      <c r="BM75" s="73">
        <f t="shared" si="63"/>
        <v>0</v>
      </c>
      <c r="BN75" s="65"/>
      <c r="BO75" s="869" t="s">
        <v>1953</v>
      </c>
      <c r="BP75" s="73">
        <f t="shared" si="63"/>
        <v>0</v>
      </c>
      <c r="BQ75" s="65"/>
      <c r="BR75" s="838" t="s">
        <v>1958</v>
      </c>
      <c r="BS75" s="73">
        <f t="shared" si="63"/>
        <v>0</v>
      </c>
      <c r="BT75" s="65"/>
      <c r="BU75" s="873" t="s">
        <v>1953</v>
      </c>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4">
        <f t="shared" si="64"/>
        <v>6</v>
      </c>
      <c r="G76" s="444">
        <f ca="1">VLOOKUP(H76,Equipos!$Q$1:$R$25,2,0)</f>
        <v>17</v>
      </c>
      <c r="H76" s="445">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854" t="s">
        <v>1961</v>
      </c>
      <c r="T76" s="73">
        <f t="shared" si="66"/>
        <v>0</v>
      </c>
      <c r="U76" s="65"/>
      <c r="V76" s="793" t="s">
        <v>1952</v>
      </c>
      <c r="W76" s="73">
        <f t="shared" si="67"/>
        <v>0</v>
      </c>
      <c r="X76" s="65"/>
      <c r="Y76" s="798" t="s">
        <v>1951</v>
      </c>
      <c r="Z76" s="73">
        <f t="shared" si="63"/>
        <v>0</v>
      </c>
      <c r="AA76" s="65"/>
      <c r="AB76" s="803" t="s">
        <v>1960</v>
      </c>
      <c r="AC76" s="73">
        <f t="shared" si="63"/>
        <v>0</v>
      </c>
      <c r="AD76" s="65"/>
      <c r="AE76" s="808" t="s">
        <v>1960</v>
      </c>
      <c r="AF76" s="73">
        <f t="shared" si="63"/>
        <v>0</v>
      </c>
      <c r="AG76" s="65"/>
      <c r="AH76" s="74" t="s">
        <v>1960</v>
      </c>
      <c r="AI76" s="73">
        <f t="shared" si="63"/>
        <v>0</v>
      </c>
      <c r="AJ76" s="65"/>
      <c r="AK76" s="813" t="s">
        <v>1951</v>
      </c>
      <c r="AL76" s="73">
        <f t="shared" si="63"/>
        <v>0</v>
      </c>
      <c r="AM76" s="65"/>
      <c r="AN76" s="818" t="s">
        <v>1960</v>
      </c>
      <c r="AO76" s="73">
        <f t="shared" si="63"/>
        <v>0</v>
      </c>
      <c r="AP76" s="65"/>
      <c r="AQ76" s="823" t="s">
        <v>1960</v>
      </c>
      <c r="AR76" s="73">
        <f t="shared" si="63"/>
        <v>0</v>
      </c>
      <c r="AS76" s="65"/>
      <c r="AT76" s="828" t="s">
        <v>1960</v>
      </c>
      <c r="AU76" s="73">
        <f t="shared" si="63"/>
        <v>0</v>
      </c>
      <c r="AV76" s="65"/>
      <c r="AW76" s="832" t="s">
        <v>1955</v>
      </c>
      <c r="AX76" s="73">
        <f t="shared" si="63"/>
        <v>0</v>
      </c>
      <c r="AY76" s="65"/>
      <c r="AZ76" s="838" t="s">
        <v>1960</v>
      </c>
      <c r="BA76" s="73">
        <f t="shared" si="63"/>
        <v>0</v>
      </c>
      <c r="BB76" s="65"/>
      <c r="BC76" s="845" t="s">
        <v>1960</v>
      </c>
      <c r="BD76" s="73">
        <f t="shared" si="63"/>
        <v>0</v>
      </c>
      <c r="BE76" s="65"/>
      <c r="BF76" s="849" t="s">
        <v>1959</v>
      </c>
      <c r="BG76" s="73">
        <f t="shared" si="63"/>
        <v>0</v>
      </c>
      <c r="BH76" s="65"/>
      <c r="BI76" s="859" t="s">
        <v>1960</v>
      </c>
      <c r="BJ76" s="73">
        <f t="shared" si="63"/>
        <v>0</v>
      </c>
      <c r="BK76" s="65"/>
      <c r="BL76" s="864" t="s">
        <v>1951</v>
      </c>
      <c r="BM76" s="73">
        <f t="shared" si="63"/>
        <v>0</v>
      </c>
      <c r="BN76" s="65"/>
      <c r="BO76" s="869" t="s">
        <v>2043</v>
      </c>
      <c r="BP76" s="73">
        <f t="shared" si="63"/>
        <v>0</v>
      </c>
      <c r="BQ76" s="65"/>
      <c r="BR76" s="838" t="s">
        <v>1951</v>
      </c>
      <c r="BS76" s="73">
        <f t="shared" si="63"/>
        <v>0</v>
      </c>
      <c r="BT76" s="65"/>
      <c r="BU76" s="873" t="s">
        <v>1960</v>
      </c>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4">
        <f t="shared" si="64"/>
        <v>6</v>
      </c>
      <c r="G77" s="444">
        <f ca="1">VLOOKUP(H77,Equipos!$Q$1:$R$25,2,0)</f>
        <v>17</v>
      </c>
      <c r="H77" s="445">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54" t="s">
        <v>1961</v>
      </c>
      <c r="T77" s="81">
        <f t="shared" si="66"/>
        <v>0</v>
      </c>
      <c r="U77" s="65"/>
      <c r="V77" s="793" t="s">
        <v>1951</v>
      </c>
      <c r="W77" s="81">
        <f t="shared" si="67"/>
        <v>0</v>
      </c>
      <c r="X77" s="65"/>
      <c r="Y77" s="798" t="s">
        <v>1948</v>
      </c>
      <c r="Z77" s="81">
        <f t="shared" si="63"/>
        <v>0</v>
      </c>
      <c r="AA77" s="65"/>
      <c r="AB77" s="803" t="s">
        <v>1949</v>
      </c>
      <c r="AC77" s="81">
        <f t="shared" si="63"/>
        <v>0</v>
      </c>
      <c r="AD77" s="65"/>
      <c r="AE77" s="808" t="s">
        <v>1953</v>
      </c>
      <c r="AF77" s="81">
        <f t="shared" si="63"/>
        <v>0</v>
      </c>
      <c r="AG77" s="65"/>
      <c r="AH77" s="80" t="s">
        <v>1953</v>
      </c>
      <c r="AI77" s="81">
        <f t="shared" si="63"/>
        <v>0</v>
      </c>
      <c r="AJ77" s="65"/>
      <c r="AK77" s="813" t="s">
        <v>1947</v>
      </c>
      <c r="AL77" s="81">
        <f t="shared" si="63"/>
        <v>0</v>
      </c>
      <c r="AM77" s="65"/>
      <c r="AN77" s="818" t="s">
        <v>1949</v>
      </c>
      <c r="AO77" s="81">
        <f t="shared" si="63"/>
        <v>0</v>
      </c>
      <c r="AP77" s="65"/>
      <c r="AQ77" s="823" t="s">
        <v>1953</v>
      </c>
      <c r="AR77" s="81">
        <f t="shared" si="63"/>
        <v>0</v>
      </c>
      <c r="AS77" s="65"/>
      <c r="AT77" s="828" t="s">
        <v>1948</v>
      </c>
      <c r="AU77" s="81">
        <f t="shared" si="63"/>
        <v>0</v>
      </c>
      <c r="AV77" s="65"/>
      <c r="AW77" s="832" t="s">
        <v>1949</v>
      </c>
      <c r="AX77" s="81">
        <f t="shared" si="63"/>
        <v>0</v>
      </c>
      <c r="AY77" s="65"/>
      <c r="AZ77" s="838" t="s">
        <v>1953</v>
      </c>
      <c r="BA77" s="81">
        <f t="shared" si="63"/>
        <v>0</v>
      </c>
      <c r="BB77" s="65"/>
      <c r="BC77" s="845" t="s">
        <v>1962</v>
      </c>
      <c r="BD77" s="81">
        <f t="shared" si="63"/>
        <v>0</v>
      </c>
      <c r="BE77" s="65"/>
      <c r="BF77" s="849" t="s">
        <v>1953</v>
      </c>
      <c r="BG77" s="81">
        <f t="shared" si="63"/>
        <v>0</v>
      </c>
      <c r="BH77" s="65"/>
      <c r="BI77" s="859" t="s">
        <v>1948</v>
      </c>
      <c r="BJ77" s="81">
        <f t="shared" si="63"/>
        <v>0</v>
      </c>
      <c r="BK77" s="65"/>
      <c r="BL77" s="864" t="s">
        <v>1947</v>
      </c>
      <c r="BM77" s="81">
        <f t="shared" si="63"/>
        <v>0</v>
      </c>
      <c r="BN77" s="65"/>
      <c r="BO77" s="869" t="s">
        <v>1953</v>
      </c>
      <c r="BP77" s="81">
        <f t="shared" si="63"/>
        <v>0</v>
      </c>
      <c r="BQ77" s="65"/>
      <c r="BR77" s="838" t="s">
        <v>1953</v>
      </c>
      <c r="BS77" s="81">
        <f t="shared" si="63"/>
        <v>0</v>
      </c>
      <c r="BT77" s="65"/>
      <c r="BU77" s="873" t="s">
        <v>1958</v>
      </c>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4"/>
      <c r="H78" s="65"/>
      <c r="I78" s="60"/>
      <c r="J78" s="97"/>
      <c r="K78" s="432" t="str">
        <f>Idiomas!D455</f>
        <v>F. Grupos</v>
      </c>
      <c r="L78" s="433"/>
      <c r="M78" s="432" t="str">
        <f>"Max: "&amp;SUM($D$8:$D$10)*SUM($I$6:$I$77)</f>
        <v>Max: 432</v>
      </c>
      <c r="N78" s="25"/>
      <c r="O78" s="25"/>
      <c r="P78" s="25"/>
      <c r="Q78" s="25"/>
      <c r="R78" s="110"/>
      <c r="S78" s="850"/>
      <c r="T78" s="83">
        <f>SUM(T6:T77)</f>
        <v>0</v>
      </c>
      <c r="U78" s="64"/>
      <c r="V78" s="789"/>
      <c r="W78" s="83">
        <f>SUM(W6:W77)</f>
        <v>0</v>
      </c>
      <c r="X78" s="64"/>
      <c r="Y78" s="794"/>
      <c r="Z78" s="83">
        <f t="shared" ref="Z78" si="68">SUM(Z6:Z77)</f>
        <v>0</v>
      </c>
      <c r="AA78" s="64"/>
      <c r="AB78" s="799"/>
      <c r="AC78" s="83">
        <f t="shared" ref="AC78" si="69">SUM(AC6:AC77)</f>
        <v>0</v>
      </c>
      <c r="AD78" s="64"/>
      <c r="AE78" s="804"/>
      <c r="AF78" s="83">
        <f t="shared" ref="AF78" si="70">SUM(AF6:AF77)</f>
        <v>0</v>
      </c>
      <c r="AG78" s="64"/>
      <c r="AH78" s="82"/>
      <c r="AI78" s="83">
        <f t="shared" ref="AI78" si="71">SUM(AI6:AI77)</f>
        <v>0</v>
      </c>
      <c r="AJ78" s="64"/>
      <c r="AK78" s="809"/>
      <c r="AL78" s="83">
        <f t="shared" ref="AL78" si="72">SUM(AL6:AL77)</f>
        <v>0</v>
      </c>
      <c r="AM78" s="64"/>
      <c r="AN78" s="814"/>
      <c r="AO78" s="83">
        <f t="shared" ref="AO78" si="73">SUM(AO6:AO77)</f>
        <v>0</v>
      </c>
      <c r="AP78" s="64"/>
      <c r="AQ78" s="819"/>
      <c r="AR78" s="83">
        <f t="shared" ref="AR78" si="74">SUM(AR6:AR77)</f>
        <v>0</v>
      </c>
      <c r="AS78" s="64"/>
      <c r="AT78" s="824"/>
      <c r="AU78" s="83">
        <f t="shared" ref="AU78" si="75">SUM(AU6:AU77)</f>
        <v>0</v>
      </c>
      <c r="AV78" s="64"/>
      <c r="AW78" s="833"/>
      <c r="AX78" s="83">
        <f t="shared" ref="AX78" si="76">SUM(AX6:AX77)</f>
        <v>0</v>
      </c>
      <c r="AY78" s="64"/>
      <c r="AZ78" s="839"/>
      <c r="BA78" s="83">
        <f t="shared" ref="BA78" si="77">SUM(BA6:BA77)</f>
        <v>0</v>
      </c>
      <c r="BB78" s="64"/>
      <c r="BC78" s="841"/>
      <c r="BD78" s="83">
        <f t="shared" ref="BD78" si="78">SUM(BD6:BD77)</f>
        <v>0</v>
      </c>
      <c r="BE78" s="64"/>
      <c r="BF78" s="846"/>
      <c r="BG78" s="83">
        <f t="shared" ref="BG78" si="79">SUM(BG6:BG77)</f>
        <v>0</v>
      </c>
      <c r="BH78" s="64"/>
      <c r="BI78" s="855"/>
      <c r="BJ78" s="83">
        <f t="shared" ref="BJ78" si="80">SUM(BJ6:BJ77)</f>
        <v>0</v>
      </c>
      <c r="BK78" s="64"/>
      <c r="BL78" s="860"/>
      <c r="BM78" s="83">
        <f t="shared" ref="BM78" si="81">SUM(BM6:BM77)</f>
        <v>0</v>
      </c>
      <c r="BN78" s="64"/>
      <c r="BO78" s="865"/>
      <c r="BP78" s="83">
        <f t="shared" ref="BP78" si="82">SUM(BP6:BP77)</f>
        <v>0</v>
      </c>
      <c r="BQ78" s="64"/>
      <c r="BR78" s="839"/>
      <c r="BS78" s="83">
        <f t="shared" ref="BS78" si="83">SUM(BS6:BS77)</f>
        <v>0</v>
      </c>
      <c r="BT78" s="64"/>
      <c r="BU78" s="874"/>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4"/>
      <c r="H79" s="65"/>
      <c r="I79" s="60"/>
      <c r="J79" s="97"/>
      <c r="K79" s="118" t="str">
        <f>Idiomas!D136</f>
        <v>POSICIÓN GRUPOS</v>
      </c>
      <c r="L79" s="60"/>
      <c r="M79" s="83"/>
      <c r="N79" s="25"/>
      <c r="O79" s="25"/>
      <c r="P79" s="25"/>
      <c r="Q79" s="25"/>
      <c r="R79" s="110"/>
      <c r="S79" s="850"/>
      <c r="T79" s="83"/>
      <c r="U79" s="64"/>
      <c r="V79" s="789"/>
      <c r="W79" s="83"/>
      <c r="X79" s="64"/>
      <c r="Y79" s="794"/>
      <c r="Z79" s="83"/>
      <c r="AA79" s="64"/>
      <c r="AB79" s="799"/>
      <c r="AC79" s="83"/>
      <c r="AD79" s="64"/>
      <c r="AE79" s="804"/>
      <c r="AF79" s="83"/>
      <c r="AG79" s="64"/>
      <c r="AH79" s="82"/>
      <c r="AI79" s="83"/>
      <c r="AJ79" s="64"/>
      <c r="AK79" s="809"/>
      <c r="AL79" s="83"/>
      <c r="AM79" s="64"/>
      <c r="AN79" s="814"/>
      <c r="AO79" s="83"/>
      <c r="AP79" s="64"/>
      <c r="AQ79" s="819"/>
      <c r="AR79" s="83"/>
      <c r="AS79" s="64"/>
      <c r="AT79" s="824"/>
      <c r="AU79" s="83"/>
      <c r="AV79" s="64"/>
      <c r="AW79" s="833"/>
      <c r="AX79" s="83"/>
      <c r="AY79" s="64"/>
      <c r="AZ79" s="839"/>
      <c r="BA79" s="83"/>
      <c r="BB79" s="64"/>
      <c r="BC79" s="841"/>
      <c r="BD79" s="83"/>
      <c r="BE79" s="64"/>
      <c r="BF79" s="846"/>
      <c r="BG79" s="83"/>
      <c r="BH79" s="64"/>
      <c r="BI79" s="855"/>
      <c r="BJ79" s="83"/>
      <c r="BK79" s="64"/>
      <c r="BL79" s="860"/>
      <c r="BM79" s="83"/>
      <c r="BN79" s="64"/>
      <c r="BO79" s="865"/>
      <c r="BP79" s="83"/>
      <c r="BQ79" s="64"/>
      <c r="BR79" s="839"/>
      <c r="BS79" s="83"/>
      <c r="BT79" s="64"/>
      <c r="BU79" s="874"/>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4">
        <f ca="1">VLOOKUP(H80,Equipos!$Q$1:$R$25,2,0)</f>
        <v>14</v>
      </c>
      <c r="H80" s="445">
        <f ca="1">$H$54</f>
        <v>46197</v>
      </c>
      <c r="I80" s="50"/>
      <c r="J80" s="929" t="s">
        <v>0</v>
      </c>
      <c r="K80" s="53" t="str">
        <f>Idiomas!D150</f>
        <v>1º GRUPO A</v>
      </c>
      <c r="L80" s="53"/>
      <c r="M80" s="55" t="str">
        <f ca="1">IF(OR(SUM(WORLDCUP!$AN$6:$AN$9)=12,WORLDCUP!$AJ$99=144),WORLDCUP!AL6,LEFT(K80,1)&amp;RIGHT(K80,1))</f>
        <v>1A</v>
      </c>
      <c r="N80" s="25"/>
      <c r="O80" s="25"/>
      <c r="P80" s="25"/>
      <c r="Q80" s="25"/>
      <c r="R80" s="110"/>
      <c r="S80" s="854" t="s">
        <v>1265</v>
      </c>
      <c r="T80" s="77">
        <f ca="1">($M80=S80)*$D$11</f>
        <v>0</v>
      </c>
      <c r="U80" s="64"/>
      <c r="V80" s="793" t="s">
        <v>1265</v>
      </c>
      <c r="W80" s="77">
        <f t="shared" ref="W80" ca="1" si="91">($M80=V80)*$D$11</f>
        <v>0</v>
      </c>
      <c r="X80" s="64"/>
      <c r="Y80" s="798" t="s">
        <v>1265</v>
      </c>
      <c r="Z80" s="77">
        <f t="shared" ref="Z80" ca="1" si="92">($M80=Y80)*$D$11</f>
        <v>0</v>
      </c>
      <c r="AA80" s="64"/>
      <c r="AB80" s="803" t="s">
        <v>1260</v>
      </c>
      <c r="AC80" s="77">
        <f t="shared" ref="AC80" ca="1" si="93">($M80=AB80)*$D$11</f>
        <v>0</v>
      </c>
      <c r="AD80" s="64"/>
      <c r="AE80" s="808" t="s">
        <v>1843</v>
      </c>
      <c r="AF80" s="77">
        <f t="shared" ref="AF80" ca="1" si="94">($M80=AE80)*$D$11</f>
        <v>0</v>
      </c>
      <c r="AG80" s="64"/>
      <c r="AH80" s="76" t="s">
        <v>1265</v>
      </c>
      <c r="AI80" s="77">
        <f t="shared" ref="AI80" ca="1" si="95">($M80=AH80)*$D$11</f>
        <v>0</v>
      </c>
      <c r="AJ80" s="64"/>
      <c r="AK80" s="813" t="s">
        <v>1265</v>
      </c>
      <c r="AL80" s="77">
        <f t="shared" ref="AL80" ca="1" si="96">($M80=AK80)*$D$11</f>
        <v>0</v>
      </c>
      <c r="AM80" s="64"/>
      <c r="AN80" s="818" t="s">
        <v>1260</v>
      </c>
      <c r="AO80" s="77">
        <f t="shared" ref="AO80" ca="1" si="97">($M80=AN80)*$D$11</f>
        <v>0</v>
      </c>
      <c r="AP80" s="64"/>
      <c r="AQ80" s="823" t="s">
        <v>1265</v>
      </c>
      <c r="AR80" s="77">
        <f t="shared" ref="AR80" ca="1" si="98">($M80=AQ80)*$D$11</f>
        <v>0</v>
      </c>
      <c r="AS80" s="64"/>
      <c r="AT80" s="828" t="s">
        <v>1265</v>
      </c>
      <c r="AU80" s="77">
        <f t="shared" ref="AU80" ca="1" si="99">($M80=AT80)*$D$11</f>
        <v>0</v>
      </c>
      <c r="AV80" s="64"/>
      <c r="AW80" s="832" t="s">
        <v>1843</v>
      </c>
      <c r="AX80" s="77">
        <f t="shared" ref="AX80" ca="1" si="100">($M80=AW80)*$D$11</f>
        <v>0</v>
      </c>
      <c r="AY80" s="64"/>
      <c r="AZ80" s="838" t="s">
        <v>1265</v>
      </c>
      <c r="BA80" s="77">
        <f t="shared" ref="BA80" ca="1" si="101">($M80=AZ80)*$D$11</f>
        <v>0</v>
      </c>
      <c r="BB80" s="64"/>
      <c r="BC80" s="845" t="s">
        <v>1265</v>
      </c>
      <c r="BD80" s="77">
        <f t="shared" ref="BD80" ca="1" si="102">($M80=BC80)*$D$11</f>
        <v>0</v>
      </c>
      <c r="BE80" s="64"/>
      <c r="BF80" s="849" t="s">
        <v>1265</v>
      </c>
      <c r="BG80" s="77">
        <f t="shared" ref="BG80" ca="1" si="103">($M80=BF80)*$D$11</f>
        <v>0</v>
      </c>
      <c r="BH80" s="64"/>
      <c r="BI80" s="859" t="s">
        <v>1265</v>
      </c>
      <c r="BJ80" s="77">
        <f t="shared" ref="BJ80" ca="1" si="104">($M80=BI80)*$D$11</f>
        <v>0</v>
      </c>
      <c r="BK80" s="64"/>
      <c r="BL80" s="864" t="s">
        <v>1265</v>
      </c>
      <c r="BM80" s="77">
        <f t="shared" ref="BM80" ca="1" si="105">($M80=BL80)*$D$11</f>
        <v>0</v>
      </c>
      <c r="BN80" s="64"/>
      <c r="BO80" s="869" t="s">
        <v>1265</v>
      </c>
      <c r="BP80" s="77">
        <f t="shared" ref="BP80" ca="1" si="106">($M80=BO80)*$D$11</f>
        <v>0</v>
      </c>
      <c r="BQ80" s="64"/>
      <c r="BR80" s="838" t="s">
        <v>1265</v>
      </c>
      <c r="BS80" s="77">
        <f t="shared" ref="BS80" ca="1" si="107">($M80=BR80)*$D$11</f>
        <v>0</v>
      </c>
      <c r="BT80" s="64"/>
      <c r="BU80" s="873" t="s">
        <v>1265</v>
      </c>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4">
        <f ca="1">VLOOKUP(H81,Equipos!$Q$1:$R$25,2,0)</f>
        <v>14</v>
      </c>
      <c r="H81" s="445">
        <f ca="1">$H$54</f>
        <v>46197</v>
      </c>
      <c r="I81" s="50"/>
      <c r="J81" s="929"/>
      <c r="K81" s="56" t="str">
        <f>Idiomas!D151</f>
        <v>2º GRUPO A</v>
      </c>
      <c r="L81" s="53"/>
      <c r="M81" s="55" t="str">
        <f ca="1">IF(OR(SUM(WORLDCUP!$AN$6:$AN$9)=12,WORLDCUP!$AJ$99=144),WORLDCUP!AL7,LEFT(K81,1)&amp;RIGHT(K81,1))</f>
        <v>2A</v>
      </c>
      <c r="N81" s="25"/>
      <c r="O81" s="25"/>
      <c r="P81" s="25"/>
      <c r="Q81" s="25"/>
      <c r="R81" s="110"/>
      <c r="S81" s="854" t="s">
        <v>1630</v>
      </c>
      <c r="T81" s="73">
        <f ca="1">($M81=S81)*$D$12</f>
        <v>0</v>
      </c>
      <c r="U81" s="64"/>
      <c r="V81" s="793" t="s">
        <v>1630</v>
      </c>
      <c r="W81" s="73">
        <f t="shared" ref="W81" ca="1" si="115">($M81=V81)*$D$12</f>
        <v>0</v>
      </c>
      <c r="X81" s="64"/>
      <c r="Y81" s="798" t="s">
        <v>1260</v>
      </c>
      <c r="Z81" s="73">
        <f t="shared" ref="Z81" ca="1" si="116">($M81=Y81)*$D$12</f>
        <v>0</v>
      </c>
      <c r="AA81" s="64"/>
      <c r="AB81" s="803" t="s">
        <v>1843</v>
      </c>
      <c r="AC81" s="73">
        <f t="shared" ref="AC81" ca="1" si="117">($M81=AB81)*$D$12</f>
        <v>0</v>
      </c>
      <c r="AD81" s="64"/>
      <c r="AE81" s="808" t="s">
        <v>1260</v>
      </c>
      <c r="AF81" s="73">
        <f t="shared" ref="AF81" ca="1" si="118">($M81=AE81)*$D$12</f>
        <v>0</v>
      </c>
      <c r="AG81" s="64"/>
      <c r="AH81" s="74" t="s">
        <v>1843</v>
      </c>
      <c r="AI81" s="73">
        <f t="shared" ref="AI81" ca="1" si="119">($M81=AH81)*$D$12</f>
        <v>0</v>
      </c>
      <c r="AJ81" s="64"/>
      <c r="AK81" s="813" t="s">
        <v>1260</v>
      </c>
      <c r="AL81" s="73">
        <f t="shared" ref="AL81" ca="1" si="120">($M81=AK81)*$D$12</f>
        <v>0</v>
      </c>
      <c r="AM81" s="64"/>
      <c r="AN81" s="818" t="s">
        <v>1265</v>
      </c>
      <c r="AO81" s="73">
        <f t="shared" ref="AO81" ca="1" si="121">($M81=AN81)*$D$12</f>
        <v>0</v>
      </c>
      <c r="AP81" s="64"/>
      <c r="AQ81" s="823" t="s">
        <v>1843</v>
      </c>
      <c r="AR81" s="73">
        <f t="shared" ref="AR81" ca="1" si="122">($M81=AQ81)*$D$12</f>
        <v>0</v>
      </c>
      <c r="AS81" s="64"/>
      <c r="AT81" s="828" t="s">
        <v>1260</v>
      </c>
      <c r="AU81" s="73">
        <f t="shared" ref="AU81" ca="1" si="123">($M81=AT81)*$D$12</f>
        <v>0</v>
      </c>
      <c r="AV81" s="64"/>
      <c r="AW81" s="832" t="s">
        <v>1265</v>
      </c>
      <c r="AX81" s="73">
        <f t="shared" ref="AX81" ca="1" si="124">($M81=AW81)*$D$12</f>
        <v>0</v>
      </c>
      <c r="AY81" s="64"/>
      <c r="AZ81" s="838" t="s">
        <v>1260</v>
      </c>
      <c r="BA81" s="73">
        <f t="shared" ref="BA81" ca="1" si="125">($M81=AZ81)*$D$12</f>
        <v>0</v>
      </c>
      <c r="BB81" s="64"/>
      <c r="BC81" s="845" t="s">
        <v>1843</v>
      </c>
      <c r="BD81" s="73">
        <f t="shared" ref="BD81" ca="1" si="126">($M81=BC81)*$D$12</f>
        <v>0</v>
      </c>
      <c r="BE81" s="64"/>
      <c r="BF81" s="849" t="s">
        <v>1260</v>
      </c>
      <c r="BG81" s="73">
        <f t="shared" ref="BG81" ca="1" si="127">($M81=BF81)*$D$12</f>
        <v>0</v>
      </c>
      <c r="BH81" s="64"/>
      <c r="BI81" s="859" t="s">
        <v>1260</v>
      </c>
      <c r="BJ81" s="73">
        <f t="shared" ref="BJ81" ca="1" si="128">($M81=BI81)*$D$12</f>
        <v>0</v>
      </c>
      <c r="BK81" s="64"/>
      <c r="BL81" s="864" t="s">
        <v>1260</v>
      </c>
      <c r="BM81" s="73">
        <f t="shared" ref="BM81" ca="1" si="129">($M81=BL81)*$D$12</f>
        <v>0</v>
      </c>
      <c r="BN81" s="64"/>
      <c r="BO81" s="869" t="s">
        <v>1843</v>
      </c>
      <c r="BP81" s="73">
        <f t="shared" ref="BP81" ca="1" si="130">($M81=BO81)*$D$12</f>
        <v>0</v>
      </c>
      <c r="BQ81" s="64"/>
      <c r="BR81" s="838" t="s">
        <v>1843</v>
      </c>
      <c r="BS81" s="73">
        <f t="shared" ref="BS81" ca="1" si="131">($M81=BR81)*$D$12</f>
        <v>0</v>
      </c>
      <c r="BT81" s="64"/>
      <c r="BU81" s="873" t="s">
        <v>1260</v>
      </c>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4">
        <f ca="1">VLOOKUP(H82,Equipos!$Q$1:$R$25,2,0)</f>
        <v>14</v>
      </c>
      <c r="H82" s="445">
        <f ca="1">$H$54</f>
        <v>46197</v>
      </c>
      <c r="I82" s="50"/>
      <c r="J82" s="929"/>
      <c r="K82" s="56" t="str">
        <f>Idiomas!D152</f>
        <v>3º GRUPO A</v>
      </c>
      <c r="L82" s="53"/>
      <c r="M82" s="55" t="str">
        <f ca="1">IF(OR(SUM(WORLDCUP!$AN$6:$AN$9)=12,WORLDCUP!$AJ$99=144),WORLDCUP!AL8,LEFT(K82,1)&amp;RIGHT(K82,1))</f>
        <v>3A</v>
      </c>
      <c r="N82" s="25"/>
      <c r="O82" s="25"/>
      <c r="P82" s="25"/>
      <c r="Q82" s="25"/>
      <c r="R82" s="110"/>
      <c r="S82" s="854" t="s">
        <v>1843</v>
      </c>
      <c r="T82" s="73">
        <f ca="1">($M82=S82)*$D$13</f>
        <v>0</v>
      </c>
      <c r="U82" s="64"/>
      <c r="V82" s="793" t="s">
        <v>1843</v>
      </c>
      <c r="W82" s="73">
        <f t="shared" ref="W82" ca="1" si="139">($M82=V82)*$D$13</f>
        <v>0</v>
      </c>
      <c r="X82" s="64"/>
      <c r="Y82" s="798" t="s">
        <v>1843</v>
      </c>
      <c r="Z82" s="73">
        <f t="shared" ref="Z82" ca="1" si="140">($M82=Y82)*$D$13</f>
        <v>0</v>
      </c>
      <c r="AA82" s="64"/>
      <c r="AB82" s="803" t="s">
        <v>1265</v>
      </c>
      <c r="AC82" s="73">
        <f t="shared" ref="AC82" ca="1" si="141">($M82=AB82)*$D$13</f>
        <v>0</v>
      </c>
      <c r="AD82" s="64"/>
      <c r="AE82" s="808" t="s">
        <v>1630</v>
      </c>
      <c r="AF82" s="73">
        <f t="shared" ref="AF82" ca="1" si="142">($M82=AE82)*$D$13</f>
        <v>0</v>
      </c>
      <c r="AG82" s="64"/>
      <c r="AH82" s="74" t="s">
        <v>1260</v>
      </c>
      <c r="AI82" s="73">
        <f t="shared" ref="AI82" ca="1" si="143">($M82=AH82)*$D$13</f>
        <v>0</v>
      </c>
      <c r="AJ82" s="64"/>
      <c r="AK82" s="813" t="s">
        <v>1843</v>
      </c>
      <c r="AL82" s="73">
        <f t="shared" ref="AL82" ca="1" si="144">($M82=AK82)*$D$13</f>
        <v>0</v>
      </c>
      <c r="AM82" s="64"/>
      <c r="AN82" s="818" t="s">
        <v>1843</v>
      </c>
      <c r="AO82" s="73">
        <f t="shared" ref="AO82" ca="1" si="145">($M82=AN82)*$D$13</f>
        <v>0</v>
      </c>
      <c r="AP82" s="64"/>
      <c r="AQ82" s="823" t="s">
        <v>1260</v>
      </c>
      <c r="AR82" s="73">
        <f t="shared" ref="AR82" ca="1" si="146">($M82=AQ82)*$D$13</f>
        <v>0</v>
      </c>
      <c r="AS82" s="64"/>
      <c r="AT82" s="828" t="s">
        <v>1843</v>
      </c>
      <c r="AU82" s="73">
        <f t="shared" ref="AU82" ca="1" si="147">($M82=AT82)*$D$13</f>
        <v>0</v>
      </c>
      <c r="AV82" s="64"/>
      <c r="AW82" s="832" t="s">
        <v>1630</v>
      </c>
      <c r="AX82" s="73">
        <f t="shared" ref="AX82" ca="1" si="148">($M82=AW82)*$D$13</f>
        <v>0</v>
      </c>
      <c r="AY82" s="64"/>
      <c r="AZ82" s="838" t="s">
        <v>1630</v>
      </c>
      <c r="BA82" s="73">
        <f t="shared" ref="BA82" ca="1" si="149">($M82=AZ82)*$D$13</f>
        <v>0</v>
      </c>
      <c r="BB82" s="64"/>
      <c r="BC82" s="845" t="s">
        <v>1260</v>
      </c>
      <c r="BD82" s="73">
        <f t="shared" ref="BD82" ca="1" si="150">($M82=BC82)*$D$13</f>
        <v>0</v>
      </c>
      <c r="BE82" s="64"/>
      <c r="BF82" s="849" t="s">
        <v>1843</v>
      </c>
      <c r="BG82" s="73">
        <f t="shared" ref="BG82" ca="1" si="151">($M82=BF82)*$D$13</f>
        <v>0</v>
      </c>
      <c r="BH82" s="64"/>
      <c r="BI82" s="859" t="s">
        <v>1843</v>
      </c>
      <c r="BJ82" s="73">
        <f t="shared" ref="BJ82" ca="1" si="152">($M82=BI82)*$D$13</f>
        <v>0</v>
      </c>
      <c r="BK82" s="64"/>
      <c r="BL82" s="864" t="s">
        <v>1630</v>
      </c>
      <c r="BM82" s="73">
        <f t="shared" ref="BM82" ca="1" si="153">($M82=BL82)*$D$13</f>
        <v>0</v>
      </c>
      <c r="BN82" s="64"/>
      <c r="BO82" s="869" t="s">
        <v>1260</v>
      </c>
      <c r="BP82" s="73">
        <f t="shared" ref="BP82" ca="1" si="154">($M82=BO82)*$D$13</f>
        <v>0</v>
      </c>
      <c r="BQ82" s="64"/>
      <c r="BR82" s="838" t="s">
        <v>1260</v>
      </c>
      <c r="BS82" s="73">
        <f t="shared" ref="BS82" ca="1" si="155">($M82=BR82)*$D$13</f>
        <v>0</v>
      </c>
      <c r="BT82" s="64"/>
      <c r="BU82" s="873" t="s">
        <v>1843</v>
      </c>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4">
        <f ca="1">VLOOKUP(H83,Equipos!$Q$1:$R$25,2,0)</f>
        <v>14</v>
      </c>
      <c r="H83" s="445">
        <f ca="1">$H$54</f>
        <v>46197</v>
      </c>
      <c r="I83" s="50"/>
      <c r="J83" s="929"/>
      <c r="K83" s="56" t="str">
        <f>Idiomas!D153</f>
        <v>4º GRUPO A</v>
      </c>
      <c r="L83" s="53"/>
      <c r="M83" s="55" t="str">
        <f ca="1">IF(OR(SUM(WORLDCUP!$AN$6:$AN$9)=12,WORLDCUP!$AJ$99=144),WORLDCUP!AL9,LEFT(K83,1)&amp;RIGHT(K83,1))</f>
        <v>4A</v>
      </c>
      <c r="N83" s="25"/>
      <c r="O83" s="25"/>
      <c r="P83" s="25"/>
      <c r="Q83" s="25"/>
      <c r="R83" s="110"/>
      <c r="S83" s="854" t="s">
        <v>1260</v>
      </c>
      <c r="T83" s="73">
        <f ca="1">($M83=S83)*$D$14</f>
        <v>0</v>
      </c>
      <c r="U83" s="64"/>
      <c r="V83" s="793" t="s">
        <v>1260</v>
      </c>
      <c r="W83" s="73">
        <f t="shared" ref="W83" ca="1" si="163">($M83=V83)*$D$14</f>
        <v>0</v>
      </c>
      <c r="X83" s="64"/>
      <c r="Y83" s="798" t="s">
        <v>1630</v>
      </c>
      <c r="Z83" s="73">
        <f t="shared" ref="Z83" ca="1" si="164">($M83=Y83)*$D$14</f>
        <v>0</v>
      </c>
      <c r="AA83" s="64"/>
      <c r="AB83" s="803" t="s">
        <v>1630</v>
      </c>
      <c r="AC83" s="73">
        <f t="shared" ref="AC83" ca="1" si="165">($M83=AB83)*$D$14</f>
        <v>0</v>
      </c>
      <c r="AD83" s="64"/>
      <c r="AE83" s="808" t="s">
        <v>1265</v>
      </c>
      <c r="AF83" s="73">
        <f t="shared" ref="AF83" ca="1" si="166">($M83=AE83)*$D$14</f>
        <v>0</v>
      </c>
      <c r="AG83" s="64"/>
      <c r="AH83" s="74" t="s">
        <v>1630</v>
      </c>
      <c r="AI83" s="73">
        <f t="shared" ref="AI83" ca="1" si="167">($M83=AH83)*$D$14</f>
        <v>0</v>
      </c>
      <c r="AJ83" s="64"/>
      <c r="AK83" s="813" t="s">
        <v>1630</v>
      </c>
      <c r="AL83" s="73">
        <f t="shared" ref="AL83" ca="1" si="168">($M83=AK83)*$D$14</f>
        <v>0</v>
      </c>
      <c r="AM83" s="64"/>
      <c r="AN83" s="818" t="s">
        <v>1630</v>
      </c>
      <c r="AO83" s="73">
        <f t="shared" ref="AO83" ca="1" si="169">($M83=AN83)*$D$14</f>
        <v>0</v>
      </c>
      <c r="AP83" s="64"/>
      <c r="AQ83" s="823" t="s">
        <v>1630</v>
      </c>
      <c r="AR83" s="73">
        <f t="shared" ref="AR83" ca="1" si="170">($M83=AQ83)*$D$14</f>
        <v>0</v>
      </c>
      <c r="AS83" s="64"/>
      <c r="AT83" s="828" t="s">
        <v>1630</v>
      </c>
      <c r="AU83" s="73">
        <f t="shared" ref="AU83" ca="1" si="171">($M83=AT83)*$D$14</f>
        <v>0</v>
      </c>
      <c r="AV83" s="64"/>
      <c r="AW83" s="832" t="s">
        <v>1260</v>
      </c>
      <c r="AX83" s="73">
        <f t="shared" ref="AX83" ca="1" si="172">($M83=AW83)*$D$14</f>
        <v>0</v>
      </c>
      <c r="AY83" s="64"/>
      <c r="AZ83" s="838" t="s">
        <v>1843</v>
      </c>
      <c r="BA83" s="73">
        <f t="shared" ref="BA83" ca="1" si="173">($M83=AZ83)*$D$14</f>
        <v>0</v>
      </c>
      <c r="BB83" s="64"/>
      <c r="BC83" s="845" t="s">
        <v>1630</v>
      </c>
      <c r="BD83" s="73">
        <f t="shared" ref="BD83" ca="1" si="174">($M83=BC83)*$D$14</f>
        <v>0</v>
      </c>
      <c r="BE83" s="64"/>
      <c r="BF83" s="849" t="s">
        <v>1630</v>
      </c>
      <c r="BG83" s="73">
        <f t="shared" ref="BG83" ca="1" si="175">($M83=BF83)*$D$14</f>
        <v>0</v>
      </c>
      <c r="BH83" s="64"/>
      <c r="BI83" s="859" t="s">
        <v>1630</v>
      </c>
      <c r="BJ83" s="73">
        <f t="shared" ref="BJ83" ca="1" si="176">($M83=BI83)*$D$14</f>
        <v>0</v>
      </c>
      <c r="BK83" s="64"/>
      <c r="BL83" s="864" t="s">
        <v>1843</v>
      </c>
      <c r="BM83" s="73">
        <f t="shared" ref="BM83" ca="1" si="177">($M83=BL83)*$D$14</f>
        <v>0</v>
      </c>
      <c r="BN83" s="64"/>
      <c r="BO83" s="869" t="s">
        <v>1630</v>
      </c>
      <c r="BP83" s="73">
        <f t="shared" ref="BP83" ca="1" si="178">($M83=BO83)*$D$14</f>
        <v>0</v>
      </c>
      <c r="BQ83" s="64"/>
      <c r="BR83" s="838" t="s">
        <v>1630</v>
      </c>
      <c r="BS83" s="73">
        <f t="shared" ref="BS83" ca="1" si="179">($M83=BR83)*$D$14</f>
        <v>0</v>
      </c>
      <c r="BT83" s="64"/>
      <c r="BU83" s="873" t="s">
        <v>1630</v>
      </c>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4">
        <f ca="1">VLOOKUP(H84,Equipos!$Q$1:$R$25,2,0)</f>
        <v>14</v>
      </c>
      <c r="H84" s="445">
        <f ca="1">$H$56</f>
        <v>46197</v>
      </c>
      <c r="I84" s="50"/>
      <c r="J84" s="928" t="s">
        <v>1</v>
      </c>
      <c r="K84" s="56" t="str">
        <f>Idiomas!D154</f>
        <v>1º GRUPO B</v>
      </c>
      <c r="L84" s="53"/>
      <c r="M84" s="55" t="str">
        <f ca="1">IF(OR(SUM(WORLDCUP!$AN$14:$AN$17)=12,WORLDCUP!$AJ$99=144),WORLDCUP!AL14,LEFT(K84,1)&amp;RIGHT(K84,1))</f>
        <v>1B</v>
      </c>
      <c r="N84" s="25"/>
      <c r="O84" s="25"/>
      <c r="P84" s="25"/>
      <c r="Q84" s="25"/>
      <c r="R84" s="110"/>
      <c r="S84" s="854" t="s">
        <v>75</v>
      </c>
      <c r="T84" s="73">
        <f t="shared" ref="T84" ca="1" si="188">($M84=S84)*$D$11</f>
        <v>0</v>
      </c>
      <c r="U84" s="64"/>
      <c r="V84" s="793" t="s">
        <v>1631</v>
      </c>
      <c r="W84" s="73">
        <f t="shared" ref="W84:CH84" ca="1" si="189">($M84=V84)*$D$11</f>
        <v>0</v>
      </c>
      <c r="X84" s="64"/>
      <c r="Y84" s="798" t="s">
        <v>75</v>
      </c>
      <c r="Z84" s="73">
        <f t="shared" ca="1" si="189"/>
        <v>0</v>
      </c>
      <c r="AA84" s="64"/>
      <c r="AB84" s="803" t="s">
        <v>1259</v>
      </c>
      <c r="AC84" s="73">
        <f t="shared" ca="1" si="189"/>
        <v>0</v>
      </c>
      <c r="AD84" s="64"/>
      <c r="AE84" s="808" t="s">
        <v>1259</v>
      </c>
      <c r="AF84" s="73">
        <f t="shared" ca="1" si="189"/>
        <v>0</v>
      </c>
      <c r="AG84" s="64"/>
      <c r="AH84" s="74" t="s">
        <v>1259</v>
      </c>
      <c r="AI84" s="73">
        <f t="shared" ca="1" si="189"/>
        <v>0</v>
      </c>
      <c r="AJ84" s="64"/>
      <c r="AK84" s="813" t="s">
        <v>75</v>
      </c>
      <c r="AL84" s="73">
        <f t="shared" ca="1" si="189"/>
        <v>0</v>
      </c>
      <c r="AM84" s="64"/>
      <c r="AN84" s="818" t="s">
        <v>75</v>
      </c>
      <c r="AO84" s="73">
        <f t="shared" ca="1" si="189"/>
        <v>0</v>
      </c>
      <c r="AP84" s="64"/>
      <c r="AQ84" s="823" t="s">
        <v>75</v>
      </c>
      <c r="AR84" s="73">
        <f t="shared" ca="1" si="189"/>
        <v>0</v>
      </c>
      <c r="AS84" s="64"/>
      <c r="AT84" s="828" t="s">
        <v>75</v>
      </c>
      <c r="AU84" s="73">
        <f t="shared" ca="1" si="189"/>
        <v>0</v>
      </c>
      <c r="AV84" s="64"/>
      <c r="AW84" s="832" t="s">
        <v>75</v>
      </c>
      <c r="AX84" s="73">
        <f t="shared" ca="1" si="189"/>
        <v>0</v>
      </c>
      <c r="AY84" s="64"/>
      <c r="AZ84" s="838" t="s">
        <v>1631</v>
      </c>
      <c r="BA84" s="73">
        <f t="shared" ca="1" si="189"/>
        <v>0</v>
      </c>
      <c r="BB84" s="64"/>
      <c r="BC84" s="845" t="s">
        <v>75</v>
      </c>
      <c r="BD84" s="73">
        <f t="shared" ca="1" si="189"/>
        <v>0</v>
      </c>
      <c r="BE84" s="64"/>
      <c r="BF84" s="849" t="s">
        <v>75</v>
      </c>
      <c r="BG84" s="73">
        <f t="shared" ca="1" si="189"/>
        <v>0</v>
      </c>
      <c r="BH84" s="64"/>
      <c r="BI84" s="859" t="s">
        <v>75</v>
      </c>
      <c r="BJ84" s="73">
        <f t="shared" ca="1" si="189"/>
        <v>0</v>
      </c>
      <c r="BK84" s="64"/>
      <c r="BL84" s="864" t="s">
        <v>75</v>
      </c>
      <c r="BM84" s="73">
        <f t="shared" ca="1" si="189"/>
        <v>0</v>
      </c>
      <c r="BN84" s="64"/>
      <c r="BO84" s="869" t="s">
        <v>1259</v>
      </c>
      <c r="BP84" s="73">
        <f t="shared" ca="1" si="189"/>
        <v>0</v>
      </c>
      <c r="BQ84" s="64"/>
      <c r="BR84" s="838" t="s">
        <v>75</v>
      </c>
      <c r="BS84" s="73">
        <f t="shared" ca="1" si="189"/>
        <v>0</v>
      </c>
      <c r="BT84" s="64"/>
      <c r="BU84" s="873" t="s">
        <v>75</v>
      </c>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4">
        <f ca="1">VLOOKUP(H85,Equipos!$Q$1:$R$25,2,0)</f>
        <v>14</v>
      </c>
      <c r="H85" s="445">
        <f ca="1">$H$56</f>
        <v>46197</v>
      </c>
      <c r="I85" s="50"/>
      <c r="J85" s="928"/>
      <c r="K85" s="56" t="str">
        <f>Idiomas!D155</f>
        <v>2º GRUPO B</v>
      </c>
      <c r="L85" s="53"/>
      <c r="M85" s="55" t="str">
        <f ca="1">IF(OR(SUM(WORLDCUP!$AN$14:$AN$17)=12,WORLDCUP!$AJ$99=144),WORLDCUP!AL15,LEFT(K85,1)&amp;RIGHT(K85,1))</f>
        <v>2B</v>
      </c>
      <c r="N85" s="25"/>
      <c r="O85" s="25"/>
      <c r="P85" s="25"/>
      <c r="Q85" s="25"/>
      <c r="R85" s="110"/>
      <c r="S85" s="854" t="s">
        <v>1259</v>
      </c>
      <c r="T85" s="73">
        <f t="shared" ref="T85" ca="1" si="192">($M85=S85)*$D$12</f>
        <v>0</v>
      </c>
      <c r="U85" s="64"/>
      <c r="V85" s="793" t="s">
        <v>1259</v>
      </c>
      <c r="W85" s="73">
        <f t="shared" ref="W85:CH85" ca="1" si="193">($M85=V85)*$D$12</f>
        <v>0</v>
      </c>
      <c r="X85" s="64"/>
      <c r="Y85" s="798" t="s">
        <v>1259</v>
      </c>
      <c r="Z85" s="73">
        <f t="shared" ca="1" si="193"/>
        <v>0</v>
      </c>
      <c r="AA85" s="64"/>
      <c r="AB85" s="803" t="s">
        <v>75</v>
      </c>
      <c r="AC85" s="73">
        <f t="shared" ca="1" si="193"/>
        <v>0</v>
      </c>
      <c r="AD85" s="64"/>
      <c r="AE85" s="808" t="s">
        <v>75</v>
      </c>
      <c r="AF85" s="73">
        <f t="shared" ca="1" si="193"/>
        <v>0</v>
      </c>
      <c r="AG85" s="64"/>
      <c r="AH85" s="74" t="s">
        <v>75</v>
      </c>
      <c r="AI85" s="73">
        <f t="shared" ca="1" si="193"/>
        <v>0</v>
      </c>
      <c r="AJ85" s="64"/>
      <c r="AK85" s="813" t="s">
        <v>1259</v>
      </c>
      <c r="AL85" s="73">
        <f t="shared" ca="1" si="193"/>
        <v>0</v>
      </c>
      <c r="AM85" s="64"/>
      <c r="AN85" s="818" t="s">
        <v>1841</v>
      </c>
      <c r="AO85" s="73">
        <f t="shared" ca="1" si="193"/>
        <v>0</v>
      </c>
      <c r="AP85" s="64"/>
      <c r="AQ85" s="823" t="s">
        <v>1841</v>
      </c>
      <c r="AR85" s="73">
        <f t="shared" ca="1" si="193"/>
        <v>0</v>
      </c>
      <c r="AS85" s="64"/>
      <c r="AT85" s="828" t="s">
        <v>1259</v>
      </c>
      <c r="AU85" s="73">
        <f t="shared" ca="1" si="193"/>
        <v>0</v>
      </c>
      <c r="AV85" s="64"/>
      <c r="AW85" s="832" t="s">
        <v>1259</v>
      </c>
      <c r="AX85" s="73">
        <f t="shared" ca="1" si="193"/>
        <v>0</v>
      </c>
      <c r="AY85" s="64"/>
      <c r="AZ85" s="838" t="s">
        <v>75</v>
      </c>
      <c r="BA85" s="73">
        <f t="shared" ca="1" si="193"/>
        <v>0</v>
      </c>
      <c r="BB85" s="64"/>
      <c r="BC85" s="845" t="s">
        <v>1841</v>
      </c>
      <c r="BD85" s="73">
        <f t="shared" ca="1" si="193"/>
        <v>0</v>
      </c>
      <c r="BE85" s="64"/>
      <c r="BF85" s="849" t="s">
        <v>1259</v>
      </c>
      <c r="BG85" s="73">
        <f t="shared" ca="1" si="193"/>
        <v>0</v>
      </c>
      <c r="BH85" s="64"/>
      <c r="BI85" s="859" t="s">
        <v>1841</v>
      </c>
      <c r="BJ85" s="73">
        <f t="shared" ca="1" si="193"/>
        <v>0</v>
      </c>
      <c r="BK85" s="64"/>
      <c r="BL85" s="864" t="s">
        <v>1259</v>
      </c>
      <c r="BM85" s="73">
        <f t="shared" ca="1" si="193"/>
        <v>0</v>
      </c>
      <c r="BN85" s="64"/>
      <c r="BO85" s="869" t="s">
        <v>1841</v>
      </c>
      <c r="BP85" s="73">
        <f t="shared" ca="1" si="193"/>
        <v>0</v>
      </c>
      <c r="BQ85" s="64"/>
      <c r="BR85" s="838" t="s">
        <v>1841</v>
      </c>
      <c r="BS85" s="73">
        <f t="shared" ca="1" si="193"/>
        <v>0</v>
      </c>
      <c r="BT85" s="64"/>
      <c r="BU85" s="873" t="s">
        <v>1259</v>
      </c>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4">
        <f ca="1">VLOOKUP(H86,Equipos!$Q$1:$R$25,2,0)</f>
        <v>14</v>
      </c>
      <c r="H86" s="445">
        <f ca="1">$H$56</f>
        <v>46197</v>
      </c>
      <c r="I86" s="50"/>
      <c r="J86" s="928"/>
      <c r="K86" s="56" t="str">
        <f>Idiomas!D156</f>
        <v>3º GRUPO B</v>
      </c>
      <c r="L86" s="53"/>
      <c r="M86" s="55" t="str">
        <f ca="1">IF(OR(SUM(WORLDCUP!$AN$14:$AN$17)=12,WORLDCUP!$AJ$99=144),WORLDCUP!AL16,LEFT(K86,1)&amp;RIGHT(K86,1))</f>
        <v>3B</v>
      </c>
      <c r="N86" s="25"/>
      <c r="O86" s="25"/>
      <c r="P86" s="25"/>
      <c r="Q86" s="25"/>
      <c r="R86" s="110"/>
      <c r="S86" s="854" t="s">
        <v>1631</v>
      </c>
      <c r="T86" s="73">
        <f t="shared" ref="T86" ca="1" si="196">($M86=S86)*$D$13</f>
        <v>0</v>
      </c>
      <c r="U86" s="64"/>
      <c r="V86" s="793" t="s">
        <v>1841</v>
      </c>
      <c r="W86" s="73">
        <f t="shared" ref="W86:CH86" ca="1" si="197">($M86=V86)*$D$13</f>
        <v>0</v>
      </c>
      <c r="X86" s="64"/>
      <c r="Y86" s="798" t="s">
        <v>1841</v>
      </c>
      <c r="Z86" s="73">
        <f t="shared" ca="1" si="197"/>
        <v>0</v>
      </c>
      <c r="AA86" s="64"/>
      <c r="AB86" s="803" t="s">
        <v>1841</v>
      </c>
      <c r="AC86" s="73">
        <f t="shared" ca="1" si="197"/>
        <v>0</v>
      </c>
      <c r="AD86" s="64"/>
      <c r="AE86" s="808" t="s">
        <v>1841</v>
      </c>
      <c r="AF86" s="73">
        <f t="shared" ca="1" si="197"/>
        <v>0</v>
      </c>
      <c r="AG86" s="64"/>
      <c r="AH86" s="74" t="s">
        <v>1631</v>
      </c>
      <c r="AI86" s="73">
        <f t="shared" ca="1" si="197"/>
        <v>0</v>
      </c>
      <c r="AJ86" s="64"/>
      <c r="AK86" s="813" t="s">
        <v>1841</v>
      </c>
      <c r="AL86" s="73">
        <f t="shared" ca="1" si="197"/>
        <v>0</v>
      </c>
      <c r="AM86" s="64"/>
      <c r="AN86" s="818" t="s">
        <v>1259</v>
      </c>
      <c r="AO86" s="73">
        <f t="shared" ca="1" si="197"/>
        <v>0</v>
      </c>
      <c r="AP86" s="64"/>
      <c r="AQ86" s="823" t="s">
        <v>1259</v>
      </c>
      <c r="AR86" s="73">
        <f t="shared" ca="1" si="197"/>
        <v>0</v>
      </c>
      <c r="AS86" s="64"/>
      <c r="AT86" s="828" t="s">
        <v>1841</v>
      </c>
      <c r="AU86" s="73">
        <f t="shared" ca="1" si="197"/>
        <v>0</v>
      </c>
      <c r="AV86" s="64"/>
      <c r="AW86" s="832" t="s">
        <v>1841</v>
      </c>
      <c r="AX86" s="73">
        <f t="shared" ca="1" si="197"/>
        <v>0</v>
      </c>
      <c r="AY86" s="64"/>
      <c r="AZ86" s="838" t="s">
        <v>1841</v>
      </c>
      <c r="BA86" s="73">
        <f t="shared" ca="1" si="197"/>
        <v>0</v>
      </c>
      <c r="BB86" s="64"/>
      <c r="BC86" s="845" t="s">
        <v>1631</v>
      </c>
      <c r="BD86" s="73">
        <f t="shared" ca="1" si="197"/>
        <v>0</v>
      </c>
      <c r="BE86" s="64"/>
      <c r="BF86" s="849" t="s">
        <v>1841</v>
      </c>
      <c r="BG86" s="73">
        <f t="shared" ca="1" si="197"/>
        <v>0</v>
      </c>
      <c r="BH86" s="64"/>
      <c r="BI86" s="859" t="s">
        <v>1259</v>
      </c>
      <c r="BJ86" s="73">
        <f t="shared" ca="1" si="197"/>
        <v>0</v>
      </c>
      <c r="BK86" s="64"/>
      <c r="BL86" s="864" t="s">
        <v>1841</v>
      </c>
      <c r="BM86" s="73">
        <f t="shared" ca="1" si="197"/>
        <v>0</v>
      </c>
      <c r="BN86" s="64"/>
      <c r="BO86" s="869" t="s">
        <v>75</v>
      </c>
      <c r="BP86" s="73">
        <f t="shared" ca="1" si="197"/>
        <v>0</v>
      </c>
      <c r="BQ86" s="64"/>
      <c r="BR86" s="838" t="s">
        <v>1259</v>
      </c>
      <c r="BS86" s="73">
        <f t="shared" ca="1" si="197"/>
        <v>0</v>
      </c>
      <c r="BT86" s="64"/>
      <c r="BU86" s="873" t="s">
        <v>1841</v>
      </c>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4">
        <f ca="1">VLOOKUP(H87,Equipos!$Q$1:$R$25,2,0)</f>
        <v>14</v>
      </c>
      <c r="H87" s="445">
        <f ca="1">$H$56</f>
        <v>46197</v>
      </c>
      <c r="I87" s="50"/>
      <c r="J87" s="928"/>
      <c r="K87" s="56" t="str">
        <f>Idiomas!D157</f>
        <v>4º GRUPO B</v>
      </c>
      <c r="L87" s="53"/>
      <c r="M87" s="55" t="str">
        <f ca="1">IF(OR(SUM(WORLDCUP!$AN$14:$AN$17)=12,WORLDCUP!$AJ$99=144),WORLDCUP!AL17,LEFT(K87,1)&amp;RIGHT(K87,1))</f>
        <v>4B</v>
      </c>
      <c r="N87" s="25"/>
      <c r="O87" s="25"/>
      <c r="P87" s="25"/>
      <c r="Q87" s="25"/>
      <c r="R87" s="110"/>
      <c r="S87" s="854" t="s">
        <v>1841</v>
      </c>
      <c r="T87" s="73">
        <f t="shared" ref="T87" ca="1" si="200">($M87=S87)*$D$14</f>
        <v>0</v>
      </c>
      <c r="U87" s="64"/>
      <c r="V87" s="793" t="s">
        <v>75</v>
      </c>
      <c r="W87" s="73">
        <f t="shared" ref="W87:CH87" ca="1" si="201">($M87=V87)*$D$14</f>
        <v>0</v>
      </c>
      <c r="X87" s="64"/>
      <c r="Y87" s="798" t="s">
        <v>1631</v>
      </c>
      <c r="Z87" s="73">
        <f t="shared" ca="1" si="201"/>
        <v>0</v>
      </c>
      <c r="AA87" s="64"/>
      <c r="AB87" s="803" t="s">
        <v>1631</v>
      </c>
      <c r="AC87" s="73">
        <f t="shared" ca="1" si="201"/>
        <v>0</v>
      </c>
      <c r="AD87" s="64"/>
      <c r="AE87" s="808" t="s">
        <v>1631</v>
      </c>
      <c r="AF87" s="73">
        <f t="shared" ca="1" si="201"/>
        <v>0</v>
      </c>
      <c r="AG87" s="64"/>
      <c r="AH87" s="74" t="s">
        <v>1841</v>
      </c>
      <c r="AI87" s="73">
        <f t="shared" ca="1" si="201"/>
        <v>0</v>
      </c>
      <c r="AJ87" s="64"/>
      <c r="AK87" s="813" t="s">
        <v>1631</v>
      </c>
      <c r="AL87" s="73">
        <f t="shared" ca="1" si="201"/>
        <v>0</v>
      </c>
      <c r="AM87" s="64"/>
      <c r="AN87" s="818" t="s">
        <v>1631</v>
      </c>
      <c r="AO87" s="73">
        <f t="shared" ca="1" si="201"/>
        <v>0</v>
      </c>
      <c r="AP87" s="64"/>
      <c r="AQ87" s="823" t="s">
        <v>1631</v>
      </c>
      <c r="AR87" s="73">
        <f t="shared" ca="1" si="201"/>
        <v>0</v>
      </c>
      <c r="AS87" s="64"/>
      <c r="AT87" s="828" t="s">
        <v>1631</v>
      </c>
      <c r="AU87" s="73">
        <f t="shared" ca="1" si="201"/>
        <v>0</v>
      </c>
      <c r="AV87" s="64"/>
      <c r="AW87" s="832" t="s">
        <v>1631</v>
      </c>
      <c r="AX87" s="73">
        <f t="shared" ca="1" si="201"/>
        <v>0</v>
      </c>
      <c r="AY87" s="64"/>
      <c r="AZ87" s="838" t="s">
        <v>1259</v>
      </c>
      <c r="BA87" s="73">
        <f t="shared" ca="1" si="201"/>
        <v>0</v>
      </c>
      <c r="BB87" s="64"/>
      <c r="BC87" s="845" t="s">
        <v>1259</v>
      </c>
      <c r="BD87" s="73">
        <f t="shared" ca="1" si="201"/>
        <v>0</v>
      </c>
      <c r="BE87" s="64"/>
      <c r="BF87" s="849" t="s">
        <v>1631</v>
      </c>
      <c r="BG87" s="73">
        <f t="shared" ca="1" si="201"/>
        <v>0</v>
      </c>
      <c r="BH87" s="64"/>
      <c r="BI87" s="859" t="s">
        <v>1631</v>
      </c>
      <c r="BJ87" s="73">
        <f t="shared" ca="1" si="201"/>
        <v>0</v>
      </c>
      <c r="BK87" s="64"/>
      <c r="BL87" s="864" t="s">
        <v>1631</v>
      </c>
      <c r="BM87" s="73">
        <f t="shared" ca="1" si="201"/>
        <v>0</v>
      </c>
      <c r="BN87" s="64"/>
      <c r="BO87" s="869" t="s">
        <v>1631</v>
      </c>
      <c r="BP87" s="73">
        <f t="shared" ca="1" si="201"/>
        <v>0</v>
      </c>
      <c r="BQ87" s="64"/>
      <c r="BR87" s="838" t="s">
        <v>1631</v>
      </c>
      <c r="BS87" s="73">
        <f t="shared" ca="1" si="201"/>
        <v>0</v>
      </c>
      <c r="BT87" s="64"/>
      <c r="BU87" s="873" t="s">
        <v>1631</v>
      </c>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4">
        <f ca="1">VLOOKUP(H88,Equipos!$Q$1:$R$25,2,0)</f>
        <v>14</v>
      </c>
      <c r="H88" s="445">
        <f ca="1">$H$58</f>
        <v>46197</v>
      </c>
      <c r="I88" s="50"/>
      <c r="J88" s="929" t="s">
        <v>2</v>
      </c>
      <c r="K88" s="56" t="str">
        <f>Idiomas!D158</f>
        <v>1º GRUPO C</v>
      </c>
      <c r="L88" s="53"/>
      <c r="M88" s="55" t="str">
        <f ca="1">IF(OR(SUM(WORLDCUP!$AN$22:$AN$25)=12,WORLDCUP!$AJ$99=144),WORLDCUP!AL22,LEFT(K88,1)&amp;RIGHT(K88,1))</f>
        <v>1C</v>
      </c>
      <c r="N88" s="25"/>
      <c r="O88" s="25"/>
      <c r="P88" s="25"/>
      <c r="Q88" s="25"/>
      <c r="R88" s="110"/>
      <c r="S88" s="854" t="s">
        <v>1258</v>
      </c>
      <c r="T88" s="73">
        <f t="shared" ref="T88" ca="1" si="204">($M88=S88)*$D$11</f>
        <v>0</v>
      </c>
      <c r="U88" s="64"/>
      <c r="V88" s="793" t="s">
        <v>1258</v>
      </c>
      <c r="W88" s="73">
        <f t="shared" ref="W88:CH88" ca="1" si="205">($M88=V88)*$D$11</f>
        <v>0</v>
      </c>
      <c r="X88" s="64"/>
      <c r="Y88" s="798" t="s">
        <v>1258</v>
      </c>
      <c r="Z88" s="73">
        <f t="shared" ca="1" si="205"/>
        <v>0</v>
      </c>
      <c r="AA88" s="64"/>
      <c r="AB88" s="803" t="s">
        <v>1258</v>
      </c>
      <c r="AC88" s="73">
        <f t="shared" ca="1" si="205"/>
        <v>0</v>
      </c>
      <c r="AD88" s="64"/>
      <c r="AE88" s="808" t="s">
        <v>1258</v>
      </c>
      <c r="AF88" s="73">
        <f t="shared" ca="1" si="205"/>
        <v>0</v>
      </c>
      <c r="AG88" s="64"/>
      <c r="AH88" s="74" t="s">
        <v>1258</v>
      </c>
      <c r="AI88" s="73">
        <f t="shared" ca="1" si="205"/>
        <v>0</v>
      </c>
      <c r="AJ88" s="64"/>
      <c r="AK88" s="813" t="s">
        <v>1258</v>
      </c>
      <c r="AL88" s="73">
        <f t="shared" ca="1" si="205"/>
        <v>0</v>
      </c>
      <c r="AM88" s="64"/>
      <c r="AN88" s="818" t="s">
        <v>1258</v>
      </c>
      <c r="AO88" s="73">
        <f t="shared" ca="1" si="205"/>
        <v>0</v>
      </c>
      <c r="AP88" s="64"/>
      <c r="AQ88" s="823" t="s">
        <v>1258</v>
      </c>
      <c r="AR88" s="73">
        <f t="shared" ca="1" si="205"/>
        <v>0</v>
      </c>
      <c r="AS88" s="64"/>
      <c r="AT88" s="828" t="s">
        <v>1258</v>
      </c>
      <c r="AU88" s="73">
        <f t="shared" ca="1" si="205"/>
        <v>0</v>
      </c>
      <c r="AV88" s="64"/>
      <c r="AW88" s="832" t="s">
        <v>1258</v>
      </c>
      <c r="AX88" s="73">
        <f t="shared" ca="1" si="205"/>
        <v>0</v>
      </c>
      <c r="AY88" s="64"/>
      <c r="AZ88" s="838" t="s">
        <v>1258</v>
      </c>
      <c r="BA88" s="73">
        <f t="shared" ca="1" si="205"/>
        <v>0</v>
      </c>
      <c r="BB88" s="64"/>
      <c r="BC88" s="845" t="s">
        <v>1258</v>
      </c>
      <c r="BD88" s="73">
        <f t="shared" ca="1" si="205"/>
        <v>0</v>
      </c>
      <c r="BE88" s="64"/>
      <c r="BF88" s="849" t="s">
        <v>1321</v>
      </c>
      <c r="BG88" s="73">
        <f t="shared" ca="1" si="205"/>
        <v>0</v>
      </c>
      <c r="BH88" s="64"/>
      <c r="BI88" s="859" t="s">
        <v>1258</v>
      </c>
      <c r="BJ88" s="73">
        <f t="shared" ca="1" si="205"/>
        <v>0</v>
      </c>
      <c r="BK88" s="64"/>
      <c r="BL88" s="864" t="s">
        <v>1258</v>
      </c>
      <c r="BM88" s="73">
        <f t="shared" ca="1" si="205"/>
        <v>0</v>
      </c>
      <c r="BN88" s="64"/>
      <c r="BO88" s="869" t="s">
        <v>1258</v>
      </c>
      <c r="BP88" s="73">
        <f t="shared" ca="1" si="205"/>
        <v>0</v>
      </c>
      <c r="BQ88" s="64"/>
      <c r="BR88" s="838" t="s">
        <v>1258</v>
      </c>
      <c r="BS88" s="73">
        <f t="shared" ca="1" si="205"/>
        <v>0</v>
      </c>
      <c r="BT88" s="64"/>
      <c r="BU88" s="873" t="s">
        <v>1258</v>
      </c>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4">
        <f ca="1">VLOOKUP(H89,Equipos!$Q$1:$R$25,2,0)</f>
        <v>14</v>
      </c>
      <c r="H89" s="445">
        <f ca="1">$H$58</f>
        <v>46197</v>
      </c>
      <c r="I89" s="50"/>
      <c r="J89" s="929"/>
      <c r="K89" s="56" t="str">
        <f>Idiomas!D159</f>
        <v>2º GRUPO C</v>
      </c>
      <c r="L89" s="53"/>
      <c r="M89" s="55" t="str">
        <f ca="1">IF(OR(SUM(WORLDCUP!$AN$22:$AN$25)=12,WORLDCUP!$AJ$99=144),WORLDCUP!AL23,LEFT(K89,1)&amp;RIGHT(K89,1))</f>
        <v>2C</v>
      </c>
      <c r="N89" s="25"/>
      <c r="O89" s="25"/>
      <c r="P89" s="25"/>
      <c r="Q89" s="25"/>
      <c r="R89" s="110"/>
      <c r="S89" s="854" t="s">
        <v>1321</v>
      </c>
      <c r="T89" s="73">
        <f t="shared" ref="T89" ca="1" si="208">($M89=S89)*$D$12</f>
        <v>0</v>
      </c>
      <c r="U89" s="64"/>
      <c r="V89" s="793" t="s">
        <v>134</v>
      </c>
      <c r="W89" s="73">
        <f t="shared" ref="W89:CH89" ca="1" si="209">($M89=V89)*$D$12</f>
        <v>0</v>
      </c>
      <c r="X89" s="64"/>
      <c r="Y89" s="798" t="s">
        <v>1321</v>
      </c>
      <c r="Z89" s="73">
        <f t="shared" ca="1" si="209"/>
        <v>0</v>
      </c>
      <c r="AA89" s="64"/>
      <c r="AB89" s="803" t="s">
        <v>1321</v>
      </c>
      <c r="AC89" s="73">
        <f t="shared" ca="1" si="209"/>
        <v>0</v>
      </c>
      <c r="AD89" s="64"/>
      <c r="AE89" s="808" t="s">
        <v>1321</v>
      </c>
      <c r="AF89" s="73">
        <f t="shared" ca="1" si="209"/>
        <v>0</v>
      </c>
      <c r="AG89" s="64"/>
      <c r="AH89" s="74" t="s">
        <v>1321</v>
      </c>
      <c r="AI89" s="73">
        <f t="shared" ca="1" si="209"/>
        <v>0</v>
      </c>
      <c r="AJ89" s="64"/>
      <c r="AK89" s="813" t="s">
        <v>1321</v>
      </c>
      <c r="AL89" s="73">
        <f t="shared" ca="1" si="209"/>
        <v>0</v>
      </c>
      <c r="AM89" s="64"/>
      <c r="AN89" s="818" t="s">
        <v>1321</v>
      </c>
      <c r="AO89" s="73">
        <f t="shared" ca="1" si="209"/>
        <v>0</v>
      </c>
      <c r="AP89" s="64"/>
      <c r="AQ89" s="823" t="s">
        <v>134</v>
      </c>
      <c r="AR89" s="73">
        <f t="shared" ca="1" si="209"/>
        <v>0</v>
      </c>
      <c r="AS89" s="64"/>
      <c r="AT89" s="828" t="s">
        <v>1321</v>
      </c>
      <c r="AU89" s="73">
        <f t="shared" ca="1" si="209"/>
        <v>0</v>
      </c>
      <c r="AV89" s="64"/>
      <c r="AW89" s="832" t="s">
        <v>1321</v>
      </c>
      <c r="AX89" s="73">
        <f t="shared" ca="1" si="209"/>
        <v>0</v>
      </c>
      <c r="AY89" s="64"/>
      <c r="AZ89" s="838" t="s">
        <v>1321</v>
      </c>
      <c r="BA89" s="73">
        <f t="shared" ca="1" si="209"/>
        <v>0</v>
      </c>
      <c r="BB89" s="64"/>
      <c r="BC89" s="845" t="s">
        <v>134</v>
      </c>
      <c r="BD89" s="73">
        <f t="shared" ca="1" si="209"/>
        <v>0</v>
      </c>
      <c r="BE89" s="64"/>
      <c r="BF89" s="849" t="s">
        <v>1258</v>
      </c>
      <c r="BG89" s="73">
        <f t="shared" ca="1" si="209"/>
        <v>0</v>
      </c>
      <c r="BH89" s="64"/>
      <c r="BI89" s="859" t="s">
        <v>1321</v>
      </c>
      <c r="BJ89" s="73">
        <f t="shared" ca="1" si="209"/>
        <v>0</v>
      </c>
      <c r="BK89" s="64"/>
      <c r="BL89" s="864" t="s">
        <v>1321</v>
      </c>
      <c r="BM89" s="73">
        <f t="shared" ca="1" si="209"/>
        <v>0</v>
      </c>
      <c r="BN89" s="64"/>
      <c r="BO89" s="869" t="s">
        <v>1321</v>
      </c>
      <c r="BP89" s="73">
        <f t="shared" ca="1" si="209"/>
        <v>0</v>
      </c>
      <c r="BQ89" s="64"/>
      <c r="BR89" s="838" t="s">
        <v>1321</v>
      </c>
      <c r="BS89" s="73">
        <f t="shared" ca="1" si="209"/>
        <v>0</v>
      </c>
      <c r="BT89" s="64"/>
      <c r="BU89" s="873" t="s">
        <v>134</v>
      </c>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4">
        <f ca="1">VLOOKUP(H90,Equipos!$Q$1:$R$25,2,0)</f>
        <v>14</v>
      </c>
      <c r="H90" s="445">
        <f ca="1">$H$58</f>
        <v>46197</v>
      </c>
      <c r="I90" s="50"/>
      <c r="J90" s="929"/>
      <c r="K90" s="56" t="str">
        <f>Idiomas!D160</f>
        <v>3º GRUPO C</v>
      </c>
      <c r="L90" s="53"/>
      <c r="M90" s="55" t="str">
        <f ca="1">IF(OR(SUM(WORLDCUP!$AN$22:$AN$25)=12,WORLDCUP!$AJ$99=144),WORLDCUP!AL24,LEFT(K90,1)&amp;RIGHT(K90,1))</f>
        <v>3C</v>
      </c>
      <c r="N90" s="25"/>
      <c r="O90" s="25"/>
      <c r="P90" s="25"/>
      <c r="Q90" s="25"/>
      <c r="R90" s="110"/>
      <c r="S90" s="854" t="s">
        <v>134</v>
      </c>
      <c r="T90" s="73">
        <f t="shared" ref="T90" ca="1" si="212">($M90=S90)*$D$13</f>
        <v>0</v>
      </c>
      <c r="U90" s="64"/>
      <c r="V90" s="793" t="s">
        <v>1728</v>
      </c>
      <c r="W90" s="73">
        <f t="shared" ref="W90:CH90" ca="1" si="213">($M90=V90)*$D$13</f>
        <v>0</v>
      </c>
      <c r="X90" s="64"/>
      <c r="Y90" s="798" t="s">
        <v>134</v>
      </c>
      <c r="Z90" s="73">
        <f t="shared" ca="1" si="213"/>
        <v>0</v>
      </c>
      <c r="AA90" s="64"/>
      <c r="AB90" s="803" t="s">
        <v>134</v>
      </c>
      <c r="AC90" s="73">
        <f t="shared" ca="1" si="213"/>
        <v>0</v>
      </c>
      <c r="AD90" s="64"/>
      <c r="AE90" s="808" t="s">
        <v>134</v>
      </c>
      <c r="AF90" s="73">
        <f t="shared" ca="1" si="213"/>
        <v>0</v>
      </c>
      <c r="AG90" s="64"/>
      <c r="AH90" s="74" t="s">
        <v>134</v>
      </c>
      <c r="AI90" s="73">
        <f t="shared" ca="1" si="213"/>
        <v>0</v>
      </c>
      <c r="AJ90" s="64"/>
      <c r="AK90" s="813" t="s">
        <v>134</v>
      </c>
      <c r="AL90" s="73">
        <f t="shared" ca="1" si="213"/>
        <v>0</v>
      </c>
      <c r="AM90" s="64"/>
      <c r="AN90" s="818" t="s">
        <v>134</v>
      </c>
      <c r="AO90" s="73">
        <f t="shared" ca="1" si="213"/>
        <v>0</v>
      </c>
      <c r="AP90" s="64"/>
      <c r="AQ90" s="823" t="s">
        <v>1321</v>
      </c>
      <c r="AR90" s="73">
        <f t="shared" ca="1" si="213"/>
        <v>0</v>
      </c>
      <c r="AS90" s="64"/>
      <c r="AT90" s="828" t="s">
        <v>134</v>
      </c>
      <c r="AU90" s="73">
        <f t="shared" ca="1" si="213"/>
        <v>0</v>
      </c>
      <c r="AV90" s="64"/>
      <c r="AW90" s="832" t="s">
        <v>134</v>
      </c>
      <c r="AX90" s="73">
        <f t="shared" ca="1" si="213"/>
        <v>0</v>
      </c>
      <c r="AY90" s="64"/>
      <c r="AZ90" s="838" t="s">
        <v>134</v>
      </c>
      <c r="BA90" s="73">
        <f t="shared" ca="1" si="213"/>
        <v>0</v>
      </c>
      <c r="BB90" s="64"/>
      <c r="BC90" s="845" t="s">
        <v>1321</v>
      </c>
      <c r="BD90" s="73">
        <f t="shared" ca="1" si="213"/>
        <v>0</v>
      </c>
      <c r="BE90" s="64"/>
      <c r="BF90" s="849" t="s">
        <v>134</v>
      </c>
      <c r="BG90" s="73">
        <f t="shared" ca="1" si="213"/>
        <v>0</v>
      </c>
      <c r="BH90" s="64"/>
      <c r="BI90" s="859" t="s">
        <v>134</v>
      </c>
      <c r="BJ90" s="73">
        <f t="shared" ca="1" si="213"/>
        <v>0</v>
      </c>
      <c r="BK90" s="64"/>
      <c r="BL90" s="864" t="s">
        <v>134</v>
      </c>
      <c r="BM90" s="73">
        <f t="shared" ca="1" si="213"/>
        <v>0</v>
      </c>
      <c r="BN90" s="64"/>
      <c r="BO90" s="869" t="s">
        <v>134</v>
      </c>
      <c r="BP90" s="73">
        <f t="shared" ca="1" si="213"/>
        <v>0</v>
      </c>
      <c r="BQ90" s="64"/>
      <c r="BR90" s="838" t="s">
        <v>134</v>
      </c>
      <c r="BS90" s="73">
        <f t="shared" ca="1" si="213"/>
        <v>0</v>
      </c>
      <c r="BT90" s="64"/>
      <c r="BU90" s="873" t="s">
        <v>1321</v>
      </c>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4">
        <f ca="1">VLOOKUP(H91,Equipos!$Q$1:$R$25,2,0)</f>
        <v>14</v>
      </c>
      <c r="H91" s="445">
        <f ca="1">$H$58</f>
        <v>46197</v>
      </c>
      <c r="I91" s="50"/>
      <c r="J91" s="929"/>
      <c r="K91" s="56" t="str">
        <f>Idiomas!D161</f>
        <v>4º GRUPO C</v>
      </c>
      <c r="L91" s="53"/>
      <c r="M91" s="55" t="str">
        <f ca="1">IF(OR(SUM(WORLDCUP!$AN$22:$AN$25)=12,WORLDCUP!$AJ$99=144),WORLDCUP!AL25,LEFT(K91,1)&amp;RIGHT(K91,1))</f>
        <v>4C</v>
      </c>
      <c r="N91" s="25"/>
      <c r="O91" s="25"/>
      <c r="P91" s="25"/>
      <c r="Q91" s="25"/>
      <c r="R91" s="110"/>
      <c r="S91" s="854" t="s">
        <v>1728</v>
      </c>
      <c r="T91" s="73">
        <f t="shared" ref="T91" ca="1" si="216">($M91=S91)*$D$14</f>
        <v>0</v>
      </c>
      <c r="U91" s="64"/>
      <c r="V91" s="793" t="s">
        <v>1321</v>
      </c>
      <c r="W91" s="73">
        <f t="shared" ref="W91:CH91" ca="1" si="217">($M91=V91)*$D$14</f>
        <v>0</v>
      </c>
      <c r="X91" s="64"/>
      <c r="Y91" s="798" t="s">
        <v>1728</v>
      </c>
      <c r="Z91" s="73">
        <f t="shared" ca="1" si="217"/>
        <v>0</v>
      </c>
      <c r="AA91" s="64"/>
      <c r="AB91" s="803" t="s">
        <v>1728</v>
      </c>
      <c r="AC91" s="73">
        <f t="shared" ca="1" si="217"/>
        <v>0</v>
      </c>
      <c r="AD91" s="64"/>
      <c r="AE91" s="808" t="s">
        <v>1728</v>
      </c>
      <c r="AF91" s="73">
        <f t="shared" ca="1" si="217"/>
        <v>0</v>
      </c>
      <c r="AG91" s="64"/>
      <c r="AH91" s="74" t="s">
        <v>1728</v>
      </c>
      <c r="AI91" s="73">
        <f t="shared" ca="1" si="217"/>
        <v>0</v>
      </c>
      <c r="AJ91" s="64"/>
      <c r="AK91" s="813" t="s">
        <v>1728</v>
      </c>
      <c r="AL91" s="73">
        <f t="shared" ca="1" si="217"/>
        <v>0</v>
      </c>
      <c r="AM91" s="64"/>
      <c r="AN91" s="818" t="s">
        <v>1728</v>
      </c>
      <c r="AO91" s="73">
        <f t="shared" ca="1" si="217"/>
        <v>0</v>
      </c>
      <c r="AP91" s="64"/>
      <c r="AQ91" s="823" t="s">
        <v>1728</v>
      </c>
      <c r="AR91" s="73">
        <f t="shared" ca="1" si="217"/>
        <v>0</v>
      </c>
      <c r="AS91" s="64"/>
      <c r="AT91" s="828" t="s">
        <v>1728</v>
      </c>
      <c r="AU91" s="73">
        <f t="shared" ca="1" si="217"/>
        <v>0</v>
      </c>
      <c r="AV91" s="64"/>
      <c r="AW91" s="832" t="s">
        <v>1728</v>
      </c>
      <c r="AX91" s="73">
        <f t="shared" ca="1" si="217"/>
        <v>0</v>
      </c>
      <c r="AY91" s="64"/>
      <c r="AZ91" s="838" t="s">
        <v>1728</v>
      </c>
      <c r="BA91" s="73">
        <f t="shared" ca="1" si="217"/>
        <v>0</v>
      </c>
      <c r="BB91" s="64"/>
      <c r="BC91" s="845" t="s">
        <v>1728</v>
      </c>
      <c r="BD91" s="73">
        <f t="shared" ca="1" si="217"/>
        <v>0</v>
      </c>
      <c r="BE91" s="64"/>
      <c r="BF91" s="849" t="s">
        <v>1728</v>
      </c>
      <c r="BG91" s="73">
        <f t="shared" ca="1" si="217"/>
        <v>0</v>
      </c>
      <c r="BH91" s="64"/>
      <c r="BI91" s="859" t="s">
        <v>1728</v>
      </c>
      <c r="BJ91" s="73">
        <f t="shared" ca="1" si="217"/>
        <v>0</v>
      </c>
      <c r="BK91" s="64"/>
      <c r="BL91" s="864" t="s">
        <v>1728</v>
      </c>
      <c r="BM91" s="73">
        <f t="shared" ca="1" si="217"/>
        <v>0</v>
      </c>
      <c r="BN91" s="64"/>
      <c r="BO91" s="869" t="s">
        <v>1728</v>
      </c>
      <c r="BP91" s="73">
        <f t="shared" ca="1" si="217"/>
        <v>0</v>
      </c>
      <c r="BQ91" s="64"/>
      <c r="BR91" s="838" t="s">
        <v>1728</v>
      </c>
      <c r="BS91" s="73">
        <f t="shared" ca="1" si="217"/>
        <v>0</v>
      </c>
      <c r="BT91" s="64"/>
      <c r="BU91" s="873" t="s">
        <v>1728</v>
      </c>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4">
        <f ca="1">VLOOKUP(H92,Equipos!$Q$1:$R$25,2,0)</f>
        <v>15</v>
      </c>
      <c r="H92" s="445">
        <f ca="1">$H$60</f>
        <v>46198</v>
      </c>
      <c r="I92" s="50"/>
      <c r="J92" s="928" t="s">
        <v>73</v>
      </c>
      <c r="K92" s="56" t="str">
        <f>Idiomas!D162</f>
        <v>1º GRUPO D</v>
      </c>
      <c r="L92" s="53"/>
      <c r="M92" s="55" t="str">
        <f ca="1">IF(OR(SUM(WORLDCUP!$AN$30:$AN$33)=12,WORLDCUP!$AJ$99=144),WORLDCUP!AL30,LEFT(K92,1)&amp;RIGHT(K92,1))</f>
        <v>1D</v>
      </c>
      <c r="N92" s="25"/>
      <c r="O92" s="25"/>
      <c r="P92" s="25"/>
      <c r="Q92" s="25"/>
      <c r="R92" s="110"/>
      <c r="S92" s="854" t="s">
        <v>1835</v>
      </c>
      <c r="T92" s="73">
        <f t="shared" ref="T92" ca="1" si="220">($M92=S92)*$D$11</f>
        <v>0</v>
      </c>
      <c r="U92" s="64"/>
      <c r="V92" s="793" t="s">
        <v>1319</v>
      </c>
      <c r="W92" s="73">
        <f t="shared" ref="W92:CH92" ca="1" si="221">($M92=V92)*$D$11</f>
        <v>0</v>
      </c>
      <c r="X92" s="64"/>
      <c r="Y92" s="798" t="s">
        <v>497</v>
      </c>
      <c r="Z92" s="73">
        <f t="shared" ca="1" si="221"/>
        <v>0</v>
      </c>
      <c r="AA92" s="64"/>
      <c r="AB92" s="803" t="s">
        <v>1835</v>
      </c>
      <c r="AC92" s="73">
        <f t="shared" ca="1" si="221"/>
        <v>0</v>
      </c>
      <c r="AD92" s="64"/>
      <c r="AE92" s="808" t="s">
        <v>1835</v>
      </c>
      <c r="AF92" s="73">
        <f t="shared" ca="1" si="221"/>
        <v>0</v>
      </c>
      <c r="AG92" s="64"/>
      <c r="AH92" s="74" t="s">
        <v>1835</v>
      </c>
      <c r="AI92" s="73">
        <f t="shared" ca="1" si="221"/>
        <v>0</v>
      </c>
      <c r="AJ92" s="64"/>
      <c r="AK92" s="813" t="s">
        <v>1835</v>
      </c>
      <c r="AL92" s="73">
        <f t="shared" ca="1" si="221"/>
        <v>0</v>
      </c>
      <c r="AM92" s="64"/>
      <c r="AN92" s="818" t="s">
        <v>1319</v>
      </c>
      <c r="AO92" s="73">
        <f t="shared" ca="1" si="221"/>
        <v>0</v>
      </c>
      <c r="AP92" s="64"/>
      <c r="AQ92" s="823" t="s">
        <v>1835</v>
      </c>
      <c r="AR92" s="73">
        <f t="shared" ca="1" si="221"/>
        <v>0</v>
      </c>
      <c r="AS92" s="64"/>
      <c r="AT92" s="828" t="s">
        <v>497</v>
      </c>
      <c r="AU92" s="73">
        <f t="shared" ca="1" si="221"/>
        <v>0</v>
      </c>
      <c r="AV92" s="64"/>
      <c r="AW92" s="832" t="s">
        <v>497</v>
      </c>
      <c r="AX92" s="73">
        <f t="shared" ca="1" si="221"/>
        <v>0</v>
      </c>
      <c r="AY92" s="64"/>
      <c r="AZ92" s="838" t="s">
        <v>497</v>
      </c>
      <c r="BA92" s="73">
        <f t="shared" ca="1" si="221"/>
        <v>0</v>
      </c>
      <c r="BB92" s="64"/>
      <c r="BC92" s="845" t="s">
        <v>1835</v>
      </c>
      <c r="BD92" s="73">
        <f t="shared" ca="1" si="221"/>
        <v>0</v>
      </c>
      <c r="BE92" s="64"/>
      <c r="BF92" s="849" t="s">
        <v>1835</v>
      </c>
      <c r="BG92" s="73">
        <f t="shared" ca="1" si="221"/>
        <v>0</v>
      </c>
      <c r="BH92" s="64"/>
      <c r="BI92" s="859" t="s">
        <v>1319</v>
      </c>
      <c r="BJ92" s="73">
        <f t="shared" ca="1" si="221"/>
        <v>0</v>
      </c>
      <c r="BK92" s="64"/>
      <c r="BL92" s="864" t="s">
        <v>1835</v>
      </c>
      <c r="BM92" s="73">
        <f t="shared" ca="1" si="221"/>
        <v>0</v>
      </c>
      <c r="BN92" s="64"/>
      <c r="BO92" s="869" t="s">
        <v>1835</v>
      </c>
      <c r="BP92" s="73">
        <f t="shared" ca="1" si="221"/>
        <v>0</v>
      </c>
      <c r="BQ92" s="64"/>
      <c r="BR92" s="838" t="s">
        <v>1835</v>
      </c>
      <c r="BS92" s="73">
        <f t="shared" ca="1" si="221"/>
        <v>0</v>
      </c>
      <c r="BT92" s="64"/>
      <c r="BU92" s="873" t="s">
        <v>497</v>
      </c>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4">
        <f ca="1">VLOOKUP(H93,Equipos!$Q$1:$R$25,2,0)</f>
        <v>15</v>
      </c>
      <c r="H93" s="445">
        <f ca="1">$H$60</f>
        <v>46198</v>
      </c>
      <c r="I93" s="50"/>
      <c r="J93" s="928"/>
      <c r="K93" s="56" t="str">
        <f>Idiomas!D163</f>
        <v>2º GRUPO D</v>
      </c>
      <c r="L93" s="53"/>
      <c r="M93" s="55" t="str">
        <f ca="1">IF(OR(SUM(WORLDCUP!$AN$30:$AN$33)=12,WORLDCUP!$AJ$99=144),WORLDCUP!AL31,LEFT(K93,1)&amp;RIGHT(K93,1))</f>
        <v>2D</v>
      </c>
      <c r="N93" s="25"/>
      <c r="O93" s="25"/>
      <c r="P93" s="25"/>
      <c r="Q93" s="25"/>
      <c r="R93" s="110"/>
      <c r="S93" s="854" t="s">
        <v>497</v>
      </c>
      <c r="T93" s="73">
        <f t="shared" ref="T93" ca="1" si="224">($M93=S93)*$D$12</f>
        <v>0</v>
      </c>
      <c r="U93" s="64"/>
      <c r="V93" s="793" t="s">
        <v>1257</v>
      </c>
      <c r="W93" s="73">
        <f t="shared" ref="W93:CH93" ca="1" si="225">($M93=V93)*$D$12</f>
        <v>0</v>
      </c>
      <c r="X93" s="64"/>
      <c r="Y93" s="798" t="s">
        <v>1835</v>
      </c>
      <c r="Z93" s="73">
        <f t="shared" ca="1" si="225"/>
        <v>0</v>
      </c>
      <c r="AA93" s="64"/>
      <c r="AB93" s="803" t="s">
        <v>1319</v>
      </c>
      <c r="AC93" s="73">
        <f t="shared" ca="1" si="225"/>
        <v>0</v>
      </c>
      <c r="AD93" s="64"/>
      <c r="AE93" s="808" t="s">
        <v>497</v>
      </c>
      <c r="AF93" s="73">
        <f t="shared" ca="1" si="225"/>
        <v>0</v>
      </c>
      <c r="AG93" s="64"/>
      <c r="AH93" s="74" t="s">
        <v>497</v>
      </c>
      <c r="AI93" s="73">
        <f t="shared" ca="1" si="225"/>
        <v>0</v>
      </c>
      <c r="AJ93" s="64"/>
      <c r="AK93" s="813" t="s">
        <v>1319</v>
      </c>
      <c r="AL93" s="73">
        <f t="shared" ca="1" si="225"/>
        <v>0</v>
      </c>
      <c r="AM93" s="64"/>
      <c r="AN93" s="818" t="s">
        <v>1835</v>
      </c>
      <c r="AO93" s="73">
        <f t="shared" ca="1" si="225"/>
        <v>0</v>
      </c>
      <c r="AP93" s="64"/>
      <c r="AQ93" s="823" t="s">
        <v>1319</v>
      </c>
      <c r="AR93" s="73">
        <f t="shared" ca="1" si="225"/>
        <v>0</v>
      </c>
      <c r="AS93" s="64"/>
      <c r="AT93" s="828" t="s">
        <v>1835</v>
      </c>
      <c r="AU93" s="73">
        <f t="shared" ca="1" si="225"/>
        <v>0</v>
      </c>
      <c r="AV93" s="64"/>
      <c r="AW93" s="832" t="s">
        <v>1319</v>
      </c>
      <c r="AX93" s="73">
        <f t="shared" ca="1" si="225"/>
        <v>0</v>
      </c>
      <c r="AY93" s="64"/>
      <c r="AZ93" s="838" t="s">
        <v>1835</v>
      </c>
      <c r="BA93" s="73">
        <f t="shared" ca="1" si="225"/>
        <v>0</v>
      </c>
      <c r="BB93" s="64"/>
      <c r="BC93" s="845" t="s">
        <v>1319</v>
      </c>
      <c r="BD93" s="73">
        <f t="shared" ca="1" si="225"/>
        <v>0</v>
      </c>
      <c r="BE93" s="64"/>
      <c r="BF93" s="849" t="s">
        <v>497</v>
      </c>
      <c r="BG93" s="73">
        <f t="shared" ca="1" si="225"/>
        <v>0</v>
      </c>
      <c r="BH93" s="64"/>
      <c r="BI93" s="859" t="s">
        <v>1835</v>
      </c>
      <c r="BJ93" s="73">
        <f t="shared" ca="1" si="225"/>
        <v>0</v>
      </c>
      <c r="BK93" s="64"/>
      <c r="BL93" s="864" t="s">
        <v>497</v>
      </c>
      <c r="BM93" s="73">
        <f t="shared" ca="1" si="225"/>
        <v>0</v>
      </c>
      <c r="BN93" s="64"/>
      <c r="BO93" s="869" t="s">
        <v>497</v>
      </c>
      <c r="BP93" s="73">
        <f t="shared" ca="1" si="225"/>
        <v>0</v>
      </c>
      <c r="BQ93" s="64"/>
      <c r="BR93" s="838" t="s">
        <v>1319</v>
      </c>
      <c r="BS93" s="73">
        <f t="shared" ca="1" si="225"/>
        <v>0</v>
      </c>
      <c r="BT93" s="64"/>
      <c r="BU93" s="873" t="s">
        <v>1835</v>
      </c>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4">
        <f ca="1">VLOOKUP(H94,Equipos!$Q$1:$R$25,2,0)</f>
        <v>15</v>
      </c>
      <c r="H94" s="445">
        <f ca="1">$H$60</f>
        <v>46198</v>
      </c>
      <c r="I94" s="50"/>
      <c r="J94" s="928"/>
      <c r="K94" s="56" t="str">
        <f>Idiomas!D164</f>
        <v>3º GRUPO D</v>
      </c>
      <c r="L94" s="53"/>
      <c r="M94" s="55" t="str">
        <f ca="1">IF(OR(SUM(WORLDCUP!$AN$30:$AN$33)=12,WORLDCUP!$AJ$99=144),WORLDCUP!AL32,LEFT(K94,1)&amp;RIGHT(K94,1))</f>
        <v>3D</v>
      </c>
      <c r="N94" s="25"/>
      <c r="O94" s="25"/>
      <c r="P94" s="25"/>
      <c r="Q94" s="25"/>
      <c r="R94" s="110"/>
      <c r="S94" s="854" t="s">
        <v>1319</v>
      </c>
      <c r="T94" s="73">
        <f t="shared" ref="T94" ca="1" si="228">($M94=S94)*$D$13</f>
        <v>0</v>
      </c>
      <c r="U94" s="64"/>
      <c r="V94" s="793" t="s">
        <v>497</v>
      </c>
      <c r="W94" s="73">
        <f t="shared" ref="W94:CH94" ca="1" si="229">($M94=V94)*$D$13</f>
        <v>0</v>
      </c>
      <c r="X94" s="64"/>
      <c r="Y94" s="798" t="s">
        <v>1319</v>
      </c>
      <c r="Z94" s="73">
        <f t="shared" ca="1" si="229"/>
        <v>0</v>
      </c>
      <c r="AA94" s="64"/>
      <c r="AB94" s="803" t="s">
        <v>497</v>
      </c>
      <c r="AC94" s="73">
        <f t="shared" ca="1" si="229"/>
        <v>0</v>
      </c>
      <c r="AD94" s="64"/>
      <c r="AE94" s="808" t="s">
        <v>1319</v>
      </c>
      <c r="AF94" s="73">
        <f t="shared" ca="1" si="229"/>
        <v>0</v>
      </c>
      <c r="AG94" s="64"/>
      <c r="AH94" s="74" t="s">
        <v>1319</v>
      </c>
      <c r="AI94" s="73">
        <f t="shared" ca="1" si="229"/>
        <v>0</v>
      </c>
      <c r="AJ94" s="64"/>
      <c r="AK94" s="813" t="s">
        <v>497</v>
      </c>
      <c r="AL94" s="73">
        <f t="shared" ca="1" si="229"/>
        <v>0</v>
      </c>
      <c r="AM94" s="64"/>
      <c r="AN94" s="818" t="s">
        <v>497</v>
      </c>
      <c r="AO94" s="73">
        <f t="shared" ca="1" si="229"/>
        <v>0</v>
      </c>
      <c r="AP94" s="64"/>
      <c r="AQ94" s="823" t="s">
        <v>497</v>
      </c>
      <c r="AR94" s="73">
        <f t="shared" ca="1" si="229"/>
        <v>0</v>
      </c>
      <c r="AS94" s="64"/>
      <c r="AT94" s="828" t="s">
        <v>1257</v>
      </c>
      <c r="AU94" s="73">
        <f t="shared" ca="1" si="229"/>
        <v>0</v>
      </c>
      <c r="AV94" s="64"/>
      <c r="AW94" s="832" t="s">
        <v>1835</v>
      </c>
      <c r="AX94" s="73">
        <f t="shared" ca="1" si="229"/>
        <v>0</v>
      </c>
      <c r="AY94" s="64"/>
      <c r="AZ94" s="838" t="s">
        <v>1319</v>
      </c>
      <c r="BA94" s="73">
        <f t="shared" ca="1" si="229"/>
        <v>0</v>
      </c>
      <c r="BB94" s="64"/>
      <c r="BC94" s="845" t="s">
        <v>1257</v>
      </c>
      <c r="BD94" s="73">
        <f t="shared" ca="1" si="229"/>
        <v>0</v>
      </c>
      <c r="BE94" s="64"/>
      <c r="BF94" s="849" t="s">
        <v>1319</v>
      </c>
      <c r="BG94" s="73">
        <f t="shared" ca="1" si="229"/>
        <v>0</v>
      </c>
      <c r="BH94" s="64"/>
      <c r="BI94" s="859" t="s">
        <v>497</v>
      </c>
      <c r="BJ94" s="73">
        <f t="shared" ca="1" si="229"/>
        <v>0</v>
      </c>
      <c r="BK94" s="64"/>
      <c r="BL94" s="864" t="s">
        <v>1257</v>
      </c>
      <c r="BM94" s="73">
        <f t="shared" ca="1" si="229"/>
        <v>0</v>
      </c>
      <c r="BN94" s="64"/>
      <c r="BO94" s="869" t="s">
        <v>1319</v>
      </c>
      <c r="BP94" s="73">
        <f t="shared" ca="1" si="229"/>
        <v>0</v>
      </c>
      <c r="BQ94" s="64"/>
      <c r="BR94" s="838" t="s">
        <v>497</v>
      </c>
      <c r="BS94" s="73">
        <f t="shared" ca="1" si="229"/>
        <v>0</v>
      </c>
      <c r="BT94" s="64"/>
      <c r="BU94" s="873" t="s">
        <v>1319</v>
      </c>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4">
        <f ca="1">VLOOKUP(H95,Equipos!$Q$1:$R$25,2,0)</f>
        <v>15</v>
      </c>
      <c r="H95" s="445">
        <f ca="1">$H$60</f>
        <v>46198</v>
      </c>
      <c r="I95" s="50"/>
      <c r="J95" s="928"/>
      <c r="K95" s="56" t="str">
        <f>Idiomas!D165</f>
        <v>4º GRUPO D</v>
      </c>
      <c r="L95" s="53"/>
      <c r="M95" s="55" t="str">
        <f ca="1">IF(OR(SUM(WORLDCUP!$AN$30:$AN$33)=12,WORLDCUP!$AJ$99=144),WORLDCUP!AL33,LEFT(K95,1)&amp;RIGHT(K95,1))</f>
        <v>4D</v>
      </c>
      <c r="N95" s="25"/>
      <c r="O95" s="25"/>
      <c r="P95" s="25"/>
      <c r="Q95" s="25"/>
      <c r="R95" s="110"/>
      <c r="S95" s="854" t="s">
        <v>1257</v>
      </c>
      <c r="T95" s="73">
        <f t="shared" ref="T95" ca="1" si="232">($M95=S95)*$D$14</f>
        <v>0</v>
      </c>
      <c r="U95" s="64"/>
      <c r="V95" s="793" t="s">
        <v>1835</v>
      </c>
      <c r="W95" s="73">
        <f t="shared" ref="W95:CH95" ca="1" si="233">($M95=V95)*$D$14</f>
        <v>0</v>
      </c>
      <c r="X95" s="64"/>
      <c r="Y95" s="798" t="s">
        <v>1257</v>
      </c>
      <c r="Z95" s="73">
        <f t="shared" ca="1" si="233"/>
        <v>0</v>
      </c>
      <c r="AA95" s="64"/>
      <c r="AB95" s="803" t="s">
        <v>1257</v>
      </c>
      <c r="AC95" s="73">
        <f t="shared" ca="1" si="233"/>
        <v>0</v>
      </c>
      <c r="AD95" s="64"/>
      <c r="AE95" s="808" t="s">
        <v>1257</v>
      </c>
      <c r="AF95" s="73">
        <f t="shared" ca="1" si="233"/>
        <v>0</v>
      </c>
      <c r="AG95" s="64"/>
      <c r="AH95" s="74" t="s">
        <v>1257</v>
      </c>
      <c r="AI95" s="73">
        <f t="shared" ca="1" si="233"/>
        <v>0</v>
      </c>
      <c r="AJ95" s="64"/>
      <c r="AK95" s="813" t="s">
        <v>1257</v>
      </c>
      <c r="AL95" s="73">
        <f t="shared" ca="1" si="233"/>
        <v>0</v>
      </c>
      <c r="AM95" s="64"/>
      <c r="AN95" s="818" t="s">
        <v>1257</v>
      </c>
      <c r="AO95" s="73">
        <f t="shared" ca="1" si="233"/>
        <v>0</v>
      </c>
      <c r="AP95" s="64"/>
      <c r="AQ95" s="823" t="s">
        <v>1257</v>
      </c>
      <c r="AR95" s="73">
        <f t="shared" ca="1" si="233"/>
        <v>0</v>
      </c>
      <c r="AS95" s="64"/>
      <c r="AT95" s="828" t="s">
        <v>1319</v>
      </c>
      <c r="AU95" s="73">
        <f t="shared" ca="1" si="233"/>
        <v>0</v>
      </c>
      <c r="AV95" s="64"/>
      <c r="AW95" s="832" t="s">
        <v>1257</v>
      </c>
      <c r="AX95" s="73">
        <f t="shared" ca="1" si="233"/>
        <v>0</v>
      </c>
      <c r="AY95" s="64"/>
      <c r="AZ95" s="838" t="s">
        <v>1257</v>
      </c>
      <c r="BA95" s="73">
        <f t="shared" ca="1" si="233"/>
        <v>0</v>
      </c>
      <c r="BB95" s="64"/>
      <c r="BC95" s="845" t="s">
        <v>497</v>
      </c>
      <c r="BD95" s="73">
        <f t="shared" ca="1" si="233"/>
        <v>0</v>
      </c>
      <c r="BE95" s="64"/>
      <c r="BF95" s="849" t="s">
        <v>1257</v>
      </c>
      <c r="BG95" s="73">
        <f t="shared" ca="1" si="233"/>
        <v>0</v>
      </c>
      <c r="BH95" s="64"/>
      <c r="BI95" s="859" t="s">
        <v>1257</v>
      </c>
      <c r="BJ95" s="73">
        <f t="shared" ca="1" si="233"/>
        <v>0</v>
      </c>
      <c r="BK95" s="64"/>
      <c r="BL95" s="864" t="s">
        <v>1319</v>
      </c>
      <c r="BM95" s="73">
        <f t="shared" ca="1" si="233"/>
        <v>0</v>
      </c>
      <c r="BN95" s="64"/>
      <c r="BO95" s="869" t="s">
        <v>1257</v>
      </c>
      <c r="BP95" s="73">
        <f t="shared" ca="1" si="233"/>
        <v>0</v>
      </c>
      <c r="BQ95" s="64"/>
      <c r="BR95" s="838" t="s">
        <v>1257</v>
      </c>
      <c r="BS95" s="73">
        <f t="shared" ca="1" si="233"/>
        <v>0</v>
      </c>
      <c r="BT95" s="64"/>
      <c r="BU95" s="873" t="s">
        <v>1257</v>
      </c>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4">
        <f ca="1">VLOOKUP(H96,Equipos!$Q$1:$R$25,2,0)</f>
        <v>15</v>
      </c>
      <c r="H96" s="445">
        <f ca="1">$H$62</f>
        <v>46198</v>
      </c>
      <c r="I96" s="50"/>
      <c r="J96" s="929" t="s">
        <v>3</v>
      </c>
      <c r="K96" s="56" t="str">
        <f>Idiomas!D166</f>
        <v>1º GRUPO E</v>
      </c>
      <c r="L96" s="53"/>
      <c r="M96" s="55" t="str">
        <f ca="1">IF(OR(SUM(WORLDCUP!$AN$38:$AN$41)=12,WORLDCUP!$AJ$99=144),WORLDCUP!AL38,LEFT(K96,1)&amp;RIGHT(K96,1))</f>
        <v>1E</v>
      </c>
      <c r="N96" s="25"/>
      <c r="O96" s="25"/>
      <c r="P96" s="25"/>
      <c r="Q96" s="25"/>
      <c r="R96" s="110"/>
      <c r="S96" s="854" t="s">
        <v>77</v>
      </c>
      <c r="T96" s="73">
        <f t="shared" ref="T96" ca="1" si="236">($M96=S96)*$D$11</f>
        <v>0</v>
      </c>
      <c r="U96" s="64"/>
      <c r="V96" s="793" t="s">
        <v>1261</v>
      </c>
      <c r="W96" s="73">
        <f t="shared" ref="W96:CH96" ca="1" si="237">($M96=V96)*$D$11</f>
        <v>0</v>
      </c>
      <c r="X96" s="64"/>
      <c r="Y96" s="798" t="s">
        <v>77</v>
      </c>
      <c r="Z96" s="73">
        <f t="shared" ca="1" si="237"/>
        <v>0</v>
      </c>
      <c r="AA96" s="64"/>
      <c r="AB96" s="803" t="s">
        <v>1261</v>
      </c>
      <c r="AC96" s="73">
        <f t="shared" ca="1" si="237"/>
        <v>0</v>
      </c>
      <c r="AD96" s="64"/>
      <c r="AE96" s="808" t="s">
        <v>77</v>
      </c>
      <c r="AF96" s="73">
        <f t="shared" ca="1" si="237"/>
        <v>0</v>
      </c>
      <c r="AG96" s="64"/>
      <c r="AH96" s="74" t="s">
        <v>77</v>
      </c>
      <c r="AI96" s="73">
        <f t="shared" ca="1" si="237"/>
        <v>0</v>
      </c>
      <c r="AJ96" s="64"/>
      <c r="AK96" s="813" t="s">
        <v>77</v>
      </c>
      <c r="AL96" s="73">
        <f t="shared" ca="1" si="237"/>
        <v>0</v>
      </c>
      <c r="AM96" s="64"/>
      <c r="AN96" s="818" t="s">
        <v>77</v>
      </c>
      <c r="AO96" s="73">
        <f t="shared" ca="1" si="237"/>
        <v>0</v>
      </c>
      <c r="AP96" s="64"/>
      <c r="AQ96" s="823" t="s">
        <v>77</v>
      </c>
      <c r="AR96" s="73">
        <f t="shared" ca="1" si="237"/>
        <v>0</v>
      </c>
      <c r="AS96" s="64"/>
      <c r="AT96" s="828" t="s">
        <v>77</v>
      </c>
      <c r="AU96" s="73">
        <f t="shared" ca="1" si="237"/>
        <v>0</v>
      </c>
      <c r="AV96" s="64"/>
      <c r="AW96" s="832" t="s">
        <v>77</v>
      </c>
      <c r="AX96" s="73">
        <f t="shared" ca="1" si="237"/>
        <v>0</v>
      </c>
      <c r="AY96" s="64"/>
      <c r="AZ96" s="838" t="s">
        <v>77</v>
      </c>
      <c r="BA96" s="73">
        <f t="shared" ca="1" si="237"/>
        <v>0</v>
      </c>
      <c r="BB96" s="64"/>
      <c r="BC96" s="845" t="s">
        <v>77</v>
      </c>
      <c r="BD96" s="73">
        <f t="shared" ca="1" si="237"/>
        <v>0</v>
      </c>
      <c r="BE96" s="64"/>
      <c r="BF96" s="849" t="s">
        <v>77</v>
      </c>
      <c r="BG96" s="73">
        <f t="shared" ca="1" si="237"/>
        <v>0</v>
      </c>
      <c r="BH96" s="64"/>
      <c r="BI96" s="859" t="s">
        <v>1633</v>
      </c>
      <c r="BJ96" s="73">
        <f t="shared" ca="1" si="237"/>
        <v>0</v>
      </c>
      <c r="BK96" s="64"/>
      <c r="BL96" s="864" t="s">
        <v>77</v>
      </c>
      <c r="BM96" s="73">
        <f t="shared" ca="1" si="237"/>
        <v>0</v>
      </c>
      <c r="BN96" s="64"/>
      <c r="BO96" s="869" t="s">
        <v>77</v>
      </c>
      <c r="BP96" s="73">
        <f t="shared" ca="1" si="237"/>
        <v>0</v>
      </c>
      <c r="BQ96" s="64"/>
      <c r="BR96" s="838" t="s">
        <v>77</v>
      </c>
      <c r="BS96" s="73">
        <f t="shared" ca="1" si="237"/>
        <v>0</v>
      </c>
      <c r="BT96" s="64"/>
      <c r="BU96" s="873" t="s">
        <v>77</v>
      </c>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4">
        <f ca="1">VLOOKUP(H97,Equipos!$Q$1:$R$25,2,0)</f>
        <v>15</v>
      </c>
      <c r="H97" s="445">
        <f ca="1">$H$62</f>
        <v>46198</v>
      </c>
      <c r="I97" s="50"/>
      <c r="J97" s="929"/>
      <c r="K97" s="56" t="str">
        <f>Idiomas!D167</f>
        <v>2º GRUPO E</v>
      </c>
      <c r="L97" s="53"/>
      <c r="M97" s="55" t="str">
        <f ca="1">IF(OR(SUM(WORLDCUP!$AN$38:$AN$41)=12,WORLDCUP!$AJ$99=144),WORLDCUP!AL39,LEFT(K97,1)&amp;RIGHT(K97,1))</f>
        <v>2E</v>
      </c>
      <c r="N97" s="25"/>
      <c r="O97" s="25"/>
      <c r="P97" s="25"/>
      <c r="Q97" s="25"/>
      <c r="R97" s="110"/>
      <c r="S97" s="854" t="s">
        <v>1633</v>
      </c>
      <c r="T97" s="73">
        <f t="shared" ref="T97" ca="1" si="240">($M97=S97)*$D$12</f>
        <v>0</v>
      </c>
      <c r="U97" s="64"/>
      <c r="V97" s="793" t="s">
        <v>77</v>
      </c>
      <c r="W97" s="73">
        <f t="shared" ref="W97:CH97" ca="1" si="241">($M97=V97)*$D$12</f>
        <v>0</v>
      </c>
      <c r="X97" s="64"/>
      <c r="Y97" s="798" t="s">
        <v>1261</v>
      </c>
      <c r="Z97" s="73">
        <f t="shared" ca="1" si="241"/>
        <v>0</v>
      </c>
      <c r="AA97" s="64"/>
      <c r="AB97" s="803" t="s">
        <v>77</v>
      </c>
      <c r="AC97" s="73">
        <f t="shared" ca="1" si="241"/>
        <v>0</v>
      </c>
      <c r="AD97" s="64"/>
      <c r="AE97" s="808" t="s">
        <v>1633</v>
      </c>
      <c r="AF97" s="73">
        <f t="shared" ca="1" si="241"/>
        <v>0</v>
      </c>
      <c r="AG97" s="64"/>
      <c r="AH97" s="74" t="s">
        <v>1261</v>
      </c>
      <c r="AI97" s="73">
        <f t="shared" ca="1" si="241"/>
        <v>0</v>
      </c>
      <c r="AJ97" s="64"/>
      <c r="AK97" s="813" t="s">
        <v>1261</v>
      </c>
      <c r="AL97" s="73">
        <f t="shared" ca="1" si="241"/>
        <v>0</v>
      </c>
      <c r="AM97" s="64"/>
      <c r="AN97" s="818" t="s">
        <v>1261</v>
      </c>
      <c r="AO97" s="73">
        <f t="shared" ca="1" si="241"/>
        <v>0</v>
      </c>
      <c r="AP97" s="64"/>
      <c r="AQ97" s="823" t="s">
        <v>1261</v>
      </c>
      <c r="AR97" s="73">
        <f t="shared" ca="1" si="241"/>
        <v>0</v>
      </c>
      <c r="AS97" s="64"/>
      <c r="AT97" s="828" t="s">
        <v>1261</v>
      </c>
      <c r="AU97" s="73">
        <f t="shared" ca="1" si="241"/>
        <v>0</v>
      </c>
      <c r="AV97" s="64"/>
      <c r="AW97" s="832" t="s">
        <v>1261</v>
      </c>
      <c r="AX97" s="73">
        <f t="shared" ca="1" si="241"/>
        <v>0</v>
      </c>
      <c r="AY97" s="64"/>
      <c r="AZ97" s="838" t="s">
        <v>1261</v>
      </c>
      <c r="BA97" s="73">
        <f t="shared" ca="1" si="241"/>
        <v>0</v>
      </c>
      <c r="BB97" s="64"/>
      <c r="BC97" s="845" t="s">
        <v>1261</v>
      </c>
      <c r="BD97" s="73">
        <f t="shared" ca="1" si="241"/>
        <v>0</v>
      </c>
      <c r="BE97" s="64"/>
      <c r="BF97" s="849" t="s">
        <v>1633</v>
      </c>
      <c r="BG97" s="73">
        <f t="shared" ca="1" si="241"/>
        <v>0</v>
      </c>
      <c r="BH97" s="64"/>
      <c r="BI97" s="859" t="s">
        <v>77</v>
      </c>
      <c r="BJ97" s="73">
        <f t="shared" ca="1" si="241"/>
        <v>0</v>
      </c>
      <c r="BK97" s="64"/>
      <c r="BL97" s="864" t="s">
        <v>1261</v>
      </c>
      <c r="BM97" s="73">
        <f t="shared" ca="1" si="241"/>
        <v>0</v>
      </c>
      <c r="BN97" s="64"/>
      <c r="BO97" s="869" t="s">
        <v>1261</v>
      </c>
      <c r="BP97" s="73">
        <f t="shared" ca="1" si="241"/>
        <v>0</v>
      </c>
      <c r="BQ97" s="64"/>
      <c r="BR97" s="838" t="s">
        <v>1261</v>
      </c>
      <c r="BS97" s="73">
        <f t="shared" ca="1" si="241"/>
        <v>0</v>
      </c>
      <c r="BT97" s="64"/>
      <c r="BU97" s="873" t="s">
        <v>1633</v>
      </c>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4">
        <f ca="1">VLOOKUP(H98,Equipos!$Q$1:$R$25,2,0)</f>
        <v>15</v>
      </c>
      <c r="H98" s="445">
        <f ca="1">$H$62</f>
        <v>46198</v>
      </c>
      <c r="I98" s="50"/>
      <c r="J98" s="929"/>
      <c r="K98" s="56" t="str">
        <f>Idiomas!D168</f>
        <v>3º GRUPO E</v>
      </c>
      <c r="L98" s="53"/>
      <c r="M98" s="55" t="str">
        <f ca="1">IF(OR(SUM(WORLDCUP!$AN$38:$AN$41)=12,WORLDCUP!$AJ$99=144),WORLDCUP!AL40,LEFT(K98,1)&amp;RIGHT(K98,1))</f>
        <v>3E</v>
      </c>
      <c r="N98" s="25"/>
      <c r="O98" s="25"/>
      <c r="P98" s="25"/>
      <c r="Q98" s="25"/>
      <c r="R98" s="110"/>
      <c r="S98" s="854" t="s">
        <v>1261</v>
      </c>
      <c r="T98" s="73">
        <f t="shared" ref="T98" ca="1" si="244">($M98=S98)*$D$13</f>
        <v>0</v>
      </c>
      <c r="U98" s="64"/>
      <c r="V98" s="793" t="s">
        <v>1726</v>
      </c>
      <c r="W98" s="73">
        <f t="shared" ref="W98:CH98" ca="1" si="245">($M98=V98)*$D$13</f>
        <v>0</v>
      </c>
      <c r="X98" s="64"/>
      <c r="Y98" s="798" t="s">
        <v>1633</v>
      </c>
      <c r="Z98" s="73">
        <f t="shared" ca="1" si="245"/>
        <v>0</v>
      </c>
      <c r="AA98" s="64"/>
      <c r="AB98" s="803" t="s">
        <v>1633</v>
      </c>
      <c r="AC98" s="73">
        <f t="shared" ca="1" si="245"/>
        <v>0</v>
      </c>
      <c r="AD98" s="64"/>
      <c r="AE98" s="808" t="s">
        <v>1261</v>
      </c>
      <c r="AF98" s="73">
        <f t="shared" ca="1" si="245"/>
        <v>0</v>
      </c>
      <c r="AG98" s="64"/>
      <c r="AH98" s="74" t="s">
        <v>1633</v>
      </c>
      <c r="AI98" s="73">
        <f t="shared" ca="1" si="245"/>
        <v>0</v>
      </c>
      <c r="AJ98" s="64"/>
      <c r="AK98" s="813" t="s">
        <v>1633</v>
      </c>
      <c r="AL98" s="73">
        <f t="shared" ca="1" si="245"/>
        <v>0</v>
      </c>
      <c r="AM98" s="64"/>
      <c r="AN98" s="818" t="s">
        <v>1633</v>
      </c>
      <c r="AO98" s="73">
        <f t="shared" ca="1" si="245"/>
        <v>0</v>
      </c>
      <c r="AP98" s="64"/>
      <c r="AQ98" s="823" t="s">
        <v>1633</v>
      </c>
      <c r="AR98" s="73">
        <f t="shared" ca="1" si="245"/>
        <v>0</v>
      </c>
      <c r="AS98" s="64"/>
      <c r="AT98" s="828" t="s">
        <v>1633</v>
      </c>
      <c r="AU98" s="73">
        <f t="shared" ca="1" si="245"/>
        <v>0</v>
      </c>
      <c r="AV98" s="64"/>
      <c r="AW98" s="832" t="s">
        <v>1633</v>
      </c>
      <c r="AX98" s="73">
        <f t="shared" ca="1" si="245"/>
        <v>0</v>
      </c>
      <c r="AY98" s="64"/>
      <c r="AZ98" s="838" t="s">
        <v>1633</v>
      </c>
      <c r="BA98" s="73">
        <f t="shared" ca="1" si="245"/>
        <v>0</v>
      </c>
      <c r="BB98" s="64"/>
      <c r="BC98" s="845" t="s">
        <v>1633</v>
      </c>
      <c r="BD98" s="73">
        <f t="shared" ca="1" si="245"/>
        <v>0</v>
      </c>
      <c r="BE98" s="64"/>
      <c r="BF98" s="849" t="s">
        <v>1261</v>
      </c>
      <c r="BG98" s="73">
        <f t="shared" ca="1" si="245"/>
        <v>0</v>
      </c>
      <c r="BH98" s="64"/>
      <c r="BI98" s="859" t="s">
        <v>1261</v>
      </c>
      <c r="BJ98" s="73">
        <f t="shared" ca="1" si="245"/>
        <v>0</v>
      </c>
      <c r="BK98" s="64"/>
      <c r="BL98" s="864" t="s">
        <v>1633</v>
      </c>
      <c r="BM98" s="73">
        <f t="shared" ca="1" si="245"/>
        <v>0</v>
      </c>
      <c r="BN98" s="64"/>
      <c r="BO98" s="869" t="s">
        <v>1633</v>
      </c>
      <c r="BP98" s="73">
        <f t="shared" ca="1" si="245"/>
        <v>0</v>
      </c>
      <c r="BQ98" s="64"/>
      <c r="BR98" s="838" t="s">
        <v>1633</v>
      </c>
      <c r="BS98" s="73">
        <f t="shared" ca="1" si="245"/>
        <v>0</v>
      </c>
      <c r="BT98" s="64"/>
      <c r="BU98" s="873" t="s">
        <v>1261</v>
      </c>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4">
        <f ca="1">VLOOKUP(H99,Equipos!$Q$1:$R$25,2,0)</f>
        <v>15</v>
      </c>
      <c r="H99" s="445">
        <f ca="1">$H$62</f>
        <v>46198</v>
      </c>
      <c r="I99" s="50"/>
      <c r="J99" s="929"/>
      <c r="K99" s="56" t="str">
        <f>Idiomas!D169</f>
        <v>4º GRUPO E</v>
      </c>
      <c r="L99" s="53"/>
      <c r="M99" s="55" t="str">
        <f ca="1">IF(OR(SUM(WORLDCUP!$AN$38:$AN$41)=12,WORLDCUP!$AJ$99=144),WORLDCUP!AL41,LEFT(K99,1)&amp;RIGHT(K99,1))</f>
        <v>4E</v>
      </c>
      <c r="N99" s="25"/>
      <c r="O99" s="25"/>
      <c r="P99" s="25"/>
      <c r="Q99" s="25"/>
      <c r="R99" s="110"/>
      <c r="S99" s="854" t="s">
        <v>1726</v>
      </c>
      <c r="T99" s="73">
        <f t="shared" ref="T99" ca="1" si="248">($M99=S99)*$D$14</f>
        <v>0</v>
      </c>
      <c r="U99" s="64"/>
      <c r="V99" s="793" t="s">
        <v>1633</v>
      </c>
      <c r="W99" s="73">
        <f t="shared" ref="W99:CH99" ca="1" si="249">($M99=V99)*$D$14</f>
        <v>0</v>
      </c>
      <c r="X99" s="64"/>
      <c r="Y99" s="798" t="s">
        <v>1726</v>
      </c>
      <c r="Z99" s="73">
        <f t="shared" ca="1" si="249"/>
        <v>0</v>
      </c>
      <c r="AA99" s="64"/>
      <c r="AB99" s="803" t="s">
        <v>1726</v>
      </c>
      <c r="AC99" s="73">
        <f t="shared" ca="1" si="249"/>
        <v>0</v>
      </c>
      <c r="AD99" s="64"/>
      <c r="AE99" s="808" t="s">
        <v>1726</v>
      </c>
      <c r="AF99" s="73">
        <f t="shared" ca="1" si="249"/>
        <v>0</v>
      </c>
      <c r="AG99" s="64"/>
      <c r="AH99" s="74" t="s">
        <v>1726</v>
      </c>
      <c r="AI99" s="73">
        <f t="shared" ca="1" si="249"/>
        <v>0</v>
      </c>
      <c r="AJ99" s="64"/>
      <c r="AK99" s="813" t="s">
        <v>1726</v>
      </c>
      <c r="AL99" s="73">
        <f t="shared" ca="1" si="249"/>
        <v>0</v>
      </c>
      <c r="AM99" s="64"/>
      <c r="AN99" s="818" t="s">
        <v>1726</v>
      </c>
      <c r="AO99" s="73">
        <f t="shared" ca="1" si="249"/>
        <v>0</v>
      </c>
      <c r="AP99" s="64"/>
      <c r="AQ99" s="823" t="s">
        <v>1726</v>
      </c>
      <c r="AR99" s="73">
        <f t="shared" ca="1" si="249"/>
        <v>0</v>
      </c>
      <c r="AS99" s="64"/>
      <c r="AT99" s="828" t="s">
        <v>1726</v>
      </c>
      <c r="AU99" s="73">
        <f t="shared" ca="1" si="249"/>
        <v>0</v>
      </c>
      <c r="AV99" s="64"/>
      <c r="AW99" s="832" t="s">
        <v>1726</v>
      </c>
      <c r="AX99" s="73">
        <f t="shared" ca="1" si="249"/>
        <v>0</v>
      </c>
      <c r="AY99" s="64"/>
      <c r="AZ99" s="838" t="s">
        <v>1726</v>
      </c>
      <c r="BA99" s="73">
        <f t="shared" ca="1" si="249"/>
        <v>0</v>
      </c>
      <c r="BB99" s="64"/>
      <c r="BC99" s="845" t="s">
        <v>1726</v>
      </c>
      <c r="BD99" s="73">
        <f t="shared" ca="1" si="249"/>
        <v>0</v>
      </c>
      <c r="BE99" s="64"/>
      <c r="BF99" s="849" t="s">
        <v>1726</v>
      </c>
      <c r="BG99" s="73">
        <f t="shared" ca="1" si="249"/>
        <v>0</v>
      </c>
      <c r="BH99" s="64"/>
      <c r="BI99" s="859" t="s">
        <v>1726</v>
      </c>
      <c r="BJ99" s="73">
        <f t="shared" ca="1" si="249"/>
        <v>0</v>
      </c>
      <c r="BK99" s="64"/>
      <c r="BL99" s="864" t="s">
        <v>1726</v>
      </c>
      <c r="BM99" s="73">
        <f t="shared" ca="1" si="249"/>
        <v>0</v>
      </c>
      <c r="BN99" s="64"/>
      <c r="BO99" s="869" t="s">
        <v>1726</v>
      </c>
      <c r="BP99" s="73">
        <f t="shared" ca="1" si="249"/>
        <v>0</v>
      </c>
      <c r="BQ99" s="64"/>
      <c r="BR99" s="838" t="s">
        <v>1726</v>
      </c>
      <c r="BS99" s="73">
        <f t="shared" ca="1" si="249"/>
        <v>0</v>
      </c>
      <c r="BT99" s="64"/>
      <c r="BU99" s="873" t="s">
        <v>1726</v>
      </c>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4">
        <f ca="1">VLOOKUP(H100,Equipos!$Q$1:$R$25,2,0)</f>
        <v>15</v>
      </c>
      <c r="H100" s="445">
        <f ca="1">$H$64</f>
        <v>46198</v>
      </c>
      <c r="I100" s="50"/>
      <c r="J100" s="928" t="s">
        <v>4</v>
      </c>
      <c r="K100" s="56" t="str">
        <f>Idiomas!D170</f>
        <v>1º GRUPO F</v>
      </c>
      <c r="L100" s="53"/>
      <c r="M100" s="55" t="str">
        <f ca="1">IF(OR(SUM(WORLDCUP!$AN$46:$AN$49)=12,WORLDCUP!$AJ$99=144),WORLDCUP!AL46,LEFT(K100,1)&amp;RIGHT(K100,1))</f>
        <v>1F</v>
      </c>
      <c r="N100" s="25"/>
      <c r="O100" s="25"/>
      <c r="P100" s="25"/>
      <c r="Q100" s="25"/>
      <c r="R100" s="110"/>
      <c r="S100" s="854" t="s">
        <v>111</v>
      </c>
      <c r="T100" s="73">
        <f t="shared" ref="T100" ca="1" si="252">($M100=S100)*$D$11</f>
        <v>0</v>
      </c>
      <c r="U100" s="64"/>
      <c r="V100" s="793" t="s">
        <v>1263</v>
      </c>
      <c r="W100" s="73">
        <f t="shared" ref="W100:CH100" ca="1" si="253">($M100=V100)*$D$11</f>
        <v>0</v>
      </c>
      <c r="X100" s="64"/>
      <c r="Y100" s="798" t="s">
        <v>1263</v>
      </c>
      <c r="Z100" s="73">
        <f t="shared" ca="1" si="253"/>
        <v>0</v>
      </c>
      <c r="AA100" s="64"/>
      <c r="AB100" s="803" t="s">
        <v>1263</v>
      </c>
      <c r="AC100" s="73">
        <f t="shared" ca="1" si="253"/>
        <v>0</v>
      </c>
      <c r="AD100" s="64"/>
      <c r="AE100" s="808" t="s">
        <v>111</v>
      </c>
      <c r="AF100" s="73">
        <f t="shared" ca="1" si="253"/>
        <v>0</v>
      </c>
      <c r="AG100" s="64"/>
      <c r="AH100" s="74" t="s">
        <v>111</v>
      </c>
      <c r="AI100" s="73">
        <f t="shared" ca="1" si="253"/>
        <v>0</v>
      </c>
      <c r="AJ100" s="64"/>
      <c r="AK100" s="813" t="s">
        <v>111</v>
      </c>
      <c r="AL100" s="73">
        <f t="shared" ca="1" si="253"/>
        <v>0</v>
      </c>
      <c r="AM100" s="64"/>
      <c r="AN100" s="818" t="s">
        <v>111</v>
      </c>
      <c r="AO100" s="73">
        <f t="shared" ca="1" si="253"/>
        <v>0</v>
      </c>
      <c r="AP100" s="64"/>
      <c r="AQ100" s="823" t="s">
        <v>111</v>
      </c>
      <c r="AR100" s="73">
        <f t="shared" ca="1" si="253"/>
        <v>0</v>
      </c>
      <c r="AS100" s="64"/>
      <c r="AT100" s="828" t="s">
        <v>111</v>
      </c>
      <c r="AU100" s="73">
        <f t="shared" ca="1" si="253"/>
        <v>0</v>
      </c>
      <c r="AV100" s="64"/>
      <c r="AW100" s="832" t="s">
        <v>111</v>
      </c>
      <c r="AX100" s="73">
        <f t="shared" ca="1" si="253"/>
        <v>0</v>
      </c>
      <c r="AY100" s="64"/>
      <c r="AZ100" s="838" t="s">
        <v>111</v>
      </c>
      <c r="BA100" s="73">
        <f t="shared" ca="1" si="253"/>
        <v>0</v>
      </c>
      <c r="BB100" s="64"/>
      <c r="BC100" s="845" t="s">
        <v>111</v>
      </c>
      <c r="BD100" s="73">
        <f t="shared" ca="1" si="253"/>
        <v>0</v>
      </c>
      <c r="BE100" s="64"/>
      <c r="BF100" s="849" t="s">
        <v>111</v>
      </c>
      <c r="BG100" s="73">
        <f t="shared" ca="1" si="253"/>
        <v>0</v>
      </c>
      <c r="BH100" s="64"/>
      <c r="BI100" s="859" t="s">
        <v>111</v>
      </c>
      <c r="BJ100" s="73">
        <f t="shared" ca="1" si="253"/>
        <v>0</v>
      </c>
      <c r="BK100" s="64"/>
      <c r="BL100" s="864" t="s">
        <v>111</v>
      </c>
      <c r="BM100" s="73">
        <f t="shared" ca="1" si="253"/>
        <v>0</v>
      </c>
      <c r="BN100" s="64"/>
      <c r="BO100" s="869" t="s">
        <v>111</v>
      </c>
      <c r="BP100" s="73">
        <f t="shared" ca="1" si="253"/>
        <v>0</v>
      </c>
      <c r="BQ100" s="64"/>
      <c r="BR100" s="838" t="s">
        <v>111</v>
      </c>
      <c r="BS100" s="73">
        <f t="shared" ca="1" si="253"/>
        <v>0</v>
      </c>
      <c r="BT100" s="64"/>
      <c r="BU100" s="873" t="s">
        <v>111</v>
      </c>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4">
        <f ca="1">VLOOKUP(H101,Equipos!$Q$1:$R$25,2,0)</f>
        <v>15</v>
      </c>
      <c r="H101" s="445">
        <f ca="1">$H$64</f>
        <v>46198</v>
      </c>
      <c r="I101" s="50"/>
      <c r="J101" s="928"/>
      <c r="K101" s="56" t="str">
        <f>Idiomas!D171</f>
        <v>2º GRUPO F</v>
      </c>
      <c r="L101" s="53"/>
      <c r="M101" s="55" t="str">
        <f ca="1">IF(OR(SUM(WORLDCUP!$AN$46:$AN$49)=12,WORLDCUP!$AJ$99=144),WORLDCUP!AL47,LEFT(K101,1)&amp;RIGHT(K101,1))</f>
        <v>2F</v>
      </c>
      <c r="N101" s="25"/>
      <c r="O101" s="25"/>
      <c r="P101" s="25"/>
      <c r="Q101" s="25"/>
      <c r="R101" s="110"/>
      <c r="S101" s="854" t="s">
        <v>1263</v>
      </c>
      <c r="T101" s="73">
        <f t="shared" ref="T101" ca="1" si="256">($M101=S101)*$D$12</f>
        <v>0</v>
      </c>
      <c r="U101" s="64"/>
      <c r="V101" s="793" t="s">
        <v>1833</v>
      </c>
      <c r="W101" s="73">
        <f t="shared" ref="W101:CH101" ca="1" si="257">($M101=V101)*$D$12</f>
        <v>0</v>
      </c>
      <c r="X101" s="64"/>
      <c r="Y101" s="798" t="s">
        <v>111</v>
      </c>
      <c r="Z101" s="73">
        <f t="shared" ca="1" si="257"/>
        <v>0</v>
      </c>
      <c r="AA101" s="64"/>
      <c r="AB101" s="803" t="s">
        <v>1833</v>
      </c>
      <c r="AC101" s="73">
        <f t="shared" ca="1" si="257"/>
        <v>0</v>
      </c>
      <c r="AD101" s="64"/>
      <c r="AE101" s="808" t="s">
        <v>1263</v>
      </c>
      <c r="AF101" s="73">
        <f t="shared" ca="1" si="257"/>
        <v>0</v>
      </c>
      <c r="AG101" s="64"/>
      <c r="AH101" s="74" t="s">
        <v>1833</v>
      </c>
      <c r="AI101" s="73">
        <f t="shared" ca="1" si="257"/>
        <v>0</v>
      </c>
      <c r="AJ101" s="64"/>
      <c r="AK101" s="813" t="s">
        <v>1263</v>
      </c>
      <c r="AL101" s="73">
        <f t="shared" ca="1" si="257"/>
        <v>0</v>
      </c>
      <c r="AM101" s="64"/>
      <c r="AN101" s="818" t="s">
        <v>1263</v>
      </c>
      <c r="AO101" s="73">
        <f t="shared" ca="1" si="257"/>
        <v>0</v>
      </c>
      <c r="AP101" s="64"/>
      <c r="AQ101" s="823" t="s">
        <v>1833</v>
      </c>
      <c r="AR101" s="73">
        <f t="shared" ca="1" si="257"/>
        <v>0</v>
      </c>
      <c r="AS101" s="64"/>
      <c r="AT101" s="828" t="s">
        <v>1833</v>
      </c>
      <c r="AU101" s="73">
        <f t="shared" ca="1" si="257"/>
        <v>0</v>
      </c>
      <c r="AV101" s="64"/>
      <c r="AW101" s="832" t="s">
        <v>1263</v>
      </c>
      <c r="AX101" s="73">
        <f t="shared" ca="1" si="257"/>
        <v>0</v>
      </c>
      <c r="AY101" s="64"/>
      <c r="AZ101" s="838" t="s">
        <v>1833</v>
      </c>
      <c r="BA101" s="73">
        <f t="shared" ca="1" si="257"/>
        <v>0</v>
      </c>
      <c r="BB101" s="64"/>
      <c r="BC101" s="845" t="s">
        <v>1263</v>
      </c>
      <c r="BD101" s="73">
        <f t="shared" ca="1" si="257"/>
        <v>0</v>
      </c>
      <c r="BE101" s="64"/>
      <c r="BF101" s="849" t="s">
        <v>1833</v>
      </c>
      <c r="BG101" s="73">
        <f t="shared" ca="1" si="257"/>
        <v>0</v>
      </c>
      <c r="BH101" s="64"/>
      <c r="BI101" s="859" t="s">
        <v>1263</v>
      </c>
      <c r="BJ101" s="73">
        <f t="shared" ca="1" si="257"/>
        <v>0</v>
      </c>
      <c r="BK101" s="64"/>
      <c r="BL101" s="864" t="s">
        <v>1263</v>
      </c>
      <c r="BM101" s="73">
        <f t="shared" ca="1" si="257"/>
        <v>0</v>
      </c>
      <c r="BN101" s="64"/>
      <c r="BO101" s="869" t="s">
        <v>1263</v>
      </c>
      <c r="BP101" s="73">
        <f t="shared" ca="1" si="257"/>
        <v>0</v>
      </c>
      <c r="BQ101" s="64"/>
      <c r="BR101" s="838" t="s">
        <v>1263</v>
      </c>
      <c r="BS101" s="73">
        <f t="shared" ca="1" si="257"/>
        <v>0</v>
      </c>
      <c r="BT101" s="64"/>
      <c r="BU101" s="873" t="s">
        <v>1263</v>
      </c>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4">
        <f ca="1">VLOOKUP(H102,Equipos!$Q$1:$R$25,2,0)</f>
        <v>15</v>
      </c>
      <c r="H102" s="445">
        <f ca="1">$H$64</f>
        <v>46198</v>
      </c>
      <c r="I102" s="50"/>
      <c r="J102" s="928"/>
      <c r="K102" s="56" t="str">
        <f>Idiomas!D172</f>
        <v>3º GRUPO F</v>
      </c>
      <c r="L102" s="53"/>
      <c r="M102" s="55" t="str">
        <f ca="1">IF(OR(SUM(WORLDCUP!$AN$46:$AN$49)=12,WORLDCUP!$AJ$99=144),WORLDCUP!AL48,LEFT(K102,1)&amp;RIGHT(K102,1))</f>
        <v>3F</v>
      </c>
      <c r="N102" s="25"/>
      <c r="O102" s="25"/>
      <c r="P102" s="25"/>
      <c r="Q102" s="25"/>
      <c r="R102" s="110"/>
      <c r="S102" s="854" t="s">
        <v>1833</v>
      </c>
      <c r="T102" s="73">
        <f t="shared" ref="T102" ca="1" si="260">($M102=S102)*$D$13</f>
        <v>0</v>
      </c>
      <c r="U102" s="64"/>
      <c r="V102" s="793" t="s">
        <v>111</v>
      </c>
      <c r="W102" s="73">
        <f t="shared" ref="W102:CH102" ca="1" si="261">($M102=V102)*$D$13</f>
        <v>0</v>
      </c>
      <c r="X102" s="64"/>
      <c r="Y102" s="798" t="s">
        <v>1322</v>
      </c>
      <c r="Z102" s="73">
        <f t="shared" ca="1" si="261"/>
        <v>0</v>
      </c>
      <c r="AA102" s="64"/>
      <c r="AB102" s="803" t="s">
        <v>111</v>
      </c>
      <c r="AC102" s="73">
        <f t="shared" ca="1" si="261"/>
        <v>0</v>
      </c>
      <c r="AD102" s="64"/>
      <c r="AE102" s="808" t="s">
        <v>1833</v>
      </c>
      <c r="AF102" s="73">
        <f t="shared" ca="1" si="261"/>
        <v>0</v>
      </c>
      <c r="AG102" s="64"/>
      <c r="AH102" s="74" t="s">
        <v>1263</v>
      </c>
      <c r="AI102" s="73">
        <f t="shared" ca="1" si="261"/>
        <v>0</v>
      </c>
      <c r="AJ102" s="64"/>
      <c r="AK102" s="813" t="s">
        <v>1833</v>
      </c>
      <c r="AL102" s="73">
        <f t="shared" ca="1" si="261"/>
        <v>0</v>
      </c>
      <c r="AM102" s="64"/>
      <c r="AN102" s="818" t="s">
        <v>1833</v>
      </c>
      <c r="AO102" s="73">
        <f t="shared" ca="1" si="261"/>
        <v>0</v>
      </c>
      <c r="AP102" s="64"/>
      <c r="AQ102" s="823" t="s">
        <v>1263</v>
      </c>
      <c r="AR102" s="73">
        <f t="shared" ca="1" si="261"/>
        <v>0</v>
      </c>
      <c r="AS102" s="64"/>
      <c r="AT102" s="828" t="s">
        <v>1263</v>
      </c>
      <c r="AU102" s="73">
        <f t="shared" ca="1" si="261"/>
        <v>0</v>
      </c>
      <c r="AV102" s="64"/>
      <c r="AW102" s="832" t="s">
        <v>1833</v>
      </c>
      <c r="AX102" s="73">
        <f t="shared" ca="1" si="261"/>
        <v>0</v>
      </c>
      <c r="AY102" s="64"/>
      <c r="AZ102" s="838" t="s">
        <v>1263</v>
      </c>
      <c r="BA102" s="73">
        <f t="shared" ca="1" si="261"/>
        <v>0</v>
      </c>
      <c r="BB102" s="64"/>
      <c r="BC102" s="845" t="s">
        <v>1833</v>
      </c>
      <c r="BD102" s="73">
        <f t="shared" ca="1" si="261"/>
        <v>0</v>
      </c>
      <c r="BE102" s="64"/>
      <c r="BF102" s="849" t="s">
        <v>1263</v>
      </c>
      <c r="BG102" s="73">
        <f t="shared" ca="1" si="261"/>
        <v>0</v>
      </c>
      <c r="BH102" s="64"/>
      <c r="BI102" s="859" t="s">
        <v>1833</v>
      </c>
      <c r="BJ102" s="73">
        <f t="shared" ca="1" si="261"/>
        <v>0</v>
      </c>
      <c r="BK102" s="64"/>
      <c r="BL102" s="864" t="s">
        <v>1833</v>
      </c>
      <c r="BM102" s="73">
        <f t="shared" ca="1" si="261"/>
        <v>0</v>
      </c>
      <c r="BN102" s="64"/>
      <c r="BO102" s="869" t="s">
        <v>1833</v>
      </c>
      <c r="BP102" s="73">
        <f t="shared" ca="1" si="261"/>
        <v>0</v>
      </c>
      <c r="BQ102" s="64"/>
      <c r="BR102" s="838" t="s">
        <v>1833</v>
      </c>
      <c r="BS102" s="73">
        <f t="shared" ca="1" si="261"/>
        <v>0</v>
      </c>
      <c r="BT102" s="64"/>
      <c r="BU102" s="873" t="s">
        <v>1833</v>
      </c>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4">
        <f ca="1">VLOOKUP(H103,Equipos!$Q$1:$R$25,2,0)</f>
        <v>15</v>
      </c>
      <c r="H103" s="445">
        <f ca="1">$H$64</f>
        <v>46198</v>
      </c>
      <c r="I103" s="50"/>
      <c r="J103" s="928"/>
      <c r="K103" s="56" t="str">
        <f>Idiomas!D173</f>
        <v>4º GRUPO F</v>
      </c>
      <c r="L103" s="53"/>
      <c r="M103" s="55" t="str">
        <f ca="1">IF(OR(SUM(WORLDCUP!$AN$46:$AN$49)=12,WORLDCUP!$AJ$99=144),WORLDCUP!AL49,LEFT(K103,1)&amp;RIGHT(K103,1))</f>
        <v>4F</v>
      </c>
      <c r="N103" s="25"/>
      <c r="O103" s="25"/>
      <c r="P103" s="25"/>
      <c r="Q103" s="25"/>
      <c r="R103" s="110"/>
      <c r="S103" s="854" t="s">
        <v>1322</v>
      </c>
      <c r="T103" s="73">
        <f t="shared" ref="T103" ca="1" si="264">($M103=S103)*$D$14</f>
        <v>0</v>
      </c>
      <c r="U103" s="64"/>
      <c r="V103" s="793" t="s">
        <v>1322</v>
      </c>
      <c r="W103" s="73">
        <f t="shared" ref="W103:CH103" ca="1" si="265">($M103=V103)*$D$14</f>
        <v>0</v>
      </c>
      <c r="X103" s="64"/>
      <c r="Y103" s="798" t="s">
        <v>1833</v>
      </c>
      <c r="Z103" s="73">
        <f t="shared" ca="1" si="265"/>
        <v>0</v>
      </c>
      <c r="AA103" s="64"/>
      <c r="AB103" s="803" t="s">
        <v>1322</v>
      </c>
      <c r="AC103" s="73">
        <f t="shared" ca="1" si="265"/>
        <v>0</v>
      </c>
      <c r="AD103" s="64"/>
      <c r="AE103" s="808" t="s">
        <v>1322</v>
      </c>
      <c r="AF103" s="73">
        <f t="shared" ca="1" si="265"/>
        <v>0</v>
      </c>
      <c r="AG103" s="64"/>
      <c r="AH103" s="74" t="s">
        <v>1322</v>
      </c>
      <c r="AI103" s="73">
        <f t="shared" ca="1" si="265"/>
        <v>0</v>
      </c>
      <c r="AJ103" s="64"/>
      <c r="AK103" s="813" t="s">
        <v>1322</v>
      </c>
      <c r="AL103" s="73">
        <f t="shared" ca="1" si="265"/>
        <v>0</v>
      </c>
      <c r="AM103" s="64"/>
      <c r="AN103" s="818" t="s">
        <v>1322</v>
      </c>
      <c r="AO103" s="73">
        <f t="shared" ca="1" si="265"/>
        <v>0</v>
      </c>
      <c r="AP103" s="64"/>
      <c r="AQ103" s="823" t="s">
        <v>1322</v>
      </c>
      <c r="AR103" s="73">
        <f t="shared" ca="1" si="265"/>
        <v>0</v>
      </c>
      <c r="AS103" s="64"/>
      <c r="AT103" s="828" t="s">
        <v>1322</v>
      </c>
      <c r="AU103" s="73">
        <f t="shared" ca="1" si="265"/>
        <v>0</v>
      </c>
      <c r="AV103" s="64"/>
      <c r="AW103" s="832" t="s">
        <v>1322</v>
      </c>
      <c r="AX103" s="73">
        <f t="shared" ca="1" si="265"/>
        <v>0</v>
      </c>
      <c r="AY103" s="64"/>
      <c r="AZ103" s="838" t="s">
        <v>1322</v>
      </c>
      <c r="BA103" s="73">
        <f t="shared" ca="1" si="265"/>
        <v>0</v>
      </c>
      <c r="BB103" s="64"/>
      <c r="BC103" s="845" t="s">
        <v>1322</v>
      </c>
      <c r="BD103" s="73">
        <f t="shared" ca="1" si="265"/>
        <v>0</v>
      </c>
      <c r="BE103" s="64"/>
      <c r="BF103" s="849" t="s">
        <v>1322</v>
      </c>
      <c r="BG103" s="73">
        <f t="shared" ca="1" si="265"/>
        <v>0</v>
      </c>
      <c r="BH103" s="64"/>
      <c r="BI103" s="859" t="s">
        <v>1322</v>
      </c>
      <c r="BJ103" s="73">
        <f t="shared" ca="1" si="265"/>
        <v>0</v>
      </c>
      <c r="BK103" s="64"/>
      <c r="BL103" s="864" t="s">
        <v>1322</v>
      </c>
      <c r="BM103" s="73">
        <f t="shared" ca="1" si="265"/>
        <v>0</v>
      </c>
      <c r="BN103" s="64"/>
      <c r="BO103" s="869" t="s">
        <v>1322</v>
      </c>
      <c r="BP103" s="73">
        <f t="shared" ca="1" si="265"/>
        <v>0</v>
      </c>
      <c r="BQ103" s="64"/>
      <c r="BR103" s="838" t="s">
        <v>1322</v>
      </c>
      <c r="BS103" s="73">
        <f t="shared" ca="1" si="265"/>
        <v>0</v>
      </c>
      <c r="BT103" s="64"/>
      <c r="BU103" s="873" t="s">
        <v>1322</v>
      </c>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4">
        <f ca="1">VLOOKUP(H104,Equipos!$Q$1:$R$25,2,0)</f>
        <v>16</v>
      </c>
      <c r="H104" s="445">
        <f ca="1">$H$66</f>
        <v>46199</v>
      </c>
      <c r="I104" s="50"/>
      <c r="J104" s="929" t="s">
        <v>6</v>
      </c>
      <c r="K104" s="56" t="str">
        <f>Idiomas!D174</f>
        <v>1º GRUPO G</v>
      </c>
      <c r="L104" s="53"/>
      <c r="M104" s="55" t="str">
        <f ca="1">IF(OR(SUM(WORLDCUP!$AN$54:$AN$57)=12,WORLDCUP!$AJ$99=144),WORLDCUP!AL54,LEFT(K104,1)&amp;RIGHT(K104,1))</f>
        <v>1G</v>
      </c>
      <c r="N104" s="25"/>
      <c r="O104" s="25"/>
      <c r="P104" s="25"/>
      <c r="Q104" s="25"/>
      <c r="R104" s="110"/>
      <c r="S104" s="854" t="s">
        <v>110</v>
      </c>
      <c r="T104" s="73">
        <f t="shared" ref="T104" ca="1" si="268">($M104=S104)*$D$11</f>
        <v>0</v>
      </c>
      <c r="U104" s="64"/>
      <c r="V104" s="793" t="s">
        <v>1266</v>
      </c>
      <c r="W104" s="73">
        <f t="shared" ref="W104:CH104" ca="1" si="269">($M104=V104)*$D$11</f>
        <v>0</v>
      </c>
      <c r="X104" s="64"/>
      <c r="Y104" s="798" t="s">
        <v>110</v>
      </c>
      <c r="Z104" s="73">
        <f t="shared" ca="1" si="269"/>
        <v>0</v>
      </c>
      <c r="AA104" s="64"/>
      <c r="AB104" s="803" t="s">
        <v>110</v>
      </c>
      <c r="AC104" s="73">
        <f t="shared" ca="1" si="269"/>
        <v>0</v>
      </c>
      <c r="AD104" s="64"/>
      <c r="AE104" s="808" t="s">
        <v>110</v>
      </c>
      <c r="AF104" s="73">
        <f t="shared" ca="1" si="269"/>
        <v>0</v>
      </c>
      <c r="AG104" s="64"/>
      <c r="AH104" s="74" t="s">
        <v>110</v>
      </c>
      <c r="AI104" s="73">
        <f t="shared" ca="1" si="269"/>
        <v>0</v>
      </c>
      <c r="AJ104" s="64"/>
      <c r="AK104" s="813" t="s">
        <v>110</v>
      </c>
      <c r="AL104" s="73">
        <f t="shared" ca="1" si="269"/>
        <v>0</v>
      </c>
      <c r="AM104" s="64"/>
      <c r="AN104" s="818" t="s">
        <v>110</v>
      </c>
      <c r="AO104" s="73">
        <f t="shared" ca="1" si="269"/>
        <v>0</v>
      </c>
      <c r="AP104" s="64"/>
      <c r="AQ104" s="823" t="s">
        <v>110</v>
      </c>
      <c r="AR104" s="73">
        <f t="shared" ca="1" si="269"/>
        <v>0</v>
      </c>
      <c r="AS104" s="64"/>
      <c r="AT104" s="828" t="s">
        <v>110</v>
      </c>
      <c r="AU104" s="73">
        <f t="shared" ca="1" si="269"/>
        <v>0</v>
      </c>
      <c r="AV104" s="64"/>
      <c r="AW104" s="832" t="s">
        <v>110</v>
      </c>
      <c r="AX104" s="73">
        <f t="shared" ca="1" si="269"/>
        <v>0</v>
      </c>
      <c r="AY104" s="64"/>
      <c r="AZ104" s="838" t="s">
        <v>110</v>
      </c>
      <c r="BA104" s="73">
        <f t="shared" ca="1" si="269"/>
        <v>0</v>
      </c>
      <c r="BB104" s="64"/>
      <c r="BC104" s="845" t="s">
        <v>110</v>
      </c>
      <c r="BD104" s="73">
        <f t="shared" ca="1" si="269"/>
        <v>0</v>
      </c>
      <c r="BE104" s="64"/>
      <c r="BF104" s="849" t="s">
        <v>110</v>
      </c>
      <c r="BG104" s="73">
        <f t="shared" ca="1" si="269"/>
        <v>0</v>
      </c>
      <c r="BH104" s="64"/>
      <c r="BI104" s="859" t="s">
        <v>110</v>
      </c>
      <c r="BJ104" s="73">
        <f t="shared" ca="1" si="269"/>
        <v>0</v>
      </c>
      <c r="BK104" s="64"/>
      <c r="BL104" s="864" t="s">
        <v>110</v>
      </c>
      <c r="BM104" s="73">
        <f t="shared" ca="1" si="269"/>
        <v>0</v>
      </c>
      <c r="BN104" s="64"/>
      <c r="BO104" s="869" t="s">
        <v>110</v>
      </c>
      <c r="BP104" s="73">
        <f t="shared" ca="1" si="269"/>
        <v>0</v>
      </c>
      <c r="BQ104" s="64"/>
      <c r="BR104" s="838" t="s">
        <v>110</v>
      </c>
      <c r="BS104" s="73">
        <f t="shared" ca="1" si="269"/>
        <v>0</v>
      </c>
      <c r="BT104" s="64"/>
      <c r="BU104" s="873" t="s">
        <v>110</v>
      </c>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4">
        <f ca="1">VLOOKUP(H105,Equipos!$Q$1:$R$25,2,0)</f>
        <v>16</v>
      </c>
      <c r="H105" s="445">
        <f ca="1">$H$66</f>
        <v>46199</v>
      </c>
      <c r="I105" s="50"/>
      <c r="J105" s="929"/>
      <c r="K105" s="56" t="str">
        <f>Idiomas!D175</f>
        <v>2º GRUPO G</v>
      </c>
      <c r="L105" s="53"/>
      <c r="M105" s="55" t="str">
        <f ca="1">IF(OR(SUM(WORLDCUP!$AN$54:$AN$57)=12,WORLDCUP!$AJ$99=144),WORLDCUP!AL55,LEFT(K105,1)&amp;RIGHT(K105,1))</f>
        <v>2G</v>
      </c>
      <c r="N105" s="25"/>
      <c r="O105" s="25"/>
      <c r="P105" s="25"/>
      <c r="Q105" s="25"/>
      <c r="R105" s="110"/>
      <c r="S105" s="854" t="s">
        <v>1266</v>
      </c>
      <c r="T105" s="73">
        <f t="shared" ref="T105" ca="1" si="272">($M105=S105)*$D$12</f>
        <v>0</v>
      </c>
      <c r="U105" s="64"/>
      <c r="V105" s="793" t="s">
        <v>110</v>
      </c>
      <c r="W105" s="73">
        <f t="shared" ref="W105:CH105" ca="1" si="273">($M105=V105)*$D$12</f>
        <v>0</v>
      </c>
      <c r="X105" s="64"/>
      <c r="Y105" s="798" t="s">
        <v>1262</v>
      </c>
      <c r="Z105" s="73">
        <f t="shared" ca="1" si="273"/>
        <v>0</v>
      </c>
      <c r="AA105" s="64"/>
      <c r="AB105" s="803" t="s">
        <v>1550</v>
      </c>
      <c r="AC105" s="73">
        <f t="shared" ca="1" si="273"/>
        <v>0</v>
      </c>
      <c r="AD105" s="64"/>
      <c r="AE105" s="808" t="s">
        <v>1550</v>
      </c>
      <c r="AF105" s="73">
        <f t="shared" ca="1" si="273"/>
        <v>0</v>
      </c>
      <c r="AG105" s="64"/>
      <c r="AH105" s="74" t="s">
        <v>1550</v>
      </c>
      <c r="AI105" s="73">
        <f t="shared" ca="1" si="273"/>
        <v>0</v>
      </c>
      <c r="AJ105" s="64"/>
      <c r="AK105" s="813" t="s">
        <v>1550</v>
      </c>
      <c r="AL105" s="73">
        <f t="shared" ca="1" si="273"/>
        <v>0</v>
      </c>
      <c r="AM105" s="64"/>
      <c r="AN105" s="818" t="s">
        <v>1550</v>
      </c>
      <c r="AO105" s="73">
        <f t="shared" ca="1" si="273"/>
        <v>0</v>
      </c>
      <c r="AP105" s="64"/>
      <c r="AQ105" s="823" t="s">
        <v>1550</v>
      </c>
      <c r="AR105" s="73">
        <f t="shared" ca="1" si="273"/>
        <v>0</v>
      </c>
      <c r="AS105" s="64"/>
      <c r="AT105" s="828" t="s">
        <v>1550</v>
      </c>
      <c r="AU105" s="73">
        <f t="shared" ca="1" si="273"/>
        <v>0</v>
      </c>
      <c r="AV105" s="64"/>
      <c r="AW105" s="832" t="s">
        <v>1266</v>
      </c>
      <c r="AX105" s="73">
        <f t="shared" ca="1" si="273"/>
        <v>0</v>
      </c>
      <c r="AY105" s="64"/>
      <c r="AZ105" s="838" t="s">
        <v>1550</v>
      </c>
      <c r="BA105" s="73">
        <f t="shared" ca="1" si="273"/>
        <v>0</v>
      </c>
      <c r="BB105" s="64"/>
      <c r="BC105" s="845" t="s">
        <v>1266</v>
      </c>
      <c r="BD105" s="73">
        <f t="shared" ca="1" si="273"/>
        <v>0</v>
      </c>
      <c r="BE105" s="64"/>
      <c r="BF105" s="849" t="s">
        <v>1550</v>
      </c>
      <c r="BG105" s="73">
        <f t="shared" ca="1" si="273"/>
        <v>0</v>
      </c>
      <c r="BH105" s="64"/>
      <c r="BI105" s="859" t="s">
        <v>1550</v>
      </c>
      <c r="BJ105" s="73">
        <f t="shared" ca="1" si="273"/>
        <v>0</v>
      </c>
      <c r="BK105" s="64"/>
      <c r="BL105" s="864" t="s">
        <v>1550</v>
      </c>
      <c r="BM105" s="73">
        <f t="shared" ca="1" si="273"/>
        <v>0</v>
      </c>
      <c r="BN105" s="64"/>
      <c r="BO105" s="869" t="s">
        <v>1550</v>
      </c>
      <c r="BP105" s="73">
        <f t="shared" ca="1" si="273"/>
        <v>0</v>
      </c>
      <c r="BQ105" s="64"/>
      <c r="BR105" s="838" t="s">
        <v>1550</v>
      </c>
      <c r="BS105" s="73">
        <f t="shared" ca="1" si="273"/>
        <v>0</v>
      </c>
      <c r="BT105" s="64"/>
      <c r="BU105" s="873" t="s">
        <v>1550</v>
      </c>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4">
        <f ca="1">VLOOKUP(H106,Equipos!$Q$1:$R$25,2,0)</f>
        <v>16</v>
      </c>
      <c r="H106" s="445">
        <f ca="1">$H$66</f>
        <v>46199</v>
      </c>
      <c r="I106" s="50"/>
      <c r="J106" s="929"/>
      <c r="K106" s="56" t="str">
        <f>Idiomas!D176</f>
        <v>3º GRUPO G</v>
      </c>
      <c r="L106" s="53"/>
      <c r="M106" s="55" t="str">
        <f ca="1">IF(OR(SUM(WORLDCUP!$AN$54:$AN$57)=12,WORLDCUP!$AJ$99=144),WORLDCUP!AL56,LEFT(K106,1)&amp;RIGHT(K106,1))</f>
        <v>3G</v>
      </c>
      <c r="N106" s="25"/>
      <c r="O106" s="25"/>
      <c r="P106" s="25"/>
      <c r="Q106" s="25"/>
      <c r="R106" s="110"/>
      <c r="S106" s="854" t="s">
        <v>1550</v>
      </c>
      <c r="T106" s="73">
        <f t="shared" ref="T106" ca="1" si="276">($M106=S106)*$D$13</f>
        <v>0</v>
      </c>
      <c r="U106" s="64"/>
      <c r="V106" s="793" t="s">
        <v>1550</v>
      </c>
      <c r="W106" s="73">
        <f t="shared" ref="W106:CH106" ca="1" si="277">($M106=V106)*$D$13</f>
        <v>0</v>
      </c>
      <c r="X106" s="64"/>
      <c r="Y106" s="798" t="s">
        <v>1266</v>
      </c>
      <c r="Z106" s="73">
        <f t="shared" ca="1" si="277"/>
        <v>0</v>
      </c>
      <c r="AA106" s="64"/>
      <c r="AB106" s="803" t="s">
        <v>1266</v>
      </c>
      <c r="AC106" s="73">
        <f t="shared" ca="1" si="277"/>
        <v>0</v>
      </c>
      <c r="AD106" s="64"/>
      <c r="AE106" s="808" t="s">
        <v>1266</v>
      </c>
      <c r="AF106" s="73">
        <f t="shared" ca="1" si="277"/>
        <v>0</v>
      </c>
      <c r="AG106" s="64"/>
      <c r="AH106" s="74" t="s">
        <v>1262</v>
      </c>
      <c r="AI106" s="73">
        <f t="shared" ca="1" si="277"/>
        <v>0</v>
      </c>
      <c r="AJ106" s="64"/>
      <c r="AK106" s="813" t="s">
        <v>1262</v>
      </c>
      <c r="AL106" s="73">
        <f t="shared" ca="1" si="277"/>
        <v>0</v>
      </c>
      <c r="AM106" s="64"/>
      <c r="AN106" s="818" t="s">
        <v>1266</v>
      </c>
      <c r="AO106" s="73">
        <f t="shared" ca="1" si="277"/>
        <v>0</v>
      </c>
      <c r="AP106" s="64"/>
      <c r="AQ106" s="823" t="s">
        <v>1262</v>
      </c>
      <c r="AR106" s="73">
        <f t="shared" ca="1" si="277"/>
        <v>0</v>
      </c>
      <c r="AS106" s="64"/>
      <c r="AT106" s="828" t="s">
        <v>1262</v>
      </c>
      <c r="AU106" s="73">
        <f t="shared" ca="1" si="277"/>
        <v>0</v>
      </c>
      <c r="AV106" s="64"/>
      <c r="AW106" s="832" t="s">
        <v>1262</v>
      </c>
      <c r="AX106" s="73">
        <f t="shared" ca="1" si="277"/>
        <v>0</v>
      </c>
      <c r="AY106" s="64"/>
      <c r="AZ106" s="838" t="s">
        <v>1262</v>
      </c>
      <c r="BA106" s="73">
        <f t="shared" ca="1" si="277"/>
        <v>0</v>
      </c>
      <c r="BB106" s="64"/>
      <c r="BC106" s="845" t="s">
        <v>1550</v>
      </c>
      <c r="BD106" s="73">
        <f t="shared" ca="1" si="277"/>
        <v>0</v>
      </c>
      <c r="BE106" s="64"/>
      <c r="BF106" s="849" t="s">
        <v>1262</v>
      </c>
      <c r="BG106" s="73">
        <f t="shared" ca="1" si="277"/>
        <v>0</v>
      </c>
      <c r="BH106" s="64"/>
      <c r="BI106" s="859" t="s">
        <v>1262</v>
      </c>
      <c r="BJ106" s="73">
        <f t="shared" ca="1" si="277"/>
        <v>0</v>
      </c>
      <c r="BK106" s="64"/>
      <c r="BL106" s="864" t="s">
        <v>1262</v>
      </c>
      <c r="BM106" s="73">
        <f t="shared" ca="1" si="277"/>
        <v>0</v>
      </c>
      <c r="BN106" s="64"/>
      <c r="BO106" s="869" t="s">
        <v>1262</v>
      </c>
      <c r="BP106" s="73">
        <f t="shared" ca="1" si="277"/>
        <v>0</v>
      </c>
      <c r="BQ106" s="64"/>
      <c r="BR106" s="838" t="s">
        <v>1262</v>
      </c>
      <c r="BS106" s="73">
        <f t="shared" ca="1" si="277"/>
        <v>0</v>
      </c>
      <c r="BT106" s="64"/>
      <c r="BU106" s="873" t="s">
        <v>1262</v>
      </c>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4">
        <f ca="1">VLOOKUP(H107,Equipos!$Q$1:$R$25,2,0)</f>
        <v>16</v>
      </c>
      <c r="H107" s="445">
        <f ca="1">$H$66</f>
        <v>46199</v>
      </c>
      <c r="I107" s="50"/>
      <c r="J107" s="929"/>
      <c r="K107" s="56" t="str">
        <f>Idiomas!D177</f>
        <v>4º GRUPO G</v>
      </c>
      <c r="L107" s="53"/>
      <c r="M107" s="55" t="str">
        <f ca="1">IF(OR(SUM(WORLDCUP!$AN$54:$AN$57)=12,WORLDCUP!$AJ$99=144),WORLDCUP!AL57,LEFT(K107,1)&amp;RIGHT(K107,1))</f>
        <v>4G</v>
      </c>
      <c r="N107" s="25"/>
      <c r="O107" s="25"/>
      <c r="P107" s="25"/>
      <c r="Q107" s="25"/>
      <c r="R107" s="110"/>
      <c r="S107" s="854" t="s">
        <v>1262</v>
      </c>
      <c r="T107" s="73">
        <f t="shared" ref="T107" ca="1" si="280">($M107=S107)*$D$14</f>
        <v>0</v>
      </c>
      <c r="U107" s="64"/>
      <c r="V107" s="793" t="s">
        <v>1262</v>
      </c>
      <c r="W107" s="73">
        <f t="shared" ref="W107:CH107" ca="1" si="281">($M107=V107)*$D$14</f>
        <v>0</v>
      </c>
      <c r="X107" s="64"/>
      <c r="Y107" s="798" t="s">
        <v>1550</v>
      </c>
      <c r="Z107" s="73">
        <f t="shared" ca="1" si="281"/>
        <v>0</v>
      </c>
      <c r="AA107" s="64"/>
      <c r="AB107" s="803" t="s">
        <v>1262</v>
      </c>
      <c r="AC107" s="73">
        <f t="shared" ca="1" si="281"/>
        <v>0</v>
      </c>
      <c r="AD107" s="64"/>
      <c r="AE107" s="808" t="s">
        <v>1262</v>
      </c>
      <c r="AF107" s="73">
        <f t="shared" ca="1" si="281"/>
        <v>0</v>
      </c>
      <c r="AG107" s="64"/>
      <c r="AH107" s="74" t="s">
        <v>1266</v>
      </c>
      <c r="AI107" s="73">
        <f t="shared" ca="1" si="281"/>
        <v>0</v>
      </c>
      <c r="AJ107" s="64"/>
      <c r="AK107" s="813" t="s">
        <v>1266</v>
      </c>
      <c r="AL107" s="73">
        <f t="shared" ca="1" si="281"/>
        <v>0</v>
      </c>
      <c r="AM107" s="64"/>
      <c r="AN107" s="818" t="s">
        <v>1262</v>
      </c>
      <c r="AO107" s="73">
        <f t="shared" ca="1" si="281"/>
        <v>0</v>
      </c>
      <c r="AP107" s="64"/>
      <c r="AQ107" s="823" t="s">
        <v>1266</v>
      </c>
      <c r="AR107" s="73">
        <f t="shared" ca="1" si="281"/>
        <v>0</v>
      </c>
      <c r="AS107" s="64"/>
      <c r="AT107" s="828" t="s">
        <v>1266</v>
      </c>
      <c r="AU107" s="73">
        <f t="shared" ca="1" si="281"/>
        <v>0</v>
      </c>
      <c r="AV107" s="64"/>
      <c r="AW107" s="832" t="s">
        <v>1550</v>
      </c>
      <c r="AX107" s="73">
        <f t="shared" ca="1" si="281"/>
        <v>0</v>
      </c>
      <c r="AY107" s="64"/>
      <c r="AZ107" s="838" t="s">
        <v>1266</v>
      </c>
      <c r="BA107" s="73">
        <f t="shared" ca="1" si="281"/>
        <v>0</v>
      </c>
      <c r="BB107" s="64"/>
      <c r="BC107" s="845" t="s">
        <v>1262</v>
      </c>
      <c r="BD107" s="73">
        <f t="shared" ca="1" si="281"/>
        <v>0</v>
      </c>
      <c r="BE107" s="64"/>
      <c r="BF107" s="849" t="s">
        <v>1266</v>
      </c>
      <c r="BG107" s="73">
        <f t="shared" ca="1" si="281"/>
        <v>0</v>
      </c>
      <c r="BH107" s="64"/>
      <c r="BI107" s="859" t="s">
        <v>1266</v>
      </c>
      <c r="BJ107" s="73">
        <f t="shared" ca="1" si="281"/>
        <v>0</v>
      </c>
      <c r="BK107" s="64"/>
      <c r="BL107" s="864" t="s">
        <v>1266</v>
      </c>
      <c r="BM107" s="73">
        <f t="shared" ca="1" si="281"/>
        <v>0</v>
      </c>
      <c r="BN107" s="64"/>
      <c r="BO107" s="869" t="s">
        <v>1266</v>
      </c>
      <c r="BP107" s="73">
        <f t="shared" ca="1" si="281"/>
        <v>0</v>
      </c>
      <c r="BQ107" s="64"/>
      <c r="BR107" s="838" t="s">
        <v>1266</v>
      </c>
      <c r="BS107" s="73">
        <f t="shared" ca="1" si="281"/>
        <v>0</v>
      </c>
      <c r="BT107" s="64"/>
      <c r="BU107" s="873" t="s">
        <v>1266</v>
      </c>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4">
        <f ca="1">VLOOKUP(H108,Equipos!$Q$1:$R$25,2,0)</f>
        <v>16</v>
      </c>
      <c r="H108" s="445">
        <f ca="1">$H$68</f>
        <v>46199</v>
      </c>
      <c r="I108" s="50"/>
      <c r="J108" s="928" t="s">
        <v>437</v>
      </c>
      <c r="K108" s="56" t="str">
        <f>Idiomas!D178</f>
        <v>1º GRUPO H</v>
      </c>
      <c r="L108" s="53"/>
      <c r="M108" s="55" t="str">
        <f ca="1">IF(OR(SUM(WORLDCUP!$AN$62:$AN$65)=12,WORLDCUP!$AJ$99=144),WORLDCUP!AL62,LEFT(K108,1)&amp;RIGHT(K108,1))</f>
        <v>1H</v>
      </c>
      <c r="N108" s="25"/>
      <c r="O108" s="25"/>
      <c r="P108" s="25"/>
      <c r="Q108" s="25"/>
      <c r="R108" s="110"/>
      <c r="S108" s="854" t="s">
        <v>38</v>
      </c>
      <c r="T108" s="73">
        <f t="shared" ref="T108" ca="1" si="284">($M108=S108)*$D$11</f>
        <v>0</v>
      </c>
      <c r="U108" s="64"/>
      <c r="V108" s="793" t="s">
        <v>1318</v>
      </c>
      <c r="W108" s="73">
        <f t="shared" ref="W108:CH108" ca="1" si="285">($M108=V108)*$D$11</f>
        <v>0</v>
      </c>
      <c r="X108" s="64"/>
      <c r="Y108" s="798" t="s">
        <v>38</v>
      </c>
      <c r="Z108" s="73">
        <f t="shared" ca="1" si="285"/>
        <v>0</v>
      </c>
      <c r="AA108" s="64"/>
      <c r="AB108" s="803" t="s">
        <v>38</v>
      </c>
      <c r="AC108" s="73">
        <f t="shared" ca="1" si="285"/>
        <v>0</v>
      </c>
      <c r="AD108" s="64"/>
      <c r="AE108" s="808" t="s">
        <v>38</v>
      </c>
      <c r="AF108" s="73">
        <f t="shared" ca="1" si="285"/>
        <v>0</v>
      </c>
      <c r="AG108" s="64"/>
      <c r="AH108" s="74" t="s">
        <v>38</v>
      </c>
      <c r="AI108" s="73">
        <f t="shared" ca="1" si="285"/>
        <v>0</v>
      </c>
      <c r="AJ108" s="64"/>
      <c r="AK108" s="813" t="s">
        <v>38</v>
      </c>
      <c r="AL108" s="73">
        <f t="shared" ca="1" si="285"/>
        <v>0</v>
      </c>
      <c r="AM108" s="64"/>
      <c r="AN108" s="818" t="s">
        <v>38</v>
      </c>
      <c r="AO108" s="73">
        <f t="shared" ca="1" si="285"/>
        <v>0</v>
      </c>
      <c r="AP108" s="64"/>
      <c r="AQ108" s="823" t="s">
        <v>38</v>
      </c>
      <c r="AR108" s="73">
        <f t="shared" ca="1" si="285"/>
        <v>0</v>
      </c>
      <c r="AS108" s="64"/>
      <c r="AT108" s="828" t="s">
        <v>38</v>
      </c>
      <c r="AU108" s="73">
        <f t="shared" ca="1" si="285"/>
        <v>0</v>
      </c>
      <c r="AV108" s="64"/>
      <c r="AW108" s="832" t="s">
        <v>38</v>
      </c>
      <c r="AX108" s="73">
        <f t="shared" ca="1" si="285"/>
        <v>0</v>
      </c>
      <c r="AY108" s="64"/>
      <c r="AZ108" s="838" t="s">
        <v>38</v>
      </c>
      <c r="BA108" s="73">
        <f t="shared" ca="1" si="285"/>
        <v>0</v>
      </c>
      <c r="BB108" s="64"/>
      <c r="BC108" s="845" t="s">
        <v>1318</v>
      </c>
      <c r="BD108" s="73">
        <f t="shared" ca="1" si="285"/>
        <v>0</v>
      </c>
      <c r="BE108" s="64"/>
      <c r="BF108" s="849" t="s">
        <v>38</v>
      </c>
      <c r="BG108" s="73">
        <f t="shared" ca="1" si="285"/>
        <v>0</v>
      </c>
      <c r="BH108" s="64"/>
      <c r="BI108" s="859" t="s">
        <v>38</v>
      </c>
      <c r="BJ108" s="73">
        <f t="shared" ca="1" si="285"/>
        <v>0</v>
      </c>
      <c r="BK108" s="64"/>
      <c r="BL108" s="864" t="s">
        <v>38</v>
      </c>
      <c r="BM108" s="73">
        <f t="shared" ca="1" si="285"/>
        <v>0</v>
      </c>
      <c r="BN108" s="64"/>
      <c r="BO108" s="869" t="s">
        <v>38</v>
      </c>
      <c r="BP108" s="73">
        <f t="shared" ca="1" si="285"/>
        <v>0</v>
      </c>
      <c r="BQ108" s="64"/>
      <c r="BR108" s="838" t="s">
        <v>38</v>
      </c>
      <c r="BS108" s="73">
        <f t="shared" ca="1" si="285"/>
        <v>0</v>
      </c>
      <c r="BT108" s="64"/>
      <c r="BU108" s="873" t="s">
        <v>38</v>
      </c>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4">
        <f ca="1">VLOOKUP(H109,Equipos!$Q$1:$R$25,2,0)</f>
        <v>16</v>
      </c>
      <c r="H109" s="445">
        <f ca="1">$H$68</f>
        <v>46199</v>
      </c>
      <c r="I109" s="50"/>
      <c r="J109" s="928"/>
      <c r="K109" s="56" t="str">
        <f>Idiomas!D179</f>
        <v>2º GRUPO H</v>
      </c>
      <c r="L109" s="53"/>
      <c r="M109" s="55" t="str">
        <f ca="1">IF(OR(SUM(WORLDCUP!$AN$62:$AN$65)=12,WORLDCUP!$AJ$99=144),WORLDCUP!AL63,LEFT(K109,1)&amp;RIGHT(K109,1))</f>
        <v>2H</v>
      </c>
      <c r="N109" s="25"/>
      <c r="O109" s="25"/>
      <c r="P109" s="25"/>
      <c r="Q109" s="25"/>
      <c r="R109" s="110"/>
      <c r="S109" s="854" t="s">
        <v>1318</v>
      </c>
      <c r="T109" s="73">
        <f t="shared" ref="T109" ca="1" si="288">($M109=S109)*$D$12</f>
        <v>0</v>
      </c>
      <c r="U109" s="64"/>
      <c r="V109" s="793" t="s">
        <v>38</v>
      </c>
      <c r="W109" s="73">
        <f t="shared" ref="W109:CH109" ca="1" si="289">($M109=V109)*$D$12</f>
        <v>0</v>
      </c>
      <c r="X109" s="64"/>
      <c r="Y109" s="798" t="s">
        <v>1318</v>
      </c>
      <c r="Z109" s="73">
        <f t="shared" ca="1" si="289"/>
        <v>0</v>
      </c>
      <c r="AA109" s="64"/>
      <c r="AB109" s="803" t="s">
        <v>1318</v>
      </c>
      <c r="AC109" s="73">
        <f t="shared" ca="1" si="289"/>
        <v>0</v>
      </c>
      <c r="AD109" s="64"/>
      <c r="AE109" s="808" t="s">
        <v>1318</v>
      </c>
      <c r="AF109" s="73">
        <f t="shared" ca="1" si="289"/>
        <v>0</v>
      </c>
      <c r="AG109" s="64"/>
      <c r="AH109" s="74" t="s">
        <v>1318</v>
      </c>
      <c r="AI109" s="73">
        <f t="shared" ca="1" si="289"/>
        <v>0</v>
      </c>
      <c r="AJ109" s="64"/>
      <c r="AK109" s="813" t="s">
        <v>1318</v>
      </c>
      <c r="AL109" s="73">
        <f t="shared" ca="1" si="289"/>
        <v>0</v>
      </c>
      <c r="AM109" s="64"/>
      <c r="AN109" s="818" t="s">
        <v>1318</v>
      </c>
      <c r="AO109" s="73">
        <f t="shared" ca="1" si="289"/>
        <v>0</v>
      </c>
      <c r="AP109" s="64"/>
      <c r="AQ109" s="823" t="s">
        <v>1318</v>
      </c>
      <c r="AR109" s="73">
        <f t="shared" ca="1" si="289"/>
        <v>0</v>
      </c>
      <c r="AS109" s="64"/>
      <c r="AT109" s="828" t="s">
        <v>1318</v>
      </c>
      <c r="AU109" s="73">
        <f t="shared" ca="1" si="289"/>
        <v>0</v>
      </c>
      <c r="AV109" s="64"/>
      <c r="AW109" s="832" t="s">
        <v>1318</v>
      </c>
      <c r="AX109" s="73">
        <f t="shared" ca="1" si="289"/>
        <v>0</v>
      </c>
      <c r="AY109" s="64"/>
      <c r="AZ109" s="838" t="s">
        <v>1318</v>
      </c>
      <c r="BA109" s="73">
        <f t="shared" ca="1" si="289"/>
        <v>0</v>
      </c>
      <c r="BB109" s="64"/>
      <c r="BC109" s="845" t="s">
        <v>38</v>
      </c>
      <c r="BD109" s="73">
        <f t="shared" ca="1" si="289"/>
        <v>0</v>
      </c>
      <c r="BE109" s="64"/>
      <c r="BF109" s="849" t="s">
        <v>1318</v>
      </c>
      <c r="BG109" s="73">
        <f t="shared" ca="1" si="289"/>
        <v>0</v>
      </c>
      <c r="BH109" s="64"/>
      <c r="BI109" s="859" t="s">
        <v>1318</v>
      </c>
      <c r="BJ109" s="73">
        <f t="shared" ca="1" si="289"/>
        <v>0</v>
      </c>
      <c r="BK109" s="64"/>
      <c r="BL109" s="864" t="s">
        <v>1318</v>
      </c>
      <c r="BM109" s="73">
        <f t="shared" ca="1" si="289"/>
        <v>0</v>
      </c>
      <c r="BN109" s="64"/>
      <c r="BO109" s="869" t="s">
        <v>1318</v>
      </c>
      <c r="BP109" s="73">
        <f t="shared" ca="1" si="289"/>
        <v>0</v>
      </c>
      <c r="BQ109" s="64"/>
      <c r="BR109" s="838" t="s">
        <v>1318</v>
      </c>
      <c r="BS109" s="73">
        <f t="shared" ca="1" si="289"/>
        <v>0</v>
      </c>
      <c r="BT109" s="64"/>
      <c r="BU109" s="873" t="s">
        <v>1318</v>
      </c>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4">
        <f ca="1">VLOOKUP(H110,Equipos!$Q$1:$R$25,2,0)</f>
        <v>16</v>
      </c>
      <c r="H110" s="445">
        <f ca="1">$H$68</f>
        <v>46199</v>
      </c>
      <c r="I110" s="50"/>
      <c r="J110" s="928"/>
      <c r="K110" s="56" t="str">
        <f>Idiomas!D180</f>
        <v>3º GRUPO H</v>
      </c>
      <c r="L110" s="53"/>
      <c r="M110" s="55" t="str">
        <f ca="1">IF(OR(SUM(WORLDCUP!$AN$62:$AN$65)=12,WORLDCUP!$AJ$99=144),WORLDCUP!AL64,LEFT(K110,1)&amp;RIGHT(K110,1))</f>
        <v>3H</v>
      </c>
      <c r="N110" s="25"/>
      <c r="O110" s="25"/>
      <c r="P110" s="25"/>
      <c r="Q110" s="25"/>
      <c r="R110" s="110"/>
      <c r="S110" s="854" t="s">
        <v>1552</v>
      </c>
      <c r="T110" s="73">
        <f t="shared" ref="T110" ca="1" si="292">($M110=S110)*$D$13</f>
        <v>0</v>
      </c>
      <c r="U110" s="64"/>
      <c r="V110" s="793" t="s">
        <v>1632</v>
      </c>
      <c r="W110" s="73">
        <f t="shared" ref="W110:CH110" ca="1" si="293">($M110=V110)*$D$13</f>
        <v>0</v>
      </c>
      <c r="X110" s="64"/>
      <c r="Y110" s="798" t="s">
        <v>1552</v>
      </c>
      <c r="Z110" s="73">
        <f t="shared" ca="1" si="293"/>
        <v>0</v>
      </c>
      <c r="AA110" s="64"/>
      <c r="AB110" s="803" t="s">
        <v>1632</v>
      </c>
      <c r="AC110" s="73">
        <f t="shared" ca="1" si="293"/>
        <v>0</v>
      </c>
      <c r="AD110" s="64"/>
      <c r="AE110" s="808" t="s">
        <v>1632</v>
      </c>
      <c r="AF110" s="73">
        <f t="shared" ca="1" si="293"/>
        <v>0</v>
      </c>
      <c r="AG110" s="64"/>
      <c r="AH110" s="74" t="s">
        <v>1632</v>
      </c>
      <c r="AI110" s="73">
        <f t="shared" ca="1" si="293"/>
        <v>0</v>
      </c>
      <c r="AJ110" s="64"/>
      <c r="AK110" s="813" t="s">
        <v>1632</v>
      </c>
      <c r="AL110" s="73">
        <f t="shared" ca="1" si="293"/>
        <v>0</v>
      </c>
      <c r="AM110" s="64"/>
      <c r="AN110" s="818" t="s">
        <v>1632</v>
      </c>
      <c r="AO110" s="73">
        <f t="shared" ca="1" si="293"/>
        <v>0</v>
      </c>
      <c r="AP110" s="64"/>
      <c r="AQ110" s="823" t="s">
        <v>1632</v>
      </c>
      <c r="AR110" s="73">
        <f t="shared" ca="1" si="293"/>
        <v>0</v>
      </c>
      <c r="AS110" s="64"/>
      <c r="AT110" s="828" t="s">
        <v>1632</v>
      </c>
      <c r="AU110" s="73">
        <f t="shared" ca="1" si="293"/>
        <v>0</v>
      </c>
      <c r="AV110" s="64"/>
      <c r="AW110" s="832" t="s">
        <v>1632</v>
      </c>
      <c r="AX110" s="73">
        <f t="shared" ca="1" si="293"/>
        <v>0</v>
      </c>
      <c r="AY110" s="64"/>
      <c r="AZ110" s="838" t="s">
        <v>1632</v>
      </c>
      <c r="BA110" s="73">
        <f t="shared" ca="1" si="293"/>
        <v>0</v>
      </c>
      <c r="BB110" s="64"/>
      <c r="BC110" s="845" t="s">
        <v>1632</v>
      </c>
      <c r="BD110" s="73">
        <f t="shared" ca="1" si="293"/>
        <v>0</v>
      </c>
      <c r="BE110" s="64"/>
      <c r="BF110" s="849" t="s">
        <v>1632</v>
      </c>
      <c r="BG110" s="73">
        <f t="shared" ca="1" si="293"/>
        <v>0</v>
      </c>
      <c r="BH110" s="64"/>
      <c r="BI110" s="859" t="s">
        <v>1632</v>
      </c>
      <c r="BJ110" s="73">
        <f t="shared" ca="1" si="293"/>
        <v>0</v>
      </c>
      <c r="BK110" s="64"/>
      <c r="BL110" s="864" t="s">
        <v>1632</v>
      </c>
      <c r="BM110" s="73">
        <f t="shared" ca="1" si="293"/>
        <v>0</v>
      </c>
      <c r="BN110" s="64"/>
      <c r="BO110" s="869" t="s">
        <v>1632</v>
      </c>
      <c r="BP110" s="73">
        <f t="shared" ca="1" si="293"/>
        <v>0</v>
      </c>
      <c r="BQ110" s="64"/>
      <c r="BR110" s="838" t="s">
        <v>1632</v>
      </c>
      <c r="BS110" s="73">
        <f t="shared" ca="1" si="293"/>
        <v>0</v>
      </c>
      <c r="BT110" s="64"/>
      <c r="BU110" s="873" t="s">
        <v>1632</v>
      </c>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4">
        <f ca="1">VLOOKUP(H111,Equipos!$Q$1:$R$25,2,0)</f>
        <v>16</v>
      </c>
      <c r="H111" s="445">
        <f ca="1">$H$68</f>
        <v>46199</v>
      </c>
      <c r="I111" s="50"/>
      <c r="J111" s="928"/>
      <c r="K111" s="56" t="str">
        <f>Idiomas!D181</f>
        <v>4º GRUPO H</v>
      </c>
      <c r="L111" s="53"/>
      <c r="M111" s="55" t="str">
        <f ca="1">IF(OR(SUM(WORLDCUP!$AN$62:$AN$65)=12,WORLDCUP!$AJ$99=144),WORLDCUP!AL65,LEFT(K111,1)&amp;RIGHT(K111,1))</f>
        <v>4H</v>
      </c>
      <c r="N111" s="25"/>
      <c r="O111" s="25"/>
      <c r="P111" s="25"/>
      <c r="Q111" s="25"/>
      <c r="R111" s="110"/>
      <c r="S111" s="854" t="s">
        <v>1632</v>
      </c>
      <c r="T111" s="73">
        <f t="shared" ref="T111" ca="1" si="296">($M111=S111)*$D$14</f>
        <v>0</v>
      </c>
      <c r="U111" s="64"/>
      <c r="V111" s="793" t="s">
        <v>1552</v>
      </c>
      <c r="W111" s="73">
        <f t="shared" ref="W111:CH111" ca="1" si="297">($M111=V111)*$D$14</f>
        <v>0</v>
      </c>
      <c r="X111" s="64"/>
      <c r="Y111" s="798" t="s">
        <v>1632</v>
      </c>
      <c r="Z111" s="73">
        <f t="shared" ca="1" si="297"/>
        <v>0</v>
      </c>
      <c r="AA111" s="64"/>
      <c r="AB111" s="803" t="s">
        <v>1552</v>
      </c>
      <c r="AC111" s="73">
        <f t="shared" ca="1" si="297"/>
        <v>0</v>
      </c>
      <c r="AD111" s="64"/>
      <c r="AE111" s="808" t="s">
        <v>1552</v>
      </c>
      <c r="AF111" s="73">
        <f t="shared" ca="1" si="297"/>
        <v>0</v>
      </c>
      <c r="AG111" s="64"/>
      <c r="AH111" s="74" t="s">
        <v>1552</v>
      </c>
      <c r="AI111" s="73">
        <f t="shared" ca="1" si="297"/>
        <v>0</v>
      </c>
      <c r="AJ111" s="64"/>
      <c r="AK111" s="813" t="s">
        <v>1552</v>
      </c>
      <c r="AL111" s="73">
        <f t="shared" ca="1" si="297"/>
        <v>0</v>
      </c>
      <c r="AM111" s="64"/>
      <c r="AN111" s="818" t="s">
        <v>1552</v>
      </c>
      <c r="AO111" s="73">
        <f t="shared" ca="1" si="297"/>
        <v>0</v>
      </c>
      <c r="AP111" s="64"/>
      <c r="AQ111" s="823" t="s">
        <v>1552</v>
      </c>
      <c r="AR111" s="73">
        <f t="shared" ca="1" si="297"/>
        <v>0</v>
      </c>
      <c r="AS111" s="64"/>
      <c r="AT111" s="828" t="s">
        <v>1552</v>
      </c>
      <c r="AU111" s="73">
        <f t="shared" ca="1" si="297"/>
        <v>0</v>
      </c>
      <c r="AV111" s="64"/>
      <c r="AW111" s="832" t="s">
        <v>1552</v>
      </c>
      <c r="AX111" s="73">
        <f t="shared" ca="1" si="297"/>
        <v>0</v>
      </c>
      <c r="AY111" s="64"/>
      <c r="AZ111" s="838" t="s">
        <v>1552</v>
      </c>
      <c r="BA111" s="73">
        <f t="shared" ca="1" si="297"/>
        <v>0</v>
      </c>
      <c r="BB111" s="64"/>
      <c r="BC111" s="845" t="s">
        <v>1552</v>
      </c>
      <c r="BD111" s="73">
        <f t="shared" ca="1" si="297"/>
        <v>0</v>
      </c>
      <c r="BE111" s="64"/>
      <c r="BF111" s="849" t="s">
        <v>1552</v>
      </c>
      <c r="BG111" s="73">
        <f t="shared" ca="1" si="297"/>
        <v>0</v>
      </c>
      <c r="BH111" s="64"/>
      <c r="BI111" s="859" t="s">
        <v>1552</v>
      </c>
      <c r="BJ111" s="73">
        <f t="shared" ca="1" si="297"/>
        <v>0</v>
      </c>
      <c r="BK111" s="64"/>
      <c r="BL111" s="864" t="s">
        <v>1552</v>
      </c>
      <c r="BM111" s="73">
        <f t="shared" ca="1" si="297"/>
        <v>0</v>
      </c>
      <c r="BN111" s="64"/>
      <c r="BO111" s="869" t="s">
        <v>1552</v>
      </c>
      <c r="BP111" s="73">
        <f t="shared" ca="1" si="297"/>
        <v>0</v>
      </c>
      <c r="BQ111" s="64"/>
      <c r="BR111" s="838" t="s">
        <v>1552</v>
      </c>
      <c r="BS111" s="73">
        <f t="shared" ca="1" si="297"/>
        <v>0</v>
      </c>
      <c r="BT111" s="64"/>
      <c r="BU111" s="873" t="s">
        <v>1552</v>
      </c>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4">
        <f ca="1">VLOOKUP(H112,Equipos!$Q$1:$R$25,2,0)</f>
        <v>16</v>
      </c>
      <c r="H112" s="445">
        <f ca="1">$H$70</f>
        <v>46199</v>
      </c>
      <c r="I112" s="50"/>
      <c r="J112" s="929" t="s">
        <v>438</v>
      </c>
      <c r="K112" s="56" t="str">
        <f>Idiomas!D182</f>
        <v>1º GRUPO I</v>
      </c>
      <c r="L112" s="53"/>
      <c r="M112" s="55" t="str">
        <f ca="1">IF(OR(SUM(WORLDCUP!$AN$70:$AN$73)=12,WORLDCUP!$AJ$99=144),WORLDCUP!AL70,LEFT(K112,1)&amp;RIGHT(K112,1))</f>
        <v>1I</v>
      </c>
      <c r="N112" s="25"/>
      <c r="O112" s="25"/>
      <c r="P112" s="25"/>
      <c r="Q112" s="25"/>
      <c r="R112" s="110"/>
      <c r="S112" s="854" t="s">
        <v>74</v>
      </c>
      <c r="T112" s="73">
        <f t="shared" ref="T112" ca="1" si="300">($M112=S112)*$D$11</f>
        <v>0</v>
      </c>
      <c r="U112" s="64"/>
      <c r="V112" s="793" t="s">
        <v>74</v>
      </c>
      <c r="W112" s="73">
        <f t="shared" ref="W112:CH112" ca="1" si="301">($M112=V112)*$D$11</f>
        <v>0</v>
      </c>
      <c r="X112" s="64"/>
      <c r="Y112" s="798" t="s">
        <v>74</v>
      </c>
      <c r="Z112" s="73">
        <f t="shared" ca="1" si="301"/>
        <v>0</v>
      </c>
      <c r="AA112" s="64"/>
      <c r="AB112" s="803" t="s">
        <v>135</v>
      </c>
      <c r="AC112" s="73">
        <f t="shared" ca="1" si="301"/>
        <v>0</v>
      </c>
      <c r="AD112" s="64"/>
      <c r="AE112" s="808" t="s">
        <v>74</v>
      </c>
      <c r="AF112" s="73">
        <f t="shared" ca="1" si="301"/>
        <v>0</v>
      </c>
      <c r="AG112" s="64"/>
      <c r="AH112" s="74" t="s">
        <v>74</v>
      </c>
      <c r="AI112" s="73">
        <f t="shared" ca="1" si="301"/>
        <v>0</v>
      </c>
      <c r="AJ112" s="64"/>
      <c r="AK112" s="813" t="s">
        <v>74</v>
      </c>
      <c r="AL112" s="73">
        <f t="shared" ca="1" si="301"/>
        <v>0</v>
      </c>
      <c r="AM112" s="64"/>
      <c r="AN112" s="818" t="s">
        <v>74</v>
      </c>
      <c r="AO112" s="73">
        <f t="shared" ca="1" si="301"/>
        <v>0</v>
      </c>
      <c r="AP112" s="64"/>
      <c r="AQ112" s="823" t="s">
        <v>74</v>
      </c>
      <c r="AR112" s="73">
        <f t="shared" ca="1" si="301"/>
        <v>0</v>
      </c>
      <c r="AS112" s="64"/>
      <c r="AT112" s="828" t="s">
        <v>74</v>
      </c>
      <c r="AU112" s="73">
        <f t="shared" ca="1" si="301"/>
        <v>0</v>
      </c>
      <c r="AV112" s="64"/>
      <c r="AW112" s="832" t="s">
        <v>1757</v>
      </c>
      <c r="AX112" s="73">
        <f t="shared" ca="1" si="301"/>
        <v>0</v>
      </c>
      <c r="AY112" s="64"/>
      <c r="AZ112" s="838" t="s">
        <v>74</v>
      </c>
      <c r="BA112" s="73">
        <f t="shared" ca="1" si="301"/>
        <v>0</v>
      </c>
      <c r="BB112" s="64"/>
      <c r="BC112" s="845" t="s">
        <v>74</v>
      </c>
      <c r="BD112" s="73">
        <f t="shared" ca="1" si="301"/>
        <v>0</v>
      </c>
      <c r="BE112" s="64"/>
      <c r="BF112" s="849" t="s">
        <v>74</v>
      </c>
      <c r="BG112" s="73">
        <f t="shared" ca="1" si="301"/>
        <v>0</v>
      </c>
      <c r="BH112" s="64"/>
      <c r="BI112" s="859" t="s">
        <v>74</v>
      </c>
      <c r="BJ112" s="73">
        <f t="shared" ca="1" si="301"/>
        <v>0</v>
      </c>
      <c r="BK112" s="64"/>
      <c r="BL112" s="864" t="s">
        <v>74</v>
      </c>
      <c r="BM112" s="73">
        <f t="shared" ca="1" si="301"/>
        <v>0</v>
      </c>
      <c r="BN112" s="64"/>
      <c r="BO112" s="869" t="s">
        <v>74</v>
      </c>
      <c r="BP112" s="73">
        <f t="shared" ca="1" si="301"/>
        <v>0</v>
      </c>
      <c r="BQ112" s="64"/>
      <c r="BR112" s="838" t="s">
        <v>74</v>
      </c>
      <c r="BS112" s="73">
        <f t="shared" ca="1" si="301"/>
        <v>0</v>
      </c>
      <c r="BT112" s="64"/>
      <c r="BU112" s="873" t="s">
        <v>74</v>
      </c>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4">
        <f ca="1">VLOOKUP(H113,Equipos!$Q$1:$R$25,2,0)</f>
        <v>16</v>
      </c>
      <c r="H113" s="445">
        <f ca="1">$H$70</f>
        <v>46199</v>
      </c>
      <c r="I113" s="50"/>
      <c r="J113" s="929"/>
      <c r="K113" s="56" t="str">
        <f>Idiomas!D183</f>
        <v>2º GRUPO I</v>
      </c>
      <c r="L113" s="53"/>
      <c r="M113" s="55" t="str">
        <f ca="1">IF(OR(SUM(WORLDCUP!$AN$70:$AN$73)=12,WORLDCUP!$AJ$99=144),WORLDCUP!AL71,LEFT(K113,1)&amp;RIGHT(K113,1))</f>
        <v>2I</v>
      </c>
      <c r="N113" s="25"/>
      <c r="O113" s="25"/>
      <c r="P113" s="25"/>
      <c r="Q113" s="25"/>
      <c r="R113" s="110"/>
      <c r="S113" s="854" t="s">
        <v>135</v>
      </c>
      <c r="T113" s="73">
        <f t="shared" ref="T113" ca="1" si="304">($M113=S113)*$D$12</f>
        <v>0</v>
      </c>
      <c r="U113" s="64"/>
      <c r="V113" s="793" t="s">
        <v>135</v>
      </c>
      <c r="W113" s="73">
        <f t="shared" ref="W113:CH113" ca="1" si="305">($M113=V113)*$D$12</f>
        <v>0</v>
      </c>
      <c r="X113" s="64"/>
      <c r="Y113" s="798" t="s">
        <v>135</v>
      </c>
      <c r="Z113" s="73">
        <f t="shared" ca="1" si="305"/>
        <v>0</v>
      </c>
      <c r="AA113" s="64"/>
      <c r="AB113" s="803" t="s">
        <v>74</v>
      </c>
      <c r="AC113" s="73">
        <f t="shared" ca="1" si="305"/>
        <v>0</v>
      </c>
      <c r="AD113" s="64"/>
      <c r="AE113" s="808" t="s">
        <v>1634</v>
      </c>
      <c r="AF113" s="73">
        <f t="shared" ca="1" si="305"/>
        <v>0</v>
      </c>
      <c r="AG113" s="64"/>
      <c r="AH113" s="74" t="s">
        <v>135</v>
      </c>
      <c r="AI113" s="73">
        <f t="shared" ca="1" si="305"/>
        <v>0</v>
      </c>
      <c r="AJ113" s="64"/>
      <c r="AK113" s="813" t="s">
        <v>135</v>
      </c>
      <c r="AL113" s="73">
        <f t="shared" ca="1" si="305"/>
        <v>0</v>
      </c>
      <c r="AM113" s="64"/>
      <c r="AN113" s="818" t="s">
        <v>135</v>
      </c>
      <c r="AO113" s="73">
        <f t="shared" ca="1" si="305"/>
        <v>0</v>
      </c>
      <c r="AP113" s="64"/>
      <c r="AQ113" s="823" t="s">
        <v>135</v>
      </c>
      <c r="AR113" s="73">
        <f t="shared" ca="1" si="305"/>
        <v>0</v>
      </c>
      <c r="AS113" s="64"/>
      <c r="AT113" s="828" t="s">
        <v>135</v>
      </c>
      <c r="AU113" s="73">
        <f t="shared" ca="1" si="305"/>
        <v>0</v>
      </c>
      <c r="AV113" s="64"/>
      <c r="AW113" s="832" t="s">
        <v>74</v>
      </c>
      <c r="AX113" s="73">
        <f t="shared" ca="1" si="305"/>
        <v>0</v>
      </c>
      <c r="AY113" s="64"/>
      <c r="AZ113" s="838" t="s">
        <v>135</v>
      </c>
      <c r="BA113" s="73">
        <f t="shared" ca="1" si="305"/>
        <v>0</v>
      </c>
      <c r="BB113" s="64"/>
      <c r="BC113" s="845" t="s">
        <v>135</v>
      </c>
      <c r="BD113" s="73">
        <f t="shared" ca="1" si="305"/>
        <v>0</v>
      </c>
      <c r="BE113" s="64"/>
      <c r="BF113" s="849" t="s">
        <v>135</v>
      </c>
      <c r="BG113" s="73">
        <f t="shared" ca="1" si="305"/>
        <v>0</v>
      </c>
      <c r="BH113" s="64"/>
      <c r="BI113" s="859" t="s">
        <v>135</v>
      </c>
      <c r="BJ113" s="73">
        <f t="shared" ca="1" si="305"/>
        <v>0</v>
      </c>
      <c r="BK113" s="64"/>
      <c r="BL113" s="864" t="s">
        <v>135</v>
      </c>
      <c r="BM113" s="73">
        <f t="shared" ca="1" si="305"/>
        <v>0</v>
      </c>
      <c r="BN113" s="64"/>
      <c r="BO113" s="869" t="s">
        <v>135</v>
      </c>
      <c r="BP113" s="73">
        <f t="shared" ca="1" si="305"/>
        <v>0</v>
      </c>
      <c r="BQ113" s="64"/>
      <c r="BR113" s="838" t="s">
        <v>1634</v>
      </c>
      <c r="BS113" s="73">
        <f t="shared" ca="1" si="305"/>
        <v>0</v>
      </c>
      <c r="BT113" s="64"/>
      <c r="BU113" s="873" t="s">
        <v>135</v>
      </c>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4">
        <f ca="1">VLOOKUP(H114,Equipos!$Q$1:$R$25,2,0)</f>
        <v>16</v>
      </c>
      <c r="H114" s="445">
        <f ca="1">$H$70</f>
        <v>46199</v>
      </c>
      <c r="I114" s="50"/>
      <c r="J114" s="929"/>
      <c r="K114" s="56" t="str">
        <f>Idiomas!D184</f>
        <v>3º GRUPO I</v>
      </c>
      <c r="L114" s="53"/>
      <c r="M114" s="55" t="str">
        <f ca="1">IF(OR(SUM(WORLDCUP!$AN$70:$AN$73)=12,WORLDCUP!$AJ$99=144),WORLDCUP!AL72,LEFT(K114,1)&amp;RIGHT(K114,1))</f>
        <v>3I</v>
      </c>
      <c r="N114" s="25"/>
      <c r="O114" s="25"/>
      <c r="P114" s="25"/>
      <c r="Q114" s="25"/>
      <c r="R114" s="110"/>
      <c r="S114" s="854" t="s">
        <v>1757</v>
      </c>
      <c r="T114" s="73">
        <f t="shared" ref="T114" ca="1" si="308">($M114=S114)*$D$13</f>
        <v>0</v>
      </c>
      <c r="U114" s="64"/>
      <c r="V114" s="793" t="s">
        <v>1634</v>
      </c>
      <c r="W114" s="73">
        <f t="shared" ref="W114:CH114" ca="1" si="309">($M114=V114)*$D$13</f>
        <v>0</v>
      </c>
      <c r="X114" s="64"/>
      <c r="Y114" s="798" t="s">
        <v>1634</v>
      </c>
      <c r="Z114" s="73">
        <f t="shared" ca="1" si="309"/>
        <v>0</v>
      </c>
      <c r="AA114" s="64"/>
      <c r="AB114" s="803" t="s">
        <v>1634</v>
      </c>
      <c r="AC114" s="73">
        <f t="shared" ca="1" si="309"/>
        <v>0</v>
      </c>
      <c r="AD114" s="64"/>
      <c r="AE114" s="808" t="s">
        <v>135</v>
      </c>
      <c r="AF114" s="73">
        <f t="shared" ca="1" si="309"/>
        <v>0</v>
      </c>
      <c r="AG114" s="64"/>
      <c r="AH114" s="74" t="s">
        <v>1634</v>
      </c>
      <c r="AI114" s="73">
        <f t="shared" ca="1" si="309"/>
        <v>0</v>
      </c>
      <c r="AJ114" s="64"/>
      <c r="AK114" s="813" t="s">
        <v>1634</v>
      </c>
      <c r="AL114" s="73">
        <f t="shared" ca="1" si="309"/>
        <v>0</v>
      </c>
      <c r="AM114" s="64"/>
      <c r="AN114" s="818" t="s">
        <v>1634</v>
      </c>
      <c r="AO114" s="73">
        <f t="shared" ca="1" si="309"/>
        <v>0</v>
      </c>
      <c r="AP114" s="64"/>
      <c r="AQ114" s="823" t="s">
        <v>1634</v>
      </c>
      <c r="AR114" s="73">
        <f t="shared" ca="1" si="309"/>
        <v>0</v>
      </c>
      <c r="AS114" s="64"/>
      <c r="AT114" s="828" t="s">
        <v>1634</v>
      </c>
      <c r="AU114" s="73">
        <f t="shared" ca="1" si="309"/>
        <v>0</v>
      </c>
      <c r="AV114" s="64"/>
      <c r="AW114" s="832" t="s">
        <v>135</v>
      </c>
      <c r="AX114" s="73">
        <f t="shared" ca="1" si="309"/>
        <v>0</v>
      </c>
      <c r="AY114" s="64"/>
      <c r="AZ114" s="838" t="s">
        <v>1634</v>
      </c>
      <c r="BA114" s="73">
        <f t="shared" ca="1" si="309"/>
        <v>0</v>
      </c>
      <c r="BB114" s="64"/>
      <c r="BC114" s="845" t="s">
        <v>1634</v>
      </c>
      <c r="BD114" s="73">
        <f t="shared" ca="1" si="309"/>
        <v>0</v>
      </c>
      <c r="BE114" s="64"/>
      <c r="BF114" s="849" t="s">
        <v>1634</v>
      </c>
      <c r="BG114" s="73">
        <f t="shared" ca="1" si="309"/>
        <v>0</v>
      </c>
      <c r="BH114" s="64"/>
      <c r="BI114" s="859" t="s">
        <v>1634</v>
      </c>
      <c r="BJ114" s="73">
        <f t="shared" ca="1" si="309"/>
        <v>0</v>
      </c>
      <c r="BK114" s="64"/>
      <c r="BL114" s="864" t="s">
        <v>1634</v>
      </c>
      <c r="BM114" s="73">
        <f t="shared" ca="1" si="309"/>
        <v>0</v>
      </c>
      <c r="BN114" s="64"/>
      <c r="BO114" s="869" t="s">
        <v>1634</v>
      </c>
      <c r="BP114" s="73">
        <f t="shared" ca="1" si="309"/>
        <v>0</v>
      </c>
      <c r="BQ114" s="64"/>
      <c r="BR114" s="838" t="s">
        <v>135</v>
      </c>
      <c r="BS114" s="73">
        <f t="shared" ca="1" si="309"/>
        <v>0</v>
      </c>
      <c r="BT114" s="64"/>
      <c r="BU114" s="873" t="s">
        <v>1634</v>
      </c>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4">
        <f ca="1">VLOOKUP(H115,Equipos!$Q$1:$R$25,2,0)</f>
        <v>16</v>
      </c>
      <c r="H115" s="445">
        <f ca="1">$H$70</f>
        <v>46199</v>
      </c>
      <c r="I115" s="50"/>
      <c r="J115" s="929"/>
      <c r="K115" s="56" t="str">
        <f>Idiomas!D185</f>
        <v>4º GRUPO I</v>
      </c>
      <c r="L115" s="53"/>
      <c r="M115" s="55" t="str">
        <f ca="1">IF(OR(SUM(WORLDCUP!$AN$70:$AN$73)=12,WORLDCUP!$AJ$99=144),WORLDCUP!AL73,LEFT(K115,1)&amp;RIGHT(K115,1))</f>
        <v>4I</v>
      </c>
      <c r="N115" s="25"/>
      <c r="O115" s="25"/>
      <c r="P115" s="25"/>
      <c r="Q115" s="25"/>
      <c r="R115" s="110"/>
      <c r="S115" s="854" t="s">
        <v>1634</v>
      </c>
      <c r="T115" s="73">
        <f t="shared" ref="T115" ca="1" si="312">($M115=S115)*$D$14</f>
        <v>0</v>
      </c>
      <c r="U115" s="64"/>
      <c r="V115" s="793" t="s">
        <v>1757</v>
      </c>
      <c r="W115" s="73">
        <f t="shared" ref="W115:CH115" ca="1" si="313">($M115=V115)*$D$14</f>
        <v>0</v>
      </c>
      <c r="X115" s="64"/>
      <c r="Y115" s="798" t="s">
        <v>1757</v>
      </c>
      <c r="Z115" s="73">
        <f t="shared" ca="1" si="313"/>
        <v>0</v>
      </c>
      <c r="AA115" s="64"/>
      <c r="AB115" s="803" t="s">
        <v>1757</v>
      </c>
      <c r="AC115" s="73">
        <f t="shared" ca="1" si="313"/>
        <v>0</v>
      </c>
      <c r="AD115" s="64"/>
      <c r="AE115" s="808" t="s">
        <v>1757</v>
      </c>
      <c r="AF115" s="73">
        <f t="shared" ca="1" si="313"/>
        <v>0</v>
      </c>
      <c r="AG115" s="64"/>
      <c r="AH115" s="74" t="s">
        <v>1757</v>
      </c>
      <c r="AI115" s="73">
        <f t="shared" ca="1" si="313"/>
        <v>0</v>
      </c>
      <c r="AJ115" s="64"/>
      <c r="AK115" s="813" t="s">
        <v>1757</v>
      </c>
      <c r="AL115" s="73">
        <f t="shared" ca="1" si="313"/>
        <v>0</v>
      </c>
      <c r="AM115" s="64"/>
      <c r="AN115" s="818" t="s">
        <v>1757</v>
      </c>
      <c r="AO115" s="73">
        <f t="shared" ca="1" si="313"/>
        <v>0</v>
      </c>
      <c r="AP115" s="64"/>
      <c r="AQ115" s="823" t="s">
        <v>1757</v>
      </c>
      <c r="AR115" s="73">
        <f t="shared" ca="1" si="313"/>
        <v>0</v>
      </c>
      <c r="AS115" s="64"/>
      <c r="AT115" s="828" t="s">
        <v>1757</v>
      </c>
      <c r="AU115" s="73">
        <f t="shared" ca="1" si="313"/>
        <v>0</v>
      </c>
      <c r="AV115" s="64"/>
      <c r="AW115" s="832" t="s">
        <v>1634</v>
      </c>
      <c r="AX115" s="73">
        <f t="shared" ca="1" si="313"/>
        <v>0</v>
      </c>
      <c r="AY115" s="64"/>
      <c r="AZ115" s="838" t="s">
        <v>1757</v>
      </c>
      <c r="BA115" s="73">
        <f t="shared" ca="1" si="313"/>
        <v>0</v>
      </c>
      <c r="BB115" s="64"/>
      <c r="BC115" s="845" t="s">
        <v>1757</v>
      </c>
      <c r="BD115" s="73">
        <f t="shared" ca="1" si="313"/>
        <v>0</v>
      </c>
      <c r="BE115" s="64"/>
      <c r="BF115" s="849" t="s">
        <v>1757</v>
      </c>
      <c r="BG115" s="73">
        <f t="shared" ca="1" si="313"/>
        <v>0</v>
      </c>
      <c r="BH115" s="64"/>
      <c r="BI115" s="859" t="s">
        <v>1757</v>
      </c>
      <c r="BJ115" s="73">
        <f t="shared" ca="1" si="313"/>
        <v>0</v>
      </c>
      <c r="BK115" s="64"/>
      <c r="BL115" s="864" t="s">
        <v>1757</v>
      </c>
      <c r="BM115" s="73">
        <f t="shared" ca="1" si="313"/>
        <v>0</v>
      </c>
      <c r="BN115" s="64"/>
      <c r="BO115" s="869" t="s">
        <v>1757</v>
      </c>
      <c r="BP115" s="73">
        <f t="shared" ca="1" si="313"/>
        <v>0</v>
      </c>
      <c r="BQ115" s="64"/>
      <c r="BR115" s="838" t="s">
        <v>1757</v>
      </c>
      <c r="BS115" s="73">
        <f t="shared" ca="1" si="313"/>
        <v>0</v>
      </c>
      <c r="BT115" s="64"/>
      <c r="BU115" s="873" t="s">
        <v>1757</v>
      </c>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4">
        <f ca="1">VLOOKUP(H116,Equipos!$Q$1:$R$25,2,0)</f>
        <v>17</v>
      </c>
      <c r="H116" s="445">
        <f ca="1">$H$72</f>
        <v>46200</v>
      </c>
      <c r="I116" s="50"/>
      <c r="J116" s="928" t="s">
        <v>5</v>
      </c>
      <c r="K116" s="56" t="str">
        <f>Idiomas!D186</f>
        <v>1º GRUPO J</v>
      </c>
      <c r="L116" s="53"/>
      <c r="M116" s="55" t="str">
        <f ca="1">IF(OR(SUM(WORLDCUP!$AN$78:$AN$81)=12,WORLDCUP!$AJ$99=144),WORLDCUP!AL78,LEFT(K116,1)&amp;RIGHT(K116,1))</f>
        <v>1J</v>
      </c>
      <c r="N116" s="25"/>
      <c r="O116" s="25"/>
      <c r="P116" s="25"/>
      <c r="Q116" s="25"/>
      <c r="R116" s="110"/>
      <c r="S116" s="854" t="s">
        <v>1256</v>
      </c>
      <c r="T116" s="73">
        <f t="shared" ref="T116" ca="1" si="316">($M116=S116)*$D$11</f>
        <v>0</v>
      </c>
      <c r="U116" s="64"/>
      <c r="V116" s="793" t="s">
        <v>1256</v>
      </c>
      <c r="W116" s="73">
        <f t="shared" ref="W116:CH116" ca="1" si="317">($M116=V116)*$D$11</f>
        <v>0</v>
      </c>
      <c r="X116" s="64"/>
      <c r="Y116" s="798" t="s">
        <v>1256</v>
      </c>
      <c r="Z116" s="73">
        <f t="shared" ca="1" si="317"/>
        <v>0</v>
      </c>
      <c r="AA116" s="64"/>
      <c r="AB116" s="803" t="s">
        <v>1256</v>
      </c>
      <c r="AC116" s="73">
        <f t="shared" ca="1" si="317"/>
        <v>0</v>
      </c>
      <c r="AD116" s="64"/>
      <c r="AE116" s="808" t="s">
        <v>80</v>
      </c>
      <c r="AF116" s="73">
        <f t="shared" ca="1" si="317"/>
        <v>0</v>
      </c>
      <c r="AG116" s="64"/>
      <c r="AH116" s="74" t="s">
        <v>1256</v>
      </c>
      <c r="AI116" s="73">
        <f t="shared" ca="1" si="317"/>
        <v>0</v>
      </c>
      <c r="AJ116" s="64"/>
      <c r="AK116" s="813" t="s">
        <v>1256</v>
      </c>
      <c r="AL116" s="73">
        <f t="shared" ca="1" si="317"/>
        <v>0</v>
      </c>
      <c r="AM116" s="64"/>
      <c r="AN116" s="818" t="s">
        <v>1256</v>
      </c>
      <c r="AO116" s="73">
        <f t="shared" ca="1" si="317"/>
        <v>0</v>
      </c>
      <c r="AP116" s="64"/>
      <c r="AQ116" s="823" t="s">
        <v>1256</v>
      </c>
      <c r="AR116" s="73">
        <f t="shared" ca="1" si="317"/>
        <v>0</v>
      </c>
      <c r="AS116" s="64"/>
      <c r="AT116" s="828" t="s">
        <v>1256</v>
      </c>
      <c r="AU116" s="73">
        <f t="shared" ca="1" si="317"/>
        <v>0</v>
      </c>
      <c r="AV116" s="64"/>
      <c r="AW116" s="832" t="s">
        <v>1256</v>
      </c>
      <c r="AX116" s="73">
        <f t="shared" ca="1" si="317"/>
        <v>0</v>
      </c>
      <c r="AY116" s="64"/>
      <c r="AZ116" s="838" t="s">
        <v>1256</v>
      </c>
      <c r="BA116" s="73">
        <f t="shared" ca="1" si="317"/>
        <v>0</v>
      </c>
      <c r="BB116" s="64"/>
      <c r="BC116" s="845" t="s">
        <v>1256</v>
      </c>
      <c r="BD116" s="73">
        <f t="shared" ca="1" si="317"/>
        <v>0</v>
      </c>
      <c r="BE116" s="64"/>
      <c r="BF116" s="849" t="s">
        <v>1256</v>
      </c>
      <c r="BG116" s="73">
        <f t="shared" ca="1" si="317"/>
        <v>0</v>
      </c>
      <c r="BH116" s="64"/>
      <c r="BI116" s="859" t="s">
        <v>1256</v>
      </c>
      <c r="BJ116" s="73">
        <f t="shared" ca="1" si="317"/>
        <v>0</v>
      </c>
      <c r="BK116" s="64"/>
      <c r="BL116" s="864" t="s">
        <v>1256</v>
      </c>
      <c r="BM116" s="73">
        <f t="shared" ca="1" si="317"/>
        <v>0</v>
      </c>
      <c r="BN116" s="64"/>
      <c r="BO116" s="869" t="s">
        <v>1256</v>
      </c>
      <c r="BP116" s="73">
        <f t="shared" ca="1" si="317"/>
        <v>0</v>
      </c>
      <c r="BQ116" s="64"/>
      <c r="BR116" s="838" t="s">
        <v>1256</v>
      </c>
      <c r="BS116" s="73">
        <f t="shared" ca="1" si="317"/>
        <v>0</v>
      </c>
      <c r="BT116" s="64"/>
      <c r="BU116" s="873" t="s">
        <v>1256</v>
      </c>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4">
        <f ca="1">VLOOKUP(H117,Equipos!$Q$1:$R$25,2,0)</f>
        <v>17</v>
      </c>
      <c r="H117" s="445">
        <f ca="1">$H$72</f>
        <v>46200</v>
      </c>
      <c r="I117" s="50"/>
      <c r="J117" s="928"/>
      <c r="K117" s="56" t="str">
        <f>Idiomas!D187</f>
        <v>2º GRUPO J</v>
      </c>
      <c r="L117" s="53"/>
      <c r="M117" s="55" t="str">
        <f ca="1">IF(OR(SUM(WORLDCUP!$AN$78:$AN$81)=12,WORLDCUP!$AJ$99=144),WORLDCUP!AL79,LEFT(K117,1)&amp;RIGHT(K117,1))</f>
        <v>2J</v>
      </c>
      <c r="N117" s="25"/>
      <c r="O117" s="25"/>
      <c r="P117" s="25"/>
      <c r="Q117" s="25"/>
      <c r="R117" s="110"/>
      <c r="S117" s="854" t="s">
        <v>80</v>
      </c>
      <c r="T117" s="73">
        <f t="shared" ref="T117" ca="1" si="320">($M117=S117)*$D$12</f>
        <v>0</v>
      </c>
      <c r="U117" s="64"/>
      <c r="V117" s="793" t="s">
        <v>80</v>
      </c>
      <c r="W117" s="73">
        <f t="shared" ref="W117:CH117" ca="1" si="321">($M117=V117)*$D$12</f>
        <v>0</v>
      </c>
      <c r="X117" s="64"/>
      <c r="Y117" s="798" t="s">
        <v>80</v>
      </c>
      <c r="Z117" s="73">
        <f t="shared" ca="1" si="321"/>
        <v>0</v>
      </c>
      <c r="AA117" s="64"/>
      <c r="AB117" s="803" t="s">
        <v>1558</v>
      </c>
      <c r="AC117" s="73">
        <f t="shared" ca="1" si="321"/>
        <v>0</v>
      </c>
      <c r="AD117" s="64"/>
      <c r="AE117" s="808" t="s">
        <v>1256</v>
      </c>
      <c r="AF117" s="73">
        <f t="shared" ca="1" si="321"/>
        <v>0</v>
      </c>
      <c r="AG117" s="64"/>
      <c r="AH117" s="74" t="s">
        <v>80</v>
      </c>
      <c r="AI117" s="73">
        <f t="shared" ca="1" si="321"/>
        <v>0</v>
      </c>
      <c r="AJ117" s="64"/>
      <c r="AK117" s="813" t="s">
        <v>80</v>
      </c>
      <c r="AL117" s="73">
        <f t="shared" ca="1" si="321"/>
        <v>0</v>
      </c>
      <c r="AM117" s="64"/>
      <c r="AN117" s="818" t="s">
        <v>80</v>
      </c>
      <c r="AO117" s="73">
        <f t="shared" ca="1" si="321"/>
        <v>0</v>
      </c>
      <c r="AP117" s="64"/>
      <c r="AQ117" s="823" t="s">
        <v>80</v>
      </c>
      <c r="AR117" s="73">
        <f t="shared" ca="1" si="321"/>
        <v>0</v>
      </c>
      <c r="AS117" s="64"/>
      <c r="AT117" s="828" t="s">
        <v>1558</v>
      </c>
      <c r="AU117" s="73">
        <f t="shared" ca="1" si="321"/>
        <v>0</v>
      </c>
      <c r="AV117" s="64"/>
      <c r="AW117" s="832" t="s">
        <v>1558</v>
      </c>
      <c r="AX117" s="73">
        <f t="shared" ca="1" si="321"/>
        <v>0</v>
      </c>
      <c r="AY117" s="64"/>
      <c r="AZ117" s="838" t="s">
        <v>1558</v>
      </c>
      <c r="BA117" s="73">
        <f t="shared" ca="1" si="321"/>
        <v>0</v>
      </c>
      <c r="BB117" s="64"/>
      <c r="BC117" s="845" t="s">
        <v>1558</v>
      </c>
      <c r="BD117" s="73">
        <f t="shared" ca="1" si="321"/>
        <v>0</v>
      </c>
      <c r="BE117" s="64"/>
      <c r="BF117" s="849" t="s">
        <v>1558</v>
      </c>
      <c r="BG117" s="73">
        <f t="shared" ca="1" si="321"/>
        <v>0</v>
      </c>
      <c r="BH117" s="64"/>
      <c r="BI117" s="859" t="s">
        <v>80</v>
      </c>
      <c r="BJ117" s="73">
        <f t="shared" ca="1" si="321"/>
        <v>0</v>
      </c>
      <c r="BK117" s="64"/>
      <c r="BL117" s="864" t="s">
        <v>1558</v>
      </c>
      <c r="BM117" s="73">
        <f t="shared" ca="1" si="321"/>
        <v>0</v>
      </c>
      <c r="BN117" s="64"/>
      <c r="BO117" s="869" t="s">
        <v>80</v>
      </c>
      <c r="BP117" s="73">
        <f t="shared" ca="1" si="321"/>
        <v>0</v>
      </c>
      <c r="BQ117" s="64"/>
      <c r="BR117" s="838" t="s">
        <v>80</v>
      </c>
      <c r="BS117" s="73">
        <f t="shared" ca="1" si="321"/>
        <v>0</v>
      </c>
      <c r="BT117" s="64"/>
      <c r="BU117" s="873" t="s">
        <v>80</v>
      </c>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4">
        <f ca="1">VLOOKUP(H118,Equipos!$Q$1:$R$25,2,0)</f>
        <v>17</v>
      </c>
      <c r="H118" s="445">
        <f ca="1">$H$72</f>
        <v>46200</v>
      </c>
      <c r="I118" s="50"/>
      <c r="J118" s="928"/>
      <c r="K118" s="56" t="str">
        <f>Idiomas!D188</f>
        <v>3º GRUPO J</v>
      </c>
      <c r="L118" s="53"/>
      <c r="M118" s="55" t="str">
        <f ca="1">IF(OR(SUM(WORLDCUP!$AN$78:$AN$81)=12,WORLDCUP!$AJ$99=144),WORLDCUP!AL80,LEFT(K118,1)&amp;RIGHT(K118,1))</f>
        <v>3J</v>
      </c>
      <c r="N118" s="25"/>
      <c r="O118" s="25"/>
      <c r="P118" s="25"/>
      <c r="Q118" s="25"/>
      <c r="R118" s="110"/>
      <c r="S118" s="854" t="s">
        <v>1264</v>
      </c>
      <c r="T118" s="73">
        <f t="shared" ref="T118" ca="1" si="324">($M118=S118)*$D$13</f>
        <v>0</v>
      </c>
      <c r="U118" s="64"/>
      <c r="V118" s="793" t="s">
        <v>1558</v>
      </c>
      <c r="W118" s="73">
        <f t="shared" ref="W118:CH118" ca="1" si="325">($M118=V118)*$D$13</f>
        <v>0</v>
      </c>
      <c r="X118" s="64"/>
      <c r="Y118" s="798" t="s">
        <v>1558</v>
      </c>
      <c r="Z118" s="73">
        <f t="shared" ca="1" si="325"/>
        <v>0</v>
      </c>
      <c r="AA118" s="64"/>
      <c r="AB118" s="803" t="s">
        <v>80</v>
      </c>
      <c r="AC118" s="73">
        <f t="shared" ca="1" si="325"/>
        <v>0</v>
      </c>
      <c r="AD118" s="64"/>
      <c r="AE118" s="808" t="s">
        <v>1558</v>
      </c>
      <c r="AF118" s="73">
        <f t="shared" ca="1" si="325"/>
        <v>0</v>
      </c>
      <c r="AG118" s="64"/>
      <c r="AH118" s="74" t="s">
        <v>1558</v>
      </c>
      <c r="AI118" s="73">
        <f t="shared" ca="1" si="325"/>
        <v>0</v>
      </c>
      <c r="AJ118" s="64"/>
      <c r="AK118" s="813" t="s">
        <v>1558</v>
      </c>
      <c r="AL118" s="73">
        <f t="shared" ca="1" si="325"/>
        <v>0</v>
      </c>
      <c r="AM118" s="64"/>
      <c r="AN118" s="818" t="s">
        <v>1558</v>
      </c>
      <c r="AO118" s="73">
        <f t="shared" ca="1" si="325"/>
        <v>0</v>
      </c>
      <c r="AP118" s="64"/>
      <c r="AQ118" s="823" t="s">
        <v>1558</v>
      </c>
      <c r="AR118" s="73">
        <f t="shared" ca="1" si="325"/>
        <v>0</v>
      </c>
      <c r="AS118" s="64"/>
      <c r="AT118" s="828" t="s">
        <v>80</v>
      </c>
      <c r="AU118" s="73">
        <f t="shared" ca="1" si="325"/>
        <v>0</v>
      </c>
      <c r="AV118" s="64"/>
      <c r="AW118" s="832" t="s">
        <v>80</v>
      </c>
      <c r="AX118" s="73">
        <f t="shared" ca="1" si="325"/>
        <v>0</v>
      </c>
      <c r="AY118" s="64"/>
      <c r="AZ118" s="838" t="s">
        <v>1264</v>
      </c>
      <c r="BA118" s="73">
        <f t="shared" ca="1" si="325"/>
        <v>0</v>
      </c>
      <c r="BB118" s="64"/>
      <c r="BC118" s="845" t="s">
        <v>80</v>
      </c>
      <c r="BD118" s="73">
        <f t="shared" ca="1" si="325"/>
        <v>0</v>
      </c>
      <c r="BE118" s="64"/>
      <c r="BF118" s="849" t="s">
        <v>80</v>
      </c>
      <c r="BG118" s="73">
        <f t="shared" ca="1" si="325"/>
        <v>0</v>
      </c>
      <c r="BH118" s="64"/>
      <c r="BI118" s="859" t="s">
        <v>1558</v>
      </c>
      <c r="BJ118" s="73">
        <f t="shared" ca="1" si="325"/>
        <v>0</v>
      </c>
      <c r="BK118" s="64"/>
      <c r="BL118" s="864" t="s">
        <v>80</v>
      </c>
      <c r="BM118" s="73">
        <f t="shared" ca="1" si="325"/>
        <v>0</v>
      </c>
      <c r="BN118" s="64"/>
      <c r="BO118" s="869" t="s">
        <v>1558</v>
      </c>
      <c r="BP118" s="73">
        <f t="shared" ca="1" si="325"/>
        <v>0</v>
      </c>
      <c r="BQ118" s="64"/>
      <c r="BR118" s="838" t="s">
        <v>1558</v>
      </c>
      <c r="BS118" s="73">
        <f t="shared" ca="1" si="325"/>
        <v>0</v>
      </c>
      <c r="BT118" s="64"/>
      <c r="BU118" s="873" t="s">
        <v>1558</v>
      </c>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4">
        <f ca="1">VLOOKUP(H119,Equipos!$Q$1:$R$25,2,0)</f>
        <v>17</v>
      </c>
      <c r="H119" s="445">
        <f ca="1">$H$72</f>
        <v>46200</v>
      </c>
      <c r="I119" s="50"/>
      <c r="J119" s="928"/>
      <c r="K119" s="56" t="str">
        <f>Idiomas!D189</f>
        <v>4º GRUPO J</v>
      </c>
      <c r="L119" s="53"/>
      <c r="M119" s="55" t="str">
        <f ca="1">IF(OR(SUM(WORLDCUP!$AN$78:$AN$81)=12,WORLDCUP!$AJ$99=144),WORLDCUP!AL81,LEFT(K119,1)&amp;RIGHT(K119,1))</f>
        <v>4J</v>
      </c>
      <c r="N119" s="25"/>
      <c r="O119" s="25"/>
      <c r="P119" s="25"/>
      <c r="Q119" s="25"/>
      <c r="R119" s="110"/>
      <c r="S119" s="854" t="s">
        <v>1558</v>
      </c>
      <c r="T119" s="73">
        <f t="shared" ref="T119" ca="1" si="328">($M119=S119)*$D$14</f>
        <v>0</v>
      </c>
      <c r="U119" s="64"/>
      <c r="V119" s="793" t="s">
        <v>1264</v>
      </c>
      <c r="W119" s="73">
        <f t="shared" ref="W119:CH119" ca="1" si="329">($M119=V119)*$D$14</f>
        <v>0</v>
      </c>
      <c r="X119" s="64"/>
      <c r="Y119" s="798" t="s">
        <v>1264</v>
      </c>
      <c r="Z119" s="73">
        <f t="shared" ca="1" si="329"/>
        <v>0</v>
      </c>
      <c r="AA119" s="64"/>
      <c r="AB119" s="803" t="s">
        <v>1264</v>
      </c>
      <c r="AC119" s="73">
        <f t="shared" ca="1" si="329"/>
        <v>0</v>
      </c>
      <c r="AD119" s="64"/>
      <c r="AE119" s="808" t="s">
        <v>1264</v>
      </c>
      <c r="AF119" s="73">
        <f t="shared" ca="1" si="329"/>
        <v>0</v>
      </c>
      <c r="AG119" s="64"/>
      <c r="AH119" s="74" t="s">
        <v>1264</v>
      </c>
      <c r="AI119" s="73">
        <f t="shared" ca="1" si="329"/>
        <v>0</v>
      </c>
      <c r="AJ119" s="64"/>
      <c r="AK119" s="813" t="s">
        <v>1264</v>
      </c>
      <c r="AL119" s="73">
        <f t="shared" ca="1" si="329"/>
        <v>0</v>
      </c>
      <c r="AM119" s="64"/>
      <c r="AN119" s="818" t="s">
        <v>1264</v>
      </c>
      <c r="AO119" s="73">
        <f t="shared" ca="1" si="329"/>
        <v>0</v>
      </c>
      <c r="AP119" s="64"/>
      <c r="AQ119" s="823" t="s">
        <v>1264</v>
      </c>
      <c r="AR119" s="73">
        <f t="shared" ca="1" si="329"/>
        <v>0</v>
      </c>
      <c r="AS119" s="64"/>
      <c r="AT119" s="828" t="s">
        <v>1264</v>
      </c>
      <c r="AU119" s="73">
        <f t="shared" ca="1" si="329"/>
        <v>0</v>
      </c>
      <c r="AV119" s="64"/>
      <c r="AW119" s="832" t="s">
        <v>1264</v>
      </c>
      <c r="AX119" s="73">
        <f t="shared" ca="1" si="329"/>
        <v>0</v>
      </c>
      <c r="AY119" s="64"/>
      <c r="AZ119" s="838" t="s">
        <v>80</v>
      </c>
      <c r="BA119" s="73">
        <f t="shared" ca="1" si="329"/>
        <v>0</v>
      </c>
      <c r="BB119" s="64"/>
      <c r="BC119" s="845" t="s">
        <v>1264</v>
      </c>
      <c r="BD119" s="73">
        <f t="shared" ca="1" si="329"/>
        <v>0</v>
      </c>
      <c r="BE119" s="64"/>
      <c r="BF119" s="849" t="s">
        <v>1264</v>
      </c>
      <c r="BG119" s="73">
        <f t="shared" ca="1" si="329"/>
        <v>0</v>
      </c>
      <c r="BH119" s="64"/>
      <c r="BI119" s="859" t="s">
        <v>1264</v>
      </c>
      <c r="BJ119" s="73">
        <f t="shared" ca="1" si="329"/>
        <v>0</v>
      </c>
      <c r="BK119" s="64"/>
      <c r="BL119" s="864" t="s">
        <v>1264</v>
      </c>
      <c r="BM119" s="73">
        <f t="shared" ca="1" si="329"/>
        <v>0</v>
      </c>
      <c r="BN119" s="64"/>
      <c r="BO119" s="869" t="s">
        <v>1264</v>
      </c>
      <c r="BP119" s="73">
        <f t="shared" ca="1" si="329"/>
        <v>0</v>
      </c>
      <c r="BQ119" s="64"/>
      <c r="BR119" s="838" t="s">
        <v>1264</v>
      </c>
      <c r="BS119" s="73">
        <f t="shared" ca="1" si="329"/>
        <v>0</v>
      </c>
      <c r="BT119" s="64"/>
      <c r="BU119" s="873" t="s">
        <v>1264</v>
      </c>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4">
        <f ca="1">VLOOKUP(H120,Equipos!$Q$1:$R$25,2,0)</f>
        <v>17</v>
      </c>
      <c r="H120" s="445">
        <f ca="1">$H$74</f>
        <v>46200</v>
      </c>
      <c r="I120" s="50"/>
      <c r="J120" s="929" t="s">
        <v>439</v>
      </c>
      <c r="K120" s="56" t="str">
        <f>Idiomas!D190</f>
        <v>1º GRUPO K</v>
      </c>
      <c r="L120" s="53"/>
      <c r="M120" s="55" t="str">
        <f ca="1">IF(OR(SUM(WORLDCUP!$AN$86:$AN$89)=12,WORLDCUP!$AJ$99=144),WORLDCUP!AL86,LEFT(K120,1)&amp;RIGHT(K120,1))</f>
        <v>1K</v>
      </c>
      <c r="N120" s="25"/>
      <c r="O120" s="25"/>
      <c r="P120" s="25"/>
      <c r="Q120" s="25"/>
      <c r="R120" s="110"/>
      <c r="S120" s="854" t="s">
        <v>79</v>
      </c>
      <c r="T120" s="73">
        <f t="shared" ref="T120" ca="1" si="332">($M120=S120)*$D$11</f>
        <v>0</v>
      </c>
      <c r="U120" s="64"/>
      <c r="V120" s="793" t="s">
        <v>79</v>
      </c>
      <c r="W120" s="73">
        <f t="shared" ref="W120:CH120" ca="1" si="333">($M120=V120)*$D$11</f>
        <v>0</v>
      </c>
      <c r="X120" s="64"/>
      <c r="Y120" s="798" t="s">
        <v>79</v>
      </c>
      <c r="Z120" s="73">
        <f t="shared" ca="1" si="333"/>
        <v>0</v>
      </c>
      <c r="AA120" s="64"/>
      <c r="AB120" s="803" t="s">
        <v>79</v>
      </c>
      <c r="AC120" s="73">
        <f t="shared" ca="1" si="333"/>
        <v>0</v>
      </c>
      <c r="AD120" s="64"/>
      <c r="AE120" s="808" t="s">
        <v>79</v>
      </c>
      <c r="AF120" s="73">
        <f t="shared" ca="1" si="333"/>
        <v>0</v>
      </c>
      <c r="AG120" s="64"/>
      <c r="AH120" s="74" t="s">
        <v>79</v>
      </c>
      <c r="AI120" s="73">
        <f t="shared" ca="1" si="333"/>
        <v>0</v>
      </c>
      <c r="AJ120" s="64"/>
      <c r="AK120" s="813" t="s">
        <v>79</v>
      </c>
      <c r="AL120" s="73">
        <f t="shared" ca="1" si="333"/>
        <v>0</v>
      </c>
      <c r="AM120" s="64"/>
      <c r="AN120" s="818" t="s">
        <v>79</v>
      </c>
      <c r="AO120" s="73">
        <f t="shared" ca="1" si="333"/>
        <v>0</v>
      </c>
      <c r="AP120" s="64"/>
      <c r="AQ120" s="823" t="s">
        <v>79</v>
      </c>
      <c r="AR120" s="73">
        <f t="shared" ca="1" si="333"/>
        <v>0</v>
      </c>
      <c r="AS120" s="64"/>
      <c r="AT120" s="828" t="s">
        <v>79</v>
      </c>
      <c r="AU120" s="73">
        <f t="shared" ca="1" si="333"/>
        <v>0</v>
      </c>
      <c r="AV120" s="64"/>
      <c r="AW120" s="832" t="s">
        <v>79</v>
      </c>
      <c r="AX120" s="73">
        <f t="shared" ca="1" si="333"/>
        <v>0</v>
      </c>
      <c r="AY120" s="64"/>
      <c r="AZ120" s="838" t="s">
        <v>79</v>
      </c>
      <c r="BA120" s="73">
        <f t="shared" ca="1" si="333"/>
        <v>0</v>
      </c>
      <c r="BB120" s="64"/>
      <c r="BC120" s="845" t="s">
        <v>79</v>
      </c>
      <c r="BD120" s="73">
        <f t="shared" ca="1" si="333"/>
        <v>0</v>
      </c>
      <c r="BE120" s="64"/>
      <c r="BF120" s="849" t="s">
        <v>79</v>
      </c>
      <c r="BG120" s="73">
        <f t="shared" ca="1" si="333"/>
        <v>0</v>
      </c>
      <c r="BH120" s="64"/>
      <c r="BI120" s="859" t="s">
        <v>79</v>
      </c>
      <c r="BJ120" s="73">
        <f t="shared" ca="1" si="333"/>
        <v>0</v>
      </c>
      <c r="BK120" s="64"/>
      <c r="BL120" s="864" t="s">
        <v>79</v>
      </c>
      <c r="BM120" s="73">
        <f t="shared" ca="1" si="333"/>
        <v>0</v>
      </c>
      <c r="BN120" s="64"/>
      <c r="BO120" s="869" t="s">
        <v>79</v>
      </c>
      <c r="BP120" s="73">
        <f t="shared" ca="1" si="333"/>
        <v>0</v>
      </c>
      <c r="BQ120" s="64"/>
      <c r="BR120" s="838" t="s">
        <v>79</v>
      </c>
      <c r="BS120" s="73">
        <f t="shared" ca="1" si="333"/>
        <v>0</v>
      </c>
      <c r="BT120" s="64"/>
      <c r="BU120" s="873" t="s">
        <v>79</v>
      </c>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4">
        <f ca="1">VLOOKUP(H121,Equipos!$Q$1:$R$25,2,0)</f>
        <v>17</v>
      </c>
      <c r="H121" s="445">
        <f ca="1">$H$74</f>
        <v>46200</v>
      </c>
      <c r="I121" s="50"/>
      <c r="J121" s="929"/>
      <c r="K121" s="56" t="str">
        <f>Idiomas!D191</f>
        <v>2º GRUPO K</v>
      </c>
      <c r="L121" s="53"/>
      <c r="M121" s="55" t="str">
        <f ca="1">IF(OR(SUM(WORLDCUP!$AN$86:$AN$89)=12,WORLDCUP!$AJ$99=144),WORLDCUP!AL87,LEFT(K121,1)&amp;RIGHT(K121,1))</f>
        <v>2K</v>
      </c>
      <c r="N121" s="25"/>
      <c r="O121" s="25"/>
      <c r="P121" s="25"/>
      <c r="Q121" s="25"/>
      <c r="R121" s="110"/>
      <c r="S121" s="854" t="s">
        <v>1320</v>
      </c>
      <c r="T121" s="73">
        <f t="shared" ref="T121" ca="1" si="336">($M121=S121)*$D$12</f>
        <v>0</v>
      </c>
      <c r="U121" s="64"/>
      <c r="V121" s="793" t="s">
        <v>1320</v>
      </c>
      <c r="W121" s="73">
        <f t="shared" ref="W121:CH121" ca="1" si="337">($M121=V121)*$D$12</f>
        <v>0</v>
      </c>
      <c r="X121" s="64"/>
      <c r="Y121" s="798" t="s">
        <v>1839</v>
      </c>
      <c r="Z121" s="73">
        <f t="shared" ca="1" si="337"/>
        <v>0</v>
      </c>
      <c r="AA121" s="64"/>
      <c r="AB121" s="803" t="s">
        <v>1320</v>
      </c>
      <c r="AC121" s="73">
        <f t="shared" ca="1" si="337"/>
        <v>0</v>
      </c>
      <c r="AD121" s="64"/>
      <c r="AE121" s="808" t="s">
        <v>1320</v>
      </c>
      <c r="AF121" s="73">
        <f t="shared" ca="1" si="337"/>
        <v>0</v>
      </c>
      <c r="AG121" s="64"/>
      <c r="AH121" s="74" t="s">
        <v>1320</v>
      </c>
      <c r="AI121" s="73">
        <f t="shared" ca="1" si="337"/>
        <v>0</v>
      </c>
      <c r="AJ121" s="64"/>
      <c r="AK121" s="813" t="s">
        <v>1320</v>
      </c>
      <c r="AL121" s="73">
        <f t="shared" ca="1" si="337"/>
        <v>0</v>
      </c>
      <c r="AM121" s="64"/>
      <c r="AN121" s="818" t="s">
        <v>1320</v>
      </c>
      <c r="AO121" s="73">
        <f t="shared" ca="1" si="337"/>
        <v>0</v>
      </c>
      <c r="AP121" s="64"/>
      <c r="AQ121" s="823" t="s">
        <v>1320</v>
      </c>
      <c r="AR121" s="73">
        <f t="shared" ca="1" si="337"/>
        <v>0</v>
      </c>
      <c r="AS121" s="64"/>
      <c r="AT121" s="828" t="s">
        <v>1320</v>
      </c>
      <c r="AU121" s="73">
        <f t="shared" ca="1" si="337"/>
        <v>0</v>
      </c>
      <c r="AV121" s="64"/>
      <c r="AW121" s="832" t="s">
        <v>1320</v>
      </c>
      <c r="AX121" s="73">
        <f t="shared" ca="1" si="337"/>
        <v>0</v>
      </c>
      <c r="AY121" s="64"/>
      <c r="AZ121" s="838" t="s">
        <v>1320</v>
      </c>
      <c r="BA121" s="73">
        <f t="shared" ca="1" si="337"/>
        <v>0</v>
      </c>
      <c r="BB121" s="64"/>
      <c r="BC121" s="845" t="s">
        <v>1320</v>
      </c>
      <c r="BD121" s="73">
        <f t="shared" ca="1" si="337"/>
        <v>0</v>
      </c>
      <c r="BE121" s="64"/>
      <c r="BF121" s="849" t="s">
        <v>1320</v>
      </c>
      <c r="BG121" s="73">
        <f t="shared" ca="1" si="337"/>
        <v>0</v>
      </c>
      <c r="BH121" s="64"/>
      <c r="BI121" s="859" t="s">
        <v>1320</v>
      </c>
      <c r="BJ121" s="73">
        <f t="shared" ca="1" si="337"/>
        <v>0</v>
      </c>
      <c r="BK121" s="64"/>
      <c r="BL121" s="864" t="s">
        <v>1320</v>
      </c>
      <c r="BM121" s="73">
        <f t="shared" ca="1" si="337"/>
        <v>0</v>
      </c>
      <c r="BN121" s="64"/>
      <c r="BO121" s="869" t="s">
        <v>1320</v>
      </c>
      <c r="BP121" s="73">
        <f t="shared" ca="1" si="337"/>
        <v>0</v>
      </c>
      <c r="BQ121" s="64"/>
      <c r="BR121" s="838" t="s">
        <v>1320</v>
      </c>
      <c r="BS121" s="73">
        <f t="shared" ca="1" si="337"/>
        <v>0</v>
      </c>
      <c r="BT121" s="64"/>
      <c r="BU121" s="873" t="s">
        <v>1320</v>
      </c>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4">
        <f ca="1">VLOOKUP(H122,Equipos!$Q$1:$R$25,2,0)</f>
        <v>17</v>
      </c>
      <c r="H122" s="445">
        <f ca="1">$H$74</f>
        <v>46200</v>
      </c>
      <c r="I122" s="50"/>
      <c r="J122" s="929"/>
      <c r="K122" s="56" t="str">
        <f>Idiomas!D192</f>
        <v>3º GRUPO K</v>
      </c>
      <c r="L122" s="53"/>
      <c r="M122" s="55" t="str">
        <f ca="1">IF(OR(SUM(WORLDCUP!$AN$86:$AN$89)=12,WORLDCUP!$AJ$99=144),WORLDCUP!AL88,LEFT(K122,1)&amp;RIGHT(K122,1))</f>
        <v>3K</v>
      </c>
      <c r="N122" s="25"/>
      <c r="O122" s="25"/>
      <c r="P122" s="25"/>
      <c r="Q122" s="25"/>
      <c r="R122" s="110"/>
      <c r="S122" s="854" t="s">
        <v>1267</v>
      </c>
      <c r="T122" s="73">
        <f t="shared" ref="T122" ca="1" si="340">($M122=S122)*$D$13</f>
        <v>0</v>
      </c>
      <c r="U122" s="64"/>
      <c r="V122" s="793" t="s">
        <v>1267</v>
      </c>
      <c r="W122" s="73">
        <f t="shared" ref="W122:CH122" ca="1" si="341">($M122=V122)*$D$13</f>
        <v>0</v>
      </c>
      <c r="X122" s="64"/>
      <c r="Y122" s="798" t="s">
        <v>1320</v>
      </c>
      <c r="Z122" s="73">
        <f t="shared" ca="1" si="341"/>
        <v>0</v>
      </c>
      <c r="AA122" s="64"/>
      <c r="AB122" s="803" t="s">
        <v>1267</v>
      </c>
      <c r="AC122" s="73">
        <f t="shared" ca="1" si="341"/>
        <v>0</v>
      </c>
      <c r="AD122" s="64"/>
      <c r="AE122" s="808" t="s">
        <v>1267</v>
      </c>
      <c r="AF122" s="73">
        <f t="shared" ca="1" si="341"/>
        <v>0</v>
      </c>
      <c r="AG122" s="64"/>
      <c r="AH122" s="74" t="s">
        <v>1267</v>
      </c>
      <c r="AI122" s="73">
        <f t="shared" ca="1" si="341"/>
        <v>0</v>
      </c>
      <c r="AJ122" s="64"/>
      <c r="AK122" s="813" t="s">
        <v>1267</v>
      </c>
      <c r="AL122" s="73">
        <f t="shared" ca="1" si="341"/>
        <v>0</v>
      </c>
      <c r="AM122" s="64"/>
      <c r="AN122" s="818" t="s">
        <v>1267</v>
      </c>
      <c r="AO122" s="73">
        <f t="shared" ca="1" si="341"/>
        <v>0</v>
      </c>
      <c r="AP122" s="64"/>
      <c r="AQ122" s="823" t="s">
        <v>1839</v>
      </c>
      <c r="AR122" s="73">
        <f t="shared" ca="1" si="341"/>
        <v>0</v>
      </c>
      <c r="AS122" s="64"/>
      <c r="AT122" s="828" t="s">
        <v>1267</v>
      </c>
      <c r="AU122" s="73">
        <f t="shared" ca="1" si="341"/>
        <v>0</v>
      </c>
      <c r="AV122" s="64"/>
      <c r="AW122" s="832" t="s">
        <v>1839</v>
      </c>
      <c r="AX122" s="73">
        <f t="shared" ca="1" si="341"/>
        <v>0</v>
      </c>
      <c r="AY122" s="64"/>
      <c r="AZ122" s="838" t="s">
        <v>1267</v>
      </c>
      <c r="BA122" s="73">
        <f t="shared" ca="1" si="341"/>
        <v>0</v>
      </c>
      <c r="BB122" s="64"/>
      <c r="BC122" s="845" t="s">
        <v>1267</v>
      </c>
      <c r="BD122" s="73">
        <f t="shared" ca="1" si="341"/>
        <v>0</v>
      </c>
      <c r="BE122" s="64"/>
      <c r="BF122" s="849" t="s">
        <v>1267</v>
      </c>
      <c r="BG122" s="73">
        <f t="shared" ca="1" si="341"/>
        <v>0</v>
      </c>
      <c r="BH122" s="64"/>
      <c r="BI122" s="859" t="s">
        <v>1839</v>
      </c>
      <c r="BJ122" s="73">
        <f t="shared" ca="1" si="341"/>
        <v>0</v>
      </c>
      <c r="BK122" s="64"/>
      <c r="BL122" s="864" t="s">
        <v>1839</v>
      </c>
      <c r="BM122" s="73">
        <f t="shared" ca="1" si="341"/>
        <v>0</v>
      </c>
      <c r="BN122" s="64"/>
      <c r="BO122" s="869" t="s">
        <v>1839</v>
      </c>
      <c r="BP122" s="73">
        <f t="shared" ca="1" si="341"/>
        <v>0</v>
      </c>
      <c r="BQ122" s="64"/>
      <c r="BR122" s="838" t="s">
        <v>1267</v>
      </c>
      <c r="BS122" s="73">
        <f t="shared" ca="1" si="341"/>
        <v>0</v>
      </c>
      <c r="BT122" s="64"/>
      <c r="BU122" s="873" t="s">
        <v>1839</v>
      </c>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4">
        <f ca="1">VLOOKUP(H123,Equipos!$Q$1:$R$25,2,0)</f>
        <v>17</v>
      </c>
      <c r="H123" s="445">
        <f ca="1">$H$74</f>
        <v>46200</v>
      </c>
      <c r="I123" s="50"/>
      <c r="J123" s="929"/>
      <c r="K123" s="56" t="str">
        <f>Idiomas!D193</f>
        <v>4º GRUPO K</v>
      </c>
      <c r="L123" s="53"/>
      <c r="M123" s="55" t="str">
        <f ca="1">IF(OR(SUM(WORLDCUP!$AN$86:$AN$89)=12,WORLDCUP!$AJ$99=144),WORLDCUP!AL89,LEFT(K123,1)&amp;RIGHT(K123,1))</f>
        <v>4K</v>
      </c>
      <c r="N123" s="25"/>
      <c r="O123" s="25"/>
      <c r="P123" s="25"/>
      <c r="Q123" s="25"/>
      <c r="R123" s="110"/>
      <c r="S123" s="854" t="s">
        <v>1839</v>
      </c>
      <c r="T123" s="73">
        <f t="shared" ref="T123" ca="1" si="344">($M123=S123)*$D$14</f>
        <v>0</v>
      </c>
      <c r="U123" s="64"/>
      <c r="V123" s="793" t="s">
        <v>1839</v>
      </c>
      <c r="W123" s="73">
        <f t="shared" ref="W123:CH123" ca="1" si="345">($M123=V123)*$D$14</f>
        <v>0</v>
      </c>
      <c r="X123" s="64"/>
      <c r="Y123" s="798" t="s">
        <v>1267</v>
      </c>
      <c r="Z123" s="73">
        <f t="shared" ca="1" si="345"/>
        <v>0</v>
      </c>
      <c r="AA123" s="64"/>
      <c r="AB123" s="803" t="s">
        <v>1839</v>
      </c>
      <c r="AC123" s="73">
        <f t="shared" ca="1" si="345"/>
        <v>0</v>
      </c>
      <c r="AD123" s="64"/>
      <c r="AE123" s="808" t="s">
        <v>1839</v>
      </c>
      <c r="AF123" s="73">
        <f t="shared" ca="1" si="345"/>
        <v>0</v>
      </c>
      <c r="AG123" s="64"/>
      <c r="AH123" s="74" t="s">
        <v>1839</v>
      </c>
      <c r="AI123" s="73">
        <f t="shared" ca="1" si="345"/>
        <v>0</v>
      </c>
      <c r="AJ123" s="64"/>
      <c r="AK123" s="813" t="s">
        <v>1839</v>
      </c>
      <c r="AL123" s="73">
        <f t="shared" ca="1" si="345"/>
        <v>0</v>
      </c>
      <c r="AM123" s="64"/>
      <c r="AN123" s="818" t="s">
        <v>1839</v>
      </c>
      <c r="AO123" s="73">
        <f t="shared" ca="1" si="345"/>
        <v>0</v>
      </c>
      <c r="AP123" s="64"/>
      <c r="AQ123" s="823" t="s">
        <v>1267</v>
      </c>
      <c r="AR123" s="73">
        <f t="shared" ca="1" si="345"/>
        <v>0</v>
      </c>
      <c r="AS123" s="64"/>
      <c r="AT123" s="828" t="s">
        <v>1839</v>
      </c>
      <c r="AU123" s="73">
        <f t="shared" ca="1" si="345"/>
        <v>0</v>
      </c>
      <c r="AV123" s="64"/>
      <c r="AW123" s="832" t="s">
        <v>1267</v>
      </c>
      <c r="AX123" s="73">
        <f t="shared" ca="1" si="345"/>
        <v>0</v>
      </c>
      <c r="AY123" s="64"/>
      <c r="AZ123" s="838" t="s">
        <v>1839</v>
      </c>
      <c r="BA123" s="73">
        <f t="shared" ca="1" si="345"/>
        <v>0</v>
      </c>
      <c r="BB123" s="64"/>
      <c r="BC123" s="845" t="s">
        <v>1839</v>
      </c>
      <c r="BD123" s="73">
        <f t="shared" ca="1" si="345"/>
        <v>0</v>
      </c>
      <c r="BE123" s="64"/>
      <c r="BF123" s="849" t="s">
        <v>1839</v>
      </c>
      <c r="BG123" s="73">
        <f t="shared" ca="1" si="345"/>
        <v>0</v>
      </c>
      <c r="BH123" s="64"/>
      <c r="BI123" s="859" t="s">
        <v>1267</v>
      </c>
      <c r="BJ123" s="73">
        <f t="shared" ca="1" si="345"/>
        <v>0</v>
      </c>
      <c r="BK123" s="64"/>
      <c r="BL123" s="864" t="s">
        <v>1267</v>
      </c>
      <c r="BM123" s="73">
        <f t="shared" ca="1" si="345"/>
        <v>0</v>
      </c>
      <c r="BN123" s="64"/>
      <c r="BO123" s="869" t="s">
        <v>1267</v>
      </c>
      <c r="BP123" s="73">
        <f t="shared" ca="1" si="345"/>
        <v>0</v>
      </c>
      <c r="BQ123" s="64"/>
      <c r="BR123" s="838" t="s">
        <v>1839</v>
      </c>
      <c r="BS123" s="73">
        <f t="shared" ca="1" si="345"/>
        <v>0</v>
      </c>
      <c r="BT123" s="64"/>
      <c r="BU123" s="873" t="s">
        <v>1267</v>
      </c>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4">
        <f ca="1">VLOOKUP(H124,Equipos!$Q$1:$R$25,2,0)</f>
        <v>17</v>
      </c>
      <c r="H124" s="445">
        <f ca="1">$H$76</f>
        <v>46200</v>
      </c>
      <c r="I124" s="50"/>
      <c r="J124" s="928" t="s">
        <v>238</v>
      </c>
      <c r="K124" s="56" t="str">
        <f>Idiomas!D194</f>
        <v>1º GRUPO L</v>
      </c>
      <c r="L124" s="53"/>
      <c r="M124" s="55" t="str">
        <f ca="1">IF(OR(SUM(WORLDCUP!$AN$94:$AN$97)=12,WORLDCUP!$AJ$99=144),WORLDCUP!AL94,LEFT(K124,1)&amp;RIGHT(K124,1))</f>
        <v>1L</v>
      </c>
      <c r="N124" s="25"/>
      <c r="O124" s="25"/>
      <c r="P124" s="25"/>
      <c r="Q124" s="25"/>
      <c r="R124" s="110"/>
      <c r="S124" s="854" t="s">
        <v>76</v>
      </c>
      <c r="T124" s="73">
        <f t="shared" ref="T124" ca="1" si="348">($M124=S124)*$D$11</f>
        <v>0</v>
      </c>
      <c r="U124" s="64"/>
      <c r="V124" s="793" t="s">
        <v>1551</v>
      </c>
      <c r="W124" s="73">
        <f t="shared" ref="W124:CH124" ca="1" si="349">($M124=V124)*$D$11</f>
        <v>0</v>
      </c>
      <c r="X124" s="64"/>
      <c r="Y124" s="798" t="s">
        <v>76</v>
      </c>
      <c r="Z124" s="73">
        <f t="shared" ca="1" si="349"/>
        <v>0</v>
      </c>
      <c r="AA124" s="64"/>
      <c r="AB124" s="803" t="s">
        <v>76</v>
      </c>
      <c r="AC124" s="73">
        <f t="shared" ca="1" si="349"/>
        <v>0</v>
      </c>
      <c r="AD124" s="64"/>
      <c r="AE124" s="808" t="s">
        <v>76</v>
      </c>
      <c r="AF124" s="73">
        <f t="shared" ca="1" si="349"/>
        <v>0</v>
      </c>
      <c r="AG124" s="64"/>
      <c r="AH124" s="74" t="s">
        <v>76</v>
      </c>
      <c r="AI124" s="73">
        <f t="shared" ca="1" si="349"/>
        <v>0</v>
      </c>
      <c r="AJ124" s="64"/>
      <c r="AK124" s="813" t="s">
        <v>76</v>
      </c>
      <c r="AL124" s="73">
        <f t="shared" ca="1" si="349"/>
        <v>0</v>
      </c>
      <c r="AM124" s="64"/>
      <c r="AN124" s="818" t="s">
        <v>76</v>
      </c>
      <c r="AO124" s="73">
        <f t="shared" ca="1" si="349"/>
        <v>0</v>
      </c>
      <c r="AP124" s="64"/>
      <c r="AQ124" s="823" t="s">
        <v>76</v>
      </c>
      <c r="AR124" s="73">
        <f t="shared" ca="1" si="349"/>
        <v>0</v>
      </c>
      <c r="AS124" s="64"/>
      <c r="AT124" s="828" t="s">
        <v>76</v>
      </c>
      <c r="AU124" s="73">
        <f t="shared" ca="1" si="349"/>
        <v>0</v>
      </c>
      <c r="AV124" s="64"/>
      <c r="AW124" s="832" t="s">
        <v>76</v>
      </c>
      <c r="AX124" s="73">
        <f t="shared" ca="1" si="349"/>
        <v>0</v>
      </c>
      <c r="AY124" s="64"/>
      <c r="AZ124" s="838" t="s">
        <v>76</v>
      </c>
      <c r="BA124" s="73">
        <f t="shared" ca="1" si="349"/>
        <v>0</v>
      </c>
      <c r="BB124" s="64"/>
      <c r="BC124" s="845" t="s">
        <v>76</v>
      </c>
      <c r="BD124" s="73">
        <f t="shared" ca="1" si="349"/>
        <v>0</v>
      </c>
      <c r="BE124" s="64"/>
      <c r="BF124" s="849" t="s">
        <v>76</v>
      </c>
      <c r="BG124" s="73">
        <f t="shared" ca="1" si="349"/>
        <v>0</v>
      </c>
      <c r="BH124" s="64"/>
      <c r="BI124" s="859" t="s">
        <v>76</v>
      </c>
      <c r="BJ124" s="73">
        <f t="shared" ca="1" si="349"/>
        <v>0</v>
      </c>
      <c r="BK124" s="64"/>
      <c r="BL124" s="864" t="s">
        <v>78</v>
      </c>
      <c r="BM124" s="73">
        <f t="shared" ca="1" si="349"/>
        <v>0</v>
      </c>
      <c r="BN124" s="64"/>
      <c r="BO124" s="869" t="s">
        <v>76</v>
      </c>
      <c r="BP124" s="73">
        <f t="shared" ca="1" si="349"/>
        <v>0</v>
      </c>
      <c r="BQ124" s="64"/>
      <c r="BR124" s="838" t="s">
        <v>76</v>
      </c>
      <c r="BS124" s="73">
        <f t="shared" ca="1" si="349"/>
        <v>0</v>
      </c>
      <c r="BT124" s="64"/>
      <c r="BU124" s="873" t="s">
        <v>76</v>
      </c>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4">
        <f ca="1">VLOOKUP(H125,Equipos!$Q$1:$R$25,2,0)</f>
        <v>17</v>
      </c>
      <c r="H125" s="445">
        <f ca="1">$H$76</f>
        <v>46200</v>
      </c>
      <c r="I125" s="50"/>
      <c r="J125" s="928"/>
      <c r="K125" s="56" t="str">
        <f>Idiomas!D195</f>
        <v>2º GRUPO L</v>
      </c>
      <c r="L125" s="53"/>
      <c r="M125" s="55" t="str">
        <f ca="1">IF(OR(SUM(WORLDCUP!$AN$94:$AN$97)=12,WORLDCUP!$AJ$99=144),WORLDCUP!AL95,LEFT(K125,1)&amp;RIGHT(K125,1))</f>
        <v>2L</v>
      </c>
      <c r="N125" s="25"/>
      <c r="O125" s="25"/>
      <c r="P125" s="25"/>
      <c r="Q125" s="25"/>
      <c r="R125" s="110"/>
      <c r="S125" s="854" t="s">
        <v>1551</v>
      </c>
      <c r="T125" s="73">
        <f t="shared" ref="T125" ca="1" si="352">($M125=S125)*$D$12</f>
        <v>0</v>
      </c>
      <c r="U125" s="64"/>
      <c r="V125" s="793" t="s">
        <v>76</v>
      </c>
      <c r="W125" s="73">
        <f t="shared" ref="W125:CH125" ca="1" si="353">($M125=V125)*$D$12</f>
        <v>0</v>
      </c>
      <c r="X125" s="64"/>
      <c r="Y125" s="798" t="s">
        <v>78</v>
      </c>
      <c r="Z125" s="73">
        <f t="shared" ca="1" si="353"/>
        <v>0</v>
      </c>
      <c r="AA125" s="64"/>
      <c r="AB125" s="803" t="s">
        <v>78</v>
      </c>
      <c r="AC125" s="73">
        <f t="shared" ca="1" si="353"/>
        <v>0</v>
      </c>
      <c r="AD125" s="64"/>
      <c r="AE125" s="808" t="s">
        <v>78</v>
      </c>
      <c r="AF125" s="73">
        <f t="shared" ca="1" si="353"/>
        <v>0</v>
      </c>
      <c r="AG125" s="64"/>
      <c r="AH125" s="74" t="s">
        <v>78</v>
      </c>
      <c r="AI125" s="73">
        <f t="shared" ca="1" si="353"/>
        <v>0</v>
      </c>
      <c r="AJ125" s="64"/>
      <c r="AK125" s="813" t="s">
        <v>78</v>
      </c>
      <c r="AL125" s="73">
        <f t="shared" ca="1" si="353"/>
        <v>0</v>
      </c>
      <c r="AM125" s="64"/>
      <c r="AN125" s="818" t="s">
        <v>78</v>
      </c>
      <c r="AO125" s="73">
        <f t="shared" ca="1" si="353"/>
        <v>0</v>
      </c>
      <c r="AP125" s="64"/>
      <c r="AQ125" s="823" t="s">
        <v>78</v>
      </c>
      <c r="AR125" s="73">
        <f t="shared" ca="1" si="353"/>
        <v>0</v>
      </c>
      <c r="AS125" s="64"/>
      <c r="AT125" s="828" t="s">
        <v>78</v>
      </c>
      <c r="AU125" s="73">
        <f t="shared" ca="1" si="353"/>
        <v>0</v>
      </c>
      <c r="AV125" s="64"/>
      <c r="AW125" s="832" t="s">
        <v>78</v>
      </c>
      <c r="AX125" s="73">
        <f t="shared" ca="1" si="353"/>
        <v>0</v>
      </c>
      <c r="AY125" s="64"/>
      <c r="AZ125" s="838" t="s">
        <v>78</v>
      </c>
      <c r="BA125" s="73">
        <f t="shared" ca="1" si="353"/>
        <v>0</v>
      </c>
      <c r="BB125" s="64"/>
      <c r="BC125" s="845" t="s">
        <v>78</v>
      </c>
      <c r="BD125" s="73">
        <f t="shared" ca="1" si="353"/>
        <v>0</v>
      </c>
      <c r="BE125" s="64"/>
      <c r="BF125" s="849" t="s">
        <v>78</v>
      </c>
      <c r="BG125" s="73">
        <f t="shared" ca="1" si="353"/>
        <v>0</v>
      </c>
      <c r="BH125" s="64"/>
      <c r="BI125" s="859" t="s">
        <v>78</v>
      </c>
      <c r="BJ125" s="73">
        <f t="shared" ca="1" si="353"/>
        <v>0</v>
      </c>
      <c r="BK125" s="64"/>
      <c r="BL125" s="864" t="s">
        <v>76</v>
      </c>
      <c r="BM125" s="73">
        <f t="shared" ca="1" si="353"/>
        <v>0</v>
      </c>
      <c r="BN125" s="64"/>
      <c r="BO125" s="869" t="s">
        <v>78</v>
      </c>
      <c r="BP125" s="73">
        <f t="shared" ca="1" si="353"/>
        <v>0</v>
      </c>
      <c r="BQ125" s="64"/>
      <c r="BR125" s="838" t="s">
        <v>78</v>
      </c>
      <c r="BS125" s="73">
        <f t="shared" ca="1" si="353"/>
        <v>0</v>
      </c>
      <c r="BT125" s="64"/>
      <c r="BU125" s="873" t="s">
        <v>78</v>
      </c>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4">
        <f ca="1">VLOOKUP(H126,Equipos!$Q$1:$R$25,2,0)</f>
        <v>17</v>
      </c>
      <c r="H126" s="445">
        <f ca="1">$H$76</f>
        <v>46200</v>
      </c>
      <c r="I126" s="50"/>
      <c r="J126" s="928"/>
      <c r="K126" s="56" t="str">
        <f>Idiomas!D196</f>
        <v>3º GRUPO L</v>
      </c>
      <c r="L126" s="53"/>
      <c r="M126" s="55" t="str">
        <f ca="1">IF(OR(SUM(WORLDCUP!$AN$94:$AN$97)=12,WORLDCUP!$AJ$99=144),WORLDCUP!AL96,LEFT(K126,1)&amp;RIGHT(K126,1))</f>
        <v>3L</v>
      </c>
      <c r="N126" s="25"/>
      <c r="O126" s="25"/>
      <c r="P126" s="25"/>
      <c r="Q126" s="25"/>
      <c r="R126" s="110"/>
      <c r="S126" s="854" t="s">
        <v>78</v>
      </c>
      <c r="T126" s="73">
        <f t="shared" ref="T126" ca="1" si="356">($M126=S126)*$D$13</f>
        <v>0</v>
      </c>
      <c r="U126" s="64"/>
      <c r="V126" s="793" t="s">
        <v>78</v>
      </c>
      <c r="W126" s="73">
        <f t="shared" ref="W126:CH126" ca="1" si="357">($M126=V126)*$D$13</f>
        <v>0</v>
      </c>
      <c r="X126" s="64"/>
      <c r="Y126" s="798" t="s">
        <v>1551</v>
      </c>
      <c r="Z126" s="73">
        <f t="shared" ca="1" si="357"/>
        <v>0</v>
      </c>
      <c r="AA126" s="64"/>
      <c r="AB126" s="803" t="s">
        <v>1551</v>
      </c>
      <c r="AC126" s="73">
        <f t="shared" ca="1" si="357"/>
        <v>0</v>
      </c>
      <c r="AD126" s="64"/>
      <c r="AE126" s="808" t="s">
        <v>1551</v>
      </c>
      <c r="AF126" s="73">
        <f t="shared" ca="1" si="357"/>
        <v>0</v>
      </c>
      <c r="AG126" s="64"/>
      <c r="AH126" s="74" t="s">
        <v>1551</v>
      </c>
      <c r="AI126" s="73">
        <f t="shared" ca="1" si="357"/>
        <v>0</v>
      </c>
      <c r="AJ126" s="64"/>
      <c r="AK126" s="813" t="s">
        <v>1551</v>
      </c>
      <c r="AL126" s="73">
        <f t="shared" ca="1" si="357"/>
        <v>0</v>
      </c>
      <c r="AM126" s="64"/>
      <c r="AN126" s="818" t="s">
        <v>1551</v>
      </c>
      <c r="AO126" s="73">
        <f t="shared" ca="1" si="357"/>
        <v>0</v>
      </c>
      <c r="AP126" s="64"/>
      <c r="AQ126" s="823" t="s">
        <v>1551</v>
      </c>
      <c r="AR126" s="73">
        <f t="shared" ca="1" si="357"/>
        <v>0</v>
      </c>
      <c r="AS126" s="64"/>
      <c r="AT126" s="828" t="s">
        <v>1551</v>
      </c>
      <c r="AU126" s="73">
        <f t="shared" ca="1" si="357"/>
        <v>0</v>
      </c>
      <c r="AV126" s="64"/>
      <c r="AW126" s="832" t="s">
        <v>1730</v>
      </c>
      <c r="AX126" s="73">
        <f t="shared" ca="1" si="357"/>
        <v>0</v>
      </c>
      <c r="AY126" s="64"/>
      <c r="AZ126" s="838" t="s">
        <v>1551</v>
      </c>
      <c r="BA126" s="73">
        <f t="shared" ca="1" si="357"/>
        <v>0</v>
      </c>
      <c r="BB126" s="64"/>
      <c r="BC126" s="845" t="s">
        <v>1551</v>
      </c>
      <c r="BD126" s="73">
        <f t="shared" ca="1" si="357"/>
        <v>0</v>
      </c>
      <c r="BE126" s="64"/>
      <c r="BF126" s="849" t="s">
        <v>1551</v>
      </c>
      <c r="BG126" s="73">
        <f t="shared" ca="1" si="357"/>
        <v>0</v>
      </c>
      <c r="BH126" s="64"/>
      <c r="BI126" s="859" t="s">
        <v>1551</v>
      </c>
      <c r="BJ126" s="73">
        <f t="shared" ca="1" si="357"/>
        <v>0</v>
      </c>
      <c r="BK126" s="64"/>
      <c r="BL126" s="864" t="s">
        <v>1551</v>
      </c>
      <c r="BM126" s="73">
        <f t="shared" ca="1" si="357"/>
        <v>0</v>
      </c>
      <c r="BN126" s="64"/>
      <c r="BO126" s="869" t="s">
        <v>1551</v>
      </c>
      <c r="BP126" s="73">
        <f t="shared" ca="1" si="357"/>
        <v>0</v>
      </c>
      <c r="BQ126" s="64"/>
      <c r="BR126" s="838" t="s">
        <v>1551</v>
      </c>
      <c r="BS126" s="73">
        <f t="shared" ca="1" si="357"/>
        <v>0</v>
      </c>
      <c r="BT126" s="64"/>
      <c r="BU126" s="873" t="s">
        <v>1551</v>
      </c>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4">
        <f ca="1">VLOOKUP(H127,Equipos!$Q$1:$R$25,2,0)</f>
        <v>17</v>
      </c>
      <c r="H127" s="445">
        <f ca="1">$H$76</f>
        <v>46200</v>
      </c>
      <c r="I127" s="50"/>
      <c r="J127" s="928"/>
      <c r="K127" s="115" t="str">
        <f>Idiomas!D197</f>
        <v>4º GRUPO L</v>
      </c>
      <c r="L127" s="115"/>
      <c r="M127" s="116" t="str">
        <f ca="1">IF(OR(SUM(WORLDCUP!$AN$94:$AN$97)=12,WORLDCUP!$AJ$99=144),WORLDCUP!AL97,LEFT(K127,1)&amp;RIGHT(K127,1))</f>
        <v>4L</v>
      </c>
      <c r="N127" s="25"/>
      <c r="O127" s="25"/>
      <c r="P127" s="25"/>
      <c r="Q127" s="25"/>
      <c r="R127" s="110"/>
      <c r="S127" s="854" t="s">
        <v>1730</v>
      </c>
      <c r="T127" s="81">
        <f t="shared" ref="T127" ca="1" si="360">($M127=S127)*$D$14</f>
        <v>0</v>
      </c>
      <c r="U127" s="64"/>
      <c r="V127" s="793" t="s">
        <v>1730</v>
      </c>
      <c r="W127" s="81">
        <f t="shared" ref="W127:CH127" ca="1" si="361">($M127=V127)*$D$14</f>
        <v>0</v>
      </c>
      <c r="X127" s="64"/>
      <c r="Y127" s="798" t="s">
        <v>1730</v>
      </c>
      <c r="Z127" s="81">
        <f t="shared" ca="1" si="361"/>
        <v>0</v>
      </c>
      <c r="AA127" s="64"/>
      <c r="AB127" s="803" t="s">
        <v>1730</v>
      </c>
      <c r="AC127" s="81">
        <f t="shared" ca="1" si="361"/>
        <v>0</v>
      </c>
      <c r="AD127" s="64"/>
      <c r="AE127" s="808" t="s">
        <v>1730</v>
      </c>
      <c r="AF127" s="81">
        <f t="shared" ca="1" si="361"/>
        <v>0</v>
      </c>
      <c r="AG127" s="64"/>
      <c r="AH127" s="80" t="s">
        <v>1730</v>
      </c>
      <c r="AI127" s="81">
        <f t="shared" ca="1" si="361"/>
        <v>0</v>
      </c>
      <c r="AJ127" s="64"/>
      <c r="AK127" s="813" t="s">
        <v>1730</v>
      </c>
      <c r="AL127" s="81">
        <f t="shared" ca="1" si="361"/>
        <v>0</v>
      </c>
      <c r="AM127" s="64"/>
      <c r="AN127" s="818" t="s">
        <v>1730</v>
      </c>
      <c r="AO127" s="81">
        <f t="shared" ca="1" si="361"/>
        <v>0</v>
      </c>
      <c r="AP127" s="64"/>
      <c r="AQ127" s="823" t="s">
        <v>1730</v>
      </c>
      <c r="AR127" s="81">
        <f t="shared" ca="1" si="361"/>
        <v>0</v>
      </c>
      <c r="AS127" s="64"/>
      <c r="AT127" s="828" t="s">
        <v>1730</v>
      </c>
      <c r="AU127" s="81">
        <f t="shared" ca="1" si="361"/>
        <v>0</v>
      </c>
      <c r="AV127" s="64"/>
      <c r="AW127" s="832" t="s">
        <v>1551</v>
      </c>
      <c r="AX127" s="81">
        <f t="shared" ca="1" si="361"/>
        <v>0</v>
      </c>
      <c r="AY127" s="64"/>
      <c r="AZ127" s="838" t="s">
        <v>1730</v>
      </c>
      <c r="BA127" s="81">
        <f t="shared" ca="1" si="361"/>
        <v>0</v>
      </c>
      <c r="BB127" s="64"/>
      <c r="BC127" s="845" t="s">
        <v>1730</v>
      </c>
      <c r="BD127" s="81">
        <f t="shared" ca="1" si="361"/>
        <v>0</v>
      </c>
      <c r="BE127" s="64"/>
      <c r="BF127" s="849" t="s">
        <v>1730</v>
      </c>
      <c r="BG127" s="81">
        <f t="shared" ca="1" si="361"/>
        <v>0</v>
      </c>
      <c r="BH127" s="64"/>
      <c r="BI127" s="859" t="s">
        <v>1730</v>
      </c>
      <c r="BJ127" s="81">
        <f t="shared" ca="1" si="361"/>
        <v>0</v>
      </c>
      <c r="BK127" s="64"/>
      <c r="BL127" s="864" t="s">
        <v>1730</v>
      </c>
      <c r="BM127" s="81">
        <f t="shared" ca="1" si="361"/>
        <v>0</v>
      </c>
      <c r="BN127" s="64"/>
      <c r="BO127" s="869" t="s">
        <v>1730</v>
      </c>
      <c r="BP127" s="81">
        <f t="shared" ca="1" si="361"/>
        <v>0</v>
      </c>
      <c r="BQ127" s="64"/>
      <c r="BR127" s="838" t="s">
        <v>1730</v>
      </c>
      <c r="BS127" s="81">
        <f t="shared" ca="1" si="361"/>
        <v>0</v>
      </c>
      <c r="BT127" s="64"/>
      <c r="BU127" s="873" t="s">
        <v>1730</v>
      </c>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4"/>
      <c r="H128" s="65"/>
      <c r="I128" s="50"/>
      <c r="J128" s="94"/>
      <c r="K128" s="434" t="str">
        <f>Idiomas!D456</f>
        <v>Pos. Grupos</v>
      </c>
      <c r="L128" s="435"/>
      <c r="M128" s="434" t="str">
        <f>"Max: "&amp;SUM($D$11:$D$14)*12</f>
        <v>Max: 156</v>
      </c>
      <c r="N128" s="25"/>
      <c r="O128" s="25"/>
      <c r="P128" s="25"/>
      <c r="Q128" s="25"/>
      <c r="R128" s="49"/>
      <c r="S128" s="850"/>
      <c r="T128" s="71">
        <f ca="1">SUM(T80:T127)</f>
        <v>0</v>
      </c>
      <c r="U128" s="65"/>
      <c r="V128" s="789"/>
      <c r="W128" s="71">
        <f t="shared" ref="W128" ca="1" si="363">SUM(W80:W127)</f>
        <v>0</v>
      </c>
      <c r="X128" s="65"/>
      <c r="Y128" s="794"/>
      <c r="Z128" s="71">
        <f t="shared" ref="Z128" ca="1" si="364">SUM(Z80:Z127)</f>
        <v>0</v>
      </c>
      <c r="AA128" s="65"/>
      <c r="AB128" s="799"/>
      <c r="AC128" s="71">
        <f t="shared" ref="AC128" ca="1" si="365">SUM(AC80:AC127)</f>
        <v>0</v>
      </c>
      <c r="AD128" s="65"/>
      <c r="AE128" s="804"/>
      <c r="AF128" s="71">
        <f t="shared" ref="AF128" ca="1" si="366">SUM(AF80:AF127)</f>
        <v>0</v>
      </c>
      <c r="AG128" s="65"/>
      <c r="AH128" s="84"/>
      <c r="AI128" s="71">
        <f t="shared" ref="AI128" ca="1" si="367">SUM(AI80:AI127)</f>
        <v>0</v>
      </c>
      <c r="AJ128" s="65"/>
      <c r="AK128" s="809"/>
      <c r="AL128" s="71">
        <f t="shared" ref="AL128" ca="1" si="368">SUM(AL80:AL127)</f>
        <v>0</v>
      </c>
      <c r="AM128" s="65"/>
      <c r="AN128" s="814"/>
      <c r="AO128" s="71">
        <f t="shared" ref="AO128" ca="1" si="369">SUM(AO80:AO127)</f>
        <v>0</v>
      </c>
      <c r="AP128" s="65"/>
      <c r="AQ128" s="819"/>
      <c r="AR128" s="71">
        <f t="shared" ref="AR128" ca="1" si="370">SUM(AR80:AR127)</f>
        <v>0</v>
      </c>
      <c r="AS128" s="65"/>
      <c r="AT128" s="824"/>
      <c r="AU128" s="71">
        <f t="shared" ref="AU128" ca="1" si="371">SUM(AU80:AU127)</f>
        <v>0</v>
      </c>
      <c r="AV128" s="65"/>
      <c r="AW128" s="833"/>
      <c r="AX128" s="71">
        <f t="shared" ref="AX128" ca="1" si="372">SUM(AX80:AX127)</f>
        <v>0</v>
      </c>
      <c r="AY128" s="65"/>
      <c r="AZ128" s="839"/>
      <c r="BA128" s="71">
        <f t="shared" ref="BA128" ca="1" si="373">SUM(BA80:BA127)</f>
        <v>0</v>
      </c>
      <c r="BB128" s="65"/>
      <c r="BC128" s="841"/>
      <c r="BD128" s="71">
        <f t="shared" ref="BD128" ca="1" si="374">SUM(BD80:BD127)</f>
        <v>0</v>
      </c>
      <c r="BE128" s="65"/>
      <c r="BF128" s="846"/>
      <c r="BG128" s="71">
        <f t="shared" ref="BG128" ca="1" si="375">SUM(BG80:BG127)</f>
        <v>0</v>
      </c>
      <c r="BH128" s="65"/>
      <c r="BI128" s="855"/>
      <c r="BJ128" s="71">
        <f t="shared" ref="BJ128" ca="1" si="376">SUM(BJ80:BJ127)</f>
        <v>0</v>
      </c>
      <c r="BK128" s="65"/>
      <c r="BL128" s="860"/>
      <c r="BM128" s="71">
        <f t="shared" ref="BM128" ca="1" si="377">SUM(BM80:BM127)</f>
        <v>0</v>
      </c>
      <c r="BN128" s="65"/>
      <c r="BO128" s="865"/>
      <c r="BP128" s="71">
        <f t="shared" ref="BP128" ca="1" si="378">SUM(BP80:BP127)</f>
        <v>0</v>
      </c>
      <c r="BQ128" s="65"/>
      <c r="BR128" s="839"/>
      <c r="BS128" s="71">
        <f t="shared" ref="BS128" ca="1" si="379">SUM(BS80:BS127)</f>
        <v>0</v>
      </c>
      <c r="BT128" s="65"/>
      <c r="BU128" s="87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4"/>
      <c r="H129" s="65"/>
      <c r="I129" s="50"/>
      <c r="J129" s="94"/>
      <c r="K129" s="113" t="str">
        <f>Idiomas!D137</f>
        <v>CLASIFICADOS PARA DIECISEISAVOS</v>
      </c>
      <c r="L129" s="50"/>
      <c r="M129" s="71"/>
      <c r="N129" s="25"/>
      <c r="O129" s="25"/>
      <c r="P129" s="25"/>
      <c r="Q129" s="25"/>
      <c r="R129" s="49"/>
      <c r="S129" s="850"/>
      <c r="T129" s="71"/>
      <c r="U129" s="65"/>
      <c r="V129" s="789"/>
      <c r="W129" s="71"/>
      <c r="X129" s="65"/>
      <c r="Y129" s="794"/>
      <c r="Z129" s="71"/>
      <c r="AA129" s="65"/>
      <c r="AB129" s="799"/>
      <c r="AC129" s="71"/>
      <c r="AD129" s="65"/>
      <c r="AE129" s="804"/>
      <c r="AF129" s="71"/>
      <c r="AG129" s="65"/>
      <c r="AH129" s="84"/>
      <c r="AI129" s="71"/>
      <c r="AJ129" s="65"/>
      <c r="AK129" s="809"/>
      <c r="AL129" s="71"/>
      <c r="AM129" s="65"/>
      <c r="AN129" s="814"/>
      <c r="AO129" s="71"/>
      <c r="AP129" s="65"/>
      <c r="AQ129" s="819"/>
      <c r="AR129" s="71"/>
      <c r="AS129" s="65"/>
      <c r="AT129" s="824"/>
      <c r="AU129" s="71"/>
      <c r="AV129" s="65"/>
      <c r="AW129" s="833"/>
      <c r="AX129" s="71"/>
      <c r="AY129" s="65"/>
      <c r="AZ129" s="839"/>
      <c r="BA129" s="71"/>
      <c r="BB129" s="65"/>
      <c r="BC129" s="841"/>
      <c r="BD129" s="71"/>
      <c r="BE129" s="65"/>
      <c r="BF129" s="846"/>
      <c r="BG129" s="71"/>
      <c r="BH129" s="65"/>
      <c r="BI129" s="855"/>
      <c r="BJ129" s="71"/>
      <c r="BK129" s="65"/>
      <c r="BL129" s="860"/>
      <c r="BM129" s="71"/>
      <c r="BN129" s="65"/>
      <c r="BO129" s="865"/>
      <c r="BP129" s="71"/>
      <c r="BQ129" s="65"/>
      <c r="BR129" s="839"/>
      <c r="BS129" s="71"/>
      <c r="BT129" s="65"/>
      <c r="BU129" s="87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4">
        <f ca="1">VLOOKUP(H130,Equipos!$Q$1:$R$25,2,0)</f>
        <v>19</v>
      </c>
      <c r="H130" s="446" t="str">
        <f>Idiomas!$D$137</f>
        <v>CLASIFICADOS PARA DIECISEISAVOS</v>
      </c>
      <c r="I130" s="50"/>
      <c r="J130" s="926" t="s">
        <v>483</v>
      </c>
      <c r="K130" s="53" t="str">
        <f>Idiomas!$D$198&amp;"-"&amp;ROWS($L$130:L130)</f>
        <v>Dieciseisavofinalista-1</v>
      </c>
      <c r="L130" s="53"/>
      <c r="M130" s="55" t="str">
        <f ca="1">WORLDCUP!AA101</f>
        <v>2A</v>
      </c>
      <c r="N130" s="25"/>
      <c r="O130" s="25"/>
      <c r="P130" s="25"/>
      <c r="Q130" s="25"/>
      <c r="R130" s="110"/>
      <c r="S130" s="854" t="s">
        <v>1630</v>
      </c>
      <c r="T130" s="77">
        <f t="shared" ref="T130:T161" ca="1" si="387">COUNTIF($M$130:$M$161,S130)*$D$15</f>
        <v>0</v>
      </c>
      <c r="U130" s="64"/>
      <c r="V130" s="793" t="s">
        <v>1630</v>
      </c>
      <c r="W130" s="77">
        <f t="shared" ref="W130:W161" ca="1" si="388">COUNTIF($M$130:$M$161,V130)*$D$15</f>
        <v>0</v>
      </c>
      <c r="X130" s="64"/>
      <c r="Y130" s="798" t="s">
        <v>1260</v>
      </c>
      <c r="Z130" s="77">
        <f t="shared" ref="Z130:Z161" ca="1" si="389">COUNTIF($M$130:$M$161,Y130)*$D$15</f>
        <v>0</v>
      </c>
      <c r="AA130" s="64"/>
      <c r="AB130" s="803" t="s">
        <v>1843</v>
      </c>
      <c r="AC130" s="77">
        <f t="shared" ref="AC130:AC161" ca="1" si="390">COUNTIF($M$130:$M$161,AB130)*$D$15</f>
        <v>0</v>
      </c>
      <c r="AD130" s="64"/>
      <c r="AE130" s="808" t="s">
        <v>1260</v>
      </c>
      <c r="AF130" s="77">
        <f t="shared" ref="AF130:AF161" ca="1" si="391">COUNTIF($M$130:$M$161,AE130)*$D$15</f>
        <v>0</v>
      </c>
      <c r="AG130" s="64"/>
      <c r="AH130" s="76" t="s">
        <v>1843</v>
      </c>
      <c r="AI130" s="77">
        <f t="shared" ref="AI130:AI161" ca="1" si="392">COUNTIF($M$130:$M$161,AH130)*$D$15</f>
        <v>0</v>
      </c>
      <c r="AJ130" s="64"/>
      <c r="AK130" s="813" t="s">
        <v>1260</v>
      </c>
      <c r="AL130" s="77">
        <f t="shared" ref="AL130:AL161" ca="1" si="393">COUNTIF($M$130:$M$161,AK130)*$D$15</f>
        <v>0</v>
      </c>
      <c r="AM130" s="64"/>
      <c r="AN130" s="818" t="s">
        <v>1265</v>
      </c>
      <c r="AO130" s="77">
        <f t="shared" ref="AO130:AO161" ca="1" si="394">COUNTIF($M$130:$M$161,AN130)*$D$15</f>
        <v>0</v>
      </c>
      <c r="AP130" s="64"/>
      <c r="AQ130" s="823" t="s">
        <v>1843</v>
      </c>
      <c r="AR130" s="77">
        <f t="shared" ref="AR130:AR161" ca="1" si="395">COUNTIF($M$130:$M$161,AQ130)*$D$15</f>
        <v>0</v>
      </c>
      <c r="AS130" s="64"/>
      <c r="AT130" s="828" t="s">
        <v>1260</v>
      </c>
      <c r="AU130" s="77">
        <f t="shared" ref="AU130:AU161" ca="1" si="396">COUNTIF($M$130:$M$161,AT130)*$D$15</f>
        <v>0</v>
      </c>
      <c r="AV130" s="64"/>
      <c r="AW130" s="832" t="s">
        <v>1265</v>
      </c>
      <c r="AX130" s="77">
        <f t="shared" ref="AX130:AX161" ca="1" si="397">COUNTIF($M$130:$M$161,AW130)*$D$15</f>
        <v>0</v>
      </c>
      <c r="AY130" s="64"/>
      <c r="AZ130" s="838" t="s">
        <v>1260</v>
      </c>
      <c r="BA130" s="77">
        <f t="shared" ref="BA130:BA161" ca="1" si="398">COUNTIF($M$130:$M$161,AZ130)*$D$15</f>
        <v>0</v>
      </c>
      <c r="BB130" s="64"/>
      <c r="BC130" s="845" t="s">
        <v>1843</v>
      </c>
      <c r="BD130" s="77">
        <f t="shared" ref="BD130:BD161" ca="1" si="399">COUNTIF($M$130:$M$161,BC130)*$D$15</f>
        <v>0</v>
      </c>
      <c r="BE130" s="64"/>
      <c r="BF130" s="849" t="s">
        <v>1260</v>
      </c>
      <c r="BG130" s="77">
        <f t="shared" ref="BG130:BG161" ca="1" si="400">COUNTIF($M$130:$M$161,BF130)*$D$15</f>
        <v>0</v>
      </c>
      <c r="BH130" s="64"/>
      <c r="BI130" s="859" t="s">
        <v>1260</v>
      </c>
      <c r="BJ130" s="77">
        <f t="shared" ref="BJ130:BJ161" ca="1" si="401">COUNTIF($M$130:$M$161,BI130)*$D$15</f>
        <v>0</v>
      </c>
      <c r="BK130" s="64"/>
      <c r="BL130" s="864" t="s">
        <v>1260</v>
      </c>
      <c r="BM130" s="77">
        <f t="shared" ref="BM130:BM161" ca="1" si="402">COUNTIF($M$130:$M$161,BL130)*$D$15</f>
        <v>0</v>
      </c>
      <c r="BN130" s="64"/>
      <c r="BO130" s="869" t="s">
        <v>1843</v>
      </c>
      <c r="BP130" s="77">
        <f t="shared" ref="BP130:BP161" ca="1" si="403">COUNTIF($M$130:$M$161,BO130)*$D$15</f>
        <v>0</v>
      </c>
      <c r="BQ130" s="64"/>
      <c r="BR130" s="838" t="s">
        <v>1843</v>
      </c>
      <c r="BS130" s="77">
        <f t="shared" ref="BS130:BS161" ca="1" si="404">COUNTIF($M$130:$M$161,BR130)*$D$15</f>
        <v>0</v>
      </c>
      <c r="BT130" s="64"/>
      <c r="BU130" s="873" t="s">
        <v>1260</v>
      </c>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4">
        <f ca="1">VLOOKUP(H131,Equipos!$Q$1:$R$25,2,0)</f>
        <v>19</v>
      </c>
      <c r="H131" s="446" t="str">
        <f>Idiomas!$D$137</f>
        <v>CLASIFICADOS PARA DIECISEISAVOS</v>
      </c>
      <c r="I131" s="50"/>
      <c r="J131" s="926"/>
      <c r="K131" s="56" t="str">
        <f>Idiomas!$D$198&amp;"-"&amp;ROWS($L$130:L131)</f>
        <v>Dieciseisavofinalista-2</v>
      </c>
      <c r="L131" s="53"/>
      <c r="M131" s="55" t="str">
        <f ca="1">WORLDCUP!AA102</f>
        <v>1C</v>
      </c>
      <c r="N131" s="25"/>
      <c r="O131" s="25"/>
      <c r="P131" s="25"/>
      <c r="Q131" s="25"/>
      <c r="R131" s="110"/>
      <c r="S131" s="854" t="s">
        <v>1258</v>
      </c>
      <c r="T131" s="73">
        <f t="shared" ca="1" si="387"/>
        <v>0</v>
      </c>
      <c r="U131" s="64"/>
      <c r="V131" s="793" t="s">
        <v>1258</v>
      </c>
      <c r="W131" s="73">
        <f t="shared" ca="1" si="388"/>
        <v>0</v>
      </c>
      <c r="X131" s="64"/>
      <c r="Y131" s="798" t="s">
        <v>1258</v>
      </c>
      <c r="Z131" s="73">
        <f t="shared" ca="1" si="389"/>
        <v>0</v>
      </c>
      <c r="AA131" s="64"/>
      <c r="AB131" s="803" t="s">
        <v>1258</v>
      </c>
      <c r="AC131" s="73">
        <f t="shared" ca="1" si="390"/>
        <v>0</v>
      </c>
      <c r="AD131" s="64"/>
      <c r="AE131" s="808" t="s">
        <v>1258</v>
      </c>
      <c r="AF131" s="73">
        <f t="shared" ca="1" si="391"/>
        <v>0</v>
      </c>
      <c r="AG131" s="64"/>
      <c r="AH131" s="74" t="s">
        <v>1258</v>
      </c>
      <c r="AI131" s="73">
        <f t="shared" ca="1" si="392"/>
        <v>0</v>
      </c>
      <c r="AJ131" s="64"/>
      <c r="AK131" s="813" t="s">
        <v>1258</v>
      </c>
      <c r="AL131" s="73">
        <f t="shared" ca="1" si="393"/>
        <v>0</v>
      </c>
      <c r="AM131" s="64"/>
      <c r="AN131" s="818" t="s">
        <v>1258</v>
      </c>
      <c r="AO131" s="73">
        <f t="shared" ca="1" si="394"/>
        <v>0</v>
      </c>
      <c r="AP131" s="64"/>
      <c r="AQ131" s="823" t="s">
        <v>1258</v>
      </c>
      <c r="AR131" s="73">
        <f t="shared" ca="1" si="395"/>
        <v>0</v>
      </c>
      <c r="AS131" s="64"/>
      <c r="AT131" s="828" t="s">
        <v>1258</v>
      </c>
      <c r="AU131" s="73">
        <f t="shared" ca="1" si="396"/>
        <v>0</v>
      </c>
      <c r="AV131" s="64"/>
      <c r="AW131" s="832" t="s">
        <v>1258</v>
      </c>
      <c r="AX131" s="73">
        <f t="shared" ca="1" si="397"/>
        <v>0</v>
      </c>
      <c r="AY131" s="64"/>
      <c r="AZ131" s="838" t="s">
        <v>1258</v>
      </c>
      <c r="BA131" s="73">
        <f t="shared" ca="1" si="398"/>
        <v>0</v>
      </c>
      <c r="BB131" s="64"/>
      <c r="BC131" s="845" t="s">
        <v>1258</v>
      </c>
      <c r="BD131" s="73">
        <f t="shared" ca="1" si="399"/>
        <v>0</v>
      </c>
      <c r="BE131" s="64"/>
      <c r="BF131" s="849" t="s">
        <v>1321</v>
      </c>
      <c r="BG131" s="73">
        <f t="shared" ca="1" si="400"/>
        <v>0</v>
      </c>
      <c r="BH131" s="64"/>
      <c r="BI131" s="859" t="s">
        <v>1258</v>
      </c>
      <c r="BJ131" s="73">
        <f t="shared" ca="1" si="401"/>
        <v>0</v>
      </c>
      <c r="BK131" s="64"/>
      <c r="BL131" s="864" t="s">
        <v>1258</v>
      </c>
      <c r="BM131" s="73">
        <f t="shared" ca="1" si="402"/>
        <v>0</v>
      </c>
      <c r="BN131" s="64"/>
      <c r="BO131" s="869" t="s">
        <v>1258</v>
      </c>
      <c r="BP131" s="73">
        <f t="shared" ca="1" si="403"/>
        <v>0</v>
      </c>
      <c r="BQ131" s="64"/>
      <c r="BR131" s="838" t="s">
        <v>1258</v>
      </c>
      <c r="BS131" s="73">
        <f t="shared" ca="1" si="404"/>
        <v>0</v>
      </c>
      <c r="BT131" s="64"/>
      <c r="BU131" s="873" t="s">
        <v>1258</v>
      </c>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4">
        <f ca="1">VLOOKUP(H132,Equipos!$Q$1:$R$25,2,0)</f>
        <v>19</v>
      </c>
      <c r="H132" s="446" t="str">
        <f>Idiomas!$D$137</f>
        <v>CLASIFICADOS PARA DIECISEISAVOS</v>
      </c>
      <c r="I132" s="50"/>
      <c r="J132" s="926"/>
      <c r="K132" s="56" t="str">
        <f>Idiomas!$D$198&amp;"-"&amp;ROWS($L$130:L132)</f>
        <v>Dieciseisavofinalista-3</v>
      </c>
      <c r="L132" s="53"/>
      <c r="M132" s="55" t="str">
        <f ca="1">WORLDCUP!AA103</f>
        <v>1E</v>
      </c>
      <c r="N132" s="25"/>
      <c r="O132" s="25"/>
      <c r="P132" s="25"/>
      <c r="Q132" s="25"/>
      <c r="R132" s="110"/>
      <c r="S132" s="854" t="s">
        <v>77</v>
      </c>
      <c r="T132" s="73">
        <f t="shared" ca="1" si="387"/>
        <v>0</v>
      </c>
      <c r="U132" s="64"/>
      <c r="V132" s="793" t="s">
        <v>1261</v>
      </c>
      <c r="W132" s="73">
        <f t="shared" ca="1" si="388"/>
        <v>0</v>
      </c>
      <c r="X132" s="64"/>
      <c r="Y132" s="798" t="s">
        <v>77</v>
      </c>
      <c r="Z132" s="73">
        <f t="shared" ca="1" si="389"/>
        <v>0</v>
      </c>
      <c r="AA132" s="64"/>
      <c r="AB132" s="803" t="s">
        <v>1261</v>
      </c>
      <c r="AC132" s="73">
        <f t="shared" ca="1" si="390"/>
        <v>0</v>
      </c>
      <c r="AD132" s="64"/>
      <c r="AE132" s="808" t="s">
        <v>77</v>
      </c>
      <c r="AF132" s="73">
        <f t="shared" ca="1" si="391"/>
        <v>0</v>
      </c>
      <c r="AG132" s="64"/>
      <c r="AH132" s="74" t="s">
        <v>77</v>
      </c>
      <c r="AI132" s="73">
        <f t="shared" ca="1" si="392"/>
        <v>0</v>
      </c>
      <c r="AJ132" s="64"/>
      <c r="AK132" s="813" t="s">
        <v>77</v>
      </c>
      <c r="AL132" s="73">
        <f t="shared" ca="1" si="393"/>
        <v>0</v>
      </c>
      <c r="AM132" s="64"/>
      <c r="AN132" s="818" t="s">
        <v>77</v>
      </c>
      <c r="AO132" s="73">
        <f t="shared" ca="1" si="394"/>
        <v>0</v>
      </c>
      <c r="AP132" s="64"/>
      <c r="AQ132" s="823" t="s">
        <v>77</v>
      </c>
      <c r="AR132" s="73">
        <f t="shared" ca="1" si="395"/>
        <v>0</v>
      </c>
      <c r="AS132" s="64"/>
      <c r="AT132" s="828" t="s">
        <v>77</v>
      </c>
      <c r="AU132" s="73">
        <f t="shared" ca="1" si="396"/>
        <v>0</v>
      </c>
      <c r="AV132" s="64"/>
      <c r="AW132" s="832" t="s">
        <v>77</v>
      </c>
      <c r="AX132" s="73">
        <f t="shared" ca="1" si="397"/>
        <v>0</v>
      </c>
      <c r="AY132" s="64"/>
      <c r="AZ132" s="838" t="s">
        <v>77</v>
      </c>
      <c r="BA132" s="73">
        <f t="shared" ca="1" si="398"/>
        <v>0</v>
      </c>
      <c r="BB132" s="64"/>
      <c r="BC132" s="845" t="s">
        <v>77</v>
      </c>
      <c r="BD132" s="73">
        <f t="shared" ca="1" si="399"/>
        <v>0</v>
      </c>
      <c r="BE132" s="64"/>
      <c r="BF132" s="849" t="s">
        <v>77</v>
      </c>
      <c r="BG132" s="73">
        <f t="shared" ca="1" si="400"/>
        <v>0</v>
      </c>
      <c r="BH132" s="64"/>
      <c r="BI132" s="859" t="s">
        <v>1633</v>
      </c>
      <c r="BJ132" s="73">
        <f t="shared" ca="1" si="401"/>
        <v>0</v>
      </c>
      <c r="BK132" s="64"/>
      <c r="BL132" s="864" t="s">
        <v>77</v>
      </c>
      <c r="BM132" s="73">
        <f t="shared" ca="1" si="402"/>
        <v>0</v>
      </c>
      <c r="BN132" s="64"/>
      <c r="BO132" s="869" t="s">
        <v>77</v>
      </c>
      <c r="BP132" s="73">
        <f t="shared" ca="1" si="403"/>
        <v>0</v>
      </c>
      <c r="BQ132" s="64"/>
      <c r="BR132" s="838" t="s">
        <v>77</v>
      </c>
      <c r="BS132" s="73">
        <f t="shared" ca="1" si="404"/>
        <v>0</v>
      </c>
      <c r="BT132" s="64"/>
      <c r="BU132" s="873" t="s">
        <v>77</v>
      </c>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4">
        <f ca="1">VLOOKUP(H133,Equipos!$Q$1:$R$25,2,0)</f>
        <v>19</v>
      </c>
      <c r="H133" s="446" t="str">
        <f>Idiomas!$D$137</f>
        <v>CLASIFICADOS PARA DIECISEISAVOS</v>
      </c>
      <c r="I133" s="50"/>
      <c r="J133" s="926"/>
      <c r="K133" s="56" t="str">
        <f>Idiomas!$D$198&amp;"-"&amp;ROWS($L$130:L133)</f>
        <v>Dieciseisavofinalista-4</v>
      </c>
      <c r="L133" s="53"/>
      <c r="M133" s="55" t="str">
        <f ca="1">WORLDCUP!AA104</f>
        <v>1F</v>
      </c>
      <c r="N133" s="25"/>
      <c r="O133" s="25"/>
      <c r="P133" s="25"/>
      <c r="Q133" s="25"/>
      <c r="R133" s="110"/>
      <c r="S133" s="854" t="s">
        <v>111</v>
      </c>
      <c r="T133" s="73">
        <f t="shared" ca="1" si="387"/>
        <v>0</v>
      </c>
      <c r="U133" s="64"/>
      <c r="V133" s="793" t="s">
        <v>1263</v>
      </c>
      <c r="W133" s="73">
        <f t="shared" ca="1" si="388"/>
        <v>0</v>
      </c>
      <c r="X133" s="64"/>
      <c r="Y133" s="798" t="s">
        <v>1263</v>
      </c>
      <c r="Z133" s="73">
        <f t="shared" ca="1" si="389"/>
        <v>0</v>
      </c>
      <c r="AA133" s="64"/>
      <c r="AB133" s="803" t="s">
        <v>1263</v>
      </c>
      <c r="AC133" s="73">
        <f t="shared" ca="1" si="390"/>
        <v>0</v>
      </c>
      <c r="AD133" s="64"/>
      <c r="AE133" s="808" t="s">
        <v>111</v>
      </c>
      <c r="AF133" s="73">
        <f t="shared" ca="1" si="391"/>
        <v>0</v>
      </c>
      <c r="AG133" s="64"/>
      <c r="AH133" s="74" t="s">
        <v>111</v>
      </c>
      <c r="AI133" s="73">
        <f t="shared" ca="1" si="392"/>
        <v>0</v>
      </c>
      <c r="AJ133" s="64"/>
      <c r="AK133" s="813" t="s">
        <v>111</v>
      </c>
      <c r="AL133" s="73">
        <f t="shared" ca="1" si="393"/>
        <v>0</v>
      </c>
      <c r="AM133" s="64"/>
      <c r="AN133" s="818" t="s">
        <v>111</v>
      </c>
      <c r="AO133" s="73">
        <f t="shared" ca="1" si="394"/>
        <v>0</v>
      </c>
      <c r="AP133" s="64"/>
      <c r="AQ133" s="823" t="s">
        <v>111</v>
      </c>
      <c r="AR133" s="73">
        <f t="shared" ca="1" si="395"/>
        <v>0</v>
      </c>
      <c r="AS133" s="64"/>
      <c r="AT133" s="828" t="s">
        <v>111</v>
      </c>
      <c r="AU133" s="73">
        <f t="shared" ca="1" si="396"/>
        <v>0</v>
      </c>
      <c r="AV133" s="64"/>
      <c r="AW133" s="832" t="s">
        <v>111</v>
      </c>
      <c r="AX133" s="73">
        <f t="shared" ca="1" si="397"/>
        <v>0</v>
      </c>
      <c r="AY133" s="64"/>
      <c r="AZ133" s="838" t="s">
        <v>111</v>
      </c>
      <c r="BA133" s="73">
        <f t="shared" ca="1" si="398"/>
        <v>0</v>
      </c>
      <c r="BB133" s="64"/>
      <c r="BC133" s="845" t="s">
        <v>111</v>
      </c>
      <c r="BD133" s="73">
        <f t="shared" ca="1" si="399"/>
        <v>0</v>
      </c>
      <c r="BE133" s="64"/>
      <c r="BF133" s="849" t="s">
        <v>111</v>
      </c>
      <c r="BG133" s="73">
        <f t="shared" ca="1" si="400"/>
        <v>0</v>
      </c>
      <c r="BH133" s="64"/>
      <c r="BI133" s="859" t="s">
        <v>111</v>
      </c>
      <c r="BJ133" s="73">
        <f t="shared" ca="1" si="401"/>
        <v>0</v>
      </c>
      <c r="BK133" s="64"/>
      <c r="BL133" s="864" t="s">
        <v>111</v>
      </c>
      <c r="BM133" s="73">
        <f t="shared" ca="1" si="402"/>
        <v>0</v>
      </c>
      <c r="BN133" s="64"/>
      <c r="BO133" s="869" t="s">
        <v>111</v>
      </c>
      <c r="BP133" s="73">
        <f t="shared" ca="1" si="403"/>
        <v>0</v>
      </c>
      <c r="BQ133" s="64"/>
      <c r="BR133" s="838" t="s">
        <v>111</v>
      </c>
      <c r="BS133" s="73">
        <f t="shared" ca="1" si="404"/>
        <v>0</v>
      </c>
      <c r="BT133" s="64"/>
      <c r="BU133" s="873" t="s">
        <v>111</v>
      </c>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4">
        <f ca="1">VLOOKUP(H134,Equipos!$Q$1:$R$25,2,0)</f>
        <v>19</v>
      </c>
      <c r="H134" s="446" t="str">
        <f>Idiomas!$D$137</f>
        <v>CLASIFICADOS PARA DIECISEISAVOS</v>
      </c>
      <c r="I134" s="50"/>
      <c r="J134" s="926"/>
      <c r="K134" s="56" t="str">
        <f>Idiomas!$D$198&amp;"-"&amp;ROWS($L$130:L134)</f>
        <v>Dieciseisavofinalista-5</v>
      </c>
      <c r="L134" s="53"/>
      <c r="M134" s="55" t="str">
        <f ca="1">WORLDCUP!AA105</f>
        <v>2E</v>
      </c>
      <c r="N134" s="25"/>
      <c r="O134" s="25"/>
      <c r="P134" s="25"/>
      <c r="Q134" s="25"/>
      <c r="R134" s="110"/>
      <c r="S134" s="854" t="s">
        <v>1633</v>
      </c>
      <c r="T134" s="73">
        <f t="shared" ca="1" si="387"/>
        <v>0</v>
      </c>
      <c r="U134" s="64"/>
      <c r="V134" s="793" t="s">
        <v>77</v>
      </c>
      <c r="W134" s="73">
        <f t="shared" ca="1" si="388"/>
        <v>0</v>
      </c>
      <c r="X134" s="64"/>
      <c r="Y134" s="798" t="s">
        <v>1261</v>
      </c>
      <c r="Z134" s="73">
        <f t="shared" ca="1" si="389"/>
        <v>0</v>
      </c>
      <c r="AA134" s="64"/>
      <c r="AB134" s="803" t="s">
        <v>77</v>
      </c>
      <c r="AC134" s="73">
        <f t="shared" ca="1" si="390"/>
        <v>0</v>
      </c>
      <c r="AD134" s="64"/>
      <c r="AE134" s="808" t="s">
        <v>1633</v>
      </c>
      <c r="AF134" s="73">
        <f t="shared" ca="1" si="391"/>
        <v>0</v>
      </c>
      <c r="AG134" s="64"/>
      <c r="AH134" s="74" t="s">
        <v>1261</v>
      </c>
      <c r="AI134" s="73">
        <f t="shared" ca="1" si="392"/>
        <v>0</v>
      </c>
      <c r="AJ134" s="64"/>
      <c r="AK134" s="813" t="s">
        <v>1261</v>
      </c>
      <c r="AL134" s="73">
        <f t="shared" ca="1" si="393"/>
        <v>0</v>
      </c>
      <c r="AM134" s="64"/>
      <c r="AN134" s="818" t="s">
        <v>1261</v>
      </c>
      <c r="AO134" s="73">
        <f t="shared" ca="1" si="394"/>
        <v>0</v>
      </c>
      <c r="AP134" s="64"/>
      <c r="AQ134" s="823" t="s">
        <v>1261</v>
      </c>
      <c r="AR134" s="73">
        <f t="shared" ca="1" si="395"/>
        <v>0</v>
      </c>
      <c r="AS134" s="64"/>
      <c r="AT134" s="828" t="s">
        <v>1261</v>
      </c>
      <c r="AU134" s="73">
        <f t="shared" ca="1" si="396"/>
        <v>0</v>
      </c>
      <c r="AV134" s="64"/>
      <c r="AW134" s="832" t="s">
        <v>1261</v>
      </c>
      <c r="AX134" s="73">
        <f t="shared" ca="1" si="397"/>
        <v>0</v>
      </c>
      <c r="AY134" s="64"/>
      <c r="AZ134" s="838" t="s">
        <v>1261</v>
      </c>
      <c r="BA134" s="73">
        <f t="shared" ca="1" si="398"/>
        <v>0</v>
      </c>
      <c r="BB134" s="64"/>
      <c r="BC134" s="845" t="s">
        <v>1261</v>
      </c>
      <c r="BD134" s="73">
        <f t="shared" ca="1" si="399"/>
        <v>0</v>
      </c>
      <c r="BE134" s="64"/>
      <c r="BF134" s="849" t="s">
        <v>1633</v>
      </c>
      <c r="BG134" s="73">
        <f t="shared" ca="1" si="400"/>
        <v>0</v>
      </c>
      <c r="BH134" s="64"/>
      <c r="BI134" s="859" t="s">
        <v>77</v>
      </c>
      <c r="BJ134" s="73">
        <f t="shared" ca="1" si="401"/>
        <v>0</v>
      </c>
      <c r="BK134" s="64"/>
      <c r="BL134" s="864" t="s">
        <v>1261</v>
      </c>
      <c r="BM134" s="73">
        <f t="shared" ca="1" si="402"/>
        <v>0</v>
      </c>
      <c r="BN134" s="64"/>
      <c r="BO134" s="869" t="s">
        <v>1261</v>
      </c>
      <c r="BP134" s="73">
        <f t="shared" ca="1" si="403"/>
        <v>0</v>
      </c>
      <c r="BQ134" s="64"/>
      <c r="BR134" s="838" t="s">
        <v>1261</v>
      </c>
      <c r="BS134" s="73">
        <f t="shared" ca="1" si="404"/>
        <v>0</v>
      </c>
      <c r="BT134" s="64"/>
      <c r="BU134" s="873" t="s">
        <v>1633</v>
      </c>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4">
        <f ca="1">VLOOKUP(H135,Equipos!$Q$1:$R$25,2,0)</f>
        <v>19</v>
      </c>
      <c r="H135" s="446" t="str">
        <f>Idiomas!$D$137</f>
        <v>CLASIFICADOS PARA DIECISEISAVOS</v>
      </c>
      <c r="I135" s="50"/>
      <c r="J135" s="926"/>
      <c r="K135" s="56" t="str">
        <f>Idiomas!$D$198&amp;"-"&amp;ROWS($L$130:L135)</f>
        <v>Dieciseisavofinalista-6</v>
      </c>
      <c r="L135" s="53"/>
      <c r="M135" s="55" t="str">
        <f ca="1">WORLDCUP!AA106</f>
        <v>1I</v>
      </c>
      <c r="N135" s="25"/>
      <c r="O135" s="25"/>
      <c r="P135" s="25"/>
      <c r="Q135" s="25"/>
      <c r="R135" s="110"/>
      <c r="S135" s="854" t="s">
        <v>74</v>
      </c>
      <c r="T135" s="73">
        <f t="shared" ca="1" si="387"/>
        <v>0</v>
      </c>
      <c r="U135" s="64"/>
      <c r="V135" s="793" t="s">
        <v>74</v>
      </c>
      <c r="W135" s="73">
        <f t="shared" ca="1" si="388"/>
        <v>0</v>
      </c>
      <c r="X135" s="64"/>
      <c r="Y135" s="798" t="s">
        <v>74</v>
      </c>
      <c r="Z135" s="73">
        <f t="shared" ca="1" si="389"/>
        <v>0</v>
      </c>
      <c r="AA135" s="64"/>
      <c r="AB135" s="803" t="s">
        <v>135</v>
      </c>
      <c r="AC135" s="73">
        <f t="shared" ca="1" si="390"/>
        <v>0</v>
      </c>
      <c r="AD135" s="64"/>
      <c r="AE135" s="808" t="s">
        <v>74</v>
      </c>
      <c r="AF135" s="73">
        <f t="shared" ca="1" si="391"/>
        <v>0</v>
      </c>
      <c r="AG135" s="64"/>
      <c r="AH135" s="74" t="s">
        <v>74</v>
      </c>
      <c r="AI135" s="73">
        <f t="shared" ca="1" si="392"/>
        <v>0</v>
      </c>
      <c r="AJ135" s="64"/>
      <c r="AK135" s="813" t="s">
        <v>74</v>
      </c>
      <c r="AL135" s="73">
        <f t="shared" ca="1" si="393"/>
        <v>0</v>
      </c>
      <c r="AM135" s="64"/>
      <c r="AN135" s="818" t="s">
        <v>74</v>
      </c>
      <c r="AO135" s="73">
        <f t="shared" ca="1" si="394"/>
        <v>0</v>
      </c>
      <c r="AP135" s="64"/>
      <c r="AQ135" s="823" t="s">
        <v>74</v>
      </c>
      <c r="AR135" s="73">
        <f t="shared" ca="1" si="395"/>
        <v>0</v>
      </c>
      <c r="AS135" s="64"/>
      <c r="AT135" s="828" t="s">
        <v>74</v>
      </c>
      <c r="AU135" s="73">
        <f t="shared" ca="1" si="396"/>
        <v>0</v>
      </c>
      <c r="AV135" s="64"/>
      <c r="AW135" s="832" t="s">
        <v>1757</v>
      </c>
      <c r="AX135" s="73">
        <f t="shared" ca="1" si="397"/>
        <v>0</v>
      </c>
      <c r="AY135" s="64"/>
      <c r="AZ135" s="838" t="s">
        <v>74</v>
      </c>
      <c r="BA135" s="73">
        <f t="shared" ca="1" si="398"/>
        <v>0</v>
      </c>
      <c r="BB135" s="64"/>
      <c r="BC135" s="845" t="s">
        <v>74</v>
      </c>
      <c r="BD135" s="73">
        <f t="shared" ca="1" si="399"/>
        <v>0</v>
      </c>
      <c r="BE135" s="64"/>
      <c r="BF135" s="849" t="s">
        <v>74</v>
      </c>
      <c r="BG135" s="73">
        <f t="shared" ca="1" si="400"/>
        <v>0</v>
      </c>
      <c r="BH135" s="64"/>
      <c r="BI135" s="859" t="s">
        <v>74</v>
      </c>
      <c r="BJ135" s="73">
        <f t="shared" ca="1" si="401"/>
        <v>0</v>
      </c>
      <c r="BK135" s="64"/>
      <c r="BL135" s="864" t="s">
        <v>74</v>
      </c>
      <c r="BM135" s="73">
        <f t="shared" ca="1" si="402"/>
        <v>0</v>
      </c>
      <c r="BN135" s="64"/>
      <c r="BO135" s="869" t="s">
        <v>74</v>
      </c>
      <c r="BP135" s="73">
        <f t="shared" ca="1" si="403"/>
        <v>0</v>
      </c>
      <c r="BQ135" s="64"/>
      <c r="BR135" s="838" t="s">
        <v>74</v>
      </c>
      <c r="BS135" s="73">
        <f t="shared" ca="1" si="404"/>
        <v>0</v>
      </c>
      <c r="BT135" s="64"/>
      <c r="BU135" s="873" t="s">
        <v>74</v>
      </c>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4">
        <f ca="1">VLOOKUP(H136,Equipos!$Q$1:$R$25,2,0)</f>
        <v>19</v>
      </c>
      <c r="H136" s="446" t="str">
        <f>Idiomas!$D$137</f>
        <v>CLASIFICADOS PARA DIECISEISAVOS</v>
      </c>
      <c r="I136" s="50"/>
      <c r="J136" s="926"/>
      <c r="K136" s="56" t="str">
        <f>Idiomas!$D$198&amp;"-"&amp;ROWS($L$130:L136)</f>
        <v>Dieciseisavofinalista-7</v>
      </c>
      <c r="L136" s="53"/>
      <c r="M136" s="55" t="str">
        <f ca="1">WORLDCUP!AA107</f>
        <v>1A</v>
      </c>
      <c r="N136" s="25"/>
      <c r="O136" s="25"/>
      <c r="P136" s="25"/>
      <c r="Q136" s="25"/>
      <c r="R136" s="110"/>
      <c r="S136" s="854" t="s">
        <v>1265</v>
      </c>
      <c r="T136" s="73">
        <f t="shared" ca="1" si="387"/>
        <v>0</v>
      </c>
      <c r="U136" s="64"/>
      <c r="V136" s="793" t="s">
        <v>1265</v>
      </c>
      <c r="W136" s="73">
        <f t="shared" ca="1" si="388"/>
        <v>0</v>
      </c>
      <c r="X136" s="64"/>
      <c r="Y136" s="798" t="s">
        <v>1265</v>
      </c>
      <c r="Z136" s="73">
        <f t="shared" ca="1" si="389"/>
        <v>0</v>
      </c>
      <c r="AA136" s="64"/>
      <c r="AB136" s="803" t="s">
        <v>1260</v>
      </c>
      <c r="AC136" s="73">
        <f t="shared" ca="1" si="390"/>
        <v>0</v>
      </c>
      <c r="AD136" s="64"/>
      <c r="AE136" s="808" t="s">
        <v>1843</v>
      </c>
      <c r="AF136" s="73">
        <f t="shared" ca="1" si="391"/>
        <v>0</v>
      </c>
      <c r="AG136" s="64"/>
      <c r="AH136" s="74" t="s">
        <v>1265</v>
      </c>
      <c r="AI136" s="73">
        <f t="shared" ca="1" si="392"/>
        <v>0</v>
      </c>
      <c r="AJ136" s="64"/>
      <c r="AK136" s="813" t="s">
        <v>1265</v>
      </c>
      <c r="AL136" s="73">
        <f t="shared" ca="1" si="393"/>
        <v>0</v>
      </c>
      <c r="AM136" s="64"/>
      <c r="AN136" s="818" t="s">
        <v>1260</v>
      </c>
      <c r="AO136" s="73">
        <f t="shared" ca="1" si="394"/>
        <v>0</v>
      </c>
      <c r="AP136" s="64"/>
      <c r="AQ136" s="823" t="s">
        <v>1265</v>
      </c>
      <c r="AR136" s="73">
        <f t="shared" ca="1" si="395"/>
        <v>0</v>
      </c>
      <c r="AS136" s="64"/>
      <c r="AT136" s="828" t="s">
        <v>1265</v>
      </c>
      <c r="AU136" s="73">
        <f t="shared" ca="1" si="396"/>
        <v>0</v>
      </c>
      <c r="AV136" s="64"/>
      <c r="AW136" s="832" t="s">
        <v>1843</v>
      </c>
      <c r="AX136" s="73">
        <f t="shared" ca="1" si="397"/>
        <v>0</v>
      </c>
      <c r="AY136" s="64"/>
      <c r="AZ136" s="838" t="s">
        <v>1265</v>
      </c>
      <c r="BA136" s="73">
        <f t="shared" ca="1" si="398"/>
        <v>0</v>
      </c>
      <c r="BB136" s="64"/>
      <c r="BC136" s="845" t="s">
        <v>1265</v>
      </c>
      <c r="BD136" s="73">
        <f t="shared" ca="1" si="399"/>
        <v>0</v>
      </c>
      <c r="BE136" s="64"/>
      <c r="BF136" s="849" t="s">
        <v>1265</v>
      </c>
      <c r="BG136" s="73">
        <f t="shared" ca="1" si="400"/>
        <v>0</v>
      </c>
      <c r="BH136" s="64"/>
      <c r="BI136" s="859" t="s">
        <v>1265</v>
      </c>
      <c r="BJ136" s="73">
        <f t="shared" ca="1" si="401"/>
        <v>0</v>
      </c>
      <c r="BK136" s="64"/>
      <c r="BL136" s="864" t="s">
        <v>1265</v>
      </c>
      <c r="BM136" s="73">
        <f t="shared" ca="1" si="402"/>
        <v>0</v>
      </c>
      <c r="BN136" s="64"/>
      <c r="BO136" s="869" t="s">
        <v>1265</v>
      </c>
      <c r="BP136" s="73">
        <f t="shared" ca="1" si="403"/>
        <v>0</v>
      </c>
      <c r="BQ136" s="64"/>
      <c r="BR136" s="838" t="s">
        <v>1265</v>
      </c>
      <c r="BS136" s="73">
        <f t="shared" ca="1" si="404"/>
        <v>0</v>
      </c>
      <c r="BT136" s="64"/>
      <c r="BU136" s="873" t="s">
        <v>1265</v>
      </c>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4">
        <f ca="1">VLOOKUP(H137,Equipos!$Q$1:$R$25,2,0)</f>
        <v>19</v>
      </c>
      <c r="H137" s="446" t="str">
        <f>Idiomas!$D$137</f>
        <v>CLASIFICADOS PARA DIECISEISAVOS</v>
      </c>
      <c r="I137" s="50"/>
      <c r="J137" s="926"/>
      <c r="K137" s="56" t="str">
        <f>Idiomas!$D$198&amp;"-"&amp;ROWS($L$130:L137)</f>
        <v>Dieciseisavofinalista-8</v>
      </c>
      <c r="L137" s="53"/>
      <c r="M137" s="55" t="str">
        <f ca="1">WORLDCUP!AA108</f>
        <v>1L</v>
      </c>
      <c r="N137" s="25"/>
      <c r="O137" s="25"/>
      <c r="P137" s="25"/>
      <c r="Q137" s="25"/>
      <c r="R137" s="110"/>
      <c r="S137" s="854" t="s">
        <v>76</v>
      </c>
      <c r="T137" s="73">
        <f t="shared" ca="1" si="387"/>
        <v>0</v>
      </c>
      <c r="U137" s="64"/>
      <c r="V137" s="793" t="s">
        <v>1551</v>
      </c>
      <c r="W137" s="73">
        <f t="shared" ca="1" si="388"/>
        <v>0</v>
      </c>
      <c r="X137" s="64"/>
      <c r="Y137" s="798" t="s">
        <v>76</v>
      </c>
      <c r="Z137" s="73">
        <f t="shared" ca="1" si="389"/>
        <v>0</v>
      </c>
      <c r="AA137" s="64"/>
      <c r="AB137" s="803" t="s">
        <v>76</v>
      </c>
      <c r="AC137" s="73">
        <f t="shared" ca="1" si="390"/>
        <v>0</v>
      </c>
      <c r="AD137" s="64"/>
      <c r="AE137" s="808" t="s">
        <v>76</v>
      </c>
      <c r="AF137" s="73">
        <f t="shared" ca="1" si="391"/>
        <v>0</v>
      </c>
      <c r="AG137" s="64"/>
      <c r="AH137" s="74" t="s">
        <v>76</v>
      </c>
      <c r="AI137" s="73">
        <f t="shared" ca="1" si="392"/>
        <v>0</v>
      </c>
      <c r="AJ137" s="64"/>
      <c r="AK137" s="813" t="s">
        <v>76</v>
      </c>
      <c r="AL137" s="73">
        <f t="shared" ca="1" si="393"/>
        <v>0</v>
      </c>
      <c r="AM137" s="64"/>
      <c r="AN137" s="818" t="s">
        <v>76</v>
      </c>
      <c r="AO137" s="73">
        <f t="shared" ca="1" si="394"/>
        <v>0</v>
      </c>
      <c r="AP137" s="64"/>
      <c r="AQ137" s="823" t="s">
        <v>76</v>
      </c>
      <c r="AR137" s="73">
        <f t="shared" ca="1" si="395"/>
        <v>0</v>
      </c>
      <c r="AS137" s="64"/>
      <c r="AT137" s="828" t="s">
        <v>76</v>
      </c>
      <c r="AU137" s="73">
        <f t="shared" ca="1" si="396"/>
        <v>0</v>
      </c>
      <c r="AV137" s="64"/>
      <c r="AW137" s="832" t="s">
        <v>76</v>
      </c>
      <c r="AX137" s="73">
        <f t="shared" ca="1" si="397"/>
        <v>0</v>
      </c>
      <c r="AY137" s="64"/>
      <c r="AZ137" s="838" t="s">
        <v>76</v>
      </c>
      <c r="BA137" s="73">
        <f t="shared" ca="1" si="398"/>
        <v>0</v>
      </c>
      <c r="BB137" s="64"/>
      <c r="BC137" s="845" t="s">
        <v>76</v>
      </c>
      <c r="BD137" s="73">
        <f t="shared" ca="1" si="399"/>
        <v>0</v>
      </c>
      <c r="BE137" s="64"/>
      <c r="BF137" s="849" t="s">
        <v>76</v>
      </c>
      <c r="BG137" s="73">
        <f t="shared" ca="1" si="400"/>
        <v>0</v>
      </c>
      <c r="BH137" s="64"/>
      <c r="BI137" s="859" t="s">
        <v>76</v>
      </c>
      <c r="BJ137" s="73">
        <f t="shared" ca="1" si="401"/>
        <v>0</v>
      </c>
      <c r="BK137" s="64"/>
      <c r="BL137" s="864" t="s">
        <v>78</v>
      </c>
      <c r="BM137" s="73">
        <f t="shared" ca="1" si="402"/>
        <v>0</v>
      </c>
      <c r="BN137" s="64"/>
      <c r="BO137" s="869" t="s">
        <v>76</v>
      </c>
      <c r="BP137" s="73">
        <f t="shared" ca="1" si="403"/>
        <v>0</v>
      </c>
      <c r="BQ137" s="64"/>
      <c r="BR137" s="838" t="s">
        <v>76</v>
      </c>
      <c r="BS137" s="73">
        <f t="shared" ca="1" si="404"/>
        <v>0</v>
      </c>
      <c r="BT137" s="64"/>
      <c r="BU137" s="873" t="s">
        <v>76</v>
      </c>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4">
        <f ca="1">VLOOKUP(H138,Equipos!$Q$1:$R$25,2,0)</f>
        <v>19</v>
      </c>
      <c r="H138" s="446" t="str">
        <f>Idiomas!$D$137</f>
        <v>CLASIFICADOS PARA DIECISEISAVOS</v>
      </c>
      <c r="I138" s="50"/>
      <c r="J138" s="926"/>
      <c r="K138" s="56" t="str">
        <f>Idiomas!$D$198&amp;"-"&amp;ROWS($L$130:L138)</f>
        <v>Dieciseisavofinalista-9</v>
      </c>
      <c r="L138" s="53"/>
      <c r="M138" s="55" t="str">
        <f ca="1">WORLDCUP!AA109</f>
        <v>1G</v>
      </c>
      <c r="N138" s="25"/>
      <c r="O138" s="25"/>
      <c r="P138" s="25"/>
      <c r="Q138" s="25"/>
      <c r="R138" s="110"/>
      <c r="S138" s="854" t="s">
        <v>110</v>
      </c>
      <c r="T138" s="73">
        <f t="shared" ca="1" si="387"/>
        <v>0</v>
      </c>
      <c r="U138" s="64"/>
      <c r="V138" s="793" t="s">
        <v>1266</v>
      </c>
      <c r="W138" s="73">
        <f t="shared" ca="1" si="388"/>
        <v>0</v>
      </c>
      <c r="X138" s="64"/>
      <c r="Y138" s="798" t="s">
        <v>110</v>
      </c>
      <c r="Z138" s="73">
        <f t="shared" ca="1" si="389"/>
        <v>0</v>
      </c>
      <c r="AA138" s="64"/>
      <c r="AB138" s="803" t="s">
        <v>110</v>
      </c>
      <c r="AC138" s="73">
        <f t="shared" ca="1" si="390"/>
        <v>0</v>
      </c>
      <c r="AD138" s="64"/>
      <c r="AE138" s="808" t="s">
        <v>110</v>
      </c>
      <c r="AF138" s="73">
        <f t="shared" ca="1" si="391"/>
        <v>0</v>
      </c>
      <c r="AG138" s="64"/>
      <c r="AH138" s="74" t="s">
        <v>110</v>
      </c>
      <c r="AI138" s="73">
        <f t="shared" ca="1" si="392"/>
        <v>0</v>
      </c>
      <c r="AJ138" s="64"/>
      <c r="AK138" s="813" t="s">
        <v>110</v>
      </c>
      <c r="AL138" s="73">
        <f t="shared" ca="1" si="393"/>
        <v>0</v>
      </c>
      <c r="AM138" s="64"/>
      <c r="AN138" s="818" t="s">
        <v>110</v>
      </c>
      <c r="AO138" s="73">
        <f t="shared" ca="1" si="394"/>
        <v>0</v>
      </c>
      <c r="AP138" s="64"/>
      <c r="AQ138" s="823" t="s">
        <v>110</v>
      </c>
      <c r="AR138" s="73">
        <f t="shared" ca="1" si="395"/>
        <v>0</v>
      </c>
      <c r="AS138" s="64"/>
      <c r="AT138" s="828" t="s">
        <v>110</v>
      </c>
      <c r="AU138" s="73">
        <f t="shared" ca="1" si="396"/>
        <v>0</v>
      </c>
      <c r="AV138" s="64"/>
      <c r="AW138" s="832" t="s">
        <v>110</v>
      </c>
      <c r="AX138" s="73">
        <f t="shared" ca="1" si="397"/>
        <v>0</v>
      </c>
      <c r="AY138" s="64"/>
      <c r="AZ138" s="838" t="s">
        <v>110</v>
      </c>
      <c r="BA138" s="73">
        <f t="shared" ca="1" si="398"/>
        <v>0</v>
      </c>
      <c r="BB138" s="64"/>
      <c r="BC138" s="845" t="s">
        <v>110</v>
      </c>
      <c r="BD138" s="73">
        <f t="shared" ca="1" si="399"/>
        <v>0</v>
      </c>
      <c r="BE138" s="64"/>
      <c r="BF138" s="849" t="s">
        <v>110</v>
      </c>
      <c r="BG138" s="73">
        <f t="shared" ca="1" si="400"/>
        <v>0</v>
      </c>
      <c r="BH138" s="64"/>
      <c r="BI138" s="859" t="s">
        <v>110</v>
      </c>
      <c r="BJ138" s="73">
        <f t="shared" ca="1" si="401"/>
        <v>0</v>
      </c>
      <c r="BK138" s="64"/>
      <c r="BL138" s="864" t="s">
        <v>110</v>
      </c>
      <c r="BM138" s="73">
        <f t="shared" ca="1" si="402"/>
        <v>0</v>
      </c>
      <c r="BN138" s="64"/>
      <c r="BO138" s="869" t="s">
        <v>110</v>
      </c>
      <c r="BP138" s="73">
        <f t="shared" ca="1" si="403"/>
        <v>0</v>
      </c>
      <c r="BQ138" s="64"/>
      <c r="BR138" s="838" t="s">
        <v>110</v>
      </c>
      <c r="BS138" s="73">
        <f t="shared" ca="1" si="404"/>
        <v>0</v>
      </c>
      <c r="BT138" s="64"/>
      <c r="BU138" s="873" t="s">
        <v>110</v>
      </c>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4">
        <f ca="1">VLOOKUP(H139,Equipos!$Q$1:$R$25,2,0)</f>
        <v>19</v>
      </c>
      <c r="H139" s="446" t="str">
        <f>Idiomas!$D$137</f>
        <v>CLASIFICADOS PARA DIECISEISAVOS</v>
      </c>
      <c r="I139" s="50"/>
      <c r="J139" s="926"/>
      <c r="K139" s="56" t="str">
        <f>Idiomas!$D$198&amp;"-"&amp;ROWS($L$130:L139)</f>
        <v>Dieciseisavofinalista-10</v>
      </c>
      <c r="L139" s="53"/>
      <c r="M139" s="55" t="str">
        <f ca="1">WORLDCUP!AA110</f>
        <v>1D</v>
      </c>
      <c r="N139" s="25"/>
      <c r="O139" s="25"/>
      <c r="P139" s="25"/>
      <c r="Q139" s="25"/>
      <c r="R139" s="110"/>
      <c r="S139" s="854" t="s">
        <v>1835</v>
      </c>
      <c r="T139" s="73">
        <f t="shared" ca="1" si="387"/>
        <v>0</v>
      </c>
      <c r="U139" s="64"/>
      <c r="V139" s="793" t="s">
        <v>1319</v>
      </c>
      <c r="W139" s="73">
        <f t="shared" ca="1" si="388"/>
        <v>0</v>
      </c>
      <c r="X139" s="64"/>
      <c r="Y139" s="798" t="s">
        <v>497</v>
      </c>
      <c r="Z139" s="73">
        <f t="shared" ca="1" si="389"/>
        <v>0</v>
      </c>
      <c r="AA139" s="64"/>
      <c r="AB139" s="803" t="s">
        <v>1835</v>
      </c>
      <c r="AC139" s="73">
        <f t="shared" ca="1" si="390"/>
        <v>0</v>
      </c>
      <c r="AD139" s="64"/>
      <c r="AE139" s="808" t="s">
        <v>1835</v>
      </c>
      <c r="AF139" s="73">
        <f t="shared" ca="1" si="391"/>
        <v>0</v>
      </c>
      <c r="AG139" s="64"/>
      <c r="AH139" s="74" t="s">
        <v>1835</v>
      </c>
      <c r="AI139" s="73">
        <f t="shared" ca="1" si="392"/>
        <v>0</v>
      </c>
      <c r="AJ139" s="64"/>
      <c r="AK139" s="813" t="s">
        <v>1835</v>
      </c>
      <c r="AL139" s="73">
        <f t="shared" ca="1" si="393"/>
        <v>0</v>
      </c>
      <c r="AM139" s="64"/>
      <c r="AN139" s="818" t="s">
        <v>1319</v>
      </c>
      <c r="AO139" s="73">
        <f t="shared" ca="1" si="394"/>
        <v>0</v>
      </c>
      <c r="AP139" s="64"/>
      <c r="AQ139" s="823" t="s">
        <v>1835</v>
      </c>
      <c r="AR139" s="73">
        <f t="shared" ca="1" si="395"/>
        <v>0</v>
      </c>
      <c r="AS139" s="64"/>
      <c r="AT139" s="828" t="s">
        <v>497</v>
      </c>
      <c r="AU139" s="73">
        <f t="shared" ca="1" si="396"/>
        <v>0</v>
      </c>
      <c r="AV139" s="64"/>
      <c r="AW139" s="832" t="s">
        <v>497</v>
      </c>
      <c r="AX139" s="73">
        <f t="shared" ca="1" si="397"/>
        <v>0</v>
      </c>
      <c r="AY139" s="64"/>
      <c r="AZ139" s="838" t="s">
        <v>497</v>
      </c>
      <c r="BA139" s="73">
        <f t="shared" ca="1" si="398"/>
        <v>0</v>
      </c>
      <c r="BB139" s="64"/>
      <c r="BC139" s="845" t="s">
        <v>1835</v>
      </c>
      <c r="BD139" s="73">
        <f t="shared" ca="1" si="399"/>
        <v>0</v>
      </c>
      <c r="BE139" s="64"/>
      <c r="BF139" s="849" t="s">
        <v>1835</v>
      </c>
      <c r="BG139" s="73">
        <f t="shared" ca="1" si="400"/>
        <v>0</v>
      </c>
      <c r="BH139" s="64"/>
      <c r="BI139" s="859" t="s">
        <v>1319</v>
      </c>
      <c r="BJ139" s="73">
        <f t="shared" ca="1" si="401"/>
        <v>0</v>
      </c>
      <c r="BK139" s="64"/>
      <c r="BL139" s="864" t="s">
        <v>1835</v>
      </c>
      <c r="BM139" s="73">
        <f t="shared" ca="1" si="402"/>
        <v>0</v>
      </c>
      <c r="BN139" s="64"/>
      <c r="BO139" s="869" t="s">
        <v>1835</v>
      </c>
      <c r="BP139" s="73">
        <f t="shared" ca="1" si="403"/>
        <v>0</v>
      </c>
      <c r="BQ139" s="64"/>
      <c r="BR139" s="838" t="s">
        <v>1835</v>
      </c>
      <c r="BS139" s="73">
        <f t="shared" ca="1" si="404"/>
        <v>0</v>
      </c>
      <c r="BT139" s="64"/>
      <c r="BU139" s="873" t="s">
        <v>497</v>
      </c>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4">
        <f ca="1">VLOOKUP(H140,Equipos!$Q$1:$R$25,2,0)</f>
        <v>19</v>
      </c>
      <c r="H140" s="446" t="str">
        <f>Idiomas!$D$137</f>
        <v>CLASIFICADOS PARA DIECISEISAVOS</v>
      </c>
      <c r="I140" s="50"/>
      <c r="J140" s="926"/>
      <c r="K140" s="56" t="str">
        <f>Idiomas!$D$198&amp;"-"&amp;ROWS($L$130:L140)</f>
        <v>Dieciseisavofinalista-11</v>
      </c>
      <c r="L140" s="53"/>
      <c r="M140" s="55" t="str">
        <f ca="1">WORLDCUP!AA111</f>
        <v>1H</v>
      </c>
      <c r="N140" s="25"/>
      <c r="O140" s="25"/>
      <c r="P140" s="25"/>
      <c r="Q140" s="25"/>
      <c r="R140" s="110"/>
      <c r="S140" s="854" t="s">
        <v>38</v>
      </c>
      <c r="T140" s="73">
        <f t="shared" ca="1" si="387"/>
        <v>0</v>
      </c>
      <c r="U140" s="64"/>
      <c r="V140" s="793" t="s">
        <v>1318</v>
      </c>
      <c r="W140" s="73">
        <f t="shared" ca="1" si="388"/>
        <v>0</v>
      </c>
      <c r="X140" s="64"/>
      <c r="Y140" s="798" t="s">
        <v>38</v>
      </c>
      <c r="Z140" s="73">
        <f t="shared" ca="1" si="389"/>
        <v>0</v>
      </c>
      <c r="AA140" s="64"/>
      <c r="AB140" s="803" t="s">
        <v>38</v>
      </c>
      <c r="AC140" s="73">
        <f t="shared" ca="1" si="390"/>
        <v>0</v>
      </c>
      <c r="AD140" s="64"/>
      <c r="AE140" s="808" t="s">
        <v>38</v>
      </c>
      <c r="AF140" s="73">
        <f t="shared" ca="1" si="391"/>
        <v>0</v>
      </c>
      <c r="AG140" s="64"/>
      <c r="AH140" s="74" t="s">
        <v>38</v>
      </c>
      <c r="AI140" s="73">
        <f t="shared" ca="1" si="392"/>
        <v>0</v>
      </c>
      <c r="AJ140" s="64"/>
      <c r="AK140" s="813" t="s">
        <v>38</v>
      </c>
      <c r="AL140" s="73">
        <f t="shared" ca="1" si="393"/>
        <v>0</v>
      </c>
      <c r="AM140" s="64"/>
      <c r="AN140" s="818" t="s">
        <v>38</v>
      </c>
      <c r="AO140" s="73">
        <f t="shared" ca="1" si="394"/>
        <v>0</v>
      </c>
      <c r="AP140" s="64"/>
      <c r="AQ140" s="823" t="s">
        <v>38</v>
      </c>
      <c r="AR140" s="73">
        <f t="shared" ca="1" si="395"/>
        <v>0</v>
      </c>
      <c r="AS140" s="64"/>
      <c r="AT140" s="828" t="s">
        <v>38</v>
      </c>
      <c r="AU140" s="73">
        <f t="shared" ca="1" si="396"/>
        <v>0</v>
      </c>
      <c r="AV140" s="64"/>
      <c r="AW140" s="832" t="s">
        <v>38</v>
      </c>
      <c r="AX140" s="73">
        <f t="shared" ca="1" si="397"/>
        <v>0</v>
      </c>
      <c r="AY140" s="64"/>
      <c r="AZ140" s="838" t="s">
        <v>38</v>
      </c>
      <c r="BA140" s="73">
        <f t="shared" ca="1" si="398"/>
        <v>0</v>
      </c>
      <c r="BB140" s="64"/>
      <c r="BC140" s="845" t="s">
        <v>1318</v>
      </c>
      <c r="BD140" s="73">
        <f t="shared" ca="1" si="399"/>
        <v>0</v>
      </c>
      <c r="BE140" s="64"/>
      <c r="BF140" s="849" t="s">
        <v>38</v>
      </c>
      <c r="BG140" s="73">
        <f t="shared" ca="1" si="400"/>
        <v>0</v>
      </c>
      <c r="BH140" s="64"/>
      <c r="BI140" s="859" t="s">
        <v>38</v>
      </c>
      <c r="BJ140" s="73">
        <f t="shared" ca="1" si="401"/>
        <v>0</v>
      </c>
      <c r="BK140" s="64"/>
      <c r="BL140" s="864" t="s">
        <v>38</v>
      </c>
      <c r="BM140" s="73">
        <f t="shared" ca="1" si="402"/>
        <v>0</v>
      </c>
      <c r="BN140" s="64"/>
      <c r="BO140" s="869" t="s">
        <v>38</v>
      </c>
      <c r="BP140" s="73">
        <f t="shared" ca="1" si="403"/>
        <v>0</v>
      </c>
      <c r="BQ140" s="64"/>
      <c r="BR140" s="838" t="s">
        <v>38</v>
      </c>
      <c r="BS140" s="73">
        <f t="shared" ca="1" si="404"/>
        <v>0</v>
      </c>
      <c r="BT140" s="64"/>
      <c r="BU140" s="873" t="s">
        <v>38</v>
      </c>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4">
        <f ca="1">VLOOKUP(H141,Equipos!$Q$1:$R$25,2,0)</f>
        <v>19</v>
      </c>
      <c r="H141" s="446" t="str">
        <f>Idiomas!$D$137</f>
        <v>CLASIFICADOS PARA DIECISEISAVOS</v>
      </c>
      <c r="I141" s="50"/>
      <c r="J141" s="926"/>
      <c r="K141" s="56" t="str">
        <f>Idiomas!$D$198&amp;"-"&amp;ROWS($L$130:L141)</f>
        <v>Dieciseisavofinalista-12</v>
      </c>
      <c r="L141" s="53"/>
      <c r="M141" s="55" t="str">
        <f ca="1">WORLDCUP!AA112</f>
        <v>2K</v>
      </c>
      <c r="N141" s="25"/>
      <c r="O141" s="25"/>
      <c r="P141" s="25"/>
      <c r="Q141" s="25"/>
      <c r="R141" s="110"/>
      <c r="S141" s="854" t="s">
        <v>1320</v>
      </c>
      <c r="T141" s="73">
        <f t="shared" ca="1" si="387"/>
        <v>0</v>
      </c>
      <c r="U141" s="64"/>
      <c r="V141" s="793" t="s">
        <v>1320</v>
      </c>
      <c r="W141" s="73">
        <f t="shared" ca="1" si="388"/>
        <v>0</v>
      </c>
      <c r="X141" s="64"/>
      <c r="Y141" s="798" t="s">
        <v>1839</v>
      </c>
      <c r="Z141" s="73">
        <f t="shared" ca="1" si="389"/>
        <v>0</v>
      </c>
      <c r="AA141" s="64"/>
      <c r="AB141" s="803" t="s">
        <v>1320</v>
      </c>
      <c r="AC141" s="73">
        <f t="shared" ca="1" si="390"/>
        <v>0</v>
      </c>
      <c r="AD141" s="64"/>
      <c r="AE141" s="808" t="s">
        <v>1320</v>
      </c>
      <c r="AF141" s="73">
        <f t="shared" ca="1" si="391"/>
        <v>0</v>
      </c>
      <c r="AG141" s="64"/>
      <c r="AH141" s="74" t="s">
        <v>1320</v>
      </c>
      <c r="AI141" s="73">
        <f t="shared" ca="1" si="392"/>
        <v>0</v>
      </c>
      <c r="AJ141" s="64"/>
      <c r="AK141" s="813" t="s">
        <v>1320</v>
      </c>
      <c r="AL141" s="73">
        <f t="shared" ca="1" si="393"/>
        <v>0</v>
      </c>
      <c r="AM141" s="64"/>
      <c r="AN141" s="818" t="s">
        <v>1320</v>
      </c>
      <c r="AO141" s="73">
        <f t="shared" ca="1" si="394"/>
        <v>0</v>
      </c>
      <c r="AP141" s="64"/>
      <c r="AQ141" s="823" t="s">
        <v>1320</v>
      </c>
      <c r="AR141" s="73">
        <f t="shared" ca="1" si="395"/>
        <v>0</v>
      </c>
      <c r="AS141" s="64"/>
      <c r="AT141" s="828" t="s">
        <v>1320</v>
      </c>
      <c r="AU141" s="73">
        <f t="shared" ca="1" si="396"/>
        <v>0</v>
      </c>
      <c r="AV141" s="64"/>
      <c r="AW141" s="832" t="s">
        <v>1320</v>
      </c>
      <c r="AX141" s="73">
        <f t="shared" ca="1" si="397"/>
        <v>0</v>
      </c>
      <c r="AY141" s="64"/>
      <c r="AZ141" s="838" t="s">
        <v>1320</v>
      </c>
      <c r="BA141" s="73">
        <f t="shared" ca="1" si="398"/>
        <v>0</v>
      </c>
      <c r="BB141" s="64"/>
      <c r="BC141" s="845" t="s">
        <v>1320</v>
      </c>
      <c r="BD141" s="73">
        <f t="shared" ca="1" si="399"/>
        <v>0</v>
      </c>
      <c r="BE141" s="64"/>
      <c r="BF141" s="849" t="s">
        <v>1320</v>
      </c>
      <c r="BG141" s="73">
        <f t="shared" ca="1" si="400"/>
        <v>0</v>
      </c>
      <c r="BH141" s="64"/>
      <c r="BI141" s="859" t="s">
        <v>1320</v>
      </c>
      <c r="BJ141" s="73">
        <f t="shared" ca="1" si="401"/>
        <v>0</v>
      </c>
      <c r="BK141" s="64"/>
      <c r="BL141" s="864" t="s">
        <v>1320</v>
      </c>
      <c r="BM141" s="73">
        <f t="shared" ca="1" si="402"/>
        <v>0</v>
      </c>
      <c r="BN141" s="64"/>
      <c r="BO141" s="869" t="s">
        <v>1320</v>
      </c>
      <c r="BP141" s="73">
        <f t="shared" ca="1" si="403"/>
        <v>0</v>
      </c>
      <c r="BQ141" s="64"/>
      <c r="BR141" s="838" t="s">
        <v>1320</v>
      </c>
      <c r="BS141" s="73">
        <f t="shared" ca="1" si="404"/>
        <v>0</v>
      </c>
      <c r="BT141" s="64"/>
      <c r="BU141" s="873" t="s">
        <v>1320</v>
      </c>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4">
        <f ca="1">VLOOKUP(H142,Equipos!$Q$1:$R$25,2,0)</f>
        <v>19</v>
      </c>
      <c r="H142" s="446" t="str">
        <f>Idiomas!$D$137</f>
        <v>CLASIFICADOS PARA DIECISEISAVOS</v>
      </c>
      <c r="I142" s="50"/>
      <c r="J142" s="926"/>
      <c r="K142" s="56" t="str">
        <f>Idiomas!$D$198&amp;"-"&amp;ROWS($L$130:L142)</f>
        <v>Dieciseisavofinalista-13</v>
      </c>
      <c r="L142" s="53"/>
      <c r="M142" s="55" t="str">
        <f ca="1">WORLDCUP!AA113</f>
        <v>1B</v>
      </c>
      <c r="N142" s="25"/>
      <c r="O142" s="25"/>
      <c r="P142" s="25"/>
      <c r="Q142" s="25"/>
      <c r="R142" s="110"/>
      <c r="S142" s="854" t="s">
        <v>75</v>
      </c>
      <c r="T142" s="73">
        <f t="shared" ca="1" si="387"/>
        <v>0</v>
      </c>
      <c r="U142" s="64"/>
      <c r="V142" s="793" t="s">
        <v>1631</v>
      </c>
      <c r="W142" s="73">
        <f t="shared" ca="1" si="388"/>
        <v>0</v>
      </c>
      <c r="X142" s="64"/>
      <c r="Y142" s="798" t="s">
        <v>75</v>
      </c>
      <c r="Z142" s="73">
        <f t="shared" ca="1" si="389"/>
        <v>0</v>
      </c>
      <c r="AA142" s="64"/>
      <c r="AB142" s="803" t="s">
        <v>1259</v>
      </c>
      <c r="AC142" s="73">
        <f t="shared" ca="1" si="390"/>
        <v>0</v>
      </c>
      <c r="AD142" s="64"/>
      <c r="AE142" s="808" t="s">
        <v>1259</v>
      </c>
      <c r="AF142" s="73">
        <f t="shared" ca="1" si="391"/>
        <v>0</v>
      </c>
      <c r="AG142" s="64"/>
      <c r="AH142" s="74" t="s">
        <v>1259</v>
      </c>
      <c r="AI142" s="73">
        <f t="shared" ca="1" si="392"/>
        <v>0</v>
      </c>
      <c r="AJ142" s="64"/>
      <c r="AK142" s="813" t="s">
        <v>75</v>
      </c>
      <c r="AL142" s="73">
        <f t="shared" ca="1" si="393"/>
        <v>0</v>
      </c>
      <c r="AM142" s="64"/>
      <c r="AN142" s="818" t="s">
        <v>75</v>
      </c>
      <c r="AO142" s="73">
        <f t="shared" ca="1" si="394"/>
        <v>0</v>
      </c>
      <c r="AP142" s="64"/>
      <c r="AQ142" s="823" t="s">
        <v>75</v>
      </c>
      <c r="AR142" s="73">
        <f t="shared" ca="1" si="395"/>
        <v>0</v>
      </c>
      <c r="AS142" s="64"/>
      <c r="AT142" s="828" t="s">
        <v>75</v>
      </c>
      <c r="AU142" s="73">
        <f t="shared" ca="1" si="396"/>
        <v>0</v>
      </c>
      <c r="AV142" s="64"/>
      <c r="AW142" s="832" t="s">
        <v>75</v>
      </c>
      <c r="AX142" s="73">
        <f t="shared" ca="1" si="397"/>
        <v>0</v>
      </c>
      <c r="AY142" s="64"/>
      <c r="AZ142" s="838" t="s">
        <v>1631</v>
      </c>
      <c r="BA142" s="73">
        <f t="shared" ca="1" si="398"/>
        <v>0</v>
      </c>
      <c r="BB142" s="64"/>
      <c r="BC142" s="845" t="s">
        <v>75</v>
      </c>
      <c r="BD142" s="73">
        <f t="shared" ca="1" si="399"/>
        <v>0</v>
      </c>
      <c r="BE142" s="64"/>
      <c r="BF142" s="849" t="s">
        <v>75</v>
      </c>
      <c r="BG142" s="73">
        <f t="shared" ca="1" si="400"/>
        <v>0</v>
      </c>
      <c r="BH142" s="64"/>
      <c r="BI142" s="859" t="s">
        <v>75</v>
      </c>
      <c r="BJ142" s="73">
        <f t="shared" ca="1" si="401"/>
        <v>0</v>
      </c>
      <c r="BK142" s="64"/>
      <c r="BL142" s="864" t="s">
        <v>75</v>
      </c>
      <c r="BM142" s="73">
        <f t="shared" ca="1" si="402"/>
        <v>0</v>
      </c>
      <c r="BN142" s="64"/>
      <c r="BO142" s="869" t="s">
        <v>1259</v>
      </c>
      <c r="BP142" s="73">
        <f t="shared" ca="1" si="403"/>
        <v>0</v>
      </c>
      <c r="BQ142" s="64"/>
      <c r="BR142" s="838" t="s">
        <v>75</v>
      </c>
      <c r="BS142" s="73">
        <f t="shared" ca="1" si="404"/>
        <v>0</v>
      </c>
      <c r="BT142" s="64"/>
      <c r="BU142" s="873" t="s">
        <v>75</v>
      </c>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4">
        <f ca="1">VLOOKUP(H143,Equipos!$Q$1:$R$25,2,0)</f>
        <v>19</v>
      </c>
      <c r="H143" s="446" t="str">
        <f>Idiomas!$D$137</f>
        <v>CLASIFICADOS PARA DIECISEISAVOS</v>
      </c>
      <c r="I143" s="50"/>
      <c r="J143" s="926"/>
      <c r="K143" s="56" t="str">
        <f>Idiomas!$D$198&amp;"-"&amp;ROWS($L$130:L143)</f>
        <v>Dieciseisavofinalista-14</v>
      </c>
      <c r="L143" s="53"/>
      <c r="M143" s="55" t="str">
        <f ca="1">WORLDCUP!AA114</f>
        <v>2D</v>
      </c>
      <c r="N143" s="25"/>
      <c r="O143" s="25"/>
      <c r="P143" s="25"/>
      <c r="Q143" s="25"/>
      <c r="R143" s="110"/>
      <c r="S143" s="854" t="s">
        <v>497</v>
      </c>
      <c r="T143" s="73">
        <f t="shared" ca="1" si="387"/>
        <v>0</v>
      </c>
      <c r="U143" s="64"/>
      <c r="V143" s="793" t="s">
        <v>1257</v>
      </c>
      <c r="W143" s="73">
        <f t="shared" ca="1" si="388"/>
        <v>0</v>
      </c>
      <c r="X143" s="64"/>
      <c r="Y143" s="798" t="s">
        <v>1835</v>
      </c>
      <c r="Z143" s="73">
        <f t="shared" ca="1" si="389"/>
        <v>0</v>
      </c>
      <c r="AA143" s="64"/>
      <c r="AB143" s="803" t="s">
        <v>1319</v>
      </c>
      <c r="AC143" s="73">
        <f t="shared" ca="1" si="390"/>
        <v>0</v>
      </c>
      <c r="AD143" s="64"/>
      <c r="AE143" s="808" t="s">
        <v>497</v>
      </c>
      <c r="AF143" s="73">
        <f t="shared" ca="1" si="391"/>
        <v>0</v>
      </c>
      <c r="AG143" s="64"/>
      <c r="AH143" s="74" t="s">
        <v>497</v>
      </c>
      <c r="AI143" s="73">
        <f t="shared" ca="1" si="392"/>
        <v>0</v>
      </c>
      <c r="AJ143" s="64"/>
      <c r="AK143" s="813" t="s">
        <v>1319</v>
      </c>
      <c r="AL143" s="73">
        <f t="shared" ca="1" si="393"/>
        <v>0</v>
      </c>
      <c r="AM143" s="64"/>
      <c r="AN143" s="818" t="s">
        <v>1835</v>
      </c>
      <c r="AO143" s="73">
        <f t="shared" ca="1" si="394"/>
        <v>0</v>
      </c>
      <c r="AP143" s="64"/>
      <c r="AQ143" s="823" t="s">
        <v>1319</v>
      </c>
      <c r="AR143" s="73">
        <f t="shared" ca="1" si="395"/>
        <v>0</v>
      </c>
      <c r="AS143" s="64"/>
      <c r="AT143" s="828" t="s">
        <v>1835</v>
      </c>
      <c r="AU143" s="73">
        <f t="shared" ca="1" si="396"/>
        <v>0</v>
      </c>
      <c r="AV143" s="64"/>
      <c r="AW143" s="832" t="s">
        <v>1319</v>
      </c>
      <c r="AX143" s="73">
        <f t="shared" ca="1" si="397"/>
        <v>0</v>
      </c>
      <c r="AY143" s="64"/>
      <c r="AZ143" s="838" t="s">
        <v>1835</v>
      </c>
      <c r="BA143" s="73">
        <f t="shared" ca="1" si="398"/>
        <v>0</v>
      </c>
      <c r="BB143" s="64"/>
      <c r="BC143" s="845" t="s">
        <v>1319</v>
      </c>
      <c r="BD143" s="73">
        <f t="shared" ca="1" si="399"/>
        <v>0</v>
      </c>
      <c r="BE143" s="64"/>
      <c r="BF143" s="849" t="s">
        <v>497</v>
      </c>
      <c r="BG143" s="73">
        <f t="shared" ca="1" si="400"/>
        <v>0</v>
      </c>
      <c r="BH143" s="64"/>
      <c r="BI143" s="859" t="s">
        <v>1835</v>
      </c>
      <c r="BJ143" s="73">
        <f t="shared" ca="1" si="401"/>
        <v>0</v>
      </c>
      <c r="BK143" s="64"/>
      <c r="BL143" s="864" t="s">
        <v>497</v>
      </c>
      <c r="BM143" s="73">
        <f t="shared" ca="1" si="402"/>
        <v>0</v>
      </c>
      <c r="BN143" s="64"/>
      <c r="BO143" s="869" t="s">
        <v>497</v>
      </c>
      <c r="BP143" s="73">
        <f t="shared" ca="1" si="403"/>
        <v>0</v>
      </c>
      <c r="BQ143" s="64"/>
      <c r="BR143" s="838" t="s">
        <v>1319</v>
      </c>
      <c r="BS143" s="73">
        <f t="shared" ca="1" si="404"/>
        <v>0</v>
      </c>
      <c r="BT143" s="64"/>
      <c r="BU143" s="873" t="s">
        <v>1835</v>
      </c>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4">
        <f ca="1">VLOOKUP(H144,Equipos!$Q$1:$R$25,2,0)</f>
        <v>19</v>
      </c>
      <c r="H144" s="446" t="str">
        <f>Idiomas!$D$137</f>
        <v>CLASIFICADOS PARA DIECISEISAVOS</v>
      </c>
      <c r="I144" s="50"/>
      <c r="J144" s="926"/>
      <c r="K144" s="56" t="str">
        <f>Idiomas!$D$198&amp;"-"&amp;ROWS($L$130:L144)</f>
        <v>Dieciseisavofinalista-15</v>
      </c>
      <c r="L144" s="53"/>
      <c r="M144" s="55" t="str">
        <f ca="1">WORLDCUP!AA115</f>
        <v>1J</v>
      </c>
      <c r="N144" s="25"/>
      <c r="O144" s="25"/>
      <c r="P144" s="25"/>
      <c r="Q144" s="25"/>
      <c r="R144" s="110"/>
      <c r="S144" s="854" t="s">
        <v>1256</v>
      </c>
      <c r="T144" s="73">
        <f t="shared" ca="1" si="387"/>
        <v>0</v>
      </c>
      <c r="U144" s="64"/>
      <c r="V144" s="793" t="s">
        <v>1256</v>
      </c>
      <c r="W144" s="73">
        <f t="shared" ca="1" si="388"/>
        <v>0</v>
      </c>
      <c r="X144" s="64"/>
      <c r="Y144" s="798" t="s">
        <v>1256</v>
      </c>
      <c r="Z144" s="73">
        <f t="shared" ca="1" si="389"/>
        <v>0</v>
      </c>
      <c r="AA144" s="64"/>
      <c r="AB144" s="803" t="s">
        <v>1256</v>
      </c>
      <c r="AC144" s="73">
        <f t="shared" ca="1" si="390"/>
        <v>0</v>
      </c>
      <c r="AD144" s="64"/>
      <c r="AE144" s="808" t="s">
        <v>80</v>
      </c>
      <c r="AF144" s="73">
        <f t="shared" ca="1" si="391"/>
        <v>0</v>
      </c>
      <c r="AG144" s="64"/>
      <c r="AH144" s="74" t="s">
        <v>1256</v>
      </c>
      <c r="AI144" s="73">
        <f t="shared" ca="1" si="392"/>
        <v>0</v>
      </c>
      <c r="AJ144" s="64"/>
      <c r="AK144" s="813" t="s">
        <v>1256</v>
      </c>
      <c r="AL144" s="73">
        <f t="shared" ca="1" si="393"/>
        <v>0</v>
      </c>
      <c r="AM144" s="64"/>
      <c r="AN144" s="818" t="s">
        <v>1256</v>
      </c>
      <c r="AO144" s="73">
        <f t="shared" ca="1" si="394"/>
        <v>0</v>
      </c>
      <c r="AP144" s="64"/>
      <c r="AQ144" s="823" t="s">
        <v>1256</v>
      </c>
      <c r="AR144" s="73">
        <f t="shared" ca="1" si="395"/>
        <v>0</v>
      </c>
      <c r="AS144" s="64"/>
      <c r="AT144" s="828" t="s">
        <v>1256</v>
      </c>
      <c r="AU144" s="73">
        <f t="shared" ca="1" si="396"/>
        <v>0</v>
      </c>
      <c r="AV144" s="64"/>
      <c r="AW144" s="832" t="s">
        <v>1256</v>
      </c>
      <c r="AX144" s="73">
        <f t="shared" ca="1" si="397"/>
        <v>0</v>
      </c>
      <c r="AY144" s="64"/>
      <c r="AZ144" s="838" t="s">
        <v>1256</v>
      </c>
      <c r="BA144" s="73">
        <f t="shared" ca="1" si="398"/>
        <v>0</v>
      </c>
      <c r="BB144" s="64"/>
      <c r="BC144" s="845" t="s">
        <v>1256</v>
      </c>
      <c r="BD144" s="73">
        <f t="shared" ca="1" si="399"/>
        <v>0</v>
      </c>
      <c r="BE144" s="64"/>
      <c r="BF144" s="849" t="s">
        <v>1256</v>
      </c>
      <c r="BG144" s="73">
        <f t="shared" ca="1" si="400"/>
        <v>0</v>
      </c>
      <c r="BH144" s="64"/>
      <c r="BI144" s="859" t="s">
        <v>1256</v>
      </c>
      <c r="BJ144" s="73">
        <f t="shared" ca="1" si="401"/>
        <v>0</v>
      </c>
      <c r="BK144" s="64"/>
      <c r="BL144" s="864" t="s">
        <v>1256</v>
      </c>
      <c r="BM144" s="73">
        <f t="shared" ca="1" si="402"/>
        <v>0</v>
      </c>
      <c r="BN144" s="64"/>
      <c r="BO144" s="869" t="s">
        <v>1256</v>
      </c>
      <c r="BP144" s="73">
        <f t="shared" ca="1" si="403"/>
        <v>0</v>
      </c>
      <c r="BQ144" s="64"/>
      <c r="BR144" s="838" t="s">
        <v>1256</v>
      </c>
      <c r="BS144" s="73">
        <f t="shared" ca="1" si="404"/>
        <v>0</v>
      </c>
      <c r="BT144" s="64"/>
      <c r="BU144" s="873" t="s">
        <v>1256</v>
      </c>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4">
        <f ca="1">VLOOKUP(H145,Equipos!$Q$1:$R$25,2,0)</f>
        <v>19</v>
      </c>
      <c r="H145" s="446" t="str">
        <f>Idiomas!$D$137</f>
        <v>CLASIFICADOS PARA DIECISEISAVOS</v>
      </c>
      <c r="I145" s="50"/>
      <c r="J145" s="926"/>
      <c r="K145" s="56" t="str">
        <f>Idiomas!$D$198&amp;"-"&amp;ROWS($L$130:L145)</f>
        <v>Dieciseisavofinalista-16</v>
      </c>
      <c r="L145" s="53"/>
      <c r="M145" s="55" t="str">
        <f ca="1">WORLDCUP!AA116</f>
        <v>1K</v>
      </c>
      <c r="N145" s="25"/>
      <c r="O145" s="25"/>
      <c r="P145" s="25"/>
      <c r="Q145" s="25"/>
      <c r="R145" s="110"/>
      <c r="S145" s="854" t="s">
        <v>79</v>
      </c>
      <c r="T145" s="73">
        <f t="shared" ca="1" si="387"/>
        <v>0</v>
      </c>
      <c r="U145" s="64"/>
      <c r="V145" s="793" t="s">
        <v>79</v>
      </c>
      <c r="W145" s="73">
        <f t="shared" ca="1" si="388"/>
        <v>0</v>
      </c>
      <c r="X145" s="64"/>
      <c r="Y145" s="798" t="s">
        <v>79</v>
      </c>
      <c r="Z145" s="73">
        <f t="shared" ca="1" si="389"/>
        <v>0</v>
      </c>
      <c r="AA145" s="64"/>
      <c r="AB145" s="803" t="s">
        <v>79</v>
      </c>
      <c r="AC145" s="73">
        <f t="shared" ca="1" si="390"/>
        <v>0</v>
      </c>
      <c r="AD145" s="64"/>
      <c r="AE145" s="808" t="s">
        <v>79</v>
      </c>
      <c r="AF145" s="73">
        <f t="shared" ca="1" si="391"/>
        <v>0</v>
      </c>
      <c r="AG145" s="64"/>
      <c r="AH145" s="74" t="s">
        <v>79</v>
      </c>
      <c r="AI145" s="73">
        <f t="shared" ca="1" si="392"/>
        <v>0</v>
      </c>
      <c r="AJ145" s="64"/>
      <c r="AK145" s="813" t="s">
        <v>79</v>
      </c>
      <c r="AL145" s="73">
        <f t="shared" ca="1" si="393"/>
        <v>0</v>
      </c>
      <c r="AM145" s="64"/>
      <c r="AN145" s="818" t="s">
        <v>79</v>
      </c>
      <c r="AO145" s="73">
        <f t="shared" ca="1" si="394"/>
        <v>0</v>
      </c>
      <c r="AP145" s="64"/>
      <c r="AQ145" s="823" t="s">
        <v>79</v>
      </c>
      <c r="AR145" s="73">
        <f t="shared" ca="1" si="395"/>
        <v>0</v>
      </c>
      <c r="AS145" s="64"/>
      <c r="AT145" s="828" t="s">
        <v>79</v>
      </c>
      <c r="AU145" s="73">
        <f t="shared" ca="1" si="396"/>
        <v>0</v>
      </c>
      <c r="AV145" s="64"/>
      <c r="AW145" s="832" t="s">
        <v>79</v>
      </c>
      <c r="AX145" s="73">
        <f t="shared" ca="1" si="397"/>
        <v>0</v>
      </c>
      <c r="AY145" s="64"/>
      <c r="AZ145" s="838" t="s">
        <v>79</v>
      </c>
      <c r="BA145" s="73">
        <f t="shared" ca="1" si="398"/>
        <v>0</v>
      </c>
      <c r="BB145" s="64"/>
      <c r="BC145" s="845" t="s">
        <v>79</v>
      </c>
      <c r="BD145" s="73">
        <f t="shared" ca="1" si="399"/>
        <v>0</v>
      </c>
      <c r="BE145" s="64"/>
      <c r="BF145" s="849" t="s">
        <v>79</v>
      </c>
      <c r="BG145" s="73">
        <f t="shared" ca="1" si="400"/>
        <v>0</v>
      </c>
      <c r="BH145" s="64"/>
      <c r="BI145" s="859" t="s">
        <v>79</v>
      </c>
      <c r="BJ145" s="73">
        <f t="shared" ca="1" si="401"/>
        <v>0</v>
      </c>
      <c r="BK145" s="64"/>
      <c r="BL145" s="864" t="s">
        <v>79</v>
      </c>
      <c r="BM145" s="73">
        <f t="shared" ca="1" si="402"/>
        <v>0</v>
      </c>
      <c r="BN145" s="64"/>
      <c r="BO145" s="869" t="s">
        <v>79</v>
      </c>
      <c r="BP145" s="73">
        <f t="shared" ca="1" si="403"/>
        <v>0</v>
      </c>
      <c r="BQ145" s="64"/>
      <c r="BR145" s="838" t="s">
        <v>79</v>
      </c>
      <c r="BS145" s="73">
        <f t="shared" ca="1" si="404"/>
        <v>0</v>
      </c>
      <c r="BT145" s="64"/>
      <c r="BU145" s="873" t="s">
        <v>79</v>
      </c>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4">
        <f ca="1">VLOOKUP(H146,Equipos!$Q$1:$R$25,2,0)</f>
        <v>19</v>
      </c>
      <c r="H146" s="446" t="str">
        <f>Idiomas!$D$137</f>
        <v>CLASIFICADOS PARA DIECISEISAVOS</v>
      </c>
      <c r="I146" s="50"/>
      <c r="J146" s="926"/>
      <c r="K146" s="56" t="str">
        <f>Idiomas!$D$198&amp;"-"&amp;ROWS($L$130:L146)</f>
        <v>Dieciseisavofinalista-17</v>
      </c>
      <c r="L146" s="53"/>
      <c r="M146" s="55" t="str">
        <f ca="1">WORLDCUP!AF101</f>
        <v>2B</v>
      </c>
      <c r="N146" s="25"/>
      <c r="O146" s="25"/>
      <c r="P146" s="25"/>
      <c r="Q146" s="25"/>
      <c r="R146" s="110"/>
      <c r="S146" s="854" t="s">
        <v>1259</v>
      </c>
      <c r="T146" s="73">
        <f t="shared" ca="1" si="387"/>
        <v>0</v>
      </c>
      <c r="U146" s="64"/>
      <c r="V146" s="793" t="s">
        <v>1259</v>
      </c>
      <c r="W146" s="73">
        <f t="shared" ca="1" si="388"/>
        <v>0</v>
      </c>
      <c r="X146" s="64"/>
      <c r="Y146" s="798" t="s">
        <v>1259</v>
      </c>
      <c r="Z146" s="73">
        <f t="shared" ca="1" si="389"/>
        <v>0</v>
      </c>
      <c r="AA146" s="64"/>
      <c r="AB146" s="803" t="s">
        <v>75</v>
      </c>
      <c r="AC146" s="73">
        <f t="shared" ca="1" si="390"/>
        <v>0</v>
      </c>
      <c r="AD146" s="64"/>
      <c r="AE146" s="808" t="s">
        <v>75</v>
      </c>
      <c r="AF146" s="73">
        <f t="shared" ca="1" si="391"/>
        <v>0</v>
      </c>
      <c r="AG146" s="64"/>
      <c r="AH146" s="74" t="s">
        <v>75</v>
      </c>
      <c r="AI146" s="73">
        <f t="shared" ca="1" si="392"/>
        <v>0</v>
      </c>
      <c r="AJ146" s="64"/>
      <c r="AK146" s="813" t="s">
        <v>1259</v>
      </c>
      <c r="AL146" s="73">
        <f t="shared" ca="1" si="393"/>
        <v>0</v>
      </c>
      <c r="AM146" s="64"/>
      <c r="AN146" s="818" t="s">
        <v>1841</v>
      </c>
      <c r="AO146" s="73">
        <f t="shared" ca="1" si="394"/>
        <v>0</v>
      </c>
      <c r="AP146" s="64"/>
      <c r="AQ146" s="823" t="s">
        <v>1841</v>
      </c>
      <c r="AR146" s="73">
        <f t="shared" ca="1" si="395"/>
        <v>0</v>
      </c>
      <c r="AS146" s="64"/>
      <c r="AT146" s="828" t="s">
        <v>1259</v>
      </c>
      <c r="AU146" s="73">
        <f t="shared" ca="1" si="396"/>
        <v>0</v>
      </c>
      <c r="AV146" s="64"/>
      <c r="AW146" s="832" t="s">
        <v>1259</v>
      </c>
      <c r="AX146" s="73">
        <f t="shared" ca="1" si="397"/>
        <v>0</v>
      </c>
      <c r="AY146" s="64"/>
      <c r="AZ146" s="838" t="s">
        <v>75</v>
      </c>
      <c r="BA146" s="73">
        <f t="shared" ca="1" si="398"/>
        <v>0</v>
      </c>
      <c r="BB146" s="64"/>
      <c r="BC146" s="845" t="s">
        <v>1841</v>
      </c>
      <c r="BD146" s="73">
        <f t="shared" ca="1" si="399"/>
        <v>0</v>
      </c>
      <c r="BE146" s="64"/>
      <c r="BF146" s="849" t="s">
        <v>1259</v>
      </c>
      <c r="BG146" s="73">
        <f t="shared" ca="1" si="400"/>
        <v>0</v>
      </c>
      <c r="BH146" s="64"/>
      <c r="BI146" s="859" t="s">
        <v>1841</v>
      </c>
      <c r="BJ146" s="73">
        <f t="shared" ca="1" si="401"/>
        <v>0</v>
      </c>
      <c r="BK146" s="64"/>
      <c r="BL146" s="864" t="s">
        <v>1259</v>
      </c>
      <c r="BM146" s="73">
        <f t="shared" ca="1" si="402"/>
        <v>0</v>
      </c>
      <c r="BN146" s="64"/>
      <c r="BO146" s="869" t="s">
        <v>1841</v>
      </c>
      <c r="BP146" s="73">
        <f t="shared" ca="1" si="403"/>
        <v>0</v>
      </c>
      <c r="BQ146" s="64"/>
      <c r="BR146" s="838" t="s">
        <v>1841</v>
      </c>
      <c r="BS146" s="73">
        <f t="shared" ca="1" si="404"/>
        <v>0</v>
      </c>
      <c r="BT146" s="64"/>
      <c r="BU146" s="873" t="s">
        <v>1259</v>
      </c>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4">
        <f ca="1">VLOOKUP(H147,Equipos!$Q$1:$R$25,2,0)</f>
        <v>19</v>
      </c>
      <c r="H147" s="446" t="str">
        <f>Idiomas!$D$137</f>
        <v>CLASIFICADOS PARA DIECISEISAVOS</v>
      </c>
      <c r="I147" s="50"/>
      <c r="J147" s="926"/>
      <c r="K147" s="56" t="str">
        <f>Idiomas!$D$198&amp;"-"&amp;ROWS($L$130:L147)</f>
        <v>Dieciseisavofinalista-18</v>
      </c>
      <c r="L147" s="53"/>
      <c r="M147" s="55" t="str">
        <f ca="1">WORLDCUP!AF102</f>
        <v>2F</v>
      </c>
      <c r="N147" s="25"/>
      <c r="O147" s="25"/>
      <c r="P147" s="25"/>
      <c r="Q147" s="25"/>
      <c r="R147" s="110"/>
      <c r="S147" s="854" t="s">
        <v>1263</v>
      </c>
      <c r="T147" s="73">
        <f t="shared" ca="1" si="387"/>
        <v>0</v>
      </c>
      <c r="U147" s="64"/>
      <c r="V147" s="793" t="s">
        <v>1833</v>
      </c>
      <c r="W147" s="73">
        <f t="shared" ca="1" si="388"/>
        <v>0</v>
      </c>
      <c r="X147" s="64"/>
      <c r="Y147" s="798" t="s">
        <v>111</v>
      </c>
      <c r="Z147" s="73">
        <f t="shared" ca="1" si="389"/>
        <v>0</v>
      </c>
      <c r="AA147" s="64"/>
      <c r="AB147" s="803" t="s">
        <v>1833</v>
      </c>
      <c r="AC147" s="73">
        <f t="shared" ca="1" si="390"/>
        <v>0</v>
      </c>
      <c r="AD147" s="64"/>
      <c r="AE147" s="808" t="s">
        <v>1263</v>
      </c>
      <c r="AF147" s="73">
        <f t="shared" ca="1" si="391"/>
        <v>0</v>
      </c>
      <c r="AG147" s="64"/>
      <c r="AH147" s="74" t="s">
        <v>1833</v>
      </c>
      <c r="AI147" s="73">
        <f t="shared" ca="1" si="392"/>
        <v>0</v>
      </c>
      <c r="AJ147" s="64"/>
      <c r="AK147" s="813" t="s">
        <v>1263</v>
      </c>
      <c r="AL147" s="73">
        <f t="shared" ca="1" si="393"/>
        <v>0</v>
      </c>
      <c r="AM147" s="64"/>
      <c r="AN147" s="818" t="s">
        <v>1263</v>
      </c>
      <c r="AO147" s="73">
        <f t="shared" ca="1" si="394"/>
        <v>0</v>
      </c>
      <c r="AP147" s="64"/>
      <c r="AQ147" s="823" t="s">
        <v>1833</v>
      </c>
      <c r="AR147" s="73">
        <f t="shared" ca="1" si="395"/>
        <v>0</v>
      </c>
      <c r="AS147" s="64"/>
      <c r="AT147" s="828" t="s">
        <v>1833</v>
      </c>
      <c r="AU147" s="73">
        <f t="shared" ca="1" si="396"/>
        <v>0</v>
      </c>
      <c r="AV147" s="64"/>
      <c r="AW147" s="832" t="s">
        <v>1263</v>
      </c>
      <c r="AX147" s="73">
        <f t="shared" ca="1" si="397"/>
        <v>0</v>
      </c>
      <c r="AY147" s="64"/>
      <c r="AZ147" s="838" t="s">
        <v>1833</v>
      </c>
      <c r="BA147" s="73">
        <f t="shared" ca="1" si="398"/>
        <v>0</v>
      </c>
      <c r="BB147" s="64"/>
      <c r="BC147" s="845" t="s">
        <v>1263</v>
      </c>
      <c r="BD147" s="73">
        <f t="shared" ca="1" si="399"/>
        <v>0</v>
      </c>
      <c r="BE147" s="64"/>
      <c r="BF147" s="849" t="s">
        <v>1833</v>
      </c>
      <c r="BG147" s="73">
        <f t="shared" ca="1" si="400"/>
        <v>0</v>
      </c>
      <c r="BH147" s="64"/>
      <c r="BI147" s="859" t="s">
        <v>1263</v>
      </c>
      <c r="BJ147" s="73">
        <f t="shared" ca="1" si="401"/>
        <v>0</v>
      </c>
      <c r="BK147" s="64"/>
      <c r="BL147" s="864" t="s">
        <v>1263</v>
      </c>
      <c r="BM147" s="73">
        <f t="shared" ca="1" si="402"/>
        <v>0</v>
      </c>
      <c r="BN147" s="64"/>
      <c r="BO147" s="869" t="s">
        <v>1263</v>
      </c>
      <c r="BP147" s="73">
        <f t="shared" ca="1" si="403"/>
        <v>0</v>
      </c>
      <c r="BQ147" s="64"/>
      <c r="BR147" s="838" t="s">
        <v>1263</v>
      </c>
      <c r="BS147" s="73">
        <f t="shared" ca="1" si="404"/>
        <v>0</v>
      </c>
      <c r="BT147" s="64"/>
      <c r="BU147" s="873" t="s">
        <v>1263</v>
      </c>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4">
        <f ca="1">VLOOKUP(H148,Equipos!$Q$1:$R$25,2,0)</f>
        <v>19</v>
      </c>
      <c r="H148" s="446" t="str">
        <f>Idiomas!$D$137</f>
        <v>CLASIFICADOS PARA DIECISEISAVOS</v>
      </c>
      <c r="I148" s="50"/>
      <c r="J148" s="926"/>
      <c r="K148" s="56" t="str">
        <f>Idiomas!$D$198&amp;"-"&amp;ROWS($L$130:L148)</f>
        <v>Dieciseisavofinalista-19</v>
      </c>
      <c r="L148" s="53"/>
      <c r="M148" s="55" t="str">
        <f ca="1">WORLDCUP!AF103</f>
        <v>3ABCDF</v>
      </c>
      <c r="N148" s="25"/>
      <c r="O148" s="25"/>
      <c r="P148" s="25"/>
      <c r="Q148" s="25"/>
      <c r="R148" s="110"/>
      <c r="S148" s="854" t="s">
        <v>1319</v>
      </c>
      <c r="T148" s="73">
        <f t="shared" ca="1" si="387"/>
        <v>0</v>
      </c>
      <c r="U148" s="64"/>
      <c r="V148" s="793" t="s">
        <v>111</v>
      </c>
      <c r="W148" s="73">
        <f t="shared" ca="1" si="388"/>
        <v>0</v>
      </c>
      <c r="X148" s="64"/>
      <c r="Y148" s="798" t="s">
        <v>1319</v>
      </c>
      <c r="Z148" s="73">
        <f t="shared" ca="1" si="389"/>
        <v>0</v>
      </c>
      <c r="AA148" s="64"/>
      <c r="AB148" s="803" t="s">
        <v>497</v>
      </c>
      <c r="AC148" s="73">
        <f t="shared" ca="1" si="390"/>
        <v>0</v>
      </c>
      <c r="AD148" s="64"/>
      <c r="AE148" s="808" t="s">
        <v>134</v>
      </c>
      <c r="AF148" s="73">
        <f t="shared" ca="1" si="391"/>
        <v>0</v>
      </c>
      <c r="AG148" s="64"/>
      <c r="AH148" s="74" t="s">
        <v>134</v>
      </c>
      <c r="AI148" s="73">
        <f t="shared" ca="1" si="392"/>
        <v>0</v>
      </c>
      <c r="AJ148" s="64"/>
      <c r="AK148" s="813" t="s">
        <v>497</v>
      </c>
      <c r="AL148" s="73">
        <f t="shared" ca="1" si="393"/>
        <v>0</v>
      </c>
      <c r="AM148" s="64"/>
      <c r="AN148" s="818" t="s">
        <v>497</v>
      </c>
      <c r="AO148" s="73">
        <f t="shared" ca="1" si="394"/>
        <v>0</v>
      </c>
      <c r="AP148" s="64"/>
      <c r="AQ148" s="823" t="s">
        <v>497</v>
      </c>
      <c r="AR148" s="73">
        <f t="shared" ca="1" si="395"/>
        <v>0</v>
      </c>
      <c r="AS148" s="64"/>
      <c r="AT148" s="828" t="s">
        <v>1263</v>
      </c>
      <c r="AU148" s="73">
        <f t="shared" ca="1" si="396"/>
        <v>0</v>
      </c>
      <c r="AV148" s="64"/>
      <c r="AW148" s="832" t="s">
        <v>1835</v>
      </c>
      <c r="AX148" s="73">
        <f t="shared" ca="1" si="397"/>
        <v>0</v>
      </c>
      <c r="AY148" s="64"/>
      <c r="AZ148" s="838" t="s">
        <v>1263</v>
      </c>
      <c r="BA148" s="73">
        <f t="shared" ca="1" si="398"/>
        <v>0</v>
      </c>
      <c r="BB148" s="64"/>
      <c r="BC148" s="845" t="s">
        <v>1257</v>
      </c>
      <c r="BD148" s="73">
        <f t="shared" ca="1" si="399"/>
        <v>0</v>
      </c>
      <c r="BE148" s="64"/>
      <c r="BF148" s="849" t="s">
        <v>134</v>
      </c>
      <c r="BG148" s="73">
        <f t="shared" ca="1" si="400"/>
        <v>0</v>
      </c>
      <c r="BH148" s="64"/>
      <c r="BI148" s="859" t="s">
        <v>134</v>
      </c>
      <c r="BJ148" s="73">
        <f t="shared" ca="1" si="401"/>
        <v>0</v>
      </c>
      <c r="BK148" s="64"/>
      <c r="BL148" s="864" t="s">
        <v>134</v>
      </c>
      <c r="BM148" s="73">
        <f t="shared" ca="1" si="402"/>
        <v>0</v>
      </c>
      <c r="BN148" s="64"/>
      <c r="BO148" s="869" t="s">
        <v>1319</v>
      </c>
      <c r="BP148" s="73">
        <f t="shared" ca="1" si="403"/>
        <v>0</v>
      </c>
      <c r="BQ148" s="64"/>
      <c r="BR148" s="838" t="s">
        <v>497</v>
      </c>
      <c r="BS148" s="73">
        <f t="shared" ca="1" si="404"/>
        <v>0</v>
      </c>
      <c r="BT148" s="64"/>
      <c r="BU148" s="873" t="s">
        <v>1319</v>
      </c>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4">
        <f ca="1">VLOOKUP(H149,Equipos!$Q$1:$R$25,2,0)</f>
        <v>19</v>
      </c>
      <c r="H149" s="446" t="str">
        <f>Idiomas!$D$137</f>
        <v>CLASIFICADOS PARA DIECISEISAVOS</v>
      </c>
      <c r="I149" s="50"/>
      <c r="J149" s="926"/>
      <c r="K149" s="56" t="str">
        <f>Idiomas!$D$198&amp;"-"&amp;ROWS($L$130:L149)</f>
        <v>Dieciseisavofinalista-20</v>
      </c>
      <c r="L149" s="53"/>
      <c r="M149" s="55" t="str">
        <f ca="1">WORLDCUP!AF104</f>
        <v>2C</v>
      </c>
      <c r="N149" s="25"/>
      <c r="O149" s="25"/>
      <c r="P149" s="25"/>
      <c r="Q149" s="25"/>
      <c r="R149" s="110"/>
      <c r="S149" s="854" t="s">
        <v>1321</v>
      </c>
      <c r="T149" s="73">
        <f t="shared" ca="1" si="387"/>
        <v>0</v>
      </c>
      <c r="U149" s="64"/>
      <c r="V149" s="793" t="s">
        <v>134</v>
      </c>
      <c r="W149" s="73">
        <f t="shared" ca="1" si="388"/>
        <v>0</v>
      </c>
      <c r="X149" s="64"/>
      <c r="Y149" s="798" t="s">
        <v>1321</v>
      </c>
      <c r="Z149" s="73">
        <f t="shared" ca="1" si="389"/>
        <v>0</v>
      </c>
      <c r="AA149" s="64"/>
      <c r="AB149" s="803" t="s">
        <v>1321</v>
      </c>
      <c r="AC149" s="73">
        <f t="shared" ca="1" si="390"/>
        <v>0</v>
      </c>
      <c r="AD149" s="64"/>
      <c r="AE149" s="808" t="s">
        <v>1321</v>
      </c>
      <c r="AF149" s="73">
        <f t="shared" ca="1" si="391"/>
        <v>0</v>
      </c>
      <c r="AG149" s="64"/>
      <c r="AH149" s="74" t="s">
        <v>1321</v>
      </c>
      <c r="AI149" s="73">
        <f t="shared" ca="1" si="392"/>
        <v>0</v>
      </c>
      <c r="AJ149" s="64"/>
      <c r="AK149" s="813" t="s">
        <v>1321</v>
      </c>
      <c r="AL149" s="73">
        <f t="shared" ca="1" si="393"/>
        <v>0</v>
      </c>
      <c r="AM149" s="64"/>
      <c r="AN149" s="818" t="s">
        <v>1321</v>
      </c>
      <c r="AO149" s="73">
        <f t="shared" ca="1" si="394"/>
        <v>0</v>
      </c>
      <c r="AP149" s="64"/>
      <c r="AQ149" s="823" t="s">
        <v>134</v>
      </c>
      <c r="AR149" s="73">
        <f t="shared" ca="1" si="395"/>
        <v>0</v>
      </c>
      <c r="AS149" s="64"/>
      <c r="AT149" s="828" t="s">
        <v>1321</v>
      </c>
      <c r="AU149" s="73">
        <f t="shared" ca="1" si="396"/>
        <v>0</v>
      </c>
      <c r="AV149" s="64"/>
      <c r="AW149" s="832" t="s">
        <v>1321</v>
      </c>
      <c r="AX149" s="73">
        <f t="shared" ca="1" si="397"/>
        <v>0</v>
      </c>
      <c r="AY149" s="64"/>
      <c r="AZ149" s="838" t="s">
        <v>1321</v>
      </c>
      <c r="BA149" s="73">
        <f t="shared" ca="1" si="398"/>
        <v>0</v>
      </c>
      <c r="BB149" s="64"/>
      <c r="BC149" s="845" t="s">
        <v>134</v>
      </c>
      <c r="BD149" s="73">
        <f t="shared" ca="1" si="399"/>
        <v>0</v>
      </c>
      <c r="BE149" s="64"/>
      <c r="BF149" s="849" t="s">
        <v>1258</v>
      </c>
      <c r="BG149" s="73">
        <f t="shared" ca="1" si="400"/>
        <v>0</v>
      </c>
      <c r="BH149" s="64"/>
      <c r="BI149" s="859" t="s">
        <v>1321</v>
      </c>
      <c r="BJ149" s="73">
        <f t="shared" ca="1" si="401"/>
        <v>0</v>
      </c>
      <c r="BK149" s="64"/>
      <c r="BL149" s="864" t="s">
        <v>1321</v>
      </c>
      <c r="BM149" s="73">
        <f t="shared" ca="1" si="402"/>
        <v>0</v>
      </c>
      <c r="BN149" s="64"/>
      <c r="BO149" s="869" t="s">
        <v>1321</v>
      </c>
      <c r="BP149" s="73">
        <f t="shared" ca="1" si="403"/>
        <v>0</v>
      </c>
      <c r="BQ149" s="64"/>
      <c r="BR149" s="838" t="s">
        <v>1321</v>
      </c>
      <c r="BS149" s="73">
        <f t="shared" ca="1" si="404"/>
        <v>0</v>
      </c>
      <c r="BT149" s="64"/>
      <c r="BU149" s="873" t="s">
        <v>134</v>
      </c>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4">
        <f ca="1">VLOOKUP(H150,Equipos!$Q$1:$R$25,2,0)</f>
        <v>19</v>
      </c>
      <c r="H150" s="446" t="str">
        <f>Idiomas!$D$137</f>
        <v>CLASIFICADOS PARA DIECISEISAVOS</v>
      </c>
      <c r="I150" s="50"/>
      <c r="J150" s="926"/>
      <c r="K150" s="56" t="str">
        <f>Idiomas!$D$198&amp;"-"&amp;ROWS($L$130:L150)</f>
        <v>Dieciseisavofinalista-21</v>
      </c>
      <c r="L150" s="53"/>
      <c r="M150" s="55" t="str">
        <f ca="1">WORLDCUP!AF105</f>
        <v>2I</v>
      </c>
      <c r="N150" s="25"/>
      <c r="O150" s="25"/>
      <c r="P150" s="25"/>
      <c r="Q150" s="25"/>
      <c r="R150" s="110"/>
      <c r="S150" s="854" t="s">
        <v>135</v>
      </c>
      <c r="T150" s="73">
        <f t="shared" ca="1" si="387"/>
        <v>0</v>
      </c>
      <c r="U150" s="64"/>
      <c r="V150" s="793" t="s">
        <v>135</v>
      </c>
      <c r="W150" s="73">
        <f t="shared" ca="1" si="388"/>
        <v>0</v>
      </c>
      <c r="X150" s="64"/>
      <c r="Y150" s="798" t="s">
        <v>135</v>
      </c>
      <c r="Z150" s="73">
        <f t="shared" ca="1" si="389"/>
        <v>0</v>
      </c>
      <c r="AA150" s="64"/>
      <c r="AB150" s="803" t="s">
        <v>74</v>
      </c>
      <c r="AC150" s="73">
        <f t="shared" ca="1" si="390"/>
        <v>0</v>
      </c>
      <c r="AD150" s="64"/>
      <c r="AE150" s="808" t="s">
        <v>1634</v>
      </c>
      <c r="AF150" s="73">
        <f t="shared" ca="1" si="391"/>
        <v>0</v>
      </c>
      <c r="AG150" s="64"/>
      <c r="AH150" s="74" t="s">
        <v>135</v>
      </c>
      <c r="AI150" s="73">
        <f t="shared" ca="1" si="392"/>
        <v>0</v>
      </c>
      <c r="AJ150" s="64"/>
      <c r="AK150" s="813" t="s">
        <v>135</v>
      </c>
      <c r="AL150" s="73">
        <f t="shared" ca="1" si="393"/>
        <v>0</v>
      </c>
      <c r="AM150" s="64"/>
      <c r="AN150" s="818" t="s">
        <v>135</v>
      </c>
      <c r="AO150" s="73">
        <f t="shared" ca="1" si="394"/>
        <v>0</v>
      </c>
      <c r="AP150" s="64"/>
      <c r="AQ150" s="823" t="s">
        <v>135</v>
      </c>
      <c r="AR150" s="73">
        <f t="shared" ca="1" si="395"/>
        <v>0</v>
      </c>
      <c r="AS150" s="64"/>
      <c r="AT150" s="828" t="s">
        <v>135</v>
      </c>
      <c r="AU150" s="73">
        <f t="shared" ca="1" si="396"/>
        <v>0</v>
      </c>
      <c r="AV150" s="64"/>
      <c r="AW150" s="832" t="s">
        <v>74</v>
      </c>
      <c r="AX150" s="73">
        <f t="shared" ca="1" si="397"/>
        <v>0</v>
      </c>
      <c r="AY150" s="64"/>
      <c r="AZ150" s="838" t="s">
        <v>135</v>
      </c>
      <c r="BA150" s="73">
        <f t="shared" ca="1" si="398"/>
        <v>0</v>
      </c>
      <c r="BB150" s="64"/>
      <c r="BC150" s="845" t="s">
        <v>135</v>
      </c>
      <c r="BD150" s="73">
        <f t="shared" ca="1" si="399"/>
        <v>0</v>
      </c>
      <c r="BE150" s="64"/>
      <c r="BF150" s="849" t="s">
        <v>135</v>
      </c>
      <c r="BG150" s="73">
        <f t="shared" ca="1" si="400"/>
        <v>0</v>
      </c>
      <c r="BH150" s="64"/>
      <c r="BI150" s="859" t="s">
        <v>135</v>
      </c>
      <c r="BJ150" s="73">
        <f t="shared" ca="1" si="401"/>
        <v>0</v>
      </c>
      <c r="BK150" s="64"/>
      <c r="BL150" s="864" t="s">
        <v>135</v>
      </c>
      <c r="BM150" s="73">
        <f t="shared" ca="1" si="402"/>
        <v>0</v>
      </c>
      <c r="BN150" s="64"/>
      <c r="BO150" s="869" t="s">
        <v>135</v>
      </c>
      <c r="BP150" s="73">
        <f t="shared" ca="1" si="403"/>
        <v>0</v>
      </c>
      <c r="BQ150" s="64"/>
      <c r="BR150" s="838" t="s">
        <v>1634</v>
      </c>
      <c r="BS150" s="73">
        <f t="shared" ca="1" si="404"/>
        <v>0</v>
      </c>
      <c r="BT150" s="64"/>
      <c r="BU150" s="873" t="s">
        <v>135</v>
      </c>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4">
        <f ca="1">VLOOKUP(H151,Equipos!$Q$1:$R$25,2,0)</f>
        <v>19</v>
      </c>
      <c r="H151" s="446" t="str">
        <f>Idiomas!$D$137</f>
        <v>CLASIFICADOS PARA DIECISEISAVOS</v>
      </c>
      <c r="I151" s="50"/>
      <c r="J151" s="926"/>
      <c r="K151" s="56" t="str">
        <f>Idiomas!$D$198&amp;"-"&amp;ROWS($L$130:L151)</f>
        <v>Dieciseisavofinalista-22</v>
      </c>
      <c r="L151" s="53"/>
      <c r="M151" s="55" t="str">
        <f ca="1">WORLDCUP!AF106</f>
        <v>3CDFGH</v>
      </c>
      <c r="N151" s="25"/>
      <c r="O151" s="25"/>
      <c r="P151" s="25"/>
      <c r="Q151" s="25"/>
      <c r="R151" s="110"/>
      <c r="S151" s="854" t="s">
        <v>1833</v>
      </c>
      <c r="T151" s="73">
        <f t="shared" ca="1" si="387"/>
        <v>0</v>
      </c>
      <c r="U151" s="64"/>
      <c r="V151" s="793" t="s">
        <v>1550</v>
      </c>
      <c r="W151" s="73">
        <f t="shared" ca="1" si="388"/>
        <v>0</v>
      </c>
      <c r="X151" s="64"/>
      <c r="Y151" s="798" t="s">
        <v>1552</v>
      </c>
      <c r="Z151" s="73">
        <f t="shared" ca="1" si="389"/>
        <v>0</v>
      </c>
      <c r="AA151" s="64"/>
      <c r="AB151" s="803" t="s">
        <v>111</v>
      </c>
      <c r="AC151" s="73">
        <f t="shared" ca="1" si="390"/>
        <v>0</v>
      </c>
      <c r="AD151" s="64"/>
      <c r="AE151" s="808" t="s">
        <v>1319</v>
      </c>
      <c r="AF151" s="73">
        <f t="shared" ca="1" si="391"/>
        <v>0</v>
      </c>
      <c r="AG151" s="64"/>
      <c r="AH151" s="74" t="s">
        <v>1319</v>
      </c>
      <c r="AI151" s="73">
        <f t="shared" ca="1" si="392"/>
        <v>0</v>
      </c>
      <c r="AJ151" s="64"/>
      <c r="AK151" s="813" t="s">
        <v>1833</v>
      </c>
      <c r="AL151" s="73">
        <f t="shared" ca="1" si="393"/>
        <v>0</v>
      </c>
      <c r="AM151" s="64"/>
      <c r="AN151" s="818" t="s">
        <v>1833</v>
      </c>
      <c r="AO151" s="73">
        <f t="shared" ca="1" si="394"/>
        <v>0</v>
      </c>
      <c r="AP151" s="64"/>
      <c r="AQ151" s="823" t="s">
        <v>1263</v>
      </c>
      <c r="AR151" s="73">
        <f t="shared" ca="1" si="395"/>
        <v>0</v>
      </c>
      <c r="AS151" s="64"/>
      <c r="AT151" s="828" t="s">
        <v>1262</v>
      </c>
      <c r="AU151" s="73">
        <f t="shared" ca="1" si="396"/>
        <v>0</v>
      </c>
      <c r="AV151" s="64"/>
      <c r="AW151" s="832" t="s">
        <v>1262</v>
      </c>
      <c r="AX151" s="73">
        <f t="shared" ca="1" si="397"/>
        <v>0</v>
      </c>
      <c r="AY151" s="64"/>
      <c r="AZ151" s="838" t="s">
        <v>1262</v>
      </c>
      <c r="BA151" s="73">
        <f t="shared" ca="1" si="398"/>
        <v>0</v>
      </c>
      <c r="BB151" s="64"/>
      <c r="BC151" s="845" t="s">
        <v>1833</v>
      </c>
      <c r="BD151" s="73">
        <f t="shared" ca="1" si="399"/>
        <v>0</v>
      </c>
      <c r="BE151" s="64"/>
      <c r="BF151" s="849" t="s">
        <v>1262</v>
      </c>
      <c r="BG151" s="73">
        <f t="shared" ca="1" si="400"/>
        <v>0</v>
      </c>
      <c r="BH151" s="64"/>
      <c r="BI151" s="859" t="s">
        <v>497</v>
      </c>
      <c r="BJ151" s="73">
        <f t="shared" ca="1" si="401"/>
        <v>0</v>
      </c>
      <c r="BK151" s="64"/>
      <c r="BL151" s="864" t="s">
        <v>1833</v>
      </c>
      <c r="BM151" s="73">
        <f t="shared" ca="1" si="402"/>
        <v>0</v>
      </c>
      <c r="BN151" s="64"/>
      <c r="BO151" s="869" t="s">
        <v>1833</v>
      </c>
      <c r="BP151" s="73">
        <f t="shared" ca="1" si="403"/>
        <v>0</v>
      </c>
      <c r="BQ151" s="64"/>
      <c r="BR151" s="838" t="s">
        <v>1833</v>
      </c>
      <c r="BS151" s="73">
        <f t="shared" ca="1" si="404"/>
        <v>0</v>
      </c>
      <c r="BT151" s="64"/>
      <c r="BU151" s="873" t="s">
        <v>1833</v>
      </c>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4">
        <f ca="1">VLOOKUP(H152,Equipos!$Q$1:$R$25,2,0)</f>
        <v>19</v>
      </c>
      <c r="H152" s="446" t="str">
        <f>Idiomas!$D$137</f>
        <v>CLASIFICADOS PARA DIECISEISAVOS</v>
      </c>
      <c r="I152" s="50"/>
      <c r="J152" s="926"/>
      <c r="K152" s="56" t="str">
        <f>Idiomas!$D$198&amp;"-"&amp;ROWS($L$130:L152)</f>
        <v>Dieciseisavofinalista-23</v>
      </c>
      <c r="L152" s="53"/>
      <c r="M152" s="55" t="str">
        <f ca="1">WORLDCUP!AF107</f>
        <v>3CEFHI</v>
      </c>
      <c r="N152" s="25"/>
      <c r="O152" s="25"/>
      <c r="P152" s="25"/>
      <c r="Q152" s="25"/>
      <c r="R152" s="110"/>
      <c r="S152" s="854" t="s">
        <v>134</v>
      </c>
      <c r="T152" s="73">
        <f t="shared" ca="1" si="387"/>
        <v>0</v>
      </c>
      <c r="U152" s="64"/>
      <c r="V152" s="793" t="s">
        <v>1726</v>
      </c>
      <c r="W152" s="73">
        <f t="shared" ca="1" si="388"/>
        <v>0</v>
      </c>
      <c r="X152" s="64"/>
      <c r="Y152" s="798" t="s">
        <v>1633</v>
      </c>
      <c r="Z152" s="73">
        <f t="shared" ca="1" si="389"/>
        <v>0</v>
      </c>
      <c r="AA152" s="64"/>
      <c r="AB152" s="803" t="s">
        <v>1632</v>
      </c>
      <c r="AC152" s="73">
        <f t="shared" ca="1" si="390"/>
        <v>0</v>
      </c>
      <c r="AD152" s="64"/>
      <c r="AE152" s="808" t="s">
        <v>1261</v>
      </c>
      <c r="AF152" s="73">
        <f t="shared" ca="1" si="391"/>
        <v>0</v>
      </c>
      <c r="AG152" s="64"/>
      <c r="AH152" s="74" t="s">
        <v>1632</v>
      </c>
      <c r="AI152" s="73">
        <f t="shared" ca="1" si="392"/>
        <v>0</v>
      </c>
      <c r="AJ152" s="64"/>
      <c r="AK152" s="813" t="s">
        <v>1633</v>
      </c>
      <c r="AL152" s="73">
        <f t="shared" ca="1" si="393"/>
        <v>0</v>
      </c>
      <c r="AM152" s="64"/>
      <c r="AN152" s="818" t="s">
        <v>134</v>
      </c>
      <c r="AO152" s="73">
        <f t="shared" ca="1" si="394"/>
        <v>0</v>
      </c>
      <c r="AP152" s="64"/>
      <c r="AQ152" s="823" t="s">
        <v>1321</v>
      </c>
      <c r="AR152" s="73">
        <f t="shared" ca="1" si="395"/>
        <v>0</v>
      </c>
      <c r="AS152" s="64"/>
      <c r="AT152" s="828" t="s">
        <v>1633</v>
      </c>
      <c r="AU152" s="73">
        <f t="shared" ca="1" si="396"/>
        <v>0</v>
      </c>
      <c r="AV152" s="64"/>
      <c r="AW152" s="832" t="s">
        <v>1833</v>
      </c>
      <c r="AX152" s="73">
        <f t="shared" ca="1" si="397"/>
        <v>0</v>
      </c>
      <c r="AY152" s="64"/>
      <c r="AZ152" s="838" t="s">
        <v>1633</v>
      </c>
      <c r="BA152" s="73">
        <f t="shared" ca="1" si="398"/>
        <v>0</v>
      </c>
      <c r="BB152" s="64"/>
      <c r="BC152" s="845" t="s">
        <v>1632</v>
      </c>
      <c r="BD152" s="73">
        <f t="shared" ca="1" si="399"/>
        <v>0</v>
      </c>
      <c r="BE152" s="64"/>
      <c r="BF152" s="849" t="s">
        <v>1261</v>
      </c>
      <c r="BG152" s="73">
        <f t="shared" ca="1" si="400"/>
        <v>0</v>
      </c>
      <c r="BH152" s="64"/>
      <c r="BI152" s="859" t="s">
        <v>1261</v>
      </c>
      <c r="BJ152" s="73">
        <f t="shared" ca="1" si="401"/>
        <v>0</v>
      </c>
      <c r="BK152" s="64"/>
      <c r="BL152" s="864" t="s">
        <v>1633</v>
      </c>
      <c r="BM152" s="73">
        <f t="shared" ca="1" si="402"/>
        <v>0</v>
      </c>
      <c r="BN152" s="64"/>
      <c r="BO152" s="869" t="s">
        <v>134</v>
      </c>
      <c r="BP152" s="73">
        <f t="shared" ca="1" si="403"/>
        <v>0</v>
      </c>
      <c r="BQ152" s="64"/>
      <c r="BR152" s="838" t="s">
        <v>134</v>
      </c>
      <c r="BS152" s="73">
        <f t="shared" ca="1" si="404"/>
        <v>0</v>
      </c>
      <c r="BT152" s="64"/>
      <c r="BU152" s="873" t="s">
        <v>1321</v>
      </c>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4">
        <f ca="1">VLOOKUP(H153,Equipos!$Q$1:$R$25,2,0)</f>
        <v>19</v>
      </c>
      <c r="H153" s="446" t="str">
        <f>Idiomas!$D$137</f>
        <v>CLASIFICADOS PARA DIECISEISAVOS</v>
      </c>
      <c r="I153" s="50"/>
      <c r="J153" s="926"/>
      <c r="K153" s="56" t="str">
        <f>Idiomas!$D$198&amp;"-"&amp;ROWS($L$130:L153)</f>
        <v>Dieciseisavofinalista-24</v>
      </c>
      <c r="L153" s="53"/>
      <c r="M153" s="55" t="str">
        <f ca="1">WORLDCUP!AF108</f>
        <v>3EHIJK</v>
      </c>
      <c r="N153" s="25"/>
      <c r="O153" s="25"/>
      <c r="P153" s="25"/>
      <c r="Q153" s="25"/>
      <c r="R153" s="110"/>
      <c r="S153" s="854" t="s">
        <v>1757</v>
      </c>
      <c r="T153" s="73">
        <f t="shared" ca="1" si="387"/>
        <v>0</v>
      </c>
      <c r="U153" s="64"/>
      <c r="V153" s="793" t="s">
        <v>1267</v>
      </c>
      <c r="W153" s="73">
        <f t="shared" ca="1" si="388"/>
        <v>0</v>
      </c>
      <c r="X153" s="64"/>
      <c r="Y153" s="798" t="s">
        <v>1320</v>
      </c>
      <c r="Z153" s="73">
        <f t="shared" ca="1" si="389"/>
        <v>0</v>
      </c>
      <c r="AA153" s="64"/>
      <c r="AB153" s="803" t="s">
        <v>1267</v>
      </c>
      <c r="AC153" s="73">
        <f t="shared" ca="1" si="390"/>
        <v>0</v>
      </c>
      <c r="AD153" s="64"/>
      <c r="AE153" s="808" t="s">
        <v>135</v>
      </c>
      <c r="AF153" s="73">
        <f t="shared" ca="1" si="391"/>
        <v>0</v>
      </c>
      <c r="AG153" s="64"/>
      <c r="AH153" s="74" t="s">
        <v>1634</v>
      </c>
      <c r="AI153" s="73">
        <f t="shared" ca="1" si="392"/>
        <v>0</v>
      </c>
      <c r="AJ153" s="64"/>
      <c r="AK153" s="813" t="s">
        <v>1558</v>
      </c>
      <c r="AL153" s="73">
        <f t="shared" ca="1" si="393"/>
        <v>0</v>
      </c>
      <c r="AM153" s="64"/>
      <c r="AN153" s="818" t="s">
        <v>1634</v>
      </c>
      <c r="AO153" s="73">
        <f t="shared" ca="1" si="394"/>
        <v>0</v>
      </c>
      <c r="AP153" s="64"/>
      <c r="AQ153" s="823" t="s">
        <v>1634</v>
      </c>
      <c r="AR153" s="73">
        <f t="shared" ca="1" si="395"/>
        <v>0</v>
      </c>
      <c r="AS153" s="64"/>
      <c r="AT153" s="828" t="s">
        <v>1634</v>
      </c>
      <c r="AU153" s="73">
        <f t="shared" ca="1" si="396"/>
        <v>0</v>
      </c>
      <c r="AV153" s="64"/>
      <c r="AW153" s="832" t="s">
        <v>1839</v>
      </c>
      <c r="AX153" s="73">
        <f t="shared" ca="1" si="397"/>
        <v>0</v>
      </c>
      <c r="AY153" s="64"/>
      <c r="AZ153" s="838" t="s">
        <v>1634</v>
      </c>
      <c r="BA153" s="73">
        <f t="shared" ca="1" si="398"/>
        <v>0</v>
      </c>
      <c r="BB153" s="64"/>
      <c r="BC153" s="845" t="s">
        <v>1634</v>
      </c>
      <c r="BD153" s="73">
        <f t="shared" ca="1" si="399"/>
        <v>0</v>
      </c>
      <c r="BE153" s="64"/>
      <c r="BF153" s="849" t="s">
        <v>1267</v>
      </c>
      <c r="BG153" s="73">
        <f t="shared" ca="1" si="400"/>
        <v>0</v>
      </c>
      <c r="BH153" s="64"/>
      <c r="BI153" s="859" t="s">
        <v>1634</v>
      </c>
      <c r="BJ153" s="73">
        <f t="shared" ca="1" si="401"/>
        <v>0</v>
      </c>
      <c r="BK153" s="64"/>
      <c r="BL153" s="864" t="s">
        <v>1634</v>
      </c>
      <c r="BM153" s="73">
        <f t="shared" ca="1" si="402"/>
        <v>0</v>
      </c>
      <c r="BN153" s="64"/>
      <c r="BO153" s="869" t="s">
        <v>1634</v>
      </c>
      <c r="BP153" s="73">
        <f t="shared" ca="1" si="403"/>
        <v>0</v>
      </c>
      <c r="BQ153" s="64"/>
      <c r="BR153" s="838" t="s">
        <v>135</v>
      </c>
      <c r="BS153" s="73">
        <f t="shared" ca="1" si="404"/>
        <v>0</v>
      </c>
      <c r="BT153" s="64"/>
      <c r="BU153" s="873" t="s">
        <v>1634</v>
      </c>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4">
        <f ca="1">VLOOKUP(H154,Equipos!$Q$1:$R$25,2,0)</f>
        <v>19</v>
      </c>
      <c r="H154" s="446" t="str">
        <f>Idiomas!$D$137</f>
        <v>CLASIFICADOS PARA DIECISEISAVOS</v>
      </c>
      <c r="I154" s="50"/>
      <c r="J154" s="926"/>
      <c r="K154" s="56" t="str">
        <f>Idiomas!$D$198&amp;"-"&amp;ROWS($L$130:L154)</f>
        <v>Dieciseisavofinalista-25</v>
      </c>
      <c r="L154" s="53"/>
      <c r="M154" s="55" t="str">
        <f ca="1">WORLDCUP!AF109</f>
        <v>3AEHIJ</v>
      </c>
      <c r="N154" s="25"/>
      <c r="O154" s="25"/>
      <c r="P154" s="25"/>
      <c r="Q154" s="25"/>
      <c r="R154" s="110"/>
      <c r="S154" s="854" t="s">
        <v>1261</v>
      </c>
      <c r="T154" s="73">
        <f t="shared" ca="1" si="387"/>
        <v>0</v>
      </c>
      <c r="U154" s="64"/>
      <c r="V154" s="793" t="s">
        <v>1632</v>
      </c>
      <c r="W154" s="73">
        <f t="shared" ca="1" si="388"/>
        <v>0</v>
      </c>
      <c r="X154" s="64"/>
      <c r="Y154" s="798" t="s">
        <v>1843</v>
      </c>
      <c r="Z154" s="73">
        <f t="shared" ca="1" si="389"/>
        <v>0</v>
      </c>
      <c r="AA154" s="64"/>
      <c r="AB154" s="803" t="s">
        <v>1265</v>
      </c>
      <c r="AC154" s="73">
        <f t="shared" ca="1" si="390"/>
        <v>0</v>
      </c>
      <c r="AD154" s="64"/>
      <c r="AE154" s="808" t="s">
        <v>1632</v>
      </c>
      <c r="AF154" s="73">
        <f t="shared" ca="1" si="391"/>
        <v>0</v>
      </c>
      <c r="AG154" s="64"/>
      <c r="AH154" s="74" t="s">
        <v>1260</v>
      </c>
      <c r="AI154" s="73">
        <f t="shared" ca="1" si="392"/>
        <v>0</v>
      </c>
      <c r="AJ154" s="64"/>
      <c r="AK154" s="813" t="s">
        <v>1843</v>
      </c>
      <c r="AL154" s="73">
        <f t="shared" ca="1" si="393"/>
        <v>0</v>
      </c>
      <c r="AM154" s="64"/>
      <c r="AN154" s="818" t="s">
        <v>1843</v>
      </c>
      <c r="AO154" s="73">
        <f t="shared" ca="1" si="394"/>
        <v>0</v>
      </c>
      <c r="AP154" s="64"/>
      <c r="AQ154" s="823" t="s">
        <v>1260</v>
      </c>
      <c r="AR154" s="73">
        <f t="shared" ca="1" si="395"/>
        <v>0</v>
      </c>
      <c r="AS154" s="64"/>
      <c r="AT154" s="828" t="s">
        <v>1843</v>
      </c>
      <c r="AU154" s="73">
        <f t="shared" ca="1" si="396"/>
        <v>0</v>
      </c>
      <c r="AV154" s="64"/>
      <c r="AW154" s="832" t="s">
        <v>1630</v>
      </c>
      <c r="AX154" s="73">
        <f t="shared" ca="1" si="397"/>
        <v>0</v>
      </c>
      <c r="AY154" s="64"/>
      <c r="AZ154" s="838" t="s">
        <v>1632</v>
      </c>
      <c r="BA154" s="73">
        <f t="shared" ca="1" si="398"/>
        <v>0</v>
      </c>
      <c r="BB154" s="64"/>
      <c r="BC154" s="845" t="s">
        <v>1260</v>
      </c>
      <c r="BD154" s="73">
        <f t="shared" ca="1" si="399"/>
        <v>0</v>
      </c>
      <c r="BE154" s="64"/>
      <c r="BF154" s="849" t="s">
        <v>1843</v>
      </c>
      <c r="BG154" s="73">
        <f t="shared" ca="1" si="400"/>
        <v>0</v>
      </c>
      <c r="BH154" s="64"/>
      <c r="BI154" s="859" t="s">
        <v>1558</v>
      </c>
      <c r="BJ154" s="73">
        <f t="shared" ca="1" si="401"/>
        <v>0</v>
      </c>
      <c r="BK154" s="64"/>
      <c r="BL154" s="864" t="s">
        <v>1630</v>
      </c>
      <c r="BM154" s="73">
        <f t="shared" ca="1" si="402"/>
        <v>0</v>
      </c>
      <c r="BN154" s="64"/>
      <c r="BO154" s="869" t="s">
        <v>1260</v>
      </c>
      <c r="BP154" s="73">
        <f t="shared" ca="1" si="403"/>
        <v>0</v>
      </c>
      <c r="BQ154" s="64"/>
      <c r="BR154" s="838" t="s">
        <v>1260</v>
      </c>
      <c r="BS154" s="73">
        <f t="shared" ca="1" si="404"/>
        <v>0</v>
      </c>
      <c r="BT154" s="64"/>
      <c r="BU154" s="873" t="s">
        <v>1843</v>
      </c>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4">
        <f ca="1">VLOOKUP(H155,Equipos!$Q$1:$R$25,2,0)</f>
        <v>19</v>
      </c>
      <c r="H155" s="446" t="str">
        <f>Idiomas!$D$137</f>
        <v>CLASIFICADOS PARA DIECISEISAVOS</v>
      </c>
      <c r="I155" s="50"/>
      <c r="J155" s="926"/>
      <c r="K155" s="56" t="str">
        <f>Idiomas!$D$198&amp;"-"&amp;ROWS($L$130:L155)</f>
        <v>Dieciseisavofinalista-26</v>
      </c>
      <c r="L155" s="53"/>
      <c r="M155" s="55" t="str">
        <f ca="1">WORLDCUP!AF110</f>
        <v>3BEFIJ</v>
      </c>
      <c r="N155" s="25"/>
      <c r="O155" s="25"/>
      <c r="P155" s="25"/>
      <c r="Q155" s="25"/>
      <c r="R155" s="110"/>
      <c r="S155" s="854" t="s">
        <v>1631</v>
      </c>
      <c r="T155" s="73">
        <f t="shared" ca="1" si="387"/>
        <v>0</v>
      </c>
      <c r="U155" s="64"/>
      <c r="V155" s="793" t="s">
        <v>1841</v>
      </c>
      <c r="W155" s="73">
        <f t="shared" ca="1" si="388"/>
        <v>0</v>
      </c>
      <c r="X155" s="64"/>
      <c r="Y155" s="798" t="s">
        <v>1841</v>
      </c>
      <c r="Z155" s="73">
        <f t="shared" ca="1" si="389"/>
        <v>0</v>
      </c>
      <c r="AA155" s="64"/>
      <c r="AB155" s="803" t="s">
        <v>1841</v>
      </c>
      <c r="AC155" s="73">
        <f t="shared" ca="1" si="390"/>
        <v>0</v>
      </c>
      <c r="AD155" s="64"/>
      <c r="AE155" s="808" t="s">
        <v>1841</v>
      </c>
      <c r="AF155" s="73">
        <f t="shared" ca="1" si="391"/>
        <v>0</v>
      </c>
      <c r="AG155" s="64"/>
      <c r="AH155" s="74" t="s">
        <v>1263</v>
      </c>
      <c r="AI155" s="73">
        <f t="shared" ca="1" si="392"/>
        <v>0</v>
      </c>
      <c r="AJ155" s="64"/>
      <c r="AK155" s="813" t="s">
        <v>1841</v>
      </c>
      <c r="AL155" s="73">
        <f t="shared" ca="1" si="393"/>
        <v>0</v>
      </c>
      <c r="AM155" s="64"/>
      <c r="AN155" s="818" t="s">
        <v>1259</v>
      </c>
      <c r="AO155" s="73">
        <f t="shared" ca="1" si="394"/>
        <v>0</v>
      </c>
      <c r="AP155" s="64"/>
      <c r="AQ155" s="823" t="s">
        <v>1259</v>
      </c>
      <c r="AR155" s="73">
        <f t="shared" ca="1" si="395"/>
        <v>0</v>
      </c>
      <c r="AS155" s="64"/>
      <c r="AT155" s="828" t="s">
        <v>1841</v>
      </c>
      <c r="AU155" s="73">
        <f t="shared" ca="1" si="396"/>
        <v>0</v>
      </c>
      <c r="AV155" s="64"/>
      <c r="AW155" s="832" t="s">
        <v>1841</v>
      </c>
      <c r="AX155" s="73">
        <f t="shared" ca="1" si="397"/>
        <v>0</v>
      </c>
      <c r="AY155" s="64"/>
      <c r="AZ155" s="838" t="s">
        <v>1841</v>
      </c>
      <c r="BA155" s="73">
        <f t="shared" ca="1" si="398"/>
        <v>0</v>
      </c>
      <c r="BB155" s="64"/>
      <c r="BC155" s="845" t="s">
        <v>1631</v>
      </c>
      <c r="BD155" s="73">
        <f t="shared" ca="1" si="399"/>
        <v>0</v>
      </c>
      <c r="BE155" s="64"/>
      <c r="BF155" s="849" t="s">
        <v>1634</v>
      </c>
      <c r="BG155" s="73">
        <f t="shared" ca="1" si="400"/>
        <v>0</v>
      </c>
      <c r="BH155" s="64"/>
      <c r="BI155" s="859" t="s">
        <v>1259</v>
      </c>
      <c r="BJ155" s="73">
        <f t="shared" ca="1" si="401"/>
        <v>0</v>
      </c>
      <c r="BK155" s="64"/>
      <c r="BL155" s="864" t="s">
        <v>1841</v>
      </c>
      <c r="BM155" s="73">
        <f t="shared" ca="1" si="402"/>
        <v>0</v>
      </c>
      <c r="BN155" s="64"/>
      <c r="BO155" s="869" t="s">
        <v>75</v>
      </c>
      <c r="BP155" s="73">
        <f t="shared" ca="1" si="403"/>
        <v>0</v>
      </c>
      <c r="BQ155" s="64"/>
      <c r="BR155" s="838" t="s">
        <v>1259</v>
      </c>
      <c r="BS155" s="73">
        <f t="shared" ca="1" si="404"/>
        <v>0</v>
      </c>
      <c r="BT155" s="64"/>
      <c r="BU155" s="873" t="s">
        <v>1261</v>
      </c>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4">
        <f ca="1">VLOOKUP(H156,Equipos!$Q$1:$R$25,2,0)</f>
        <v>19</v>
      </c>
      <c r="H156" s="446" t="str">
        <f>Idiomas!$D$137</f>
        <v>CLASIFICADOS PARA DIECISEISAVOS</v>
      </c>
      <c r="I156" s="50"/>
      <c r="J156" s="926"/>
      <c r="K156" s="56" t="str">
        <f>Idiomas!$D$198&amp;"-"&amp;ROWS($L$130:L156)</f>
        <v>Dieciseisavofinalista-27</v>
      </c>
      <c r="L156" s="53"/>
      <c r="M156" s="55" t="str">
        <f ca="1">WORLDCUP!AF111</f>
        <v>2J</v>
      </c>
      <c r="N156" s="25"/>
      <c r="O156" s="25"/>
      <c r="P156" s="25"/>
      <c r="Q156" s="25"/>
      <c r="R156" s="110"/>
      <c r="S156" s="854" t="s">
        <v>80</v>
      </c>
      <c r="T156" s="73">
        <f t="shared" ca="1" si="387"/>
        <v>0</v>
      </c>
      <c r="U156" s="64"/>
      <c r="V156" s="793" t="s">
        <v>80</v>
      </c>
      <c r="W156" s="73">
        <f t="shared" ca="1" si="388"/>
        <v>0</v>
      </c>
      <c r="X156" s="64"/>
      <c r="Y156" s="798" t="s">
        <v>80</v>
      </c>
      <c r="Z156" s="73">
        <f t="shared" ca="1" si="389"/>
        <v>0</v>
      </c>
      <c r="AA156" s="64"/>
      <c r="AB156" s="803" t="s">
        <v>1558</v>
      </c>
      <c r="AC156" s="73">
        <f t="shared" ca="1" si="390"/>
        <v>0</v>
      </c>
      <c r="AD156" s="64"/>
      <c r="AE156" s="808" t="s">
        <v>1256</v>
      </c>
      <c r="AF156" s="73">
        <f t="shared" ca="1" si="391"/>
        <v>0</v>
      </c>
      <c r="AG156" s="64"/>
      <c r="AH156" s="74" t="s">
        <v>80</v>
      </c>
      <c r="AI156" s="73">
        <f t="shared" ca="1" si="392"/>
        <v>0</v>
      </c>
      <c r="AJ156" s="64"/>
      <c r="AK156" s="813" t="s">
        <v>80</v>
      </c>
      <c r="AL156" s="73">
        <f t="shared" ca="1" si="393"/>
        <v>0</v>
      </c>
      <c r="AM156" s="64"/>
      <c r="AN156" s="818" t="s">
        <v>80</v>
      </c>
      <c r="AO156" s="73">
        <f t="shared" ca="1" si="394"/>
        <v>0</v>
      </c>
      <c r="AP156" s="64"/>
      <c r="AQ156" s="823" t="s">
        <v>80</v>
      </c>
      <c r="AR156" s="73">
        <f t="shared" ca="1" si="395"/>
        <v>0</v>
      </c>
      <c r="AS156" s="64"/>
      <c r="AT156" s="828" t="s">
        <v>1558</v>
      </c>
      <c r="AU156" s="73">
        <f t="shared" ca="1" si="396"/>
        <v>0</v>
      </c>
      <c r="AV156" s="64"/>
      <c r="AW156" s="832" t="s">
        <v>1558</v>
      </c>
      <c r="AX156" s="73">
        <f t="shared" ca="1" si="397"/>
        <v>0</v>
      </c>
      <c r="AY156" s="64"/>
      <c r="AZ156" s="838" t="s">
        <v>1558</v>
      </c>
      <c r="BA156" s="73">
        <f t="shared" ca="1" si="398"/>
        <v>0</v>
      </c>
      <c r="BB156" s="64"/>
      <c r="BC156" s="845" t="s">
        <v>1558</v>
      </c>
      <c r="BD156" s="73">
        <f t="shared" ca="1" si="399"/>
        <v>0</v>
      </c>
      <c r="BE156" s="64"/>
      <c r="BF156" s="849" t="s">
        <v>1558</v>
      </c>
      <c r="BG156" s="73">
        <f t="shared" ca="1" si="400"/>
        <v>0</v>
      </c>
      <c r="BH156" s="64"/>
      <c r="BI156" s="859" t="s">
        <v>80</v>
      </c>
      <c r="BJ156" s="73">
        <f t="shared" ca="1" si="401"/>
        <v>0</v>
      </c>
      <c r="BK156" s="64"/>
      <c r="BL156" s="864" t="s">
        <v>1558</v>
      </c>
      <c r="BM156" s="73">
        <f t="shared" ca="1" si="402"/>
        <v>0</v>
      </c>
      <c r="BN156" s="64"/>
      <c r="BO156" s="869" t="s">
        <v>80</v>
      </c>
      <c r="BP156" s="73">
        <f t="shared" ca="1" si="403"/>
        <v>0</v>
      </c>
      <c r="BQ156" s="64"/>
      <c r="BR156" s="838" t="s">
        <v>80</v>
      </c>
      <c r="BS156" s="73">
        <f t="shared" ca="1" si="404"/>
        <v>0</v>
      </c>
      <c r="BT156" s="64"/>
      <c r="BU156" s="873" t="s">
        <v>80</v>
      </c>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4">
        <f ca="1">VLOOKUP(H157,Equipos!$Q$1:$R$25,2,0)</f>
        <v>19</v>
      </c>
      <c r="H157" s="446" t="str">
        <f>Idiomas!$D$137</f>
        <v>CLASIFICADOS PARA DIECISEISAVOS</v>
      </c>
      <c r="I157" s="50"/>
      <c r="J157" s="926"/>
      <c r="K157" s="56" t="str">
        <f>Idiomas!$D$198&amp;"-"&amp;ROWS($L$130:L157)</f>
        <v>Dieciseisavofinalista-28</v>
      </c>
      <c r="L157" s="53"/>
      <c r="M157" s="55" t="str">
        <f ca="1">WORLDCUP!AF112</f>
        <v>2L</v>
      </c>
      <c r="N157" s="25"/>
      <c r="O157" s="25"/>
      <c r="P157" s="25"/>
      <c r="Q157" s="25"/>
      <c r="R157" s="110"/>
      <c r="S157" s="854" t="s">
        <v>1551</v>
      </c>
      <c r="T157" s="73">
        <f t="shared" ca="1" si="387"/>
        <v>0</v>
      </c>
      <c r="U157" s="64"/>
      <c r="V157" s="793" t="s">
        <v>76</v>
      </c>
      <c r="W157" s="73">
        <f t="shared" ca="1" si="388"/>
        <v>0</v>
      </c>
      <c r="X157" s="64"/>
      <c r="Y157" s="798" t="s">
        <v>78</v>
      </c>
      <c r="Z157" s="73">
        <f t="shared" ca="1" si="389"/>
        <v>0</v>
      </c>
      <c r="AA157" s="64"/>
      <c r="AB157" s="803" t="s">
        <v>78</v>
      </c>
      <c r="AC157" s="73">
        <f t="shared" ca="1" si="390"/>
        <v>0</v>
      </c>
      <c r="AD157" s="64"/>
      <c r="AE157" s="808" t="s">
        <v>78</v>
      </c>
      <c r="AF157" s="73">
        <f t="shared" ca="1" si="391"/>
        <v>0</v>
      </c>
      <c r="AG157" s="64"/>
      <c r="AH157" s="74" t="s">
        <v>78</v>
      </c>
      <c r="AI157" s="73">
        <f t="shared" ca="1" si="392"/>
        <v>0</v>
      </c>
      <c r="AJ157" s="64"/>
      <c r="AK157" s="813" t="s">
        <v>78</v>
      </c>
      <c r="AL157" s="73">
        <f t="shared" ca="1" si="393"/>
        <v>0</v>
      </c>
      <c r="AM157" s="64"/>
      <c r="AN157" s="818" t="s">
        <v>78</v>
      </c>
      <c r="AO157" s="73">
        <f t="shared" ca="1" si="394"/>
        <v>0</v>
      </c>
      <c r="AP157" s="64"/>
      <c r="AQ157" s="823" t="s">
        <v>78</v>
      </c>
      <c r="AR157" s="73">
        <f t="shared" ca="1" si="395"/>
        <v>0</v>
      </c>
      <c r="AS157" s="64"/>
      <c r="AT157" s="828" t="s">
        <v>78</v>
      </c>
      <c r="AU157" s="73">
        <f t="shared" ca="1" si="396"/>
        <v>0</v>
      </c>
      <c r="AV157" s="64"/>
      <c r="AW157" s="832" t="s">
        <v>78</v>
      </c>
      <c r="AX157" s="73">
        <f t="shared" ca="1" si="397"/>
        <v>0</v>
      </c>
      <c r="AY157" s="64"/>
      <c r="AZ157" s="838" t="s">
        <v>78</v>
      </c>
      <c r="BA157" s="73">
        <f t="shared" ca="1" si="398"/>
        <v>0</v>
      </c>
      <c r="BB157" s="64"/>
      <c r="BC157" s="845" t="s">
        <v>78</v>
      </c>
      <c r="BD157" s="73">
        <f t="shared" ca="1" si="399"/>
        <v>0</v>
      </c>
      <c r="BE157" s="64"/>
      <c r="BF157" s="849" t="s">
        <v>78</v>
      </c>
      <c r="BG157" s="73">
        <f t="shared" ca="1" si="400"/>
        <v>0</v>
      </c>
      <c r="BH157" s="64"/>
      <c r="BI157" s="859" t="s">
        <v>78</v>
      </c>
      <c r="BJ157" s="73">
        <f t="shared" ca="1" si="401"/>
        <v>0</v>
      </c>
      <c r="BK157" s="64"/>
      <c r="BL157" s="864" t="s">
        <v>76</v>
      </c>
      <c r="BM157" s="73">
        <f t="shared" ca="1" si="402"/>
        <v>0</v>
      </c>
      <c r="BN157" s="64"/>
      <c r="BO157" s="869" t="s">
        <v>78</v>
      </c>
      <c r="BP157" s="73">
        <f t="shared" ca="1" si="403"/>
        <v>0</v>
      </c>
      <c r="BQ157" s="64"/>
      <c r="BR157" s="838" t="s">
        <v>78</v>
      </c>
      <c r="BS157" s="73">
        <f t="shared" ca="1" si="404"/>
        <v>0</v>
      </c>
      <c r="BT157" s="64"/>
      <c r="BU157" s="873" t="s">
        <v>78</v>
      </c>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4">
        <f ca="1">VLOOKUP(H158,Equipos!$Q$1:$R$25,2,0)</f>
        <v>19</v>
      </c>
      <c r="H158" s="446" t="str">
        <f>Idiomas!$D$137</f>
        <v>CLASIFICADOS PARA DIECISEISAVOS</v>
      </c>
      <c r="I158" s="50"/>
      <c r="J158" s="926"/>
      <c r="K158" s="56" t="str">
        <f>Idiomas!$D$198&amp;"-"&amp;ROWS($L$130:L158)</f>
        <v>Dieciseisavofinalista-29</v>
      </c>
      <c r="L158" s="53"/>
      <c r="M158" s="55" t="str">
        <f ca="1">WORLDCUP!AF113</f>
        <v>3EFGIJ</v>
      </c>
      <c r="N158" s="25"/>
      <c r="O158" s="25"/>
      <c r="P158" s="25"/>
      <c r="Q158" s="25"/>
      <c r="R158" s="110"/>
      <c r="S158" s="854" t="s">
        <v>1550</v>
      </c>
      <c r="T158" s="73">
        <f t="shared" ca="1" si="387"/>
        <v>0</v>
      </c>
      <c r="U158" s="64"/>
      <c r="V158" s="793" t="s">
        <v>1558</v>
      </c>
      <c r="W158" s="73">
        <f t="shared" ca="1" si="388"/>
        <v>0</v>
      </c>
      <c r="X158" s="64"/>
      <c r="Y158" s="798" t="s">
        <v>1558</v>
      </c>
      <c r="Z158" s="73">
        <f t="shared" ca="1" si="389"/>
        <v>0</v>
      </c>
      <c r="AA158" s="64"/>
      <c r="AB158" s="803" t="s">
        <v>80</v>
      </c>
      <c r="AC158" s="73">
        <f t="shared" ca="1" si="390"/>
        <v>0</v>
      </c>
      <c r="AD158" s="64"/>
      <c r="AE158" s="808" t="s">
        <v>1558</v>
      </c>
      <c r="AF158" s="73">
        <f t="shared" ca="1" si="391"/>
        <v>0</v>
      </c>
      <c r="AG158" s="64"/>
      <c r="AH158" s="74" t="s">
        <v>1262</v>
      </c>
      <c r="AI158" s="73">
        <f t="shared" ca="1" si="392"/>
        <v>0</v>
      </c>
      <c r="AJ158" s="64"/>
      <c r="AK158" s="813" t="s">
        <v>1262</v>
      </c>
      <c r="AL158" s="73">
        <f t="shared" ca="1" si="393"/>
        <v>0</v>
      </c>
      <c r="AM158" s="64"/>
      <c r="AN158" s="818" t="s">
        <v>1633</v>
      </c>
      <c r="AO158" s="73">
        <f t="shared" ca="1" si="394"/>
        <v>0</v>
      </c>
      <c r="AP158" s="64"/>
      <c r="AQ158" s="823" t="s">
        <v>1558</v>
      </c>
      <c r="AR158" s="73">
        <f t="shared" ca="1" si="395"/>
        <v>0</v>
      </c>
      <c r="AS158" s="64"/>
      <c r="AT158" s="828" t="s">
        <v>80</v>
      </c>
      <c r="AU158" s="73">
        <f t="shared" ca="1" si="396"/>
        <v>0</v>
      </c>
      <c r="AV158" s="64"/>
      <c r="AW158" s="832" t="s">
        <v>80</v>
      </c>
      <c r="AX158" s="73">
        <f t="shared" ca="1" si="397"/>
        <v>0</v>
      </c>
      <c r="AY158" s="64"/>
      <c r="AZ158" s="838" t="s">
        <v>1264</v>
      </c>
      <c r="BA158" s="73">
        <f t="shared" ca="1" si="398"/>
        <v>0</v>
      </c>
      <c r="BB158" s="64"/>
      <c r="BC158" s="845" t="s">
        <v>80</v>
      </c>
      <c r="BD158" s="73">
        <f t="shared" ca="1" si="399"/>
        <v>0</v>
      </c>
      <c r="BE158" s="64"/>
      <c r="BF158" s="849" t="s">
        <v>80</v>
      </c>
      <c r="BG158" s="73">
        <f t="shared" ca="1" si="400"/>
        <v>0</v>
      </c>
      <c r="BH158" s="64"/>
      <c r="BI158" s="859" t="s">
        <v>1262</v>
      </c>
      <c r="BJ158" s="73">
        <f t="shared" ca="1" si="401"/>
        <v>0</v>
      </c>
      <c r="BK158" s="64"/>
      <c r="BL158" s="864" t="s">
        <v>80</v>
      </c>
      <c r="BM158" s="73">
        <f t="shared" ca="1" si="402"/>
        <v>0</v>
      </c>
      <c r="BN158" s="64"/>
      <c r="BO158" s="869" t="s">
        <v>1633</v>
      </c>
      <c r="BP158" s="73">
        <f t="shared" ca="1" si="403"/>
        <v>0</v>
      </c>
      <c r="BQ158" s="64"/>
      <c r="BR158" s="838" t="s">
        <v>1262</v>
      </c>
      <c r="BS158" s="73">
        <f t="shared" ca="1" si="404"/>
        <v>0</v>
      </c>
      <c r="BT158" s="64"/>
      <c r="BU158" s="873" t="s">
        <v>1262</v>
      </c>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4">
        <f ca="1">VLOOKUP(H159,Equipos!$Q$1:$R$25,2,0)</f>
        <v>19</v>
      </c>
      <c r="H159" s="446" t="str">
        <f>Idiomas!$D$137</f>
        <v>CLASIFICADOS PARA DIECISEISAVOS</v>
      </c>
      <c r="I159" s="50"/>
      <c r="J159" s="926"/>
      <c r="K159" s="56" t="str">
        <f>Idiomas!$D$198&amp;"-"&amp;ROWS($L$130:L159)</f>
        <v>Dieciseisavofinalista-30</v>
      </c>
      <c r="L159" s="53"/>
      <c r="M159" s="55" t="str">
        <f ca="1">WORLDCUP!AF114</f>
        <v>2G</v>
      </c>
      <c r="N159" s="25"/>
      <c r="O159" s="25"/>
      <c r="P159" s="25"/>
      <c r="Q159" s="25"/>
      <c r="R159" s="110"/>
      <c r="S159" s="854" t="s">
        <v>1266</v>
      </c>
      <c r="T159" s="73">
        <f t="shared" ca="1" si="387"/>
        <v>0</v>
      </c>
      <c r="U159" s="64"/>
      <c r="V159" s="793" t="s">
        <v>110</v>
      </c>
      <c r="W159" s="73">
        <f t="shared" ca="1" si="388"/>
        <v>0</v>
      </c>
      <c r="X159" s="64"/>
      <c r="Y159" s="798" t="s">
        <v>1262</v>
      </c>
      <c r="Z159" s="73">
        <f t="shared" ca="1" si="389"/>
        <v>0</v>
      </c>
      <c r="AA159" s="64"/>
      <c r="AB159" s="803" t="s">
        <v>1550</v>
      </c>
      <c r="AC159" s="73">
        <f t="shared" ca="1" si="390"/>
        <v>0</v>
      </c>
      <c r="AD159" s="64"/>
      <c r="AE159" s="808" t="s">
        <v>1550</v>
      </c>
      <c r="AF159" s="73">
        <f t="shared" ca="1" si="391"/>
        <v>0</v>
      </c>
      <c r="AG159" s="64"/>
      <c r="AH159" s="74" t="s">
        <v>1550</v>
      </c>
      <c r="AI159" s="73">
        <f t="shared" ca="1" si="392"/>
        <v>0</v>
      </c>
      <c r="AJ159" s="64"/>
      <c r="AK159" s="813" t="s">
        <v>1550</v>
      </c>
      <c r="AL159" s="73">
        <f t="shared" ca="1" si="393"/>
        <v>0</v>
      </c>
      <c r="AM159" s="64"/>
      <c r="AN159" s="818" t="s">
        <v>1550</v>
      </c>
      <c r="AO159" s="73">
        <f t="shared" ca="1" si="394"/>
        <v>0</v>
      </c>
      <c r="AP159" s="64"/>
      <c r="AQ159" s="823" t="s">
        <v>1550</v>
      </c>
      <c r="AR159" s="73">
        <f t="shared" ca="1" si="395"/>
        <v>0</v>
      </c>
      <c r="AS159" s="64"/>
      <c r="AT159" s="828" t="s">
        <v>1550</v>
      </c>
      <c r="AU159" s="73">
        <f t="shared" ca="1" si="396"/>
        <v>0</v>
      </c>
      <c r="AV159" s="64"/>
      <c r="AW159" s="832" t="s">
        <v>1266</v>
      </c>
      <c r="AX159" s="73">
        <f t="shared" ca="1" si="397"/>
        <v>0</v>
      </c>
      <c r="AY159" s="64"/>
      <c r="AZ159" s="838" t="s">
        <v>1550</v>
      </c>
      <c r="BA159" s="73">
        <f t="shared" ca="1" si="398"/>
        <v>0</v>
      </c>
      <c r="BB159" s="64"/>
      <c r="BC159" s="845" t="s">
        <v>1266</v>
      </c>
      <c r="BD159" s="73">
        <f t="shared" ca="1" si="399"/>
        <v>0</v>
      </c>
      <c r="BE159" s="64"/>
      <c r="BF159" s="849" t="s">
        <v>1550</v>
      </c>
      <c r="BG159" s="73">
        <f t="shared" ca="1" si="400"/>
        <v>0</v>
      </c>
      <c r="BH159" s="64"/>
      <c r="BI159" s="859" t="s">
        <v>1550</v>
      </c>
      <c r="BJ159" s="73">
        <f t="shared" ca="1" si="401"/>
        <v>0</v>
      </c>
      <c r="BK159" s="64"/>
      <c r="BL159" s="864" t="s">
        <v>1550</v>
      </c>
      <c r="BM159" s="73">
        <f t="shared" ca="1" si="402"/>
        <v>0</v>
      </c>
      <c r="BN159" s="64"/>
      <c r="BO159" s="869" t="s">
        <v>1550</v>
      </c>
      <c r="BP159" s="73">
        <f t="shared" ca="1" si="403"/>
        <v>0</v>
      </c>
      <c r="BQ159" s="64"/>
      <c r="BR159" s="838" t="s">
        <v>1550</v>
      </c>
      <c r="BS159" s="73">
        <f t="shared" ca="1" si="404"/>
        <v>0</v>
      </c>
      <c r="BT159" s="64"/>
      <c r="BU159" s="873" t="s">
        <v>1550</v>
      </c>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4">
        <f ca="1">VLOOKUP(H160,Equipos!$Q$1:$R$25,2,0)</f>
        <v>19</v>
      </c>
      <c r="H160" s="446" t="str">
        <f>Idiomas!$D$137</f>
        <v>CLASIFICADOS PARA DIECISEISAVOS</v>
      </c>
      <c r="I160" s="50"/>
      <c r="J160" s="926"/>
      <c r="K160" s="56" t="str">
        <f>Idiomas!$D$198&amp;"-"&amp;ROWS($L$130:L160)</f>
        <v>Dieciseisavofinalista-31</v>
      </c>
      <c r="L160" s="53"/>
      <c r="M160" s="55" t="str">
        <f ca="1">WORLDCUP!AF115</f>
        <v>2H</v>
      </c>
      <c r="N160" s="25"/>
      <c r="O160" s="25"/>
      <c r="P160" s="25"/>
      <c r="Q160" s="25"/>
      <c r="R160" s="110"/>
      <c r="S160" s="854" t="s">
        <v>1318</v>
      </c>
      <c r="T160" s="73">
        <f t="shared" ca="1" si="387"/>
        <v>0</v>
      </c>
      <c r="U160" s="64"/>
      <c r="V160" s="793" t="s">
        <v>38</v>
      </c>
      <c r="W160" s="73">
        <f t="shared" ca="1" si="388"/>
        <v>0</v>
      </c>
      <c r="X160" s="64"/>
      <c r="Y160" s="798" t="s">
        <v>1318</v>
      </c>
      <c r="Z160" s="73">
        <f t="shared" ca="1" si="389"/>
        <v>0</v>
      </c>
      <c r="AA160" s="64"/>
      <c r="AB160" s="803" t="s">
        <v>1318</v>
      </c>
      <c r="AC160" s="73">
        <f t="shared" ca="1" si="390"/>
        <v>0</v>
      </c>
      <c r="AD160" s="64"/>
      <c r="AE160" s="808" t="s">
        <v>1318</v>
      </c>
      <c r="AF160" s="73">
        <f t="shared" ca="1" si="391"/>
        <v>0</v>
      </c>
      <c r="AG160" s="64"/>
      <c r="AH160" s="74" t="s">
        <v>1318</v>
      </c>
      <c r="AI160" s="73">
        <f t="shared" ca="1" si="392"/>
        <v>0</v>
      </c>
      <c r="AJ160" s="64"/>
      <c r="AK160" s="813" t="s">
        <v>1318</v>
      </c>
      <c r="AL160" s="73">
        <f t="shared" ca="1" si="393"/>
        <v>0</v>
      </c>
      <c r="AM160" s="64"/>
      <c r="AN160" s="818" t="s">
        <v>1318</v>
      </c>
      <c r="AO160" s="73">
        <f t="shared" ca="1" si="394"/>
        <v>0</v>
      </c>
      <c r="AP160" s="64"/>
      <c r="AQ160" s="823" t="s">
        <v>1318</v>
      </c>
      <c r="AR160" s="73">
        <f t="shared" ca="1" si="395"/>
        <v>0</v>
      </c>
      <c r="AS160" s="64"/>
      <c r="AT160" s="828" t="s">
        <v>1318</v>
      </c>
      <c r="AU160" s="73">
        <f t="shared" ca="1" si="396"/>
        <v>0</v>
      </c>
      <c r="AV160" s="64"/>
      <c r="AW160" s="832" t="s">
        <v>1318</v>
      </c>
      <c r="AX160" s="73">
        <f t="shared" ca="1" si="397"/>
        <v>0</v>
      </c>
      <c r="AY160" s="64"/>
      <c r="AZ160" s="838" t="s">
        <v>1318</v>
      </c>
      <c r="BA160" s="73">
        <f t="shared" ca="1" si="398"/>
        <v>0</v>
      </c>
      <c r="BB160" s="64"/>
      <c r="BC160" s="845" t="s">
        <v>38</v>
      </c>
      <c r="BD160" s="73">
        <f t="shared" ca="1" si="399"/>
        <v>0</v>
      </c>
      <c r="BE160" s="64"/>
      <c r="BF160" s="849" t="s">
        <v>1318</v>
      </c>
      <c r="BG160" s="73">
        <f t="shared" ca="1" si="400"/>
        <v>0</v>
      </c>
      <c r="BH160" s="64"/>
      <c r="BI160" s="859" t="s">
        <v>1318</v>
      </c>
      <c r="BJ160" s="73">
        <f t="shared" ca="1" si="401"/>
        <v>0</v>
      </c>
      <c r="BK160" s="64"/>
      <c r="BL160" s="864" t="s">
        <v>1318</v>
      </c>
      <c r="BM160" s="73">
        <f t="shared" ca="1" si="402"/>
        <v>0</v>
      </c>
      <c r="BN160" s="64"/>
      <c r="BO160" s="869" t="s">
        <v>1318</v>
      </c>
      <c r="BP160" s="73">
        <f t="shared" ca="1" si="403"/>
        <v>0</v>
      </c>
      <c r="BQ160" s="64"/>
      <c r="BR160" s="838" t="s">
        <v>1318</v>
      </c>
      <c r="BS160" s="73">
        <f t="shared" ca="1" si="404"/>
        <v>0</v>
      </c>
      <c r="BT160" s="64"/>
      <c r="BU160" s="873" t="s">
        <v>1318</v>
      </c>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4">
        <f ca="1">VLOOKUP(H161,Equipos!$Q$1:$R$25,2,0)</f>
        <v>19</v>
      </c>
      <c r="H161" s="446" t="str">
        <f>Idiomas!$D$137</f>
        <v>CLASIFICADOS PARA DIECISEISAVOS</v>
      </c>
      <c r="I161" s="50"/>
      <c r="J161" s="926"/>
      <c r="K161" s="115" t="str">
        <f>Idiomas!$D$198&amp;"-"&amp;ROWS($L$130:L161)</f>
        <v>Dieciseisavofinalista-32</v>
      </c>
      <c r="L161" s="115"/>
      <c r="M161" s="116" t="str">
        <f ca="1">WORLDCUP!AF116</f>
        <v>3DEIJL</v>
      </c>
      <c r="N161" s="25"/>
      <c r="O161" s="25"/>
      <c r="P161" s="25"/>
      <c r="Q161" s="25"/>
      <c r="R161" s="110"/>
      <c r="S161" s="854" t="s">
        <v>78</v>
      </c>
      <c r="T161" s="81">
        <f t="shared" ca="1" si="387"/>
        <v>0</v>
      </c>
      <c r="U161" s="64"/>
      <c r="V161" s="793" t="s">
        <v>78</v>
      </c>
      <c r="W161" s="81">
        <f t="shared" ca="1" si="388"/>
        <v>0</v>
      </c>
      <c r="X161" s="64"/>
      <c r="Y161" s="798" t="s">
        <v>1634</v>
      </c>
      <c r="Z161" s="81">
        <f t="shared" ca="1" si="389"/>
        <v>0</v>
      </c>
      <c r="AA161" s="64"/>
      <c r="AB161" s="803" t="s">
        <v>1633</v>
      </c>
      <c r="AC161" s="81">
        <f t="shared" ca="1" si="390"/>
        <v>0</v>
      </c>
      <c r="AD161" s="64"/>
      <c r="AE161" s="808" t="s">
        <v>1551</v>
      </c>
      <c r="AF161" s="81">
        <f t="shared" ca="1" si="391"/>
        <v>0</v>
      </c>
      <c r="AG161" s="64"/>
      <c r="AH161" s="80" t="s">
        <v>1551</v>
      </c>
      <c r="AI161" s="81">
        <f t="shared" ca="1" si="392"/>
        <v>0</v>
      </c>
      <c r="AJ161" s="64"/>
      <c r="AK161" s="813" t="s">
        <v>1634</v>
      </c>
      <c r="AL161" s="81">
        <f t="shared" ca="1" si="393"/>
        <v>0</v>
      </c>
      <c r="AM161" s="64"/>
      <c r="AN161" s="818" t="s">
        <v>1551</v>
      </c>
      <c r="AO161" s="81">
        <f t="shared" ca="1" si="394"/>
        <v>0</v>
      </c>
      <c r="AP161" s="64"/>
      <c r="AQ161" s="823" t="s">
        <v>1633</v>
      </c>
      <c r="AR161" s="81">
        <f t="shared" ca="1" si="395"/>
        <v>0</v>
      </c>
      <c r="AS161" s="64"/>
      <c r="AT161" s="828" t="s">
        <v>1551</v>
      </c>
      <c r="AU161" s="81">
        <f t="shared" ca="1" si="396"/>
        <v>0</v>
      </c>
      <c r="AV161" s="64"/>
      <c r="AW161" s="832" t="s">
        <v>1730</v>
      </c>
      <c r="AX161" s="81">
        <f t="shared" ca="1" si="397"/>
        <v>0</v>
      </c>
      <c r="AY161" s="64"/>
      <c r="AZ161" s="838" t="s">
        <v>1551</v>
      </c>
      <c r="BA161" s="81">
        <f t="shared" ca="1" si="398"/>
        <v>0</v>
      </c>
      <c r="BB161" s="64"/>
      <c r="BC161" s="845" t="s">
        <v>1551</v>
      </c>
      <c r="BD161" s="81">
        <f t="shared" ca="1" si="399"/>
        <v>0</v>
      </c>
      <c r="BE161" s="64"/>
      <c r="BF161" s="849" t="s">
        <v>1551</v>
      </c>
      <c r="BG161" s="81">
        <f t="shared" ca="1" si="400"/>
        <v>0</v>
      </c>
      <c r="BH161" s="64"/>
      <c r="BI161" s="859" t="s">
        <v>1551</v>
      </c>
      <c r="BJ161" s="81">
        <f t="shared" ca="1" si="401"/>
        <v>0</v>
      </c>
      <c r="BK161" s="64"/>
      <c r="BL161" s="864" t="s">
        <v>1551</v>
      </c>
      <c r="BM161" s="81">
        <f t="shared" ca="1" si="402"/>
        <v>0</v>
      </c>
      <c r="BN161" s="64"/>
      <c r="BO161" s="869" t="s">
        <v>1551</v>
      </c>
      <c r="BP161" s="81">
        <f t="shared" ca="1" si="403"/>
        <v>0</v>
      </c>
      <c r="BQ161" s="64"/>
      <c r="BR161" s="838" t="s">
        <v>1633</v>
      </c>
      <c r="BS161" s="81">
        <f t="shared" ca="1" si="404"/>
        <v>0</v>
      </c>
      <c r="BT161" s="64"/>
      <c r="BU161" s="873" t="s">
        <v>1551</v>
      </c>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4"/>
      <c r="H162" s="65"/>
      <c r="I162" s="50"/>
      <c r="J162" s="94"/>
      <c r="K162" s="434" t="str">
        <f>Idiomas!D457</f>
        <v>Equipos 1/16</v>
      </c>
      <c r="L162" s="435"/>
      <c r="M162" s="434" t="str">
        <f ca="1">"Max: "&amp;$D$15*COUNT(T130:T161)</f>
        <v>Max: 96</v>
      </c>
      <c r="N162" s="25"/>
      <c r="O162" s="25"/>
      <c r="P162" s="25"/>
      <c r="Q162" s="25"/>
      <c r="R162" s="49"/>
      <c r="S162" s="850"/>
      <c r="T162" s="71">
        <f ca="1">SUM(T130:T161)</f>
        <v>0</v>
      </c>
      <c r="U162" s="65"/>
      <c r="V162" s="789"/>
      <c r="W162" s="71">
        <f t="shared" ref="W162" ca="1" si="413">SUM(W130:W161)</f>
        <v>0</v>
      </c>
      <c r="X162" s="65"/>
      <c r="Y162" s="794"/>
      <c r="Z162" s="71">
        <f t="shared" ref="Z162" ca="1" si="414">SUM(Z130:Z161)</f>
        <v>0</v>
      </c>
      <c r="AA162" s="65"/>
      <c r="AB162" s="799"/>
      <c r="AC162" s="71">
        <f t="shared" ref="AC162" ca="1" si="415">SUM(AC130:AC161)</f>
        <v>0</v>
      </c>
      <c r="AD162" s="65"/>
      <c r="AE162" s="804"/>
      <c r="AF162" s="71">
        <f t="shared" ref="AF162" ca="1" si="416">SUM(AF130:AF161)</f>
        <v>0</v>
      </c>
      <c r="AG162" s="65"/>
      <c r="AH162" s="84"/>
      <c r="AI162" s="71">
        <f t="shared" ref="AI162" ca="1" si="417">SUM(AI130:AI161)</f>
        <v>0</v>
      </c>
      <c r="AJ162" s="65"/>
      <c r="AK162" s="809"/>
      <c r="AL162" s="71">
        <f t="shared" ref="AL162" ca="1" si="418">SUM(AL130:AL161)</f>
        <v>0</v>
      </c>
      <c r="AM162" s="65"/>
      <c r="AN162" s="814"/>
      <c r="AO162" s="71">
        <f t="shared" ref="AO162" ca="1" si="419">SUM(AO130:AO161)</f>
        <v>0</v>
      </c>
      <c r="AP162" s="65"/>
      <c r="AQ162" s="819"/>
      <c r="AR162" s="71">
        <f t="shared" ref="AR162" ca="1" si="420">SUM(AR130:AR161)</f>
        <v>0</v>
      </c>
      <c r="AS162" s="65"/>
      <c r="AT162" s="824"/>
      <c r="AU162" s="71">
        <f t="shared" ref="AU162" ca="1" si="421">SUM(AU130:AU161)</f>
        <v>0</v>
      </c>
      <c r="AV162" s="65"/>
      <c r="AW162" s="833"/>
      <c r="AX162" s="71">
        <f t="shared" ref="AX162" ca="1" si="422">SUM(AX130:AX161)</f>
        <v>0</v>
      </c>
      <c r="AY162" s="65"/>
      <c r="AZ162" s="839"/>
      <c r="BA162" s="71">
        <f t="shared" ref="BA162" ca="1" si="423">SUM(BA130:BA161)</f>
        <v>0</v>
      </c>
      <c r="BB162" s="65"/>
      <c r="BC162" s="841"/>
      <c r="BD162" s="71">
        <f t="shared" ref="BD162" ca="1" si="424">SUM(BD130:BD161)</f>
        <v>0</v>
      </c>
      <c r="BE162" s="65"/>
      <c r="BF162" s="846"/>
      <c r="BG162" s="71">
        <f t="shared" ref="BG162" ca="1" si="425">SUM(BG130:BG161)</f>
        <v>0</v>
      </c>
      <c r="BH162" s="65"/>
      <c r="BI162" s="855"/>
      <c r="BJ162" s="71">
        <f t="shared" ref="BJ162" ca="1" si="426">SUM(BJ130:BJ161)</f>
        <v>0</v>
      </c>
      <c r="BK162" s="65"/>
      <c r="BL162" s="860"/>
      <c r="BM162" s="71">
        <f t="shared" ref="BM162" ca="1" si="427">SUM(BM130:BM161)</f>
        <v>0</v>
      </c>
      <c r="BN162" s="65"/>
      <c r="BO162" s="865"/>
      <c r="BP162" s="71">
        <f t="shared" ref="BP162" ca="1" si="428">SUM(BP130:BP161)</f>
        <v>0</v>
      </c>
      <c r="BQ162" s="65"/>
      <c r="BR162" s="839"/>
      <c r="BS162" s="71">
        <f t="shared" ref="BS162" ca="1" si="429">SUM(BS130:BS161)</f>
        <v>0</v>
      </c>
      <c r="BT162" s="65"/>
      <c r="BU162" s="87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4"/>
      <c r="H163" s="65"/>
      <c r="I163" s="52" t="s">
        <v>1578</v>
      </c>
      <c r="J163" s="94"/>
      <c r="K163" s="113" t="str">
        <f>Idiomas!D138</f>
        <v>ENFRENTAMIENTOS DIECISEISAVOS</v>
      </c>
      <c r="L163" s="50"/>
      <c r="M163" s="71"/>
      <c r="N163" s="89"/>
      <c r="O163" s="89"/>
      <c r="P163" s="89"/>
      <c r="Q163" s="89"/>
      <c r="R163" s="49"/>
      <c r="S163" s="850"/>
      <c r="T163" s="112"/>
      <c r="U163" s="112"/>
      <c r="V163" s="789"/>
      <c r="W163" s="71"/>
      <c r="X163" s="65"/>
      <c r="Y163" s="794"/>
      <c r="Z163" s="71"/>
      <c r="AA163" s="65"/>
      <c r="AB163" s="799"/>
      <c r="AC163" s="71"/>
      <c r="AD163" s="65"/>
      <c r="AE163" s="804"/>
      <c r="AF163" s="71"/>
      <c r="AG163" s="65"/>
      <c r="AH163" s="84"/>
      <c r="AI163" s="71"/>
      <c r="AJ163" s="65"/>
      <c r="AK163" s="809"/>
      <c r="AL163" s="71"/>
      <c r="AM163" s="65"/>
      <c r="AN163" s="814"/>
      <c r="AO163" s="71"/>
      <c r="AP163" s="65"/>
      <c r="AQ163" s="819"/>
      <c r="AR163" s="71"/>
      <c r="AS163" s="65"/>
      <c r="AT163" s="824"/>
      <c r="AU163" s="71"/>
      <c r="AV163" s="65"/>
      <c r="AW163" s="833"/>
      <c r="AX163" s="71"/>
      <c r="AY163" s="65"/>
      <c r="AZ163" s="839"/>
      <c r="BA163" s="71"/>
      <c r="BB163" s="65"/>
      <c r="BC163" s="841"/>
      <c r="BD163" s="71"/>
      <c r="BE163" s="65"/>
      <c r="BF163" s="846"/>
      <c r="BG163" s="71"/>
      <c r="BH163" s="65"/>
      <c r="BI163" s="855"/>
      <c r="BJ163" s="71"/>
      <c r="BK163" s="65"/>
      <c r="BL163" s="860"/>
      <c r="BM163" s="71"/>
      <c r="BN163" s="65"/>
      <c r="BO163" s="865"/>
      <c r="BP163" s="71"/>
      <c r="BQ163" s="65"/>
      <c r="BR163" s="839"/>
      <c r="BS163" s="71"/>
      <c r="BT163" s="65"/>
      <c r="BU163" s="87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5" t="str">
        <f>Idiomas!$D$260</f>
        <v>Dieciseisavos de final</v>
      </c>
      <c r="I164" s="43">
        <v>1</v>
      </c>
      <c r="J164" s="926"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854" t="s">
        <v>2337</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93" t="s">
        <v>1968</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98" t="s">
        <v>2004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803" t="s">
        <v>2045</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808" t="s">
        <v>2080</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2045</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813" t="s">
        <v>2144</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818" t="s">
        <v>2167</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823" t="s">
        <v>2190</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828" t="s">
        <v>2211</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832" t="s">
        <v>2227</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838" t="s">
        <v>2257</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845" t="s">
        <v>2190</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849" t="s">
        <v>2310</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859" t="s">
        <v>2362</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864" t="s">
        <v>2144</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869" t="s">
        <v>2409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838" t="s">
        <v>2426</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873" t="s">
        <v>2211</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5" t="str">
        <f>Idiomas!$D$260</f>
        <v>Dieciseisavos de final</v>
      </c>
      <c r="I165" s="43">
        <v>1</v>
      </c>
      <c r="J165" s="926"/>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854" t="s">
        <v>2145</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93" t="s">
        <v>1969</v>
      </c>
      <c r="W165" s="77">
        <f t="shared" ca="1" si="437"/>
        <v>0</v>
      </c>
      <c r="X165" s="110"/>
      <c r="Y165" s="798" t="s">
        <v>2005</v>
      </c>
      <c r="Z165" s="77">
        <f t="shared" ca="1" si="437"/>
        <v>0</v>
      </c>
      <c r="AA165" s="110"/>
      <c r="AB165" s="803" t="s">
        <v>2046</v>
      </c>
      <c r="AC165" s="77">
        <f t="shared" ca="1" si="437"/>
        <v>0</v>
      </c>
      <c r="AD165" s="110"/>
      <c r="AE165" s="808" t="s">
        <v>2081</v>
      </c>
      <c r="AF165" s="77">
        <f t="shared" ca="1" si="437"/>
        <v>0</v>
      </c>
      <c r="AG165" s="110"/>
      <c r="AH165" s="74" t="s">
        <v>2118</v>
      </c>
      <c r="AI165" s="77">
        <f t="shared" ca="1" si="437"/>
        <v>0</v>
      </c>
      <c r="AJ165" s="110"/>
      <c r="AK165" s="813" t="s">
        <v>2145</v>
      </c>
      <c r="AL165" s="77">
        <f t="shared" ca="1" si="437"/>
        <v>0</v>
      </c>
      <c r="AM165" s="110"/>
      <c r="AN165" s="818" t="s">
        <v>2081</v>
      </c>
      <c r="AO165" s="77">
        <f t="shared" ca="1" si="437"/>
        <v>0</v>
      </c>
      <c r="AP165" s="110"/>
      <c r="AQ165" s="823" t="s">
        <v>2191</v>
      </c>
      <c r="AR165" s="77">
        <f t="shared" ca="1" si="437"/>
        <v>0</v>
      </c>
      <c r="AS165" s="110"/>
      <c r="AT165" s="828" t="s">
        <v>2118</v>
      </c>
      <c r="AU165" s="77">
        <f t="shared" ca="1" si="437"/>
        <v>0</v>
      </c>
      <c r="AV165" s="110"/>
      <c r="AW165" s="832" t="s">
        <v>2081</v>
      </c>
      <c r="AX165" s="77">
        <f t="shared" ca="1" si="437"/>
        <v>0</v>
      </c>
      <c r="AY165" s="110"/>
      <c r="AZ165" s="838" t="s">
        <v>2191</v>
      </c>
      <c r="BA165" s="77">
        <f t="shared" ca="1" si="437"/>
        <v>0</v>
      </c>
      <c r="BB165" s="110"/>
      <c r="BC165" s="845" t="s">
        <v>2145</v>
      </c>
      <c r="BD165" s="77">
        <f t="shared" ca="1" si="437"/>
        <v>0</v>
      </c>
      <c r="BE165" s="110"/>
      <c r="BF165" s="849" t="s">
        <v>2311</v>
      </c>
      <c r="BG165" s="77">
        <f t="shared" ca="1" si="437"/>
        <v>0</v>
      </c>
      <c r="BH165" s="110"/>
      <c r="BI165" s="859" t="s">
        <v>2081</v>
      </c>
      <c r="BJ165" s="77">
        <f t="shared" ca="1" si="437"/>
        <v>0</v>
      </c>
      <c r="BK165" s="110"/>
      <c r="BL165" s="864" t="s">
        <v>2145</v>
      </c>
      <c r="BM165" s="77">
        <f t="shared" ca="1" si="437"/>
        <v>0</v>
      </c>
      <c r="BN165" s="110"/>
      <c r="BO165" s="869" t="s">
        <v>2145</v>
      </c>
      <c r="BP165" s="77">
        <f t="shared" ca="1" si="437"/>
        <v>0</v>
      </c>
      <c r="BQ165" s="110"/>
      <c r="BR165" s="838" t="s">
        <v>2081</v>
      </c>
      <c r="BS165" s="77">
        <f t="shared" ca="1" si="437"/>
        <v>0</v>
      </c>
      <c r="BT165" s="110"/>
      <c r="BU165" s="873" t="s">
        <v>2081</v>
      </c>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5" t="str">
        <f>Idiomas!$D$260</f>
        <v>Dieciseisavos de final</v>
      </c>
      <c r="I166" s="43">
        <v>1</v>
      </c>
      <c r="J166" s="926"/>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854" t="s">
        <v>2338</v>
      </c>
      <c r="T166" s="77">
        <f t="shared" ca="1" si="465"/>
        <v>0</v>
      </c>
      <c r="U166" s="110"/>
      <c r="V166" s="793" t="s">
        <v>1970</v>
      </c>
      <c r="W166" s="77">
        <f t="shared" ca="1" si="437"/>
        <v>0</v>
      </c>
      <c r="X166" s="110"/>
      <c r="Y166" s="798" t="s">
        <v>2006</v>
      </c>
      <c r="Z166" s="77">
        <f t="shared" ca="1" si="437"/>
        <v>0</v>
      </c>
      <c r="AA166" s="110"/>
      <c r="AB166" s="803" t="s">
        <v>2047</v>
      </c>
      <c r="AC166" s="77">
        <f t="shared" ca="1" si="437"/>
        <v>0</v>
      </c>
      <c r="AD166" s="110"/>
      <c r="AE166" s="808" t="s">
        <v>2082</v>
      </c>
      <c r="AF166" s="77">
        <f t="shared" ca="1" si="437"/>
        <v>0</v>
      </c>
      <c r="AG166" s="110"/>
      <c r="AH166" s="74" t="s">
        <v>2082</v>
      </c>
      <c r="AI166" s="77">
        <f t="shared" ca="1" si="437"/>
        <v>0</v>
      </c>
      <c r="AJ166" s="110"/>
      <c r="AK166" s="813" t="s">
        <v>2146</v>
      </c>
      <c r="AL166" s="77">
        <f t="shared" ca="1" si="437"/>
        <v>0</v>
      </c>
      <c r="AM166" s="110"/>
      <c r="AN166" s="818" t="s">
        <v>2168</v>
      </c>
      <c r="AO166" s="77">
        <f t="shared" ca="1" si="437"/>
        <v>0</v>
      </c>
      <c r="AP166" s="110"/>
      <c r="AQ166" s="823" t="s">
        <v>2146</v>
      </c>
      <c r="AR166" s="77">
        <f t="shared" ca="1" si="437"/>
        <v>0</v>
      </c>
      <c r="AS166" s="110"/>
      <c r="AT166" s="828" t="s">
        <v>2212</v>
      </c>
      <c r="AU166" s="77">
        <f t="shared" ca="1" si="437"/>
        <v>0</v>
      </c>
      <c r="AV166" s="110"/>
      <c r="AW166" s="832" t="s">
        <v>2228</v>
      </c>
      <c r="AX166" s="77">
        <f t="shared" ca="1" si="437"/>
        <v>0</v>
      </c>
      <c r="AY166" s="110"/>
      <c r="AZ166" s="838" t="s">
        <v>2258</v>
      </c>
      <c r="BA166" s="77">
        <f t="shared" ca="1" si="437"/>
        <v>0</v>
      </c>
      <c r="BB166" s="110"/>
      <c r="BC166" s="845" t="s">
        <v>2279</v>
      </c>
      <c r="BD166" s="77">
        <f t="shared" ca="1" si="437"/>
        <v>0</v>
      </c>
      <c r="BE166" s="110"/>
      <c r="BF166" s="849" t="s">
        <v>2082</v>
      </c>
      <c r="BG166" s="77">
        <f t="shared" ca="1" si="437"/>
        <v>0</v>
      </c>
      <c r="BH166" s="110"/>
      <c r="BI166" s="859" t="s">
        <v>2363</v>
      </c>
      <c r="BJ166" s="77">
        <f t="shared" ca="1" si="437"/>
        <v>0</v>
      </c>
      <c r="BK166" s="110"/>
      <c r="BL166" s="864" t="s">
        <v>2385</v>
      </c>
      <c r="BM166" s="77">
        <f t="shared" ca="1" si="437"/>
        <v>0</v>
      </c>
      <c r="BN166" s="110"/>
      <c r="BO166" s="869" t="s">
        <v>2338</v>
      </c>
      <c r="BP166" s="77">
        <f t="shared" ca="1" si="437"/>
        <v>0</v>
      </c>
      <c r="BQ166" s="110"/>
      <c r="BR166" s="838" t="s">
        <v>2146</v>
      </c>
      <c r="BS166" s="77">
        <f t="shared" ca="1" si="437"/>
        <v>0</v>
      </c>
      <c r="BT166" s="110"/>
      <c r="BU166" s="873" t="s">
        <v>2443</v>
      </c>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5" t="str">
        <f>Idiomas!$D$260</f>
        <v>Dieciseisavos de final</v>
      </c>
      <c r="I167" s="43">
        <v>1</v>
      </c>
      <c r="J167" s="926"/>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854" t="s">
        <v>2083</v>
      </c>
      <c r="T167" s="77">
        <f t="shared" ca="1" si="465"/>
        <v>0</v>
      </c>
      <c r="U167" s="110"/>
      <c r="V167" s="793" t="s">
        <v>1971</v>
      </c>
      <c r="W167" s="77">
        <f t="shared" ca="1" si="437"/>
        <v>0</v>
      </c>
      <c r="X167" s="110"/>
      <c r="Y167" s="798" t="s">
        <v>2007</v>
      </c>
      <c r="Z167" s="77">
        <f t="shared" ca="1" si="437"/>
        <v>0</v>
      </c>
      <c r="AA167" s="110"/>
      <c r="AB167" s="803" t="s">
        <v>2048</v>
      </c>
      <c r="AC167" s="77">
        <f t="shared" ca="1" si="437"/>
        <v>0</v>
      </c>
      <c r="AD167" s="110"/>
      <c r="AE167" s="808" t="s">
        <v>2083</v>
      </c>
      <c r="AF167" s="77">
        <f t="shared" ca="1" si="437"/>
        <v>0</v>
      </c>
      <c r="AG167" s="110"/>
      <c r="AH167" s="74" t="s">
        <v>2119</v>
      </c>
      <c r="AI167" s="77">
        <f t="shared" ca="1" si="437"/>
        <v>0</v>
      </c>
      <c r="AJ167" s="110"/>
      <c r="AK167" s="813" t="s">
        <v>2119</v>
      </c>
      <c r="AL167" s="77">
        <f t="shared" ca="1" si="437"/>
        <v>0</v>
      </c>
      <c r="AM167" s="110"/>
      <c r="AN167" s="818" t="s">
        <v>2119</v>
      </c>
      <c r="AO167" s="77">
        <f t="shared" ca="1" si="437"/>
        <v>0</v>
      </c>
      <c r="AP167" s="110"/>
      <c r="AQ167" s="823" t="s">
        <v>2192</v>
      </c>
      <c r="AR167" s="77">
        <f t="shared" ca="1" si="437"/>
        <v>0</v>
      </c>
      <c r="AS167" s="110"/>
      <c r="AT167" s="828" t="s">
        <v>2119</v>
      </c>
      <c r="AU167" s="77">
        <f t="shared" ca="1" si="437"/>
        <v>0</v>
      </c>
      <c r="AV167" s="110"/>
      <c r="AW167" s="832" t="s">
        <v>2119</v>
      </c>
      <c r="AX167" s="77">
        <f t="shared" ca="1" si="437"/>
        <v>0</v>
      </c>
      <c r="AY167" s="110"/>
      <c r="AZ167" s="838" t="s">
        <v>2259</v>
      </c>
      <c r="BA167" s="77">
        <f t="shared" ca="1" si="437"/>
        <v>0</v>
      </c>
      <c r="BB167" s="110"/>
      <c r="BC167" s="845" t="s">
        <v>2280</v>
      </c>
      <c r="BD167" s="77">
        <f t="shared" ca="1" si="437"/>
        <v>0</v>
      </c>
      <c r="BE167" s="110"/>
      <c r="BF167" s="849" t="s">
        <v>2312</v>
      </c>
      <c r="BG167" s="77">
        <f t="shared" ca="1" si="437"/>
        <v>0</v>
      </c>
      <c r="BH167" s="110"/>
      <c r="BI167" s="859" t="s">
        <v>2259</v>
      </c>
      <c r="BJ167" s="77">
        <f t="shared" ca="1" si="437"/>
        <v>0</v>
      </c>
      <c r="BK167" s="110"/>
      <c r="BL167" s="864" t="s">
        <v>2083</v>
      </c>
      <c r="BM167" s="77">
        <f t="shared" ca="1" si="437"/>
        <v>0</v>
      </c>
      <c r="BN167" s="110"/>
      <c r="BO167" s="869" t="s">
        <v>2410</v>
      </c>
      <c r="BP167" s="77">
        <f t="shared" ca="1" si="437"/>
        <v>0</v>
      </c>
      <c r="BQ167" s="110"/>
      <c r="BR167" s="838" t="s">
        <v>2427</v>
      </c>
      <c r="BS167" s="77">
        <f t="shared" ca="1" si="437"/>
        <v>0</v>
      </c>
      <c r="BT167" s="110"/>
      <c r="BU167" s="873" t="s">
        <v>2444</v>
      </c>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5" t="str">
        <f>Idiomas!$D$260</f>
        <v>Dieciseisavos de final</v>
      </c>
      <c r="I168" s="43">
        <v>1</v>
      </c>
      <c r="J168" s="926"/>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854" t="s">
        <v>2339</v>
      </c>
      <c r="T168" s="77">
        <f t="shared" ca="1" si="465"/>
        <v>0</v>
      </c>
      <c r="U168" s="110"/>
      <c r="V168" s="793" t="s">
        <v>1972</v>
      </c>
      <c r="W168" s="77">
        <f t="shared" ca="1" si="437"/>
        <v>0</v>
      </c>
      <c r="X168" s="110"/>
      <c r="Y168" s="798" t="s">
        <v>2008</v>
      </c>
      <c r="Z168" s="77">
        <f t="shared" ca="1" si="437"/>
        <v>0</v>
      </c>
      <c r="AA168" s="110"/>
      <c r="AB168" s="803" t="s">
        <v>2049</v>
      </c>
      <c r="AC168" s="77">
        <f t="shared" ca="1" si="437"/>
        <v>0</v>
      </c>
      <c r="AD168" s="110"/>
      <c r="AE168" s="808" t="s">
        <v>2084</v>
      </c>
      <c r="AF168" s="77">
        <f t="shared" ca="1" si="437"/>
        <v>0</v>
      </c>
      <c r="AG168" s="110"/>
      <c r="AH168" s="74" t="s">
        <v>2120</v>
      </c>
      <c r="AI168" s="77">
        <f t="shared" ca="1" si="437"/>
        <v>0</v>
      </c>
      <c r="AJ168" s="110"/>
      <c r="AK168" s="813" t="s">
        <v>2147</v>
      </c>
      <c r="AL168" s="77">
        <f t="shared" ca="1" si="437"/>
        <v>0</v>
      </c>
      <c r="AM168" s="110"/>
      <c r="AN168" s="818" t="s">
        <v>2147</v>
      </c>
      <c r="AO168" s="77">
        <f t="shared" ca="1" si="437"/>
        <v>0</v>
      </c>
      <c r="AP168" s="110"/>
      <c r="AQ168" s="823" t="s">
        <v>2193</v>
      </c>
      <c r="AR168" s="77">
        <f t="shared" ca="1" si="437"/>
        <v>0</v>
      </c>
      <c r="AS168" s="110"/>
      <c r="AT168" s="828" t="s">
        <v>2147</v>
      </c>
      <c r="AU168" s="77">
        <f t="shared" ca="1" si="437"/>
        <v>0</v>
      </c>
      <c r="AV168" s="110"/>
      <c r="AW168" s="832" t="s">
        <v>2229</v>
      </c>
      <c r="AX168" s="77">
        <f t="shared" ca="1" si="437"/>
        <v>0</v>
      </c>
      <c r="AY168" s="110"/>
      <c r="AZ168" s="838" t="s">
        <v>2120</v>
      </c>
      <c r="BA168" s="77">
        <f t="shared" ca="1" si="437"/>
        <v>0</v>
      </c>
      <c r="BB168" s="110"/>
      <c r="BC168" s="845" t="s">
        <v>2281</v>
      </c>
      <c r="BD168" s="77">
        <f t="shared" ca="1" si="437"/>
        <v>0</v>
      </c>
      <c r="BE168" s="110"/>
      <c r="BF168" s="849" t="s">
        <v>2313</v>
      </c>
      <c r="BG168" s="77">
        <f t="shared" ca="1" si="437"/>
        <v>0</v>
      </c>
      <c r="BH168" s="110"/>
      <c r="BI168" s="859" t="s">
        <v>2364</v>
      </c>
      <c r="BJ168" s="77">
        <f t="shared" ca="1" si="437"/>
        <v>0</v>
      </c>
      <c r="BK168" s="110"/>
      <c r="BL168" s="864" t="s">
        <v>2147</v>
      </c>
      <c r="BM168" s="77">
        <f t="shared" ca="1" si="437"/>
        <v>0</v>
      </c>
      <c r="BN168" s="110"/>
      <c r="BO168" s="869" t="s">
        <v>2147</v>
      </c>
      <c r="BP168" s="77">
        <f t="shared" ca="1" si="437"/>
        <v>0</v>
      </c>
      <c r="BQ168" s="110"/>
      <c r="BR168" s="838" t="s">
        <v>2428</v>
      </c>
      <c r="BS168" s="77">
        <f t="shared" ca="1" si="437"/>
        <v>0</v>
      </c>
      <c r="BT168" s="110"/>
      <c r="BU168" s="873" t="s">
        <v>2445</v>
      </c>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5" t="str">
        <f>Idiomas!$D$260</f>
        <v>Dieciseisavos de final</v>
      </c>
      <c r="I169" s="43">
        <v>1</v>
      </c>
      <c r="J169" s="926"/>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854" t="s">
        <v>2169</v>
      </c>
      <c r="T169" s="77">
        <f t="shared" ca="1" si="465"/>
        <v>0</v>
      </c>
      <c r="U169" s="110"/>
      <c r="V169" s="793" t="s">
        <v>1973</v>
      </c>
      <c r="W169" s="77">
        <f t="shared" ca="1" si="437"/>
        <v>0</v>
      </c>
      <c r="X169" s="110"/>
      <c r="Y169" s="798" t="s">
        <v>2009</v>
      </c>
      <c r="Z169" s="77">
        <f t="shared" ca="1" si="437"/>
        <v>0</v>
      </c>
      <c r="AA169" s="110"/>
      <c r="AB169" s="803" t="s">
        <v>2050</v>
      </c>
      <c r="AC169" s="77">
        <f t="shared" ca="1" si="437"/>
        <v>0</v>
      </c>
      <c r="AD169" s="110"/>
      <c r="AE169" s="808" t="s">
        <v>2085</v>
      </c>
      <c r="AF169" s="77">
        <f t="shared" ca="1" si="437"/>
        <v>0</v>
      </c>
      <c r="AG169" s="110"/>
      <c r="AH169" s="74" t="s">
        <v>2121</v>
      </c>
      <c r="AI169" s="77">
        <f t="shared" ca="1" si="437"/>
        <v>0</v>
      </c>
      <c r="AJ169" s="110"/>
      <c r="AK169" s="813" t="s">
        <v>2148</v>
      </c>
      <c r="AL169" s="77">
        <f t="shared" ca="1" si="437"/>
        <v>0</v>
      </c>
      <c r="AM169" s="110"/>
      <c r="AN169" s="818" t="s">
        <v>2169</v>
      </c>
      <c r="AO169" s="77">
        <f t="shared" ca="1" si="437"/>
        <v>0</v>
      </c>
      <c r="AP169" s="110"/>
      <c r="AQ169" s="823" t="s">
        <v>2194</v>
      </c>
      <c r="AR169" s="77">
        <f t="shared" ca="1" si="437"/>
        <v>0</v>
      </c>
      <c r="AS169" s="110"/>
      <c r="AT169" s="828" t="s">
        <v>2213</v>
      </c>
      <c r="AU169" s="77">
        <f t="shared" ca="1" si="437"/>
        <v>0</v>
      </c>
      <c r="AV169" s="110"/>
      <c r="AW169" s="832" t="s">
        <v>2230</v>
      </c>
      <c r="AX169" s="77">
        <f t="shared" ca="1" si="437"/>
        <v>0</v>
      </c>
      <c r="AY169" s="110"/>
      <c r="AZ169" s="838" t="s">
        <v>2213</v>
      </c>
      <c r="BA169" s="77">
        <f t="shared" ca="1" si="437"/>
        <v>0</v>
      </c>
      <c r="BB169" s="110"/>
      <c r="BC169" s="845" t="s">
        <v>2282</v>
      </c>
      <c r="BD169" s="77">
        <f t="shared" ca="1" si="437"/>
        <v>0</v>
      </c>
      <c r="BE169" s="110"/>
      <c r="BF169" s="849" t="s">
        <v>2314</v>
      </c>
      <c r="BG169" s="77">
        <f t="shared" ca="1" si="437"/>
        <v>0</v>
      </c>
      <c r="BH169" s="110"/>
      <c r="BI169" s="859" t="s">
        <v>2365</v>
      </c>
      <c r="BJ169" s="77">
        <f t="shared" ca="1" si="437"/>
        <v>0</v>
      </c>
      <c r="BK169" s="110"/>
      <c r="BL169" s="864" t="s">
        <v>2386</v>
      </c>
      <c r="BM169" s="77">
        <f t="shared" ca="1" si="437"/>
        <v>0</v>
      </c>
      <c r="BN169" s="110"/>
      <c r="BO169" s="869" t="s">
        <v>2411</v>
      </c>
      <c r="BP169" s="77">
        <f t="shared" ca="1" si="437"/>
        <v>0</v>
      </c>
      <c r="BQ169" s="110"/>
      <c r="BR169" s="838" t="s">
        <v>2169</v>
      </c>
      <c r="BS169" s="77">
        <f t="shared" ca="1" si="437"/>
        <v>0</v>
      </c>
      <c r="BT169" s="110"/>
      <c r="BU169" s="873" t="s">
        <v>2148</v>
      </c>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5" t="str">
        <f>Idiomas!$D$260</f>
        <v>Dieciseisavos de final</v>
      </c>
      <c r="I170" s="43">
        <v>1</v>
      </c>
      <c r="J170" s="926"/>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854" t="s">
        <v>2340</v>
      </c>
      <c r="T170" s="77">
        <f t="shared" ca="1" si="465"/>
        <v>0</v>
      </c>
      <c r="U170" s="110"/>
      <c r="V170" s="793" t="s">
        <v>1974</v>
      </c>
      <c r="W170" s="77">
        <f t="shared" ca="1" si="437"/>
        <v>0</v>
      </c>
      <c r="X170" s="110"/>
      <c r="Y170" s="798" t="s">
        <v>2010</v>
      </c>
      <c r="Z170" s="77">
        <f t="shared" ca="1" si="437"/>
        <v>0</v>
      </c>
      <c r="AA170" s="110"/>
      <c r="AB170" s="803" t="s">
        <v>2051</v>
      </c>
      <c r="AC170" s="77">
        <f t="shared" ca="1" si="437"/>
        <v>0</v>
      </c>
      <c r="AD170" s="110"/>
      <c r="AE170" s="808" t="s">
        <v>2086</v>
      </c>
      <c r="AF170" s="77">
        <f t="shared" ca="1" si="437"/>
        <v>0</v>
      </c>
      <c r="AG170" s="110"/>
      <c r="AH170" s="74" t="s">
        <v>2122</v>
      </c>
      <c r="AI170" s="77">
        <f t="shared" ca="1" si="437"/>
        <v>0</v>
      </c>
      <c r="AJ170" s="110"/>
      <c r="AK170" s="813" t="s">
        <v>2149</v>
      </c>
      <c r="AL170" s="77">
        <f t="shared" ca="1" si="437"/>
        <v>0</v>
      </c>
      <c r="AM170" s="110"/>
      <c r="AN170" s="818" t="s">
        <v>2170</v>
      </c>
      <c r="AO170" s="77">
        <f t="shared" ca="1" si="437"/>
        <v>0</v>
      </c>
      <c r="AP170" s="110"/>
      <c r="AQ170" s="823" t="s">
        <v>2195</v>
      </c>
      <c r="AR170" s="77">
        <f t="shared" ca="1" si="437"/>
        <v>0</v>
      </c>
      <c r="AS170" s="110"/>
      <c r="AT170" s="828" t="s">
        <v>2214</v>
      </c>
      <c r="AU170" s="77">
        <f t="shared" ca="1" si="437"/>
        <v>0</v>
      </c>
      <c r="AV170" s="110"/>
      <c r="AW170" s="832" t="s">
        <v>2231</v>
      </c>
      <c r="AX170" s="77">
        <f t="shared" ca="1" si="437"/>
        <v>0</v>
      </c>
      <c r="AY170" s="110"/>
      <c r="AZ170" s="838" t="s">
        <v>2214</v>
      </c>
      <c r="BA170" s="77">
        <f t="shared" ca="1" si="437"/>
        <v>0</v>
      </c>
      <c r="BB170" s="110"/>
      <c r="BC170" s="845" t="s">
        <v>2283</v>
      </c>
      <c r="BD170" s="77">
        <f t="shared" ca="1" si="437"/>
        <v>0</v>
      </c>
      <c r="BE170" s="110"/>
      <c r="BF170" s="849" t="s">
        <v>2315</v>
      </c>
      <c r="BG170" s="77">
        <f t="shared" ca="1" si="437"/>
        <v>0</v>
      </c>
      <c r="BH170" s="110"/>
      <c r="BI170" s="859" t="s">
        <v>2366</v>
      </c>
      <c r="BJ170" s="77">
        <f t="shared" ca="1" si="437"/>
        <v>0</v>
      </c>
      <c r="BK170" s="110"/>
      <c r="BL170" s="864" t="s">
        <v>2387</v>
      </c>
      <c r="BM170" s="77">
        <f t="shared" ca="1" si="437"/>
        <v>0</v>
      </c>
      <c r="BN170" s="110"/>
      <c r="BO170" s="869" t="s">
        <v>2412</v>
      </c>
      <c r="BP170" s="77">
        <f t="shared" ca="1" si="437"/>
        <v>0</v>
      </c>
      <c r="BQ170" s="110"/>
      <c r="BR170" s="838" t="s">
        <v>2429</v>
      </c>
      <c r="BS170" s="77">
        <f t="shared" ca="1" si="437"/>
        <v>0</v>
      </c>
      <c r="BT170" s="110"/>
      <c r="BU170" s="873" t="s">
        <v>2446</v>
      </c>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5" t="str">
        <f>Idiomas!$D$260</f>
        <v>Dieciseisavos de final</v>
      </c>
      <c r="I171" s="43">
        <v>1</v>
      </c>
      <c r="J171" s="926"/>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854" t="s">
        <v>2341</v>
      </c>
      <c r="T171" s="77">
        <f t="shared" ca="1" si="465"/>
        <v>0</v>
      </c>
      <c r="U171" s="110"/>
      <c r="V171" s="793" t="s">
        <v>1975</v>
      </c>
      <c r="W171" s="77">
        <f t="shared" ca="1" si="437"/>
        <v>0</v>
      </c>
      <c r="X171" s="110"/>
      <c r="Y171" s="798" t="s">
        <v>2011</v>
      </c>
      <c r="Z171" s="77">
        <f t="shared" ca="1" si="437"/>
        <v>0</v>
      </c>
      <c r="AA171" s="110"/>
      <c r="AB171" s="803" t="s">
        <v>2052</v>
      </c>
      <c r="AC171" s="77">
        <f t="shared" ca="1" si="437"/>
        <v>0</v>
      </c>
      <c r="AD171" s="110"/>
      <c r="AE171" s="808" t="s">
        <v>2087</v>
      </c>
      <c r="AF171" s="77">
        <f t="shared" ca="1" si="437"/>
        <v>0</v>
      </c>
      <c r="AG171" s="110"/>
      <c r="AH171" s="74" t="s">
        <v>2123</v>
      </c>
      <c r="AI171" s="77">
        <f t="shared" ca="1" si="437"/>
        <v>0</v>
      </c>
      <c r="AJ171" s="110"/>
      <c r="AK171" s="813" t="s">
        <v>2150</v>
      </c>
      <c r="AL171" s="77">
        <f t="shared" ca="1" si="437"/>
        <v>0</v>
      </c>
      <c r="AM171" s="110"/>
      <c r="AN171" s="818" t="s">
        <v>2171</v>
      </c>
      <c r="AO171" s="77">
        <f t="shared" ca="1" si="437"/>
        <v>0</v>
      </c>
      <c r="AP171" s="110"/>
      <c r="AQ171" s="823" t="s">
        <v>2123</v>
      </c>
      <c r="AR171" s="77">
        <f t="shared" ca="1" si="437"/>
        <v>0</v>
      </c>
      <c r="AS171" s="110"/>
      <c r="AT171" s="828" t="s">
        <v>2123</v>
      </c>
      <c r="AU171" s="77">
        <f t="shared" ca="1" si="437"/>
        <v>0</v>
      </c>
      <c r="AV171" s="110"/>
      <c r="AW171" s="832" t="s">
        <v>2232</v>
      </c>
      <c r="AX171" s="77">
        <f t="shared" ca="1" si="437"/>
        <v>0</v>
      </c>
      <c r="AY171" s="110"/>
      <c r="AZ171" s="838" t="s">
        <v>2171</v>
      </c>
      <c r="BA171" s="77">
        <f t="shared" ca="1" si="437"/>
        <v>0</v>
      </c>
      <c r="BB171" s="110"/>
      <c r="BC171" s="845" t="s">
        <v>2284</v>
      </c>
      <c r="BD171" s="77">
        <f t="shared" ca="1" si="437"/>
        <v>0</v>
      </c>
      <c r="BE171" s="110"/>
      <c r="BF171" s="849" t="s">
        <v>2316</v>
      </c>
      <c r="BG171" s="77">
        <f t="shared" ca="1" si="437"/>
        <v>0</v>
      </c>
      <c r="BH171" s="110"/>
      <c r="BI171" s="859" t="s">
        <v>2284</v>
      </c>
      <c r="BJ171" s="77">
        <f t="shared" ca="1" si="437"/>
        <v>0</v>
      </c>
      <c r="BK171" s="110"/>
      <c r="BL171" s="864" t="s">
        <v>2388</v>
      </c>
      <c r="BM171" s="77">
        <f t="shared" ca="1" si="437"/>
        <v>0</v>
      </c>
      <c r="BN171" s="110"/>
      <c r="BO171" s="869" t="s">
        <v>2413</v>
      </c>
      <c r="BP171" s="77">
        <f t="shared" ca="1" si="437"/>
        <v>0</v>
      </c>
      <c r="BQ171" s="110"/>
      <c r="BR171" s="838" t="s">
        <v>2430</v>
      </c>
      <c r="BS171" s="77">
        <f t="shared" ca="1" si="437"/>
        <v>0</v>
      </c>
      <c r="BT171" s="110"/>
      <c r="BU171" s="873" t="s">
        <v>2171</v>
      </c>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5" t="str">
        <f>Idiomas!$D$260</f>
        <v>Dieciseisavos de final</v>
      </c>
      <c r="I172" s="43">
        <v>1</v>
      </c>
      <c r="J172" s="926"/>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854" t="s">
        <v>2342</v>
      </c>
      <c r="T172" s="77">
        <f t="shared" ca="1" si="465"/>
        <v>0</v>
      </c>
      <c r="U172" s="110"/>
      <c r="V172" s="793" t="s">
        <v>1976</v>
      </c>
      <c r="W172" s="77">
        <f t="shared" ca="1" si="437"/>
        <v>0</v>
      </c>
      <c r="X172" s="110"/>
      <c r="Y172" s="798" t="s">
        <v>2012</v>
      </c>
      <c r="Z172" s="77">
        <f t="shared" ca="1" si="437"/>
        <v>0</v>
      </c>
      <c r="AA172" s="110"/>
      <c r="AB172" s="803" t="s">
        <v>2053</v>
      </c>
      <c r="AC172" s="77">
        <f t="shared" ca="1" si="437"/>
        <v>0</v>
      </c>
      <c r="AD172" s="110"/>
      <c r="AE172" s="808" t="s">
        <v>2088</v>
      </c>
      <c r="AF172" s="77">
        <f t="shared" ca="1" si="437"/>
        <v>0</v>
      </c>
      <c r="AG172" s="110"/>
      <c r="AH172" s="74" t="s">
        <v>2124</v>
      </c>
      <c r="AI172" s="77">
        <f t="shared" ca="1" si="437"/>
        <v>0</v>
      </c>
      <c r="AJ172" s="110"/>
      <c r="AK172" s="813" t="s">
        <v>2012</v>
      </c>
      <c r="AL172" s="77">
        <f t="shared" ca="1" si="437"/>
        <v>0</v>
      </c>
      <c r="AM172" s="110"/>
      <c r="AN172" s="818" t="s">
        <v>2012</v>
      </c>
      <c r="AO172" s="77">
        <f t="shared" ca="1" si="437"/>
        <v>0</v>
      </c>
      <c r="AP172" s="110"/>
      <c r="AQ172" s="823" t="s">
        <v>2196</v>
      </c>
      <c r="AR172" s="77">
        <f t="shared" ca="1" si="437"/>
        <v>0</v>
      </c>
      <c r="AS172" s="110"/>
      <c r="AT172" s="828" t="s">
        <v>2012</v>
      </c>
      <c r="AU172" s="77">
        <f t="shared" ca="1" si="437"/>
        <v>0</v>
      </c>
      <c r="AV172" s="110"/>
      <c r="AW172" s="832" t="s">
        <v>2233</v>
      </c>
      <c r="AX172" s="77">
        <f t="shared" ca="1" si="437"/>
        <v>0</v>
      </c>
      <c r="AY172" s="110"/>
      <c r="AZ172" s="838" t="s">
        <v>2260</v>
      </c>
      <c r="BA172" s="77">
        <f t="shared" ca="1" si="437"/>
        <v>0</v>
      </c>
      <c r="BB172" s="110"/>
      <c r="BC172" s="845" t="s">
        <v>2285</v>
      </c>
      <c r="BD172" s="77">
        <f t="shared" ca="1" si="437"/>
        <v>0</v>
      </c>
      <c r="BE172" s="110"/>
      <c r="BF172" s="849" t="s">
        <v>2012</v>
      </c>
      <c r="BG172" s="77">
        <f t="shared" ca="1" si="437"/>
        <v>0</v>
      </c>
      <c r="BH172" s="110"/>
      <c r="BI172" s="859" t="s">
        <v>2367</v>
      </c>
      <c r="BJ172" s="77">
        <f t="shared" ca="1" si="437"/>
        <v>0</v>
      </c>
      <c r="BK172" s="110"/>
      <c r="BL172" s="864" t="s">
        <v>2389</v>
      </c>
      <c r="BM172" s="77">
        <f t="shared" ca="1" si="437"/>
        <v>0</v>
      </c>
      <c r="BN172" s="110"/>
      <c r="BO172" s="869" t="s">
        <v>2414</v>
      </c>
      <c r="BP172" s="77">
        <f t="shared" ca="1" si="437"/>
        <v>0</v>
      </c>
      <c r="BQ172" s="110"/>
      <c r="BR172" s="838" t="s">
        <v>2431</v>
      </c>
      <c r="BS172" s="77">
        <f t="shared" ca="1" si="437"/>
        <v>0</v>
      </c>
      <c r="BT172" s="110"/>
      <c r="BU172" s="873" t="s">
        <v>2447</v>
      </c>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5" t="str">
        <f>Idiomas!$D$260</f>
        <v>Dieciseisavos de final</v>
      </c>
      <c r="I173" s="43">
        <v>1</v>
      </c>
      <c r="J173" s="926"/>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854" t="s">
        <v>2343</v>
      </c>
      <c r="T173" s="77">
        <f t="shared" ca="1" si="465"/>
        <v>0</v>
      </c>
      <c r="U173" s="110"/>
      <c r="V173" s="793" t="s">
        <v>1977</v>
      </c>
      <c r="W173" s="77">
        <f t="shared" ca="1" si="437"/>
        <v>0</v>
      </c>
      <c r="X173" s="110"/>
      <c r="Y173" s="798" t="s">
        <v>2013</v>
      </c>
      <c r="Z173" s="77">
        <f t="shared" ca="1" si="437"/>
        <v>0</v>
      </c>
      <c r="AA173" s="110"/>
      <c r="AB173" s="803" t="s">
        <v>2054</v>
      </c>
      <c r="AC173" s="77">
        <f t="shared" ca="1" si="437"/>
        <v>0</v>
      </c>
      <c r="AD173" s="110"/>
      <c r="AE173" s="808" t="s">
        <v>2089</v>
      </c>
      <c r="AF173" s="77">
        <f t="shared" ca="1" si="437"/>
        <v>0</v>
      </c>
      <c r="AG173" s="110"/>
      <c r="AH173" s="74" t="s">
        <v>2125</v>
      </c>
      <c r="AI173" s="77">
        <f t="shared" ca="1" si="437"/>
        <v>0</v>
      </c>
      <c r="AJ173" s="110"/>
      <c r="AK173" s="813" t="s">
        <v>2089</v>
      </c>
      <c r="AL173" s="77">
        <f t="shared" ca="1" si="437"/>
        <v>0</v>
      </c>
      <c r="AM173" s="110"/>
      <c r="AN173" s="818" t="s">
        <v>2172</v>
      </c>
      <c r="AO173" s="77">
        <f t="shared" ca="1" si="437"/>
        <v>0</v>
      </c>
      <c r="AP173" s="110"/>
      <c r="AQ173" s="823" t="s">
        <v>2197</v>
      </c>
      <c r="AR173" s="77">
        <f t="shared" ca="1" si="437"/>
        <v>0</v>
      </c>
      <c r="AS173" s="110"/>
      <c r="AT173" s="828" t="s">
        <v>2215</v>
      </c>
      <c r="AU173" s="77">
        <f t="shared" ca="1" si="437"/>
        <v>0</v>
      </c>
      <c r="AV173" s="110"/>
      <c r="AW173" s="832" t="s">
        <v>2234</v>
      </c>
      <c r="AX173" s="77">
        <f t="shared" ca="1" si="437"/>
        <v>0</v>
      </c>
      <c r="AY173" s="110"/>
      <c r="AZ173" s="838" t="s">
        <v>2234</v>
      </c>
      <c r="BA173" s="77">
        <f t="shared" ca="1" si="437"/>
        <v>0</v>
      </c>
      <c r="BB173" s="110"/>
      <c r="BC173" s="845" t="s">
        <v>2286</v>
      </c>
      <c r="BD173" s="77">
        <f t="shared" ca="1" si="437"/>
        <v>0</v>
      </c>
      <c r="BE173" s="110"/>
      <c r="BF173" s="849" t="s">
        <v>2317</v>
      </c>
      <c r="BG173" s="77">
        <f t="shared" ca="1" si="437"/>
        <v>0</v>
      </c>
      <c r="BH173" s="110"/>
      <c r="BI173" s="859" t="s">
        <v>2368</v>
      </c>
      <c r="BJ173" s="77">
        <f t="shared" ca="1" si="437"/>
        <v>0</v>
      </c>
      <c r="BK173" s="110"/>
      <c r="BL173" s="864" t="s">
        <v>2390</v>
      </c>
      <c r="BM173" s="77">
        <f t="shared" ca="1" si="437"/>
        <v>0</v>
      </c>
      <c r="BN173" s="110"/>
      <c r="BO173" s="869" t="s">
        <v>2415</v>
      </c>
      <c r="BP173" s="77">
        <f t="shared" ca="1" si="437"/>
        <v>0</v>
      </c>
      <c r="BQ173" s="110"/>
      <c r="BR173" s="838" t="s">
        <v>2432</v>
      </c>
      <c r="BS173" s="77">
        <f t="shared" ca="1" si="437"/>
        <v>0</v>
      </c>
      <c r="BT173" s="110"/>
      <c r="BU173" s="873" t="s">
        <v>2448</v>
      </c>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5" t="str">
        <f>Idiomas!$D$260</f>
        <v>Dieciseisavos de final</v>
      </c>
      <c r="I174" s="43">
        <v>1</v>
      </c>
      <c r="J174" s="926"/>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854" t="s">
        <v>2014</v>
      </c>
      <c r="T174" s="77">
        <f t="shared" ca="1" si="465"/>
        <v>0</v>
      </c>
      <c r="U174" s="110"/>
      <c r="V174" s="793" t="s">
        <v>1978</v>
      </c>
      <c r="W174" s="77">
        <f t="shared" ca="1" si="437"/>
        <v>0</v>
      </c>
      <c r="X174" s="110"/>
      <c r="Y174" s="798" t="s">
        <v>2014</v>
      </c>
      <c r="Z174" s="77">
        <f t="shared" ca="1" si="437"/>
        <v>0</v>
      </c>
      <c r="AA174" s="110"/>
      <c r="AB174" s="803" t="s">
        <v>2055</v>
      </c>
      <c r="AC174" s="77">
        <f t="shared" ca="1" si="437"/>
        <v>0</v>
      </c>
      <c r="AD174" s="110"/>
      <c r="AE174" s="808" t="s">
        <v>2090</v>
      </c>
      <c r="AF174" s="77">
        <f t="shared" ca="1" si="437"/>
        <v>0</v>
      </c>
      <c r="AG174" s="110"/>
      <c r="AH174" s="74" t="s">
        <v>2014</v>
      </c>
      <c r="AI174" s="77">
        <f t="shared" ca="1" si="437"/>
        <v>0</v>
      </c>
      <c r="AJ174" s="110"/>
      <c r="AK174" s="813" t="s">
        <v>2014</v>
      </c>
      <c r="AL174" s="77">
        <f t="shared" ca="1" si="437"/>
        <v>0</v>
      </c>
      <c r="AM174" s="110"/>
      <c r="AN174" s="818" t="s">
        <v>2173</v>
      </c>
      <c r="AO174" s="77">
        <f t="shared" ca="1" si="437"/>
        <v>0</v>
      </c>
      <c r="AP174" s="110"/>
      <c r="AQ174" s="823" t="s">
        <v>2173</v>
      </c>
      <c r="AR174" s="77">
        <f t="shared" ca="1" si="437"/>
        <v>0</v>
      </c>
      <c r="AS174" s="110"/>
      <c r="AT174" s="828" t="s">
        <v>2055</v>
      </c>
      <c r="AU174" s="77">
        <f t="shared" ca="1" si="437"/>
        <v>0</v>
      </c>
      <c r="AV174" s="110"/>
      <c r="AW174" s="832" t="s">
        <v>2235</v>
      </c>
      <c r="AX174" s="77">
        <f t="shared" ca="1" si="437"/>
        <v>0</v>
      </c>
      <c r="AY174" s="110"/>
      <c r="AZ174" s="838" t="s">
        <v>2261</v>
      </c>
      <c r="BA174" s="77">
        <f t="shared" ca="1" si="437"/>
        <v>0</v>
      </c>
      <c r="BB174" s="110"/>
      <c r="BC174" s="845" t="s">
        <v>2287</v>
      </c>
      <c r="BD174" s="77">
        <f t="shared" ca="1" si="437"/>
        <v>0</v>
      </c>
      <c r="BE174" s="110"/>
      <c r="BF174" s="849" t="s">
        <v>2318</v>
      </c>
      <c r="BG174" s="77">
        <f t="shared" ca="1" si="437"/>
        <v>0</v>
      </c>
      <c r="BH174" s="110"/>
      <c r="BI174" s="859" t="s">
        <v>2173</v>
      </c>
      <c r="BJ174" s="77">
        <f t="shared" ca="1" si="437"/>
        <v>0</v>
      </c>
      <c r="BK174" s="110"/>
      <c r="BL174" s="864" t="s">
        <v>2055</v>
      </c>
      <c r="BM174" s="77">
        <f t="shared" ca="1" si="437"/>
        <v>0</v>
      </c>
      <c r="BN174" s="110"/>
      <c r="BO174" s="869" t="s">
        <v>2014</v>
      </c>
      <c r="BP174" s="77">
        <f t="shared" ca="1" si="437"/>
        <v>0</v>
      </c>
      <c r="BQ174" s="110"/>
      <c r="BR174" s="838" t="s">
        <v>2014</v>
      </c>
      <c r="BS174" s="77">
        <f t="shared" ca="1" si="437"/>
        <v>0</v>
      </c>
      <c r="BT174" s="110"/>
      <c r="BU174" s="873" t="s">
        <v>2449</v>
      </c>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5" t="str">
        <f>Idiomas!$D$260</f>
        <v>Dieciseisavos de final</v>
      </c>
      <c r="I175" s="43">
        <v>1</v>
      </c>
      <c r="J175" s="926"/>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854" t="s">
        <v>2344</v>
      </c>
      <c r="T175" s="77">
        <f t="shared" ca="1" si="465"/>
        <v>0</v>
      </c>
      <c r="U175" s="110"/>
      <c r="V175" s="793" t="s">
        <v>1979</v>
      </c>
      <c r="W175" s="77">
        <f t="shared" ca="1" si="437"/>
        <v>0</v>
      </c>
      <c r="X175" s="110"/>
      <c r="Y175" s="798" t="s">
        <v>2015</v>
      </c>
      <c r="Z175" s="77">
        <f t="shared" ca="1" si="437"/>
        <v>0</v>
      </c>
      <c r="AA175" s="110"/>
      <c r="AB175" s="803" t="s">
        <v>2056</v>
      </c>
      <c r="AC175" s="77">
        <f t="shared" ca="1" si="437"/>
        <v>0</v>
      </c>
      <c r="AD175" s="110"/>
      <c r="AE175" s="808" t="s">
        <v>2091</v>
      </c>
      <c r="AF175" s="77">
        <f t="shared" ca="1" si="437"/>
        <v>0</v>
      </c>
      <c r="AG175" s="110"/>
      <c r="AH175" s="74" t="s">
        <v>2056</v>
      </c>
      <c r="AI175" s="77">
        <f t="shared" ca="1" si="437"/>
        <v>0</v>
      </c>
      <c r="AJ175" s="110"/>
      <c r="AK175" s="813" t="s">
        <v>2056</v>
      </c>
      <c r="AL175" s="77">
        <f t="shared" ca="1" si="437"/>
        <v>0</v>
      </c>
      <c r="AM175" s="110"/>
      <c r="AN175" s="818" t="s">
        <v>2056</v>
      </c>
      <c r="AO175" s="77">
        <f t="shared" ca="1" si="437"/>
        <v>0</v>
      </c>
      <c r="AP175" s="110"/>
      <c r="AQ175" s="823" t="s">
        <v>2198</v>
      </c>
      <c r="AR175" s="77">
        <f t="shared" ca="1" si="437"/>
        <v>0</v>
      </c>
      <c r="AS175" s="110"/>
      <c r="AT175" s="828" t="s">
        <v>2216</v>
      </c>
      <c r="AU175" s="77">
        <f t="shared" ca="1" si="437"/>
        <v>0</v>
      </c>
      <c r="AV175" s="110"/>
      <c r="AW175" s="832" t="s">
        <v>2056</v>
      </c>
      <c r="AX175" s="77">
        <f t="shared" ca="1" si="437"/>
        <v>0</v>
      </c>
      <c r="AY175" s="110"/>
      <c r="AZ175" s="838" t="s">
        <v>2091</v>
      </c>
      <c r="BA175" s="77">
        <f t="shared" ca="1" si="437"/>
        <v>0</v>
      </c>
      <c r="BB175" s="110"/>
      <c r="BC175" s="845" t="s">
        <v>2288</v>
      </c>
      <c r="BD175" s="77">
        <f t="shared" ca="1" si="437"/>
        <v>0</v>
      </c>
      <c r="BE175" s="110"/>
      <c r="BF175" s="849" t="s">
        <v>2319</v>
      </c>
      <c r="BG175" s="77">
        <f t="shared" ca="1" si="437"/>
        <v>0</v>
      </c>
      <c r="BH175" s="110"/>
      <c r="BI175" s="859" t="s">
        <v>2288</v>
      </c>
      <c r="BJ175" s="77">
        <f t="shared" ca="1" si="437"/>
        <v>0</v>
      </c>
      <c r="BK175" s="110"/>
      <c r="BL175" s="864" t="s">
        <v>2391</v>
      </c>
      <c r="BM175" s="77">
        <f t="shared" ca="1" si="437"/>
        <v>0</v>
      </c>
      <c r="BN175" s="110"/>
      <c r="BO175" s="869" t="s">
        <v>2216</v>
      </c>
      <c r="BP175" s="77">
        <f t="shared" ca="1" si="437"/>
        <v>0</v>
      </c>
      <c r="BQ175" s="110"/>
      <c r="BR175" s="838" t="s">
        <v>2056</v>
      </c>
      <c r="BS175" s="77">
        <f t="shared" ca="1" si="437"/>
        <v>0</v>
      </c>
      <c r="BT175" s="110"/>
      <c r="BU175" s="873" t="s">
        <v>2056</v>
      </c>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5" t="str">
        <f>Idiomas!$D$260</f>
        <v>Dieciseisavos de final</v>
      </c>
      <c r="I176" s="43">
        <v>1</v>
      </c>
      <c r="J176" s="926"/>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854" t="s">
        <v>2345</v>
      </c>
      <c r="T176" s="77">
        <f t="shared" ca="1" si="465"/>
        <v>0</v>
      </c>
      <c r="U176" s="110"/>
      <c r="V176" s="793" t="s">
        <v>1980</v>
      </c>
      <c r="W176" s="77">
        <f t="shared" ca="1" si="437"/>
        <v>0</v>
      </c>
      <c r="X176" s="110"/>
      <c r="Y176" s="798" t="s">
        <v>2016</v>
      </c>
      <c r="Z176" s="77">
        <f t="shared" ca="1" si="437"/>
        <v>0</v>
      </c>
      <c r="AA176" s="110"/>
      <c r="AB176" s="803" t="s">
        <v>2057</v>
      </c>
      <c r="AC176" s="77">
        <f t="shared" ca="1" si="437"/>
        <v>0</v>
      </c>
      <c r="AD176" s="110"/>
      <c r="AE176" s="808" t="s">
        <v>2092</v>
      </c>
      <c r="AF176" s="77">
        <f t="shared" ca="1" si="437"/>
        <v>0</v>
      </c>
      <c r="AG176" s="110"/>
      <c r="AH176" s="74" t="s">
        <v>2126</v>
      </c>
      <c r="AI176" s="77">
        <f t="shared" ca="1" si="437"/>
        <v>0</v>
      </c>
      <c r="AJ176" s="110"/>
      <c r="AK176" s="813" t="s">
        <v>2151</v>
      </c>
      <c r="AL176" s="77">
        <f t="shared" ca="1" si="437"/>
        <v>0</v>
      </c>
      <c r="AM176" s="110"/>
      <c r="AN176" s="818" t="s">
        <v>2174</v>
      </c>
      <c r="AO176" s="77">
        <f t="shared" ca="1" si="437"/>
        <v>0</v>
      </c>
      <c r="AP176" s="110"/>
      <c r="AQ176" s="823" t="s">
        <v>2199</v>
      </c>
      <c r="AR176" s="77">
        <f t="shared" ca="1" si="437"/>
        <v>0</v>
      </c>
      <c r="AS176" s="110"/>
      <c r="AT176" s="828" t="s">
        <v>2217</v>
      </c>
      <c r="AU176" s="77">
        <f t="shared" ca="1" si="437"/>
        <v>0</v>
      </c>
      <c r="AV176" s="110"/>
      <c r="AW176" s="832" t="s">
        <v>2236</v>
      </c>
      <c r="AX176" s="77">
        <f t="shared" ca="1" si="437"/>
        <v>0</v>
      </c>
      <c r="AY176" s="110"/>
      <c r="AZ176" s="838" t="s">
        <v>2262</v>
      </c>
      <c r="BA176" s="77">
        <f t="shared" ca="1" si="437"/>
        <v>0</v>
      </c>
      <c r="BB176" s="110"/>
      <c r="BC176" s="845" t="s">
        <v>2289</v>
      </c>
      <c r="BD176" s="77">
        <f t="shared" ca="1" si="437"/>
        <v>0</v>
      </c>
      <c r="BE176" s="110"/>
      <c r="BF176" s="849" t="s">
        <v>2320</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859" t="s">
        <v>2369</v>
      </c>
      <c r="BJ176" s="77">
        <f t="shared" ca="1" si="466"/>
        <v>0</v>
      </c>
      <c r="BK176" s="110"/>
      <c r="BL176" s="864" t="s">
        <v>2217</v>
      </c>
      <c r="BM176" s="77">
        <f t="shared" ca="1" si="466"/>
        <v>0</v>
      </c>
      <c r="BN176" s="110"/>
      <c r="BO176" s="869" t="s">
        <v>2416</v>
      </c>
      <c r="BP176" s="77">
        <f t="shared" ca="1" si="466"/>
        <v>0</v>
      </c>
      <c r="BQ176" s="110"/>
      <c r="BR176" s="838" t="s">
        <v>2433</v>
      </c>
      <c r="BS176" s="77">
        <f t="shared" ca="1" si="466"/>
        <v>0</v>
      </c>
      <c r="BT176" s="110"/>
      <c r="BU176" s="873" t="s">
        <v>2369</v>
      </c>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5" t="str">
        <f>Idiomas!$D$260</f>
        <v>Dieciseisavos de final</v>
      </c>
      <c r="I177" s="43">
        <v>1</v>
      </c>
      <c r="J177" s="926"/>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854" t="s">
        <v>2346</v>
      </c>
      <c r="T177" s="77">
        <f t="shared" ca="1" si="465"/>
        <v>0</v>
      </c>
      <c r="U177" s="110"/>
      <c r="V177" s="793" t="s">
        <v>1981</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98" t="s">
        <v>2017</v>
      </c>
      <c r="Z177" s="77">
        <f t="shared" ca="1" si="467"/>
        <v>0</v>
      </c>
      <c r="AA177" s="110"/>
      <c r="AB177" s="803" t="s">
        <v>2058</v>
      </c>
      <c r="AC177" s="77">
        <f t="shared" ca="1" si="467"/>
        <v>0</v>
      </c>
      <c r="AD177" s="110"/>
      <c r="AE177" s="808" t="s">
        <v>2093</v>
      </c>
      <c r="AF177" s="77">
        <f t="shared" ca="1" si="467"/>
        <v>0</v>
      </c>
      <c r="AG177" s="110"/>
      <c r="AH177" s="74" t="s">
        <v>2127</v>
      </c>
      <c r="AI177" s="77">
        <f t="shared" ca="1" si="467"/>
        <v>0</v>
      </c>
      <c r="AJ177" s="110"/>
      <c r="AK177" s="813" t="s">
        <v>2152</v>
      </c>
      <c r="AL177" s="77">
        <f t="shared" ca="1" si="467"/>
        <v>0</v>
      </c>
      <c r="AM177" s="110"/>
      <c r="AN177" s="818" t="s">
        <v>2175</v>
      </c>
      <c r="AO177" s="77">
        <f t="shared" ca="1" si="467"/>
        <v>0</v>
      </c>
      <c r="AP177" s="110"/>
      <c r="AQ177" s="823" t="s">
        <v>2200</v>
      </c>
      <c r="AR177" s="77">
        <f t="shared" ca="1" si="467"/>
        <v>0</v>
      </c>
      <c r="AS177" s="110"/>
      <c r="AT177" s="828" t="s">
        <v>2218</v>
      </c>
      <c r="AU177" s="77">
        <f t="shared" ca="1" si="467"/>
        <v>0</v>
      </c>
      <c r="AV177" s="110"/>
      <c r="AW177" s="832" t="s">
        <v>2237</v>
      </c>
      <c r="AX177" s="77">
        <f t="shared" ca="1" si="467"/>
        <v>0</v>
      </c>
      <c r="AY177" s="110"/>
      <c r="AZ177" s="838" t="s">
        <v>2263</v>
      </c>
      <c r="BA177" s="77">
        <f t="shared" ca="1" si="467"/>
        <v>0</v>
      </c>
      <c r="BB177" s="110"/>
      <c r="BC177" s="845" t="s">
        <v>2290</v>
      </c>
      <c r="BD177" s="77">
        <f t="shared" ca="1" si="467"/>
        <v>0</v>
      </c>
      <c r="BE177" s="110"/>
      <c r="BF177" s="849" t="s">
        <v>2321</v>
      </c>
      <c r="BG177" s="77">
        <f t="shared" ca="1" si="467"/>
        <v>0</v>
      </c>
      <c r="BH177" s="110"/>
      <c r="BI177" s="859" t="s">
        <v>2175</v>
      </c>
      <c r="BJ177" s="77">
        <f t="shared" ca="1" si="467"/>
        <v>0</v>
      </c>
      <c r="BK177" s="110"/>
      <c r="BL177" s="864" t="s">
        <v>2093</v>
      </c>
      <c r="BM177" s="77">
        <f t="shared" ca="1" si="467"/>
        <v>0</v>
      </c>
      <c r="BN177" s="110"/>
      <c r="BO177" s="869" t="s">
        <v>2127</v>
      </c>
      <c r="BP177" s="77">
        <f t="shared" ca="1" si="467"/>
        <v>0</v>
      </c>
      <c r="BQ177" s="110"/>
      <c r="BR177" s="838" t="s">
        <v>2200</v>
      </c>
      <c r="BS177" s="77">
        <f t="shared" ca="1" si="467"/>
        <v>0</v>
      </c>
      <c r="BT177" s="110"/>
      <c r="BU177" s="873" t="s">
        <v>2218</v>
      </c>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5" t="str">
        <f>Idiomas!$D$260</f>
        <v>Dieciseisavos de final</v>
      </c>
      <c r="I178" s="43">
        <v>1</v>
      </c>
      <c r="J178" s="926"/>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854" t="s">
        <v>2018</v>
      </c>
      <c r="T178" s="77">
        <f t="shared" ca="1" si="465"/>
        <v>0</v>
      </c>
      <c r="U178" s="110"/>
      <c r="V178" s="793" t="s">
        <v>1982</v>
      </c>
      <c r="W178" s="77">
        <f t="shared" ca="1" si="467"/>
        <v>0</v>
      </c>
      <c r="X178" s="110"/>
      <c r="Y178" s="798" t="s">
        <v>2018</v>
      </c>
      <c r="Z178" s="77">
        <f t="shared" ca="1" si="467"/>
        <v>0</v>
      </c>
      <c r="AA178" s="110"/>
      <c r="AB178" s="803" t="s">
        <v>2018</v>
      </c>
      <c r="AC178" s="77">
        <f t="shared" ca="1" si="467"/>
        <v>0</v>
      </c>
      <c r="AD178" s="110"/>
      <c r="AE178" s="808" t="s">
        <v>2094</v>
      </c>
      <c r="AF178" s="77">
        <f t="shared" ca="1" si="467"/>
        <v>0</v>
      </c>
      <c r="AG178" s="110"/>
      <c r="AH178" s="74" t="s">
        <v>2128</v>
      </c>
      <c r="AI178" s="77">
        <f t="shared" ca="1" si="467"/>
        <v>0</v>
      </c>
      <c r="AJ178" s="110"/>
      <c r="AK178" s="813" t="s">
        <v>2128</v>
      </c>
      <c r="AL178" s="77">
        <f t="shared" ca="1" si="467"/>
        <v>0</v>
      </c>
      <c r="AM178" s="110"/>
      <c r="AN178" s="818" t="s">
        <v>2128</v>
      </c>
      <c r="AO178" s="77">
        <f t="shared" ca="1" si="467"/>
        <v>0</v>
      </c>
      <c r="AP178" s="110"/>
      <c r="AQ178" s="823" t="s">
        <v>2201</v>
      </c>
      <c r="AR178" s="77">
        <f t="shared" ca="1" si="467"/>
        <v>0</v>
      </c>
      <c r="AS178" s="110"/>
      <c r="AT178" s="828" t="s">
        <v>2128</v>
      </c>
      <c r="AU178" s="77">
        <f t="shared" ca="1" si="467"/>
        <v>0</v>
      </c>
      <c r="AV178" s="110"/>
      <c r="AW178" s="832" t="s">
        <v>2128</v>
      </c>
      <c r="AX178" s="77">
        <f t="shared" ca="1" si="467"/>
        <v>0</v>
      </c>
      <c r="AY178" s="110"/>
      <c r="AZ178" s="838" t="s">
        <v>2264</v>
      </c>
      <c r="BA178" s="77">
        <f t="shared" ca="1" si="467"/>
        <v>0</v>
      </c>
      <c r="BB178" s="110"/>
      <c r="BC178" s="845" t="s">
        <v>2291</v>
      </c>
      <c r="BD178" s="77">
        <f t="shared" ca="1" si="467"/>
        <v>0</v>
      </c>
      <c r="BE178" s="110"/>
      <c r="BF178" s="849" t="s">
        <v>2322</v>
      </c>
      <c r="BG178" s="77">
        <f t="shared" ca="1" si="467"/>
        <v>0</v>
      </c>
      <c r="BH178" s="110"/>
      <c r="BI178" s="859" t="s">
        <v>2201</v>
      </c>
      <c r="BJ178" s="77">
        <f t="shared" ca="1" si="467"/>
        <v>0</v>
      </c>
      <c r="BK178" s="110"/>
      <c r="BL178" s="864" t="s">
        <v>2018</v>
      </c>
      <c r="BM178" s="77">
        <f t="shared" ca="1" si="467"/>
        <v>0</v>
      </c>
      <c r="BN178" s="110"/>
      <c r="BO178" s="869" t="s">
        <v>2201</v>
      </c>
      <c r="BP178" s="77">
        <f t="shared" ca="1" si="467"/>
        <v>0</v>
      </c>
      <c r="BQ178" s="110"/>
      <c r="BR178" s="838" t="s">
        <v>2128</v>
      </c>
      <c r="BS178" s="77">
        <f t="shared" ca="1" si="467"/>
        <v>0</v>
      </c>
      <c r="BT178" s="110"/>
      <c r="BU178" s="873" t="s">
        <v>2128</v>
      </c>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5" t="str">
        <f>Idiomas!$D$260</f>
        <v>Dieciseisavos de final</v>
      </c>
      <c r="I179" s="43">
        <v>1</v>
      </c>
      <c r="J179" s="926"/>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54" t="s">
        <v>2347</v>
      </c>
      <c r="T179" s="81">
        <f t="shared" ca="1" si="465"/>
        <v>0</v>
      </c>
      <c r="U179" s="110"/>
      <c r="V179" s="793" t="s">
        <v>1983</v>
      </c>
      <c r="W179" s="81">
        <f t="shared" ca="1" si="467"/>
        <v>0</v>
      </c>
      <c r="X179" s="110"/>
      <c r="Y179" s="798" t="s">
        <v>2019</v>
      </c>
      <c r="Z179" s="81">
        <f t="shared" ca="1" si="467"/>
        <v>0</v>
      </c>
      <c r="AA179" s="110"/>
      <c r="AB179" s="803" t="s">
        <v>2059</v>
      </c>
      <c r="AC179" s="81">
        <f t="shared" ca="1" si="467"/>
        <v>0</v>
      </c>
      <c r="AD179" s="110"/>
      <c r="AE179" s="808" t="s">
        <v>2095</v>
      </c>
      <c r="AF179" s="81">
        <f t="shared" ca="1" si="467"/>
        <v>0</v>
      </c>
      <c r="AG179" s="110"/>
      <c r="AH179" s="80" t="s">
        <v>2129</v>
      </c>
      <c r="AI179" s="81">
        <f t="shared" ca="1" si="467"/>
        <v>0</v>
      </c>
      <c r="AJ179" s="110"/>
      <c r="AK179" s="813" t="s">
        <v>2153</v>
      </c>
      <c r="AL179" s="81">
        <f t="shared" ca="1" si="467"/>
        <v>0</v>
      </c>
      <c r="AM179" s="110"/>
      <c r="AN179" s="818" t="s">
        <v>2176</v>
      </c>
      <c r="AO179" s="81">
        <f t="shared" ca="1" si="467"/>
        <v>0</v>
      </c>
      <c r="AP179" s="110"/>
      <c r="AQ179" s="823" t="s">
        <v>2202</v>
      </c>
      <c r="AR179" s="81">
        <f t="shared" ca="1" si="467"/>
        <v>0</v>
      </c>
      <c r="AS179" s="110"/>
      <c r="AT179" s="828" t="s">
        <v>2095</v>
      </c>
      <c r="AU179" s="81">
        <f t="shared" ca="1" si="467"/>
        <v>0</v>
      </c>
      <c r="AV179" s="110"/>
      <c r="AW179" s="832" t="s">
        <v>2238</v>
      </c>
      <c r="AX179" s="81">
        <f t="shared" ca="1" si="467"/>
        <v>0</v>
      </c>
      <c r="AY179" s="110"/>
      <c r="AZ179" s="838" t="s">
        <v>2095</v>
      </c>
      <c r="BA179" s="81">
        <f t="shared" ca="1" si="467"/>
        <v>0</v>
      </c>
      <c r="BB179" s="110"/>
      <c r="BC179" s="845" t="s">
        <v>2095</v>
      </c>
      <c r="BD179" s="81">
        <f t="shared" ca="1" si="467"/>
        <v>0</v>
      </c>
      <c r="BE179" s="110"/>
      <c r="BF179" s="849" t="s">
        <v>2323</v>
      </c>
      <c r="BG179" s="81">
        <f t="shared" ca="1" si="467"/>
        <v>0</v>
      </c>
      <c r="BH179" s="110"/>
      <c r="BI179" s="859" t="s">
        <v>2129</v>
      </c>
      <c r="BJ179" s="81">
        <f t="shared" ca="1" si="467"/>
        <v>0</v>
      </c>
      <c r="BK179" s="110"/>
      <c r="BL179" s="864" t="s">
        <v>2095</v>
      </c>
      <c r="BM179" s="81">
        <f t="shared" ca="1" si="467"/>
        <v>0</v>
      </c>
      <c r="BN179" s="110"/>
      <c r="BO179" s="869" t="s">
        <v>2095</v>
      </c>
      <c r="BP179" s="81">
        <f t="shared" ca="1" si="467"/>
        <v>0</v>
      </c>
      <c r="BQ179" s="110"/>
      <c r="BR179" s="838" t="s">
        <v>2434</v>
      </c>
      <c r="BS179" s="81">
        <f t="shared" ca="1" si="467"/>
        <v>0</v>
      </c>
      <c r="BT179" s="110"/>
      <c r="BU179" s="873" t="s">
        <v>2176</v>
      </c>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5"/>
      <c r="I180" s="50"/>
      <c r="J180" s="94"/>
      <c r="K180" s="434" t="str">
        <f>Idiomas!D458</f>
        <v>Partidos 1/16</v>
      </c>
      <c r="L180" s="435"/>
      <c r="M180" s="434" t="str">
        <f>"Max: "&amp;SUM($D$16:$D$18)*SUM($I$164:$I$179)</f>
        <v>Max: 144</v>
      </c>
      <c r="N180" s="25"/>
      <c r="O180" s="25"/>
      <c r="P180" s="25"/>
      <c r="Q180" s="25"/>
      <c r="R180" s="49"/>
      <c r="S180" s="850"/>
      <c r="T180" s="71">
        <f ca="1">SUM(T164:T179)</f>
        <v>0</v>
      </c>
      <c r="U180" s="65"/>
      <c r="V180" s="789"/>
      <c r="W180" s="71">
        <f t="shared" ref="W180" ca="1" si="468">SUM(W164:W179)</f>
        <v>0</v>
      </c>
      <c r="X180" s="65"/>
      <c r="Y180" s="794"/>
      <c r="Z180" s="71">
        <f t="shared" ref="Z180" ca="1" si="469">SUM(Z164:Z179)</f>
        <v>0</v>
      </c>
      <c r="AA180" s="65"/>
      <c r="AB180" s="799"/>
      <c r="AC180" s="71">
        <f t="shared" ref="AC180" ca="1" si="470">SUM(AC164:AC179)</f>
        <v>0</v>
      </c>
      <c r="AD180" s="65"/>
      <c r="AE180" s="804"/>
      <c r="AF180" s="71">
        <f t="shared" ref="AF180" ca="1" si="471">SUM(AF164:AF179)</f>
        <v>0</v>
      </c>
      <c r="AG180" s="65"/>
      <c r="AH180" s="84"/>
      <c r="AI180" s="71">
        <f t="shared" ref="AI180" ca="1" si="472">SUM(AI164:AI179)</f>
        <v>0</v>
      </c>
      <c r="AJ180" s="65"/>
      <c r="AK180" s="809"/>
      <c r="AL180" s="71">
        <f t="shared" ref="AL180" ca="1" si="473">SUM(AL164:AL179)</f>
        <v>0</v>
      </c>
      <c r="AM180" s="65"/>
      <c r="AN180" s="814"/>
      <c r="AO180" s="71">
        <f t="shared" ref="AO180" ca="1" si="474">SUM(AO164:AO179)</f>
        <v>0</v>
      </c>
      <c r="AP180" s="65"/>
      <c r="AQ180" s="819"/>
      <c r="AR180" s="71">
        <f t="shared" ref="AR180" ca="1" si="475">SUM(AR164:AR179)</f>
        <v>0</v>
      </c>
      <c r="AS180" s="65"/>
      <c r="AT180" s="824"/>
      <c r="AU180" s="71">
        <f t="shared" ref="AU180" ca="1" si="476">SUM(AU164:AU179)</f>
        <v>0</v>
      </c>
      <c r="AV180" s="65"/>
      <c r="AW180" s="833"/>
      <c r="AX180" s="71">
        <f t="shared" ref="AX180" ca="1" si="477">SUM(AX164:AX179)</f>
        <v>0</v>
      </c>
      <c r="AY180" s="65"/>
      <c r="AZ180" s="839"/>
      <c r="BA180" s="71">
        <f t="shared" ref="BA180" ca="1" si="478">SUM(BA164:BA179)</f>
        <v>0</v>
      </c>
      <c r="BB180" s="65"/>
      <c r="BC180" s="841"/>
      <c r="BD180" s="71">
        <f t="shared" ref="BD180" ca="1" si="479">SUM(BD164:BD179)</f>
        <v>0</v>
      </c>
      <c r="BE180" s="65"/>
      <c r="BF180" s="846"/>
      <c r="BG180" s="71">
        <f t="shared" ref="BG180" ca="1" si="480">SUM(BG164:BG179)</f>
        <v>0</v>
      </c>
      <c r="BH180" s="65"/>
      <c r="BI180" s="855"/>
      <c r="BJ180" s="71">
        <f t="shared" ref="BJ180" ca="1" si="481">SUM(BJ164:BJ179)</f>
        <v>0</v>
      </c>
      <c r="BK180" s="65"/>
      <c r="BL180" s="860"/>
      <c r="BM180" s="71">
        <f t="shared" ref="BM180" ca="1" si="482">SUM(BM164:BM179)</f>
        <v>0</v>
      </c>
      <c r="BN180" s="65"/>
      <c r="BO180" s="865"/>
      <c r="BP180" s="71">
        <f t="shared" ref="BP180" ca="1" si="483">SUM(BP164:BP179)</f>
        <v>0</v>
      </c>
      <c r="BQ180" s="65"/>
      <c r="BR180" s="839"/>
      <c r="BS180" s="71">
        <f t="shared" ref="BS180" ca="1" si="484">SUM(BS164:BS179)</f>
        <v>0</v>
      </c>
      <c r="BT180" s="65"/>
      <c r="BU180" s="87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5"/>
      <c r="I181" s="50"/>
      <c r="J181" s="94"/>
      <c r="K181" s="113" t="str">
        <f>Idiomas!D139</f>
        <v>CLASIFICADOS PARA OCTAVOS</v>
      </c>
      <c r="L181" s="50"/>
      <c r="M181" s="71"/>
      <c r="N181" s="25"/>
      <c r="O181" s="25"/>
      <c r="P181" s="25"/>
      <c r="Q181" s="25"/>
      <c r="R181" s="49"/>
      <c r="S181" s="850"/>
      <c r="T181" s="71"/>
      <c r="U181" s="65"/>
      <c r="V181" s="789"/>
      <c r="W181" s="71"/>
      <c r="X181" s="65"/>
      <c r="Y181" s="794"/>
      <c r="Z181" s="71"/>
      <c r="AA181" s="65"/>
      <c r="AB181" s="799"/>
      <c r="AC181" s="71"/>
      <c r="AD181" s="65"/>
      <c r="AE181" s="804"/>
      <c r="AF181" s="71"/>
      <c r="AG181" s="65"/>
      <c r="AH181" s="84"/>
      <c r="AI181" s="71"/>
      <c r="AJ181" s="65"/>
      <c r="AK181" s="809"/>
      <c r="AL181" s="71"/>
      <c r="AM181" s="65"/>
      <c r="AN181" s="814"/>
      <c r="AO181" s="71"/>
      <c r="AP181" s="65"/>
      <c r="AQ181" s="819"/>
      <c r="AR181" s="71"/>
      <c r="AS181" s="65"/>
      <c r="AT181" s="824"/>
      <c r="AU181" s="71"/>
      <c r="AV181" s="65"/>
      <c r="AW181" s="833"/>
      <c r="AX181" s="71"/>
      <c r="AY181" s="65"/>
      <c r="AZ181" s="839"/>
      <c r="BA181" s="71"/>
      <c r="BB181" s="65"/>
      <c r="BC181" s="841"/>
      <c r="BD181" s="71"/>
      <c r="BE181" s="65"/>
      <c r="BF181" s="846"/>
      <c r="BG181" s="71"/>
      <c r="BH181" s="65"/>
      <c r="BI181" s="855"/>
      <c r="BJ181" s="71"/>
      <c r="BK181" s="65"/>
      <c r="BL181" s="860"/>
      <c r="BM181" s="71"/>
      <c r="BN181" s="65"/>
      <c r="BO181" s="865"/>
      <c r="BP181" s="71"/>
      <c r="BQ181" s="65"/>
      <c r="BR181" s="839"/>
      <c r="BS181" s="71"/>
      <c r="BT181" s="65"/>
      <c r="BU181" s="87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5" t="str">
        <f>Idiomas!$D$260</f>
        <v>Dieciseisavos de final</v>
      </c>
      <c r="I182" s="50"/>
      <c r="J182" s="926" t="s">
        <v>88</v>
      </c>
      <c r="K182" s="53" t="str">
        <f>Idiomas!$D$199&amp;"-"&amp;ROWS($L$182:L182)</f>
        <v>Octavofinalista-1</v>
      </c>
      <c r="L182" s="53"/>
      <c r="M182" s="55" t="str">
        <f>WORLDCUP!AA120</f>
        <v>W73</v>
      </c>
      <c r="N182" s="25"/>
      <c r="O182" s="25"/>
      <c r="P182" s="25"/>
      <c r="Q182" s="25"/>
      <c r="R182" s="110"/>
      <c r="S182" s="854" t="s">
        <v>1259</v>
      </c>
      <c r="T182" s="77">
        <f t="shared" ref="T182:T197" si="492">COUNTIF($M$182:$M$197,S182)*$D$19</f>
        <v>0</v>
      </c>
      <c r="U182" s="64"/>
      <c r="V182" s="793" t="s">
        <v>1259</v>
      </c>
      <c r="W182" s="77">
        <f t="shared" ref="W182:W197" si="493">COUNTIF($M$182:$M$197,V182)*$D$19</f>
        <v>0</v>
      </c>
      <c r="X182" s="64"/>
      <c r="Y182" s="798" t="s">
        <v>1259</v>
      </c>
      <c r="Z182" s="77">
        <f t="shared" ref="Z182:Z197" si="494">COUNTIF($M$182:$M$197,Y182)*$D$19</f>
        <v>0</v>
      </c>
      <c r="AA182" s="64"/>
      <c r="AB182" s="803" t="s">
        <v>75</v>
      </c>
      <c r="AC182" s="77">
        <f t="shared" ref="AC182:AC197" si="495">COUNTIF($M$182:$M$197,AB182)*$D$19</f>
        <v>0</v>
      </c>
      <c r="AD182" s="64"/>
      <c r="AE182" s="808" t="s">
        <v>75</v>
      </c>
      <c r="AF182" s="77">
        <f t="shared" ref="AF182:AF197" si="496">COUNTIF($M$182:$M$197,AE182)*$D$19</f>
        <v>0</v>
      </c>
      <c r="AG182" s="64"/>
      <c r="AH182" s="76" t="s">
        <v>75</v>
      </c>
      <c r="AI182" s="77">
        <f t="shared" ref="AI182:AI197" si="497">COUNTIF($M$182:$M$197,AH182)*$D$19</f>
        <v>0</v>
      </c>
      <c r="AJ182" s="64"/>
      <c r="AK182" s="813" t="s">
        <v>1260</v>
      </c>
      <c r="AL182" s="77">
        <f t="shared" ref="AL182:AL197" si="498">COUNTIF($M$182:$M$197,AK182)*$D$19</f>
        <v>0</v>
      </c>
      <c r="AM182" s="64"/>
      <c r="AN182" s="818" t="s">
        <v>1265</v>
      </c>
      <c r="AO182" s="77">
        <f t="shared" ref="AO182:AO197" si="499">COUNTIF($M$182:$M$197,AN182)*$D$19</f>
        <v>0</v>
      </c>
      <c r="AP182" s="64"/>
      <c r="AQ182" s="823" t="s">
        <v>1843</v>
      </c>
      <c r="AR182" s="77">
        <f t="shared" ref="AR182:AR197" si="500">COUNTIF($M$182:$M$197,AQ182)*$D$19</f>
        <v>0</v>
      </c>
      <c r="AS182" s="64"/>
      <c r="AT182" s="828" t="s">
        <v>1259</v>
      </c>
      <c r="AU182" s="77">
        <f t="shared" ref="AU182:AU197" si="501">COUNTIF($M$182:$M$197,AT182)*$D$19</f>
        <v>0</v>
      </c>
      <c r="AV182" s="64"/>
      <c r="AW182" s="832" t="s">
        <v>1259</v>
      </c>
      <c r="AX182" s="77">
        <f t="shared" ref="AX182:AX197" si="502">COUNTIF($M$182:$M$197,AW182)*$D$19</f>
        <v>0</v>
      </c>
      <c r="AY182" s="64"/>
      <c r="AZ182" s="838" t="s">
        <v>1260</v>
      </c>
      <c r="BA182" s="77">
        <f t="shared" ref="BA182:BA197" si="503">COUNTIF($M$182:$M$197,AZ182)*$D$19</f>
        <v>0</v>
      </c>
      <c r="BB182" s="64"/>
      <c r="BC182" s="845" t="s">
        <v>1843</v>
      </c>
      <c r="BD182" s="77">
        <f t="shared" ref="BD182:BD197" si="504">COUNTIF($M$182:$M$197,BC182)*$D$19</f>
        <v>0</v>
      </c>
      <c r="BE182" s="64"/>
      <c r="BF182" s="849" t="s">
        <v>1259</v>
      </c>
      <c r="BG182" s="77">
        <f t="shared" ref="BG182:BG197" si="505">COUNTIF($M$182:$M$197,BF182)*$D$19</f>
        <v>0</v>
      </c>
      <c r="BH182" s="64"/>
      <c r="BI182" s="859" t="s">
        <v>1260</v>
      </c>
      <c r="BJ182" s="77">
        <f t="shared" ref="BJ182:BJ197" si="506">COUNTIF($M$182:$M$197,BI182)*$D$19</f>
        <v>0</v>
      </c>
      <c r="BK182" s="64"/>
      <c r="BL182" s="864" t="s">
        <v>1260</v>
      </c>
      <c r="BM182" s="77">
        <f t="shared" ref="BM182:BM197" si="507">COUNTIF($M$182:$M$197,BL182)*$D$19</f>
        <v>0</v>
      </c>
      <c r="BN182" s="64"/>
      <c r="BO182" s="869" t="s">
        <v>1841</v>
      </c>
      <c r="BP182" s="77">
        <f t="shared" ref="BP182:BP197" si="508">COUNTIF($M$182:$M$197,BO182)*$D$19</f>
        <v>0</v>
      </c>
      <c r="BQ182" s="64"/>
      <c r="BR182" s="838" t="s">
        <v>1843</v>
      </c>
      <c r="BS182" s="77">
        <f t="shared" ref="BS182:BS197" si="509">COUNTIF($M$182:$M$197,BR182)*$D$19</f>
        <v>0</v>
      </c>
      <c r="BT182" s="64"/>
      <c r="BU182" s="873" t="s">
        <v>1259</v>
      </c>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5" t="str">
        <f>Idiomas!$D$260</f>
        <v>Dieciseisavos de final</v>
      </c>
      <c r="I183" s="50"/>
      <c r="J183" s="926"/>
      <c r="K183" s="56" t="str">
        <f>Idiomas!$D$199&amp;"-"&amp;ROWS($L$182:L183)</f>
        <v>Octavofinalista-2</v>
      </c>
      <c r="L183" s="53"/>
      <c r="M183" s="55" t="str">
        <f>WORLDCUP!AA121</f>
        <v>W74</v>
      </c>
      <c r="N183" s="25"/>
      <c r="O183" s="25"/>
      <c r="P183" s="25"/>
      <c r="Q183" s="25"/>
      <c r="R183" s="110"/>
      <c r="S183" s="854" t="s">
        <v>77</v>
      </c>
      <c r="T183" s="73">
        <f t="shared" si="492"/>
        <v>0</v>
      </c>
      <c r="U183" s="64"/>
      <c r="V183" s="793" t="s">
        <v>1261</v>
      </c>
      <c r="W183" s="73">
        <f t="shared" si="493"/>
        <v>0</v>
      </c>
      <c r="X183" s="64"/>
      <c r="Y183" s="798" t="s">
        <v>1319</v>
      </c>
      <c r="Z183" s="73">
        <f t="shared" si="494"/>
        <v>0</v>
      </c>
      <c r="AA183" s="64"/>
      <c r="AB183" s="803" t="s">
        <v>1261</v>
      </c>
      <c r="AC183" s="73">
        <f t="shared" si="495"/>
        <v>0</v>
      </c>
      <c r="AD183" s="64"/>
      <c r="AE183" s="808" t="s">
        <v>77</v>
      </c>
      <c r="AF183" s="73">
        <f t="shared" si="496"/>
        <v>0</v>
      </c>
      <c r="AG183" s="64"/>
      <c r="AH183" s="74" t="s">
        <v>77</v>
      </c>
      <c r="AI183" s="73">
        <f t="shared" si="497"/>
        <v>0</v>
      </c>
      <c r="AJ183" s="64"/>
      <c r="AK183" s="813" t="s">
        <v>77</v>
      </c>
      <c r="AL183" s="73">
        <f t="shared" si="498"/>
        <v>0</v>
      </c>
      <c r="AM183" s="64"/>
      <c r="AN183" s="818" t="s">
        <v>77</v>
      </c>
      <c r="AO183" s="73">
        <f t="shared" si="499"/>
        <v>0</v>
      </c>
      <c r="AP183" s="64"/>
      <c r="AQ183" s="823" t="s">
        <v>77</v>
      </c>
      <c r="AR183" s="73">
        <f t="shared" si="500"/>
        <v>0</v>
      </c>
      <c r="AS183" s="64"/>
      <c r="AT183" s="828" t="s">
        <v>77</v>
      </c>
      <c r="AU183" s="73">
        <f t="shared" si="501"/>
        <v>0</v>
      </c>
      <c r="AV183" s="64"/>
      <c r="AW183" s="832" t="s">
        <v>77</v>
      </c>
      <c r="AX183" s="73">
        <f t="shared" si="502"/>
        <v>0</v>
      </c>
      <c r="AY183" s="64"/>
      <c r="AZ183" s="838" t="s">
        <v>77</v>
      </c>
      <c r="BA183" s="73">
        <f t="shared" si="503"/>
        <v>0</v>
      </c>
      <c r="BB183" s="64"/>
      <c r="BC183" s="845" t="s">
        <v>77</v>
      </c>
      <c r="BD183" s="73">
        <f t="shared" si="504"/>
        <v>0</v>
      </c>
      <c r="BE183" s="64"/>
      <c r="BF183" s="849" t="s">
        <v>77</v>
      </c>
      <c r="BG183" s="73">
        <f t="shared" si="505"/>
        <v>0</v>
      </c>
      <c r="BH183" s="64"/>
      <c r="BI183" s="859" t="s">
        <v>1633</v>
      </c>
      <c r="BJ183" s="73">
        <f t="shared" si="506"/>
        <v>0</v>
      </c>
      <c r="BK183" s="64"/>
      <c r="BL183" s="864" t="s">
        <v>77</v>
      </c>
      <c r="BM183" s="73">
        <f t="shared" si="507"/>
        <v>0</v>
      </c>
      <c r="BN183" s="64"/>
      <c r="BO183" s="869" t="s">
        <v>77</v>
      </c>
      <c r="BP183" s="73">
        <f t="shared" si="508"/>
        <v>0</v>
      </c>
      <c r="BQ183" s="64"/>
      <c r="BR183" s="838" t="s">
        <v>77</v>
      </c>
      <c r="BS183" s="73">
        <f t="shared" si="509"/>
        <v>0</v>
      </c>
      <c r="BT183" s="64"/>
      <c r="BU183" s="873" t="s">
        <v>77</v>
      </c>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5" t="str">
        <f>Idiomas!$D$260</f>
        <v>Dieciseisavos de final</v>
      </c>
      <c r="I184" s="50"/>
      <c r="J184" s="926"/>
      <c r="K184" s="56" t="str">
        <f>Idiomas!$D$199&amp;"-"&amp;ROWS($L$182:L184)</f>
        <v>Octavofinalista-3</v>
      </c>
      <c r="L184" s="53"/>
      <c r="M184" s="55" t="str">
        <f>WORLDCUP!AA122</f>
        <v>W76</v>
      </c>
      <c r="N184" s="25"/>
      <c r="O184" s="25"/>
      <c r="P184" s="25"/>
      <c r="Q184" s="25"/>
      <c r="R184" s="110"/>
      <c r="S184" s="854" t="s">
        <v>1258</v>
      </c>
      <c r="T184" s="73">
        <f t="shared" si="492"/>
        <v>0</v>
      </c>
      <c r="U184" s="64"/>
      <c r="V184" s="793" t="s">
        <v>1258</v>
      </c>
      <c r="W184" s="73">
        <f t="shared" si="493"/>
        <v>0</v>
      </c>
      <c r="X184" s="64"/>
      <c r="Y184" s="798" t="s">
        <v>1258</v>
      </c>
      <c r="Z184" s="73">
        <f t="shared" si="494"/>
        <v>0</v>
      </c>
      <c r="AA184" s="64"/>
      <c r="AB184" s="803" t="s">
        <v>1258</v>
      </c>
      <c r="AC184" s="73">
        <f t="shared" si="495"/>
        <v>0</v>
      </c>
      <c r="AD184" s="64"/>
      <c r="AE184" s="808" t="s">
        <v>1258</v>
      </c>
      <c r="AF184" s="73">
        <f t="shared" si="496"/>
        <v>0</v>
      </c>
      <c r="AG184" s="64"/>
      <c r="AH184" s="74" t="s">
        <v>1258</v>
      </c>
      <c r="AI184" s="73">
        <f t="shared" si="497"/>
        <v>0</v>
      </c>
      <c r="AJ184" s="64"/>
      <c r="AK184" s="813" t="s">
        <v>1258</v>
      </c>
      <c r="AL184" s="73">
        <f t="shared" si="498"/>
        <v>0</v>
      </c>
      <c r="AM184" s="64"/>
      <c r="AN184" s="818" t="s">
        <v>1258</v>
      </c>
      <c r="AO184" s="73">
        <f t="shared" si="499"/>
        <v>0</v>
      </c>
      <c r="AP184" s="64"/>
      <c r="AQ184" s="823" t="s">
        <v>1258</v>
      </c>
      <c r="AR184" s="73">
        <f t="shared" si="500"/>
        <v>0</v>
      </c>
      <c r="AS184" s="64"/>
      <c r="AT184" s="828" t="s">
        <v>1258</v>
      </c>
      <c r="AU184" s="73">
        <f t="shared" si="501"/>
        <v>0</v>
      </c>
      <c r="AV184" s="64"/>
      <c r="AW184" s="832" t="s">
        <v>1258</v>
      </c>
      <c r="AX184" s="73">
        <f t="shared" si="502"/>
        <v>0</v>
      </c>
      <c r="AY184" s="64"/>
      <c r="AZ184" s="838" t="s">
        <v>1258</v>
      </c>
      <c r="BA184" s="73">
        <f t="shared" si="503"/>
        <v>0</v>
      </c>
      <c r="BB184" s="64"/>
      <c r="BC184" s="845" t="s">
        <v>1258</v>
      </c>
      <c r="BD184" s="73">
        <f t="shared" si="504"/>
        <v>0</v>
      </c>
      <c r="BE184" s="64"/>
      <c r="BF184" s="849" t="s">
        <v>1321</v>
      </c>
      <c r="BG184" s="73">
        <f t="shared" si="505"/>
        <v>0</v>
      </c>
      <c r="BH184" s="64"/>
      <c r="BI184" s="859" t="s">
        <v>1258</v>
      </c>
      <c r="BJ184" s="73">
        <f t="shared" si="506"/>
        <v>0</v>
      </c>
      <c r="BK184" s="64"/>
      <c r="BL184" s="864" t="s">
        <v>1258</v>
      </c>
      <c r="BM184" s="73">
        <f t="shared" si="507"/>
        <v>0</v>
      </c>
      <c r="BN184" s="64"/>
      <c r="BO184" s="869" t="s">
        <v>1258</v>
      </c>
      <c r="BP184" s="73">
        <f t="shared" si="508"/>
        <v>0</v>
      </c>
      <c r="BQ184" s="64"/>
      <c r="BR184" s="838" t="s">
        <v>1258</v>
      </c>
      <c r="BS184" s="73">
        <f t="shared" si="509"/>
        <v>0</v>
      </c>
      <c r="BT184" s="64"/>
      <c r="BU184" s="873" t="s">
        <v>1258</v>
      </c>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5" t="str">
        <f>Idiomas!$D$260</f>
        <v>Dieciseisavos de final</v>
      </c>
      <c r="I185" s="50"/>
      <c r="J185" s="926"/>
      <c r="K185" s="56" t="str">
        <f>Idiomas!$D$199&amp;"-"&amp;ROWS($L$182:L185)</f>
        <v>Octavofinalista-4</v>
      </c>
      <c r="L185" s="53"/>
      <c r="M185" s="55" t="str">
        <f>WORLDCUP!AA123</f>
        <v>W79</v>
      </c>
      <c r="N185" s="25"/>
      <c r="O185" s="25"/>
      <c r="P185" s="25"/>
      <c r="Q185" s="25"/>
      <c r="R185" s="110"/>
      <c r="S185" s="854" t="s">
        <v>1265</v>
      </c>
      <c r="T185" s="73">
        <f t="shared" si="492"/>
        <v>0</v>
      </c>
      <c r="U185" s="64"/>
      <c r="V185" s="793" t="s">
        <v>1265</v>
      </c>
      <c r="W185" s="73">
        <f t="shared" si="493"/>
        <v>0</v>
      </c>
      <c r="X185" s="64"/>
      <c r="Y185" s="798" t="s">
        <v>1265</v>
      </c>
      <c r="Z185" s="73">
        <f t="shared" si="494"/>
        <v>0</v>
      </c>
      <c r="AA185" s="64"/>
      <c r="AB185" s="803" t="s">
        <v>1260</v>
      </c>
      <c r="AC185" s="73">
        <f t="shared" si="495"/>
        <v>0</v>
      </c>
      <c r="AD185" s="64"/>
      <c r="AE185" s="808" t="s">
        <v>1261</v>
      </c>
      <c r="AF185" s="73">
        <f t="shared" si="496"/>
        <v>0</v>
      </c>
      <c r="AG185" s="64"/>
      <c r="AH185" s="74" t="s">
        <v>1265</v>
      </c>
      <c r="AI185" s="73">
        <f t="shared" si="497"/>
        <v>0</v>
      </c>
      <c r="AJ185" s="64"/>
      <c r="AK185" s="813" t="s">
        <v>1265</v>
      </c>
      <c r="AL185" s="73">
        <f t="shared" si="498"/>
        <v>0</v>
      </c>
      <c r="AM185" s="64"/>
      <c r="AN185" s="818" t="s">
        <v>1260</v>
      </c>
      <c r="AO185" s="73">
        <f t="shared" si="499"/>
        <v>0</v>
      </c>
      <c r="AP185" s="64"/>
      <c r="AQ185" s="823" t="s">
        <v>1321</v>
      </c>
      <c r="AR185" s="73">
        <f t="shared" si="500"/>
        <v>0</v>
      </c>
      <c r="AS185" s="64"/>
      <c r="AT185" s="828" t="s">
        <v>1265</v>
      </c>
      <c r="AU185" s="73">
        <f t="shared" si="501"/>
        <v>0</v>
      </c>
      <c r="AV185" s="64"/>
      <c r="AW185" s="832" t="s">
        <v>1843</v>
      </c>
      <c r="AX185" s="73">
        <f t="shared" si="502"/>
        <v>0</v>
      </c>
      <c r="AY185" s="64"/>
      <c r="AZ185" s="838" t="s">
        <v>1265</v>
      </c>
      <c r="BA185" s="73">
        <f t="shared" si="503"/>
        <v>0</v>
      </c>
      <c r="BB185" s="64"/>
      <c r="BC185" s="845" t="s">
        <v>1265</v>
      </c>
      <c r="BD185" s="73">
        <f t="shared" si="504"/>
        <v>0</v>
      </c>
      <c r="BE185" s="64"/>
      <c r="BF185" s="849" t="s">
        <v>1265</v>
      </c>
      <c r="BG185" s="73">
        <f t="shared" si="505"/>
        <v>0</v>
      </c>
      <c r="BH185" s="64"/>
      <c r="BI185" s="859" t="s">
        <v>1261</v>
      </c>
      <c r="BJ185" s="73">
        <f t="shared" si="506"/>
        <v>0</v>
      </c>
      <c r="BK185" s="64"/>
      <c r="BL185" s="864" t="s">
        <v>1633</v>
      </c>
      <c r="BM185" s="73">
        <f t="shared" si="507"/>
        <v>0</v>
      </c>
      <c r="BN185" s="64"/>
      <c r="BO185" s="869" t="s">
        <v>1265</v>
      </c>
      <c r="BP185" s="73">
        <f t="shared" si="508"/>
        <v>0</v>
      </c>
      <c r="BQ185" s="64"/>
      <c r="BR185" s="838" t="s">
        <v>1265</v>
      </c>
      <c r="BS185" s="73">
        <f t="shared" si="509"/>
        <v>0</v>
      </c>
      <c r="BT185" s="64"/>
      <c r="BU185" s="873" t="s">
        <v>1265</v>
      </c>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5" t="str">
        <f>Idiomas!$D$260</f>
        <v>Dieciseisavos de final</v>
      </c>
      <c r="I186" s="50"/>
      <c r="J186" s="926"/>
      <c r="K186" s="56" t="str">
        <f>Idiomas!$D$199&amp;"-"&amp;ROWS($L$182:L186)</f>
        <v>Octavofinalista-5</v>
      </c>
      <c r="L186" s="53"/>
      <c r="M186" s="55" t="str">
        <f>WORLDCUP!AA124</f>
        <v>W83</v>
      </c>
      <c r="N186" s="25"/>
      <c r="O186" s="25"/>
      <c r="P186" s="25"/>
      <c r="Q186" s="25"/>
      <c r="R186" s="110"/>
      <c r="S186" s="854" t="s">
        <v>1320</v>
      </c>
      <c r="T186" s="73">
        <f t="shared" si="492"/>
        <v>0</v>
      </c>
      <c r="U186" s="64"/>
      <c r="V186" s="793" t="s">
        <v>1320</v>
      </c>
      <c r="W186" s="73">
        <f t="shared" si="493"/>
        <v>0</v>
      </c>
      <c r="X186" s="64"/>
      <c r="Y186" s="798" t="s">
        <v>78</v>
      </c>
      <c r="Z186" s="73">
        <f t="shared" si="494"/>
        <v>0</v>
      </c>
      <c r="AA186" s="64"/>
      <c r="AB186" s="803" t="s">
        <v>1320</v>
      </c>
      <c r="AC186" s="73">
        <f t="shared" si="495"/>
        <v>0</v>
      </c>
      <c r="AD186" s="64"/>
      <c r="AE186" s="808" t="s">
        <v>1320</v>
      </c>
      <c r="AF186" s="73">
        <f t="shared" si="496"/>
        <v>0</v>
      </c>
      <c r="AG186" s="64"/>
      <c r="AH186" s="74" t="s">
        <v>1320</v>
      </c>
      <c r="AI186" s="73">
        <f t="shared" si="497"/>
        <v>0</v>
      </c>
      <c r="AJ186" s="64"/>
      <c r="AK186" s="813" t="s">
        <v>1320</v>
      </c>
      <c r="AL186" s="73">
        <f t="shared" si="498"/>
        <v>0</v>
      </c>
      <c r="AM186" s="64"/>
      <c r="AN186" s="818" t="s">
        <v>1320</v>
      </c>
      <c r="AO186" s="73">
        <f t="shared" si="499"/>
        <v>0</v>
      </c>
      <c r="AP186" s="64"/>
      <c r="AQ186" s="823" t="s">
        <v>1320</v>
      </c>
      <c r="AR186" s="73">
        <f t="shared" si="500"/>
        <v>0</v>
      </c>
      <c r="AS186" s="64"/>
      <c r="AT186" s="828" t="s">
        <v>1320</v>
      </c>
      <c r="AU186" s="73">
        <f t="shared" si="501"/>
        <v>0</v>
      </c>
      <c r="AV186" s="64"/>
      <c r="AW186" s="832" t="s">
        <v>1320</v>
      </c>
      <c r="AX186" s="73">
        <f t="shared" si="502"/>
        <v>0</v>
      </c>
      <c r="AY186" s="64"/>
      <c r="AZ186" s="838" t="s">
        <v>1320</v>
      </c>
      <c r="BA186" s="73">
        <f t="shared" si="503"/>
        <v>0</v>
      </c>
      <c r="BB186" s="64"/>
      <c r="BC186" s="845" t="s">
        <v>78</v>
      </c>
      <c r="BD186" s="73">
        <f t="shared" si="504"/>
        <v>0</v>
      </c>
      <c r="BE186" s="64"/>
      <c r="BF186" s="849" t="s">
        <v>78</v>
      </c>
      <c r="BG186" s="73">
        <f t="shared" si="505"/>
        <v>0</v>
      </c>
      <c r="BH186" s="64"/>
      <c r="BI186" s="859" t="s">
        <v>78</v>
      </c>
      <c r="BJ186" s="73">
        <f t="shared" si="506"/>
        <v>0</v>
      </c>
      <c r="BK186" s="64"/>
      <c r="BL186" s="864" t="s">
        <v>76</v>
      </c>
      <c r="BM186" s="73">
        <f t="shared" si="507"/>
        <v>0</v>
      </c>
      <c r="BN186" s="64"/>
      <c r="BO186" s="869" t="s">
        <v>1320</v>
      </c>
      <c r="BP186" s="73">
        <f t="shared" si="508"/>
        <v>0</v>
      </c>
      <c r="BQ186" s="64"/>
      <c r="BR186" s="838" t="s">
        <v>1320</v>
      </c>
      <c r="BS186" s="73">
        <f t="shared" si="509"/>
        <v>0</v>
      </c>
      <c r="BT186" s="64"/>
      <c r="BU186" s="873" t="s">
        <v>1320</v>
      </c>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5" t="str">
        <f>Idiomas!$D$260</f>
        <v>Dieciseisavos de final</v>
      </c>
      <c r="I187" s="50"/>
      <c r="J187" s="926"/>
      <c r="K187" s="56" t="str">
        <f>Idiomas!$D$199&amp;"-"&amp;ROWS($L$182:L187)</f>
        <v>Octavofinalista-6</v>
      </c>
      <c r="L187" s="53"/>
      <c r="M187" s="55" t="str">
        <f>WORLDCUP!AA125</f>
        <v>W81</v>
      </c>
      <c r="N187" s="25"/>
      <c r="O187" s="25"/>
      <c r="P187" s="25"/>
      <c r="Q187" s="25"/>
      <c r="R187" s="110"/>
      <c r="S187" s="854" t="s">
        <v>1835</v>
      </c>
      <c r="T187" s="73">
        <f t="shared" si="492"/>
        <v>0</v>
      </c>
      <c r="U187" s="64"/>
      <c r="V187" s="793" t="s">
        <v>1319</v>
      </c>
      <c r="W187" s="73">
        <f t="shared" si="493"/>
        <v>0</v>
      </c>
      <c r="X187" s="64"/>
      <c r="Y187" s="798" t="s">
        <v>497</v>
      </c>
      <c r="Z187" s="73">
        <f t="shared" si="494"/>
        <v>0</v>
      </c>
      <c r="AA187" s="64"/>
      <c r="AB187" s="803" t="s">
        <v>1835</v>
      </c>
      <c r="AC187" s="73">
        <f t="shared" si="495"/>
        <v>0</v>
      </c>
      <c r="AD187" s="64"/>
      <c r="AE187" s="808" t="s">
        <v>1835</v>
      </c>
      <c r="AF187" s="73">
        <f t="shared" si="496"/>
        <v>0</v>
      </c>
      <c r="AG187" s="64"/>
      <c r="AH187" s="74" t="s">
        <v>1835</v>
      </c>
      <c r="AI187" s="73">
        <f t="shared" si="497"/>
        <v>0</v>
      </c>
      <c r="AJ187" s="64"/>
      <c r="AK187" s="813" t="s">
        <v>1835</v>
      </c>
      <c r="AL187" s="73">
        <f t="shared" si="498"/>
        <v>0</v>
      </c>
      <c r="AM187" s="64"/>
      <c r="AN187" s="818" t="s">
        <v>1319</v>
      </c>
      <c r="AO187" s="73">
        <f t="shared" si="499"/>
        <v>0</v>
      </c>
      <c r="AP187" s="64"/>
      <c r="AQ187" s="823" t="s">
        <v>1835</v>
      </c>
      <c r="AR187" s="73">
        <f t="shared" si="500"/>
        <v>0</v>
      </c>
      <c r="AS187" s="64"/>
      <c r="AT187" s="828" t="s">
        <v>497</v>
      </c>
      <c r="AU187" s="73">
        <f t="shared" si="501"/>
        <v>0</v>
      </c>
      <c r="AV187" s="64"/>
      <c r="AW187" s="832" t="s">
        <v>497</v>
      </c>
      <c r="AX187" s="73">
        <f t="shared" si="502"/>
        <v>0</v>
      </c>
      <c r="AY187" s="64"/>
      <c r="AZ187" s="838" t="s">
        <v>497</v>
      </c>
      <c r="BA187" s="73">
        <f t="shared" si="503"/>
        <v>0</v>
      </c>
      <c r="BB187" s="64"/>
      <c r="BC187" s="845" t="s">
        <v>1835</v>
      </c>
      <c r="BD187" s="73">
        <f t="shared" si="504"/>
        <v>0</v>
      </c>
      <c r="BE187" s="64"/>
      <c r="BF187" s="849" t="s">
        <v>1835</v>
      </c>
      <c r="BG187" s="73">
        <f t="shared" si="505"/>
        <v>0</v>
      </c>
      <c r="BH187" s="64"/>
      <c r="BI187" s="859" t="s">
        <v>1319</v>
      </c>
      <c r="BJ187" s="73">
        <f t="shared" si="506"/>
        <v>0</v>
      </c>
      <c r="BK187" s="64"/>
      <c r="BL187" s="864" t="s">
        <v>1835</v>
      </c>
      <c r="BM187" s="73">
        <f t="shared" si="507"/>
        <v>0</v>
      </c>
      <c r="BN187" s="64"/>
      <c r="BO187" s="869" t="s">
        <v>1835</v>
      </c>
      <c r="BP187" s="73">
        <f t="shared" si="508"/>
        <v>0</v>
      </c>
      <c r="BQ187" s="64"/>
      <c r="BR187" s="838" t="s">
        <v>1835</v>
      </c>
      <c r="BS187" s="73">
        <f t="shared" si="509"/>
        <v>0</v>
      </c>
      <c r="BT187" s="64"/>
      <c r="BU187" s="873" t="s">
        <v>1261</v>
      </c>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5" t="str">
        <f>Idiomas!$D$260</f>
        <v>Dieciseisavos de final</v>
      </c>
      <c r="I188" s="50"/>
      <c r="J188" s="926"/>
      <c r="K188" s="56" t="str">
        <f>Idiomas!$D$199&amp;"-"&amp;ROWS($L$182:L188)</f>
        <v>Octavofinalista-7</v>
      </c>
      <c r="L188" s="53"/>
      <c r="M188" s="55" t="str">
        <f>WORLDCUP!AA126</f>
        <v>W86</v>
      </c>
      <c r="N188" s="25"/>
      <c r="O188" s="25"/>
      <c r="P188" s="25"/>
      <c r="Q188" s="25"/>
      <c r="R188" s="110"/>
      <c r="S188" s="854" t="s">
        <v>1256</v>
      </c>
      <c r="T188" s="73">
        <f t="shared" si="492"/>
        <v>0</v>
      </c>
      <c r="U188" s="64"/>
      <c r="V188" s="793" t="s">
        <v>1256</v>
      </c>
      <c r="W188" s="73">
        <f t="shared" si="493"/>
        <v>0</v>
      </c>
      <c r="X188" s="64"/>
      <c r="Y188" s="798" t="s">
        <v>1256</v>
      </c>
      <c r="Z188" s="73">
        <f t="shared" si="494"/>
        <v>0</v>
      </c>
      <c r="AA188" s="64"/>
      <c r="AB188" s="803" t="s">
        <v>1256</v>
      </c>
      <c r="AC188" s="73">
        <f t="shared" si="495"/>
        <v>0</v>
      </c>
      <c r="AD188" s="64"/>
      <c r="AE188" s="808" t="s">
        <v>1318</v>
      </c>
      <c r="AF188" s="73">
        <f t="shared" si="496"/>
        <v>0</v>
      </c>
      <c r="AG188" s="64"/>
      <c r="AH188" s="74" t="s">
        <v>1256</v>
      </c>
      <c r="AI188" s="73">
        <f t="shared" si="497"/>
        <v>0</v>
      </c>
      <c r="AJ188" s="64"/>
      <c r="AK188" s="813" t="s">
        <v>1256</v>
      </c>
      <c r="AL188" s="73">
        <f t="shared" si="498"/>
        <v>0</v>
      </c>
      <c r="AM188" s="64"/>
      <c r="AN188" s="818" t="s">
        <v>1256</v>
      </c>
      <c r="AO188" s="73">
        <f t="shared" si="499"/>
        <v>0</v>
      </c>
      <c r="AP188" s="64"/>
      <c r="AQ188" s="823" t="s">
        <v>1256</v>
      </c>
      <c r="AR188" s="73">
        <f t="shared" si="500"/>
        <v>0</v>
      </c>
      <c r="AS188" s="64"/>
      <c r="AT188" s="828" t="s">
        <v>1256</v>
      </c>
      <c r="AU188" s="73">
        <f t="shared" si="501"/>
        <v>0</v>
      </c>
      <c r="AV188" s="64"/>
      <c r="AW188" s="832" t="s">
        <v>1256</v>
      </c>
      <c r="AX188" s="73">
        <f t="shared" si="502"/>
        <v>0</v>
      </c>
      <c r="AY188" s="64"/>
      <c r="AZ188" s="838" t="s">
        <v>1256</v>
      </c>
      <c r="BA188" s="73">
        <f t="shared" si="503"/>
        <v>0</v>
      </c>
      <c r="BB188" s="64"/>
      <c r="BC188" s="845" t="s">
        <v>38</v>
      </c>
      <c r="BD188" s="73">
        <f t="shared" si="504"/>
        <v>0</v>
      </c>
      <c r="BE188" s="64"/>
      <c r="BF188" s="849" t="s">
        <v>1318</v>
      </c>
      <c r="BG188" s="73">
        <f t="shared" si="505"/>
        <v>0</v>
      </c>
      <c r="BH188" s="64"/>
      <c r="BI188" s="859" t="s">
        <v>1256</v>
      </c>
      <c r="BJ188" s="73">
        <f t="shared" si="506"/>
        <v>0</v>
      </c>
      <c r="BK188" s="64"/>
      <c r="BL188" s="864" t="s">
        <v>1256</v>
      </c>
      <c r="BM188" s="73">
        <f t="shared" si="507"/>
        <v>0</v>
      </c>
      <c r="BN188" s="64"/>
      <c r="BO188" s="869" t="s">
        <v>1256</v>
      </c>
      <c r="BP188" s="73">
        <f t="shared" si="508"/>
        <v>0</v>
      </c>
      <c r="BQ188" s="64"/>
      <c r="BR188" s="838" t="s">
        <v>1256</v>
      </c>
      <c r="BS188" s="73">
        <f t="shared" si="509"/>
        <v>0</v>
      </c>
      <c r="BT188" s="64"/>
      <c r="BU188" s="873" t="s">
        <v>1256</v>
      </c>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5" t="str">
        <f>Idiomas!$D$260</f>
        <v>Dieciseisavos de final</v>
      </c>
      <c r="I189" s="50"/>
      <c r="J189" s="926"/>
      <c r="K189" s="56" t="str">
        <f>Idiomas!$D$199&amp;"-"&amp;ROWS($L$182:L189)</f>
        <v>Octavofinalista-8</v>
      </c>
      <c r="L189" s="53"/>
      <c r="M189" s="55" t="str">
        <f>WORLDCUP!AA127</f>
        <v>W85</v>
      </c>
      <c r="N189" s="25"/>
      <c r="O189" s="25"/>
      <c r="P189" s="25"/>
      <c r="Q189" s="25"/>
      <c r="R189" s="110"/>
      <c r="S189" s="854" t="s">
        <v>75</v>
      </c>
      <c r="T189" s="73">
        <f t="shared" si="492"/>
        <v>0</v>
      </c>
      <c r="U189" s="64"/>
      <c r="V189" s="793" t="s">
        <v>1558</v>
      </c>
      <c r="W189" s="73">
        <f t="shared" si="493"/>
        <v>0</v>
      </c>
      <c r="X189" s="64"/>
      <c r="Y189" s="798" t="s">
        <v>75</v>
      </c>
      <c r="Z189" s="73">
        <f t="shared" si="494"/>
        <v>0</v>
      </c>
      <c r="AA189" s="64"/>
      <c r="AB189" s="803" t="s">
        <v>1259</v>
      </c>
      <c r="AC189" s="73">
        <f t="shared" si="495"/>
        <v>0</v>
      </c>
      <c r="AD189" s="64"/>
      <c r="AE189" s="808" t="s">
        <v>1558</v>
      </c>
      <c r="AF189" s="73">
        <f t="shared" si="496"/>
        <v>0</v>
      </c>
      <c r="AG189" s="64"/>
      <c r="AH189" s="74" t="s">
        <v>1259</v>
      </c>
      <c r="AI189" s="73">
        <f t="shared" si="497"/>
        <v>0</v>
      </c>
      <c r="AJ189" s="64"/>
      <c r="AK189" s="813" t="s">
        <v>75</v>
      </c>
      <c r="AL189" s="73">
        <f t="shared" si="498"/>
        <v>0</v>
      </c>
      <c r="AM189" s="64"/>
      <c r="AN189" s="818" t="s">
        <v>75</v>
      </c>
      <c r="AO189" s="73">
        <f t="shared" si="499"/>
        <v>0</v>
      </c>
      <c r="AP189" s="64"/>
      <c r="AQ189" s="823" t="s">
        <v>75</v>
      </c>
      <c r="AR189" s="73">
        <f t="shared" si="500"/>
        <v>0</v>
      </c>
      <c r="AS189" s="64"/>
      <c r="AT189" s="828" t="s">
        <v>75</v>
      </c>
      <c r="AU189" s="73">
        <f t="shared" si="501"/>
        <v>0</v>
      </c>
      <c r="AV189" s="64"/>
      <c r="AW189" s="832" t="s">
        <v>75</v>
      </c>
      <c r="AX189" s="73">
        <f t="shared" si="502"/>
        <v>0</v>
      </c>
      <c r="AY189" s="64"/>
      <c r="AZ189" s="838" t="s">
        <v>1631</v>
      </c>
      <c r="BA189" s="73">
        <f t="shared" si="503"/>
        <v>0</v>
      </c>
      <c r="BB189" s="64"/>
      <c r="BC189" s="845" t="s">
        <v>75</v>
      </c>
      <c r="BD189" s="73">
        <f t="shared" si="504"/>
        <v>0</v>
      </c>
      <c r="BE189" s="64"/>
      <c r="BF189" s="849" t="s">
        <v>75</v>
      </c>
      <c r="BG189" s="73">
        <f t="shared" si="505"/>
        <v>0</v>
      </c>
      <c r="BH189" s="64"/>
      <c r="BI189" s="859" t="s">
        <v>75</v>
      </c>
      <c r="BJ189" s="73">
        <f t="shared" si="506"/>
        <v>0</v>
      </c>
      <c r="BK189" s="64"/>
      <c r="BL189" s="864" t="s">
        <v>75</v>
      </c>
      <c r="BM189" s="73">
        <f t="shared" si="507"/>
        <v>0</v>
      </c>
      <c r="BN189" s="64"/>
      <c r="BO189" s="869" t="s">
        <v>1259</v>
      </c>
      <c r="BP189" s="73">
        <f t="shared" si="508"/>
        <v>0</v>
      </c>
      <c r="BQ189" s="64"/>
      <c r="BR189" s="838" t="s">
        <v>75</v>
      </c>
      <c r="BS189" s="73">
        <f t="shared" si="509"/>
        <v>0</v>
      </c>
      <c r="BT189" s="64"/>
      <c r="BU189" s="873" t="s">
        <v>75</v>
      </c>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5" t="str">
        <f>Idiomas!$D$260</f>
        <v>Dieciseisavos de final</v>
      </c>
      <c r="I190" s="50"/>
      <c r="J190" s="926"/>
      <c r="K190" s="56" t="str">
        <f>Idiomas!$D$199&amp;"-"&amp;ROWS($L$182:L190)</f>
        <v>Octavofinalista-9</v>
      </c>
      <c r="L190" s="53"/>
      <c r="M190" s="55" t="str">
        <f>WORLDCUP!AF120</f>
        <v>W75</v>
      </c>
      <c r="N190" s="25"/>
      <c r="O190" s="25"/>
      <c r="P190" s="25"/>
      <c r="Q190" s="25"/>
      <c r="R190" s="110"/>
      <c r="S190" s="854" t="s">
        <v>1321</v>
      </c>
      <c r="T190" s="73">
        <f t="shared" si="492"/>
        <v>0</v>
      </c>
      <c r="U190" s="64"/>
      <c r="V190" s="793" t="s">
        <v>1263</v>
      </c>
      <c r="W190" s="73">
        <f t="shared" si="493"/>
        <v>0</v>
      </c>
      <c r="X190" s="64"/>
      <c r="Y190" s="798" t="s">
        <v>1263</v>
      </c>
      <c r="Z190" s="73">
        <f t="shared" si="494"/>
        <v>0</v>
      </c>
      <c r="AA190" s="64"/>
      <c r="AB190" s="803" t="s">
        <v>1263</v>
      </c>
      <c r="AC190" s="73">
        <f t="shared" si="495"/>
        <v>0</v>
      </c>
      <c r="AD190" s="64"/>
      <c r="AE190" s="808" t="s">
        <v>111</v>
      </c>
      <c r="AF190" s="73">
        <f t="shared" si="496"/>
        <v>0</v>
      </c>
      <c r="AG190" s="64"/>
      <c r="AH190" s="74" t="s">
        <v>111</v>
      </c>
      <c r="AI190" s="73">
        <f t="shared" si="497"/>
        <v>0</v>
      </c>
      <c r="AJ190" s="64"/>
      <c r="AK190" s="813" t="s">
        <v>111</v>
      </c>
      <c r="AL190" s="73">
        <f t="shared" si="498"/>
        <v>0</v>
      </c>
      <c r="AM190" s="64"/>
      <c r="AN190" s="818" t="s">
        <v>111</v>
      </c>
      <c r="AO190" s="73">
        <f t="shared" si="499"/>
        <v>0</v>
      </c>
      <c r="AP190" s="64"/>
      <c r="AQ190" s="823" t="s">
        <v>111</v>
      </c>
      <c r="AR190" s="73">
        <f t="shared" si="500"/>
        <v>0</v>
      </c>
      <c r="AS190" s="64"/>
      <c r="AT190" s="828" t="s">
        <v>111</v>
      </c>
      <c r="AU190" s="73">
        <f t="shared" si="501"/>
        <v>0</v>
      </c>
      <c r="AV190" s="64"/>
      <c r="AW190" s="832" t="s">
        <v>111</v>
      </c>
      <c r="AX190" s="73">
        <f t="shared" si="502"/>
        <v>0</v>
      </c>
      <c r="AY190" s="64"/>
      <c r="AZ190" s="838" t="s">
        <v>111</v>
      </c>
      <c r="BA190" s="73">
        <f t="shared" si="503"/>
        <v>0</v>
      </c>
      <c r="BB190" s="64"/>
      <c r="BC190" s="845" t="s">
        <v>111</v>
      </c>
      <c r="BD190" s="73">
        <f t="shared" si="504"/>
        <v>0</v>
      </c>
      <c r="BE190" s="64"/>
      <c r="BF190" s="849" t="s">
        <v>1258</v>
      </c>
      <c r="BG190" s="73">
        <f t="shared" si="505"/>
        <v>0</v>
      </c>
      <c r="BH190" s="64"/>
      <c r="BI190" s="859" t="s">
        <v>111</v>
      </c>
      <c r="BJ190" s="73">
        <f t="shared" si="506"/>
        <v>0</v>
      </c>
      <c r="BK190" s="64"/>
      <c r="BL190" s="864" t="s">
        <v>1321</v>
      </c>
      <c r="BM190" s="73">
        <f t="shared" si="507"/>
        <v>0</v>
      </c>
      <c r="BN190" s="64"/>
      <c r="BO190" s="869" t="s">
        <v>111</v>
      </c>
      <c r="BP190" s="73">
        <f t="shared" si="508"/>
        <v>0</v>
      </c>
      <c r="BQ190" s="64"/>
      <c r="BR190" s="838" t="s">
        <v>111</v>
      </c>
      <c r="BS190" s="73">
        <f t="shared" si="509"/>
        <v>0</v>
      </c>
      <c r="BT190" s="64"/>
      <c r="BU190" s="873" t="s">
        <v>111</v>
      </c>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5" t="str">
        <f>Idiomas!$D$260</f>
        <v>Dieciseisavos de final</v>
      </c>
      <c r="I191" s="50"/>
      <c r="J191" s="926"/>
      <c r="K191" s="56" t="str">
        <f>Idiomas!$D$199&amp;"-"&amp;ROWS($L$182:L191)</f>
        <v>Octavofinalista-10</v>
      </c>
      <c r="L191" s="53"/>
      <c r="M191" s="55" t="str">
        <f>WORLDCUP!AF121</f>
        <v>W77</v>
      </c>
      <c r="N191" s="25"/>
      <c r="O191" s="25"/>
      <c r="P191" s="25"/>
      <c r="Q191" s="25"/>
      <c r="R191" s="110"/>
      <c r="S191" s="854" t="s">
        <v>74</v>
      </c>
      <c r="T191" s="73">
        <f t="shared" si="492"/>
        <v>0</v>
      </c>
      <c r="U191" s="64"/>
      <c r="V191" s="793" t="s">
        <v>74</v>
      </c>
      <c r="W191" s="73">
        <f t="shared" si="493"/>
        <v>0</v>
      </c>
      <c r="X191" s="64"/>
      <c r="Y191" s="798" t="s">
        <v>74</v>
      </c>
      <c r="Z191" s="73">
        <f t="shared" si="494"/>
        <v>0</v>
      </c>
      <c r="AA191" s="64"/>
      <c r="AB191" s="803" t="s">
        <v>135</v>
      </c>
      <c r="AC191" s="73">
        <f t="shared" si="495"/>
        <v>0</v>
      </c>
      <c r="AD191" s="64"/>
      <c r="AE191" s="808" t="s">
        <v>74</v>
      </c>
      <c r="AF191" s="73">
        <f t="shared" si="496"/>
        <v>0</v>
      </c>
      <c r="AG191" s="64"/>
      <c r="AH191" s="74" t="s">
        <v>74</v>
      </c>
      <c r="AI191" s="73">
        <f t="shared" si="497"/>
        <v>0</v>
      </c>
      <c r="AJ191" s="64"/>
      <c r="AK191" s="813" t="s">
        <v>74</v>
      </c>
      <c r="AL191" s="73">
        <f t="shared" si="498"/>
        <v>0</v>
      </c>
      <c r="AM191" s="64"/>
      <c r="AN191" s="818" t="s">
        <v>74</v>
      </c>
      <c r="AO191" s="73">
        <f t="shared" si="499"/>
        <v>0</v>
      </c>
      <c r="AP191" s="64"/>
      <c r="AQ191" s="823" t="s">
        <v>74</v>
      </c>
      <c r="AR191" s="73">
        <f t="shared" si="500"/>
        <v>0</v>
      </c>
      <c r="AS191" s="64"/>
      <c r="AT191" s="828" t="s">
        <v>74</v>
      </c>
      <c r="AU191" s="73">
        <f t="shared" si="501"/>
        <v>0</v>
      </c>
      <c r="AV191" s="64"/>
      <c r="AW191" s="832" t="s">
        <v>1757</v>
      </c>
      <c r="AX191" s="73">
        <f t="shared" si="502"/>
        <v>0</v>
      </c>
      <c r="AY191" s="64"/>
      <c r="AZ191" s="838" t="s">
        <v>74</v>
      </c>
      <c r="BA191" s="73">
        <f t="shared" si="503"/>
        <v>0</v>
      </c>
      <c r="BB191" s="64"/>
      <c r="BC191" s="845" t="s">
        <v>74</v>
      </c>
      <c r="BD191" s="73">
        <f t="shared" si="504"/>
        <v>0</v>
      </c>
      <c r="BE191" s="64"/>
      <c r="BF191" s="849" t="s">
        <v>74</v>
      </c>
      <c r="BG191" s="73">
        <f t="shared" si="505"/>
        <v>0</v>
      </c>
      <c r="BH191" s="64"/>
      <c r="BI191" s="859" t="s">
        <v>74</v>
      </c>
      <c r="BJ191" s="73">
        <f t="shared" si="506"/>
        <v>0</v>
      </c>
      <c r="BK191" s="64"/>
      <c r="BL191" s="864" t="s">
        <v>74</v>
      </c>
      <c r="BM191" s="73">
        <f t="shared" si="507"/>
        <v>0</v>
      </c>
      <c r="BN191" s="64"/>
      <c r="BO191" s="869" t="s">
        <v>74</v>
      </c>
      <c r="BP191" s="73">
        <f t="shared" si="508"/>
        <v>0</v>
      </c>
      <c r="BQ191" s="64"/>
      <c r="BR191" s="838" t="s">
        <v>74</v>
      </c>
      <c r="BS191" s="73">
        <f t="shared" si="509"/>
        <v>0</v>
      </c>
      <c r="BT191" s="64"/>
      <c r="BU191" s="873" t="s">
        <v>74</v>
      </c>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5" t="str">
        <f>Idiomas!$D$260</f>
        <v>Dieciseisavos de final</v>
      </c>
      <c r="I192" s="50"/>
      <c r="J192" s="926"/>
      <c r="K192" s="56" t="str">
        <f>Idiomas!$D$199&amp;"-"&amp;ROWS($L$182:L192)</f>
        <v>Octavofinalista-11</v>
      </c>
      <c r="L192" s="53"/>
      <c r="M192" s="55" t="str">
        <f>WORLDCUP!AF122</f>
        <v>W78</v>
      </c>
      <c r="N192" s="25"/>
      <c r="O192" s="25"/>
      <c r="P192" s="25"/>
      <c r="Q192" s="25"/>
      <c r="R192" s="110"/>
      <c r="S192" s="854" t="s">
        <v>1633</v>
      </c>
      <c r="T192" s="73">
        <f t="shared" si="492"/>
        <v>0</v>
      </c>
      <c r="U192" s="64"/>
      <c r="V192" s="793" t="s">
        <v>77</v>
      </c>
      <c r="W192" s="73">
        <f t="shared" si="493"/>
        <v>0</v>
      </c>
      <c r="X192" s="64"/>
      <c r="Y192" s="798" t="s">
        <v>135</v>
      </c>
      <c r="Z192" s="73">
        <f t="shared" si="494"/>
        <v>0</v>
      </c>
      <c r="AA192" s="64"/>
      <c r="AB192" s="803" t="s">
        <v>74</v>
      </c>
      <c r="AC192" s="73">
        <f t="shared" si="495"/>
        <v>0</v>
      </c>
      <c r="AD192" s="64"/>
      <c r="AE192" s="808" t="s">
        <v>1634</v>
      </c>
      <c r="AF192" s="73">
        <f t="shared" si="496"/>
        <v>0</v>
      </c>
      <c r="AG192" s="64"/>
      <c r="AH192" s="74" t="s">
        <v>135</v>
      </c>
      <c r="AI192" s="73">
        <f t="shared" si="497"/>
        <v>0</v>
      </c>
      <c r="AJ192" s="64"/>
      <c r="AK192" s="813" t="s">
        <v>1261</v>
      </c>
      <c r="AL192" s="73">
        <f t="shared" si="498"/>
        <v>0</v>
      </c>
      <c r="AM192" s="64"/>
      <c r="AN192" s="818" t="s">
        <v>1261</v>
      </c>
      <c r="AO192" s="73">
        <f t="shared" si="499"/>
        <v>0</v>
      </c>
      <c r="AP192" s="64"/>
      <c r="AQ192" s="823" t="s">
        <v>135</v>
      </c>
      <c r="AR192" s="73">
        <f t="shared" si="500"/>
        <v>0</v>
      </c>
      <c r="AS192" s="64"/>
      <c r="AT192" s="828" t="s">
        <v>1261</v>
      </c>
      <c r="AU192" s="73">
        <f t="shared" si="501"/>
        <v>0</v>
      </c>
      <c r="AV192" s="64"/>
      <c r="AW192" s="832" t="s">
        <v>74</v>
      </c>
      <c r="AX192" s="73">
        <f t="shared" si="502"/>
        <v>0</v>
      </c>
      <c r="AY192" s="64"/>
      <c r="AZ192" s="838" t="s">
        <v>135</v>
      </c>
      <c r="BA192" s="73">
        <f t="shared" si="503"/>
        <v>0</v>
      </c>
      <c r="BB192" s="64"/>
      <c r="BC192" s="845" t="s">
        <v>135</v>
      </c>
      <c r="BD192" s="73">
        <f t="shared" si="504"/>
        <v>0</v>
      </c>
      <c r="BE192" s="64"/>
      <c r="BF192" s="849" t="s">
        <v>135</v>
      </c>
      <c r="BG192" s="73">
        <f t="shared" si="505"/>
        <v>0</v>
      </c>
      <c r="BH192" s="64"/>
      <c r="BI192" s="859" t="s">
        <v>77</v>
      </c>
      <c r="BJ192" s="73">
        <f t="shared" si="506"/>
        <v>0</v>
      </c>
      <c r="BK192" s="64"/>
      <c r="BL192" s="864" t="s">
        <v>1261</v>
      </c>
      <c r="BM192" s="73">
        <f t="shared" si="507"/>
        <v>0</v>
      </c>
      <c r="BN192" s="64"/>
      <c r="BO192" s="869" t="s">
        <v>1261</v>
      </c>
      <c r="BP192" s="73">
        <f t="shared" si="508"/>
        <v>0</v>
      </c>
      <c r="BQ192" s="64"/>
      <c r="BR192" s="838" t="s">
        <v>1261</v>
      </c>
      <c r="BS192" s="73">
        <f t="shared" si="509"/>
        <v>0</v>
      </c>
      <c r="BT192" s="64"/>
      <c r="BU192" s="873" t="s">
        <v>135</v>
      </c>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5" t="str">
        <f>Idiomas!$D$260</f>
        <v>Dieciseisavos de final</v>
      </c>
      <c r="I193" s="50"/>
      <c r="J193" s="926"/>
      <c r="K193" s="56" t="str">
        <f>Idiomas!$D$199&amp;"-"&amp;ROWS($L$182:L193)</f>
        <v>Octavofinalista-12</v>
      </c>
      <c r="L193" s="53"/>
      <c r="M193" s="55" t="str">
        <f>WORLDCUP!AF123</f>
        <v>W80</v>
      </c>
      <c r="N193" s="25"/>
      <c r="O193" s="25"/>
      <c r="P193" s="25"/>
      <c r="Q193" s="25"/>
      <c r="R193" s="110"/>
      <c r="S193" s="854" t="s">
        <v>76</v>
      </c>
      <c r="T193" s="73">
        <f t="shared" si="492"/>
        <v>0</v>
      </c>
      <c r="U193" s="64"/>
      <c r="V193" s="793" t="s">
        <v>1551</v>
      </c>
      <c r="W193" s="73">
        <f t="shared" si="493"/>
        <v>0</v>
      </c>
      <c r="X193" s="64"/>
      <c r="Y193" s="798" t="s">
        <v>76</v>
      </c>
      <c r="Z193" s="73">
        <f t="shared" si="494"/>
        <v>0</v>
      </c>
      <c r="AA193" s="64"/>
      <c r="AB193" s="803" t="s">
        <v>76</v>
      </c>
      <c r="AC193" s="73">
        <f t="shared" si="495"/>
        <v>0</v>
      </c>
      <c r="AD193" s="64"/>
      <c r="AE193" s="808" t="s">
        <v>76</v>
      </c>
      <c r="AF193" s="73">
        <f t="shared" si="496"/>
        <v>0</v>
      </c>
      <c r="AG193" s="64"/>
      <c r="AH193" s="74" t="s">
        <v>76</v>
      </c>
      <c r="AI193" s="73">
        <f t="shared" si="497"/>
        <v>0</v>
      </c>
      <c r="AJ193" s="64"/>
      <c r="AK193" s="813" t="s">
        <v>76</v>
      </c>
      <c r="AL193" s="73">
        <f t="shared" si="498"/>
        <v>0</v>
      </c>
      <c r="AM193" s="64"/>
      <c r="AN193" s="818" t="s">
        <v>76</v>
      </c>
      <c r="AO193" s="73">
        <f t="shared" si="499"/>
        <v>0</v>
      </c>
      <c r="AP193" s="64"/>
      <c r="AQ193" s="823" t="s">
        <v>76</v>
      </c>
      <c r="AR193" s="73">
        <f t="shared" si="500"/>
        <v>0</v>
      </c>
      <c r="AS193" s="64"/>
      <c r="AT193" s="828" t="s">
        <v>76</v>
      </c>
      <c r="AU193" s="73">
        <f t="shared" si="501"/>
        <v>0</v>
      </c>
      <c r="AV193" s="64"/>
      <c r="AW193" s="832" t="s">
        <v>76</v>
      </c>
      <c r="AX193" s="73">
        <f t="shared" si="502"/>
        <v>0</v>
      </c>
      <c r="AY193" s="64"/>
      <c r="AZ193" s="838" t="s">
        <v>76</v>
      </c>
      <c r="BA193" s="73">
        <f t="shared" si="503"/>
        <v>0</v>
      </c>
      <c r="BB193" s="64"/>
      <c r="BC193" s="845" t="s">
        <v>76</v>
      </c>
      <c r="BD193" s="73">
        <f t="shared" si="504"/>
        <v>0</v>
      </c>
      <c r="BE193" s="64"/>
      <c r="BF193" s="849" t="s">
        <v>76</v>
      </c>
      <c r="BG193" s="73">
        <f t="shared" si="505"/>
        <v>0</v>
      </c>
      <c r="BH193" s="64"/>
      <c r="BI193" s="859" t="s">
        <v>76</v>
      </c>
      <c r="BJ193" s="73">
        <f t="shared" si="506"/>
        <v>0</v>
      </c>
      <c r="BK193" s="64"/>
      <c r="BL193" s="864" t="s">
        <v>1634</v>
      </c>
      <c r="BM193" s="73">
        <f t="shared" si="507"/>
        <v>0</v>
      </c>
      <c r="BN193" s="64"/>
      <c r="BO193" s="869" t="s">
        <v>76</v>
      </c>
      <c r="BP193" s="73">
        <f t="shared" si="508"/>
        <v>0</v>
      </c>
      <c r="BQ193" s="64"/>
      <c r="BR193" s="838" t="s">
        <v>76</v>
      </c>
      <c r="BS193" s="73">
        <f t="shared" si="509"/>
        <v>0</v>
      </c>
      <c r="BT193" s="64"/>
      <c r="BU193" s="873" t="s">
        <v>76</v>
      </c>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5" t="str">
        <f>Idiomas!$D$260</f>
        <v>Dieciseisavos de final</v>
      </c>
      <c r="I194" s="50"/>
      <c r="J194" s="926"/>
      <c r="K194" s="56" t="str">
        <f>Idiomas!$D$199&amp;"-"&amp;ROWS($L$182:L194)</f>
        <v>Octavofinalista-13</v>
      </c>
      <c r="L194" s="53"/>
      <c r="M194" s="55" t="str">
        <f>WORLDCUP!AF124</f>
        <v>W84</v>
      </c>
      <c r="N194" s="25"/>
      <c r="O194" s="25"/>
      <c r="P194" s="25"/>
      <c r="Q194" s="25"/>
      <c r="R194" s="110"/>
      <c r="S194" s="854" t="s">
        <v>38</v>
      </c>
      <c r="T194" s="73">
        <f t="shared" si="492"/>
        <v>0</v>
      </c>
      <c r="U194" s="64"/>
      <c r="V194" s="793" t="s">
        <v>1318</v>
      </c>
      <c r="W194" s="73">
        <f t="shared" si="493"/>
        <v>0</v>
      </c>
      <c r="X194" s="64"/>
      <c r="Y194" s="798" t="s">
        <v>38</v>
      </c>
      <c r="Z194" s="73">
        <f t="shared" si="494"/>
        <v>0</v>
      </c>
      <c r="AA194" s="64"/>
      <c r="AB194" s="803" t="s">
        <v>38</v>
      </c>
      <c r="AC194" s="73">
        <f t="shared" si="495"/>
        <v>0</v>
      </c>
      <c r="AD194" s="64"/>
      <c r="AE194" s="808" t="s">
        <v>38</v>
      </c>
      <c r="AF194" s="73">
        <f t="shared" si="496"/>
        <v>0</v>
      </c>
      <c r="AG194" s="64"/>
      <c r="AH194" s="74" t="s">
        <v>38</v>
      </c>
      <c r="AI194" s="73">
        <f t="shared" si="497"/>
        <v>0</v>
      </c>
      <c r="AJ194" s="64"/>
      <c r="AK194" s="813" t="s">
        <v>38</v>
      </c>
      <c r="AL194" s="73">
        <f t="shared" si="498"/>
        <v>0</v>
      </c>
      <c r="AM194" s="64"/>
      <c r="AN194" s="818" t="s">
        <v>38</v>
      </c>
      <c r="AO194" s="73">
        <f t="shared" si="499"/>
        <v>0</v>
      </c>
      <c r="AP194" s="64"/>
      <c r="AQ194" s="823" t="s">
        <v>38</v>
      </c>
      <c r="AR194" s="73">
        <f t="shared" si="500"/>
        <v>0</v>
      </c>
      <c r="AS194" s="64"/>
      <c r="AT194" s="828" t="s">
        <v>38</v>
      </c>
      <c r="AU194" s="73">
        <f t="shared" si="501"/>
        <v>0</v>
      </c>
      <c r="AV194" s="64"/>
      <c r="AW194" s="832" t="s">
        <v>38</v>
      </c>
      <c r="AX194" s="73">
        <f t="shared" si="502"/>
        <v>0</v>
      </c>
      <c r="AY194" s="64"/>
      <c r="AZ194" s="838" t="s">
        <v>38</v>
      </c>
      <c r="BA194" s="73">
        <f t="shared" si="503"/>
        <v>0</v>
      </c>
      <c r="BB194" s="64"/>
      <c r="BC194" s="845" t="s">
        <v>1318</v>
      </c>
      <c r="BD194" s="73">
        <f t="shared" si="504"/>
        <v>0</v>
      </c>
      <c r="BE194" s="64"/>
      <c r="BF194" s="849" t="s">
        <v>38</v>
      </c>
      <c r="BG194" s="73">
        <f t="shared" si="505"/>
        <v>0</v>
      </c>
      <c r="BH194" s="64"/>
      <c r="BI194" s="859" t="s">
        <v>38</v>
      </c>
      <c r="BJ194" s="73">
        <f t="shared" si="506"/>
        <v>0</v>
      </c>
      <c r="BK194" s="64"/>
      <c r="BL194" s="864" t="s">
        <v>38</v>
      </c>
      <c r="BM194" s="73">
        <f t="shared" si="507"/>
        <v>0</v>
      </c>
      <c r="BN194" s="64"/>
      <c r="BO194" s="869" t="s">
        <v>38</v>
      </c>
      <c r="BP194" s="73">
        <f t="shared" si="508"/>
        <v>0</v>
      </c>
      <c r="BQ194" s="64"/>
      <c r="BR194" s="838" t="s">
        <v>38</v>
      </c>
      <c r="BS194" s="73">
        <f t="shared" si="509"/>
        <v>0</v>
      </c>
      <c r="BT194" s="64"/>
      <c r="BU194" s="873" t="s">
        <v>38</v>
      </c>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5" t="str">
        <f>Idiomas!$D$260</f>
        <v>Dieciseisavos de final</v>
      </c>
      <c r="I195" s="50"/>
      <c r="J195" s="926"/>
      <c r="K195" s="56" t="str">
        <f>Idiomas!$D$199&amp;"-"&amp;ROWS($L$182:L195)</f>
        <v>Octavofinalista-14</v>
      </c>
      <c r="L195" s="53"/>
      <c r="M195" s="55" t="str">
        <f>WORLDCUP!AF125</f>
        <v>W82</v>
      </c>
      <c r="N195" s="25"/>
      <c r="O195" s="25"/>
      <c r="P195" s="25"/>
      <c r="Q195" s="25"/>
      <c r="R195" s="110"/>
      <c r="S195" s="854" t="s">
        <v>110</v>
      </c>
      <c r="T195" s="73">
        <f t="shared" si="492"/>
        <v>0</v>
      </c>
      <c r="U195" s="64"/>
      <c r="V195" s="793" t="s">
        <v>1632</v>
      </c>
      <c r="W195" s="73">
        <f t="shared" si="493"/>
        <v>0</v>
      </c>
      <c r="X195" s="64"/>
      <c r="Y195" s="798" t="s">
        <v>110</v>
      </c>
      <c r="Z195" s="73">
        <f t="shared" si="494"/>
        <v>0</v>
      </c>
      <c r="AA195" s="64"/>
      <c r="AB195" s="803" t="s">
        <v>110</v>
      </c>
      <c r="AC195" s="73">
        <f t="shared" si="495"/>
        <v>0</v>
      </c>
      <c r="AD195" s="64"/>
      <c r="AE195" s="808" t="s">
        <v>110</v>
      </c>
      <c r="AF195" s="73">
        <f t="shared" si="496"/>
        <v>0</v>
      </c>
      <c r="AG195" s="64"/>
      <c r="AH195" s="74" t="s">
        <v>110</v>
      </c>
      <c r="AI195" s="73">
        <f t="shared" si="497"/>
        <v>0</v>
      </c>
      <c r="AJ195" s="64"/>
      <c r="AK195" s="813" t="s">
        <v>110</v>
      </c>
      <c r="AL195" s="73">
        <f t="shared" si="498"/>
        <v>0</v>
      </c>
      <c r="AM195" s="64"/>
      <c r="AN195" s="818" t="s">
        <v>110</v>
      </c>
      <c r="AO195" s="73">
        <f t="shared" si="499"/>
        <v>0</v>
      </c>
      <c r="AP195" s="64"/>
      <c r="AQ195" s="823" t="s">
        <v>110</v>
      </c>
      <c r="AR195" s="73">
        <f t="shared" si="500"/>
        <v>0</v>
      </c>
      <c r="AS195" s="64"/>
      <c r="AT195" s="828" t="s">
        <v>110</v>
      </c>
      <c r="AU195" s="73">
        <f t="shared" si="501"/>
        <v>0</v>
      </c>
      <c r="AV195" s="64"/>
      <c r="AW195" s="832" t="s">
        <v>110</v>
      </c>
      <c r="AX195" s="73">
        <f t="shared" si="502"/>
        <v>0</v>
      </c>
      <c r="AY195" s="64"/>
      <c r="AZ195" s="838" t="s">
        <v>110</v>
      </c>
      <c r="BA195" s="73">
        <f t="shared" si="503"/>
        <v>0</v>
      </c>
      <c r="BB195" s="64"/>
      <c r="BC195" s="845" t="s">
        <v>110</v>
      </c>
      <c r="BD195" s="73">
        <f t="shared" si="504"/>
        <v>0</v>
      </c>
      <c r="BE195" s="64"/>
      <c r="BF195" s="849" t="s">
        <v>110</v>
      </c>
      <c r="BG195" s="73">
        <f t="shared" si="505"/>
        <v>0</v>
      </c>
      <c r="BH195" s="64"/>
      <c r="BI195" s="859" t="s">
        <v>110</v>
      </c>
      <c r="BJ195" s="73">
        <f t="shared" si="506"/>
        <v>0</v>
      </c>
      <c r="BK195" s="64"/>
      <c r="BL195" s="864" t="s">
        <v>110</v>
      </c>
      <c r="BM195" s="73">
        <f t="shared" si="507"/>
        <v>0</v>
      </c>
      <c r="BN195" s="64"/>
      <c r="BO195" s="869" t="s">
        <v>110</v>
      </c>
      <c r="BP195" s="73">
        <f t="shared" si="508"/>
        <v>0</v>
      </c>
      <c r="BQ195" s="64"/>
      <c r="BR195" s="838" t="s">
        <v>110</v>
      </c>
      <c r="BS195" s="73">
        <f t="shared" si="509"/>
        <v>0</v>
      </c>
      <c r="BT195" s="64"/>
      <c r="BU195" s="873" t="s">
        <v>110</v>
      </c>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5" t="str">
        <f>Idiomas!$D$260</f>
        <v>Dieciseisavos de final</v>
      </c>
      <c r="I196" s="50"/>
      <c r="J196" s="926"/>
      <c r="K196" s="56" t="str">
        <f>Idiomas!$D$199&amp;"-"&amp;ROWS($L$182:L196)</f>
        <v>Octavofinalista-15</v>
      </c>
      <c r="L196" s="53"/>
      <c r="M196" s="55" t="str">
        <f>WORLDCUP!AF126</f>
        <v>W88</v>
      </c>
      <c r="N196" s="25"/>
      <c r="O196" s="25"/>
      <c r="P196" s="25"/>
      <c r="Q196" s="25"/>
      <c r="R196" s="110"/>
      <c r="S196" s="854" t="s">
        <v>497</v>
      </c>
      <c r="T196" s="73">
        <f t="shared" si="492"/>
        <v>0</v>
      </c>
      <c r="U196" s="64"/>
      <c r="V196" s="793" t="s">
        <v>110</v>
      </c>
      <c r="W196" s="73">
        <f t="shared" si="493"/>
        <v>0</v>
      </c>
      <c r="X196" s="64"/>
      <c r="Y196" s="798" t="s">
        <v>1835</v>
      </c>
      <c r="Z196" s="73">
        <f t="shared" si="494"/>
        <v>0</v>
      </c>
      <c r="AA196" s="64"/>
      <c r="AB196" s="803" t="s">
        <v>1319</v>
      </c>
      <c r="AC196" s="73">
        <f t="shared" si="495"/>
        <v>0</v>
      </c>
      <c r="AD196" s="64"/>
      <c r="AE196" s="808" t="s">
        <v>1550</v>
      </c>
      <c r="AF196" s="73">
        <f t="shared" si="496"/>
        <v>0</v>
      </c>
      <c r="AG196" s="64"/>
      <c r="AH196" s="74" t="s">
        <v>497</v>
      </c>
      <c r="AI196" s="73">
        <f t="shared" si="497"/>
        <v>0</v>
      </c>
      <c r="AJ196" s="64"/>
      <c r="AK196" s="813" t="s">
        <v>1319</v>
      </c>
      <c r="AL196" s="73">
        <f t="shared" si="498"/>
        <v>0</v>
      </c>
      <c r="AM196" s="64"/>
      <c r="AN196" s="818" t="s">
        <v>1835</v>
      </c>
      <c r="AO196" s="73">
        <f t="shared" si="499"/>
        <v>0</v>
      </c>
      <c r="AP196" s="64"/>
      <c r="AQ196" s="823" t="s">
        <v>1319</v>
      </c>
      <c r="AR196" s="73">
        <f t="shared" si="500"/>
        <v>0</v>
      </c>
      <c r="AS196" s="64"/>
      <c r="AT196" s="828" t="s">
        <v>1835</v>
      </c>
      <c r="AU196" s="73">
        <f t="shared" si="501"/>
        <v>0</v>
      </c>
      <c r="AV196" s="64"/>
      <c r="AW196" s="832" t="s">
        <v>1319</v>
      </c>
      <c r="AX196" s="73">
        <f t="shared" si="502"/>
        <v>0</v>
      </c>
      <c r="AY196" s="64"/>
      <c r="AZ196" s="838" t="s">
        <v>1550</v>
      </c>
      <c r="BA196" s="73">
        <f t="shared" si="503"/>
        <v>0</v>
      </c>
      <c r="BB196" s="64"/>
      <c r="BC196" s="845" t="s">
        <v>1319</v>
      </c>
      <c r="BD196" s="73">
        <f t="shared" si="504"/>
        <v>0</v>
      </c>
      <c r="BE196" s="64"/>
      <c r="BF196" s="849" t="s">
        <v>497</v>
      </c>
      <c r="BG196" s="73">
        <f t="shared" si="505"/>
        <v>0</v>
      </c>
      <c r="BH196" s="64"/>
      <c r="BI196" s="859" t="s">
        <v>1835</v>
      </c>
      <c r="BJ196" s="73">
        <f t="shared" si="506"/>
        <v>0</v>
      </c>
      <c r="BK196" s="64"/>
      <c r="BL196" s="864" t="s">
        <v>1550</v>
      </c>
      <c r="BM196" s="73">
        <f t="shared" si="507"/>
        <v>0</v>
      </c>
      <c r="BN196" s="64"/>
      <c r="BO196" s="869" t="s">
        <v>497</v>
      </c>
      <c r="BP196" s="73">
        <f t="shared" si="508"/>
        <v>0</v>
      </c>
      <c r="BQ196" s="64"/>
      <c r="BR196" s="838" t="s">
        <v>1319</v>
      </c>
      <c r="BS196" s="73">
        <f t="shared" si="509"/>
        <v>0</v>
      </c>
      <c r="BT196" s="64"/>
      <c r="BU196" s="873" t="s">
        <v>1835</v>
      </c>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5" t="str">
        <f>Idiomas!$D$260</f>
        <v>Dieciseisavos de final</v>
      </c>
      <c r="I197" s="50"/>
      <c r="J197" s="926"/>
      <c r="K197" s="115" t="str">
        <f>Idiomas!$D$199&amp;"-"&amp;ROWS($L$182:L197)</f>
        <v>Octavofinalista-16</v>
      </c>
      <c r="L197" s="115"/>
      <c r="M197" s="116" t="str">
        <f>WORLDCUP!AF127</f>
        <v>W87</v>
      </c>
      <c r="N197" s="25"/>
      <c r="O197" s="25"/>
      <c r="P197" s="25"/>
      <c r="Q197" s="25"/>
      <c r="R197" s="110"/>
      <c r="S197" s="854" t="s">
        <v>79</v>
      </c>
      <c r="T197" s="81">
        <f t="shared" si="492"/>
        <v>0</v>
      </c>
      <c r="U197" s="64"/>
      <c r="V197" s="793" t="s">
        <v>79</v>
      </c>
      <c r="W197" s="81">
        <f t="shared" si="493"/>
        <v>0</v>
      </c>
      <c r="X197" s="64"/>
      <c r="Y197" s="798" t="s">
        <v>79</v>
      </c>
      <c r="Z197" s="81">
        <f t="shared" si="494"/>
        <v>0</v>
      </c>
      <c r="AA197" s="64"/>
      <c r="AB197" s="803" t="s">
        <v>79</v>
      </c>
      <c r="AC197" s="81">
        <f t="shared" si="495"/>
        <v>0</v>
      </c>
      <c r="AD197" s="64"/>
      <c r="AE197" s="808" t="s">
        <v>79</v>
      </c>
      <c r="AF197" s="81">
        <f t="shared" si="496"/>
        <v>0</v>
      </c>
      <c r="AG197" s="64"/>
      <c r="AH197" s="80" t="s">
        <v>79</v>
      </c>
      <c r="AI197" s="81">
        <f t="shared" si="497"/>
        <v>0</v>
      </c>
      <c r="AJ197" s="64"/>
      <c r="AK197" s="813" t="s">
        <v>79</v>
      </c>
      <c r="AL197" s="81">
        <f t="shared" si="498"/>
        <v>0</v>
      </c>
      <c r="AM197" s="64"/>
      <c r="AN197" s="818" t="s">
        <v>79</v>
      </c>
      <c r="AO197" s="81">
        <f t="shared" si="499"/>
        <v>0</v>
      </c>
      <c r="AP197" s="64"/>
      <c r="AQ197" s="823" t="s">
        <v>79</v>
      </c>
      <c r="AR197" s="81">
        <f t="shared" si="500"/>
        <v>0</v>
      </c>
      <c r="AS197" s="64"/>
      <c r="AT197" s="828" t="s">
        <v>79</v>
      </c>
      <c r="AU197" s="81">
        <f t="shared" si="501"/>
        <v>0</v>
      </c>
      <c r="AV197" s="64"/>
      <c r="AW197" s="832" t="s">
        <v>79</v>
      </c>
      <c r="AX197" s="81">
        <f t="shared" si="502"/>
        <v>0</v>
      </c>
      <c r="AY197" s="64"/>
      <c r="AZ197" s="838" t="s">
        <v>79</v>
      </c>
      <c r="BA197" s="81">
        <f t="shared" si="503"/>
        <v>0</v>
      </c>
      <c r="BB197" s="64"/>
      <c r="BC197" s="845" t="s">
        <v>79</v>
      </c>
      <c r="BD197" s="81">
        <f t="shared" si="504"/>
        <v>0</v>
      </c>
      <c r="BE197" s="64"/>
      <c r="BF197" s="849" t="s">
        <v>79</v>
      </c>
      <c r="BG197" s="81">
        <f t="shared" si="505"/>
        <v>0</v>
      </c>
      <c r="BH197" s="64"/>
      <c r="BI197" s="859" t="s">
        <v>79</v>
      </c>
      <c r="BJ197" s="81">
        <f t="shared" si="506"/>
        <v>0</v>
      </c>
      <c r="BK197" s="64"/>
      <c r="BL197" s="864" t="s">
        <v>79</v>
      </c>
      <c r="BM197" s="81">
        <f t="shared" si="507"/>
        <v>0</v>
      </c>
      <c r="BN197" s="64"/>
      <c r="BO197" s="869" t="s">
        <v>79</v>
      </c>
      <c r="BP197" s="81">
        <f t="shared" si="508"/>
        <v>0</v>
      </c>
      <c r="BQ197" s="64"/>
      <c r="BR197" s="838" t="s">
        <v>79</v>
      </c>
      <c r="BS197" s="81">
        <f t="shared" si="509"/>
        <v>0</v>
      </c>
      <c r="BT197" s="64"/>
      <c r="BU197" s="873" t="s">
        <v>79</v>
      </c>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50"/>
      <c r="T198" s="71">
        <f>SUM(T182:T197)</f>
        <v>0</v>
      </c>
      <c r="U198" s="65"/>
      <c r="V198" s="789"/>
      <c r="W198" s="71">
        <f t="shared" ref="W198" si="518">SUM(W182:W197)</f>
        <v>0</v>
      </c>
      <c r="X198" s="65"/>
      <c r="Y198" s="794"/>
      <c r="Z198" s="71">
        <f t="shared" ref="Z198" si="519">SUM(Z182:Z197)</f>
        <v>0</v>
      </c>
      <c r="AA198" s="65"/>
      <c r="AB198" s="799"/>
      <c r="AC198" s="71">
        <f t="shared" ref="AC198" si="520">SUM(AC182:AC197)</f>
        <v>0</v>
      </c>
      <c r="AD198" s="65"/>
      <c r="AE198" s="804"/>
      <c r="AF198" s="71">
        <f t="shared" ref="AF198" si="521">SUM(AF182:AF197)</f>
        <v>0</v>
      </c>
      <c r="AG198" s="65"/>
      <c r="AH198" s="84"/>
      <c r="AI198" s="71">
        <f t="shared" ref="AI198" si="522">SUM(AI182:AI197)</f>
        <v>0</v>
      </c>
      <c r="AJ198" s="65"/>
      <c r="AK198" s="809"/>
      <c r="AL198" s="71">
        <f t="shared" ref="AL198" si="523">SUM(AL182:AL197)</f>
        <v>0</v>
      </c>
      <c r="AM198" s="65"/>
      <c r="AN198" s="814"/>
      <c r="AO198" s="71">
        <f t="shared" ref="AO198" si="524">SUM(AO182:AO197)</f>
        <v>0</v>
      </c>
      <c r="AP198" s="65"/>
      <c r="AQ198" s="819"/>
      <c r="AR198" s="71">
        <f t="shared" ref="AR198" si="525">SUM(AR182:AR197)</f>
        <v>0</v>
      </c>
      <c r="AS198" s="65"/>
      <c r="AT198" s="824"/>
      <c r="AU198" s="71">
        <f t="shared" ref="AU198" si="526">SUM(AU182:AU197)</f>
        <v>0</v>
      </c>
      <c r="AV198" s="65"/>
      <c r="AW198" s="833"/>
      <c r="AX198" s="71">
        <f t="shared" ref="AX198" si="527">SUM(AX182:AX197)</f>
        <v>0</v>
      </c>
      <c r="AY198" s="65"/>
      <c r="AZ198" s="839"/>
      <c r="BA198" s="71">
        <f t="shared" ref="BA198" si="528">SUM(BA182:BA197)</f>
        <v>0</v>
      </c>
      <c r="BB198" s="65"/>
      <c r="BC198" s="841"/>
      <c r="BD198" s="71">
        <f t="shared" ref="BD198" si="529">SUM(BD182:BD197)</f>
        <v>0</v>
      </c>
      <c r="BE198" s="65"/>
      <c r="BF198" s="846"/>
      <c r="BG198" s="71">
        <f t="shared" ref="BG198" si="530">SUM(BG182:BG197)</f>
        <v>0</v>
      </c>
      <c r="BH198" s="65"/>
      <c r="BI198" s="855"/>
      <c r="BJ198" s="71">
        <f t="shared" ref="BJ198" si="531">SUM(BJ182:BJ197)</f>
        <v>0</v>
      </c>
      <c r="BK198" s="65"/>
      <c r="BL198" s="860"/>
      <c r="BM198" s="71">
        <f t="shared" ref="BM198" si="532">SUM(BM182:BM197)</f>
        <v>0</v>
      </c>
      <c r="BN198" s="65"/>
      <c r="BO198" s="865"/>
      <c r="BP198" s="71">
        <f t="shared" ref="BP198" si="533">SUM(BP182:BP197)</f>
        <v>0</v>
      </c>
      <c r="BQ198" s="65"/>
      <c r="BR198" s="839"/>
      <c r="BS198" s="71">
        <f t="shared" ref="BS198" si="534">SUM(BS182:BS197)</f>
        <v>0</v>
      </c>
      <c r="BT198" s="65"/>
      <c r="BU198" s="87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50"/>
      <c r="T199" s="71"/>
      <c r="U199" s="65"/>
      <c r="V199" s="789"/>
      <c r="W199" s="71"/>
      <c r="X199" s="65"/>
      <c r="Y199" s="794"/>
      <c r="Z199" s="71"/>
      <c r="AA199" s="65"/>
      <c r="AB199" s="799"/>
      <c r="AC199" s="71"/>
      <c r="AD199" s="65"/>
      <c r="AE199" s="804"/>
      <c r="AF199" s="71"/>
      <c r="AG199" s="65"/>
      <c r="AH199" s="84"/>
      <c r="AI199" s="71"/>
      <c r="AJ199" s="65"/>
      <c r="AK199" s="809"/>
      <c r="AL199" s="71"/>
      <c r="AM199" s="65"/>
      <c r="AN199" s="814"/>
      <c r="AO199" s="71"/>
      <c r="AP199" s="65"/>
      <c r="AQ199" s="819"/>
      <c r="AR199" s="71"/>
      <c r="AS199" s="65"/>
      <c r="AT199" s="824"/>
      <c r="AU199" s="71"/>
      <c r="AV199" s="65"/>
      <c r="AW199" s="833"/>
      <c r="AX199" s="71"/>
      <c r="AY199" s="65"/>
      <c r="AZ199" s="839"/>
      <c r="BA199" s="71"/>
      <c r="BB199" s="65"/>
      <c r="BC199" s="841"/>
      <c r="BD199" s="71"/>
      <c r="BE199" s="65"/>
      <c r="BF199" s="846"/>
      <c r="BG199" s="71"/>
      <c r="BH199" s="65"/>
      <c r="BI199" s="855"/>
      <c r="BJ199" s="71"/>
      <c r="BK199" s="65"/>
      <c r="BL199" s="860"/>
      <c r="BM199" s="71"/>
      <c r="BN199" s="65"/>
      <c r="BO199" s="865"/>
      <c r="BP199" s="71"/>
      <c r="BQ199" s="65"/>
      <c r="BR199" s="839"/>
      <c r="BS199" s="71"/>
      <c r="BT199" s="65"/>
      <c r="BU199" s="87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926"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854" t="s">
        <v>2348</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793" t="s">
        <v>1984</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798" t="s">
        <v>2020</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803" t="s">
        <v>2060</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808" t="s">
        <v>2096</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2096</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813" t="s">
        <v>2154</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818" t="s">
        <v>2177</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823" t="s">
        <v>2203</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828" t="s">
        <v>2219</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834" t="s">
        <v>2239</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840" t="s">
        <v>2265</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845" t="s">
        <v>2292</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849" t="s">
        <v>2324</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859" t="s">
        <v>2370</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864" t="s">
        <v>2392</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869" t="s">
        <v>2417</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840" t="s">
        <v>2203</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873" t="s">
        <v>2239</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926"/>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854" t="s">
        <v>2097</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793" t="s">
        <v>1985</v>
      </c>
      <c r="W201" s="73">
        <f t="shared" si="545"/>
        <v>0</v>
      </c>
      <c r="X201" s="110"/>
      <c r="Y201" s="798" t="s">
        <v>2021</v>
      </c>
      <c r="Z201" s="73">
        <f t="shared" si="545"/>
        <v>0</v>
      </c>
      <c r="AA201" s="110"/>
      <c r="AB201" s="803" t="s">
        <v>2061</v>
      </c>
      <c r="AC201" s="73">
        <f t="shared" si="545"/>
        <v>0</v>
      </c>
      <c r="AD201" s="110"/>
      <c r="AE201" s="808" t="s">
        <v>2097</v>
      </c>
      <c r="AF201" s="73">
        <f t="shared" si="545"/>
        <v>0</v>
      </c>
      <c r="AG201" s="110"/>
      <c r="AH201" s="80" t="s">
        <v>2097</v>
      </c>
      <c r="AI201" s="73">
        <f t="shared" si="545"/>
        <v>0</v>
      </c>
      <c r="AJ201" s="110"/>
      <c r="AK201" s="813" t="s">
        <v>2097</v>
      </c>
      <c r="AL201" s="73">
        <f t="shared" si="545"/>
        <v>0</v>
      </c>
      <c r="AM201" s="110"/>
      <c r="AN201" s="818" t="s">
        <v>2097</v>
      </c>
      <c r="AO201" s="73">
        <f t="shared" si="545"/>
        <v>0</v>
      </c>
      <c r="AP201" s="110"/>
      <c r="AQ201" s="823" t="s">
        <v>2204</v>
      </c>
      <c r="AR201" s="73">
        <f t="shared" si="545"/>
        <v>0</v>
      </c>
      <c r="AS201" s="110"/>
      <c r="AT201" s="828" t="s">
        <v>2097</v>
      </c>
      <c r="AU201" s="73">
        <f t="shared" si="545"/>
        <v>0</v>
      </c>
      <c r="AV201" s="110"/>
      <c r="AW201" s="834" t="s">
        <v>2240</v>
      </c>
      <c r="AX201" s="73">
        <f t="shared" si="545"/>
        <v>0</v>
      </c>
      <c r="AY201" s="110"/>
      <c r="AZ201" s="840" t="s">
        <v>2266</v>
      </c>
      <c r="BA201" s="73">
        <f t="shared" si="545"/>
        <v>0</v>
      </c>
      <c r="BB201" s="110"/>
      <c r="BC201" s="845" t="s">
        <v>2293</v>
      </c>
      <c r="BD201" s="73">
        <f t="shared" si="545"/>
        <v>0</v>
      </c>
      <c r="BE201" s="110"/>
      <c r="BF201" s="849" t="s">
        <v>2097</v>
      </c>
      <c r="BG201" s="73">
        <f t="shared" si="545"/>
        <v>0</v>
      </c>
      <c r="BH201" s="110"/>
      <c r="BI201" s="859" t="s">
        <v>2371</v>
      </c>
      <c r="BJ201" s="73">
        <f t="shared" si="545"/>
        <v>0</v>
      </c>
      <c r="BK201" s="110"/>
      <c r="BL201" s="864" t="s">
        <v>2393</v>
      </c>
      <c r="BM201" s="73">
        <f t="shared" si="545"/>
        <v>0</v>
      </c>
      <c r="BN201" s="110"/>
      <c r="BO201" s="869" t="s">
        <v>2418</v>
      </c>
      <c r="BP201" s="73">
        <f t="shared" si="545"/>
        <v>0</v>
      </c>
      <c r="BQ201" s="110"/>
      <c r="BR201" s="840" t="s">
        <v>2266</v>
      </c>
      <c r="BS201" s="73">
        <f t="shared" si="545"/>
        <v>0</v>
      </c>
      <c r="BT201" s="110"/>
      <c r="BU201" s="873" t="s">
        <v>2450</v>
      </c>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926"/>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854" t="s">
        <v>2349</v>
      </c>
      <c r="T202" s="73">
        <f t="shared" si="570"/>
        <v>0</v>
      </c>
      <c r="U202" s="110"/>
      <c r="V202" s="793" t="s">
        <v>1986</v>
      </c>
      <c r="W202" s="73">
        <f t="shared" si="545"/>
        <v>0</v>
      </c>
      <c r="X202" s="110"/>
      <c r="Y202" s="798" t="s">
        <v>2022</v>
      </c>
      <c r="Z202" s="73">
        <f t="shared" si="545"/>
        <v>0</v>
      </c>
      <c r="AA202" s="110"/>
      <c r="AB202" s="803" t="s">
        <v>2062</v>
      </c>
      <c r="AC202" s="73">
        <f t="shared" si="545"/>
        <v>0</v>
      </c>
      <c r="AD202" s="110"/>
      <c r="AE202" s="808" t="s">
        <v>2098</v>
      </c>
      <c r="AF202" s="73">
        <f t="shared" si="545"/>
        <v>0</v>
      </c>
      <c r="AG202" s="110"/>
      <c r="AH202" s="80" t="s">
        <v>2130</v>
      </c>
      <c r="AI202" s="73">
        <f t="shared" si="545"/>
        <v>0</v>
      </c>
      <c r="AJ202" s="110"/>
      <c r="AK202" s="813" t="s">
        <v>2155</v>
      </c>
      <c r="AL202" s="73">
        <f t="shared" si="545"/>
        <v>0</v>
      </c>
      <c r="AM202" s="110"/>
      <c r="AN202" s="818" t="s">
        <v>2178</v>
      </c>
      <c r="AO202" s="73">
        <f t="shared" si="545"/>
        <v>0</v>
      </c>
      <c r="AP202" s="110"/>
      <c r="AQ202" s="823" t="s">
        <v>2130</v>
      </c>
      <c r="AR202" s="73">
        <f t="shared" si="545"/>
        <v>0</v>
      </c>
      <c r="AS202" s="110"/>
      <c r="AT202" s="828" t="s">
        <v>2178</v>
      </c>
      <c r="AU202" s="73">
        <f t="shared" si="545"/>
        <v>0</v>
      </c>
      <c r="AV202" s="110"/>
      <c r="AW202" s="834" t="s">
        <v>2241</v>
      </c>
      <c r="AX202" s="73">
        <f t="shared" si="545"/>
        <v>0</v>
      </c>
      <c r="AY202" s="110"/>
      <c r="AZ202" s="840" t="s">
        <v>2130</v>
      </c>
      <c r="BA202" s="73">
        <f t="shared" si="545"/>
        <v>0</v>
      </c>
      <c r="BB202" s="110"/>
      <c r="BC202" s="845" t="s">
        <v>2130</v>
      </c>
      <c r="BD202" s="73">
        <f t="shared" si="545"/>
        <v>0</v>
      </c>
      <c r="BE202" s="110"/>
      <c r="BF202" s="849" t="s">
        <v>2325</v>
      </c>
      <c r="BG202" s="73">
        <f t="shared" si="545"/>
        <v>0</v>
      </c>
      <c r="BH202" s="110"/>
      <c r="BI202" s="859" t="s">
        <v>2372</v>
      </c>
      <c r="BJ202" s="73">
        <f t="shared" si="545"/>
        <v>0</v>
      </c>
      <c r="BK202" s="110"/>
      <c r="BL202" s="864" t="s">
        <v>2394</v>
      </c>
      <c r="BM202" s="73">
        <f t="shared" si="545"/>
        <v>0</v>
      </c>
      <c r="BN202" s="110"/>
      <c r="BO202" s="869" t="s">
        <v>2155</v>
      </c>
      <c r="BP202" s="73">
        <f t="shared" si="545"/>
        <v>0</v>
      </c>
      <c r="BQ202" s="110"/>
      <c r="BR202" s="840" t="s">
        <v>2155</v>
      </c>
      <c r="BS202" s="73">
        <f t="shared" si="545"/>
        <v>0</v>
      </c>
      <c r="BT202" s="110"/>
      <c r="BU202" s="873" t="s">
        <v>2130</v>
      </c>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926"/>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854" t="s">
        <v>2350</v>
      </c>
      <c r="T203" s="73">
        <f t="shared" si="570"/>
        <v>0</v>
      </c>
      <c r="U203" s="110"/>
      <c r="V203" s="793" t="s">
        <v>1987</v>
      </c>
      <c r="W203" s="73">
        <f t="shared" si="545"/>
        <v>0</v>
      </c>
      <c r="X203" s="110"/>
      <c r="Y203" s="798" t="s">
        <v>2023</v>
      </c>
      <c r="Z203" s="73">
        <f t="shared" si="545"/>
        <v>0</v>
      </c>
      <c r="AA203" s="110"/>
      <c r="AB203" s="803" t="s">
        <v>2063</v>
      </c>
      <c r="AC203" s="73">
        <f t="shared" si="545"/>
        <v>0</v>
      </c>
      <c r="AD203" s="110"/>
      <c r="AE203" s="808" t="s">
        <v>2099</v>
      </c>
      <c r="AF203" s="73">
        <f t="shared" si="545"/>
        <v>0</v>
      </c>
      <c r="AG203" s="110"/>
      <c r="AH203" s="80" t="s">
        <v>2131</v>
      </c>
      <c r="AI203" s="73">
        <f t="shared" si="545"/>
        <v>0</v>
      </c>
      <c r="AJ203" s="110"/>
      <c r="AK203" s="813" t="s">
        <v>2156</v>
      </c>
      <c r="AL203" s="73">
        <f t="shared" si="545"/>
        <v>0</v>
      </c>
      <c r="AM203" s="110"/>
      <c r="AN203" s="818" t="s">
        <v>2063</v>
      </c>
      <c r="AO203" s="73">
        <f t="shared" si="545"/>
        <v>0</v>
      </c>
      <c r="AP203" s="110"/>
      <c r="AQ203" s="823" t="s">
        <v>2205</v>
      </c>
      <c r="AR203" s="73">
        <f t="shared" si="545"/>
        <v>0</v>
      </c>
      <c r="AS203" s="110"/>
      <c r="AT203" s="828" t="s">
        <v>2131</v>
      </c>
      <c r="AU203" s="73">
        <f t="shared" si="545"/>
        <v>0</v>
      </c>
      <c r="AV203" s="110"/>
      <c r="AW203" s="834" t="s">
        <v>2242</v>
      </c>
      <c r="AX203" s="73">
        <f t="shared" si="545"/>
        <v>0</v>
      </c>
      <c r="AY203" s="110"/>
      <c r="AZ203" s="840" t="s">
        <v>2023</v>
      </c>
      <c r="BA203" s="73">
        <f t="shared" si="545"/>
        <v>0</v>
      </c>
      <c r="BB203" s="110"/>
      <c r="BC203" s="845" t="s">
        <v>2156</v>
      </c>
      <c r="BD203" s="73">
        <f t="shared" si="545"/>
        <v>0</v>
      </c>
      <c r="BE203" s="110"/>
      <c r="BF203" s="849" t="s">
        <v>2156</v>
      </c>
      <c r="BG203" s="73">
        <f t="shared" si="545"/>
        <v>0</v>
      </c>
      <c r="BH203" s="110"/>
      <c r="BI203" s="859" t="s">
        <v>2373</v>
      </c>
      <c r="BJ203" s="73">
        <f t="shared" si="545"/>
        <v>0</v>
      </c>
      <c r="BK203" s="110"/>
      <c r="BL203" s="864" t="s">
        <v>2395</v>
      </c>
      <c r="BM203" s="73">
        <f t="shared" si="545"/>
        <v>0</v>
      </c>
      <c r="BN203" s="110"/>
      <c r="BO203" s="869" t="s">
        <v>2156</v>
      </c>
      <c r="BP203" s="73">
        <f t="shared" si="545"/>
        <v>0</v>
      </c>
      <c r="BQ203" s="110"/>
      <c r="BR203" s="840" t="s">
        <v>2023</v>
      </c>
      <c r="BS203" s="73">
        <f t="shared" si="545"/>
        <v>0</v>
      </c>
      <c r="BT203" s="110"/>
      <c r="BU203" s="873" t="s">
        <v>2023</v>
      </c>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926"/>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854" t="s">
        <v>2064</v>
      </c>
      <c r="T204" s="73">
        <f t="shared" si="570"/>
        <v>0</v>
      </c>
      <c r="U204" s="110"/>
      <c r="V204" s="793" t="s">
        <v>1988</v>
      </c>
      <c r="W204" s="73">
        <f t="shared" si="545"/>
        <v>0</v>
      </c>
      <c r="X204" s="110"/>
      <c r="Y204" s="798" t="s">
        <v>2024</v>
      </c>
      <c r="Z204" s="73">
        <f t="shared" si="545"/>
        <v>0</v>
      </c>
      <c r="AA204" s="110"/>
      <c r="AB204" s="803" t="s">
        <v>2064</v>
      </c>
      <c r="AC204" s="73">
        <f t="shared" si="545"/>
        <v>0</v>
      </c>
      <c r="AD204" s="110"/>
      <c r="AE204" s="808" t="s">
        <v>2100</v>
      </c>
      <c r="AF204" s="73">
        <f t="shared" si="545"/>
        <v>0</v>
      </c>
      <c r="AG204" s="110"/>
      <c r="AH204" s="80" t="s">
        <v>2064</v>
      </c>
      <c r="AI204" s="73">
        <f t="shared" si="545"/>
        <v>0</v>
      </c>
      <c r="AJ204" s="110"/>
      <c r="AK204" s="813" t="s">
        <v>2064</v>
      </c>
      <c r="AL204" s="73">
        <f t="shared" si="545"/>
        <v>0</v>
      </c>
      <c r="AM204" s="110"/>
      <c r="AN204" s="818" t="s">
        <v>2179</v>
      </c>
      <c r="AO204" s="73">
        <f t="shared" si="545"/>
        <v>0</v>
      </c>
      <c r="AP204" s="110"/>
      <c r="AQ204" s="823" t="s">
        <v>2064</v>
      </c>
      <c r="AR204" s="73">
        <f t="shared" si="545"/>
        <v>0</v>
      </c>
      <c r="AS204" s="110"/>
      <c r="AT204" s="828" t="s">
        <v>2220</v>
      </c>
      <c r="AU204" s="73">
        <f t="shared" si="545"/>
        <v>0</v>
      </c>
      <c r="AV204" s="110"/>
      <c r="AW204" s="834" t="s">
        <v>2179</v>
      </c>
      <c r="AX204" s="73">
        <f t="shared" si="545"/>
        <v>0</v>
      </c>
      <c r="AY204" s="110"/>
      <c r="AZ204" s="840" t="s">
        <v>2267</v>
      </c>
      <c r="BA204" s="73">
        <f t="shared" si="545"/>
        <v>0</v>
      </c>
      <c r="BB204" s="110"/>
      <c r="BC204" s="845" t="s">
        <v>2294</v>
      </c>
      <c r="BD204" s="73">
        <f t="shared" si="545"/>
        <v>0</v>
      </c>
      <c r="BE204" s="110"/>
      <c r="BF204" s="849" t="s">
        <v>2326</v>
      </c>
      <c r="BG204" s="73">
        <f t="shared" si="545"/>
        <v>0</v>
      </c>
      <c r="BH204" s="110"/>
      <c r="BI204" s="859" t="s">
        <v>2374</v>
      </c>
      <c r="BJ204" s="73">
        <f t="shared" si="545"/>
        <v>0</v>
      </c>
      <c r="BK204" s="110"/>
      <c r="BL204" s="864" t="s">
        <v>2396</v>
      </c>
      <c r="BM204" s="73">
        <f t="shared" si="545"/>
        <v>0</v>
      </c>
      <c r="BN204" s="110"/>
      <c r="BO204" s="869" t="s">
        <v>2419</v>
      </c>
      <c r="BP204" s="73">
        <f t="shared" si="545"/>
        <v>0</v>
      </c>
      <c r="BQ204" s="110"/>
      <c r="BR204" s="840" t="s">
        <v>2220</v>
      </c>
      <c r="BS204" s="73">
        <f t="shared" si="545"/>
        <v>0</v>
      </c>
      <c r="BT204" s="110"/>
      <c r="BU204" s="873" t="s">
        <v>2451</v>
      </c>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926"/>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854" t="s">
        <v>2351</v>
      </c>
      <c r="T205" s="73">
        <f t="shared" si="570"/>
        <v>0</v>
      </c>
      <c r="U205" s="110"/>
      <c r="V205" s="793" t="s">
        <v>1989</v>
      </c>
      <c r="W205" s="73">
        <f t="shared" si="545"/>
        <v>0</v>
      </c>
      <c r="X205" s="110"/>
      <c r="Y205" s="798" t="s">
        <v>2025</v>
      </c>
      <c r="Z205" s="73">
        <f t="shared" si="545"/>
        <v>0</v>
      </c>
      <c r="AA205" s="110"/>
      <c r="AB205" s="803" t="s">
        <v>2065</v>
      </c>
      <c r="AC205" s="73">
        <f t="shared" si="545"/>
        <v>0</v>
      </c>
      <c r="AD205" s="110"/>
      <c r="AE205" s="808" t="s">
        <v>2101</v>
      </c>
      <c r="AF205" s="73">
        <f t="shared" si="545"/>
        <v>0</v>
      </c>
      <c r="AG205" s="110"/>
      <c r="AH205" s="80" t="s">
        <v>2101</v>
      </c>
      <c r="AI205" s="73">
        <f t="shared" si="545"/>
        <v>0</v>
      </c>
      <c r="AJ205" s="110"/>
      <c r="AK205" s="813" t="s">
        <v>2157</v>
      </c>
      <c r="AL205" s="73">
        <f t="shared" si="545"/>
        <v>0</v>
      </c>
      <c r="AM205" s="110"/>
      <c r="AN205" s="818" t="s">
        <v>2180</v>
      </c>
      <c r="AO205" s="73">
        <f t="shared" si="545"/>
        <v>0</v>
      </c>
      <c r="AP205" s="110"/>
      <c r="AQ205" s="823" t="s">
        <v>2065</v>
      </c>
      <c r="AR205" s="73">
        <f t="shared" si="545"/>
        <v>0</v>
      </c>
      <c r="AS205" s="110"/>
      <c r="AT205" s="828" t="s">
        <v>2221</v>
      </c>
      <c r="AU205" s="73">
        <f t="shared" si="545"/>
        <v>0</v>
      </c>
      <c r="AV205" s="110"/>
      <c r="AW205" s="834" t="s">
        <v>2221</v>
      </c>
      <c r="AX205" s="73">
        <f t="shared" si="545"/>
        <v>0</v>
      </c>
      <c r="AY205" s="110"/>
      <c r="AZ205" s="840" t="s">
        <v>2221</v>
      </c>
      <c r="BA205" s="73">
        <f t="shared" si="545"/>
        <v>0</v>
      </c>
      <c r="BB205" s="110"/>
      <c r="BC205" s="845" t="s">
        <v>2157</v>
      </c>
      <c r="BD205" s="73">
        <f t="shared" si="545"/>
        <v>0</v>
      </c>
      <c r="BE205" s="110"/>
      <c r="BF205" s="849" t="s">
        <v>2327</v>
      </c>
      <c r="BG205" s="73">
        <f t="shared" si="545"/>
        <v>0</v>
      </c>
      <c r="BH205" s="110"/>
      <c r="BI205" s="859" t="s">
        <v>2375</v>
      </c>
      <c r="BJ205" s="73">
        <f t="shared" si="545"/>
        <v>0</v>
      </c>
      <c r="BK205" s="110"/>
      <c r="BL205" s="864" t="s">
        <v>2397</v>
      </c>
      <c r="BM205" s="73">
        <f t="shared" si="545"/>
        <v>0</v>
      </c>
      <c r="BN205" s="110"/>
      <c r="BO205" s="869" t="s">
        <v>2065</v>
      </c>
      <c r="BP205" s="73">
        <f t="shared" si="545"/>
        <v>0</v>
      </c>
      <c r="BQ205" s="110"/>
      <c r="BR205" s="840" t="s">
        <v>2435</v>
      </c>
      <c r="BS205" s="73">
        <f t="shared" si="545"/>
        <v>0</v>
      </c>
      <c r="BT205" s="110"/>
      <c r="BU205" s="873" t="s">
        <v>2452</v>
      </c>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926"/>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854" t="s">
        <v>2352</v>
      </c>
      <c r="T206" s="73">
        <f t="shared" si="570"/>
        <v>0</v>
      </c>
      <c r="U206" s="110"/>
      <c r="V206" s="793" t="s">
        <v>1990</v>
      </c>
      <c r="W206" s="73">
        <f t="shared" si="545"/>
        <v>0</v>
      </c>
      <c r="X206" s="110"/>
      <c r="Y206" s="798" t="s">
        <v>2026</v>
      </c>
      <c r="Z206" s="73">
        <f t="shared" si="545"/>
        <v>0</v>
      </c>
      <c r="AA206" s="110"/>
      <c r="AB206" s="803" t="s">
        <v>2066</v>
      </c>
      <c r="AC206" s="73">
        <f t="shared" si="545"/>
        <v>0</v>
      </c>
      <c r="AD206" s="110"/>
      <c r="AE206" s="808" t="s">
        <v>2102</v>
      </c>
      <c r="AF206" s="73">
        <f t="shared" si="545"/>
        <v>0</v>
      </c>
      <c r="AG206" s="110"/>
      <c r="AH206" s="80" t="s">
        <v>2132</v>
      </c>
      <c r="AI206" s="73">
        <f t="shared" si="545"/>
        <v>0</v>
      </c>
      <c r="AJ206" s="110"/>
      <c r="AK206" s="813" t="s">
        <v>2158</v>
      </c>
      <c r="AL206" s="73">
        <f t="shared" si="545"/>
        <v>0</v>
      </c>
      <c r="AM206" s="110"/>
      <c r="AN206" s="818" t="s">
        <v>2026</v>
      </c>
      <c r="AO206" s="73">
        <f t="shared" si="545"/>
        <v>0</v>
      </c>
      <c r="AP206" s="110"/>
      <c r="AQ206" s="823" t="s">
        <v>2158</v>
      </c>
      <c r="AR206" s="73">
        <f t="shared" si="545"/>
        <v>0</v>
      </c>
      <c r="AS206" s="110"/>
      <c r="AT206" s="828" t="s">
        <v>2026</v>
      </c>
      <c r="AU206" s="73">
        <f t="shared" si="545"/>
        <v>0</v>
      </c>
      <c r="AV206" s="110"/>
      <c r="AW206" s="834" t="s">
        <v>2243</v>
      </c>
      <c r="AX206" s="73">
        <f t="shared" si="545"/>
        <v>0</v>
      </c>
      <c r="AY206" s="110"/>
      <c r="AZ206" s="840" t="s">
        <v>2268</v>
      </c>
      <c r="BA206" s="73">
        <f t="shared" si="545"/>
        <v>0</v>
      </c>
      <c r="BB206" s="110"/>
      <c r="BC206" s="845" t="s">
        <v>2295</v>
      </c>
      <c r="BD206" s="73">
        <f t="shared" si="545"/>
        <v>0</v>
      </c>
      <c r="BE206" s="110"/>
      <c r="BF206" s="849" t="s">
        <v>2328</v>
      </c>
      <c r="BG206" s="73">
        <f t="shared" si="545"/>
        <v>0</v>
      </c>
      <c r="BH206" s="110"/>
      <c r="BI206" s="859" t="s">
        <v>2026</v>
      </c>
      <c r="BJ206" s="73">
        <f t="shared" si="545"/>
        <v>0</v>
      </c>
      <c r="BK206" s="110"/>
      <c r="BL206" s="864" t="s">
        <v>2398</v>
      </c>
      <c r="BM206" s="73">
        <f t="shared" si="545"/>
        <v>0</v>
      </c>
      <c r="BN206" s="110"/>
      <c r="BO206" s="869" t="s">
        <v>2132</v>
      </c>
      <c r="BP206" s="73">
        <f t="shared" si="545"/>
        <v>0</v>
      </c>
      <c r="BQ206" s="110"/>
      <c r="BR206" s="840" t="s">
        <v>2158</v>
      </c>
      <c r="BS206" s="73">
        <f t="shared" si="545"/>
        <v>0</v>
      </c>
      <c r="BT206" s="110"/>
      <c r="BU206" s="873" t="s">
        <v>2453</v>
      </c>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926"/>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54" t="s">
        <v>2181</v>
      </c>
      <c r="T207" s="85">
        <f t="shared" si="570"/>
        <v>0</v>
      </c>
      <c r="U207" s="110"/>
      <c r="V207" s="793" t="s">
        <v>1991</v>
      </c>
      <c r="W207" s="85">
        <f t="shared" si="545"/>
        <v>0</v>
      </c>
      <c r="X207" s="110"/>
      <c r="Y207" s="798" t="s">
        <v>2027</v>
      </c>
      <c r="Z207" s="85">
        <f t="shared" si="545"/>
        <v>0</v>
      </c>
      <c r="AA207" s="110"/>
      <c r="AB207" s="803" t="s">
        <v>2067</v>
      </c>
      <c r="AC207" s="85">
        <f t="shared" si="545"/>
        <v>0</v>
      </c>
      <c r="AD207" s="110"/>
      <c r="AE207" s="808" t="s">
        <v>2103</v>
      </c>
      <c r="AF207" s="85">
        <f t="shared" si="545"/>
        <v>0</v>
      </c>
      <c r="AG207" s="110"/>
      <c r="AH207" s="80" t="s">
        <v>2133</v>
      </c>
      <c r="AI207" s="85">
        <f t="shared" si="545"/>
        <v>0</v>
      </c>
      <c r="AJ207" s="110"/>
      <c r="AK207" s="813" t="s">
        <v>2159</v>
      </c>
      <c r="AL207" s="85">
        <f t="shared" si="545"/>
        <v>0</v>
      </c>
      <c r="AM207" s="110"/>
      <c r="AN207" s="818" t="s">
        <v>2181</v>
      </c>
      <c r="AO207" s="85">
        <f t="shared" si="545"/>
        <v>0</v>
      </c>
      <c r="AP207" s="110"/>
      <c r="AQ207" s="823" t="s">
        <v>2181</v>
      </c>
      <c r="AR207" s="85">
        <f t="shared" si="545"/>
        <v>0</v>
      </c>
      <c r="AS207" s="110"/>
      <c r="AT207" s="828" t="s">
        <v>2159</v>
      </c>
      <c r="AU207" s="85">
        <f t="shared" si="545"/>
        <v>0</v>
      </c>
      <c r="AV207" s="110"/>
      <c r="AW207" s="834" t="s">
        <v>2181</v>
      </c>
      <c r="AX207" s="85">
        <f t="shared" si="545"/>
        <v>0</v>
      </c>
      <c r="AY207" s="110"/>
      <c r="AZ207" s="840" t="s">
        <v>2269</v>
      </c>
      <c r="BA207" s="85">
        <f t="shared" si="545"/>
        <v>0</v>
      </c>
      <c r="BB207" s="110"/>
      <c r="BC207" s="845" t="s">
        <v>2296</v>
      </c>
      <c r="BD207" s="85">
        <f t="shared" si="545"/>
        <v>0</v>
      </c>
      <c r="BE207" s="110"/>
      <c r="BF207" s="849" t="s">
        <v>2027</v>
      </c>
      <c r="BG207" s="85">
        <f t="shared" si="545"/>
        <v>0</v>
      </c>
      <c r="BH207" s="110"/>
      <c r="BI207" s="859" t="s">
        <v>2027</v>
      </c>
      <c r="BJ207" s="85">
        <f t="shared" si="545"/>
        <v>0</v>
      </c>
      <c r="BK207" s="110"/>
      <c r="BL207" s="864" t="s">
        <v>2159</v>
      </c>
      <c r="BM207" s="85">
        <f t="shared" si="545"/>
        <v>0</v>
      </c>
      <c r="BN207" s="110"/>
      <c r="BO207" s="869" t="s">
        <v>2133</v>
      </c>
      <c r="BP207" s="85">
        <f t="shared" si="545"/>
        <v>0</v>
      </c>
      <c r="BQ207" s="110"/>
      <c r="BR207" s="840" t="s">
        <v>2027</v>
      </c>
      <c r="BS207" s="85">
        <f t="shared" si="545"/>
        <v>0</v>
      </c>
      <c r="BT207" s="110"/>
      <c r="BU207" s="873" t="s">
        <v>2159</v>
      </c>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50"/>
      <c r="T208" s="71">
        <f>SUM(T200:T207)</f>
        <v>0</v>
      </c>
      <c r="U208" s="49"/>
      <c r="V208" s="789"/>
      <c r="W208" s="71">
        <f t="shared" ref="W208" si="571">SUM(W200:W207)</f>
        <v>0</v>
      </c>
      <c r="X208" s="49"/>
      <c r="Y208" s="794"/>
      <c r="Z208" s="71">
        <f t="shared" ref="Z208" si="572">SUM(Z200:Z207)</f>
        <v>0</v>
      </c>
      <c r="AA208" s="49"/>
      <c r="AB208" s="799"/>
      <c r="AC208" s="71">
        <f t="shared" ref="AC208" si="573">SUM(AC200:AC207)</f>
        <v>0</v>
      </c>
      <c r="AD208" s="49"/>
      <c r="AE208" s="804"/>
      <c r="AF208" s="71">
        <f t="shared" ref="AF208" si="574">SUM(AF200:AF207)</f>
        <v>0</v>
      </c>
      <c r="AG208" s="49"/>
      <c r="AH208" s="84"/>
      <c r="AI208" s="71">
        <f t="shared" ref="AI208" si="575">SUM(AI200:AI207)</f>
        <v>0</v>
      </c>
      <c r="AJ208" s="49"/>
      <c r="AK208" s="809"/>
      <c r="AL208" s="71">
        <f t="shared" ref="AL208" si="576">SUM(AL200:AL207)</f>
        <v>0</v>
      </c>
      <c r="AM208" s="49"/>
      <c r="AN208" s="814"/>
      <c r="AO208" s="71">
        <f t="shared" ref="AO208" si="577">SUM(AO200:AO207)</f>
        <v>0</v>
      </c>
      <c r="AP208" s="49"/>
      <c r="AQ208" s="819"/>
      <c r="AR208" s="71">
        <f t="shared" ref="AR208" si="578">SUM(AR200:AR207)</f>
        <v>0</v>
      </c>
      <c r="AS208" s="49"/>
      <c r="AT208" s="824"/>
      <c r="AU208" s="71">
        <f t="shared" ref="AU208" si="579">SUM(AU200:AU207)</f>
        <v>0</v>
      </c>
      <c r="AV208" s="49"/>
      <c r="AW208" s="833"/>
      <c r="AX208" s="71">
        <f t="shared" ref="AX208" si="580">SUM(AX200:AX207)</f>
        <v>0</v>
      </c>
      <c r="AY208" s="49"/>
      <c r="AZ208" s="839"/>
      <c r="BA208" s="71">
        <f t="shared" ref="BA208" si="581">SUM(BA200:BA207)</f>
        <v>0</v>
      </c>
      <c r="BB208" s="49"/>
      <c r="BC208" s="841"/>
      <c r="BD208" s="71">
        <f t="shared" ref="BD208" si="582">SUM(BD200:BD207)</f>
        <v>0</v>
      </c>
      <c r="BE208" s="49"/>
      <c r="BF208" s="846"/>
      <c r="BG208" s="71">
        <f t="shared" ref="BG208" si="583">SUM(BG200:BG207)</f>
        <v>0</v>
      </c>
      <c r="BH208" s="49"/>
      <c r="BI208" s="855"/>
      <c r="BJ208" s="71">
        <f t="shared" ref="BJ208" si="584">SUM(BJ200:BJ207)</f>
        <v>0</v>
      </c>
      <c r="BK208" s="49"/>
      <c r="BL208" s="860"/>
      <c r="BM208" s="71">
        <f t="shared" ref="BM208" si="585">SUM(BM200:BM207)</f>
        <v>0</v>
      </c>
      <c r="BN208" s="49"/>
      <c r="BO208" s="865"/>
      <c r="BP208" s="71">
        <f t="shared" ref="BP208" si="586">SUM(BP200:BP207)</f>
        <v>0</v>
      </c>
      <c r="BQ208" s="49"/>
      <c r="BR208" s="839"/>
      <c r="BS208" s="71">
        <f t="shared" ref="BS208" si="587">SUM(BS200:BS207)</f>
        <v>0</v>
      </c>
      <c r="BT208" s="49"/>
      <c r="BU208" s="87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50"/>
      <c r="T209" s="71"/>
      <c r="U209" s="49"/>
      <c r="V209" s="789"/>
      <c r="W209" s="71"/>
      <c r="X209" s="49"/>
      <c r="Y209" s="794"/>
      <c r="Z209" s="71"/>
      <c r="AA209" s="49"/>
      <c r="AB209" s="799"/>
      <c r="AC209" s="71"/>
      <c r="AD209" s="49"/>
      <c r="AE209" s="804"/>
      <c r="AF209" s="71"/>
      <c r="AG209" s="49"/>
      <c r="AH209" s="84"/>
      <c r="AI209" s="71"/>
      <c r="AJ209" s="49"/>
      <c r="AK209" s="809"/>
      <c r="AL209" s="71"/>
      <c r="AM209" s="49"/>
      <c r="AN209" s="814"/>
      <c r="AO209" s="71"/>
      <c r="AP209" s="49"/>
      <c r="AQ209" s="819"/>
      <c r="AR209" s="71"/>
      <c r="AS209" s="49"/>
      <c r="AT209" s="824"/>
      <c r="AU209" s="71"/>
      <c r="AV209" s="49"/>
      <c r="AW209" s="833"/>
      <c r="AX209" s="71"/>
      <c r="AY209" s="49"/>
      <c r="AZ209" s="839"/>
      <c r="BA209" s="71"/>
      <c r="BB209" s="49"/>
      <c r="BC209" s="841"/>
      <c r="BD209" s="71"/>
      <c r="BE209" s="49"/>
      <c r="BF209" s="846"/>
      <c r="BG209" s="71"/>
      <c r="BH209" s="49"/>
      <c r="BI209" s="855"/>
      <c r="BJ209" s="71"/>
      <c r="BK209" s="49"/>
      <c r="BL209" s="860"/>
      <c r="BM209" s="71"/>
      <c r="BN209" s="49"/>
      <c r="BO209" s="865"/>
      <c r="BP209" s="71"/>
      <c r="BQ209" s="49"/>
      <c r="BR209" s="839"/>
      <c r="BS209" s="71"/>
      <c r="BT209" s="49"/>
      <c r="BU209" s="87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926" t="s">
        <v>34</v>
      </c>
      <c r="K210" s="53" t="str">
        <f>Idiomas!$D$200&amp;"-"&amp;ROWS($L$210:L210)</f>
        <v>Cuartofinalista-1</v>
      </c>
      <c r="L210" s="53"/>
      <c r="M210" s="55" t="str">
        <f>WORLDCUP!AA131</f>
        <v>W89</v>
      </c>
      <c r="N210" s="25"/>
      <c r="O210" s="25"/>
      <c r="P210" s="25"/>
      <c r="Q210" s="25"/>
      <c r="R210" s="110"/>
      <c r="S210" s="854" t="s">
        <v>74</v>
      </c>
      <c r="T210" s="77">
        <f t="shared" ref="T210:T217" si="595">COUNTIF($M$210:$M$217,S210)*$D$23</f>
        <v>0</v>
      </c>
      <c r="U210" s="110"/>
      <c r="V210" s="793" t="s">
        <v>74</v>
      </c>
      <c r="W210" s="77">
        <f t="shared" ref="W210:W217" si="596">COUNTIF($M$210:$M$217,V210)*$D$23</f>
        <v>0</v>
      </c>
      <c r="X210" s="110"/>
      <c r="Y210" s="798" t="s">
        <v>74</v>
      </c>
      <c r="Z210" s="77">
        <f t="shared" ref="Z210:Z217" si="597">COUNTIF($M$210:$M$217,Y210)*$D$23</f>
        <v>0</v>
      </c>
      <c r="AA210" s="110"/>
      <c r="AB210" s="803" t="s">
        <v>135</v>
      </c>
      <c r="AC210" s="77">
        <f t="shared" ref="AC210:AC217" si="598">COUNTIF($M$210:$M$217,AB210)*$D$23</f>
        <v>0</v>
      </c>
      <c r="AD210" s="110"/>
      <c r="AE210" s="808" t="s">
        <v>74</v>
      </c>
      <c r="AF210" s="77">
        <f t="shared" ref="AF210:AF217" si="599">COUNTIF($M$210:$M$217,AE210)*$D$23</f>
        <v>0</v>
      </c>
      <c r="AG210" s="110"/>
      <c r="AH210" s="76" t="s">
        <v>74</v>
      </c>
      <c r="AI210" s="77">
        <f t="shared" ref="AI210:AI217" si="600">COUNTIF($M$210:$M$217,AH210)*$D$23</f>
        <v>0</v>
      </c>
      <c r="AJ210" s="110"/>
      <c r="AK210" s="813" t="s">
        <v>74</v>
      </c>
      <c r="AL210" s="77">
        <f t="shared" ref="AL210:AL217" si="601">COUNTIF($M$210:$M$217,AK210)*$D$23</f>
        <v>0</v>
      </c>
      <c r="AM210" s="110"/>
      <c r="AN210" s="818" t="s">
        <v>74</v>
      </c>
      <c r="AO210" s="77">
        <f t="shared" ref="AO210:AO217" si="602">COUNTIF($M$210:$M$217,AN210)*$D$23</f>
        <v>0</v>
      </c>
      <c r="AP210" s="110"/>
      <c r="AQ210" s="823" t="s">
        <v>74</v>
      </c>
      <c r="AR210" s="77">
        <f t="shared" ref="AR210:AR217" si="603">COUNTIF($M$210:$M$217,AQ210)*$D$23</f>
        <v>0</v>
      </c>
      <c r="AS210" s="110"/>
      <c r="AT210" s="828" t="s">
        <v>74</v>
      </c>
      <c r="AU210" s="77">
        <f t="shared" ref="AU210:AU217" si="604">COUNTIF($M$210:$M$217,AT210)*$D$23</f>
        <v>0</v>
      </c>
      <c r="AV210" s="110"/>
      <c r="AW210" s="832" t="s">
        <v>1757</v>
      </c>
      <c r="AX210" s="77">
        <f t="shared" ref="AX210:AX217" si="605">COUNTIF($M$210:$M$217,AW210)*$D$23</f>
        <v>0</v>
      </c>
      <c r="AY210" s="110"/>
      <c r="AZ210" s="838" t="s">
        <v>74</v>
      </c>
      <c r="BA210" s="77">
        <f t="shared" ref="BA210:BA217" si="606">COUNTIF($M$210:$M$217,AZ210)*$D$23</f>
        <v>0</v>
      </c>
      <c r="BB210" s="110"/>
      <c r="BC210" s="845" t="s">
        <v>74</v>
      </c>
      <c r="BD210" s="77">
        <f t="shared" ref="BD210:BD217" si="607">COUNTIF($M$210:$M$217,BC210)*$D$23</f>
        <v>0</v>
      </c>
      <c r="BE210" s="110"/>
      <c r="BF210" s="849" t="s">
        <v>74</v>
      </c>
      <c r="BG210" s="77">
        <f t="shared" ref="BG210:BG217" si="608">COUNTIF($M$210:$M$217,BF210)*$D$23</f>
        <v>0</v>
      </c>
      <c r="BH210" s="110"/>
      <c r="BI210" s="859" t="s">
        <v>74</v>
      </c>
      <c r="BJ210" s="77">
        <f t="shared" ref="BJ210:BJ217" si="609">COUNTIF($M$210:$M$217,BI210)*$D$23</f>
        <v>0</v>
      </c>
      <c r="BK210" s="110"/>
      <c r="BL210" s="864" t="s">
        <v>77</v>
      </c>
      <c r="BM210" s="77">
        <f t="shared" ref="BM210:BM217" si="610">COUNTIF($M$210:$M$217,BL210)*$D$23</f>
        <v>0</v>
      </c>
      <c r="BN210" s="110"/>
      <c r="BO210" s="869" t="s">
        <v>74</v>
      </c>
      <c r="BP210" s="77">
        <f t="shared" ref="BP210:BP217" si="611">COUNTIF($M$210:$M$217,BO210)*$D$23</f>
        <v>0</v>
      </c>
      <c r="BQ210" s="110"/>
      <c r="BR210" s="838" t="s">
        <v>74</v>
      </c>
      <c r="BS210" s="77">
        <f t="shared" ref="BS210:BS217" si="612">COUNTIF($M$210:$M$217,BR210)*$D$23</f>
        <v>0</v>
      </c>
      <c r="BT210" s="110"/>
      <c r="BU210" s="873" t="s">
        <v>74</v>
      </c>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926"/>
      <c r="K211" s="56" t="str">
        <f>Idiomas!$D$200&amp;"-"&amp;ROWS($L$210:L211)</f>
        <v>Cuartofinalista-2</v>
      </c>
      <c r="L211" s="53"/>
      <c r="M211" s="55" t="str">
        <f>WORLDCUP!AA132</f>
        <v>W93</v>
      </c>
      <c r="N211" s="25"/>
      <c r="O211" s="25"/>
      <c r="P211" s="25"/>
      <c r="Q211" s="25"/>
      <c r="R211" s="110"/>
      <c r="S211" s="854" t="s">
        <v>38</v>
      </c>
      <c r="T211" s="73">
        <f t="shared" si="595"/>
        <v>0</v>
      </c>
      <c r="U211" s="110"/>
      <c r="V211" s="793" t="s">
        <v>1318</v>
      </c>
      <c r="W211" s="73">
        <f t="shared" si="596"/>
        <v>0</v>
      </c>
      <c r="X211" s="110"/>
      <c r="Y211" s="798" t="s">
        <v>38</v>
      </c>
      <c r="Z211" s="73">
        <f t="shared" si="597"/>
        <v>0</v>
      </c>
      <c r="AA211" s="110"/>
      <c r="AB211" s="803" t="s">
        <v>38</v>
      </c>
      <c r="AC211" s="73">
        <f t="shared" si="598"/>
        <v>0</v>
      </c>
      <c r="AD211" s="110"/>
      <c r="AE211" s="808" t="s">
        <v>1320</v>
      </c>
      <c r="AF211" s="73">
        <f t="shared" si="599"/>
        <v>0</v>
      </c>
      <c r="AG211" s="110"/>
      <c r="AH211" s="74" t="s">
        <v>38</v>
      </c>
      <c r="AI211" s="73">
        <f t="shared" si="600"/>
        <v>0</v>
      </c>
      <c r="AJ211" s="110"/>
      <c r="AK211" s="813" t="s">
        <v>38</v>
      </c>
      <c r="AL211" s="73">
        <f t="shared" si="601"/>
        <v>0</v>
      </c>
      <c r="AM211" s="110"/>
      <c r="AN211" s="818" t="s">
        <v>38</v>
      </c>
      <c r="AO211" s="73">
        <f t="shared" si="602"/>
        <v>0</v>
      </c>
      <c r="AP211" s="110"/>
      <c r="AQ211" s="823" t="s">
        <v>38</v>
      </c>
      <c r="AR211" s="73">
        <f t="shared" si="603"/>
        <v>0</v>
      </c>
      <c r="AS211" s="110"/>
      <c r="AT211" s="828" t="s">
        <v>38</v>
      </c>
      <c r="AU211" s="73">
        <f t="shared" si="604"/>
        <v>0</v>
      </c>
      <c r="AV211" s="110"/>
      <c r="AW211" s="832" t="s">
        <v>38</v>
      </c>
      <c r="AX211" s="73">
        <f t="shared" si="605"/>
        <v>0</v>
      </c>
      <c r="AY211" s="110"/>
      <c r="AZ211" s="838" t="s">
        <v>38</v>
      </c>
      <c r="BA211" s="73">
        <f t="shared" si="606"/>
        <v>0</v>
      </c>
      <c r="BB211" s="110"/>
      <c r="BC211" s="845" t="s">
        <v>78</v>
      </c>
      <c r="BD211" s="73">
        <f t="shared" si="607"/>
        <v>0</v>
      </c>
      <c r="BE211" s="110"/>
      <c r="BF211" s="849" t="s">
        <v>38</v>
      </c>
      <c r="BG211" s="73">
        <f t="shared" si="608"/>
        <v>0</v>
      </c>
      <c r="BH211" s="110"/>
      <c r="BI211" s="859" t="s">
        <v>38</v>
      </c>
      <c r="BJ211" s="73">
        <f t="shared" si="609"/>
        <v>0</v>
      </c>
      <c r="BK211" s="110"/>
      <c r="BL211" s="864" t="s">
        <v>38</v>
      </c>
      <c r="BM211" s="73">
        <f t="shared" si="610"/>
        <v>0</v>
      </c>
      <c r="BN211" s="110"/>
      <c r="BO211" s="869" t="s">
        <v>38</v>
      </c>
      <c r="BP211" s="73">
        <f t="shared" si="611"/>
        <v>0</v>
      </c>
      <c r="BQ211" s="110"/>
      <c r="BR211" s="838" t="s">
        <v>38</v>
      </c>
      <c r="BS211" s="73">
        <f t="shared" si="612"/>
        <v>0</v>
      </c>
      <c r="BT211" s="110"/>
      <c r="BU211" s="873" t="s">
        <v>38</v>
      </c>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926"/>
      <c r="K212" s="56" t="str">
        <f>Idiomas!$D$200&amp;"-"&amp;ROWS($L$210:L212)</f>
        <v>Cuartofinalista-3</v>
      </c>
      <c r="L212" s="53"/>
      <c r="M212" s="55" t="str">
        <f>WORLDCUP!AA133</f>
        <v>W91</v>
      </c>
      <c r="N212" s="25"/>
      <c r="O212" s="25"/>
      <c r="P212" s="25"/>
      <c r="Q212" s="25"/>
      <c r="R212" s="110"/>
      <c r="S212" s="854" t="s">
        <v>1258</v>
      </c>
      <c r="T212" s="73">
        <f t="shared" si="595"/>
        <v>0</v>
      </c>
      <c r="U212" s="110"/>
      <c r="V212" s="793" t="s">
        <v>1258</v>
      </c>
      <c r="W212" s="73">
        <f t="shared" si="596"/>
        <v>0</v>
      </c>
      <c r="X212" s="110"/>
      <c r="Y212" s="798" t="s">
        <v>1258</v>
      </c>
      <c r="Z212" s="73">
        <f t="shared" si="597"/>
        <v>0</v>
      </c>
      <c r="AA212" s="110"/>
      <c r="AB212" s="803" t="s">
        <v>74</v>
      </c>
      <c r="AC212" s="73">
        <f t="shared" si="598"/>
        <v>0</v>
      </c>
      <c r="AD212" s="110"/>
      <c r="AE212" s="808" t="s">
        <v>1258</v>
      </c>
      <c r="AF212" s="73">
        <f t="shared" si="599"/>
        <v>0</v>
      </c>
      <c r="AG212" s="110"/>
      <c r="AH212" s="74" t="s">
        <v>1258</v>
      </c>
      <c r="AI212" s="73">
        <f t="shared" si="600"/>
        <v>0</v>
      </c>
      <c r="AJ212" s="110"/>
      <c r="AK212" s="813" t="s">
        <v>1258</v>
      </c>
      <c r="AL212" s="73">
        <f t="shared" si="601"/>
        <v>0</v>
      </c>
      <c r="AM212" s="110"/>
      <c r="AN212" s="818" t="s">
        <v>1258</v>
      </c>
      <c r="AO212" s="73">
        <f t="shared" si="602"/>
        <v>0</v>
      </c>
      <c r="AP212" s="110"/>
      <c r="AQ212" s="823" t="s">
        <v>1258</v>
      </c>
      <c r="AR212" s="73">
        <f t="shared" si="603"/>
        <v>0</v>
      </c>
      <c r="AS212" s="110"/>
      <c r="AT212" s="828" t="s">
        <v>1258</v>
      </c>
      <c r="AU212" s="73">
        <f t="shared" si="604"/>
        <v>0</v>
      </c>
      <c r="AV212" s="110"/>
      <c r="AW212" s="832" t="s">
        <v>74</v>
      </c>
      <c r="AX212" s="73">
        <f t="shared" si="605"/>
        <v>0</v>
      </c>
      <c r="AY212" s="110"/>
      <c r="AZ212" s="838" t="s">
        <v>1258</v>
      </c>
      <c r="BA212" s="73">
        <f t="shared" si="606"/>
        <v>0</v>
      </c>
      <c r="BB212" s="110"/>
      <c r="BC212" s="845" t="s">
        <v>1258</v>
      </c>
      <c r="BD212" s="73">
        <f t="shared" si="607"/>
        <v>0</v>
      </c>
      <c r="BE212" s="110"/>
      <c r="BF212" s="849" t="s">
        <v>135</v>
      </c>
      <c r="BG212" s="73">
        <f t="shared" si="608"/>
        <v>0</v>
      </c>
      <c r="BH212" s="110"/>
      <c r="BI212" s="859" t="s">
        <v>1258</v>
      </c>
      <c r="BJ212" s="73">
        <f t="shared" si="609"/>
        <v>0</v>
      </c>
      <c r="BK212" s="110"/>
      <c r="BL212" s="864" t="s">
        <v>1258</v>
      </c>
      <c r="BM212" s="73">
        <f t="shared" si="610"/>
        <v>0</v>
      </c>
      <c r="BN212" s="110"/>
      <c r="BO212" s="869" t="s">
        <v>1258</v>
      </c>
      <c r="BP212" s="73">
        <f t="shared" si="611"/>
        <v>0</v>
      </c>
      <c r="BQ212" s="110"/>
      <c r="BR212" s="838" t="s">
        <v>1258</v>
      </c>
      <c r="BS212" s="73">
        <f t="shared" si="612"/>
        <v>0</v>
      </c>
      <c r="BT212" s="110"/>
      <c r="BU212" s="873" t="s">
        <v>1258</v>
      </c>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926"/>
      <c r="K213" s="56" t="str">
        <f>Idiomas!$D$200&amp;"-"&amp;ROWS($L$210:L213)</f>
        <v>Cuartofinalista-4</v>
      </c>
      <c r="L213" s="53"/>
      <c r="M213" s="55" t="str">
        <f>WORLDCUP!AA134</f>
        <v>W95</v>
      </c>
      <c r="N213" s="25"/>
      <c r="O213" s="25"/>
      <c r="P213" s="25"/>
      <c r="Q213" s="25"/>
      <c r="R213" s="110"/>
      <c r="S213" s="854" t="s">
        <v>1256</v>
      </c>
      <c r="T213" s="73">
        <f t="shared" si="595"/>
        <v>0</v>
      </c>
      <c r="U213" s="110"/>
      <c r="V213" s="793" t="s">
        <v>1256</v>
      </c>
      <c r="W213" s="73">
        <f t="shared" si="596"/>
        <v>0</v>
      </c>
      <c r="X213" s="110"/>
      <c r="Y213" s="798" t="s">
        <v>1256</v>
      </c>
      <c r="Z213" s="73">
        <f t="shared" si="597"/>
        <v>0</v>
      </c>
      <c r="AA213" s="110"/>
      <c r="AB213" s="803" t="s">
        <v>1256</v>
      </c>
      <c r="AC213" s="73">
        <f t="shared" si="598"/>
        <v>0</v>
      </c>
      <c r="AD213" s="110"/>
      <c r="AE213" s="808" t="s">
        <v>1550</v>
      </c>
      <c r="AF213" s="73">
        <f t="shared" si="599"/>
        <v>0</v>
      </c>
      <c r="AG213" s="110"/>
      <c r="AH213" s="74" t="s">
        <v>1256</v>
      </c>
      <c r="AI213" s="73">
        <f t="shared" si="600"/>
        <v>0</v>
      </c>
      <c r="AJ213" s="110"/>
      <c r="AK213" s="813" t="s">
        <v>1256</v>
      </c>
      <c r="AL213" s="73">
        <f t="shared" si="601"/>
        <v>0</v>
      </c>
      <c r="AM213" s="110"/>
      <c r="AN213" s="818" t="s">
        <v>1256</v>
      </c>
      <c r="AO213" s="73">
        <f t="shared" si="602"/>
        <v>0</v>
      </c>
      <c r="AP213" s="110"/>
      <c r="AQ213" s="823" t="s">
        <v>1256</v>
      </c>
      <c r="AR213" s="73">
        <f t="shared" si="603"/>
        <v>0</v>
      </c>
      <c r="AS213" s="110"/>
      <c r="AT213" s="828" t="s">
        <v>1256</v>
      </c>
      <c r="AU213" s="73">
        <f t="shared" si="604"/>
        <v>0</v>
      </c>
      <c r="AV213" s="110"/>
      <c r="AW213" s="832" t="s">
        <v>1256</v>
      </c>
      <c r="AX213" s="73">
        <f t="shared" si="605"/>
        <v>0</v>
      </c>
      <c r="AY213" s="110"/>
      <c r="AZ213" s="838" t="s">
        <v>1256</v>
      </c>
      <c r="BA213" s="73">
        <f t="shared" si="606"/>
        <v>0</v>
      </c>
      <c r="BB213" s="110"/>
      <c r="BC213" s="845" t="s">
        <v>38</v>
      </c>
      <c r="BD213" s="73">
        <f t="shared" si="607"/>
        <v>0</v>
      </c>
      <c r="BE213" s="110"/>
      <c r="BF213" s="849" t="s">
        <v>1318</v>
      </c>
      <c r="BG213" s="73">
        <f t="shared" si="608"/>
        <v>0</v>
      </c>
      <c r="BH213" s="110"/>
      <c r="BI213" s="859" t="s">
        <v>1256</v>
      </c>
      <c r="BJ213" s="73">
        <f t="shared" si="609"/>
        <v>0</v>
      </c>
      <c r="BK213" s="110"/>
      <c r="BL213" s="864" t="s">
        <v>1256</v>
      </c>
      <c r="BM213" s="73">
        <f t="shared" si="610"/>
        <v>0</v>
      </c>
      <c r="BN213" s="110"/>
      <c r="BO213" s="869" t="s">
        <v>1256</v>
      </c>
      <c r="BP213" s="73">
        <f t="shared" si="611"/>
        <v>0</v>
      </c>
      <c r="BQ213" s="110"/>
      <c r="BR213" s="838" t="s">
        <v>1256</v>
      </c>
      <c r="BS213" s="73">
        <f t="shared" si="612"/>
        <v>0</v>
      </c>
      <c r="BT213" s="110"/>
      <c r="BU213" s="873" t="s">
        <v>1256</v>
      </c>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926"/>
      <c r="K214" s="56" t="str">
        <f>Idiomas!$D$200&amp;"-"&amp;ROWS($L$210:L214)</f>
        <v>Cuartofinalista-5</v>
      </c>
      <c r="L214" s="53"/>
      <c r="M214" s="55" t="str">
        <f>WORLDCUP!AF131</f>
        <v>W90</v>
      </c>
      <c r="N214" s="25"/>
      <c r="O214" s="25"/>
      <c r="P214" s="25"/>
      <c r="Q214" s="25"/>
      <c r="R214" s="110"/>
      <c r="S214" s="854" t="s">
        <v>1321</v>
      </c>
      <c r="T214" s="73">
        <f t="shared" si="595"/>
        <v>0</v>
      </c>
      <c r="U214" s="110"/>
      <c r="V214" s="793" t="s">
        <v>1263</v>
      </c>
      <c r="W214" s="73">
        <f t="shared" si="596"/>
        <v>0</v>
      </c>
      <c r="X214" s="110"/>
      <c r="Y214" s="798" t="s">
        <v>1263</v>
      </c>
      <c r="Z214" s="73">
        <f t="shared" si="597"/>
        <v>0</v>
      </c>
      <c r="AA214" s="110"/>
      <c r="AB214" s="803" t="s">
        <v>1263</v>
      </c>
      <c r="AC214" s="73">
        <f t="shared" si="598"/>
        <v>0</v>
      </c>
      <c r="AD214" s="110"/>
      <c r="AE214" s="808" t="s">
        <v>111</v>
      </c>
      <c r="AF214" s="73">
        <f t="shared" si="599"/>
        <v>0</v>
      </c>
      <c r="AG214" s="110"/>
      <c r="AH214" s="74" t="s">
        <v>111</v>
      </c>
      <c r="AI214" s="73">
        <f t="shared" si="600"/>
        <v>0</v>
      </c>
      <c r="AJ214" s="110"/>
      <c r="AK214" s="813" t="s">
        <v>111</v>
      </c>
      <c r="AL214" s="73">
        <f t="shared" si="601"/>
        <v>0</v>
      </c>
      <c r="AM214" s="110"/>
      <c r="AN214" s="818" t="s">
        <v>111</v>
      </c>
      <c r="AO214" s="73">
        <f t="shared" si="602"/>
        <v>0</v>
      </c>
      <c r="AP214" s="110"/>
      <c r="AQ214" s="823" t="s">
        <v>111</v>
      </c>
      <c r="AR214" s="73">
        <f t="shared" si="603"/>
        <v>0</v>
      </c>
      <c r="AS214" s="110"/>
      <c r="AT214" s="828" t="s">
        <v>111</v>
      </c>
      <c r="AU214" s="73">
        <f t="shared" si="604"/>
        <v>0</v>
      </c>
      <c r="AV214" s="110"/>
      <c r="AW214" s="832" t="s">
        <v>111</v>
      </c>
      <c r="AX214" s="73">
        <f t="shared" si="605"/>
        <v>0</v>
      </c>
      <c r="AY214" s="110"/>
      <c r="AZ214" s="838" t="s">
        <v>111</v>
      </c>
      <c r="BA214" s="73">
        <f t="shared" si="606"/>
        <v>0</v>
      </c>
      <c r="BB214" s="110"/>
      <c r="BC214" s="845" t="s">
        <v>111</v>
      </c>
      <c r="BD214" s="73">
        <f t="shared" si="607"/>
        <v>0</v>
      </c>
      <c r="BE214" s="110"/>
      <c r="BF214" s="849" t="s">
        <v>1258</v>
      </c>
      <c r="BG214" s="73">
        <f t="shared" si="608"/>
        <v>0</v>
      </c>
      <c r="BH214" s="110"/>
      <c r="BI214" s="859" t="s">
        <v>111</v>
      </c>
      <c r="BJ214" s="73">
        <f t="shared" si="609"/>
        <v>0</v>
      </c>
      <c r="BK214" s="110"/>
      <c r="BL214" s="864" t="s">
        <v>1321</v>
      </c>
      <c r="BM214" s="73">
        <f t="shared" si="610"/>
        <v>0</v>
      </c>
      <c r="BN214" s="110"/>
      <c r="BO214" s="869" t="s">
        <v>111</v>
      </c>
      <c r="BP214" s="73">
        <f t="shared" si="611"/>
        <v>0</v>
      </c>
      <c r="BQ214" s="110"/>
      <c r="BR214" s="838" t="s">
        <v>111</v>
      </c>
      <c r="BS214" s="73">
        <f t="shared" si="612"/>
        <v>0</v>
      </c>
      <c r="BT214" s="110"/>
      <c r="BU214" s="873" t="s">
        <v>111</v>
      </c>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926"/>
      <c r="K215" s="56" t="str">
        <f>Idiomas!$D$200&amp;"-"&amp;ROWS($L$210:L215)</f>
        <v>Cuartofinalista-6</v>
      </c>
      <c r="L215" s="53"/>
      <c r="M215" s="55" t="str">
        <f>WORLDCUP!AF132</f>
        <v>W94</v>
      </c>
      <c r="N215" s="25"/>
      <c r="O215" s="25"/>
      <c r="P215" s="25"/>
      <c r="Q215" s="25"/>
      <c r="R215" s="110"/>
      <c r="S215" s="854" t="s">
        <v>1835</v>
      </c>
      <c r="T215" s="73">
        <f t="shared" si="595"/>
        <v>0</v>
      </c>
      <c r="U215" s="110"/>
      <c r="V215" s="793" t="s">
        <v>1319</v>
      </c>
      <c r="W215" s="73">
        <f t="shared" si="596"/>
        <v>0</v>
      </c>
      <c r="X215" s="110"/>
      <c r="Y215" s="798" t="s">
        <v>110</v>
      </c>
      <c r="Z215" s="73">
        <f t="shared" si="597"/>
        <v>0</v>
      </c>
      <c r="AA215" s="110"/>
      <c r="AB215" s="803" t="s">
        <v>110</v>
      </c>
      <c r="AC215" s="73">
        <f t="shared" si="598"/>
        <v>0</v>
      </c>
      <c r="AD215" s="110"/>
      <c r="AE215" s="808" t="s">
        <v>1835</v>
      </c>
      <c r="AF215" s="73">
        <f t="shared" si="599"/>
        <v>0</v>
      </c>
      <c r="AG215" s="110"/>
      <c r="AH215" s="74" t="s">
        <v>1835</v>
      </c>
      <c r="AI215" s="73">
        <f t="shared" si="600"/>
        <v>0</v>
      </c>
      <c r="AJ215" s="110"/>
      <c r="AK215" s="813" t="s">
        <v>110</v>
      </c>
      <c r="AL215" s="73">
        <f t="shared" si="601"/>
        <v>0</v>
      </c>
      <c r="AM215" s="110"/>
      <c r="AN215" s="818" t="s">
        <v>1319</v>
      </c>
      <c r="AO215" s="73">
        <f t="shared" si="602"/>
        <v>0</v>
      </c>
      <c r="AP215" s="110"/>
      <c r="AQ215" s="823" t="s">
        <v>110</v>
      </c>
      <c r="AR215" s="73">
        <f t="shared" si="603"/>
        <v>0</v>
      </c>
      <c r="AS215" s="110"/>
      <c r="AT215" s="828" t="s">
        <v>110</v>
      </c>
      <c r="AU215" s="73">
        <f t="shared" si="604"/>
        <v>0</v>
      </c>
      <c r="AV215" s="110"/>
      <c r="AW215" s="832" t="s">
        <v>110</v>
      </c>
      <c r="AX215" s="73">
        <f t="shared" si="605"/>
        <v>0</v>
      </c>
      <c r="AY215" s="110"/>
      <c r="AZ215" s="838" t="s">
        <v>110</v>
      </c>
      <c r="BA215" s="73">
        <f t="shared" si="606"/>
        <v>0</v>
      </c>
      <c r="BB215" s="110"/>
      <c r="BC215" s="845" t="s">
        <v>110</v>
      </c>
      <c r="BD215" s="73">
        <f t="shared" si="607"/>
        <v>0</v>
      </c>
      <c r="BE215" s="110"/>
      <c r="BF215" s="849" t="s">
        <v>110</v>
      </c>
      <c r="BG215" s="73">
        <f t="shared" si="608"/>
        <v>0</v>
      </c>
      <c r="BH215" s="110"/>
      <c r="BI215" s="859" t="s">
        <v>110</v>
      </c>
      <c r="BJ215" s="73">
        <f t="shared" si="609"/>
        <v>0</v>
      </c>
      <c r="BK215" s="110"/>
      <c r="BL215" s="864" t="s">
        <v>1835</v>
      </c>
      <c r="BM215" s="73">
        <f t="shared" si="610"/>
        <v>0</v>
      </c>
      <c r="BN215" s="110"/>
      <c r="BO215" s="869" t="s">
        <v>110</v>
      </c>
      <c r="BP215" s="73">
        <f t="shared" si="611"/>
        <v>0</v>
      </c>
      <c r="BQ215" s="110"/>
      <c r="BR215" s="838" t="s">
        <v>110</v>
      </c>
      <c r="BS215" s="73">
        <f t="shared" si="612"/>
        <v>0</v>
      </c>
      <c r="BT215" s="110"/>
      <c r="BU215" s="873" t="s">
        <v>110</v>
      </c>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926"/>
      <c r="K216" s="56" t="str">
        <f>Idiomas!$D$200&amp;"-"&amp;ROWS($L$210:L216)</f>
        <v>Cuartofinalista-7</v>
      </c>
      <c r="L216" s="53"/>
      <c r="M216" s="55" t="str">
        <f>WORLDCUP!AF133</f>
        <v>W92</v>
      </c>
      <c r="N216" s="25"/>
      <c r="O216" s="25"/>
      <c r="P216" s="25"/>
      <c r="Q216" s="25"/>
      <c r="R216" s="110"/>
      <c r="S216" s="854" t="s">
        <v>76</v>
      </c>
      <c r="T216" s="73">
        <f t="shared" si="595"/>
        <v>0</v>
      </c>
      <c r="U216" s="110"/>
      <c r="V216" s="793" t="s">
        <v>1551</v>
      </c>
      <c r="W216" s="73">
        <f t="shared" si="596"/>
        <v>0</v>
      </c>
      <c r="X216" s="110"/>
      <c r="Y216" s="798" t="s">
        <v>76</v>
      </c>
      <c r="Z216" s="73">
        <f t="shared" si="597"/>
        <v>0</v>
      </c>
      <c r="AA216" s="110"/>
      <c r="AB216" s="803" t="s">
        <v>76</v>
      </c>
      <c r="AC216" s="73">
        <f t="shared" si="598"/>
        <v>0</v>
      </c>
      <c r="AD216" s="110"/>
      <c r="AE216" s="808" t="s">
        <v>76</v>
      </c>
      <c r="AF216" s="73">
        <f t="shared" si="599"/>
        <v>0</v>
      </c>
      <c r="AG216" s="110"/>
      <c r="AH216" s="74" t="s">
        <v>76</v>
      </c>
      <c r="AI216" s="73">
        <f t="shared" si="600"/>
        <v>0</v>
      </c>
      <c r="AJ216" s="110"/>
      <c r="AK216" s="813" t="s">
        <v>76</v>
      </c>
      <c r="AL216" s="73">
        <f t="shared" si="601"/>
        <v>0</v>
      </c>
      <c r="AM216" s="110"/>
      <c r="AN216" s="818" t="s">
        <v>76</v>
      </c>
      <c r="AO216" s="73">
        <f t="shared" si="602"/>
        <v>0</v>
      </c>
      <c r="AP216" s="110"/>
      <c r="AQ216" s="823" t="s">
        <v>76</v>
      </c>
      <c r="AR216" s="73">
        <f t="shared" si="603"/>
        <v>0</v>
      </c>
      <c r="AS216" s="110"/>
      <c r="AT216" s="828" t="s">
        <v>76</v>
      </c>
      <c r="AU216" s="73">
        <f t="shared" si="604"/>
        <v>0</v>
      </c>
      <c r="AV216" s="110"/>
      <c r="AW216" s="832" t="s">
        <v>76</v>
      </c>
      <c r="AX216" s="73">
        <f t="shared" si="605"/>
        <v>0</v>
      </c>
      <c r="AY216" s="110"/>
      <c r="AZ216" s="838" t="s">
        <v>76</v>
      </c>
      <c r="BA216" s="73">
        <f t="shared" si="606"/>
        <v>0</v>
      </c>
      <c r="BB216" s="110"/>
      <c r="BC216" s="845" t="s">
        <v>76</v>
      </c>
      <c r="BD216" s="73">
        <f t="shared" si="607"/>
        <v>0</v>
      </c>
      <c r="BE216" s="110"/>
      <c r="BF216" s="849" t="s">
        <v>76</v>
      </c>
      <c r="BG216" s="73">
        <f t="shared" si="608"/>
        <v>0</v>
      </c>
      <c r="BH216" s="110"/>
      <c r="BI216" s="859" t="s">
        <v>76</v>
      </c>
      <c r="BJ216" s="73">
        <f t="shared" si="609"/>
        <v>0</v>
      </c>
      <c r="BK216" s="110"/>
      <c r="BL216" s="864" t="s">
        <v>1633</v>
      </c>
      <c r="BM216" s="73">
        <f t="shared" si="610"/>
        <v>0</v>
      </c>
      <c r="BN216" s="110"/>
      <c r="BO216" s="869" t="s">
        <v>76</v>
      </c>
      <c r="BP216" s="73">
        <f t="shared" si="611"/>
        <v>0</v>
      </c>
      <c r="BQ216" s="110"/>
      <c r="BR216" s="838" t="s">
        <v>76</v>
      </c>
      <c r="BS216" s="73">
        <f t="shared" si="612"/>
        <v>0</v>
      </c>
      <c r="BT216" s="110"/>
      <c r="BU216" s="873" t="s">
        <v>76</v>
      </c>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926"/>
      <c r="K217" s="115" t="str">
        <f>Idiomas!$D$200&amp;"-"&amp;ROWS($L$210:L217)</f>
        <v>Cuartofinalista-8</v>
      </c>
      <c r="L217" s="115"/>
      <c r="M217" s="116" t="str">
        <f>WORLDCUP!AF134</f>
        <v>W96</v>
      </c>
      <c r="N217" s="25"/>
      <c r="O217" s="25"/>
      <c r="P217" s="25"/>
      <c r="Q217" s="25"/>
      <c r="R217" s="110"/>
      <c r="S217" s="854" t="s">
        <v>79</v>
      </c>
      <c r="T217" s="81">
        <f t="shared" si="595"/>
        <v>0</v>
      </c>
      <c r="U217" s="110"/>
      <c r="V217" s="793" t="s">
        <v>79</v>
      </c>
      <c r="W217" s="81">
        <f t="shared" si="596"/>
        <v>0</v>
      </c>
      <c r="X217" s="110"/>
      <c r="Y217" s="798" t="s">
        <v>79</v>
      </c>
      <c r="Z217" s="81">
        <f t="shared" si="597"/>
        <v>0</v>
      </c>
      <c r="AA217" s="110"/>
      <c r="AB217" s="803" t="s">
        <v>79</v>
      </c>
      <c r="AC217" s="81">
        <f t="shared" si="598"/>
        <v>0</v>
      </c>
      <c r="AD217" s="110"/>
      <c r="AE217" s="808" t="s">
        <v>79</v>
      </c>
      <c r="AF217" s="81">
        <f t="shared" si="599"/>
        <v>0</v>
      </c>
      <c r="AG217" s="110"/>
      <c r="AH217" s="80" t="s">
        <v>79</v>
      </c>
      <c r="AI217" s="81">
        <f t="shared" si="600"/>
        <v>0</v>
      </c>
      <c r="AJ217" s="110"/>
      <c r="AK217" s="813" t="s">
        <v>79</v>
      </c>
      <c r="AL217" s="81">
        <f t="shared" si="601"/>
        <v>0</v>
      </c>
      <c r="AM217" s="110"/>
      <c r="AN217" s="818" t="s">
        <v>79</v>
      </c>
      <c r="AO217" s="81">
        <f t="shared" si="602"/>
        <v>0</v>
      </c>
      <c r="AP217" s="110"/>
      <c r="AQ217" s="823" t="s">
        <v>79</v>
      </c>
      <c r="AR217" s="81">
        <f t="shared" si="603"/>
        <v>0</v>
      </c>
      <c r="AS217" s="110"/>
      <c r="AT217" s="828" t="s">
        <v>79</v>
      </c>
      <c r="AU217" s="81">
        <f t="shared" si="604"/>
        <v>0</v>
      </c>
      <c r="AV217" s="110"/>
      <c r="AW217" s="832" t="s">
        <v>79</v>
      </c>
      <c r="AX217" s="81">
        <f t="shared" si="605"/>
        <v>0</v>
      </c>
      <c r="AY217" s="110"/>
      <c r="AZ217" s="838" t="s">
        <v>79</v>
      </c>
      <c r="BA217" s="81">
        <f t="shared" si="606"/>
        <v>0</v>
      </c>
      <c r="BB217" s="110"/>
      <c r="BC217" s="845" t="s">
        <v>79</v>
      </c>
      <c r="BD217" s="81">
        <f t="shared" si="607"/>
        <v>0</v>
      </c>
      <c r="BE217" s="110"/>
      <c r="BF217" s="849" t="s">
        <v>79</v>
      </c>
      <c r="BG217" s="81">
        <f t="shared" si="608"/>
        <v>0</v>
      </c>
      <c r="BH217" s="110"/>
      <c r="BI217" s="859" t="s">
        <v>79</v>
      </c>
      <c r="BJ217" s="81">
        <f t="shared" si="609"/>
        <v>0</v>
      </c>
      <c r="BK217" s="110"/>
      <c r="BL217" s="864" t="s">
        <v>79</v>
      </c>
      <c r="BM217" s="81">
        <f t="shared" si="610"/>
        <v>0</v>
      </c>
      <c r="BN217" s="110"/>
      <c r="BO217" s="869" t="s">
        <v>79</v>
      </c>
      <c r="BP217" s="81">
        <f t="shared" si="611"/>
        <v>0</v>
      </c>
      <c r="BQ217" s="110"/>
      <c r="BR217" s="838" t="s">
        <v>79</v>
      </c>
      <c r="BS217" s="81">
        <f t="shared" si="612"/>
        <v>0</v>
      </c>
      <c r="BT217" s="110"/>
      <c r="BU217" s="873" t="s">
        <v>79</v>
      </c>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50"/>
      <c r="T218" s="71">
        <f>SUM(T210:T217)</f>
        <v>0</v>
      </c>
      <c r="U218" s="49"/>
      <c r="V218" s="789"/>
      <c r="W218" s="71">
        <f t="shared" ref="W218" si="621">SUM(W210:W217)</f>
        <v>0</v>
      </c>
      <c r="X218" s="49"/>
      <c r="Y218" s="794"/>
      <c r="Z218" s="71">
        <f t="shared" ref="Z218" si="622">SUM(Z210:Z217)</f>
        <v>0</v>
      </c>
      <c r="AA218" s="49"/>
      <c r="AB218" s="799"/>
      <c r="AC218" s="71">
        <f t="shared" ref="AC218" si="623">SUM(AC210:AC217)</f>
        <v>0</v>
      </c>
      <c r="AD218" s="49"/>
      <c r="AE218" s="804"/>
      <c r="AF218" s="71">
        <f t="shared" ref="AF218" si="624">SUM(AF210:AF217)</f>
        <v>0</v>
      </c>
      <c r="AG218" s="49"/>
      <c r="AH218" s="84"/>
      <c r="AI218" s="71">
        <f t="shared" ref="AI218" si="625">SUM(AI210:AI217)</f>
        <v>0</v>
      </c>
      <c r="AJ218" s="49"/>
      <c r="AK218" s="809"/>
      <c r="AL218" s="71">
        <f t="shared" ref="AL218" si="626">SUM(AL210:AL217)</f>
        <v>0</v>
      </c>
      <c r="AM218" s="49"/>
      <c r="AN218" s="814"/>
      <c r="AO218" s="71">
        <f t="shared" ref="AO218" si="627">SUM(AO210:AO217)</f>
        <v>0</v>
      </c>
      <c r="AP218" s="49"/>
      <c r="AQ218" s="819"/>
      <c r="AR218" s="71">
        <f t="shared" ref="AR218" si="628">SUM(AR210:AR217)</f>
        <v>0</v>
      </c>
      <c r="AS218" s="49"/>
      <c r="AT218" s="824"/>
      <c r="AU218" s="71">
        <f t="shared" ref="AU218" si="629">SUM(AU210:AU217)</f>
        <v>0</v>
      </c>
      <c r="AV218" s="49"/>
      <c r="AW218" s="833"/>
      <c r="AX218" s="71">
        <f t="shared" ref="AX218" si="630">SUM(AX210:AX217)</f>
        <v>0</v>
      </c>
      <c r="AY218" s="49"/>
      <c r="AZ218" s="839"/>
      <c r="BA218" s="71">
        <f t="shared" ref="BA218" si="631">SUM(BA210:BA217)</f>
        <v>0</v>
      </c>
      <c r="BB218" s="49"/>
      <c r="BC218" s="841"/>
      <c r="BD218" s="71">
        <f t="shared" ref="BD218" si="632">SUM(BD210:BD217)</f>
        <v>0</v>
      </c>
      <c r="BE218" s="49"/>
      <c r="BF218" s="846"/>
      <c r="BG218" s="71">
        <f t="shared" ref="BG218" si="633">SUM(BG210:BG217)</f>
        <v>0</v>
      </c>
      <c r="BH218" s="49"/>
      <c r="BI218" s="855"/>
      <c r="BJ218" s="71">
        <f t="shared" ref="BJ218" si="634">SUM(BJ210:BJ217)</f>
        <v>0</v>
      </c>
      <c r="BK218" s="49"/>
      <c r="BL218" s="860"/>
      <c r="BM218" s="71">
        <f t="shared" ref="BM218" si="635">SUM(BM210:BM217)</f>
        <v>0</v>
      </c>
      <c r="BN218" s="49"/>
      <c r="BO218" s="865"/>
      <c r="BP218" s="71">
        <f t="shared" ref="BP218" si="636">SUM(BP210:BP217)</f>
        <v>0</v>
      </c>
      <c r="BQ218" s="49"/>
      <c r="BR218" s="839"/>
      <c r="BS218" s="71">
        <f t="shared" ref="BS218" si="637">SUM(BS210:BS217)</f>
        <v>0</v>
      </c>
      <c r="BT218" s="49"/>
      <c r="BU218" s="87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50"/>
      <c r="T219" s="71"/>
      <c r="U219" s="49"/>
      <c r="V219" s="789"/>
      <c r="W219" s="71"/>
      <c r="X219" s="49"/>
      <c r="Y219" s="794"/>
      <c r="Z219" s="71"/>
      <c r="AA219" s="49"/>
      <c r="AB219" s="799"/>
      <c r="AC219" s="71"/>
      <c r="AD219" s="49"/>
      <c r="AE219" s="804"/>
      <c r="AF219" s="71"/>
      <c r="AG219" s="49"/>
      <c r="AH219" s="84"/>
      <c r="AI219" s="71"/>
      <c r="AJ219" s="49"/>
      <c r="AK219" s="809"/>
      <c r="AL219" s="71"/>
      <c r="AM219" s="49"/>
      <c r="AN219" s="814"/>
      <c r="AO219" s="71"/>
      <c r="AP219" s="49"/>
      <c r="AQ219" s="819"/>
      <c r="AR219" s="71"/>
      <c r="AS219" s="49"/>
      <c r="AT219" s="824"/>
      <c r="AU219" s="71"/>
      <c r="AV219" s="49"/>
      <c r="AW219" s="833"/>
      <c r="AX219" s="71"/>
      <c r="AY219" s="49"/>
      <c r="AZ219" s="839"/>
      <c r="BA219" s="71"/>
      <c r="BB219" s="49"/>
      <c r="BC219" s="841"/>
      <c r="BD219" s="71"/>
      <c r="BE219" s="49"/>
      <c r="BF219" s="846"/>
      <c r="BG219" s="71"/>
      <c r="BH219" s="49"/>
      <c r="BI219" s="855"/>
      <c r="BJ219" s="71"/>
      <c r="BK219" s="49"/>
      <c r="BL219" s="860"/>
      <c r="BM219" s="71"/>
      <c r="BN219" s="49"/>
      <c r="BO219" s="865"/>
      <c r="BP219" s="71"/>
      <c r="BQ219" s="49"/>
      <c r="BR219" s="839"/>
      <c r="BS219" s="71"/>
      <c r="BT219" s="49"/>
      <c r="BU219" s="87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926"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854" t="s">
        <v>2353</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93" t="s">
        <v>1992</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98" t="s">
        <v>2028</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803" t="s">
        <v>2068</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808" t="s">
        <v>2104</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2134</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813" t="s">
        <v>2134</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818" t="s">
        <v>2134</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823" t="s">
        <v>2104</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828" t="s">
        <v>2134</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832" t="s">
        <v>2244</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838" t="s">
        <v>2270</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845" t="s">
        <v>2297</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849" t="s">
        <v>2163</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859" t="s">
        <v>2134</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864" t="s">
        <v>2399</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869" t="s">
        <v>2134</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838" t="s">
        <v>2436</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873" t="s">
        <v>2134</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926"/>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854" t="s">
        <v>2354</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93" t="s">
        <v>1993</v>
      </c>
      <c r="W221" s="77">
        <f t="shared" si="647"/>
        <v>0</v>
      </c>
      <c r="X221" s="110"/>
      <c r="Y221" s="798" t="s">
        <v>2029</v>
      </c>
      <c r="Z221" s="77">
        <f t="shared" si="647"/>
        <v>0</v>
      </c>
      <c r="AA221" s="110"/>
      <c r="AB221" s="803" t="s">
        <v>2069</v>
      </c>
      <c r="AC221" s="77">
        <f t="shared" si="647"/>
        <v>0</v>
      </c>
      <c r="AD221" s="110"/>
      <c r="AE221" s="808" t="s">
        <v>2105</v>
      </c>
      <c r="AF221" s="77">
        <f t="shared" si="647"/>
        <v>0</v>
      </c>
      <c r="AG221" s="110"/>
      <c r="AH221" s="74" t="s">
        <v>2135</v>
      </c>
      <c r="AI221" s="77">
        <f t="shared" si="647"/>
        <v>0</v>
      </c>
      <c r="AJ221" s="110"/>
      <c r="AK221" s="813" t="s">
        <v>2160</v>
      </c>
      <c r="AL221" s="77">
        <f t="shared" si="647"/>
        <v>0</v>
      </c>
      <c r="AM221" s="110"/>
      <c r="AN221" s="818" t="s">
        <v>2182</v>
      </c>
      <c r="AO221" s="77">
        <f t="shared" si="647"/>
        <v>0</v>
      </c>
      <c r="AP221" s="110"/>
      <c r="AQ221" s="823" t="s">
        <v>2029</v>
      </c>
      <c r="AR221" s="77">
        <f t="shared" si="647"/>
        <v>0</v>
      </c>
      <c r="AS221" s="110"/>
      <c r="AT221" s="828" t="s">
        <v>2029</v>
      </c>
      <c r="AU221" s="77">
        <f t="shared" si="647"/>
        <v>0</v>
      </c>
      <c r="AV221" s="110"/>
      <c r="AW221" s="832" t="s">
        <v>2245</v>
      </c>
      <c r="AX221" s="77">
        <f t="shared" si="647"/>
        <v>0</v>
      </c>
      <c r="AY221" s="110"/>
      <c r="AZ221" s="838" t="s">
        <v>2160</v>
      </c>
      <c r="BA221" s="77">
        <f t="shared" si="647"/>
        <v>0</v>
      </c>
      <c r="BB221" s="110"/>
      <c r="BC221" s="845" t="s">
        <v>2298</v>
      </c>
      <c r="BD221" s="77">
        <f t="shared" si="647"/>
        <v>0</v>
      </c>
      <c r="BE221" s="110"/>
      <c r="BF221" s="849" t="s">
        <v>2069</v>
      </c>
      <c r="BG221" s="77">
        <f t="shared" si="647"/>
        <v>0</v>
      </c>
      <c r="BH221" s="110"/>
      <c r="BI221" s="859" t="s">
        <v>2069</v>
      </c>
      <c r="BJ221" s="77">
        <f t="shared" si="647"/>
        <v>0</v>
      </c>
      <c r="BK221" s="110"/>
      <c r="BL221" s="864" t="s">
        <v>2354</v>
      </c>
      <c r="BM221" s="77">
        <f t="shared" si="647"/>
        <v>0</v>
      </c>
      <c r="BN221" s="110"/>
      <c r="BO221" s="869" t="s">
        <v>2029</v>
      </c>
      <c r="BP221" s="77">
        <f t="shared" si="647"/>
        <v>0</v>
      </c>
      <c r="BQ221" s="110"/>
      <c r="BR221" s="838" t="s">
        <v>2160</v>
      </c>
      <c r="BS221" s="77">
        <f t="shared" si="647"/>
        <v>0</v>
      </c>
      <c r="BT221" s="110"/>
      <c r="BU221" s="873" t="s">
        <v>2245</v>
      </c>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926"/>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854" t="s">
        <v>2355</v>
      </c>
      <c r="T222" s="77">
        <f t="shared" si="672"/>
        <v>0</v>
      </c>
      <c r="U222" s="110"/>
      <c r="V222" s="793" t="s">
        <v>1994</v>
      </c>
      <c r="W222" s="77">
        <f t="shared" si="647"/>
        <v>0</v>
      </c>
      <c r="X222" s="110"/>
      <c r="Y222" s="798" t="s">
        <v>2030</v>
      </c>
      <c r="Z222" s="77">
        <f t="shared" si="647"/>
        <v>0</v>
      </c>
      <c r="AA222" s="110"/>
      <c r="AB222" s="803" t="s">
        <v>2070</v>
      </c>
      <c r="AC222" s="77">
        <f t="shared" si="647"/>
        <v>0</v>
      </c>
      <c r="AD222" s="110"/>
      <c r="AE222" s="808" t="s">
        <v>2106</v>
      </c>
      <c r="AF222" s="77">
        <f t="shared" si="647"/>
        <v>0</v>
      </c>
      <c r="AG222" s="110"/>
      <c r="AH222" s="74" t="s">
        <v>2106</v>
      </c>
      <c r="AI222" s="77">
        <f t="shared" si="647"/>
        <v>0</v>
      </c>
      <c r="AJ222" s="110"/>
      <c r="AK222" s="813" t="s">
        <v>2106</v>
      </c>
      <c r="AL222" s="77">
        <f t="shared" si="647"/>
        <v>0</v>
      </c>
      <c r="AM222" s="110"/>
      <c r="AN222" s="818" t="s">
        <v>2183</v>
      </c>
      <c r="AO222" s="77">
        <f t="shared" si="647"/>
        <v>0</v>
      </c>
      <c r="AP222" s="110"/>
      <c r="AQ222" s="823" t="s">
        <v>2030</v>
      </c>
      <c r="AR222" s="77">
        <f t="shared" si="647"/>
        <v>0</v>
      </c>
      <c r="AS222" s="110"/>
      <c r="AT222" s="828" t="s">
        <v>2222</v>
      </c>
      <c r="AU222" s="77">
        <f t="shared" si="647"/>
        <v>0</v>
      </c>
      <c r="AV222" s="110"/>
      <c r="AW222" s="832" t="s">
        <v>2246</v>
      </c>
      <c r="AX222" s="77">
        <f t="shared" si="647"/>
        <v>0</v>
      </c>
      <c r="AY222" s="110"/>
      <c r="AZ222" s="838" t="s">
        <v>2222</v>
      </c>
      <c r="BA222" s="77">
        <f t="shared" si="647"/>
        <v>0</v>
      </c>
      <c r="BB222" s="110"/>
      <c r="BC222" s="845" t="s">
        <v>2106</v>
      </c>
      <c r="BD222" s="77">
        <f t="shared" si="647"/>
        <v>0</v>
      </c>
      <c r="BE222" s="110"/>
      <c r="BF222" s="849" t="s">
        <v>2329</v>
      </c>
      <c r="BG222" s="77">
        <f t="shared" si="647"/>
        <v>0</v>
      </c>
      <c r="BH222" s="110"/>
      <c r="BI222" s="859" t="s">
        <v>2106</v>
      </c>
      <c r="BJ222" s="77">
        <f t="shared" si="647"/>
        <v>0</v>
      </c>
      <c r="BK222" s="110"/>
      <c r="BL222" s="864" t="s">
        <v>2400</v>
      </c>
      <c r="BM222" s="77">
        <f t="shared" si="647"/>
        <v>0</v>
      </c>
      <c r="BN222" s="110"/>
      <c r="BO222" s="869" t="s">
        <v>2106</v>
      </c>
      <c r="BP222" s="77">
        <f t="shared" si="647"/>
        <v>0</v>
      </c>
      <c r="BQ222" s="110"/>
      <c r="BR222" s="838" t="s">
        <v>2106</v>
      </c>
      <c r="BS222" s="77">
        <f t="shared" si="647"/>
        <v>0</v>
      </c>
      <c r="BT222" s="110"/>
      <c r="BU222" s="873" t="s">
        <v>2106</v>
      </c>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926"/>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54" t="s">
        <v>2271</v>
      </c>
      <c r="T223" s="81">
        <f t="shared" si="672"/>
        <v>0</v>
      </c>
      <c r="U223" s="110"/>
      <c r="V223" s="793" t="s">
        <v>1995</v>
      </c>
      <c r="W223" s="81">
        <f t="shared" si="647"/>
        <v>0</v>
      </c>
      <c r="X223" s="110"/>
      <c r="Y223" s="798" t="s">
        <v>2031</v>
      </c>
      <c r="Z223" s="81">
        <f t="shared" si="647"/>
        <v>0</v>
      </c>
      <c r="AA223" s="110"/>
      <c r="AB223" s="803" t="s">
        <v>2071</v>
      </c>
      <c r="AC223" s="81">
        <f t="shared" si="647"/>
        <v>0</v>
      </c>
      <c r="AD223" s="110"/>
      <c r="AE223" s="808" t="s">
        <v>2107</v>
      </c>
      <c r="AF223" s="81">
        <f t="shared" si="647"/>
        <v>0</v>
      </c>
      <c r="AG223" s="110"/>
      <c r="AH223" s="80" t="s">
        <v>2136</v>
      </c>
      <c r="AI223" s="81">
        <f t="shared" si="647"/>
        <v>0</v>
      </c>
      <c r="AJ223" s="110"/>
      <c r="AK223" s="813" t="s">
        <v>2161</v>
      </c>
      <c r="AL223" s="81">
        <f t="shared" si="647"/>
        <v>0</v>
      </c>
      <c r="AM223" s="110"/>
      <c r="AN223" s="818" t="s">
        <v>2136</v>
      </c>
      <c r="AO223" s="81">
        <f t="shared" si="647"/>
        <v>0</v>
      </c>
      <c r="AP223" s="110"/>
      <c r="AQ223" s="823" t="s">
        <v>2161</v>
      </c>
      <c r="AR223" s="81">
        <f t="shared" si="647"/>
        <v>0</v>
      </c>
      <c r="AS223" s="110"/>
      <c r="AT223" s="828" t="s">
        <v>2161</v>
      </c>
      <c r="AU223" s="81">
        <f t="shared" si="647"/>
        <v>0</v>
      </c>
      <c r="AV223" s="110"/>
      <c r="AW223" s="832" t="s">
        <v>2031</v>
      </c>
      <c r="AX223" s="81">
        <f t="shared" si="647"/>
        <v>0</v>
      </c>
      <c r="AY223" s="110"/>
      <c r="AZ223" s="838" t="s">
        <v>2271</v>
      </c>
      <c r="BA223" s="81">
        <f t="shared" si="647"/>
        <v>0</v>
      </c>
      <c r="BB223" s="110"/>
      <c r="BC223" s="845" t="s">
        <v>2299</v>
      </c>
      <c r="BD223" s="81">
        <f t="shared" si="647"/>
        <v>0</v>
      </c>
      <c r="BE223" s="110"/>
      <c r="BF223" s="849" t="s">
        <v>2330</v>
      </c>
      <c r="BG223" s="81">
        <f t="shared" si="647"/>
        <v>0</v>
      </c>
      <c r="BH223" s="110"/>
      <c r="BI223" s="859" t="s">
        <v>2071</v>
      </c>
      <c r="BJ223" s="81">
        <f t="shared" si="647"/>
        <v>0</v>
      </c>
      <c r="BK223" s="110"/>
      <c r="BL223" s="864" t="s">
        <v>2271</v>
      </c>
      <c r="BM223" s="81">
        <f t="shared" si="647"/>
        <v>0</v>
      </c>
      <c r="BN223" s="110"/>
      <c r="BO223" s="869" t="s">
        <v>2071</v>
      </c>
      <c r="BP223" s="81">
        <f t="shared" si="647"/>
        <v>0</v>
      </c>
      <c r="BQ223" s="110"/>
      <c r="BR223" s="838" t="s">
        <v>2136</v>
      </c>
      <c r="BS223" s="81">
        <f t="shared" si="647"/>
        <v>0</v>
      </c>
      <c r="BT223" s="110"/>
      <c r="BU223" s="873" t="s">
        <v>2136</v>
      </c>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50"/>
      <c r="T224" s="71">
        <f>SUM(T220:T223)</f>
        <v>0</v>
      </c>
      <c r="U224" s="65"/>
      <c r="V224" s="789"/>
      <c r="W224" s="71">
        <f t="shared" ref="W224" si="673">SUM(W220:W223)</f>
        <v>0</v>
      </c>
      <c r="X224" s="65"/>
      <c r="Y224" s="794"/>
      <c r="Z224" s="71">
        <f t="shared" ref="Z224" si="674">SUM(Z220:Z223)</f>
        <v>0</v>
      </c>
      <c r="AA224" s="65"/>
      <c r="AB224" s="799"/>
      <c r="AC224" s="71">
        <f t="shared" ref="AC224" si="675">SUM(AC220:AC223)</f>
        <v>0</v>
      </c>
      <c r="AD224" s="65"/>
      <c r="AE224" s="804"/>
      <c r="AF224" s="71">
        <f t="shared" ref="AF224" si="676">SUM(AF220:AF223)</f>
        <v>0</v>
      </c>
      <c r="AG224" s="65"/>
      <c r="AH224" s="84"/>
      <c r="AI224" s="71">
        <f t="shared" ref="AI224" si="677">SUM(AI220:AI223)</f>
        <v>0</v>
      </c>
      <c r="AJ224" s="65"/>
      <c r="AK224" s="809"/>
      <c r="AL224" s="71">
        <f t="shared" ref="AL224" si="678">SUM(AL220:AL223)</f>
        <v>0</v>
      </c>
      <c r="AM224" s="65"/>
      <c r="AN224" s="814"/>
      <c r="AO224" s="71">
        <f t="shared" ref="AO224" si="679">SUM(AO220:AO223)</f>
        <v>0</v>
      </c>
      <c r="AP224" s="65"/>
      <c r="AQ224" s="819"/>
      <c r="AR224" s="71">
        <f t="shared" ref="AR224" si="680">SUM(AR220:AR223)</f>
        <v>0</v>
      </c>
      <c r="AS224" s="65"/>
      <c r="AT224" s="824"/>
      <c r="AU224" s="71">
        <f t="shared" ref="AU224" si="681">SUM(AU220:AU223)</f>
        <v>0</v>
      </c>
      <c r="AV224" s="65"/>
      <c r="AW224" s="833"/>
      <c r="AX224" s="71">
        <f t="shared" ref="AX224" si="682">SUM(AX220:AX223)</f>
        <v>0</v>
      </c>
      <c r="AY224" s="65"/>
      <c r="AZ224" s="839"/>
      <c r="BA224" s="71">
        <f t="shared" ref="BA224" si="683">SUM(BA220:BA223)</f>
        <v>0</v>
      </c>
      <c r="BB224" s="65"/>
      <c r="BC224" s="841"/>
      <c r="BD224" s="71">
        <f t="shared" ref="BD224" si="684">SUM(BD220:BD223)</f>
        <v>0</v>
      </c>
      <c r="BE224" s="65"/>
      <c r="BF224" s="846"/>
      <c r="BG224" s="71">
        <f t="shared" ref="BG224" si="685">SUM(BG220:BG223)</f>
        <v>0</v>
      </c>
      <c r="BH224" s="65"/>
      <c r="BI224" s="855"/>
      <c r="BJ224" s="71">
        <f t="shared" ref="BJ224" si="686">SUM(BJ220:BJ223)</f>
        <v>0</v>
      </c>
      <c r="BK224" s="65"/>
      <c r="BL224" s="860"/>
      <c r="BM224" s="71">
        <f t="shared" ref="BM224" si="687">SUM(BM220:BM223)</f>
        <v>0</v>
      </c>
      <c r="BN224" s="65"/>
      <c r="BO224" s="865"/>
      <c r="BP224" s="71">
        <f t="shared" ref="BP224" si="688">SUM(BP220:BP223)</f>
        <v>0</v>
      </c>
      <c r="BQ224" s="65"/>
      <c r="BR224" s="839"/>
      <c r="BS224" s="71">
        <f t="shared" ref="BS224" si="689">SUM(BS220:BS223)</f>
        <v>0</v>
      </c>
      <c r="BT224" s="65"/>
      <c r="BU224" s="87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50"/>
      <c r="T225" s="71"/>
      <c r="U225" s="65"/>
      <c r="V225" s="789"/>
      <c r="W225" s="71"/>
      <c r="X225" s="65"/>
      <c r="Y225" s="794"/>
      <c r="Z225" s="71"/>
      <c r="AA225" s="65"/>
      <c r="AB225" s="799"/>
      <c r="AC225" s="71"/>
      <c r="AD225" s="65"/>
      <c r="AE225" s="804"/>
      <c r="AF225" s="71"/>
      <c r="AG225" s="65"/>
      <c r="AH225" s="84"/>
      <c r="AI225" s="71"/>
      <c r="AJ225" s="65"/>
      <c r="AK225" s="809"/>
      <c r="AL225" s="71"/>
      <c r="AM225" s="65"/>
      <c r="AN225" s="814"/>
      <c r="AO225" s="71"/>
      <c r="AP225" s="65"/>
      <c r="AQ225" s="819"/>
      <c r="AR225" s="71"/>
      <c r="AS225" s="65"/>
      <c r="AT225" s="824"/>
      <c r="AU225" s="71"/>
      <c r="AV225" s="65"/>
      <c r="AW225" s="833"/>
      <c r="AX225" s="71"/>
      <c r="AY225" s="65"/>
      <c r="AZ225" s="839"/>
      <c r="BA225" s="71"/>
      <c r="BB225" s="65"/>
      <c r="BC225" s="841"/>
      <c r="BD225" s="71"/>
      <c r="BE225" s="65"/>
      <c r="BF225" s="846"/>
      <c r="BG225" s="71"/>
      <c r="BH225" s="65"/>
      <c r="BI225" s="855"/>
      <c r="BJ225" s="71"/>
      <c r="BK225" s="65"/>
      <c r="BL225" s="860"/>
      <c r="BM225" s="71"/>
      <c r="BN225" s="65"/>
      <c r="BO225" s="865"/>
      <c r="BP225" s="71"/>
      <c r="BQ225" s="65"/>
      <c r="BR225" s="839"/>
      <c r="BS225" s="71"/>
      <c r="BT225" s="65"/>
      <c r="BU225" s="87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926" t="s">
        <v>35</v>
      </c>
      <c r="K226" s="53" t="str">
        <f>Idiomas!$D$201&amp;"-"&amp;ROWS($L$226:L226)</f>
        <v>Semifinalista-1</v>
      </c>
      <c r="L226" s="53"/>
      <c r="M226" s="55" t="str">
        <f>WORLDCUP!AA138</f>
        <v>W97</v>
      </c>
      <c r="N226" s="25"/>
      <c r="O226" s="25"/>
      <c r="P226" s="25"/>
      <c r="Q226" s="25"/>
      <c r="R226" s="110"/>
      <c r="S226" s="854" t="s">
        <v>1321</v>
      </c>
      <c r="T226" s="77">
        <f>COUNTIF($M$226:$M$229,S226)*$D$27</f>
        <v>0</v>
      </c>
      <c r="U226" s="64"/>
      <c r="V226" s="793" t="s">
        <v>74</v>
      </c>
      <c r="W226" s="77">
        <f t="shared" ref="W226" si="697">COUNTIF($M$226:$M$229,V226)*$D$27</f>
        <v>0</v>
      </c>
      <c r="X226" s="64"/>
      <c r="Y226" s="798" t="s">
        <v>1263</v>
      </c>
      <c r="Z226" s="77">
        <f t="shared" ref="Z226" si="698">COUNTIF($M$226:$M$229,Y226)*$D$27</f>
        <v>0</v>
      </c>
      <c r="AA226" s="64"/>
      <c r="AB226" s="803" t="s">
        <v>135</v>
      </c>
      <c r="AC226" s="77">
        <f t="shared" ref="AC226" si="699">COUNTIF($M$226:$M$229,AB226)*$D$27</f>
        <v>0</v>
      </c>
      <c r="AD226" s="64"/>
      <c r="AE226" s="808" t="s">
        <v>74</v>
      </c>
      <c r="AF226" s="77">
        <f t="shared" ref="AF226" si="700">COUNTIF($M$226:$M$229,AE226)*$D$27</f>
        <v>0</v>
      </c>
      <c r="AG226" s="64"/>
      <c r="AH226" s="76" t="s">
        <v>74</v>
      </c>
      <c r="AI226" s="77">
        <f t="shared" ref="AI226" si="701">COUNTIF($M$226:$M$229,AH226)*$D$27</f>
        <v>0</v>
      </c>
      <c r="AJ226" s="64"/>
      <c r="AK226" s="813" t="s">
        <v>74</v>
      </c>
      <c r="AL226" s="77">
        <f t="shared" ref="AL226" si="702">COUNTIF($M$226:$M$229,AK226)*$D$27</f>
        <v>0</v>
      </c>
      <c r="AM226" s="64"/>
      <c r="AN226" s="818" t="s">
        <v>74</v>
      </c>
      <c r="AO226" s="77">
        <f t="shared" ref="AO226" si="703">COUNTIF($M$226:$M$229,AN226)*$D$27</f>
        <v>0</v>
      </c>
      <c r="AP226" s="64"/>
      <c r="AQ226" s="823" t="s">
        <v>74</v>
      </c>
      <c r="AR226" s="77">
        <f t="shared" ref="AR226" si="704">COUNTIF($M$226:$M$229,AQ226)*$D$27</f>
        <v>0</v>
      </c>
      <c r="AS226" s="64"/>
      <c r="AT226" s="828" t="s">
        <v>74</v>
      </c>
      <c r="AU226" s="77">
        <f t="shared" ref="AU226" si="705">COUNTIF($M$226:$M$229,AT226)*$D$27</f>
        <v>0</v>
      </c>
      <c r="AV226" s="64"/>
      <c r="AW226" s="832" t="s">
        <v>111</v>
      </c>
      <c r="AX226" s="77">
        <f t="shared" ref="AX226" si="706">COUNTIF($M$226:$M$229,AW226)*$D$27</f>
        <v>0</v>
      </c>
      <c r="AY226" s="64"/>
      <c r="AZ226" s="838" t="s">
        <v>74</v>
      </c>
      <c r="BA226" s="77">
        <f t="shared" ref="BA226" si="707">COUNTIF($M$226:$M$229,AZ226)*$D$27</f>
        <v>0</v>
      </c>
      <c r="BB226" s="64"/>
      <c r="BC226" s="845" t="s">
        <v>74</v>
      </c>
      <c r="BD226" s="77">
        <f t="shared" ref="BD226" si="708">COUNTIF($M$226:$M$229,BC226)*$D$27</f>
        <v>0</v>
      </c>
      <c r="BE226" s="64"/>
      <c r="BF226" s="849" t="s">
        <v>1258</v>
      </c>
      <c r="BG226" s="77">
        <f t="shared" ref="BG226" si="709">COUNTIF($M$226:$M$229,BF226)*$D$27</f>
        <v>0</v>
      </c>
      <c r="BH226" s="64"/>
      <c r="BI226" s="859" t="s">
        <v>74</v>
      </c>
      <c r="BJ226" s="77">
        <f t="shared" ref="BJ226" si="710">COUNTIF($M$226:$M$229,BI226)*$D$27</f>
        <v>0</v>
      </c>
      <c r="BK226" s="64"/>
      <c r="BL226" s="864" t="s">
        <v>1321</v>
      </c>
      <c r="BM226" s="77">
        <f t="shared" ref="BM226" si="711">COUNTIF($M$226:$M$229,BL226)*$D$27</f>
        <v>0</v>
      </c>
      <c r="BN226" s="64"/>
      <c r="BO226" s="869" t="s">
        <v>74</v>
      </c>
      <c r="BP226" s="77">
        <f t="shared" ref="BP226" si="712">COUNTIF($M$226:$M$229,BO226)*$D$27</f>
        <v>0</v>
      </c>
      <c r="BQ226" s="64"/>
      <c r="BR226" s="838" t="s">
        <v>74</v>
      </c>
      <c r="BS226" s="77">
        <f t="shared" ref="BS226" si="713">COUNTIF($M$226:$M$229,BR226)*$D$27</f>
        <v>0</v>
      </c>
      <c r="BT226" s="64"/>
      <c r="BU226" s="873" t="s">
        <v>74</v>
      </c>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926"/>
      <c r="K227" s="56" t="str">
        <f>Idiomas!$D$201&amp;"-"&amp;ROWS($L$226:L227)</f>
        <v>Semifinalista-2</v>
      </c>
      <c r="L227" s="53"/>
      <c r="M227" s="55" t="str">
        <f>WORLDCUP!AA139</f>
        <v>W99</v>
      </c>
      <c r="N227" s="25"/>
      <c r="O227" s="25"/>
      <c r="P227" s="25"/>
      <c r="Q227" s="25"/>
      <c r="R227" s="110"/>
      <c r="S227" s="854" t="s">
        <v>76</v>
      </c>
      <c r="T227" s="73">
        <f>COUNTIF($M$226:$M$229,S227)*$D$27</f>
        <v>0</v>
      </c>
      <c r="U227" s="64"/>
      <c r="V227" s="793" t="s">
        <v>1258</v>
      </c>
      <c r="W227" s="73">
        <f t="shared" ref="W227" si="722">COUNTIF($M$226:$M$229,V227)*$D$27</f>
        <v>0</v>
      </c>
      <c r="X227" s="64"/>
      <c r="Y227" s="798" t="s">
        <v>76</v>
      </c>
      <c r="Z227" s="73">
        <f t="shared" ref="Z227" si="723">COUNTIF($M$226:$M$229,Y227)*$D$27</f>
        <v>0</v>
      </c>
      <c r="AA227" s="64"/>
      <c r="AB227" s="803" t="s">
        <v>74</v>
      </c>
      <c r="AC227" s="73">
        <f t="shared" ref="AC227" si="724">COUNTIF($M$226:$M$229,AB227)*$D$27</f>
        <v>0</v>
      </c>
      <c r="AD227" s="64"/>
      <c r="AE227" s="808" t="s">
        <v>1258</v>
      </c>
      <c r="AF227" s="73">
        <f t="shared" ref="AF227" si="725">COUNTIF($M$226:$M$229,AE227)*$D$27</f>
        <v>0</v>
      </c>
      <c r="AG227" s="64"/>
      <c r="AH227" s="74" t="s">
        <v>1258</v>
      </c>
      <c r="AI227" s="73">
        <f t="shared" ref="AI227" si="726">COUNTIF($M$226:$M$229,AH227)*$D$27</f>
        <v>0</v>
      </c>
      <c r="AJ227" s="64"/>
      <c r="AK227" s="813" t="s">
        <v>1258</v>
      </c>
      <c r="AL227" s="73">
        <f t="shared" ref="AL227" si="727">COUNTIF($M$226:$M$229,AK227)*$D$27</f>
        <v>0</v>
      </c>
      <c r="AM227" s="64"/>
      <c r="AN227" s="818" t="s">
        <v>1258</v>
      </c>
      <c r="AO227" s="73">
        <f t="shared" ref="AO227" si="728">COUNTIF($M$226:$M$229,AN227)*$D$27</f>
        <v>0</v>
      </c>
      <c r="AP227" s="64"/>
      <c r="AQ227" s="823" t="s">
        <v>76</v>
      </c>
      <c r="AR227" s="73">
        <f t="shared" ref="AR227" si="729">COUNTIF($M$226:$M$229,AQ227)*$D$27</f>
        <v>0</v>
      </c>
      <c r="AS227" s="64"/>
      <c r="AT227" s="828" t="s">
        <v>76</v>
      </c>
      <c r="AU227" s="73">
        <f t="shared" ref="AU227" si="730">COUNTIF($M$226:$M$229,AT227)*$D$27</f>
        <v>0</v>
      </c>
      <c r="AV227" s="64"/>
      <c r="AW227" s="832" t="s">
        <v>74</v>
      </c>
      <c r="AX227" s="73">
        <f t="shared" ref="AX227" si="731">COUNTIF($M$226:$M$229,AW227)*$D$27</f>
        <v>0</v>
      </c>
      <c r="AY227" s="64"/>
      <c r="AZ227" s="838" t="s">
        <v>76</v>
      </c>
      <c r="BA227" s="73">
        <f t="shared" ref="BA227" si="732">COUNTIF($M$226:$M$229,AZ227)*$D$27</f>
        <v>0</v>
      </c>
      <c r="BB227" s="64"/>
      <c r="BC227" s="845" t="s">
        <v>1258</v>
      </c>
      <c r="BD227" s="73">
        <f t="shared" ref="BD227" si="733">COUNTIF($M$226:$M$229,BC227)*$D$27</f>
        <v>0</v>
      </c>
      <c r="BE227" s="64"/>
      <c r="BF227" s="849" t="s">
        <v>135</v>
      </c>
      <c r="BG227" s="73">
        <f t="shared" ref="BG227" si="734">COUNTIF($M$226:$M$229,BF227)*$D$27</f>
        <v>0</v>
      </c>
      <c r="BH227" s="64"/>
      <c r="BI227" s="859" t="s">
        <v>1258</v>
      </c>
      <c r="BJ227" s="73">
        <f t="shared" ref="BJ227" si="735">COUNTIF($M$226:$M$229,BI227)*$D$27</f>
        <v>0</v>
      </c>
      <c r="BK227" s="64"/>
      <c r="BL227" s="864" t="s">
        <v>1258</v>
      </c>
      <c r="BM227" s="73">
        <f t="shared" ref="BM227" si="736">COUNTIF($M$226:$M$229,BL227)*$D$27</f>
        <v>0</v>
      </c>
      <c r="BN227" s="64"/>
      <c r="BO227" s="869" t="s">
        <v>1258</v>
      </c>
      <c r="BP227" s="73">
        <f t="shared" ref="BP227" si="737">COUNTIF($M$226:$M$229,BO227)*$D$27</f>
        <v>0</v>
      </c>
      <c r="BQ227" s="64"/>
      <c r="BR227" s="838" t="s">
        <v>1258</v>
      </c>
      <c r="BS227" s="73">
        <f t="shared" ref="BS227" si="738">COUNTIF($M$226:$M$229,BR227)*$D$27</f>
        <v>0</v>
      </c>
      <c r="BT227" s="64"/>
      <c r="BU227" s="873" t="s">
        <v>1258</v>
      </c>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926"/>
      <c r="K228" s="56" t="str">
        <f>Idiomas!$D$201&amp;"-"&amp;ROWS($L$226:L228)</f>
        <v>Semifinalista-3</v>
      </c>
      <c r="L228" s="53"/>
      <c r="M228" s="55" t="str">
        <f>WORLDCUP!AF138</f>
        <v>W98</v>
      </c>
      <c r="N228" s="25"/>
      <c r="O228" s="25"/>
      <c r="P228" s="25"/>
      <c r="Q228" s="25"/>
      <c r="R228" s="110"/>
      <c r="S228" s="854" t="s">
        <v>38</v>
      </c>
      <c r="T228" s="73">
        <f>COUNTIF($M$226:$M$229,S228)*$D$27</f>
        <v>0</v>
      </c>
      <c r="U228" s="64"/>
      <c r="V228" s="793" t="s">
        <v>1318</v>
      </c>
      <c r="W228" s="73">
        <f t="shared" ref="W228" si="746">COUNTIF($M$226:$M$229,V228)*$D$27</f>
        <v>0</v>
      </c>
      <c r="X228" s="64"/>
      <c r="Y228" s="798" t="s">
        <v>38</v>
      </c>
      <c r="Z228" s="73">
        <f t="shared" ref="Z228" si="747">COUNTIF($M$226:$M$229,Y228)*$D$27</f>
        <v>0</v>
      </c>
      <c r="AA228" s="64"/>
      <c r="AB228" s="803" t="s">
        <v>38</v>
      </c>
      <c r="AC228" s="73">
        <f t="shared" ref="AC228" si="748">COUNTIF($M$226:$M$229,AB228)*$D$27</f>
        <v>0</v>
      </c>
      <c r="AD228" s="64"/>
      <c r="AE228" s="808" t="s">
        <v>1835</v>
      </c>
      <c r="AF228" s="73">
        <f t="shared" ref="AF228" si="749">COUNTIF($M$226:$M$229,AE228)*$D$27</f>
        <v>0</v>
      </c>
      <c r="AG228" s="64"/>
      <c r="AH228" s="74" t="s">
        <v>38</v>
      </c>
      <c r="AI228" s="73">
        <f t="shared" ref="AI228" si="750">COUNTIF($M$226:$M$229,AH228)*$D$27</f>
        <v>0</v>
      </c>
      <c r="AJ228" s="64"/>
      <c r="AK228" s="813" t="s">
        <v>38</v>
      </c>
      <c r="AL228" s="73">
        <f t="shared" ref="AL228" si="751">COUNTIF($M$226:$M$229,AK228)*$D$27</f>
        <v>0</v>
      </c>
      <c r="AM228" s="64"/>
      <c r="AN228" s="818" t="s">
        <v>38</v>
      </c>
      <c r="AO228" s="73">
        <f t="shared" ref="AO228" si="752">COUNTIF($M$226:$M$229,AN228)*$D$27</f>
        <v>0</v>
      </c>
      <c r="AP228" s="64"/>
      <c r="AQ228" s="823" t="s">
        <v>38</v>
      </c>
      <c r="AR228" s="73">
        <f t="shared" ref="AR228" si="753">COUNTIF($M$226:$M$229,AQ228)*$D$27</f>
        <v>0</v>
      </c>
      <c r="AS228" s="64"/>
      <c r="AT228" s="828" t="s">
        <v>38</v>
      </c>
      <c r="AU228" s="73">
        <f t="shared" ref="AU228" si="754">COUNTIF($M$226:$M$229,AT228)*$D$27</f>
        <v>0</v>
      </c>
      <c r="AV228" s="64"/>
      <c r="AW228" s="832" t="s">
        <v>38</v>
      </c>
      <c r="AX228" s="73">
        <f t="shared" ref="AX228" si="755">COUNTIF($M$226:$M$229,AW228)*$D$27</f>
        <v>0</v>
      </c>
      <c r="AY228" s="64"/>
      <c r="AZ228" s="838" t="s">
        <v>38</v>
      </c>
      <c r="BA228" s="73">
        <f t="shared" ref="BA228" si="756">COUNTIF($M$226:$M$229,AZ228)*$D$27</f>
        <v>0</v>
      </c>
      <c r="BB228" s="64"/>
      <c r="BC228" s="845" t="s">
        <v>78</v>
      </c>
      <c r="BD228" s="73">
        <f t="shared" ref="BD228" si="757">COUNTIF($M$226:$M$229,BC228)*$D$27</f>
        <v>0</v>
      </c>
      <c r="BE228" s="64"/>
      <c r="BF228" s="849" t="s">
        <v>38</v>
      </c>
      <c r="BG228" s="73">
        <f t="shared" ref="BG228" si="758">COUNTIF($M$226:$M$229,BF228)*$D$27</f>
        <v>0</v>
      </c>
      <c r="BH228" s="64"/>
      <c r="BI228" s="859" t="s">
        <v>38</v>
      </c>
      <c r="BJ228" s="73">
        <f t="shared" ref="BJ228" si="759">COUNTIF($M$226:$M$229,BI228)*$D$27</f>
        <v>0</v>
      </c>
      <c r="BK228" s="64"/>
      <c r="BL228" s="864" t="s">
        <v>38</v>
      </c>
      <c r="BM228" s="73">
        <f t="shared" ref="BM228" si="760">COUNTIF($M$226:$M$229,BL228)*$D$27</f>
        <v>0</v>
      </c>
      <c r="BN228" s="64"/>
      <c r="BO228" s="869" t="s">
        <v>38</v>
      </c>
      <c r="BP228" s="73">
        <f t="shared" ref="BP228" si="761">COUNTIF($M$226:$M$229,BO228)*$D$27</f>
        <v>0</v>
      </c>
      <c r="BQ228" s="64"/>
      <c r="BR228" s="838" t="s">
        <v>38</v>
      </c>
      <c r="BS228" s="73">
        <f t="shared" ref="BS228" si="762">COUNTIF($M$226:$M$229,BR228)*$D$27</f>
        <v>0</v>
      </c>
      <c r="BT228" s="64"/>
      <c r="BU228" s="873" t="s">
        <v>38</v>
      </c>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926"/>
      <c r="K229" s="56" t="str">
        <f>Idiomas!$D$201&amp;"-"&amp;ROWS($L$226:L229)</f>
        <v>Semifinalista-4</v>
      </c>
      <c r="L229" s="53"/>
      <c r="M229" s="55" t="str">
        <f>WORLDCUP!AF139</f>
        <v>W100</v>
      </c>
      <c r="N229" s="25"/>
      <c r="O229" s="25"/>
      <c r="P229" s="25"/>
      <c r="Q229" s="25"/>
      <c r="R229" s="110"/>
      <c r="S229" s="854" t="s">
        <v>79</v>
      </c>
      <c r="T229" s="81">
        <f>COUNTIF($M$226:$M$229,S229)*$D$27</f>
        <v>0</v>
      </c>
      <c r="U229" s="64"/>
      <c r="V229" s="793" t="s">
        <v>1256</v>
      </c>
      <c r="W229" s="81">
        <f t="shared" ref="W229" si="770">COUNTIF($M$226:$M$229,V229)*$D$27</f>
        <v>0</v>
      </c>
      <c r="X229" s="64"/>
      <c r="Y229" s="798" t="s">
        <v>79</v>
      </c>
      <c r="Z229" s="81">
        <f t="shared" ref="Z229" si="771">COUNTIF($M$226:$M$229,Y229)*$D$27</f>
        <v>0</v>
      </c>
      <c r="AA229" s="64"/>
      <c r="AB229" s="803" t="s">
        <v>79</v>
      </c>
      <c r="AC229" s="81">
        <f t="shared" ref="AC229" si="772">COUNTIF($M$226:$M$229,AB229)*$D$27</f>
        <v>0</v>
      </c>
      <c r="AD229" s="64"/>
      <c r="AE229" s="808" t="s">
        <v>79</v>
      </c>
      <c r="AF229" s="81">
        <f t="shared" ref="AF229" si="773">COUNTIF($M$226:$M$229,AE229)*$D$27</f>
        <v>0</v>
      </c>
      <c r="AG229" s="64"/>
      <c r="AH229" s="80" t="s">
        <v>79</v>
      </c>
      <c r="AI229" s="81">
        <f t="shared" ref="AI229" si="774">COUNTIF($M$226:$M$229,AH229)*$D$27</f>
        <v>0</v>
      </c>
      <c r="AJ229" s="64"/>
      <c r="AK229" s="813" t="s">
        <v>1256</v>
      </c>
      <c r="AL229" s="81">
        <f t="shared" ref="AL229" si="775">COUNTIF($M$226:$M$229,AK229)*$D$27</f>
        <v>0</v>
      </c>
      <c r="AM229" s="64"/>
      <c r="AN229" s="818" t="s">
        <v>79</v>
      </c>
      <c r="AO229" s="81">
        <f t="shared" ref="AO229" si="776">COUNTIF($M$226:$M$229,AN229)*$D$27</f>
        <v>0</v>
      </c>
      <c r="AP229" s="64"/>
      <c r="AQ229" s="823" t="s">
        <v>1256</v>
      </c>
      <c r="AR229" s="81">
        <f t="shared" ref="AR229" si="777">COUNTIF($M$226:$M$229,AQ229)*$D$27</f>
        <v>0</v>
      </c>
      <c r="AS229" s="64"/>
      <c r="AT229" s="828" t="s">
        <v>1256</v>
      </c>
      <c r="AU229" s="81">
        <f t="shared" ref="AU229" si="778">COUNTIF($M$226:$M$229,AT229)*$D$27</f>
        <v>0</v>
      </c>
      <c r="AV229" s="64"/>
      <c r="AW229" s="832" t="s">
        <v>1256</v>
      </c>
      <c r="AX229" s="81">
        <f t="shared" ref="AX229" si="779">COUNTIF($M$226:$M$229,AW229)*$D$27</f>
        <v>0</v>
      </c>
      <c r="AY229" s="64"/>
      <c r="AZ229" s="838" t="s">
        <v>79</v>
      </c>
      <c r="BA229" s="81">
        <f t="shared" ref="BA229" si="780">COUNTIF($M$226:$M$229,AZ229)*$D$27</f>
        <v>0</v>
      </c>
      <c r="BB229" s="64"/>
      <c r="BC229" s="845" t="s">
        <v>79</v>
      </c>
      <c r="BD229" s="81">
        <f t="shared" ref="BD229" si="781">COUNTIF($M$226:$M$229,BC229)*$D$27</f>
        <v>0</v>
      </c>
      <c r="BE229" s="64"/>
      <c r="BF229" s="849" t="s">
        <v>79</v>
      </c>
      <c r="BG229" s="81">
        <f t="shared" ref="BG229" si="782">COUNTIF($M$226:$M$229,BF229)*$D$27</f>
        <v>0</v>
      </c>
      <c r="BH229" s="64"/>
      <c r="BI229" s="859" t="s">
        <v>1256</v>
      </c>
      <c r="BJ229" s="81">
        <f t="shared" ref="BJ229" si="783">COUNTIF($M$226:$M$229,BI229)*$D$27</f>
        <v>0</v>
      </c>
      <c r="BK229" s="64"/>
      <c r="BL229" s="864" t="s">
        <v>79</v>
      </c>
      <c r="BM229" s="81">
        <f t="shared" ref="BM229" si="784">COUNTIF($M$226:$M$229,BL229)*$D$27</f>
        <v>0</v>
      </c>
      <c r="BN229" s="64"/>
      <c r="BO229" s="869" t="s">
        <v>79</v>
      </c>
      <c r="BP229" s="81">
        <f t="shared" ref="BP229" si="785">COUNTIF($M$226:$M$229,BO229)*$D$27</f>
        <v>0</v>
      </c>
      <c r="BQ229" s="64"/>
      <c r="BR229" s="838" t="s">
        <v>79</v>
      </c>
      <c r="BS229" s="81">
        <f t="shared" ref="BS229" si="786">COUNTIF($M$226:$M$229,BR229)*$D$27</f>
        <v>0</v>
      </c>
      <c r="BT229" s="64"/>
      <c r="BU229" s="873" t="s">
        <v>79</v>
      </c>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50"/>
      <c r="T230" s="71">
        <f>SUM(T226:T229)</f>
        <v>0</v>
      </c>
      <c r="U230" s="65"/>
      <c r="V230" s="789"/>
      <c r="W230" s="71">
        <f t="shared" ref="W230" si="794">SUM(W226:W229)</f>
        <v>0</v>
      </c>
      <c r="X230" s="65"/>
      <c r="Y230" s="794"/>
      <c r="Z230" s="71">
        <f t="shared" ref="Z230" si="795">SUM(Z226:Z229)</f>
        <v>0</v>
      </c>
      <c r="AA230" s="65"/>
      <c r="AB230" s="799"/>
      <c r="AC230" s="71">
        <f t="shared" ref="AC230" si="796">SUM(AC226:AC229)</f>
        <v>0</v>
      </c>
      <c r="AD230" s="65"/>
      <c r="AE230" s="804"/>
      <c r="AF230" s="71">
        <f t="shared" ref="AF230" si="797">SUM(AF226:AF229)</f>
        <v>0</v>
      </c>
      <c r="AG230" s="65"/>
      <c r="AH230" s="84"/>
      <c r="AI230" s="71">
        <f t="shared" ref="AI230" si="798">SUM(AI226:AI229)</f>
        <v>0</v>
      </c>
      <c r="AJ230" s="65"/>
      <c r="AK230" s="809"/>
      <c r="AL230" s="71">
        <f t="shared" ref="AL230" si="799">SUM(AL226:AL229)</f>
        <v>0</v>
      </c>
      <c r="AM230" s="65"/>
      <c r="AN230" s="814"/>
      <c r="AO230" s="71">
        <f t="shared" ref="AO230" si="800">SUM(AO226:AO229)</f>
        <v>0</v>
      </c>
      <c r="AP230" s="65"/>
      <c r="AQ230" s="819"/>
      <c r="AR230" s="71">
        <f t="shared" ref="AR230" si="801">SUM(AR226:AR229)</f>
        <v>0</v>
      </c>
      <c r="AS230" s="65"/>
      <c r="AT230" s="824"/>
      <c r="AU230" s="71">
        <f t="shared" ref="AU230" si="802">SUM(AU226:AU229)</f>
        <v>0</v>
      </c>
      <c r="AV230" s="65"/>
      <c r="AW230" s="833"/>
      <c r="AX230" s="71">
        <f t="shared" ref="AX230" si="803">SUM(AX226:AX229)</f>
        <v>0</v>
      </c>
      <c r="AY230" s="65"/>
      <c r="AZ230" s="839"/>
      <c r="BA230" s="71">
        <f t="shared" ref="BA230" si="804">SUM(BA226:BA229)</f>
        <v>0</v>
      </c>
      <c r="BB230" s="65"/>
      <c r="BC230" s="841"/>
      <c r="BD230" s="71">
        <f t="shared" ref="BD230" si="805">SUM(BD226:BD229)</f>
        <v>0</v>
      </c>
      <c r="BE230" s="65"/>
      <c r="BF230" s="846"/>
      <c r="BG230" s="71">
        <f t="shared" ref="BG230" si="806">SUM(BG226:BG229)</f>
        <v>0</v>
      </c>
      <c r="BH230" s="65"/>
      <c r="BI230" s="855"/>
      <c r="BJ230" s="71">
        <f t="shared" ref="BJ230" si="807">SUM(BJ226:BJ229)</f>
        <v>0</v>
      </c>
      <c r="BK230" s="65"/>
      <c r="BL230" s="860"/>
      <c r="BM230" s="71">
        <f t="shared" ref="BM230" si="808">SUM(BM226:BM229)</f>
        <v>0</v>
      </c>
      <c r="BN230" s="65"/>
      <c r="BO230" s="865"/>
      <c r="BP230" s="71">
        <f t="shared" ref="BP230" si="809">SUM(BP226:BP229)</f>
        <v>0</v>
      </c>
      <c r="BQ230" s="65"/>
      <c r="BR230" s="839"/>
      <c r="BS230" s="71">
        <f t="shared" ref="BS230" si="810">SUM(BS226:BS229)</f>
        <v>0</v>
      </c>
      <c r="BT230" s="65"/>
      <c r="BU230" s="87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50"/>
      <c r="T231" s="71"/>
      <c r="U231" s="65"/>
      <c r="V231" s="789"/>
      <c r="W231" s="71"/>
      <c r="X231" s="65"/>
      <c r="Y231" s="794"/>
      <c r="Z231" s="71"/>
      <c r="AA231" s="65"/>
      <c r="AB231" s="799"/>
      <c r="AC231" s="111"/>
      <c r="AD231" s="111"/>
      <c r="AE231" s="804"/>
      <c r="AF231" s="71"/>
      <c r="AG231" s="65"/>
      <c r="AH231" s="84"/>
      <c r="AI231" s="71"/>
      <c r="AJ231" s="65"/>
      <c r="AK231" s="809"/>
      <c r="AL231" s="71"/>
      <c r="AM231" s="65"/>
      <c r="AN231" s="814"/>
      <c r="AO231" s="71"/>
      <c r="AP231" s="65"/>
      <c r="AQ231" s="819"/>
      <c r="AR231" s="71"/>
      <c r="AS231" s="65"/>
      <c r="AT231" s="824"/>
      <c r="AU231" s="71"/>
      <c r="AV231" s="65"/>
      <c r="AW231" s="833"/>
      <c r="AX231" s="71"/>
      <c r="AY231" s="65"/>
      <c r="AZ231" s="839"/>
      <c r="BA231" s="71"/>
      <c r="BB231" s="65"/>
      <c r="BC231" s="841"/>
      <c r="BD231" s="71"/>
      <c r="BE231" s="65"/>
      <c r="BF231" s="846"/>
      <c r="BG231" s="71"/>
      <c r="BH231" s="65"/>
      <c r="BI231" s="855"/>
      <c r="BJ231" s="71"/>
      <c r="BK231" s="65"/>
      <c r="BL231" s="860"/>
      <c r="BM231" s="71"/>
      <c r="BN231" s="65"/>
      <c r="BO231" s="865"/>
      <c r="BP231" s="71"/>
      <c r="BQ231" s="65"/>
      <c r="BR231" s="839"/>
      <c r="BS231" s="71"/>
      <c r="BT231" s="65"/>
      <c r="BU231" s="87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927"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854" t="s">
        <v>2356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93" t="s">
        <v>1996</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98" t="s">
        <v>2032</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803" t="s">
        <v>2072</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808" t="s">
        <v>2108</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2137</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813" t="s">
        <v>2137</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818" t="s">
        <v>2137</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823" t="s">
        <v>2206</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828" t="s">
        <v>2137</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834" t="s">
        <v>2247</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840" t="s">
        <v>2272</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845" t="s">
        <v>2300</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849" t="s">
        <v>2331</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859" t="s">
        <v>2376</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864" t="s">
        <v>2401</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869" t="s">
        <v>2420</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840" t="s">
        <v>2437</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873" t="s">
        <v>2376</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927"/>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54" t="s">
        <v>2357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793" t="s">
        <v>1997</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798" t="s">
        <v>2033</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3" t="s">
        <v>2073</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8" t="s">
        <v>2109</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2138</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13" t="s">
        <v>2162</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18" t="s">
        <v>2184</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23" t="s">
        <v>2207</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28" t="s">
        <v>2223</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34" t="s">
        <v>2248</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40" t="s">
        <v>2033</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45" t="s">
        <v>2301</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49" t="s">
        <v>2074</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59" t="s">
        <v>2377</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64" t="s">
        <v>2402</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69" t="s">
        <v>2184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40" t="s">
        <v>2301</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73" t="s">
        <v>2184</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50"/>
      <c r="T234" s="71">
        <f>SUM(T232:T233)</f>
        <v>0</v>
      </c>
      <c r="U234" s="49"/>
      <c r="V234" s="789"/>
      <c r="W234" s="71">
        <f t="shared" ref="W234" si="867">SUM(W232:W233)</f>
        <v>0</v>
      </c>
      <c r="X234" s="49"/>
      <c r="Y234" s="794"/>
      <c r="Z234" s="71">
        <f t="shared" ref="Z234" si="868">SUM(Z232:Z233)</f>
        <v>0</v>
      </c>
      <c r="AA234" s="49"/>
      <c r="AB234" s="799"/>
      <c r="AC234" s="71">
        <f t="shared" ref="AC234" si="869">SUM(AC232:AC233)</f>
        <v>0</v>
      </c>
      <c r="AD234" s="111"/>
      <c r="AE234" s="804"/>
      <c r="AF234" s="71">
        <f t="shared" ref="AF234" si="870">SUM(AF232:AF233)</f>
        <v>0</v>
      </c>
      <c r="AG234" s="49"/>
      <c r="AH234" s="84"/>
      <c r="AI234" s="71">
        <f t="shared" ref="AI234" si="871">SUM(AI232:AI233)</f>
        <v>0</v>
      </c>
      <c r="AJ234" s="49"/>
      <c r="AK234" s="809"/>
      <c r="AL234" s="71">
        <f t="shared" ref="AL234" si="872">SUM(AL232:AL233)</f>
        <v>0</v>
      </c>
      <c r="AM234" s="49"/>
      <c r="AN234" s="814"/>
      <c r="AO234" s="71">
        <f t="shared" ref="AO234" si="873">SUM(AO232:AO233)</f>
        <v>0</v>
      </c>
      <c r="AP234" s="49"/>
      <c r="AQ234" s="819"/>
      <c r="AR234" s="71">
        <f t="shared" ref="AR234" si="874">SUM(AR232:AR233)</f>
        <v>0</v>
      </c>
      <c r="AS234" s="49"/>
      <c r="AT234" s="824"/>
      <c r="AU234" s="71">
        <f t="shared" ref="AU234" si="875">SUM(AU232:AU233)</f>
        <v>0</v>
      </c>
      <c r="AV234" s="49"/>
      <c r="AW234" s="833"/>
      <c r="AX234" s="71">
        <f t="shared" ref="AX234" si="876">SUM(AX232:AX233)</f>
        <v>0</v>
      </c>
      <c r="AY234" s="49"/>
      <c r="AZ234" s="839"/>
      <c r="BA234" s="71">
        <f t="shared" ref="BA234" si="877">SUM(BA232:BA233)</f>
        <v>0</v>
      </c>
      <c r="BB234" s="49"/>
      <c r="BC234" s="841"/>
      <c r="BD234" s="71">
        <f t="shared" ref="BD234" si="878">SUM(BD232:BD233)</f>
        <v>0</v>
      </c>
      <c r="BE234" s="49"/>
      <c r="BF234" s="846"/>
      <c r="BG234" s="71">
        <f t="shared" ref="BG234" si="879">SUM(BG232:BG233)</f>
        <v>0</v>
      </c>
      <c r="BH234" s="49"/>
      <c r="BI234" s="855"/>
      <c r="BJ234" s="71">
        <f t="shared" ref="BJ234" si="880">SUM(BJ232:BJ233)</f>
        <v>0</v>
      </c>
      <c r="BK234" s="49"/>
      <c r="BL234" s="860"/>
      <c r="BM234" s="71">
        <f t="shared" ref="BM234" si="881">SUM(BM232:BM233)</f>
        <v>0</v>
      </c>
      <c r="BN234" s="49"/>
      <c r="BO234" s="865"/>
      <c r="BP234" s="71">
        <f t="shared" ref="BP234" si="882">SUM(BP232:BP233)</f>
        <v>0</v>
      </c>
      <c r="BQ234" s="49"/>
      <c r="BR234" s="839"/>
      <c r="BS234" s="71">
        <f t="shared" ref="BS234" si="883">SUM(BS232:BS233)</f>
        <v>0</v>
      </c>
      <c r="BT234" s="49"/>
      <c r="BU234" s="87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50"/>
      <c r="T235" s="71"/>
      <c r="U235" s="49"/>
      <c r="V235" s="789"/>
      <c r="W235" s="71"/>
      <c r="X235" s="49"/>
      <c r="Y235" s="794"/>
      <c r="Z235" s="71"/>
      <c r="AA235" s="49"/>
      <c r="AB235" s="799"/>
      <c r="AC235" s="71"/>
      <c r="AD235" s="111"/>
      <c r="AE235" s="804"/>
      <c r="AF235" s="71"/>
      <c r="AG235" s="49"/>
      <c r="AH235" s="84"/>
      <c r="AI235" s="71"/>
      <c r="AJ235" s="49"/>
      <c r="AK235" s="809"/>
      <c r="AL235" s="71"/>
      <c r="AM235" s="49"/>
      <c r="AN235" s="814"/>
      <c r="AO235" s="71"/>
      <c r="AP235" s="49"/>
      <c r="AQ235" s="819"/>
      <c r="AR235" s="71"/>
      <c r="AS235" s="49"/>
      <c r="AT235" s="824"/>
      <c r="AU235" s="71"/>
      <c r="AV235" s="49"/>
      <c r="AW235" s="833"/>
      <c r="AX235" s="71"/>
      <c r="AY235" s="49"/>
      <c r="AZ235" s="839"/>
      <c r="BA235" s="71"/>
      <c r="BB235" s="49"/>
      <c r="BC235" s="841"/>
      <c r="BD235" s="71"/>
      <c r="BE235" s="49"/>
      <c r="BF235" s="846"/>
      <c r="BG235" s="71"/>
      <c r="BH235" s="49"/>
      <c r="BI235" s="855"/>
      <c r="BJ235" s="71"/>
      <c r="BK235" s="49"/>
      <c r="BL235" s="860"/>
      <c r="BM235" s="71"/>
      <c r="BN235" s="49"/>
      <c r="BO235" s="865"/>
      <c r="BP235" s="71"/>
      <c r="BQ235" s="49"/>
      <c r="BR235" s="839"/>
      <c r="BS235" s="71"/>
      <c r="BT235" s="49"/>
      <c r="BU235" s="87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927" t="s">
        <v>493</v>
      </c>
      <c r="K236" s="53" t="str">
        <f>Idiomas!D202&amp;"-"&amp;ROWS($L$236:L236)</f>
        <v>3º y 4º puesto-1</v>
      </c>
      <c r="L236" s="53"/>
      <c r="M236" s="55" t="str">
        <f>WORLDCUP!AA143</f>
        <v>L101</v>
      </c>
      <c r="N236" s="25"/>
      <c r="O236" s="25"/>
      <c r="P236" s="25"/>
      <c r="Q236" s="25"/>
      <c r="R236" s="17"/>
      <c r="S236" s="854" t="s">
        <v>1321</v>
      </c>
      <c r="T236" s="77">
        <f>COUNTIF($M$236:$M$237,S236)*$D$31</f>
        <v>0</v>
      </c>
      <c r="U236" s="110"/>
      <c r="V236" s="793" t="s">
        <v>1318</v>
      </c>
      <c r="W236" s="77">
        <f t="shared" ref="W236" si="891">COUNTIF($M$236:$M$237,V236)*$D$31</f>
        <v>0</v>
      </c>
      <c r="X236" s="110"/>
      <c r="Y236" s="798" t="s">
        <v>1263</v>
      </c>
      <c r="Z236" s="77">
        <f t="shared" ref="Z236" si="892">COUNTIF($M$236:$M$237,Y236)*$D$31</f>
        <v>0</v>
      </c>
      <c r="AA236" s="110"/>
      <c r="AB236" s="803" t="s">
        <v>135</v>
      </c>
      <c r="AC236" s="77">
        <f t="shared" ref="AC236" si="893">COUNTIF($M$236:$M$237,AB236)*$D$31</f>
        <v>0</v>
      </c>
      <c r="AD236" s="110"/>
      <c r="AE236" s="808" t="s">
        <v>1835</v>
      </c>
      <c r="AF236" s="77">
        <f t="shared" ref="AF236" si="894">COUNTIF($M$236:$M$237,AE236)*$D$31</f>
        <v>0</v>
      </c>
      <c r="AG236" s="110"/>
      <c r="AH236" s="76" t="s">
        <v>74</v>
      </c>
      <c r="AI236" s="77">
        <f t="shared" ref="AI236" si="895">COUNTIF($M$236:$M$237,AH236)*$D$31</f>
        <v>0</v>
      </c>
      <c r="AJ236" s="110"/>
      <c r="AK236" s="813" t="s">
        <v>74</v>
      </c>
      <c r="AL236" s="77">
        <f t="shared" ref="AL236" si="896">COUNTIF($M$236:$M$237,AK236)*$D$31</f>
        <v>0</v>
      </c>
      <c r="AM236" s="110"/>
      <c r="AN236" s="818" t="s">
        <v>74</v>
      </c>
      <c r="AO236" s="77">
        <f t="shared" ref="AO236" si="897">COUNTIF($M$236:$M$237,AN236)*$D$31</f>
        <v>0</v>
      </c>
      <c r="AP236" s="110"/>
      <c r="AQ236" s="823" t="s">
        <v>74</v>
      </c>
      <c r="AR236" s="77">
        <f t="shared" ref="AR236" si="898">COUNTIF($M$236:$M$237,AQ236)*$D$31</f>
        <v>0</v>
      </c>
      <c r="AS236" s="110"/>
      <c r="AT236" s="828" t="s">
        <v>74</v>
      </c>
      <c r="AU236" s="77">
        <f t="shared" ref="AU236" si="899">COUNTIF($M$236:$M$237,AT236)*$D$31</f>
        <v>0</v>
      </c>
      <c r="AV236" s="110"/>
      <c r="AW236" s="832" t="s">
        <v>111</v>
      </c>
      <c r="AX236" s="77">
        <f t="shared" ref="AX236" si="900">COUNTIF($M$236:$M$237,AW236)*$D$31</f>
        <v>0</v>
      </c>
      <c r="AY236" s="110"/>
      <c r="AZ236" s="838" t="s">
        <v>38</v>
      </c>
      <c r="BA236" s="77">
        <f t="shared" ref="BA236" si="901">COUNTIF($M$236:$M$237,AZ236)*$D$31</f>
        <v>0</v>
      </c>
      <c r="BB236" s="110"/>
      <c r="BC236" s="845" t="s">
        <v>78</v>
      </c>
      <c r="BD236" s="77">
        <f t="shared" ref="BD236" si="902">COUNTIF($M$236:$M$237,BC236)*$D$31</f>
        <v>0</v>
      </c>
      <c r="BE236" s="110"/>
      <c r="BF236" s="849" t="s">
        <v>38</v>
      </c>
      <c r="BG236" s="77">
        <f t="shared" ref="BG236" si="903">COUNTIF($M$236:$M$237,BF236)*$D$31</f>
        <v>0</v>
      </c>
      <c r="BH236" s="110"/>
      <c r="BI236" s="859" t="s">
        <v>38</v>
      </c>
      <c r="BJ236" s="77">
        <f t="shared" ref="BJ236" si="904">COUNTIF($M$236:$M$237,BI236)*$D$31</f>
        <v>0</v>
      </c>
      <c r="BK236" s="110"/>
      <c r="BL236" s="864" t="s">
        <v>1321</v>
      </c>
      <c r="BM236" s="77">
        <f t="shared" ref="BM236" si="905">COUNTIF($M$236:$M$237,BL236)*$D$31</f>
        <v>0</v>
      </c>
      <c r="BN236" s="110"/>
      <c r="BO236" s="869" t="s">
        <v>74</v>
      </c>
      <c r="BP236" s="77">
        <f t="shared" ref="BP236" si="906">COUNTIF($M$236:$M$237,BO236)*$D$31</f>
        <v>0</v>
      </c>
      <c r="BQ236" s="110"/>
      <c r="BR236" s="838" t="s">
        <v>74</v>
      </c>
      <c r="BS236" s="77">
        <f t="shared" ref="BS236" si="907">COUNTIF($M$236:$M$237,BR236)*$D$31</f>
        <v>0</v>
      </c>
      <c r="BT236" s="110"/>
      <c r="BU236" s="873" t="s">
        <v>38</v>
      </c>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927"/>
      <c r="K237" s="115" t="str">
        <f>Idiomas!D203&amp;"-"&amp;ROWS($L$236:L237)</f>
        <v>Finalista-2</v>
      </c>
      <c r="L237" s="115"/>
      <c r="M237" s="116" t="str">
        <f>WORLDCUP!AF143</f>
        <v>L102</v>
      </c>
      <c r="N237" s="25"/>
      <c r="O237" s="25"/>
      <c r="P237" s="25"/>
      <c r="Q237" s="25"/>
      <c r="R237" s="17"/>
      <c r="S237" s="854" t="s">
        <v>76</v>
      </c>
      <c r="T237" s="81">
        <f>COUNTIF($M$236:$M$237,S237)*$D$31</f>
        <v>0</v>
      </c>
      <c r="U237" s="110"/>
      <c r="V237" s="793" t="s">
        <v>1256</v>
      </c>
      <c r="W237" s="81">
        <f t="shared" ref="W237" si="915">COUNTIF($M$236:$M$237,V237)*$D$31</f>
        <v>0</v>
      </c>
      <c r="X237" s="110"/>
      <c r="Y237" s="798" t="s">
        <v>76</v>
      </c>
      <c r="Z237" s="81">
        <f t="shared" ref="Z237" si="916">COUNTIF($M$236:$M$237,Y237)*$D$31</f>
        <v>0</v>
      </c>
      <c r="AA237" s="110"/>
      <c r="AB237" s="803" t="s">
        <v>79</v>
      </c>
      <c r="AC237" s="81">
        <f t="shared" ref="AC237" si="917">COUNTIF($M$236:$M$237,AB237)*$D$31</f>
        <v>0</v>
      </c>
      <c r="AD237" s="110"/>
      <c r="AE237" s="808" t="s">
        <v>1258</v>
      </c>
      <c r="AF237" s="81">
        <f t="shared" ref="AF237" si="918">COUNTIF($M$236:$M$237,AE237)*$D$31</f>
        <v>0</v>
      </c>
      <c r="AG237" s="110"/>
      <c r="AH237" s="80" t="s">
        <v>1258</v>
      </c>
      <c r="AI237" s="81">
        <f t="shared" ref="AI237" si="919">COUNTIF($M$236:$M$237,AH237)*$D$31</f>
        <v>0</v>
      </c>
      <c r="AJ237" s="110"/>
      <c r="AK237" s="813" t="s">
        <v>1258</v>
      </c>
      <c r="AL237" s="81">
        <f t="shared" ref="AL237" si="920">COUNTIF($M$236:$M$237,AK237)*$D$31</f>
        <v>0</v>
      </c>
      <c r="AM237" s="110"/>
      <c r="AN237" s="818" t="s">
        <v>1258</v>
      </c>
      <c r="AO237" s="81">
        <f t="shared" ref="AO237" si="921">COUNTIF($M$236:$M$237,AN237)*$D$31</f>
        <v>0</v>
      </c>
      <c r="AP237" s="110"/>
      <c r="AQ237" s="823" t="s">
        <v>76</v>
      </c>
      <c r="AR237" s="81">
        <f t="shared" ref="AR237" si="922">COUNTIF($M$236:$M$237,AQ237)*$D$31</f>
        <v>0</v>
      </c>
      <c r="AS237" s="110"/>
      <c r="AT237" s="828" t="s">
        <v>76</v>
      </c>
      <c r="AU237" s="81">
        <f t="shared" ref="AU237" si="923">COUNTIF($M$236:$M$237,AT237)*$D$31</f>
        <v>0</v>
      </c>
      <c r="AV237" s="110"/>
      <c r="AW237" s="832" t="s">
        <v>1256</v>
      </c>
      <c r="AX237" s="81">
        <f t="shared" ref="AX237" si="924">COUNTIF($M$236:$M$237,AW237)*$D$31</f>
        <v>0</v>
      </c>
      <c r="AY237" s="110"/>
      <c r="AZ237" s="838" t="s">
        <v>76</v>
      </c>
      <c r="BA237" s="81">
        <f t="shared" ref="BA237" si="925">COUNTIF($M$236:$M$237,AZ237)*$D$31</f>
        <v>0</v>
      </c>
      <c r="BB237" s="110"/>
      <c r="BC237" s="845" t="s">
        <v>1258</v>
      </c>
      <c r="BD237" s="81">
        <f t="shared" ref="BD237" si="926">COUNTIF($M$236:$M$237,BC237)*$D$31</f>
        <v>0</v>
      </c>
      <c r="BE237" s="110"/>
      <c r="BF237" s="849" t="s">
        <v>135</v>
      </c>
      <c r="BG237" s="81">
        <f t="shared" ref="BG237" si="927">COUNTIF($M$236:$M$237,BF237)*$D$31</f>
        <v>0</v>
      </c>
      <c r="BH237" s="110"/>
      <c r="BI237" s="859" t="s">
        <v>1256</v>
      </c>
      <c r="BJ237" s="81">
        <f t="shared" ref="BJ237" si="928">COUNTIF($M$236:$M$237,BI237)*$D$31</f>
        <v>0</v>
      </c>
      <c r="BK237" s="110"/>
      <c r="BL237" s="864" t="s">
        <v>1258</v>
      </c>
      <c r="BM237" s="81">
        <f t="shared" ref="BM237" si="929">COUNTIF($M$236:$M$237,BL237)*$D$31</f>
        <v>0</v>
      </c>
      <c r="BN237" s="110"/>
      <c r="BO237" s="869" t="s">
        <v>1258</v>
      </c>
      <c r="BP237" s="81">
        <f t="shared" ref="BP237" si="930">COUNTIF($M$236:$M$237,BO237)*$D$31</f>
        <v>0</v>
      </c>
      <c r="BQ237" s="110"/>
      <c r="BR237" s="838" t="s">
        <v>1258</v>
      </c>
      <c r="BS237" s="81">
        <f t="shared" ref="BS237" si="931">COUNTIF($M$236:$M$237,BR237)*$D$31</f>
        <v>0</v>
      </c>
      <c r="BT237" s="110"/>
      <c r="BU237" s="873" t="s">
        <v>1258</v>
      </c>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50"/>
      <c r="T238" s="71">
        <f>SUM(T236:T237)</f>
        <v>0</v>
      </c>
      <c r="U238" s="49"/>
      <c r="V238" s="789"/>
      <c r="W238" s="71">
        <f t="shared" ref="W238" si="939">SUM(W236:W237)</f>
        <v>0</v>
      </c>
      <c r="X238" s="49"/>
      <c r="Y238" s="794"/>
      <c r="Z238" s="71">
        <f t="shared" ref="Z238" si="940">SUM(Z236:Z237)</f>
        <v>0</v>
      </c>
      <c r="AA238" s="49"/>
      <c r="AB238" s="799"/>
      <c r="AC238" s="71">
        <f t="shared" ref="AC238" si="941">SUM(AC236:AC237)</f>
        <v>0</v>
      </c>
      <c r="AD238" s="49"/>
      <c r="AE238" s="804"/>
      <c r="AF238" s="71">
        <f t="shared" ref="AF238" si="942">SUM(AF236:AF237)</f>
        <v>0</v>
      </c>
      <c r="AG238" s="49"/>
      <c r="AH238" s="84"/>
      <c r="AI238" s="71">
        <f t="shared" ref="AI238" si="943">SUM(AI236:AI237)</f>
        <v>0</v>
      </c>
      <c r="AJ238" s="49"/>
      <c r="AK238" s="809"/>
      <c r="AL238" s="71">
        <f t="shared" ref="AL238" si="944">SUM(AL236:AL237)</f>
        <v>0</v>
      </c>
      <c r="AM238" s="49"/>
      <c r="AN238" s="814"/>
      <c r="AO238" s="71">
        <f t="shared" ref="AO238" si="945">SUM(AO236:AO237)</f>
        <v>0</v>
      </c>
      <c r="AP238" s="49"/>
      <c r="AQ238" s="819"/>
      <c r="AR238" s="71">
        <f t="shared" ref="AR238" si="946">SUM(AR236:AR237)</f>
        <v>0</v>
      </c>
      <c r="AS238" s="49"/>
      <c r="AT238" s="824"/>
      <c r="AU238" s="71">
        <f t="shared" ref="AU238" si="947">SUM(AU236:AU237)</f>
        <v>0</v>
      </c>
      <c r="AV238" s="49"/>
      <c r="AW238" s="833"/>
      <c r="AX238" s="71">
        <f t="shared" ref="AX238" si="948">SUM(AX236:AX237)</f>
        <v>0</v>
      </c>
      <c r="AY238" s="49"/>
      <c r="AZ238" s="839"/>
      <c r="BA238" s="71">
        <f t="shared" ref="BA238" si="949">SUM(BA236:BA237)</f>
        <v>0</v>
      </c>
      <c r="BB238" s="49"/>
      <c r="BC238" s="841"/>
      <c r="BD238" s="71">
        <f t="shared" ref="BD238" si="950">SUM(BD236:BD237)</f>
        <v>0</v>
      </c>
      <c r="BE238" s="49"/>
      <c r="BF238" s="846"/>
      <c r="BG238" s="71">
        <f t="shared" ref="BG238" si="951">SUM(BG236:BG237)</f>
        <v>0</v>
      </c>
      <c r="BH238" s="49"/>
      <c r="BI238" s="855"/>
      <c r="BJ238" s="71">
        <f t="shared" ref="BJ238" si="952">SUM(BJ236:BJ237)</f>
        <v>0</v>
      </c>
      <c r="BK238" s="49"/>
      <c r="BL238" s="860"/>
      <c r="BM238" s="71">
        <f t="shared" ref="BM238" si="953">SUM(BM236:BM237)</f>
        <v>0</v>
      </c>
      <c r="BN238" s="49"/>
      <c r="BO238" s="865"/>
      <c r="BP238" s="71">
        <f t="shared" ref="BP238" si="954">SUM(BP236:BP237)</f>
        <v>0</v>
      </c>
      <c r="BQ238" s="49"/>
      <c r="BR238" s="839"/>
      <c r="BS238" s="71">
        <f t="shared" ref="BS238" si="955">SUM(BS236:BS237)</f>
        <v>0</v>
      </c>
      <c r="BT238" s="49"/>
      <c r="BU238" s="87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50"/>
      <c r="T239" s="71"/>
      <c r="U239" s="49"/>
      <c r="V239" s="789"/>
      <c r="W239" s="71"/>
      <c r="X239" s="49"/>
      <c r="Y239" s="794"/>
      <c r="Z239" s="71"/>
      <c r="AA239" s="49"/>
      <c r="AB239" s="799"/>
      <c r="AC239" s="71"/>
      <c r="AD239" s="49"/>
      <c r="AE239" s="804"/>
      <c r="AF239" s="71"/>
      <c r="AG239" s="49"/>
      <c r="AH239" s="84"/>
      <c r="AI239" s="71"/>
      <c r="AJ239" s="49"/>
      <c r="AK239" s="809"/>
      <c r="AL239" s="71"/>
      <c r="AM239" s="49"/>
      <c r="AN239" s="814"/>
      <c r="AO239" s="71"/>
      <c r="AP239" s="49"/>
      <c r="AQ239" s="819"/>
      <c r="AR239" s="71"/>
      <c r="AS239" s="49"/>
      <c r="AT239" s="824"/>
      <c r="AU239" s="71"/>
      <c r="AV239" s="49"/>
      <c r="AW239" s="833"/>
      <c r="AX239" s="71"/>
      <c r="AY239" s="49"/>
      <c r="AZ239" s="839"/>
      <c r="BA239" s="71"/>
      <c r="BB239" s="49"/>
      <c r="BC239" s="841"/>
      <c r="BD239" s="71"/>
      <c r="BE239" s="49"/>
      <c r="BF239" s="846"/>
      <c r="BG239" s="71"/>
      <c r="BH239" s="49"/>
      <c r="BI239" s="855"/>
      <c r="BJ239" s="71"/>
      <c r="BK239" s="49"/>
      <c r="BL239" s="860"/>
      <c r="BM239" s="71"/>
      <c r="BN239" s="49"/>
      <c r="BO239" s="865"/>
      <c r="BP239" s="71"/>
      <c r="BQ239" s="49"/>
      <c r="BR239" s="839"/>
      <c r="BS239" s="71"/>
      <c r="BT239" s="49"/>
      <c r="BU239" s="87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927" t="s">
        <v>4</v>
      </c>
      <c r="K240" s="53" t="str">
        <f>Idiomas!$D$203&amp;"-"&amp;ROWS($L$240:L240)</f>
        <v>Finalista-1</v>
      </c>
      <c r="L240" s="53"/>
      <c r="M240" s="55" t="str">
        <f>WORLDCUP!AA147</f>
        <v>W101</v>
      </c>
      <c r="N240" s="25"/>
      <c r="O240" s="25"/>
      <c r="P240" s="25"/>
      <c r="Q240" s="25"/>
      <c r="R240" s="17"/>
      <c r="S240" s="854" t="s">
        <v>38</v>
      </c>
      <c r="T240" s="77">
        <f>COUNTIF($M$240:$M$241,S240)*$D$32</f>
        <v>0</v>
      </c>
      <c r="U240" s="110"/>
      <c r="V240" s="793" t="s">
        <v>74</v>
      </c>
      <c r="W240" s="77">
        <f t="shared" ref="W240" si="963">COUNTIF($M$240:$M$241,V240)*$D$32</f>
        <v>0</v>
      </c>
      <c r="X240" s="110"/>
      <c r="Y240" s="798" t="s">
        <v>38</v>
      </c>
      <c r="Z240" s="77">
        <f t="shared" ref="Z240" si="964">COUNTIF($M$240:$M$241,Y240)*$D$32</f>
        <v>0</v>
      </c>
      <c r="AA240" s="110"/>
      <c r="AB240" s="803" t="s">
        <v>38</v>
      </c>
      <c r="AC240" s="77">
        <f t="shared" ref="AC240" si="965">COUNTIF($M$240:$M$241,AB240)*$D$32</f>
        <v>0</v>
      </c>
      <c r="AD240" s="110"/>
      <c r="AE240" s="808" t="s">
        <v>74</v>
      </c>
      <c r="AF240" s="77">
        <f t="shared" ref="AF240" si="966">COUNTIF($M$240:$M$241,AE240)*$D$32</f>
        <v>0</v>
      </c>
      <c r="AG240" s="110"/>
      <c r="AH240" s="76" t="s">
        <v>38</v>
      </c>
      <c r="AI240" s="77">
        <f t="shared" ref="AI240" si="967">COUNTIF($M$240:$M$241,AH240)*$D$32</f>
        <v>0</v>
      </c>
      <c r="AJ240" s="110"/>
      <c r="AK240" s="813" t="s">
        <v>38</v>
      </c>
      <c r="AL240" s="77">
        <f t="shared" ref="AL240" si="968">COUNTIF($M$240:$M$241,AK240)*$D$32</f>
        <v>0</v>
      </c>
      <c r="AM240" s="110"/>
      <c r="AN240" s="818" t="s">
        <v>38</v>
      </c>
      <c r="AO240" s="77">
        <f t="shared" ref="AO240" si="969">COUNTIF($M$240:$M$241,AN240)*$D$32</f>
        <v>0</v>
      </c>
      <c r="AP240" s="110"/>
      <c r="AQ240" s="823" t="s">
        <v>38</v>
      </c>
      <c r="AR240" s="77">
        <f t="shared" ref="AR240" si="970">COUNTIF($M$240:$M$241,AQ240)*$D$32</f>
        <v>0</v>
      </c>
      <c r="AS240" s="110"/>
      <c r="AT240" s="828" t="s">
        <v>38</v>
      </c>
      <c r="AU240" s="77">
        <f t="shared" ref="AU240" si="971">COUNTIF($M$240:$M$241,AT240)*$D$32</f>
        <v>0</v>
      </c>
      <c r="AV240" s="110"/>
      <c r="AW240" s="832" t="s">
        <v>38</v>
      </c>
      <c r="AX240" s="77">
        <f t="shared" ref="AX240" si="972">COUNTIF($M$240:$M$241,AW240)*$D$32</f>
        <v>0</v>
      </c>
      <c r="AY240" s="110"/>
      <c r="AZ240" s="838" t="s">
        <v>74</v>
      </c>
      <c r="BA240" s="77">
        <f t="shared" ref="BA240" si="973">COUNTIF($M$240:$M$241,AZ240)*$D$32</f>
        <v>0</v>
      </c>
      <c r="BB240" s="110"/>
      <c r="BC240" s="845" t="s">
        <v>74</v>
      </c>
      <c r="BD240" s="77">
        <f t="shared" ref="BD240" si="974">COUNTIF($M$240:$M$241,BC240)*$D$32</f>
        <v>0</v>
      </c>
      <c r="BE240" s="110"/>
      <c r="BF240" s="849" t="s">
        <v>1258</v>
      </c>
      <c r="BG240" s="77">
        <f t="shared" ref="BG240" si="975">COUNTIF($M$240:$M$241,BF240)*$D$32</f>
        <v>0</v>
      </c>
      <c r="BH240" s="110"/>
      <c r="BI240" s="859" t="s">
        <v>74</v>
      </c>
      <c r="BJ240" s="77">
        <f t="shared" ref="BJ240" si="976">COUNTIF($M$240:$M$241,BI240)*$D$32</f>
        <v>0</v>
      </c>
      <c r="BK240" s="110"/>
      <c r="BL240" s="864" t="s">
        <v>38</v>
      </c>
      <c r="BM240" s="77">
        <f t="shared" ref="BM240" si="977">COUNTIF($M$240:$M$241,BL240)*$D$32</f>
        <v>0</v>
      </c>
      <c r="BN240" s="110"/>
      <c r="BO240" s="869" t="s">
        <v>38</v>
      </c>
      <c r="BP240" s="77">
        <f t="shared" ref="BP240" si="978">COUNTIF($M$240:$M$241,BO240)*$D$32</f>
        <v>0</v>
      </c>
      <c r="BQ240" s="110"/>
      <c r="BR240" s="838" t="s">
        <v>38</v>
      </c>
      <c r="BS240" s="77">
        <f t="shared" ref="BS240" si="979">COUNTIF($M$240:$M$241,BR240)*$D$32</f>
        <v>0</v>
      </c>
      <c r="BT240" s="110"/>
      <c r="BU240" s="873" t="s">
        <v>74</v>
      </c>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927"/>
      <c r="K241" s="115" t="str">
        <f>Idiomas!$D$203&amp;"-"&amp;ROWS($L$240:L241)</f>
        <v>Finalista-2</v>
      </c>
      <c r="L241" s="115"/>
      <c r="M241" s="116" t="str">
        <f>WORLDCUP!AF147</f>
        <v>W102</v>
      </c>
      <c r="N241" s="25"/>
      <c r="O241" s="25"/>
      <c r="P241" s="25"/>
      <c r="Q241" s="25"/>
      <c r="R241" s="17"/>
      <c r="S241" s="854" t="s">
        <v>79</v>
      </c>
      <c r="T241" s="81">
        <f>COUNTIF($M$240:$M$241,S241)*$D$32</f>
        <v>0</v>
      </c>
      <c r="U241" s="110"/>
      <c r="V241" s="793" t="s">
        <v>1258</v>
      </c>
      <c r="W241" s="81">
        <f t="shared" ref="W241" si="987">COUNTIF($M$240:$M$241,V241)*$D$32</f>
        <v>0</v>
      </c>
      <c r="X241" s="110"/>
      <c r="Y241" s="798" t="s">
        <v>79</v>
      </c>
      <c r="Z241" s="81">
        <f t="shared" ref="Z241" si="988">COUNTIF($M$240:$M$241,Y241)*$D$32</f>
        <v>0</v>
      </c>
      <c r="AA241" s="110"/>
      <c r="AB241" s="803" t="s">
        <v>74</v>
      </c>
      <c r="AC241" s="81">
        <f t="shared" ref="AC241" si="989">COUNTIF($M$240:$M$241,AB241)*$D$32</f>
        <v>0</v>
      </c>
      <c r="AD241" s="110"/>
      <c r="AE241" s="808" t="s">
        <v>79</v>
      </c>
      <c r="AF241" s="81">
        <f t="shared" ref="AF241" si="990">COUNTIF($M$240:$M$241,AE241)*$D$32</f>
        <v>0</v>
      </c>
      <c r="AG241" s="110"/>
      <c r="AH241" s="80" t="s">
        <v>79</v>
      </c>
      <c r="AI241" s="81">
        <f t="shared" ref="AI241" si="991">COUNTIF($M$240:$M$241,AH241)*$D$32</f>
        <v>0</v>
      </c>
      <c r="AJ241" s="110"/>
      <c r="AK241" s="813" t="s">
        <v>1256</v>
      </c>
      <c r="AL241" s="81">
        <f t="shared" ref="AL241" si="992">COUNTIF($M$240:$M$241,AK241)*$D$32</f>
        <v>0</v>
      </c>
      <c r="AM241" s="110"/>
      <c r="AN241" s="818" t="s">
        <v>79</v>
      </c>
      <c r="AO241" s="81">
        <f t="shared" ref="AO241" si="993">COUNTIF($M$240:$M$241,AN241)*$D$32</f>
        <v>0</v>
      </c>
      <c r="AP241" s="110"/>
      <c r="AQ241" s="823" t="s">
        <v>1256</v>
      </c>
      <c r="AR241" s="81">
        <f t="shared" ref="AR241" si="994">COUNTIF($M$240:$M$241,AQ241)*$D$32</f>
        <v>0</v>
      </c>
      <c r="AS241" s="110"/>
      <c r="AT241" s="828" t="s">
        <v>1256</v>
      </c>
      <c r="AU241" s="81">
        <f t="shared" ref="AU241" si="995">COUNTIF($M$240:$M$241,AT241)*$D$32</f>
        <v>0</v>
      </c>
      <c r="AV241" s="110"/>
      <c r="AW241" s="832" t="s">
        <v>74</v>
      </c>
      <c r="AX241" s="81">
        <f t="shared" ref="AX241" si="996">COUNTIF($M$240:$M$241,AW241)*$D$32</f>
        <v>0</v>
      </c>
      <c r="AY241" s="110"/>
      <c r="AZ241" s="838" t="s">
        <v>79</v>
      </c>
      <c r="BA241" s="81">
        <f t="shared" ref="BA241" si="997">COUNTIF($M$240:$M$241,AZ241)*$D$32</f>
        <v>0</v>
      </c>
      <c r="BB241" s="110"/>
      <c r="BC241" s="845" t="s">
        <v>79</v>
      </c>
      <c r="BD241" s="81">
        <f t="shared" ref="BD241" si="998">COUNTIF($M$240:$M$241,BC241)*$D$32</f>
        <v>0</v>
      </c>
      <c r="BE241" s="110"/>
      <c r="BF241" s="849" t="s">
        <v>79</v>
      </c>
      <c r="BG241" s="81">
        <f t="shared" ref="BG241" si="999">COUNTIF($M$240:$M$241,BF241)*$D$32</f>
        <v>0</v>
      </c>
      <c r="BH241" s="110"/>
      <c r="BI241" s="859" t="s">
        <v>1258</v>
      </c>
      <c r="BJ241" s="81">
        <f t="shared" ref="BJ241" si="1000">COUNTIF($M$240:$M$241,BI241)*$D$32</f>
        <v>0</v>
      </c>
      <c r="BK241" s="110"/>
      <c r="BL241" s="864" t="s">
        <v>79</v>
      </c>
      <c r="BM241" s="81">
        <f t="shared" ref="BM241" si="1001">COUNTIF($M$240:$M$241,BL241)*$D$32</f>
        <v>0</v>
      </c>
      <c r="BN241" s="110"/>
      <c r="BO241" s="869" t="s">
        <v>79</v>
      </c>
      <c r="BP241" s="81">
        <f t="shared" ref="BP241" si="1002">COUNTIF($M$240:$M$241,BO241)*$D$32</f>
        <v>0</v>
      </c>
      <c r="BQ241" s="110"/>
      <c r="BR241" s="838" t="s">
        <v>79</v>
      </c>
      <c r="BS241" s="81">
        <f t="shared" ref="BS241" si="1003">COUNTIF($M$240:$M$241,BR241)*$D$32</f>
        <v>0</v>
      </c>
      <c r="BT241" s="110"/>
      <c r="BU241" s="873" t="s">
        <v>79</v>
      </c>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50"/>
      <c r="T242" s="71">
        <f>SUM(T240:T241)</f>
        <v>0</v>
      </c>
      <c r="U242" s="49"/>
      <c r="V242" s="789"/>
      <c r="W242" s="71">
        <f t="shared" ref="W242" si="1011">SUM(W240:W241)</f>
        <v>0</v>
      </c>
      <c r="X242" s="49"/>
      <c r="Y242" s="794"/>
      <c r="Z242" s="71">
        <f t="shared" ref="Z242" si="1012">SUM(Z240:Z241)</f>
        <v>0</v>
      </c>
      <c r="AA242" s="49"/>
      <c r="AB242" s="799"/>
      <c r="AC242" s="71">
        <f t="shared" ref="AC242" si="1013">SUM(AC240:AC241)</f>
        <v>0</v>
      </c>
      <c r="AD242" s="49"/>
      <c r="AE242" s="804"/>
      <c r="AF242" s="71">
        <f t="shared" ref="AF242" si="1014">SUM(AF240:AF241)</f>
        <v>0</v>
      </c>
      <c r="AG242" s="49"/>
      <c r="AH242" s="84"/>
      <c r="AI242" s="71">
        <f t="shared" ref="AI242" si="1015">SUM(AI240:AI241)</f>
        <v>0</v>
      </c>
      <c r="AJ242" s="49"/>
      <c r="AK242" s="809"/>
      <c r="AL242" s="71">
        <f t="shared" ref="AL242" si="1016">SUM(AL240:AL241)</f>
        <v>0</v>
      </c>
      <c r="AM242" s="49"/>
      <c r="AN242" s="814"/>
      <c r="AO242" s="71">
        <f t="shared" ref="AO242" si="1017">SUM(AO240:AO241)</f>
        <v>0</v>
      </c>
      <c r="AP242" s="49"/>
      <c r="AQ242" s="819"/>
      <c r="AR242" s="71">
        <f t="shared" ref="AR242" si="1018">SUM(AR240:AR241)</f>
        <v>0</v>
      </c>
      <c r="AS242" s="49"/>
      <c r="AT242" s="824"/>
      <c r="AU242" s="71">
        <f t="shared" ref="AU242" si="1019">SUM(AU240:AU241)</f>
        <v>0</v>
      </c>
      <c r="AV242" s="49"/>
      <c r="AW242" s="833"/>
      <c r="AX242" s="71">
        <f t="shared" ref="AX242" si="1020">SUM(AX240:AX241)</f>
        <v>0</v>
      </c>
      <c r="AY242" s="49"/>
      <c r="AZ242" s="839"/>
      <c r="BA242" s="71">
        <f t="shared" ref="BA242" si="1021">SUM(BA240:BA241)</f>
        <v>0</v>
      </c>
      <c r="BB242" s="49"/>
      <c r="BC242" s="841"/>
      <c r="BD242" s="71">
        <f t="shared" ref="BD242" si="1022">SUM(BD240:BD241)</f>
        <v>0</v>
      </c>
      <c r="BE242" s="49"/>
      <c r="BF242" s="846"/>
      <c r="BG242" s="71">
        <f t="shared" ref="BG242" si="1023">SUM(BG240:BG241)</f>
        <v>0</v>
      </c>
      <c r="BH242" s="49"/>
      <c r="BI242" s="855"/>
      <c r="BJ242" s="71">
        <f t="shared" ref="BJ242" si="1024">SUM(BJ240:BJ241)</f>
        <v>0</v>
      </c>
      <c r="BK242" s="49"/>
      <c r="BL242" s="860"/>
      <c r="BM242" s="71">
        <f t="shared" ref="BM242" si="1025">SUM(BM240:BM241)</f>
        <v>0</v>
      </c>
      <c r="BN242" s="49"/>
      <c r="BO242" s="865"/>
      <c r="BP242" s="71">
        <f t="shared" ref="BP242" si="1026">SUM(BP240:BP241)</f>
        <v>0</v>
      </c>
      <c r="BQ242" s="49"/>
      <c r="BR242" s="839"/>
      <c r="BS242" s="71">
        <f t="shared" ref="BS242" si="1027">SUM(BS240:BS241)</f>
        <v>0</v>
      </c>
      <c r="BT242" s="49"/>
      <c r="BU242" s="87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50"/>
      <c r="T243" s="112"/>
      <c r="U243" s="49"/>
      <c r="V243" s="789"/>
      <c r="W243" s="71"/>
      <c r="X243" s="49"/>
      <c r="Y243" s="794"/>
      <c r="Z243" s="71"/>
      <c r="AA243" s="49"/>
      <c r="AB243" s="799"/>
      <c r="AC243" s="71"/>
      <c r="AD243" s="49"/>
      <c r="AE243" s="804"/>
      <c r="AF243" s="71"/>
      <c r="AG243" s="49"/>
      <c r="AH243" s="84"/>
      <c r="AI243" s="71"/>
      <c r="AJ243" s="49"/>
      <c r="AK243" s="809"/>
      <c r="AL243" s="71"/>
      <c r="AM243" s="49"/>
      <c r="AN243" s="814"/>
      <c r="AO243" s="71"/>
      <c r="AP243" s="49"/>
      <c r="AQ243" s="819"/>
      <c r="AR243" s="71"/>
      <c r="AS243" s="49"/>
      <c r="AT243" s="824"/>
      <c r="AU243" s="71"/>
      <c r="AV243" s="49"/>
      <c r="AW243" s="833"/>
      <c r="AX243" s="71"/>
      <c r="AY243" s="49"/>
      <c r="AZ243" s="839"/>
      <c r="BA243" s="71"/>
      <c r="BB243" s="49"/>
      <c r="BC243" s="841"/>
      <c r="BD243" s="71"/>
      <c r="BE243" s="49"/>
      <c r="BF243" s="846"/>
      <c r="BG243" s="71"/>
      <c r="BH243" s="49"/>
      <c r="BI243" s="855"/>
      <c r="BJ243" s="71"/>
      <c r="BK243" s="49"/>
      <c r="BL243" s="860"/>
      <c r="BM243" s="71"/>
      <c r="BN243" s="49"/>
      <c r="BO243" s="865"/>
      <c r="BP243" s="71"/>
      <c r="BQ243" s="49"/>
      <c r="BR243" s="839"/>
      <c r="BS243" s="71"/>
      <c r="BT243" s="49"/>
      <c r="BU243" s="87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854" t="s">
        <v>2358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2"/>
      <c r="V244" s="793" t="s">
        <v>1998</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798" t="s">
        <v>2034</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803" t="s">
        <v>2074</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808" t="s">
        <v>2110</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2139</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813" t="s">
        <v>2163</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818" t="s">
        <v>2163</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823" t="s">
        <v>2208</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828" t="s">
        <v>2208</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832" t="s">
        <v>2249</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838" t="s">
        <v>2273</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845" t="s">
        <v>2302</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849" t="s">
        <v>2332</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859" t="s">
        <v>2164</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864" t="s">
        <v>2403</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869" t="s">
        <v>1999</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838" t="s">
        <v>2438</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873" t="s">
        <v>2454</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50"/>
      <c r="T245" s="83">
        <f>T244</f>
        <v>0</v>
      </c>
      <c r="U245" s="110"/>
      <c r="V245" s="789"/>
      <c r="W245" s="83">
        <f t="shared" ref="W245" si="1059">W244</f>
        <v>0</v>
      </c>
      <c r="X245" s="110"/>
      <c r="Y245" s="794"/>
      <c r="Z245" s="83">
        <f t="shared" ref="Z245" si="1060">Z244</f>
        <v>0</v>
      </c>
      <c r="AA245" s="110"/>
      <c r="AB245" s="799"/>
      <c r="AC245" s="83">
        <f t="shared" ref="AC245" si="1061">AC244</f>
        <v>0</v>
      </c>
      <c r="AD245" s="110"/>
      <c r="AE245" s="804"/>
      <c r="AF245" s="83">
        <f t="shared" ref="AF245" si="1062">AF244</f>
        <v>0</v>
      </c>
      <c r="AG245" s="110"/>
      <c r="AH245" s="84"/>
      <c r="AI245" s="83">
        <f t="shared" ref="AI245" si="1063">AI244</f>
        <v>0</v>
      </c>
      <c r="AJ245" s="110"/>
      <c r="AK245" s="809"/>
      <c r="AL245" s="83">
        <f t="shared" ref="AL245" si="1064">AL244</f>
        <v>0</v>
      </c>
      <c r="AM245" s="110"/>
      <c r="AN245" s="814"/>
      <c r="AO245" s="83">
        <f t="shared" ref="AO245" si="1065">AO244</f>
        <v>0</v>
      </c>
      <c r="AP245" s="110"/>
      <c r="AQ245" s="819"/>
      <c r="AR245" s="83">
        <f t="shared" ref="AR245" si="1066">AR244</f>
        <v>0</v>
      </c>
      <c r="AS245" s="110"/>
      <c r="AT245" s="824"/>
      <c r="AU245" s="83">
        <f t="shared" ref="AU245" si="1067">AU244</f>
        <v>0</v>
      </c>
      <c r="AV245" s="110"/>
      <c r="AW245" s="833"/>
      <c r="AX245" s="83">
        <f t="shared" ref="AX245" si="1068">AX244</f>
        <v>0</v>
      </c>
      <c r="AY245" s="110"/>
      <c r="AZ245" s="839"/>
      <c r="BA245" s="83">
        <f t="shared" ref="BA245" si="1069">BA244</f>
        <v>0</v>
      </c>
      <c r="BB245" s="110"/>
      <c r="BC245" s="841"/>
      <c r="BD245" s="83">
        <f t="shared" ref="BD245" si="1070">BD244</f>
        <v>0</v>
      </c>
      <c r="BE245" s="110"/>
      <c r="BF245" s="846"/>
      <c r="BG245" s="83">
        <f t="shared" ref="BG245" si="1071">BG244</f>
        <v>0</v>
      </c>
      <c r="BH245" s="110"/>
      <c r="BI245" s="855"/>
      <c r="BJ245" s="83">
        <f t="shared" ref="BJ245" si="1072">BJ244</f>
        <v>0</v>
      </c>
      <c r="BK245" s="110"/>
      <c r="BL245" s="860"/>
      <c r="BM245" s="83">
        <f t="shared" ref="BM245" si="1073">BM244</f>
        <v>0</v>
      </c>
      <c r="BN245" s="110"/>
      <c r="BO245" s="865"/>
      <c r="BP245" s="83">
        <f t="shared" ref="BP245" si="1074">BP244</f>
        <v>0</v>
      </c>
      <c r="BQ245" s="110"/>
      <c r="BR245" s="839"/>
      <c r="BS245" s="83">
        <f t="shared" ref="BS245" si="1075">BS244</f>
        <v>0</v>
      </c>
      <c r="BT245" s="110"/>
      <c r="BU245" s="87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50"/>
      <c r="T246" s="83"/>
      <c r="U246" s="110"/>
      <c r="V246" s="789"/>
      <c r="W246" s="83"/>
      <c r="X246" s="110"/>
      <c r="Y246" s="794"/>
      <c r="Z246" s="83"/>
      <c r="AA246" s="110"/>
      <c r="AB246" s="799"/>
      <c r="AC246" s="83"/>
      <c r="AD246" s="110"/>
      <c r="AE246" s="804"/>
      <c r="AF246" s="83"/>
      <c r="AG246" s="110"/>
      <c r="AH246" s="84"/>
      <c r="AI246" s="83"/>
      <c r="AJ246" s="110"/>
      <c r="AK246" s="809"/>
      <c r="AL246" s="83"/>
      <c r="AM246" s="110"/>
      <c r="AN246" s="814"/>
      <c r="AO246" s="83"/>
      <c r="AP246" s="110"/>
      <c r="AQ246" s="819"/>
      <c r="AR246" s="83"/>
      <c r="AS246" s="110"/>
      <c r="AT246" s="824"/>
      <c r="AU246" s="83"/>
      <c r="AV246" s="110"/>
      <c r="AW246" s="833"/>
      <c r="AX246" s="83"/>
      <c r="AY246" s="110"/>
      <c r="AZ246" s="839"/>
      <c r="BA246" s="83"/>
      <c r="BB246" s="110"/>
      <c r="BC246" s="841"/>
      <c r="BD246" s="83"/>
      <c r="BE246" s="110"/>
      <c r="BF246" s="846"/>
      <c r="BG246" s="83"/>
      <c r="BH246" s="110"/>
      <c r="BI246" s="855"/>
      <c r="BJ246" s="83"/>
      <c r="BK246" s="110"/>
      <c r="BL246" s="860"/>
      <c r="BM246" s="83"/>
      <c r="BN246" s="110"/>
      <c r="BO246" s="865"/>
      <c r="BP246" s="83"/>
      <c r="BQ246" s="110"/>
      <c r="BR246" s="839"/>
      <c r="BS246" s="83"/>
      <c r="BT246" s="110"/>
      <c r="BU246" s="87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854" t="s">
        <v>2035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793" t="s">
        <v>1999</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798" t="s">
        <v>2035</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803" t="s">
        <v>2075</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808" t="s">
        <v>2111</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2140</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813" t="s">
        <v>2164</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818" t="s">
        <v>2185</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823" t="s">
        <v>2209</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828" t="s">
        <v>2164</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834" t="s">
        <v>2250</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840" t="s">
        <v>2274</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845" t="s">
        <v>2274</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849" t="s">
        <v>2184</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859" t="s">
        <v>1999</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864" t="s">
        <v>2185</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869" t="s">
        <v>2421</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840" t="s">
        <v>2140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873" t="s">
        <v>2455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50"/>
      <c r="T248" s="71">
        <f>T247</f>
        <v>0</v>
      </c>
      <c r="U248" s="65"/>
      <c r="V248" s="789"/>
      <c r="W248" s="71">
        <f t="shared" ref="W248" si="1106">W247</f>
        <v>0</v>
      </c>
      <c r="X248" s="65"/>
      <c r="Y248" s="794"/>
      <c r="Z248" s="71">
        <f t="shared" ref="Z248" si="1107">Z247</f>
        <v>0</v>
      </c>
      <c r="AA248" s="65"/>
      <c r="AB248" s="799"/>
      <c r="AC248" s="71">
        <f t="shared" ref="AC248" si="1108">AC247</f>
        <v>0</v>
      </c>
      <c r="AD248" s="65"/>
      <c r="AE248" s="804"/>
      <c r="AF248" s="71">
        <f t="shared" ref="AF248" si="1109">AF247</f>
        <v>0</v>
      </c>
      <c r="AG248" s="65"/>
      <c r="AH248" s="84"/>
      <c r="AI248" s="71">
        <f t="shared" ref="AI248" si="1110">AI247</f>
        <v>0</v>
      </c>
      <c r="AJ248" s="65"/>
      <c r="AK248" s="809"/>
      <c r="AL248" s="71">
        <f t="shared" ref="AL248" si="1111">AL247</f>
        <v>0</v>
      </c>
      <c r="AM248" s="65"/>
      <c r="AN248" s="814"/>
      <c r="AO248" s="71">
        <f t="shared" ref="AO248" si="1112">AO247</f>
        <v>0</v>
      </c>
      <c r="AP248" s="65"/>
      <c r="AQ248" s="819"/>
      <c r="AR248" s="71">
        <f t="shared" ref="AR248" si="1113">AR247</f>
        <v>0</v>
      </c>
      <c r="AS248" s="65"/>
      <c r="AT248" s="824"/>
      <c r="AU248" s="71">
        <f t="shared" ref="AU248" si="1114">AU247</f>
        <v>0</v>
      </c>
      <c r="AV248" s="65"/>
      <c r="AW248" s="833"/>
      <c r="AX248" s="71">
        <f t="shared" ref="AX248" si="1115">AX247</f>
        <v>0</v>
      </c>
      <c r="AY248" s="65"/>
      <c r="AZ248" s="839"/>
      <c r="BA248" s="71">
        <f t="shared" ref="BA248" si="1116">BA247</f>
        <v>0</v>
      </c>
      <c r="BB248" s="65"/>
      <c r="BC248" s="841"/>
      <c r="BD248" s="71">
        <f t="shared" ref="BD248" si="1117">BD247</f>
        <v>0</v>
      </c>
      <c r="BE248" s="65"/>
      <c r="BF248" s="846"/>
      <c r="BG248" s="71">
        <f t="shared" ref="BG248" si="1118">BG247</f>
        <v>0</v>
      </c>
      <c r="BH248" s="65"/>
      <c r="BI248" s="855"/>
      <c r="BJ248" s="71">
        <f t="shared" ref="BJ248" si="1119">BJ247</f>
        <v>0</v>
      </c>
      <c r="BK248" s="65"/>
      <c r="BL248" s="860"/>
      <c r="BM248" s="71">
        <f t="shared" ref="BM248" si="1120">BM247</f>
        <v>0</v>
      </c>
      <c r="BN248" s="65"/>
      <c r="BO248" s="865"/>
      <c r="BP248" s="71">
        <f t="shared" ref="BP248" si="1121">BP247</f>
        <v>0</v>
      </c>
      <c r="BQ248" s="65"/>
      <c r="BR248" s="839"/>
      <c r="BS248" s="71">
        <f t="shared" ref="BS248" si="1122">BS247</f>
        <v>0</v>
      </c>
      <c r="BT248" s="65"/>
      <c r="BU248" s="87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50"/>
      <c r="T249" s="71"/>
      <c r="U249" s="65"/>
      <c r="V249" s="789"/>
      <c r="W249" s="71"/>
      <c r="X249" s="65"/>
      <c r="Y249" s="794"/>
      <c r="Z249" s="71"/>
      <c r="AA249" s="65"/>
      <c r="AB249" s="799"/>
      <c r="AC249" s="71"/>
      <c r="AD249" s="65"/>
      <c r="AE249" s="804"/>
      <c r="AF249" s="71"/>
      <c r="AG249" s="65"/>
      <c r="AH249" s="84"/>
      <c r="AI249" s="71"/>
      <c r="AJ249" s="65"/>
      <c r="AK249" s="809"/>
      <c r="AL249" s="71"/>
      <c r="AM249" s="65"/>
      <c r="AN249" s="814"/>
      <c r="AO249" s="71"/>
      <c r="AP249" s="65"/>
      <c r="AQ249" s="819"/>
      <c r="AR249" s="71"/>
      <c r="AS249" s="65"/>
      <c r="AT249" s="824"/>
      <c r="AU249" s="71"/>
      <c r="AV249" s="65"/>
      <c r="AW249" s="833"/>
      <c r="AX249" s="71"/>
      <c r="AY249" s="65"/>
      <c r="AZ249" s="839"/>
      <c r="BA249" s="71"/>
      <c r="BB249" s="65"/>
      <c r="BC249" s="841"/>
      <c r="BD249" s="71"/>
      <c r="BE249" s="65"/>
      <c r="BF249" s="846"/>
      <c r="BG249" s="71"/>
      <c r="BH249" s="65"/>
      <c r="BI249" s="855"/>
      <c r="BJ249" s="71"/>
      <c r="BK249" s="65"/>
      <c r="BL249" s="860"/>
      <c r="BM249" s="71"/>
      <c r="BN249" s="65"/>
      <c r="BO249" s="865"/>
      <c r="BP249" s="71"/>
      <c r="BQ249" s="65"/>
      <c r="BR249" s="839"/>
      <c r="BS249" s="71"/>
      <c r="BT249" s="65"/>
      <c r="BU249" s="87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854" t="s">
        <v>38</v>
      </c>
      <c r="T250" s="77">
        <f>COUNTIF($M$250,S250)*$D$39</f>
        <v>0</v>
      </c>
      <c r="U250" s="64"/>
      <c r="V250" s="793" t="s">
        <v>74</v>
      </c>
      <c r="W250" s="77">
        <f t="shared" ref="W250" si="1131">COUNTIF($M$250,V250)*$D$39</f>
        <v>0</v>
      </c>
      <c r="X250" s="64"/>
      <c r="Y250" s="798" t="s">
        <v>38</v>
      </c>
      <c r="Z250" s="77">
        <f t="shared" ref="Z250" si="1132">COUNTIF($M$250,Y250)*$D$39</f>
        <v>0</v>
      </c>
      <c r="AA250" s="64"/>
      <c r="AB250" s="803" t="s">
        <v>38</v>
      </c>
      <c r="AC250" s="77">
        <f t="shared" ref="AC250" si="1133">COUNTIF($M$250,AB250)*$D$39</f>
        <v>0</v>
      </c>
      <c r="AD250" s="64"/>
      <c r="AE250" s="808" t="s">
        <v>74</v>
      </c>
      <c r="AF250" s="77">
        <f t="shared" ref="AF250" si="1134">COUNTIF($M$250,AE250)*$D$39</f>
        <v>0</v>
      </c>
      <c r="AG250" s="64"/>
      <c r="AH250" s="76" t="s">
        <v>79</v>
      </c>
      <c r="AI250" s="77">
        <f t="shared" ref="AI250" si="1135">COUNTIF($M$250,AH250)*$D$39</f>
        <v>0</v>
      </c>
      <c r="AJ250" s="64"/>
      <c r="AK250" s="813" t="s">
        <v>38</v>
      </c>
      <c r="AL250" s="77">
        <f t="shared" ref="AL250" si="1136">COUNTIF($M$250,AK250)*$D$39</f>
        <v>0</v>
      </c>
      <c r="AM250" s="64"/>
      <c r="AN250" s="818" t="s">
        <v>79</v>
      </c>
      <c r="AO250" s="77">
        <f t="shared" ref="AO250" si="1137">COUNTIF($M$250,AN250)*$D$39</f>
        <v>0</v>
      </c>
      <c r="AP250" s="64"/>
      <c r="AQ250" s="823" t="s">
        <v>1256</v>
      </c>
      <c r="AR250" s="77">
        <f t="shared" ref="AR250" si="1138">COUNTIF($M$250,AQ250)*$D$39</f>
        <v>0</v>
      </c>
      <c r="AS250" s="64"/>
      <c r="AT250" s="828" t="s">
        <v>38</v>
      </c>
      <c r="AU250" s="77">
        <f t="shared" ref="AU250" si="1139">COUNTIF($M$250,AT250)*$D$39</f>
        <v>0</v>
      </c>
      <c r="AV250" s="64"/>
      <c r="AW250" s="832" t="s">
        <v>38</v>
      </c>
      <c r="AX250" s="77">
        <f t="shared" ref="AX250" si="1140">COUNTIF($M$250,AW250)*$D$39</f>
        <v>0</v>
      </c>
      <c r="AY250" s="64"/>
      <c r="AZ250" s="838" t="s">
        <v>79</v>
      </c>
      <c r="BA250" s="77">
        <f t="shared" ref="BA250" si="1141">COUNTIF($M$250,AZ250)*$D$39</f>
        <v>0</v>
      </c>
      <c r="BB250" s="64"/>
      <c r="BC250" s="845" t="s">
        <v>79</v>
      </c>
      <c r="BD250" s="77">
        <f t="shared" ref="BD250" si="1142">COUNTIF($M$250,BC250)*$D$39</f>
        <v>0</v>
      </c>
      <c r="BE250" s="64"/>
      <c r="BF250" s="849" t="s">
        <v>79</v>
      </c>
      <c r="BG250" s="77">
        <f t="shared" ref="BG250" si="1143">COUNTIF($M$250,BF250)*$D$39</f>
        <v>0</v>
      </c>
      <c r="BH250" s="64"/>
      <c r="BI250" s="859" t="s">
        <v>2378</v>
      </c>
      <c r="BJ250" s="77">
        <f t="shared" ref="BJ250" si="1144">COUNTIF($M$250,BI250)*$D$39</f>
        <v>0</v>
      </c>
      <c r="BK250" s="64"/>
      <c r="BL250" s="864" t="s">
        <v>79</v>
      </c>
      <c r="BM250" s="77">
        <f t="shared" ref="BM250" si="1145">COUNTIF($M$250,BL250)*$D$39</f>
        <v>0</v>
      </c>
      <c r="BN250" s="64"/>
      <c r="BO250" s="869" t="s">
        <v>79</v>
      </c>
      <c r="BP250" s="77">
        <f t="shared" ref="BP250" si="1146">COUNTIF($M$250,BO250)*$D$39</f>
        <v>0</v>
      </c>
      <c r="BQ250" s="64"/>
      <c r="BR250" s="838" t="s">
        <v>79</v>
      </c>
      <c r="BS250" s="77">
        <f t="shared" ref="BS250" si="1147">COUNTIF($M$250,BR250)*$D$39</f>
        <v>0</v>
      </c>
      <c r="BT250" s="64"/>
      <c r="BU250" s="873" t="s">
        <v>74</v>
      </c>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854" t="s">
        <v>79</v>
      </c>
      <c r="T251" s="73">
        <f>COUNTIF($M$251,S251)*$D$40</f>
        <v>0</v>
      </c>
      <c r="U251" s="64"/>
      <c r="V251" s="793" t="s">
        <v>1258</v>
      </c>
      <c r="W251" s="73">
        <f t="shared" ref="W251" si="1155">COUNTIF($M$251,V251)*$D$40</f>
        <v>0</v>
      </c>
      <c r="X251" s="64"/>
      <c r="Y251" s="798" t="s">
        <v>79</v>
      </c>
      <c r="Z251" s="73">
        <f t="shared" ref="Z251" si="1156">COUNTIF($M$251,Y251)*$D$40</f>
        <v>0</v>
      </c>
      <c r="AA251" s="64"/>
      <c r="AB251" s="803" t="s">
        <v>74</v>
      </c>
      <c r="AC251" s="73">
        <f t="shared" ref="AC251" si="1157">COUNTIF($M$251,AB251)*$D$40</f>
        <v>0</v>
      </c>
      <c r="AD251" s="64"/>
      <c r="AE251" s="808" t="s">
        <v>79</v>
      </c>
      <c r="AF251" s="73">
        <f t="shared" ref="AF251" si="1158">COUNTIF($M$251,AE251)*$D$40</f>
        <v>0</v>
      </c>
      <c r="AG251" s="64"/>
      <c r="AH251" s="74" t="s">
        <v>38</v>
      </c>
      <c r="AI251" s="73">
        <f t="shared" ref="AI251" si="1159">COUNTIF($M$251,AH251)*$D$40</f>
        <v>0</v>
      </c>
      <c r="AJ251" s="64"/>
      <c r="AK251" s="813" t="s">
        <v>1256</v>
      </c>
      <c r="AL251" s="73">
        <f t="shared" ref="AL251" si="1160">COUNTIF($M$251,AK251)*$D$40</f>
        <v>0</v>
      </c>
      <c r="AM251" s="64"/>
      <c r="AN251" s="818" t="s">
        <v>38</v>
      </c>
      <c r="AO251" s="73">
        <f t="shared" ref="AO251" si="1161">COUNTIF($M$251,AN251)*$D$40</f>
        <v>0</v>
      </c>
      <c r="AP251" s="64"/>
      <c r="AQ251" s="823" t="s">
        <v>38</v>
      </c>
      <c r="AR251" s="73">
        <f t="shared" ref="AR251" si="1162">COUNTIF($M$251,AQ251)*$D$40</f>
        <v>0</v>
      </c>
      <c r="AS251" s="64"/>
      <c r="AT251" s="828" t="s">
        <v>1256</v>
      </c>
      <c r="AU251" s="73">
        <f t="shared" ref="AU251" si="1163">COUNTIF($M$251,AT251)*$D$40</f>
        <v>0</v>
      </c>
      <c r="AV251" s="64"/>
      <c r="AW251" s="832" t="s">
        <v>74</v>
      </c>
      <c r="AX251" s="73">
        <f t="shared" ref="AX251" si="1164">COUNTIF($M$251,AW251)*$D$40</f>
        <v>0</v>
      </c>
      <c r="AY251" s="64"/>
      <c r="AZ251" s="838" t="s">
        <v>74</v>
      </c>
      <c r="BA251" s="73">
        <f t="shared" ref="BA251" si="1165">COUNTIF($M$251,AZ251)*$D$40</f>
        <v>0</v>
      </c>
      <c r="BB251" s="64"/>
      <c r="BC251" s="845" t="s">
        <v>74</v>
      </c>
      <c r="BD251" s="73">
        <f t="shared" ref="BD251" si="1166">COUNTIF($M$251,BC251)*$D$40</f>
        <v>0</v>
      </c>
      <c r="BE251" s="64"/>
      <c r="BF251" s="849" t="s">
        <v>1258</v>
      </c>
      <c r="BG251" s="73">
        <f t="shared" ref="BG251" si="1167">COUNTIF($M$251,BF251)*$D$40</f>
        <v>0</v>
      </c>
      <c r="BH251" s="64"/>
      <c r="BI251" s="859" t="s">
        <v>1258</v>
      </c>
      <c r="BJ251" s="73">
        <f t="shared" ref="BJ251" si="1168">COUNTIF($M$251,BI251)*$D$40</f>
        <v>0</v>
      </c>
      <c r="BK251" s="64"/>
      <c r="BL251" s="864" t="s">
        <v>38</v>
      </c>
      <c r="BM251" s="73">
        <f t="shared" ref="BM251" si="1169">COUNTIF($M$251,BL251)*$D$40</f>
        <v>0</v>
      </c>
      <c r="BN251" s="64"/>
      <c r="BO251" s="869" t="s">
        <v>38</v>
      </c>
      <c r="BP251" s="73">
        <f t="shared" ref="BP251" si="1170">COUNTIF($M$251,BO251)*$D$40</f>
        <v>0</v>
      </c>
      <c r="BQ251" s="64"/>
      <c r="BR251" s="838" t="s">
        <v>38</v>
      </c>
      <c r="BS251" s="73">
        <f t="shared" ref="BS251" si="1171">COUNTIF($M$251,BR251)*$D$40</f>
        <v>0</v>
      </c>
      <c r="BT251" s="64"/>
      <c r="BU251" s="873" t="s">
        <v>79</v>
      </c>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854" t="s">
        <v>1321</v>
      </c>
      <c r="T252" s="73">
        <f>COUNTIF($M$252,S252)*$D$41</f>
        <v>0</v>
      </c>
      <c r="U252" s="64"/>
      <c r="V252" s="793" t="s">
        <v>1256</v>
      </c>
      <c r="W252" s="73">
        <f t="shared" ref="W252" si="1179">COUNTIF($M$252,V252)*$D$41</f>
        <v>0</v>
      </c>
      <c r="X252" s="64"/>
      <c r="Y252" s="798" t="s">
        <v>76</v>
      </c>
      <c r="Z252" s="73">
        <f t="shared" ref="Z252" si="1180">COUNTIF($M$252,Y252)*$D$41</f>
        <v>0</v>
      </c>
      <c r="AA252" s="64"/>
      <c r="AB252" s="803" t="s">
        <v>79</v>
      </c>
      <c r="AC252" s="73">
        <f t="shared" ref="AC252" si="1181">COUNTIF($M$252,AB252)*$D$41</f>
        <v>0</v>
      </c>
      <c r="AD252" s="64"/>
      <c r="AE252" s="808" t="s">
        <v>1258</v>
      </c>
      <c r="AF252" s="73">
        <f t="shared" ref="AF252" si="1182">COUNTIF($M$252,AE252)*$D$41</f>
        <v>0</v>
      </c>
      <c r="AG252" s="64"/>
      <c r="AH252" s="74" t="s">
        <v>74</v>
      </c>
      <c r="AI252" s="73">
        <f t="shared" ref="AI252" si="1183">COUNTIF($M$252,AH252)*$D$41</f>
        <v>0</v>
      </c>
      <c r="AJ252" s="64"/>
      <c r="AK252" s="813" t="s">
        <v>1258</v>
      </c>
      <c r="AL252" s="73">
        <f t="shared" ref="AL252" si="1184">COUNTIF($M$252,AK252)*$D$41</f>
        <v>0</v>
      </c>
      <c r="AM252" s="64"/>
      <c r="AN252" s="818" t="s">
        <v>1258</v>
      </c>
      <c r="AO252" s="73">
        <f t="shared" ref="AO252" si="1185">COUNTIF($M$252,AN252)*$D$41</f>
        <v>0</v>
      </c>
      <c r="AP252" s="64"/>
      <c r="AQ252" s="823" t="s">
        <v>74</v>
      </c>
      <c r="AR252" s="73">
        <f t="shared" ref="AR252" si="1186">COUNTIF($M$252,AQ252)*$D$41</f>
        <v>0</v>
      </c>
      <c r="AS252" s="64"/>
      <c r="AT252" s="828" t="s">
        <v>74</v>
      </c>
      <c r="AU252" s="73">
        <f t="shared" ref="AU252" si="1187">COUNTIF($M$252,AT252)*$D$41</f>
        <v>0</v>
      </c>
      <c r="AV252" s="64"/>
      <c r="AW252" s="832" t="s">
        <v>1256</v>
      </c>
      <c r="AX252" s="73">
        <f t="shared" ref="AX252" si="1188">COUNTIF($M$252,AW252)*$D$41</f>
        <v>0</v>
      </c>
      <c r="AY252" s="64"/>
      <c r="AZ252" s="838" t="s">
        <v>38</v>
      </c>
      <c r="BA252" s="73">
        <f t="shared" ref="BA252" si="1189">COUNTIF($M$252,AZ252)*$D$41</f>
        <v>0</v>
      </c>
      <c r="BB252" s="64"/>
      <c r="BC252" s="845" t="s">
        <v>1258</v>
      </c>
      <c r="BD252" s="73">
        <f t="shared" ref="BD252" si="1190">COUNTIF($M$252,BC252)*$D$41</f>
        <v>0</v>
      </c>
      <c r="BE252" s="64"/>
      <c r="BF252" s="849" t="s">
        <v>38</v>
      </c>
      <c r="BG252" s="73">
        <f t="shared" ref="BG252" si="1191">COUNTIF($M$252,BF252)*$D$41</f>
        <v>0</v>
      </c>
      <c r="BH252" s="64"/>
      <c r="BI252" s="859" t="s">
        <v>38</v>
      </c>
      <c r="BJ252" s="73">
        <f t="shared" ref="BJ252" si="1192">COUNTIF($M$252,BI252)*$D$41</f>
        <v>0</v>
      </c>
      <c r="BK252" s="64"/>
      <c r="BL252" s="864" t="s">
        <v>1258</v>
      </c>
      <c r="BM252" s="73">
        <f t="shared" ref="BM252" si="1193">COUNTIF($M$252,BL252)*$D$41</f>
        <v>0</v>
      </c>
      <c r="BN252" s="64"/>
      <c r="BO252" s="869" t="s">
        <v>74</v>
      </c>
      <c r="BP252" s="73">
        <f t="shared" ref="BP252" si="1194">COUNTIF($M$252,BO252)*$D$41</f>
        <v>0</v>
      </c>
      <c r="BQ252" s="64"/>
      <c r="BR252" s="838" t="s">
        <v>74</v>
      </c>
      <c r="BS252" s="73">
        <f t="shared" ref="BS252" si="1195">COUNTIF($M$252,BR252)*$D$41</f>
        <v>0</v>
      </c>
      <c r="BT252" s="64"/>
      <c r="BU252" s="873" t="s">
        <v>38</v>
      </c>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854" t="s">
        <v>2359</v>
      </c>
      <c r="T253" s="73">
        <f>COUNTIF($M$253,S253)*$D$42</f>
        <v>0</v>
      </c>
      <c r="U253" s="64"/>
      <c r="V253" s="793" t="s">
        <v>2000</v>
      </c>
      <c r="W253" s="73">
        <f t="shared" ref="W253" si="1203">COUNTIF($M$253,V253)*$D$42</f>
        <v>0</v>
      </c>
      <c r="X253" s="64"/>
      <c r="Y253" s="798" t="s">
        <v>2036</v>
      </c>
      <c r="Z253" s="73">
        <f t="shared" ref="Z253" si="1204">COUNTIF($M$253,Y253)*$D$42</f>
        <v>0</v>
      </c>
      <c r="AA253" s="64"/>
      <c r="AB253" s="803" t="s">
        <v>2076</v>
      </c>
      <c r="AC253" s="73">
        <f t="shared" ref="AC253" si="1205">COUNTIF($M$253,AB253)*$D$42</f>
        <v>0</v>
      </c>
      <c r="AD253" s="64"/>
      <c r="AE253" s="808" t="s">
        <v>2112</v>
      </c>
      <c r="AF253" s="73">
        <f t="shared" ref="AF253" si="1206">COUNTIF($M$253,AE253)*$D$42</f>
        <v>0</v>
      </c>
      <c r="AG253" s="64"/>
      <c r="AH253" s="74" t="s">
        <v>2141</v>
      </c>
      <c r="AI253" s="73">
        <f t="shared" ref="AI253" si="1207">COUNTIF($M$253,AH253)*$D$42</f>
        <v>0</v>
      </c>
      <c r="AJ253" s="64"/>
      <c r="AK253" s="813" t="s">
        <v>2142</v>
      </c>
      <c r="AL253" s="73">
        <f t="shared" ref="AL253" si="1208">COUNTIF($M$253,AK253)*$D$42</f>
        <v>0</v>
      </c>
      <c r="AM253" s="64"/>
      <c r="AN253" s="818" t="s">
        <v>2078</v>
      </c>
      <c r="AO253" s="73">
        <f t="shared" ref="AO253" si="1209">COUNTIF($M$253,AN253)*$D$42</f>
        <v>0</v>
      </c>
      <c r="AP253" s="64"/>
      <c r="AQ253" s="823" t="s">
        <v>2037</v>
      </c>
      <c r="AR253" s="73">
        <f t="shared" ref="AR253" si="1210">COUNTIF($M$253,AQ253)*$D$42</f>
        <v>0</v>
      </c>
      <c r="AS253" s="64"/>
      <c r="AT253" s="828" t="s">
        <v>2142</v>
      </c>
      <c r="AU253" s="73">
        <f t="shared" ref="AU253" si="1211">COUNTIF($M$253,AT253)*$D$42</f>
        <v>0</v>
      </c>
      <c r="AV253" s="64"/>
      <c r="AW253" s="832" t="s">
        <v>2251</v>
      </c>
      <c r="AX253" s="73">
        <f t="shared" ref="AX253" si="1212">COUNTIF($M$253,AW253)*$D$42</f>
        <v>0</v>
      </c>
      <c r="AY253" s="64"/>
      <c r="AZ253" s="838" t="s">
        <v>2186</v>
      </c>
      <c r="BA253" s="73">
        <f t="shared" ref="BA253" si="1213">COUNTIF($M$253,AZ253)*$D$42</f>
        <v>0</v>
      </c>
      <c r="BB253" s="64"/>
      <c r="BC253" s="845" t="s">
        <v>2303</v>
      </c>
      <c r="BD253" s="73">
        <f t="shared" ref="BD253" si="1214">COUNTIF($M$253,BC253)*$D$42</f>
        <v>0</v>
      </c>
      <c r="BE253" s="64"/>
      <c r="BF253" s="849" t="s">
        <v>2333</v>
      </c>
      <c r="BG253" s="73">
        <f t="shared" ref="BG253" si="1215">COUNTIF($M$253,BF253)*$D$42</f>
        <v>0</v>
      </c>
      <c r="BH253" s="64"/>
      <c r="BI253" s="859" t="s">
        <v>2379</v>
      </c>
      <c r="BJ253" s="73">
        <f t="shared" ref="BJ253" si="1216">COUNTIF($M$253,BI253)*$D$42</f>
        <v>0</v>
      </c>
      <c r="BK253" s="64"/>
      <c r="BL253" s="864" t="s">
        <v>2404</v>
      </c>
      <c r="BM253" s="73">
        <f t="shared" ref="BM253" si="1217">COUNTIF($M$253,BL253)*$D$42</f>
        <v>0</v>
      </c>
      <c r="BN253" s="64"/>
      <c r="BO253" s="869" t="s">
        <v>2422</v>
      </c>
      <c r="BP253" s="73">
        <f t="shared" ref="BP253" si="1218">COUNTIF($M$253,BO253)*$D$42</f>
        <v>0</v>
      </c>
      <c r="BQ253" s="64"/>
      <c r="BR253" s="838" t="s">
        <v>2186</v>
      </c>
      <c r="BS253" s="73">
        <f t="shared" ref="BS253" si="1219">COUNTIF($M$253,BR253)*$D$42</f>
        <v>0</v>
      </c>
      <c r="BT253" s="64"/>
      <c r="BU253" s="873" t="s">
        <v>2186</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854" t="s">
        <v>2078</v>
      </c>
      <c r="T254" s="73">
        <f>COUNTIF($M$254,S254)*$D$43</f>
        <v>0</v>
      </c>
      <c r="U254" s="64"/>
      <c r="V254" s="793" t="s">
        <v>2001</v>
      </c>
      <c r="W254" s="73">
        <f t="shared" ref="W254" si="1227">COUNTIF($M$254,V254)*$D$43</f>
        <v>0</v>
      </c>
      <c r="X254" s="64"/>
      <c r="Y254" s="798" t="s">
        <v>2037</v>
      </c>
      <c r="Z254" s="73">
        <f t="shared" ref="Z254" si="1228">COUNTIF($M$254,Y254)*$D$43</f>
        <v>0</v>
      </c>
      <c r="AA254" s="64"/>
      <c r="AB254" s="803" t="s">
        <v>2039</v>
      </c>
      <c r="AC254" s="73">
        <f t="shared" ref="AC254" si="1229">COUNTIF($M$254,AB254)*$D$43</f>
        <v>0</v>
      </c>
      <c r="AD254" s="64"/>
      <c r="AE254" s="808" t="s">
        <v>2113</v>
      </c>
      <c r="AF254" s="73">
        <f t="shared" ref="AF254" si="1230">COUNTIF($M$254,AE254)*$D$43</f>
        <v>0</v>
      </c>
      <c r="AG254" s="64"/>
      <c r="AH254" s="74" t="s">
        <v>2142</v>
      </c>
      <c r="AI254" s="73">
        <f t="shared" ref="AI254" si="1231">COUNTIF($M$254,AH254)*$D$43</f>
        <v>0</v>
      </c>
      <c r="AJ254" s="64"/>
      <c r="AK254" s="813" t="s">
        <v>2037</v>
      </c>
      <c r="AL254" s="73">
        <f t="shared" ref="AL254" si="1232">COUNTIF($M$254,AK254)*$D$43</f>
        <v>0</v>
      </c>
      <c r="AM254" s="64"/>
      <c r="AN254" s="818" t="s">
        <v>2186</v>
      </c>
      <c r="AO254" s="73">
        <f t="shared" ref="AO254" si="1233">COUNTIF($M$254,AN254)*$D$43</f>
        <v>0</v>
      </c>
      <c r="AP254" s="64"/>
      <c r="AQ254" s="823" t="s">
        <v>2166</v>
      </c>
      <c r="AR254" s="73">
        <f t="shared" ref="AR254" si="1234">COUNTIF($M$254,AQ254)*$D$43</f>
        <v>0</v>
      </c>
      <c r="AS254" s="64"/>
      <c r="AT254" s="828" t="s">
        <v>2037</v>
      </c>
      <c r="AU254" s="73">
        <f t="shared" ref="AU254" si="1235">COUNTIF($M$254,AT254)*$D$43</f>
        <v>0</v>
      </c>
      <c r="AV254" s="64"/>
      <c r="AW254" s="832" t="s">
        <v>2252</v>
      </c>
      <c r="AX254" s="73">
        <f t="shared" ref="AX254" si="1236">COUNTIF($M$254,AW254)*$D$43</f>
        <v>0</v>
      </c>
      <c r="AY254" s="64"/>
      <c r="AZ254" s="838" t="s">
        <v>2275</v>
      </c>
      <c r="BA254" s="73">
        <f t="shared" ref="BA254" si="1237">COUNTIF($M$254,AZ254)*$D$43</f>
        <v>0</v>
      </c>
      <c r="BB254" s="64"/>
      <c r="BC254" s="845" t="s">
        <v>2304</v>
      </c>
      <c r="BD254" s="73">
        <f t="shared" ref="BD254" si="1238">COUNTIF($M$254,BC254)*$D$43</f>
        <v>0</v>
      </c>
      <c r="BE254" s="64"/>
      <c r="BF254" s="849" t="s">
        <v>2334</v>
      </c>
      <c r="BG254" s="73">
        <f t="shared" ref="BG254" si="1239">COUNTIF($M$254,BF254)*$D$43</f>
        <v>0</v>
      </c>
      <c r="BH254" s="64"/>
      <c r="BI254" s="859" t="s">
        <v>2380</v>
      </c>
      <c r="BJ254" s="73">
        <f t="shared" ref="BJ254" si="1240">COUNTIF($M$254,BI254)*$D$43</f>
        <v>0</v>
      </c>
      <c r="BK254" s="64"/>
      <c r="BL254" s="864" t="s">
        <v>2405</v>
      </c>
      <c r="BM254" s="73">
        <f t="shared" ref="BM254" si="1241">COUNTIF($M$254,BL254)*$D$43</f>
        <v>0</v>
      </c>
      <c r="BN254" s="64"/>
      <c r="BO254" s="869" t="s">
        <v>2423</v>
      </c>
      <c r="BP254" s="73">
        <f t="shared" ref="BP254" si="1242">COUNTIF($M$254,BO254)*$D$43</f>
        <v>0</v>
      </c>
      <c r="BQ254" s="64"/>
      <c r="BR254" s="838" t="s">
        <v>2335</v>
      </c>
      <c r="BS254" s="73">
        <f t="shared" ref="BS254" si="1243">COUNTIF($M$254,BR254)*$D$43</f>
        <v>0</v>
      </c>
      <c r="BT254" s="64"/>
      <c r="BU254" s="873" t="s">
        <v>2456</v>
      </c>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854" t="s">
        <v>2039</v>
      </c>
      <c r="T255" s="73">
        <f>COUNTIF($M$255,S255)*$D$44</f>
        <v>0</v>
      </c>
      <c r="U255" s="64"/>
      <c r="V255" s="793" t="s">
        <v>2002</v>
      </c>
      <c r="W255" s="73">
        <f t="shared" ref="W255" si="1251">COUNTIF($M$255,V255)*$D$44</f>
        <v>0</v>
      </c>
      <c r="X255" s="64"/>
      <c r="Y255" s="798" t="s">
        <v>2038</v>
      </c>
      <c r="Z255" s="73">
        <f t="shared" ref="Z255" si="1252">COUNTIF($M$255,Y255)*$D$44</f>
        <v>0</v>
      </c>
      <c r="AA255" s="64"/>
      <c r="AB255" s="803" t="s">
        <v>2000</v>
      </c>
      <c r="AC255" s="73">
        <f t="shared" ref="AC255" si="1253">COUNTIF($M$255,AB255)*$D$44</f>
        <v>0</v>
      </c>
      <c r="AD255" s="64"/>
      <c r="AE255" s="808" t="s">
        <v>2114</v>
      </c>
      <c r="AF255" s="73">
        <f t="shared" ref="AF255" si="1254">COUNTIF($M$255,AE255)*$D$44</f>
        <v>0</v>
      </c>
      <c r="AG255" s="64"/>
      <c r="AH255" s="74" t="s">
        <v>2039</v>
      </c>
      <c r="AI255" s="73">
        <f t="shared" ref="AI255" si="1255">COUNTIF($M$255,AH255)*$D$44</f>
        <v>0</v>
      </c>
      <c r="AJ255" s="64"/>
      <c r="AK255" s="813" t="s">
        <v>2165</v>
      </c>
      <c r="AL255" s="73">
        <f t="shared" ref="AL255" si="1256">COUNTIF($M$255,AK255)*$D$44</f>
        <v>0</v>
      </c>
      <c r="AM255" s="64"/>
      <c r="AN255" s="818" t="s">
        <v>2187</v>
      </c>
      <c r="AO255" s="73">
        <f t="shared" ref="AO255" si="1257">COUNTIF($M$255,AN255)*$D$44</f>
        <v>0</v>
      </c>
      <c r="AP255" s="64"/>
      <c r="AQ255" s="823" t="s">
        <v>2142</v>
      </c>
      <c r="AR255" s="73">
        <f t="shared" ref="AR255" si="1258">COUNTIF($M$255,AQ255)*$D$44</f>
        <v>0</v>
      </c>
      <c r="AS255" s="64"/>
      <c r="AT255" s="828" t="s">
        <v>2224</v>
      </c>
      <c r="AU255" s="73">
        <f t="shared" ref="AU255" si="1259">COUNTIF($M$255,AT255)*$D$44</f>
        <v>0</v>
      </c>
      <c r="AV255" s="64"/>
      <c r="AW255" s="832" t="s">
        <v>2253</v>
      </c>
      <c r="AX255" s="73">
        <f t="shared" ref="AX255" si="1260">COUNTIF($M$255,AW255)*$D$44</f>
        <v>0</v>
      </c>
      <c r="AY255" s="64"/>
      <c r="AZ255" s="838" t="s">
        <v>2276</v>
      </c>
      <c r="BA255" s="73">
        <f t="shared" ref="BA255" si="1261">COUNTIF($M$255,AZ255)*$D$44</f>
        <v>0</v>
      </c>
      <c r="BB255" s="64"/>
      <c r="BC255" s="845" t="s">
        <v>2305</v>
      </c>
      <c r="BD255" s="73">
        <f t="shared" ref="BD255" si="1262">COUNTIF($M$255,BC255)*$D$44</f>
        <v>0</v>
      </c>
      <c r="BE255" s="64"/>
      <c r="BF255" s="849" t="s">
        <v>2335</v>
      </c>
      <c r="BG255" s="73">
        <f t="shared" ref="BG255" si="1263">COUNTIF($M$255,BF255)*$D$44</f>
        <v>0</v>
      </c>
      <c r="BH255" s="64"/>
      <c r="BI255" s="859" t="s">
        <v>2381</v>
      </c>
      <c r="BJ255" s="73">
        <f t="shared" ref="BJ255" si="1264">COUNTIF($M$255,BI255)*$D$44</f>
        <v>0</v>
      </c>
      <c r="BK255" s="64"/>
      <c r="BL255" s="864" t="s">
        <v>2406</v>
      </c>
      <c r="BM255" s="73">
        <f t="shared" ref="BM255" si="1265">COUNTIF($M$255,BL255)*$D$44</f>
        <v>0</v>
      </c>
      <c r="BN255" s="64"/>
      <c r="BO255" s="869" t="s">
        <v>2424</v>
      </c>
      <c r="BP255" s="73">
        <f t="shared" ref="BP255" si="1266">COUNTIF($M$255,BO255)*$D$44</f>
        <v>0</v>
      </c>
      <c r="BQ255" s="64"/>
      <c r="BR255" s="838" t="s">
        <v>2424</v>
      </c>
      <c r="BS255" s="73">
        <f t="shared" ref="BS255" si="1267">COUNTIF($M$255,BR255)*$D$44</f>
        <v>0</v>
      </c>
      <c r="BT255" s="64"/>
      <c r="BU255" s="873" t="s">
        <v>2333</v>
      </c>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854" t="s">
        <v>2039</v>
      </c>
      <c r="T256" s="73">
        <f>COUNTIF($M$256,S256)*$D$45</f>
        <v>0</v>
      </c>
      <c r="U256" s="64"/>
      <c r="V256" s="793" t="s">
        <v>2001</v>
      </c>
      <c r="W256" s="73">
        <f t="shared" ref="W256" si="1275">COUNTIF($M$256,V256)*$D$45</f>
        <v>0</v>
      </c>
      <c r="X256" s="64"/>
      <c r="Y256" s="798" t="s">
        <v>2039</v>
      </c>
      <c r="Z256" s="73">
        <f t="shared" ref="Z256" si="1276">COUNTIF($M$256,Y256)*$D$45</f>
        <v>0</v>
      </c>
      <c r="AA256" s="64"/>
      <c r="AB256" s="803" t="s">
        <v>2077</v>
      </c>
      <c r="AC256" s="73">
        <f t="shared" ref="AC256" si="1277">COUNTIF($M$256,AB256)*$D$45</f>
        <v>0</v>
      </c>
      <c r="AD256" s="64"/>
      <c r="AE256" s="808" t="s">
        <v>2115</v>
      </c>
      <c r="AF256" s="73">
        <f t="shared" ref="AF256" si="1278">COUNTIF($M$256,AE256)*$D$45</f>
        <v>0</v>
      </c>
      <c r="AG256" s="64"/>
      <c r="AH256" s="74" t="s">
        <v>2141</v>
      </c>
      <c r="AI256" s="73">
        <f t="shared" ref="AI256" si="1279">COUNTIF($M$256,AH256)*$D$45</f>
        <v>0</v>
      </c>
      <c r="AJ256" s="64"/>
      <c r="AK256" s="813" t="s">
        <v>2142</v>
      </c>
      <c r="AL256" s="73">
        <f t="shared" ref="AL256" si="1280">COUNTIF($M$256,AK256)*$D$45</f>
        <v>0</v>
      </c>
      <c r="AM256" s="64"/>
      <c r="AN256" s="818" t="s">
        <v>2188</v>
      </c>
      <c r="AO256" s="73">
        <f t="shared" ref="AO256" si="1281">COUNTIF($M$256,AN256)*$D$45</f>
        <v>0</v>
      </c>
      <c r="AP256" s="64"/>
      <c r="AQ256" s="823" t="s">
        <v>2166</v>
      </c>
      <c r="AR256" s="73">
        <f t="shared" ref="AR256" si="1282">COUNTIF($M$256,AQ256)*$D$45</f>
        <v>0</v>
      </c>
      <c r="AS256" s="64"/>
      <c r="AT256" s="828" t="s">
        <v>2077</v>
      </c>
      <c r="AU256" s="73">
        <f t="shared" ref="AU256" si="1283">COUNTIF($M$256,AT256)*$D$45</f>
        <v>0</v>
      </c>
      <c r="AV256" s="64"/>
      <c r="AW256" s="832" t="s">
        <v>2254</v>
      </c>
      <c r="AX256" s="73">
        <f t="shared" ref="AX256" si="1284">COUNTIF($M$256,AW256)*$D$45</f>
        <v>0</v>
      </c>
      <c r="AY256" s="64"/>
      <c r="AZ256" s="838" t="s">
        <v>2188</v>
      </c>
      <c r="BA256" s="73">
        <f t="shared" ref="BA256" si="1285">COUNTIF($M$256,AZ256)*$D$45</f>
        <v>0</v>
      </c>
      <c r="BB256" s="64"/>
      <c r="BC256" s="845" t="s">
        <v>2306</v>
      </c>
      <c r="BD256" s="73">
        <f t="shared" ref="BD256" si="1286">COUNTIF($M$256,BC256)*$D$45</f>
        <v>0</v>
      </c>
      <c r="BE256" s="64"/>
      <c r="BF256" s="849" t="s">
        <v>2188</v>
      </c>
      <c r="BG256" s="73">
        <f t="shared" ref="BG256" si="1287">COUNTIF($M$256,BF256)*$D$45</f>
        <v>0</v>
      </c>
      <c r="BH256" s="64"/>
      <c r="BI256" s="859" t="s">
        <v>2382</v>
      </c>
      <c r="BJ256" s="73">
        <f t="shared" ref="BJ256" si="1288">COUNTIF($M$256,BI256)*$D$45</f>
        <v>0</v>
      </c>
      <c r="BK256" s="64"/>
      <c r="BL256" s="864" t="s">
        <v>2078</v>
      </c>
      <c r="BM256" s="73">
        <f t="shared" ref="BM256" si="1289">COUNTIF($M$256,BL256)*$D$45</f>
        <v>0</v>
      </c>
      <c r="BN256" s="64"/>
      <c r="BO256" s="869" t="s">
        <v>2422</v>
      </c>
      <c r="BP256" s="73">
        <f t="shared" ref="BP256" si="1290">COUNTIF($M$256,BO256)*$D$45</f>
        <v>0</v>
      </c>
      <c r="BQ256" s="64"/>
      <c r="BR256" s="838" t="s">
        <v>2439</v>
      </c>
      <c r="BS256" s="73">
        <f t="shared" ref="BS256" si="1291">COUNTIF($M$256,BR256)*$D$45</f>
        <v>0</v>
      </c>
      <c r="BT256" s="64"/>
      <c r="BU256" s="873" t="s">
        <v>2186</v>
      </c>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854" t="s">
        <v>2078</v>
      </c>
      <c r="T257" s="73">
        <f>COUNTIF($M$257,S257)*$D$46</f>
        <v>0</v>
      </c>
      <c r="U257" s="64"/>
      <c r="V257" s="793" t="s">
        <v>2000</v>
      </c>
      <c r="W257" s="73">
        <f t="shared" ref="W257" si="1299">COUNTIF($M$257,V257)*$D$46</f>
        <v>0</v>
      </c>
      <c r="X257" s="64"/>
      <c r="Y257" s="798" t="s">
        <v>2040</v>
      </c>
      <c r="Z257" s="73">
        <f t="shared" ref="Z257" si="1300">COUNTIF($M$257,Y257)*$D$46</f>
        <v>0</v>
      </c>
      <c r="AA257" s="64"/>
      <c r="AB257" s="803" t="s">
        <v>2000</v>
      </c>
      <c r="AC257" s="73">
        <f t="shared" ref="AC257" si="1301">COUNTIF($M$257,AB257)*$D$46</f>
        <v>0</v>
      </c>
      <c r="AD257" s="64"/>
      <c r="AE257" s="808" t="s">
        <v>2116</v>
      </c>
      <c r="AF257" s="73">
        <f t="shared" ref="AF257" si="1302">COUNTIF($M$257,AE257)*$D$46</f>
        <v>0</v>
      </c>
      <c r="AG257" s="64"/>
      <c r="AH257" s="74" t="s">
        <v>2142</v>
      </c>
      <c r="AI257" s="73">
        <f t="shared" ref="AI257" si="1303">COUNTIF($M$257,AH257)*$D$46</f>
        <v>0</v>
      </c>
      <c r="AJ257" s="64"/>
      <c r="AK257" s="813" t="s">
        <v>2039</v>
      </c>
      <c r="AL257" s="73">
        <f t="shared" ref="AL257" si="1304">COUNTIF($M$257,AK257)*$D$46</f>
        <v>0</v>
      </c>
      <c r="AM257" s="64"/>
      <c r="AN257" s="818" t="s">
        <v>2039</v>
      </c>
      <c r="AO257" s="73">
        <f t="shared" ref="AO257" si="1305">COUNTIF($M$257,AN257)*$D$46</f>
        <v>0</v>
      </c>
      <c r="AP257" s="64"/>
      <c r="AQ257" s="823" t="s">
        <v>2039</v>
      </c>
      <c r="AR257" s="73">
        <f t="shared" ref="AR257" si="1306">COUNTIF($M$257,AQ257)*$D$46</f>
        <v>0</v>
      </c>
      <c r="AS257" s="64"/>
      <c r="AT257" s="828" t="s">
        <v>2142</v>
      </c>
      <c r="AU257" s="73">
        <f t="shared" ref="AU257" si="1307">COUNTIF($M$257,AT257)*$D$46</f>
        <v>0</v>
      </c>
      <c r="AV257" s="64"/>
      <c r="AW257" s="832" t="s">
        <v>2251</v>
      </c>
      <c r="AX257" s="73">
        <f t="shared" ref="AX257" si="1308">COUNTIF($M$257,AW257)*$D$46</f>
        <v>0</v>
      </c>
      <c r="AY257" s="64"/>
      <c r="AZ257" s="838" t="s">
        <v>2277</v>
      </c>
      <c r="BA257" s="73">
        <f t="shared" ref="BA257" si="1309">COUNTIF($M$257,AZ257)*$D$46</f>
        <v>0</v>
      </c>
      <c r="BB257" s="64"/>
      <c r="BC257" s="845" t="s">
        <v>2307</v>
      </c>
      <c r="BD257" s="73">
        <f t="shared" ref="BD257" si="1310">COUNTIF($M$257,BC257)*$D$46</f>
        <v>0</v>
      </c>
      <c r="BE257" s="64"/>
      <c r="BF257" s="849" t="s">
        <v>2335</v>
      </c>
      <c r="BG257" s="73">
        <f t="shared" ref="BG257" si="1311">COUNTIF($M$257,BF257)*$D$46</f>
        <v>0</v>
      </c>
      <c r="BH257" s="64"/>
      <c r="BI257" s="859" t="s">
        <v>2251</v>
      </c>
      <c r="BJ257" s="73">
        <f t="shared" ref="BJ257" si="1312">COUNTIF($M$257,BI257)*$D$46</f>
        <v>0</v>
      </c>
      <c r="BK257" s="64"/>
      <c r="BL257" s="864" t="s">
        <v>2407</v>
      </c>
      <c r="BM257" s="73">
        <f t="shared" ref="BM257" si="1313">COUNTIF($M$257,BL257)*$D$46</f>
        <v>0</v>
      </c>
      <c r="BN257" s="64"/>
      <c r="BO257" s="869" t="s">
        <v>2425</v>
      </c>
      <c r="BP257" s="73">
        <f t="shared" ref="BP257" si="1314">COUNTIF($M$257,BO257)*$D$46</f>
        <v>0</v>
      </c>
      <c r="BQ257" s="64"/>
      <c r="BR257" s="838" t="s">
        <v>2440</v>
      </c>
      <c r="BS257" s="73">
        <f t="shared" ref="BS257" si="1315">COUNTIF($M$257,BR257)*$D$46</f>
        <v>0</v>
      </c>
      <c r="BT257" s="64"/>
      <c r="BU257" s="873" t="s">
        <v>2440</v>
      </c>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54" t="s">
        <v>2360</v>
      </c>
      <c r="T258" s="81">
        <f>COUNTIF($M$258,S258)*$D$47</f>
        <v>0</v>
      </c>
      <c r="U258" s="64"/>
      <c r="V258" s="793" t="s">
        <v>2002</v>
      </c>
      <c r="W258" s="81">
        <f t="shared" ref="W258" si="1323">COUNTIF($M$258,V258)*$D$47</f>
        <v>0</v>
      </c>
      <c r="X258" s="64"/>
      <c r="Y258" s="798" t="s">
        <v>2041</v>
      </c>
      <c r="Z258" s="81">
        <f t="shared" ref="Z258" si="1324">COUNTIF($M$258,Y258)*$D$47</f>
        <v>0</v>
      </c>
      <c r="AA258" s="64"/>
      <c r="AB258" s="803" t="s">
        <v>2078</v>
      </c>
      <c r="AC258" s="81">
        <f t="shared" ref="AC258" si="1325">COUNTIF($M$258,AB258)*$D$47</f>
        <v>0</v>
      </c>
      <c r="AD258" s="64"/>
      <c r="AE258" s="808" t="s">
        <v>2117</v>
      </c>
      <c r="AF258" s="81">
        <f t="shared" ref="AF258" si="1326">COUNTIF($M$258,AE258)*$D$47</f>
        <v>0</v>
      </c>
      <c r="AG258" s="64"/>
      <c r="AH258" s="80" t="s">
        <v>2039</v>
      </c>
      <c r="AI258" s="81">
        <f t="shared" ref="AI258" si="1327">COUNTIF($M$258,AH258)*$D$47</f>
        <v>0</v>
      </c>
      <c r="AJ258" s="64"/>
      <c r="AK258" s="813" t="s">
        <v>2166</v>
      </c>
      <c r="AL258" s="81">
        <f t="shared" ref="AL258" si="1328">COUNTIF($M$258,AK258)*$D$47</f>
        <v>0</v>
      </c>
      <c r="AM258" s="64"/>
      <c r="AN258" s="818" t="s">
        <v>2189</v>
      </c>
      <c r="AO258" s="81">
        <f t="shared" ref="AO258" si="1329">COUNTIF($M$258,AN258)*$D$47</f>
        <v>0</v>
      </c>
      <c r="AP258" s="64"/>
      <c r="AQ258" s="823" t="s">
        <v>2142</v>
      </c>
      <c r="AR258" s="81">
        <f t="shared" ref="AR258" si="1330">COUNTIF($M$258,AQ258)*$D$47</f>
        <v>0</v>
      </c>
      <c r="AS258" s="64"/>
      <c r="AT258" s="828" t="s">
        <v>2225</v>
      </c>
      <c r="AU258" s="81">
        <f t="shared" ref="AU258" si="1331">COUNTIF($M$258,AT258)*$D$47</f>
        <v>0</v>
      </c>
      <c r="AV258" s="64"/>
      <c r="AW258" s="832" t="s">
        <v>2255</v>
      </c>
      <c r="AX258" s="81">
        <f t="shared" ref="AX258" si="1332">COUNTIF($M$258,AW258)*$D$47</f>
        <v>0</v>
      </c>
      <c r="AY258" s="64"/>
      <c r="AZ258" s="838" t="s">
        <v>2186</v>
      </c>
      <c r="BA258" s="81">
        <f t="shared" ref="BA258" si="1333">COUNTIF($M$258,AZ258)*$D$47</f>
        <v>0</v>
      </c>
      <c r="BB258" s="64"/>
      <c r="BC258" s="845" t="s">
        <v>2303</v>
      </c>
      <c r="BD258" s="81">
        <f t="shared" ref="BD258" si="1334">COUNTIF($M$258,BC258)*$D$47</f>
        <v>0</v>
      </c>
      <c r="BE258" s="64"/>
      <c r="BF258" s="849" t="s">
        <v>2334</v>
      </c>
      <c r="BG258" s="81">
        <f t="shared" ref="BG258" si="1335">COUNTIF($M$258,BF258)*$D$47</f>
        <v>0</v>
      </c>
      <c r="BH258" s="64"/>
      <c r="BI258" s="859" t="s">
        <v>2383</v>
      </c>
      <c r="BJ258" s="81">
        <f t="shared" ref="BJ258" si="1336">COUNTIF($M$258,BI258)*$D$47</f>
        <v>0</v>
      </c>
      <c r="BK258" s="64"/>
      <c r="BL258" s="864" t="s">
        <v>2188</v>
      </c>
      <c r="BM258" s="81">
        <f t="shared" ref="BM258" si="1337">COUNTIF($M$258,BL258)*$D$47</f>
        <v>0</v>
      </c>
      <c r="BN258" s="64"/>
      <c r="BO258" s="869" t="s">
        <v>2186</v>
      </c>
      <c r="BP258" s="81">
        <f t="shared" ref="BP258" si="1338">COUNTIF($M$258,BO258)*$D$47</f>
        <v>0</v>
      </c>
      <c r="BQ258" s="64"/>
      <c r="BR258" s="838" t="s">
        <v>2186</v>
      </c>
      <c r="BS258" s="81">
        <f t="shared" ref="BS258" si="1339">COUNTIF($M$258,BR258)*$D$47</f>
        <v>0</v>
      </c>
      <c r="BT258" s="64"/>
      <c r="BU258" s="873" t="s">
        <v>2188</v>
      </c>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6"/>
      <c r="G259" s="727"/>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6"/>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5"/>
      <c r="G261" s="725"/>
      <c r="H261" s="725"/>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5"/>
      <c r="G262" s="725"/>
      <c r="H262" s="725"/>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5"/>
      <c r="G263" s="725"/>
      <c r="H263" s="725"/>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5"/>
      <c r="G264" s="725"/>
      <c r="H264" s="725"/>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5"/>
      <c r="G265" s="725"/>
      <c r="H265" s="725"/>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5"/>
      <c r="G266" s="725"/>
      <c r="H266" s="725"/>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5"/>
      <c r="G267" s="725"/>
      <c r="H267" s="725"/>
      <c r="I267" s="17"/>
      <c r="J267" s="25"/>
      <c r="K267" s="25"/>
      <c r="L267" s="25"/>
      <c r="M267" s="25" t="s">
        <v>268</v>
      </c>
      <c r="N267" s="25"/>
      <c r="O267" s="25"/>
      <c r="P267" s="25"/>
      <c r="Q267" s="25"/>
      <c r="R267" s="25"/>
      <c r="S267" s="25" t="str">
        <f>S5</f>
        <v>Kevin</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 xml:space="preserve">mariana suarez </v>
      </c>
      <c r="BJ267" s="25"/>
      <c r="BK267" s="25"/>
      <c r="BL267" s="25" t="str">
        <f t="shared" ref="BL267" si="1409">BL5</f>
        <v>Samuel Montes</v>
      </c>
      <c r="BM267" s="25"/>
      <c r="BN267" s="25"/>
      <c r="BO267" s="25" t="str">
        <f t="shared" ref="BO267" si="1410">BO5</f>
        <v>Luis Márquez</v>
      </c>
      <c r="BP267" s="25"/>
      <c r="BQ267" s="25"/>
      <c r="BR267" s="25" t="str">
        <f t="shared" ref="BR267" si="1411">BR5</f>
        <v>Alvaro Urdaneta</v>
      </c>
      <c r="BS267" s="25"/>
      <c r="BT267" s="25"/>
      <c r="BU267" s="25" t="str">
        <f>BU5</f>
        <v>Jessika</v>
      </c>
      <c r="BV267" s="25"/>
      <c r="BW267" s="25"/>
      <c r="BX267" s="25">
        <f>BX5</f>
        <v>1</v>
      </c>
      <c r="BY267" s="25"/>
      <c r="BZ267" s="25"/>
      <c r="CA267" s="25">
        <f>CA5</f>
        <v>1</v>
      </c>
      <c r="CB267" s="25"/>
      <c r="CC267" s="25"/>
      <c r="CD267" s="25">
        <f>CD5</f>
        <v>1</v>
      </c>
      <c r="CE267" s="25"/>
      <c r="CF267" s="25"/>
      <c r="CG267" s="25">
        <f t="shared" ref="CG267" si="1412">CG5</f>
        <v>1</v>
      </c>
      <c r="CH267" s="25"/>
      <c r="CI267" s="25"/>
      <c r="CJ267" s="25">
        <f>CJ5</f>
        <v>1</v>
      </c>
      <c r="CK267" s="25"/>
      <c r="CL267" s="25"/>
      <c r="CM267" s="25">
        <f>CM5</f>
        <v>1</v>
      </c>
      <c r="CN267" s="25"/>
      <c r="CO267" s="25"/>
      <c r="CP267" s="17"/>
    </row>
    <row r="268" spans="1:94" customFormat="1">
      <c r="A268" s="17"/>
      <c r="B268" s="17"/>
      <c r="C268" s="17"/>
      <c r="D268" s="17"/>
      <c r="E268" s="89"/>
      <c r="F268" s="725"/>
      <c r="G268" s="725"/>
      <c r="H268" s="725"/>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5"/>
      <c r="G269" s="725"/>
      <c r="H269" s="725"/>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9" priority="1">
      <formula>IF($I6=3,1,0)</formula>
    </cfRule>
    <cfRule type="expression" dxfId="28"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election activeCell="E24" sqref="E24"/>
    </sheetView>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930" t="str">
        <f>Idiomas!D451&amp;" "&amp;Home!C10</f>
        <v>CLASIFICACIÓN MUNDIAL 2026 Inter</v>
      </c>
      <c r="C1" s="931"/>
      <c r="D1" s="931"/>
      <c r="E1" s="931"/>
      <c r="F1" s="931"/>
      <c r="G1" s="931"/>
      <c r="H1" s="931"/>
      <c r="I1" s="931"/>
      <c r="J1" s="931"/>
      <c r="K1" s="931"/>
      <c r="L1" s="931"/>
      <c r="M1" s="931"/>
      <c r="N1" s="931"/>
      <c r="O1" s="931"/>
      <c r="P1" s="931"/>
      <c r="Q1" s="931"/>
      <c r="R1" s="931"/>
      <c r="S1" s="931"/>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 xml:space="preserve">mariana suarez </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Luis Márquez</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Alvaro Urdaneta</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Jessika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3" t="str">
        <f>Idiomas!D474</f>
        <v>Selecciona día:</v>
      </c>
      <c r="H1" s="709">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8" t="str">
        <f>Idiomas!D475</f>
        <v>Nombre</v>
      </c>
      <c r="G3" s="448" t="str" cm="1">
        <f t="array" aca="1" ref="G3:AL3" ca="1">TRANSPOSE($B$4:$B$35)</f>
        <v xml:space="preserve">México-Sudáfrica
</v>
      </c>
      <c r="H3" s="448" t="str">
        <f ca="1"/>
        <v xml:space="preserve">Corea del Sur-República Checa
</v>
      </c>
      <c r="I3" s="448" t="str">
        <f ca="1"/>
        <v xml:space="preserve">
</v>
      </c>
      <c r="J3" s="448" t="str">
        <f ca="1"/>
        <v xml:space="preserve">
</v>
      </c>
      <c r="K3" s="448" t="str">
        <f ca="1"/>
        <v xml:space="preserve">
</v>
      </c>
      <c r="L3" s="448" t="str">
        <f ca="1"/>
        <v xml:space="preserve">
</v>
      </c>
      <c r="M3" s="448" t="str">
        <f ca="1"/>
        <v xml:space="preserve">
</v>
      </c>
      <c r="N3" s="448" t="str">
        <f ca="1"/>
        <v xml:space="preserve">
</v>
      </c>
      <c r="O3" s="448" t="str">
        <f ca="1"/>
        <v xml:space="preserve">
</v>
      </c>
      <c r="P3" s="448" t="str">
        <f ca="1"/>
        <v xml:space="preserve">
</v>
      </c>
      <c r="Q3" s="448" t="str">
        <f ca="1"/>
        <v xml:space="preserve">
</v>
      </c>
      <c r="R3" s="448" t="str">
        <f ca="1"/>
        <v xml:space="preserve">
</v>
      </c>
      <c r="S3" s="448" t="str">
        <f ca="1"/>
        <v xml:space="preserve">
</v>
      </c>
      <c r="T3" s="448" t="str">
        <f ca="1"/>
        <v xml:space="preserve">
</v>
      </c>
      <c r="U3" s="448" t="str">
        <f ca="1"/>
        <v xml:space="preserve">
</v>
      </c>
      <c r="V3" s="448" t="str">
        <f ca="1"/>
        <v xml:space="preserve">
</v>
      </c>
      <c r="W3" s="448" t="str">
        <f ca="1"/>
        <v xml:space="preserve">
</v>
      </c>
      <c r="X3" s="448" t="str">
        <f ca="1"/>
        <v xml:space="preserve">
</v>
      </c>
      <c r="Y3" s="448" t="str">
        <f ca="1"/>
        <v xml:space="preserve">
</v>
      </c>
      <c r="Z3" s="448" t="str">
        <f ca="1"/>
        <v xml:space="preserve">
</v>
      </c>
      <c r="AA3" s="448" t="str">
        <f ca="1"/>
        <v xml:space="preserve">
</v>
      </c>
      <c r="AB3" s="448" t="str">
        <f ca="1"/>
        <v xml:space="preserve">
</v>
      </c>
      <c r="AC3" s="448" t="str">
        <f ca="1"/>
        <v xml:space="preserve">
</v>
      </c>
      <c r="AD3" s="448" t="str">
        <f ca="1"/>
        <v xml:space="preserve">
</v>
      </c>
      <c r="AE3" s="448" t="str">
        <f ca="1"/>
        <v xml:space="preserve">
</v>
      </c>
      <c r="AF3" s="448" t="str">
        <f ca="1"/>
        <v xml:space="preserve">
</v>
      </c>
      <c r="AG3" s="448" t="str">
        <f ca="1"/>
        <v xml:space="preserve">
</v>
      </c>
      <c r="AH3" s="448" t="str">
        <f ca="1"/>
        <v xml:space="preserve">
</v>
      </c>
      <c r="AI3" s="448" t="str">
        <f ca="1"/>
        <v xml:space="preserve">
</v>
      </c>
      <c r="AJ3" s="448" t="str">
        <f ca="1"/>
        <v xml:space="preserve">
</v>
      </c>
      <c r="AK3" s="448" t="str">
        <f ca="1"/>
        <v xml:space="preserve">
</v>
      </c>
      <c r="AL3" s="448"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7"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7"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7"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7"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7" t="str" cm="1">
        <f t="array" ref="F18">IFERROR(INDEX(Rango_Admin_DailyPred_Primera,1,E18),"-")</f>
        <v xml:space="preserve">mariana suarez </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7"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7" t="str" cm="1">
        <f t="array" ref="F20">IFERROR(INDEX(Rango_Admin_DailyPred_Primera,1,E20),"-")</f>
        <v>Luis Márquez</v>
      </c>
      <c r="G20" s="429" t="str">
        <f ca="1">IFERROR(VLOOKUP(G$2,Rango_Admin_DailyPred,MATCH($F20,Rango_Admin_DailyPred_Primera,0),0),"-")</f>
        <v>1|2-0</v>
      </c>
      <c r="H20" s="429" t="str">
        <f ca="1">IFERROR(VLOOKUP(H$2,Rango_Admin_DailyPred,MATCH($F20,Rango_Admin_DailyPred_Primera,0),0),"-")</f>
        <v>X|1-1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7" t="str" cm="1">
        <f t="array" ref="F21">IFERROR(INDEX(Rango_Admin_DailyPred_Primera,1,E21),"-")</f>
        <v>Alvaro Urdaneta</v>
      </c>
      <c r="G21" s="429" t="str">
        <f ca="1">IFERROR(VLOOKUP(G$2,Rango_Admin_DailyPred,MATCH($F21,Rango_Admin_DailyPred_Primera,0),0),"-")</f>
        <v>1|2-0</v>
      </c>
      <c r="H21" s="429" t="str">
        <f ca="1">IFERROR(VLOOKUP(H$2,Rango_Admin_DailyPred,MATCH($F21,Rango_Admin_DailyPred_Primera,0),0),"-")</f>
        <v>2|1-2</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7" t="str" cm="1">
        <f t="array" ref="F22">IFERROR(INDEX(Rango_Admin_DailyPred_Primera,1,E22),"-")</f>
        <v>Jessika</v>
      </c>
      <c r="G22" s="429" t="str">
        <f ca="1">IFERROR(VLOOKUP(G$2,Rango_Admin_DailyPred,MATCH($F22,Rango_Admin_DailyPred_Primera,0),0),"-")</f>
        <v>1|2-1</v>
      </c>
      <c r="H22" s="429" t="str">
        <f ca="1">IFERROR(VLOOKUP(H$2,Rango_Admin_DailyPred,MATCH($F22,Rango_Admin_DailyPred_Primera,0),0),"-")</f>
        <v>X|2-2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7"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7"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7"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7"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7"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7"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7"/>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7"/>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7"/>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7"/>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7"/>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7"/>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7"/>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58">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8" t="str">
        <f>Idiomas!D479</f>
        <v>Pos</v>
      </c>
      <c r="F3" s="448" t="str">
        <f>Idiomas!D480</f>
        <v>Nombre</v>
      </c>
      <c r="G3" s="448" t="str">
        <f>Idiomas!D481</f>
        <v>Puntos Día / Eliminatoria</v>
      </c>
      <c r="H3" s="448" t="str" cm="1">
        <f t="array" aca="1" ref="H3:AM3" ca="1">TRANSPOSE($B$4:$B$35)</f>
        <v>México-Sudáfrica
 (-)</v>
      </c>
      <c r="I3" s="448" t="str">
        <f ca="1"/>
        <v>Corea del Sur-República Checa
 (-)</v>
      </c>
      <c r="J3" s="448" t="str">
        <f ca="1"/>
        <v/>
      </c>
      <c r="K3" s="448" t="str">
        <f ca="1"/>
        <v/>
      </c>
      <c r="L3" s="448" t="str">
        <f ca="1"/>
        <v/>
      </c>
      <c r="M3" s="448" t="str">
        <f ca="1"/>
        <v/>
      </c>
      <c r="N3" s="448" t="str">
        <f ca="1"/>
        <v/>
      </c>
      <c r="O3" s="448" t="str">
        <f ca="1"/>
        <v/>
      </c>
      <c r="P3" s="448" t="str">
        <f ca="1"/>
        <v/>
      </c>
      <c r="Q3" s="448" t="str">
        <f ca="1"/>
        <v/>
      </c>
      <c r="R3" s="448" t="str">
        <f ca="1"/>
        <v/>
      </c>
      <c r="S3" s="448" t="str">
        <f ca="1"/>
        <v/>
      </c>
      <c r="T3" s="448" t="str">
        <f ca="1"/>
        <v/>
      </c>
      <c r="U3" s="448" t="str">
        <f ca="1"/>
        <v/>
      </c>
      <c r="V3" s="448" t="str">
        <f ca="1"/>
        <v/>
      </c>
      <c r="W3" s="448" t="str">
        <f ca="1"/>
        <v/>
      </c>
      <c r="X3" s="448" t="str">
        <f ca="1"/>
        <v/>
      </c>
      <c r="Y3" s="448" t="str">
        <f ca="1"/>
        <v/>
      </c>
      <c r="Z3" s="448" t="str">
        <f ca="1"/>
        <v/>
      </c>
      <c r="AA3" s="448" t="str">
        <f ca="1"/>
        <v/>
      </c>
      <c r="AB3" s="448" t="str">
        <f ca="1"/>
        <v/>
      </c>
      <c r="AC3" s="448" t="str">
        <f ca="1"/>
        <v/>
      </c>
      <c r="AD3" s="448" t="str">
        <f ca="1"/>
        <v/>
      </c>
      <c r="AE3" s="448" t="str">
        <f ca="1"/>
        <v/>
      </c>
      <c r="AF3" s="448" t="str">
        <f ca="1"/>
        <v/>
      </c>
      <c r="AG3" s="448" t="str">
        <f ca="1"/>
        <v/>
      </c>
      <c r="AH3" s="448" t="str">
        <f ca="1"/>
        <v/>
      </c>
      <c r="AI3" s="448" t="str">
        <f ca="1"/>
        <v/>
      </c>
      <c r="AJ3" s="448" t="str">
        <f ca="1"/>
        <v/>
      </c>
      <c r="AK3" s="448" t="str">
        <f ca="1"/>
        <v/>
      </c>
      <c r="AL3" s="448" t="str">
        <f ca="1"/>
        <v/>
      </c>
      <c r="AM3" s="448"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7" t="str">
        <f ca="1">IFERROR(HLOOKUP(C4,Rango_Admin_DailyClas,5,FALSE),"-")</f>
        <v>Kevin</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7"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7"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7"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7"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7"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7"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7"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7"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7"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7"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7"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7"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7"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7" t="str">
        <f ca="1">IFERROR(HLOOKUP(C18,Rango_Admin_DailyClas,5,FALSE),"-")</f>
        <v xml:space="preserve">mariana suarez </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7"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7" t="str">
        <f ca="1">IFERROR(HLOOKUP(C20,Rango_Admin_DailyClas,5,FALSE),"-")</f>
        <v>Luis Márquez</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7" t="str">
        <f ca="1">IFERROR(HLOOKUP(C21,Rango_Admin_DailyClas,5,FALSE),"-")</f>
        <v>Alvaro Urdaneta</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7" t="str">
        <f ca="1">IFERROR(HLOOKUP(C22,Rango_Admin_DailyClas,5,FALSE),"-")</f>
        <v>Jessika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7"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7"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7"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7"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7"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7"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7"/>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7"/>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7"/>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7"/>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7"/>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7"/>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7"/>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7"/>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7"/>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7"/>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7"/>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7"/>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7"/>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7"/>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7"/>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7"/>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7"/>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7"/>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7"/>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2"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2"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2"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6" t="str">
        <f>Idiomas!D496</f>
        <v>Dia seleccionado en "Daily Prediction"</v>
      </c>
      <c r="E5" s="759">
        <f>DailyPrediction!H1</f>
        <v>46184</v>
      </c>
      <c r="F5" s="404">
        <f ca="1">VLOOKUP($E$5,Equipos!$Q$2:$R$37,2,0)</f>
        <v>1</v>
      </c>
      <c r="G5" s="17"/>
      <c r="H5" s="475" t="str">
        <f>Idiomas!D501</f>
        <v>Selecciona un partido de hoy:↗</v>
      </c>
      <c r="I5" s="449" t="s">
        <v>1937</v>
      </c>
      <c r="J5" s="17"/>
      <c r="K5" s="17"/>
      <c r="L5" s="932">
        <f>SUM(WORLDCUP!AG4:AG147)/104</f>
        <v>0</v>
      </c>
      <c r="M5" s="933"/>
      <c r="N5" s="933"/>
      <c r="O5" s="933"/>
      <c r="P5" s="933"/>
      <c r="Q5" s="933"/>
      <c r="R5" s="933"/>
      <c r="S5" s="933"/>
      <c r="T5" s="934"/>
      <c r="U5" s="25"/>
      <c r="V5" s="11">
        <f>ADMIN!$D$5</f>
        <v>19</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2"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2" t="s">
        <v>1725</v>
      </c>
      <c r="K7" s="25"/>
      <c r="L7" s="134"/>
      <c r="M7" s="460" t="str">
        <f>Idiomas!D344</f>
        <v>Fase de grupos</v>
      </c>
      <c r="N7" s="461" t="s">
        <v>1782</v>
      </c>
      <c r="O7" s="462" t="s">
        <v>1781</v>
      </c>
      <c r="P7" s="463" t="s">
        <v>1783</v>
      </c>
      <c r="Q7" s="464" t="s">
        <v>1784</v>
      </c>
      <c r="R7" s="465" t="str">
        <f>Idiomas!D337</f>
        <v>3º puesto</v>
      </c>
      <c r="S7" s="466" t="str">
        <f>Idiomas!D336</f>
        <v>Subcampeón</v>
      </c>
      <c r="T7" s="467"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3" t="str">
        <f>Idiomas!D484&amp;TEXT($E$5,"dd/mm/aa")&amp;" (Individual)"</f>
        <v>Puntos en juego 11/06/aa (Individual)</v>
      </c>
      <c r="E8" s="454">
        <f ca="1">IFERROR(SUMIF(ADMIN!$G$6:$G$258,$F$5,ADMIN!$F$6:$F$258),"")</f>
        <v>12</v>
      </c>
      <c r="F8" s="455">
        <f ca="1">IFERROR(E8/$B$46,0)</f>
        <v>9.2879256965944269E-3</v>
      </c>
      <c r="G8" s="17"/>
      <c r="H8" s="453" t="str" cm="1">
        <f t="array" aca="1" ref="H8:I13" ca="1">_xlfn.SORTBY(OFFSET($Y$35,0,0,COUNTA(_xlfn.ANCHORARRAY($Y$35)),2),OFFSET(Z35,0,0,COUNTA(_xlfn.ANCHORARRAY($Y$35))),-1)</f>
        <v>1|2-0</v>
      </c>
      <c r="I8" s="703">
        <f ca="1"/>
        <v>8</v>
      </c>
      <c r="J8" s="705" cm="1">
        <f t="array" aca="1" ref="J8:J13"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K13"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8">
        <f ca="1">ADMIN!$D$5-SUM(N8:T8)</f>
        <v>0</v>
      </c>
      <c r="N8" s="468">
        <f ca="1">IFERROR(COUNTIF(ADMIN!$S$130:INDEX(ADMIN!$S$130:$HL$161,32,ADMIN!$D$5*3-1),Stats!$L8)-SUM(O8:T8),0)</f>
        <v>2</v>
      </c>
      <c r="O8" s="468">
        <f ca="1">COUNTIF(ADMIN!$S$182:INDEX(ADMIN!$S$182:$HL$197,16,ADMIN!$D$5*3-1),Stats!$L8)-SUM(P8:T8)</f>
        <v>16</v>
      </c>
      <c r="P8" s="468">
        <f ca="1">COUNTIF(ADMIN!$S$210:INDEX(ADMIN!$S$210:$HL$217,8,ADMIN!$D$5*3-1),Stats!$L8)-SUM(Q8:T8)</f>
        <v>1</v>
      </c>
      <c r="Q8" s="468">
        <f ca="1">COUNTIF(ADMIN!$S$226:INDEX(ADMIN!$S$226:$HL$229,4,ADMIN!$D$5*3-1),Stats!$L8)-SUM(R8:T8)</f>
        <v>0</v>
      </c>
      <c r="R8" s="468">
        <f ca="1">IFERROR(COUNTIF(ADMIN!$S$252:INDEX(ADMIN!$S$252:$HL$252,1,ADMIN!$D$5*3-1),Stats!$L8),0)</f>
        <v>0</v>
      </c>
      <c r="S8" s="468">
        <f ca="1">IFERROR(COUNTIF(ADMIN!$S$251:INDEX(ADMIN!$S$251:$HL$251,1,ADMIN!$D$5*3-1),Stats!$L8),0)</f>
        <v>0</v>
      </c>
      <c r="T8" s="469">
        <f ca="1">IFERROR(COUNTIF(ADMIN!$S$250:INDEX(ADMIN!$S$250:$HL$250,1,ADMIN!$D$5*3-1),Stats!$L8),0)</f>
        <v>0</v>
      </c>
      <c r="U8" s="25"/>
      <c r="V8" s="11">
        <f t="shared" ref="V8:V55" ca="1" si="0">SUM(M8:T8)</f>
        <v>19</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6" t="str">
        <f>Idiomas!D485&amp;TEXT($E$5,"dd/mm/aa")&amp;" (Individual)"</f>
        <v>Máximo de puntos hasta 11/06/aa (Individual)</v>
      </c>
      <c r="E9" s="454">
        <f ca="1">IFERROR(SUMIF($A$22:$A$45,"&lt;"&amp;$F$5,$B$22:$B$45),"")</f>
        <v>0</v>
      </c>
      <c r="F9" s="455">
        <f ca="1">IFERROR(E9/$B$46,0)</f>
        <v>0</v>
      </c>
      <c r="G9" s="17"/>
      <c r="H9" s="456" t="str">
        <f ca="1"/>
        <v>1|2-1</v>
      </c>
      <c r="I9" s="703">
        <f ca="1"/>
        <v>5</v>
      </c>
      <c r="J9" s="705">
        <f ca="1"/>
        <v>0</v>
      </c>
      <c r="K9" s="404">
        <f ca="1"/>
        <v>0</v>
      </c>
      <c r="L9" s="132" t="str">
        <f ca="1">Horarios!Q4</f>
        <v>Arabia Saudita</v>
      </c>
      <c r="M9" s="470">
        <f ca="1">ADMIN!$D$5-SUM(N9:T9)</f>
        <v>13</v>
      </c>
      <c r="N9" s="470">
        <f ca="1">IFERROR(COUNTIF(ADMIN!$S$130:INDEX(ADMIN!$S$130:$HL$161,32,ADMIN!$D$5*3-1),Stats!$L9)-SUM(O9:T9),0)</f>
        <v>5</v>
      </c>
      <c r="O9" s="470">
        <f ca="1">COUNTIF(ADMIN!$S$182:INDEX(ADMIN!$S$182:$HL$197,16,ADMIN!$D$5*3-1),Stats!$L9)-SUM(P9:T9)</f>
        <v>1</v>
      </c>
      <c r="P9" s="470">
        <f ca="1">COUNTIF(ADMIN!$S$210:INDEX(ADMIN!$S$210:$HL$217,8,ADMIN!$D$5*3-1),Stats!$L9)-SUM(Q9:T9)</f>
        <v>0</v>
      </c>
      <c r="Q9" s="470">
        <f ca="1">COUNTIF(ADMIN!$S$226:INDEX(ADMIN!$S$226:$HL$229,4,ADMIN!$D$5*3-1),Stats!$L9)-SUM(R9:T9)</f>
        <v>0</v>
      </c>
      <c r="R9" s="470">
        <f ca="1">IFERROR(COUNTIF(ADMIN!$S$252:INDEX(ADMIN!$S$252:$HL$252,1,ADMIN!$D$5*3-1),Stats!$L9),0)</f>
        <v>0</v>
      </c>
      <c r="S9" s="470">
        <f ca="1">IFERROR(COUNTIF(ADMIN!$S$251:INDEX(ADMIN!$S$251:$HL$251,1,ADMIN!$D$5*3-1),Stats!$L9),0)</f>
        <v>0</v>
      </c>
      <c r="T9" s="471">
        <f ca="1">IFERROR(COUNTIF(ADMIN!$S$250:INDEX(ADMIN!$S$250:$HL$250,1,ADMIN!$D$5*3-1),Stats!$L9),0)</f>
        <v>0</v>
      </c>
      <c r="U9" s="25"/>
      <c r="V9" s="11">
        <f t="shared" ca="1" si="0"/>
        <v>19</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3" t="str">
        <f>Idiomas!D486&amp;TEXT($E$5,"dd/mm/aa")&amp;" (Individual)"</f>
        <v>Máximo de puntos incluido 11/06/aa (Individual)</v>
      </c>
      <c r="E10" s="454">
        <f ca="1">IFERROR(SUMIF($A$22:$A$45,"&lt;="&amp;$F$5,$B$22:$B$45),"")</f>
        <v>12</v>
      </c>
      <c r="F10" s="455">
        <f ca="1">IFERROR(E10/$B$46,0)</f>
        <v>9.2879256965944269E-3</v>
      </c>
      <c r="G10" s="17"/>
      <c r="H10" s="453" t="str">
        <f ca="1"/>
        <v>X|1-1</v>
      </c>
      <c r="I10" s="703">
        <f ca="1"/>
        <v>3</v>
      </c>
      <c r="J10" s="705">
        <f ca="1"/>
        <v>0</v>
      </c>
      <c r="K10" s="404">
        <f ca="1"/>
        <v>0</v>
      </c>
      <c r="L10" s="133" t="str">
        <f ca="1">Horarios!Q5</f>
        <v>Argelia</v>
      </c>
      <c r="M10" s="468">
        <f ca="1">ADMIN!$D$5-SUM(N10:T10)</f>
        <v>6</v>
      </c>
      <c r="N10" s="468">
        <f ca="1">IFERROR(COUNTIF(ADMIN!$S$130:INDEX(ADMIN!$S$130:$HL$161,32,ADMIN!$D$5*3-1),Stats!$L10)-SUM(O10:T10),0)</f>
        <v>11</v>
      </c>
      <c r="O10" s="468">
        <f ca="1">COUNTIF(ADMIN!$S$182:INDEX(ADMIN!$S$182:$HL$197,16,ADMIN!$D$5*3-1),Stats!$L10)-SUM(P10:T10)</f>
        <v>2</v>
      </c>
      <c r="P10" s="468">
        <f ca="1">COUNTIF(ADMIN!$S$210:INDEX(ADMIN!$S$210:$HL$217,8,ADMIN!$D$5*3-1),Stats!$L10)-SUM(Q10:T10)</f>
        <v>0</v>
      </c>
      <c r="Q10" s="468">
        <f ca="1">COUNTIF(ADMIN!$S$226:INDEX(ADMIN!$S$226:$HL$229,4,ADMIN!$D$5*3-1),Stats!$L10)-SUM(R10:T10)</f>
        <v>0</v>
      </c>
      <c r="R10" s="468">
        <f ca="1">IFERROR(COUNTIF(ADMIN!$S$252:INDEX(ADMIN!$S$252:$HL$252,1,ADMIN!$D$5*3-1),Stats!$L10),0)</f>
        <v>0</v>
      </c>
      <c r="S10" s="468">
        <f ca="1">IFERROR(COUNTIF(ADMIN!$S$251:INDEX(ADMIN!$S$251:$HL$251,1,ADMIN!$D$5*3-1),Stats!$L10),0)</f>
        <v>0</v>
      </c>
      <c r="T10" s="469">
        <f ca="1">IFERROR(COUNTIF(ADMIN!$S$250:INDEX(ADMIN!$S$250:$HL$250,1,ADMIN!$D$5*3-1),Stats!$L10),0)</f>
        <v>0</v>
      </c>
      <c r="U10" s="25"/>
      <c r="V10" s="11">
        <f t="shared" ca="1" si="0"/>
        <v>19</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6" t="str">
        <f>Idiomas!D487&amp;" (Individual)"</f>
        <v>Quedan por repartir:  (Individual)</v>
      </c>
      <c r="E11" s="454">
        <f ca="1">IFERROR(SUMIF($A$22:$A$45,"&gt;"&amp;$F$5,$B$22:$B$45),0)</f>
        <v>1280</v>
      </c>
      <c r="F11" s="455">
        <f ca="1">IFERROR(1-F10,0)</f>
        <v>0.99071207430340558</v>
      </c>
      <c r="G11" s="17"/>
      <c r="H11" s="456" t="str">
        <f ca="1"/>
        <v>1|1-0</v>
      </c>
      <c r="I11" s="703">
        <f ca="1"/>
        <v>1</v>
      </c>
      <c r="J11" s="705">
        <f ca="1"/>
        <v>0</v>
      </c>
      <c r="K11" s="404">
        <f ca="1"/>
        <v>0</v>
      </c>
      <c r="L11" s="132" t="str">
        <f ca="1">Horarios!Q6</f>
        <v>Argentina</v>
      </c>
      <c r="M11" s="470">
        <f ca="1">ADMIN!$D$5-SUM(N11:T11)</f>
        <v>0</v>
      </c>
      <c r="N11" s="470">
        <f ca="1">IFERROR(COUNTIF(ADMIN!$S$130:INDEX(ADMIN!$S$130:$HL$161,32,ADMIN!$D$5*3-1),Stats!$L11)-SUM(O11:T11),0)</f>
        <v>3</v>
      </c>
      <c r="O11" s="470">
        <f ca="1">COUNTIF(ADMIN!$S$182:INDEX(ADMIN!$S$182:$HL$197,16,ADMIN!$D$5*3-1),Stats!$L11)-SUM(P11:T11)</f>
        <v>0</v>
      </c>
      <c r="P11" s="470">
        <f ca="1">COUNTIF(ADMIN!$S$210:INDEX(ADMIN!$S$210:$HL$217,8,ADMIN!$D$5*3-1),Stats!$L11)-SUM(Q11:T11)</f>
        <v>10</v>
      </c>
      <c r="Q11" s="470">
        <f ca="1">COUNTIF(ADMIN!$S$226:INDEX(ADMIN!$S$226:$HL$229,4,ADMIN!$D$5*3-1),Stats!$L11)-SUM(R11:T11)</f>
        <v>1</v>
      </c>
      <c r="R11" s="470">
        <f ca="1">IFERROR(COUNTIF(ADMIN!$S$252:INDEX(ADMIN!$S$252:$HL$252,1,ADMIN!$D$5*3-1),Stats!$L11),0)</f>
        <v>2</v>
      </c>
      <c r="S11" s="470">
        <f ca="1">IFERROR(COUNTIF(ADMIN!$S$251:INDEX(ADMIN!$S$251:$HL$251,1,ADMIN!$D$5*3-1),Stats!$L11),0)</f>
        <v>2</v>
      </c>
      <c r="T11" s="471">
        <f ca="1">IFERROR(COUNTIF(ADMIN!$S$250:INDEX(ADMIN!$S$250:$HL$250,1,ADMIN!$D$5*3-1),Stats!$L11),0)</f>
        <v>1</v>
      </c>
      <c r="U11" s="25"/>
      <c r="V11" s="11">
        <f t="shared" ca="1" si="0"/>
        <v>19</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3" t="str">
        <f>Idiomas!D488</f>
        <v>Puntos máximos totales a repartir hoy (Global):</v>
      </c>
      <c r="E12" s="454">
        <f ca="1">IFERROR($E$8*ADMIN!$D$5,0)</f>
        <v>228</v>
      </c>
      <c r="F12" s="455">
        <f ca="1">IFERROR(E12/B47,0)</f>
        <v>9.2879256965944269E-3</v>
      </c>
      <c r="G12" s="17"/>
      <c r="H12" s="453" t="str">
        <f ca="1"/>
        <v>1|3-0</v>
      </c>
      <c r="I12" s="703">
        <f ca="1"/>
        <v>1</v>
      </c>
      <c r="J12" s="705">
        <f ca="1"/>
        <v>0</v>
      </c>
      <c r="K12" s="404">
        <f ca="1"/>
        <v>0</v>
      </c>
      <c r="L12" s="133" t="str">
        <f ca="1">Horarios!Q7</f>
        <v>Australia</v>
      </c>
      <c r="M12" s="468">
        <f ca="1">ADMIN!$D$5-SUM(N12:T12)</f>
        <v>17</v>
      </c>
      <c r="N12" s="468">
        <f ca="1">IFERROR(COUNTIF(ADMIN!$S$130:INDEX(ADMIN!$S$130:$HL$161,32,ADMIN!$D$5*3-1),Stats!$L12)-SUM(O12:T12),0)</f>
        <v>2</v>
      </c>
      <c r="O12" s="468">
        <f ca="1">COUNTIF(ADMIN!$S$182:INDEX(ADMIN!$S$182:$HL$197,16,ADMIN!$D$5*3-1),Stats!$L12)-SUM(P12:T12)</f>
        <v>0</v>
      </c>
      <c r="P12" s="468">
        <f ca="1">COUNTIF(ADMIN!$S$210:INDEX(ADMIN!$S$210:$HL$217,8,ADMIN!$D$5*3-1),Stats!$L12)-SUM(Q12:T12)</f>
        <v>0</v>
      </c>
      <c r="Q12" s="468">
        <f ca="1">COUNTIF(ADMIN!$S$226:INDEX(ADMIN!$S$226:$HL$229,4,ADMIN!$D$5*3-1),Stats!$L12)-SUM(R12:T12)</f>
        <v>0</v>
      </c>
      <c r="R12" s="468">
        <f ca="1">IFERROR(COUNTIF(ADMIN!$S$252:INDEX(ADMIN!$S$252:$HL$252,1,ADMIN!$D$5*3-1),Stats!$L12),0)</f>
        <v>0</v>
      </c>
      <c r="S12" s="468">
        <f ca="1">IFERROR(COUNTIF(ADMIN!$S$251:INDEX(ADMIN!$S$251:$HL$251,1,ADMIN!$D$5*3-1),Stats!$L12),0)</f>
        <v>0</v>
      </c>
      <c r="T12" s="469">
        <f ca="1">IFERROR(COUNTIF(ADMIN!$S$250:INDEX(ADMIN!$S$250:$HL$250,1,ADMIN!$D$5*3-1),Stats!$L12),0)</f>
        <v>0</v>
      </c>
      <c r="U12" s="25"/>
      <c r="V12" s="11">
        <f t="shared" ca="1" si="0"/>
        <v>19</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6" t="str">
        <f>Idiomas!D489</f>
        <v>Puntos repartidos hoy (Global)</v>
      </c>
      <c r="E13" s="454">
        <f ca="1">IFERROR(SUM(DailyClas!$G$4:INDEX(DailyClas!$G$4:$G$75,ADMIN!$D$5)),0)</f>
        <v>0</v>
      </c>
      <c r="F13" s="455">
        <f ca="1">IFERROR(E13/E12,0)</f>
        <v>0</v>
      </c>
      <c r="G13" s="17"/>
      <c r="H13" s="456" t="str">
        <f ca="1"/>
        <v>1|3-1</v>
      </c>
      <c r="I13" s="703">
        <f ca="1"/>
        <v>1</v>
      </c>
      <c r="J13" s="705">
        <f ca="1"/>
        <v>0</v>
      </c>
      <c r="K13" s="404">
        <f ca="1"/>
        <v>0</v>
      </c>
      <c r="L13" s="132" t="str">
        <f ca="1">Horarios!Q8</f>
        <v>Austria</v>
      </c>
      <c r="M13" s="470">
        <f ca="1">ADMIN!$D$5-SUM(N13:T13)</f>
        <v>1</v>
      </c>
      <c r="N13" s="470">
        <f ca="1">IFERROR(COUNTIF(ADMIN!$S$130:INDEX(ADMIN!$S$130:$HL$161,32,ADMIN!$D$5*3-1),Stats!$L13)-SUM(O13:T13),0)</f>
        <v>18</v>
      </c>
      <c r="O13" s="470">
        <f ca="1">COUNTIF(ADMIN!$S$182:INDEX(ADMIN!$S$182:$HL$197,16,ADMIN!$D$5*3-1),Stats!$L13)-SUM(P13:T13)</f>
        <v>0</v>
      </c>
      <c r="P13" s="470">
        <f ca="1">COUNTIF(ADMIN!$S$210:INDEX(ADMIN!$S$210:$HL$217,8,ADMIN!$D$5*3-1),Stats!$L13)-SUM(Q13:T13)</f>
        <v>0</v>
      </c>
      <c r="Q13" s="470">
        <f ca="1">COUNTIF(ADMIN!$S$226:INDEX(ADMIN!$S$226:$HL$229,4,ADMIN!$D$5*3-1),Stats!$L13)-SUM(R13:T13)</f>
        <v>0</v>
      </c>
      <c r="R13" s="470">
        <f ca="1">IFERROR(COUNTIF(ADMIN!$S$252:INDEX(ADMIN!$S$252:$HL$252,1,ADMIN!$D$5*3-1),Stats!$L13),0)</f>
        <v>0</v>
      </c>
      <c r="S13" s="470">
        <f ca="1">IFERROR(COUNTIF(ADMIN!$S$251:INDEX(ADMIN!$S$251:$HL$251,1,ADMIN!$D$5*3-1),Stats!$L13),0)</f>
        <v>0</v>
      </c>
      <c r="T13" s="471">
        <f ca="1">IFERROR(COUNTIF(ADMIN!$S$250:INDEX(ADMIN!$S$250:$HL$250,1,ADMIN!$D$5*3-1),Stats!$L13),0)</f>
        <v>0</v>
      </c>
      <c r="U13" s="25"/>
      <c r="V13" s="11">
        <f t="shared" ca="1" si="0"/>
        <v>19</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3" t="str">
        <f>Idiomas!D490&amp;TEXT($E$5,"dd/mm/aa")&amp;"?"</f>
        <v>¿Cúantos han acertado el máximo de puntos 11/06/aa?</v>
      </c>
      <c r="E14" s="454">
        <f ca="1">IFERROR(IF(SUM(ADMIN!$D$8:$D$47)=0,0,COUNTIF(DailyClas!$G$4:INDEX(DailyClas!$G:$G,ADMIN!$D$5+3),Stats!E8)),0)</f>
        <v>0</v>
      </c>
      <c r="F14" s="455">
        <f ca="1">IFERROR(E14/ADMIN!$D$5,0)</f>
        <v>0</v>
      </c>
      <c r="G14" s="17"/>
      <c r="H14" s="453"/>
      <c r="I14" s="703"/>
      <c r="J14" s="705"/>
      <c r="K14" s="404"/>
      <c r="L14" s="133" t="str">
        <f ca="1">Horarios!Q9</f>
        <v>Bélgica</v>
      </c>
      <c r="M14" s="468">
        <f ca="1">ADMIN!$D$5-SUM(N14:T14)</f>
        <v>0</v>
      </c>
      <c r="N14" s="468">
        <f ca="1">IFERROR(COUNTIF(ADMIN!$S$130:INDEX(ADMIN!$S$130:$HL$161,32,ADMIN!$D$5*3-1),Stats!$L14)-SUM(O14:T14),0)</f>
        <v>0</v>
      </c>
      <c r="O14" s="468">
        <f ca="1">COUNTIF(ADMIN!$S$182:INDEX(ADMIN!$S$182:$HL$197,16,ADMIN!$D$5*3-1),Stats!$L14)-SUM(P14:T14)</f>
        <v>6</v>
      </c>
      <c r="P14" s="468">
        <f ca="1">COUNTIF(ADMIN!$S$210:INDEX(ADMIN!$S$210:$HL$217,8,ADMIN!$D$5*3-1),Stats!$L14)-SUM(Q14:T14)</f>
        <v>13</v>
      </c>
      <c r="Q14" s="468">
        <f ca="1">COUNTIF(ADMIN!$S$226:INDEX(ADMIN!$S$226:$HL$229,4,ADMIN!$D$5*3-1),Stats!$L14)-SUM(R14:T14)</f>
        <v>0</v>
      </c>
      <c r="R14" s="468">
        <f ca="1">IFERROR(COUNTIF(ADMIN!$S$252:INDEX(ADMIN!$S$252:$HL$252,1,ADMIN!$D$5*3-1),Stats!$L14),0)</f>
        <v>0</v>
      </c>
      <c r="S14" s="468">
        <f ca="1">IFERROR(COUNTIF(ADMIN!$S$251:INDEX(ADMIN!$S$251:$HL$251,1,ADMIN!$D$5*3-1),Stats!$L14),0)</f>
        <v>0</v>
      </c>
      <c r="T14" s="469">
        <f ca="1">IFERROR(COUNTIF(ADMIN!$S$250:INDEX(ADMIN!$S$250:$HL$250,1,ADMIN!$D$5*3-1),Stats!$L14),0)</f>
        <v>0</v>
      </c>
      <c r="U14" s="25"/>
      <c r="V14" s="11">
        <f t="shared" ca="1" si="0"/>
        <v>19</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6" t="str">
        <f>Idiomas!D491&amp;TEXT($E$5,"dd/mm/aa")&amp;"?"</f>
        <v>¿Cúantos se han llevado algún punto 11/06/aa?</v>
      </c>
      <c r="E15" s="454">
        <f ca="1">IFERROR(COUNTIF(DailyClas!$G$4:INDEX(DailyClas!$G$4:$G$75,ADMIN!$D$5),"&gt;0"),0)</f>
        <v>0</v>
      </c>
      <c r="F15" s="455">
        <f ca="1">IFERROR(E15/ADMIN!$D$5,0)</f>
        <v>0</v>
      </c>
      <c r="G15" s="17"/>
      <c r="H15" s="456"/>
      <c r="I15" s="703"/>
      <c r="J15" s="705"/>
      <c r="K15" s="404"/>
      <c r="L15" s="132" t="str">
        <f ca="1">Horarios!Q10</f>
        <v>Bosnia y Herzegovina</v>
      </c>
      <c r="M15" s="470">
        <f ca="1">ADMIN!$D$5-SUM(N15:T15)</f>
        <v>4</v>
      </c>
      <c r="N15" s="470">
        <f ca="1">IFERROR(COUNTIF(ADMIN!$S$130:INDEX(ADMIN!$S$130:$HL$161,32,ADMIN!$D$5*3-1),Stats!$L15)-SUM(O15:T15),0)</f>
        <v>14</v>
      </c>
      <c r="O15" s="470">
        <f ca="1">COUNTIF(ADMIN!$S$182:INDEX(ADMIN!$S$182:$HL$197,16,ADMIN!$D$5*3-1),Stats!$L15)-SUM(P15:T15)</f>
        <v>1</v>
      </c>
      <c r="P15" s="470">
        <f ca="1">COUNTIF(ADMIN!$S$210:INDEX(ADMIN!$S$210:$HL$217,8,ADMIN!$D$5*3-1),Stats!$L15)-SUM(Q15:T15)</f>
        <v>0</v>
      </c>
      <c r="Q15" s="470">
        <f ca="1">COUNTIF(ADMIN!$S$226:INDEX(ADMIN!$S$226:$HL$229,4,ADMIN!$D$5*3-1),Stats!$L15)-SUM(R15:T15)</f>
        <v>0</v>
      </c>
      <c r="R15" s="470">
        <f ca="1">IFERROR(COUNTIF(ADMIN!$S$252:INDEX(ADMIN!$S$252:$HL$252,1,ADMIN!$D$5*3-1),Stats!$L15),0)</f>
        <v>0</v>
      </c>
      <c r="S15" s="470">
        <f ca="1">IFERROR(COUNTIF(ADMIN!$S$251:INDEX(ADMIN!$S$251:$HL$251,1,ADMIN!$D$5*3-1),Stats!$L15),0)</f>
        <v>0</v>
      </c>
      <c r="T15" s="471">
        <f ca="1">IFERROR(COUNTIF(ADMIN!$S$250:INDEX(ADMIN!$S$250:$HL$250,1,ADMIN!$D$5*3-1),Stats!$L15),0)</f>
        <v>0</v>
      </c>
      <c r="U15" s="25"/>
      <c r="V15" s="11">
        <f t="shared" ca="1" si="0"/>
        <v>19</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3" t="str">
        <f>Idiomas!D492&amp;TEXT($E$5,"dd/mm/aa")&amp;"?"</f>
        <v>¿Cúantos no han acertado nada 11/06/aa?</v>
      </c>
      <c r="E16" s="454">
        <f ca="1">IFERROR(IF(SUM(ADMIN!$D$8:$D$47)=0,0,COUNTIF(DailyClas!$G$4:INDEX(DailyClas!$G$4:$G$75,ADMIN!$D$5),0)),0)</f>
        <v>19</v>
      </c>
      <c r="F16" s="455">
        <f ca="1">IFERROR(E16/ADMIN!$D$5,0)</f>
        <v>1</v>
      </c>
      <c r="G16" s="17"/>
      <c r="H16" s="453"/>
      <c r="I16" s="703"/>
      <c r="J16" s="705"/>
      <c r="K16" s="404"/>
      <c r="L16" s="133" t="str">
        <f ca="1">Horarios!Q11</f>
        <v>Brasil</v>
      </c>
      <c r="M16" s="468">
        <f ca="1">ADMIN!$D$5-SUM(N16:T16)</f>
        <v>0</v>
      </c>
      <c r="N16" s="468">
        <f ca="1">IFERROR(COUNTIF(ADMIN!$S$130:INDEX(ADMIN!$S$130:$HL$161,32,ADMIN!$D$5*3-1),Stats!$L16)-SUM(O16:T16),0)</f>
        <v>0</v>
      </c>
      <c r="O16" s="468">
        <f ca="1">COUNTIF(ADMIN!$S$182:INDEX(ADMIN!$S$182:$HL$197,16,ADMIN!$D$5*3-1),Stats!$L16)-SUM(P16:T16)</f>
        <v>2</v>
      </c>
      <c r="P16" s="468">
        <f ca="1">COUNTIF(ADMIN!$S$210:INDEX(ADMIN!$S$210:$HL$217,8,ADMIN!$D$5*3-1),Stats!$L16)-SUM(Q16:T16)</f>
        <v>5</v>
      </c>
      <c r="Q16" s="468">
        <f ca="1">COUNTIF(ADMIN!$S$226:INDEX(ADMIN!$S$226:$HL$229,4,ADMIN!$D$5*3-1),Stats!$L16)-SUM(R16:T16)</f>
        <v>4</v>
      </c>
      <c r="R16" s="468">
        <f ca="1">IFERROR(COUNTIF(ADMIN!$S$252:INDEX(ADMIN!$S$252:$HL$252,1,ADMIN!$D$5*3-1),Stats!$L16),0)</f>
        <v>5</v>
      </c>
      <c r="S16" s="468">
        <f ca="1">IFERROR(COUNTIF(ADMIN!$S$251:INDEX(ADMIN!$S$251:$HL$251,1,ADMIN!$D$5*3-1),Stats!$L16),0)</f>
        <v>3</v>
      </c>
      <c r="T16" s="469">
        <f ca="1">IFERROR(COUNTIF(ADMIN!$S$250:INDEX(ADMIN!$S$250:$HL$250,1,ADMIN!$D$5*3-1),Stats!$L16),0)</f>
        <v>0</v>
      </c>
      <c r="U16" s="25"/>
      <c r="V16" s="11">
        <f t="shared" ca="1" si="0"/>
        <v>19</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7" t="str">
        <f>Idiomas!D493&amp;TEXT($E$5,"dd/mm/aa")&amp;"?"</f>
        <v>Media de puntos sumados 11/06/aa?</v>
      </c>
      <c r="E17" s="458">
        <f ca="1">IFERROR(AVERAGE(DailyClas!$G$4:INDEX(DailyClas!$G$4:$G$75,ADMIN!$D$5)),0)</f>
        <v>0</v>
      </c>
      <c r="F17" s="459"/>
      <c r="G17" s="17"/>
      <c r="H17" s="456"/>
      <c r="I17" s="703"/>
      <c r="J17" s="706"/>
      <c r="K17" s="404"/>
      <c r="L17" s="132" t="str">
        <f ca="1">Horarios!Q12</f>
        <v>Cabo Verde</v>
      </c>
      <c r="M17" s="470">
        <f ca="1">ADMIN!$D$5-SUM(N17:T17)</f>
        <v>18</v>
      </c>
      <c r="N17" s="470">
        <f ca="1">IFERROR(COUNTIF(ADMIN!$S$130:INDEX(ADMIN!$S$130:$HL$161,32,ADMIN!$D$5*3-1),Stats!$L17)-SUM(O17:T17),0)</f>
        <v>1</v>
      </c>
      <c r="O17" s="470">
        <f ca="1">COUNTIF(ADMIN!$S$182:INDEX(ADMIN!$S$182:$HL$197,16,ADMIN!$D$5*3-1),Stats!$L17)-SUM(P17:T17)</f>
        <v>0</v>
      </c>
      <c r="P17" s="470">
        <f ca="1">COUNTIF(ADMIN!$S$210:INDEX(ADMIN!$S$210:$HL$217,8,ADMIN!$D$5*3-1),Stats!$L17)-SUM(Q17:T17)</f>
        <v>0</v>
      </c>
      <c r="Q17" s="470">
        <f ca="1">COUNTIF(ADMIN!$S$226:INDEX(ADMIN!$S$226:$HL$229,4,ADMIN!$D$5*3-1),Stats!$L17)-SUM(R17:T17)</f>
        <v>0</v>
      </c>
      <c r="R17" s="470">
        <f ca="1">IFERROR(COUNTIF(ADMIN!$S$252:INDEX(ADMIN!$S$252:$HL$252,1,ADMIN!$D$5*3-1),Stats!$L17),0)</f>
        <v>0</v>
      </c>
      <c r="S17" s="470">
        <f ca="1">IFERROR(COUNTIF(ADMIN!$S$251:INDEX(ADMIN!$S$251:$HL$251,1,ADMIN!$D$5*3-1),Stats!$L17),0)</f>
        <v>0</v>
      </c>
      <c r="T17" s="471">
        <f ca="1">IFERROR(COUNTIF(ADMIN!$S$250:INDEX(ADMIN!$S$250:$HL$250,1,ADMIN!$D$5*3-1),Stats!$L17),0)</f>
        <v>0</v>
      </c>
      <c r="U17" s="25"/>
      <c r="V17" s="11">
        <f t="shared" ca="1" si="0"/>
        <v>19</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3"/>
      <c r="I18" s="703"/>
      <c r="J18" s="404"/>
      <c r="K18" s="404"/>
      <c r="L18" s="133" t="str">
        <f ca="1">Horarios!Q13</f>
        <v>Canadá</v>
      </c>
      <c r="M18" s="468">
        <f ca="1">ADMIN!$D$5-SUM(N18:T18)</f>
        <v>2</v>
      </c>
      <c r="N18" s="468">
        <f ca="1">IFERROR(COUNTIF(ADMIN!$S$130:INDEX(ADMIN!$S$130:$HL$161,32,ADMIN!$D$5*3-1),Stats!$L18)-SUM(O18:T18),0)</f>
        <v>7</v>
      </c>
      <c r="O18" s="468">
        <f ca="1">COUNTIF(ADMIN!$S$182:INDEX(ADMIN!$S$182:$HL$197,16,ADMIN!$D$5*3-1),Stats!$L18)-SUM(P18:T18)</f>
        <v>10</v>
      </c>
      <c r="P18" s="468">
        <f ca="1">COUNTIF(ADMIN!$S$210:INDEX(ADMIN!$S$210:$HL$217,8,ADMIN!$D$5*3-1),Stats!$L18)-SUM(Q18:T18)</f>
        <v>0</v>
      </c>
      <c r="Q18" s="468">
        <f ca="1">COUNTIF(ADMIN!$S$226:INDEX(ADMIN!$S$226:$HL$229,4,ADMIN!$D$5*3-1),Stats!$L18)-SUM(R18:T18)</f>
        <v>0</v>
      </c>
      <c r="R18" s="468">
        <f ca="1">IFERROR(COUNTIF(ADMIN!$S$252:INDEX(ADMIN!$S$252:$HL$252,1,ADMIN!$D$5*3-1),Stats!$L18),0)</f>
        <v>0</v>
      </c>
      <c r="S18" s="468">
        <f ca="1">IFERROR(COUNTIF(ADMIN!$S$251:INDEX(ADMIN!$S$251:$HL$251,1,ADMIN!$D$5*3-1),Stats!$L18),0)</f>
        <v>0</v>
      </c>
      <c r="T18" s="469">
        <f ca="1">IFERROR(COUNTIF(ADMIN!$S$250:INDEX(ADMIN!$S$250:$HL$250,1,ADMIN!$D$5*3-1),Stats!$L18),0)</f>
        <v>0</v>
      </c>
      <c r="U18" s="25"/>
      <c r="V18" s="11">
        <f t="shared" ca="1" si="0"/>
        <v>19</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6"/>
      <c r="I19" s="703"/>
      <c r="J19" s="474"/>
      <c r="K19" s="474"/>
      <c r="L19" s="132" t="str">
        <f ca="1">Horarios!Q14</f>
        <v>Catar</v>
      </c>
      <c r="M19" s="470">
        <f ca="1">ADMIN!$D$5-SUM(N19:T19)</f>
        <v>15</v>
      </c>
      <c r="N19" s="470">
        <f ca="1">IFERROR(COUNTIF(ADMIN!$S$130:INDEX(ADMIN!$S$130:$HL$161,32,ADMIN!$D$5*3-1),Stats!$L19)-SUM(O19:T19),0)</f>
        <v>3</v>
      </c>
      <c r="O19" s="470">
        <f ca="1">COUNTIF(ADMIN!$S$182:INDEX(ADMIN!$S$182:$HL$197,16,ADMIN!$D$5*3-1),Stats!$L19)-SUM(P19:T19)</f>
        <v>1</v>
      </c>
      <c r="P19" s="470">
        <f ca="1">COUNTIF(ADMIN!$S$210:INDEX(ADMIN!$S$210:$HL$217,8,ADMIN!$D$5*3-1),Stats!$L19)-SUM(Q19:T19)</f>
        <v>0</v>
      </c>
      <c r="Q19" s="470">
        <f ca="1">COUNTIF(ADMIN!$S$226:INDEX(ADMIN!$S$226:$HL$229,4,ADMIN!$D$5*3-1),Stats!$L19)-SUM(R19:T19)</f>
        <v>0</v>
      </c>
      <c r="R19" s="470">
        <f ca="1">IFERROR(COUNTIF(ADMIN!$S$252:INDEX(ADMIN!$S$252:$HL$252,1,ADMIN!$D$5*3-1),Stats!$L19),0)</f>
        <v>0</v>
      </c>
      <c r="S19" s="470">
        <f ca="1">IFERROR(COUNTIF(ADMIN!$S$251:INDEX(ADMIN!$S$251:$HL$251,1,ADMIN!$D$5*3-1),Stats!$L19),0)</f>
        <v>0</v>
      </c>
      <c r="T19" s="471">
        <f ca="1">IFERROR(COUNTIF(ADMIN!$S$250:INDEX(ADMIN!$S$250:$HL$250,1,ADMIN!$D$5*3-1),Stats!$L19),0)</f>
        <v>0</v>
      </c>
      <c r="U19" s="25"/>
      <c r="V19" s="11">
        <f t="shared" ca="1" si="0"/>
        <v>19</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3"/>
      <c r="I20" s="703"/>
      <c r="J20" s="474"/>
      <c r="K20" s="474"/>
      <c r="L20" s="133" t="str">
        <f ca="1">Horarios!Q15</f>
        <v>Colombia</v>
      </c>
      <c r="M20" s="468">
        <f ca="1">ADMIN!$D$5-SUM(N20:T20)</f>
        <v>0</v>
      </c>
      <c r="N20" s="468">
        <f ca="1">IFERROR(COUNTIF(ADMIN!$S$130:INDEX(ADMIN!$S$130:$HL$161,32,ADMIN!$D$5*3-1),Stats!$L20)-SUM(O20:T20),0)</f>
        <v>5</v>
      </c>
      <c r="O20" s="468">
        <f ca="1">COUNTIF(ADMIN!$S$182:INDEX(ADMIN!$S$182:$HL$197,16,ADMIN!$D$5*3-1),Stats!$L20)-SUM(P20:T20)</f>
        <v>13</v>
      </c>
      <c r="P20" s="468">
        <f ca="1">COUNTIF(ADMIN!$S$210:INDEX(ADMIN!$S$210:$HL$217,8,ADMIN!$D$5*3-1),Stats!$L20)-SUM(Q20:T20)</f>
        <v>1</v>
      </c>
      <c r="Q20" s="468">
        <f ca="1">COUNTIF(ADMIN!$S$226:INDEX(ADMIN!$S$226:$HL$229,4,ADMIN!$D$5*3-1),Stats!$L20)-SUM(R20:T20)</f>
        <v>0</v>
      </c>
      <c r="R20" s="468">
        <f ca="1">IFERROR(COUNTIF(ADMIN!$S$252:INDEX(ADMIN!$S$252:$HL$252,1,ADMIN!$D$5*3-1),Stats!$L20),0)</f>
        <v>0</v>
      </c>
      <c r="S20" s="468">
        <f ca="1">IFERROR(COUNTIF(ADMIN!$S$251:INDEX(ADMIN!$S$251:$HL$251,1,ADMIN!$D$5*3-1),Stats!$L20),0)</f>
        <v>0</v>
      </c>
      <c r="T20" s="469">
        <f ca="1">IFERROR(COUNTIF(ADMIN!$S$250:INDEX(ADMIN!$S$250:$HL$250,1,ADMIN!$D$5*3-1),Stats!$L20),0)</f>
        <v>0</v>
      </c>
      <c r="U20" s="25"/>
      <c r="V20" s="11">
        <f ca="1">SUM(M20:T20)</f>
        <v>19</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6"/>
      <c r="I21" s="703"/>
      <c r="J21" s="474"/>
      <c r="K21" s="474"/>
      <c r="L21" s="132" t="str">
        <f ca="1">Horarios!Q16</f>
        <v>Corea del Sur</v>
      </c>
      <c r="M21" s="470">
        <f ca="1">ADMIN!$D$5-SUM(N21:T21)</f>
        <v>3</v>
      </c>
      <c r="N21" s="470">
        <f ca="1">IFERROR(COUNTIF(ADMIN!$S$130:INDEX(ADMIN!$S$130:$HL$161,32,ADMIN!$D$5*3-1),Stats!$L21)-SUM(O21:T21),0)</f>
        <v>10</v>
      </c>
      <c r="O21" s="470">
        <f ca="1">COUNTIF(ADMIN!$S$182:INDEX(ADMIN!$S$182:$HL$197,16,ADMIN!$D$5*3-1),Stats!$L21)-SUM(P21:T21)</f>
        <v>6</v>
      </c>
      <c r="P21" s="470">
        <f ca="1">COUNTIF(ADMIN!$S$210:INDEX(ADMIN!$S$210:$HL$217,8,ADMIN!$D$5*3-1),Stats!$L21)-SUM(Q21:T21)</f>
        <v>0</v>
      </c>
      <c r="Q21" s="470">
        <f ca="1">COUNTIF(ADMIN!$S$226:INDEX(ADMIN!$S$226:$HL$229,4,ADMIN!$D$5*3-1),Stats!$L21)-SUM(R21:T21)</f>
        <v>0</v>
      </c>
      <c r="R21" s="470">
        <f ca="1">IFERROR(COUNTIF(ADMIN!$S$252:INDEX(ADMIN!$S$252:$HL$252,1,ADMIN!$D$5*3-1),Stats!$L21),0)</f>
        <v>0</v>
      </c>
      <c r="S21" s="470">
        <f ca="1">IFERROR(COUNTIF(ADMIN!$S$251:INDEX(ADMIN!$S$251:$HL$251,1,ADMIN!$D$5*3-1),Stats!$L21),0)</f>
        <v>0</v>
      </c>
      <c r="T21" s="471">
        <f ca="1">IFERROR(COUNTIF(ADMIN!$S$250:INDEX(ADMIN!$S$250:$HL$250,1,ADMIN!$D$5*3-1),Stats!$L21),0)</f>
        <v>0</v>
      </c>
      <c r="U21" s="25"/>
      <c r="V21" s="11">
        <f t="shared" ca="1" si="0"/>
        <v>19</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3"/>
      <c r="I22" s="703"/>
      <c r="J22" s="474"/>
      <c r="K22" s="474"/>
      <c r="L22" s="133" t="str">
        <f ca="1">Horarios!Q17</f>
        <v>Costa de Marfil</v>
      </c>
      <c r="M22" s="468">
        <f ca="1">ADMIN!$D$5-SUM(N22:T22)</f>
        <v>4</v>
      </c>
      <c r="N22" s="468">
        <f ca="1">IFERROR(COUNTIF(ADMIN!$S$130:INDEX(ADMIN!$S$130:$HL$161,32,ADMIN!$D$5*3-1),Stats!$L22)-SUM(O22:T22),0)</f>
        <v>12</v>
      </c>
      <c r="O22" s="468">
        <f ca="1">COUNTIF(ADMIN!$S$182:INDEX(ADMIN!$S$182:$HL$197,16,ADMIN!$D$5*3-1),Stats!$L22)-SUM(P22:T22)</f>
        <v>2</v>
      </c>
      <c r="P22" s="468">
        <f ca="1">COUNTIF(ADMIN!$S$210:INDEX(ADMIN!$S$210:$HL$217,8,ADMIN!$D$5*3-1),Stats!$L22)-SUM(Q22:T22)</f>
        <v>1</v>
      </c>
      <c r="Q22" s="468">
        <f ca="1">COUNTIF(ADMIN!$S$226:INDEX(ADMIN!$S$226:$HL$229,4,ADMIN!$D$5*3-1),Stats!$L22)-SUM(R22:T22)</f>
        <v>0</v>
      </c>
      <c r="R22" s="468">
        <f ca="1">IFERROR(COUNTIF(ADMIN!$S$252:INDEX(ADMIN!$S$252:$HL$252,1,ADMIN!$D$5*3-1),Stats!$L22),0)</f>
        <v>0</v>
      </c>
      <c r="S22" s="468">
        <f ca="1">IFERROR(COUNTIF(ADMIN!$S$251:INDEX(ADMIN!$S$251:$HL$251,1,ADMIN!$D$5*3-1),Stats!$L22),0)</f>
        <v>0</v>
      </c>
      <c r="T22" s="469">
        <f ca="1">IFERROR(COUNTIF(ADMIN!$S$250:INDEX(ADMIN!$S$250:$HL$250,1,ADMIN!$D$5*3-1),Stats!$L22),0)</f>
        <v>0</v>
      </c>
      <c r="U22" s="25"/>
      <c r="V22" s="11">
        <f t="shared" ca="1" si="0"/>
        <v>19</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6"/>
      <c r="I23" s="703"/>
      <c r="J23" s="474"/>
      <c r="K23" s="474"/>
      <c r="L23" s="132" t="str">
        <f ca="1">Horarios!Q18</f>
        <v>Croacia</v>
      </c>
      <c r="M23" s="470">
        <f ca="1">ADMIN!$D$5-SUM(N23:T23)</f>
        <v>0</v>
      </c>
      <c r="N23" s="470">
        <f ca="1">IFERROR(COUNTIF(ADMIN!$S$130:INDEX(ADMIN!$S$130:$HL$161,32,ADMIN!$D$5*3-1),Stats!$L23)-SUM(O23:T23),0)</f>
        <v>15</v>
      </c>
      <c r="O23" s="470">
        <f ca="1">COUNTIF(ADMIN!$S$182:INDEX(ADMIN!$S$182:$HL$197,16,ADMIN!$D$5*3-1),Stats!$L23)-SUM(P23:T23)</f>
        <v>3</v>
      </c>
      <c r="P23" s="470">
        <f ca="1">COUNTIF(ADMIN!$S$210:INDEX(ADMIN!$S$210:$HL$217,8,ADMIN!$D$5*3-1),Stats!$L23)-SUM(Q23:T23)</f>
        <v>0</v>
      </c>
      <c r="Q23" s="470">
        <f ca="1">COUNTIF(ADMIN!$S$226:INDEX(ADMIN!$S$226:$HL$229,4,ADMIN!$D$5*3-1),Stats!$L23)-SUM(R23:T23)</f>
        <v>1</v>
      </c>
      <c r="R23" s="470">
        <f ca="1">IFERROR(COUNTIF(ADMIN!$S$252:INDEX(ADMIN!$S$252:$HL$252,1,ADMIN!$D$5*3-1),Stats!$L23),0)</f>
        <v>0</v>
      </c>
      <c r="S23" s="470">
        <f ca="1">IFERROR(COUNTIF(ADMIN!$S$251:INDEX(ADMIN!$S$251:$HL$251,1,ADMIN!$D$5*3-1),Stats!$L23),0)</f>
        <v>0</v>
      </c>
      <c r="T23" s="471">
        <f ca="1">IFERROR(COUNTIF(ADMIN!$S$250:INDEX(ADMIN!$S$250:$HL$250,1,ADMIN!$D$5*3-1),Stats!$L23),0)</f>
        <v>0</v>
      </c>
      <c r="U23" s="25"/>
      <c r="V23" s="11">
        <f t="shared" ca="1" si="0"/>
        <v>19</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3"/>
      <c r="I24" s="703"/>
      <c r="J24" s="474"/>
      <c r="K24" s="474"/>
      <c r="L24" s="133" t="str">
        <f ca="1">Horarios!Q19</f>
        <v>Curazao</v>
      </c>
      <c r="M24" s="468">
        <f ca="1">ADMIN!$D$5-SUM(N24:T24)</f>
        <v>18</v>
      </c>
      <c r="N24" s="468">
        <f ca="1">IFERROR(COUNTIF(ADMIN!$S$130:INDEX(ADMIN!$S$130:$HL$161,32,ADMIN!$D$5*3-1),Stats!$L24)-SUM(O24:T24),0)</f>
        <v>1</v>
      </c>
      <c r="O24" s="468">
        <f ca="1">COUNTIF(ADMIN!$S$182:INDEX(ADMIN!$S$182:$HL$197,16,ADMIN!$D$5*3-1),Stats!$L24)-SUM(P24:T24)</f>
        <v>0</v>
      </c>
      <c r="P24" s="468">
        <f ca="1">COUNTIF(ADMIN!$S$210:INDEX(ADMIN!$S$210:$HL$217,8,ADMIN!$D$5*3-1),Stats!$L24)-SUM(Q24:T24)</f>
        <v>0</v>
      </c>
      <c r="Q24" s="468">
        <f ca="1">COUNTIF(ADMIN!$S$226:INDEX(ADMIN!$S$226:$HL$229,4,ADMIN!$D$5*3-1),Stats!$L24)-SUM(R24:T24)</f>
        <v>0</v>
      </c>
      <c r="R24" s="468">
        <f ca="1">IFERROR(COUNTIF(ADMIN!$S$252:INDEX(ADMIN!$S$252:$HL$252,1,ADMIN!$D$5*3-1),Stats!$L24),0)</f>
        <v>0</v>
      </c>
      <c r="S24" s="468">
        <f ca="1">IFERROR(COUNTIF(ADMIN!$S$251:INDEX(ADMIN!$S$251:$HL$251,1,ADMIN!$D$5*3-1),Stats!$L24),0)</f>
        <v>0</v>
      </c>
      <c r="T24" s="469">
        <f ca="1">IFERROR(COUNTIF(ADMIN!$S$250:INDEX(ADMIN!$S$250:$HL$250,1,ADMIN!$D$5*3-1),Stats!$L24),0)</f>
        <v>0</v>
      </c>
      <c r="U24" s="25"/>
      <c r="V24" s="11">
        <f t="shared" ca="1" si="0"/>
        <v>19</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6"/>
      <c r="I25" s="703"/>
      <c r="J25" s="474"/>
      <c r="K25" s="474"/>
      <c r="L25" s="132" t="str">
        <f ca="1">Horarios!Q20</f>
        <v>Ecuador</v>
      </c>
      <c r="M25" s="470">
        <f ca="1">ADMIN!$D$5-SUM(N25:T25)</f>
        <v>0</v>
      </c>
      <c r="N25" s="470">
        <f ca="1">IFERROR(COUNTIF(ADMIN!$S$130:INDEX(ADMIN!$S$130:$HL$161,32,ADMIN!$D$5*3-1),Stats!$L25)-SUM(O25:T25),0)</f>
        <v>8</v>
      </c>
      <c r="O25" s="470">
        <f ca="1">COUNTIF(ADMIN!$S$182:INDEX(ADMIN!$S$182:$HL$197,16,ADMIN!$D$5*3-1),Stats!$L25)-SUM(P25:T25)</f>
        <v>11</v>
      </c>
      <c r="P25" s="470">
        <f ca="1">COUNTIF(ADMIN!$S$210:INDEX(ADMIN!$S$210:$HL$217,8,ADMIN!$D$5*3-1),Stats!$L25)-SUM(Q25:T25)</f>
        <v>0</v>
      </c>
      <c r="Q25" s="470">
        <f ca="1">COUNTIF(ADMIN!$S$226:INDEX(ADMIN!$S$226:$HL$229,4,ADMIN!$D$5*3-1),Stats!$L25)-SUM(R25:T25)</f>
        <v>0</v>
      </c>
      <c r="R25" s="470">
        <f ca="1">IFERROR(COUNTIF(ADMIN!$S$252:INDEX(ADMIN!$S$252:$HL$252,1,ADMIN!$D$5*3-1),Stats!$L25),0)</f>
        <v>0</v>
      </c>
      <c r="S25" s="470">
        <f ca="1">IFERROR(COUNTIF(ADMIN!$S$251:INDEX(ADMIN!$S$251:$HL$251,1,ADMIN!$D$5*3-1),Stats!$L25),0)</f>
        <v>0</v>
      </c>
      <c r="T25" s="471">
        <f ca="1">IFERROR(COUNTIF(ADMIN!$S$250:INDEX(ADMIN!$S$250:$HL$250,1,ADMIN!$D$5*3-1),Stats!$L25),0)</f>
        <v>0</v>
      </c>
      <c r="U25" s="25"/>
      <c r="V25" s="11">
        <f t="shared" ca="1" si="0"/>
        <v>19</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3"/>
      <c r="I26" s="703"/>
      <c r="J26" s="474"/>
      <c r="K26" s="474"/>
      <c r="L26" s="133" t="str">
        <f ca="1">Horarios!Q21</f>
        <v>Egipto</v>
      </c>
      <c r="M26" s="468">
        <f ca="1">ADMIN!$D$5-SUM(N26:T26)</f>
        <v>3</v>
      </c>
      <c r="N26" s="468">
        <f ca="1">IFERROR(COUNTIF(ADMIN!$S$130:INDEX(ADMIN!$S$130:$HL$161,32,ADMIN!$D$5*3-1),Stats!$L26)-SUM(O26:T26),0)</f>
        <v>13</v>
      </c>
      <c r="O26" s="468">
        <f ca="1">COUNTIF(ADMIN!$S$182:INDEX(ADMIN!$S$182:$HL$197,16,ADMIN!$D$5*3-1),Stats!$L26)-SUM(P26:T26)</f>
        <v>2</v>
      </c>
      <c r="P26" s="468">
        <f ca="1">COUNTIF(ADMIN!$S$210:INDEX(ADMIN!$S$210:$HL$217,8,ADMIN!$D$5*3-1),Stats!$L26)-SUM(Q26:T26)</f>
        <v>1</v>
      </c>
      <c r="Q26" s="468">
        <f ca="1">COUNTIF(ADMIN!$S$226:INDEX(ADMIN!$S$226:$HL$229,4,ADMIN!$D$5*3-1),Stats!$L26)-SUM(R26:T26)</f>
        <v>0</v>
      </c>
      <c r="R26" s="468">
        <f ca="1">IFERROR(COUNTIF(ADMIN!$S$252:INDEX(ADMIN!$S$252:$HL$252,1,ADMIN!$D$5*3-1),Stats!$L26),0)</f>
        <v>0</v>
      </c>
      <c r="S26" s="468">
        <f ca="1">IFERROR(COUNTIF(ADMIN!$S$251:INDEX(ADMIN!$S$251:$HL$251,1,ADMIN!$D$5*3-1),Stats!$L26),0)</f>
        <v>0</v>
      </c>
      <c r="T26" s="469">
        <f ca="1">IFERROR(COUNTIF(ADMIN!$S$250:INDEX(ADMIN!$S$250:$HL$250,1,ADMIN!$D$5*3-1),Stats!$L26),0)</f>
        <v>0</v>
      </c>
      <c r="U26" s="25"/>
      <c r="V26" s="11">
        <f t="shared" ca="1" si="0"/>
        <v>19</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6"/>
      <c r="I27" s="703"/>
      <c r="J27" s="474"/>
      <c r="K27" s="474"/>
      <c r="L27" s="132" t="str">
        <f ca="1">Horarios!Q22</f>
        <v>Escocia</v>
      </c>
      <c r="M27" s="470">
        <f ca="1">ADMIN!$D$5-SUM(N27:T27)</f>
        <v>6</v>
      </c>
      <c r="N27" s="470">
        <f ca="1">IFERROR(COUNTIF(ADMIN!$S$130:INDEX(ADMIN!$S$130:$HL$161,32,ADMIN!$D$5*3-1),Stats!$L27)-SUM(O27:T27),0)</f>
        <v>13</v>
      </c>
      <c r="O27" s="470">
        <f ca="1">COUNTIF(ADMIN!$S$182:INDEX(ADMIN!$S$182:$HL$197,16,ADMIN!$D$5*3-1),Stats!$L27)-SUM(P27:T27)</f>
        <v>0</v>
      </c>
      <c r="P27" s="470">
        <f ca="1">COUNTIF(ADMIN!$S$210:INDEX(ADMIN!$S$210:$HL$217,8,ADMIN!$D$5*3-1),Stats!$L27)-SUM(Q27:T27)</f>
        <v>0</v>
      </c>
      <c r="Q27" s="470">
        <f ca="1">COUNTIF(ADMIN!$S$226:INDEX(ADMIN!$S$226:$HL$229,4,ADMIN!$D$5*3-1),Stats!$L27)-SUM(R27:T27)</f>
        <v>0</v>
      </c>
      <c r="R27" s="470">
        <f ca="1">IFERROR(COUNTIF(ADMIN!$S$252:INDEX(ADMIN!$S$252:$HL$252,1,ADMIN!$D$5*3-1),Stats!$L27),0)</f>
        <v>0</v>
      </c>
      <c r="S27" s="470">
        <f ca="1">IFERROR(COUNTIF(ADMIN!$S$251:INDEX(ADMIN!$S$251:$HL$251,1,ADMIN!$D$5*3-1),Stats!$L27),0)</f>
        <v>0</v>
      </c>
      <c r="T27" s="471">
        <f ca="1">IFERROR(COUNTIF(ADMIN!$S$250:INDEX(ADMIN!$S$250:$HL$250,1,ADMIN!$D$5*3-1),Stats!$L27),0)</f>
        <v>0</v>
      </c>
      <c r="U27" s="25"/>
      <c r="V27" s="11">
        <f t="shared" ca="1" si="0"/>
        <v>19</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3"/>
      <c r="I28" s="703"/>
      <c r="J28" s="474"/>
      <c r="K28" s="474"/>
      <c r="L28" s="133" t="str">
        <f ca="1">Horarios!Q23</f>
        <v>España</v>
      </c>
      <c r="M28" s="468">
        <f ca="1">ADMIN!$D$5-SUM(N28:T28)</f>
        <v>0</v>
      </c>
      <c r="N28" s="468">
        <f ca="1">IFERROR(COUNTIF(ADMIN!$S$130:INDEX(ADMIN!$S$130:$HL$161,32,ADMIN!$D$5*3-1),Stats!$L28)-SUM(O28:T28),0)</f>
        <v>1</v>
      </c>
      <c r="O28" s="468">
        <f ca="1">COUNTIF(ADMIN!$S$182:INDEX(ADMIN!$S$182:$HL$197,16,ADMIN!$D$5*3-1),Stats!$L28)-SUM(P28:T28)</f>
        <v>1</v>
      </c>
      <c r="P28" s="468">
        <f ca="1">COUNTIF(ADMIN!$S$210:INDEX(ADMIN!$S$210:$HL$217,8,ADMIN!$D$5*3-1),Stats!$L28)-SUM(Q28:T28)</f>
        <v>1</v>
      </c>
      <c r="Q28" s="468">
        <f ca="1">COUNTIF(ADMIN!$S$226:INDEX(ADMIN!$S$226:$HL$229,4,ADMIN!$D$5*3-1),Stats!$L28)-SUM(R28:T28)</f>
        <v>0</v>
      </c>
      <c r="R28" s="468">
        <f ca="1">IFERROR(COUNTIF(ADMIN!$S$252:INDEX(ADMIN!$S$252:$HL$252,1,ADMIN!$D$5*3-1),Stats!$L28),0)</f>
        <v>4</v>
      </c>
      <c r="S28" s="468">
        <f ca="1">IFERROR(COUNTIF(ADMIN!$S$251:INDEX(ADMIN!$S$251:$HL$251,1,ADMIN!$D$5*3-1),Stats!$L28),0)</f>
        <v>6</v>
      </c>
      <c r="T28" s="469">
        <f ca="1">IFERROR(COUNTIF(ADMIN!$S$250:INDEX(ADMIN!$S$250:$HL$250,1,ADMIN!$D$5*3-1),Stats!$L28),0)</f>
        <v>6</v>
      </c>
      <c r="U28" s="25"/>
      <c r="V28" s="11">
        <f t="shared" ca="1" si="0"/>
        <v>19</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6"/>
      <c r="I29" s="703"/>
      <c r="J29" s="474"/>
      <c r="K29" s="474"/>
      <c r="L29" s="132" t="str">
        <f ca="1">Horarios!Q24</f>
        <v>Estados Unidos</v>
      </c>
      <c r="M29" s="470">
        <f ca="1">ADMIN!$D$5-SUM(N29:T29)</f>
        <v>2</v>
      </c>
      <c r="N29" s="470">
        <f ca="1">IFERROR(COUNTIF(ADMIN!$S$130:INDEX(ADMIN!$S$130:$HL$161,32,ADMIN!$D$5*3-1),Stats!$L29)-SUM(O29:T29),0)</f>
        <v>9</v>
      </c>
      <c r="O29" s="470">
        <f ca="1">COUNTIF(ADMIN!$S$182:INDEX(ADMIN!$S$182:$HL$197,16,ADMIN!$D$5*3-1),Stats!$L29)-SUM(P29:T29)</f>
        <v>8</v>
      </c>
      <c r="P29" s="470">
        <f ca="1">COUNTIF(ADMIN!$S$210:INDEX(ADMIN!$S$210:$HL$217,8,ADMIN!$D$5*3-1),Stats!$L29)-SUM(Q29:T29)</f>
        <v>0</v>
      </c>
      <c r="Q29" s="470">
        <f ca="1">COUNTIF(ADMIN!$S$226:INDEX(ADMIN!$S$226:$HL$229,4,ADMIN!$D$5*3-1),Stats!$L29)-SUM(R29:T29)</f>
        <v>0</v>
      </c>
      <c r="R29" s="470">
        <f ca="1">IFERROR(COUNTIF(ADMIN!$S$252:INDEX(ADMIN!$S$252:$HL$252,1,ADMIN!$D$5*3-1),Stats!$L29),0)</f>
        <v>0</v>
      </c>
      <c r="S29" s="470">
        <f ca="1">IFERROR(COUNTIF(ADMIN!$S$251:INDEX(ADMIN!$S$251:$HL$251,1,ADMIN!$D$5*3-1),Stats!$L29),0)</f>
        <v>0</v>
      </c>
      <c r="T29" s="471">
        <f ca="1">IFERROR(COUNTIF(ADMIN!$S$250:INDEX(ADMIN!$S$250:$HL$250,1,ADMIN!$D$5*3-1),Stats!$L29),0)</f>
        <v>0</v>
      </c>
      <c r="U29" s="25"/>
      <c r="V29" s="11">
        <f t="shared" ca="1" si="0"/>
        <v>19</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3"/>
      <c r="I30" s="703"/>
      <c r="J30" s="474"/>
      <c r="K30" s="474"/>
      <c r="L30" s="133" t="str">
        <f ca="1">Horarios!Q25</f>
        <v>Francia</v>
      </c>
      <c r="M30" s="468">
        <f ca="1">ADMIN!$D$5-SUM(N30:T30)</f>
        <v>0</v>
      </c>
      <c r="N30" s="468">
        <f ca="1">IFERROR(COUNTIF(ADMIN!$S$130:INDEX(ADMIN!$S$130:$HL$161,32,ADMIN!$D$5*3-1),Stats!$L30)-SUM(O30:T30),0)</f>
        <v>0</v>
      </c>
      <c r="O30" s="468">
        <f ca="1">COUNTIF(ADMIN!$S$182:INDEX(ADMIN!$S$182:$HL$197,16,ADMIN!$D$5*3-1),Stats!$L30)-SUM(P30:T30)</f>
        <v>1</v>
      </c>
      <c r="P30" s="468">
        <f ca="1">COUNTIF(ADMIN!$S$210:INDEX(ADMIN!$S$210:$HL$217,8,ADMIN!$D$5*3-1),Stats!$L30)-SUM(Q30:T30)</f>
        <v>3</v>
      </c>
      <c r="Q30" s="468">
        <f ca="1">COUNTIF(ADMIN!$S$226:INDEX(ADMIN!$S$226:$HL$229,4,ADMIN!$D$5*3-1),Stats!$L30)-SUM(R30:T30)</f>
        <v>3</v>
      </c>
      <c r="R30" s="468">
        <f ca="1">IFERROR(COUNTIF(ADMIN!$S$252:INDEX(ADMIN!$S$252:$HL$252,1,ADMIN!$D$5*3-1),Stats!$L30),0)</f>
        <v>5</v>
      </c>
      <c r="S30" s="468">
        <f ca="1">IFERROR(COUNTIF(ADMIN!$S$251:INDEX(ADMIN!$S$251:$HL$251,1,ADMIN!$D$5*3-1),Stats!$L30),0)</f>
        <v>4</v>
      </c>
      <c r="T30" s="469">
        <f ca="1">IFERROR(COUNTIF(ADMIN!$S$250:INDEX(ADMIN!$S$250:$HL$250,1,ADMIN!$D$5*3-1),Stats!$L30),0)</f>
        <v>3</v>
      </c>
      <c r="U30" s="25"/>
      <c r="V30" s="11">
        <f t="shared" ca="1" si="0"/>
        <v>19</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7"/>
      <c r="I31" s="704"/>
      <c r="J31" s="474"/>
      <c r="K31" s="474"/>
      <c r="L31" s="132" t="str">
        <f ca="1">Horarios!Q26</f>
        <v>Ghana</v>
      </c>
      <c r="M31" s="470">
        <f ca="1">ADMIN!$D$5-SUM(N31:T31)</f>
        <v>6</v>
      </c>
      <c r="N31" s="470">
        <f ca="1">IFERROR(COUNTIF(ADMIN!$S$130:INDEX(ADMIN!$S$130:$HL$161,32,ADMIN!$D$5*3-1),Stats!$L31)-SUM(O31:T31),0)</f>
        <v>12</v>
      </c>
      <c r="O31" s="470">
        <f ca="1">COUNTIF(ADMIN!$S$182:INDEX(ADMIN!$S$182:$HL$197,16,ADMIN!$D$5*3-1),Stats!$L31)-SUM(P31:T31)</f>
        <v>0</v>
      </c>
      <c r="P31" s="470">
        <f ca="1">COUNTIF(ADMIN!$S$210:INDEX(ADMIN!$S$210:$HL$217,8,ADMIN!$D$5*3-1),Stats!$L31)-SUM(Q31:T31)</f>
        <v>1</v>
      </c>
      <c r="Q31" s="470">
        <f ca="1">COUNTIF(ADMIN!$S$226:INDEX(ADMIN!$S$226:$HL$229,4,ADMIN!$D$5*3-1),Stats!$L31)-SUM(R31:T31)</f>
        <v>0</v>
      </c>
      <c r="R31" s="470">
        <f ca="1">IFERROR(COUNTIF(ADMIN!$S$252:INDEX(ADMIN!$S$252:$HL$252,1,ADMIN!$D$5*3-1),Stats!$L31),0)</f>
        <v>0</v>
      </c>
      <c r="S31" s="470">
        <f ca="1">IFERROR(COUNTIF(ADMIN!$S$251:INDEX(ADMIN!$S$251:$HL$251,1,ADMIN!$D$5*3-1),Stats!$L31),0)</f>
        <v>0</v>
      </c>
      <c r="T31" s="471">
        <f ca="1">IFERROR(COUNTIF(ADMIN!$S$250:INDEX(ADMIN!$S$250:$HL$250,1,ADMIN!$D$5*3-1),Stats!$L31),0)</f>
        <v>0</v>
      </c>
      <c r="U31" s="25"/>
      <c r="V31" s="11">
        <f t="shared" ca="1" si="0"/>
        <v>19</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4"/>
      <c r="K32" s="474"/>
      <c r="L32" s="133" t="str">
        <f ca="1">Horarios!Q27</f>
        <v>Haití</v>
      </c>
      <c r="M32" s="468">
        <f ca="1">ADMIN!$D$5-SUM(N32:T32)</f>
        <v>19</v>
      </c>
      <c r="N32" s="468">
        <f ca="1">IFERROR(COUNTIF(ADMIN!$S$130:INDEX(ADMIN!$S$130:$HL$161,32,ADMIN!$D$5*3-1),Stats!$L32)-SUM(O32:T32),0)</f>
        <v>0</v>
      </c>
      <c r="O32" s="468">
        <f ca="1">COUNTIF(ADMIN!$S$182:INDEX(ADMIN!$S$182:$HL$197,16,ADMIN!$D$5*3-1),Stats!$L32)-SUM(P32:T32)</f>
        <v>0</v>
      </c>
      <c r="P32" s="468">
        <f ca="1">COUNTIF(ADMIN!$S$210:INDEX(ADMIN!$S$210:$HL$217,8,ADMIN!$D$5*3-1),Stats!$L32)-SUM(Q32:T32)</f>
        <v>0</v>
      </c>
      <c r="Q32" s="468">
        <f ca="1">COUNTIF(ADMIN!$S$226:INDEX(ADMIN!$S$226:$HL$229,4,ADMIN!$D$5*3-1),Stats!$L32)-SUM(R32:T32)</f>
        <v>0</v>
      </c>
      <c r="R32" s="468">
        <f ca="1">IFERROR(COUNTIF(ADMIN!$S$252:INDEX(ADMIN!$S$252:$HL$252,1,ADMIN!$D$5*3-1),Stats!$L32),0)</f>
        <v>0</v>
      </c>
      <c r="S32" s="468">
        <f ca="1">IFERROR(COUNTIF(ADMIN!$S$251:INDEX(ADMIN!$S$251:$HL$251,1,ADMIN!$D$5*3-1),Stats!$L32),0)</f>
        <v>0</v>
      </c>
      <c r="T32" s="469">
        <f ca="1">IFERROR(COUNTIF(ADMIN!$S$250:INDEX(ADMIN!$S$250:$HL$250,1,ADMIN!$D$5*3-1),Stats!$L32),0)</f>
        <v>0</v>
      </c>
      <c r="U32" s="25"/>
      <c r="V32" s="11">
        <f t="shared" ca="1" si="0"/>
        <v>19</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4"/>
      <c r="K33" s="474"/>
      <c r="L33" s="132" t="str">
        <f ca="1">Horarios!Q28</f>
        <v>Inglaterra</v>
      </c>
      <c r="M33" s="470">
        <f ca="1">ADMIN!$D$5-SUM(N33:T33)</f>
        <v>0</v>
      </c>
      <c r="N33" s="470">
        <f ca="1">IFERROR(COUNTIF(ADMIN!$S$130:INDEX(ADMIN!$S$130:$HL$161,32,ADMIN!$D$5*3-1),Stats!$L33)-SUM(O33:T33),0)</f>
        <v>1</v>
      </c>
      <c r="O33" s="470">
        <f ca="1">COUNTIF(ADMIN!$S$182:INDEX(ADMIN!$S$182:$HL$197,16,ADMIN!$D$5*3-1),Stats!$L33)-SUM(P33:T33)</f>
        <v>1</v>
      </c>
      <c r="P33" s="470">
        <f ca="1">COUNTIF(ADMIN!$S$210:INDEX(ADMIN!$S$210:$HL$217,8,ADMIN!$D$5*3-1),Stats!$L33)-SUM(Q33:T33)</f>
        <v>12</v>
      </c>
      <c r="Q33" s="470">
        <f ca="1">COUNTIF(ADMIN!$S$226:INDEX(ADMIN!$S$226:$HL$229,4,ADMIN!$D$5*3-1),Stats!$L33)-SUM(R33:T33)</f>
        <v>4</v>
      </c>
      <c r="R33" s="470">
        <f ca="1">IFERROR(COUNTIF(ADMIN!$S$252:INDEX(ADMIN!$S$252:$HL$252,1,ADMIN!$D$5*3-1),Stats!$L33),0)</f>
        <v>1</v>
      </c>
      <c r="S33" s="470">
        <f ca="1">IFERROR(COUNTIF(ADMIN!$S$251:INDEX(ADMIN!$S$251:$HL$251,1,ADMIN!$D$5*3-1),Stats!$L33),0)</f>
        <v>0</v>
      </c>
      <c r="T33" s="471">
        <f ca="1">IFERROR(COUNTIF(ADMIN!$S$250:INDEX(ADMIN!$S$250:$HL$250,1,ADMIN!$D$5*3-1),Stats!$L33),0)</f>
        <v>0</v>
      </c>
      <c r="U33" s="25"/>
      <c r="V33" s="11">
        <f t="shared" ca="1" si="0"/>
        <v>19</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1</v>
      </c>
      <c r="E34" s="25"/>
      <c r="F34" s="25"/>
      <c r="G34" s="17"/>
      <c r="H34" s="17"/>
      <c r="I34" s="17"/>
      <c r="J34" s="474"/>
      <c r="K34" s="474"/>
      <c r="L34" s="133" t="str">
        <f ca="1">Horarios!Q29</f>
        <v>Irak</v>
      </c>
      <c r="M34" s="468">
        <f ca="1">ADMIN!$D$5-SUM(N34:T34)</f>
        <v>17</v>
      </c>
      <c r="N34" s="468">
        <f ca="1">IFERROR(COUNTIF(ADMIN!$S$130:INDEX(ADMIN!$S$130:$HL$161,32,ADMIN!$D$5*3-1),Stats!$L34)-SUM(O34:T34),0)</f>
        <v>1</v>
      </c>
      <c r="O34" s="468">
        <f ca="1">COUNTIF(ADMIN!$S$182:INDEX(ADMIN!$S$182:$HL$197,16,ADMIN!$D$5*3-1),Stats!$L34)-SUM(P34:T34)</f>
        <v>0</v>
      </c>
      <c r="P34" s="468">
        <f ca="1">COUNTIF(ADMIN!$S$210:INDEX(ADMIN!$S$210:$HL$217,8,ADMIN!$D$5*3-1),Stats!$L34)-SUM(Q34:T34)</f>
        <v>1</v>
      </c>
      <c r="Q34" s="468">
        <f ca="1">COUNTIF(ADMIN!$S$226:INDEX(ADMIN!$S$226:$HL$229,4,ADMIN!$D$5*3-1),Stats!$L34)-SUM(R34:T34)</f>
        <v>0</v>
      </c>
      <c r="R34" s="468">
        <f ca="1">IFERROR(COUNTIF(ADMIN!$S$252:INDEX(ADMIN!$S$252:$HL$252,1,ADMIN!$D$5*3-1),Stats!$L34),0)</f>
        <v>0</v>
      </c>
      <c r="S34" s="468">
        <f ca="1">IFERROR(COUNTIF(ADMIN!$S$251:INDEX(ADMIN!$S$251:$HL$251,1,ADMIN!$D$5*3-1),Stats!$L34),0)</f>
        <v>0</v>
      </c>
      <c r="T34" s="469">
        <f ca="1">IFERROR(COUNTIF(ADMIN!$S$250:INDEX(ADMIN!$S$250:$HL$250,1,ADMIN!$D$5*3-1),Stats!$L34),0)</f>
        <v>0</v>
      </c>
      <c r="U34" s="25"/>
      <c r="V34" s="11">
        <f t="shared" ca="1" si="0"/>
        <v>19</v>
      </c>
      <c r="W34" s="11" t="s">
        <v>1754</v>
      </c>
      <c r="X34" s="11" t="s">
        <v>1753</v>
      </c>
      <c r="Y34" s="492" t="s">
        <v>1684</v>
      </c>
      <c r="Z34" s="492" t="s">
        <v>1686</v>
      </c>
      <c r="AA34" s="492" t="s">
        <v>1714</v>
      </c>
      <c r="AB34" s="492" t="s">
        <v>1715</v>
      </c>
      <c r="AC34" s="492" t="s">
        <v>1716</v>
      </c>
      <c r="AD34" s="492"/>
      <c r="AE34" s="8"/>
      <c r="AF34" s="8"/>
      <c r="AG34" s="492" t="s">
        <v>1717</v>
      </c>
      <c r="AH34" s="492" t="s">
        <v>1718</v>
      </c>
      <c r="AI34" s="492" t="s">
        <v>1719</v>
      </c>
      <c r="AJ34" s="8" t="s">
        <v>1720</v>
      </c>
      <c r="AK34" s="492" t="s">
        <v>1721</v>
      </c>
      <c r="AL34" s="8" t="s">
        <v>1722</v>
      </c>
      <c r="AM34" s="8"/>
      <c r="AN34" s="8"/>
      <c r="AO34" s="492" t="s">
        <v>1723</v>
      </c>
      <c r="AP34" s="492"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f ca="1">SUMIFS(_xlfn.ANCHORARRAY($Z$35),_xlfn.ANCHORARRAY($AH$35),D35)</f>
        <v>16</v>
      </c>
      <c r="F35" s="25">
        <f ca="1">IFERROR(E35/SUM($E$35:E37),0)</f>
        <v>0.84210526315789469</v>
      </c>
      <c r="G35" s="17"/>
      <c r="H35" s="17"/>
      <c r="I35" s="17"/>
      <c r="J35" s="25"/>
      <c r="K35" s="25"/>
      <c r="L35" s="132" t="str">
        <f ca="1">Horarios!Q30</f>
        <v>Irán</v>
      </c>
      <c r="M35" s="470">
        <f ca="1">ADMIN!$D$5-SUM(N35:T35)</f>
        <v>9</v>
      </c>
      <c r="N35" s="470">
        <f ca="1">IFERROR(COUNTIF(ADMIN!$S$130:INDEX(ADMIN!$S$130:$HL$161,32,ADMIN!$D$5*3-1),Stats!$L35)-SUM(O35:T35),0)</f>
        <v>10</v>
      </c>
      <c r="O35" s="470">
        <f ca="1">COUNTIF(ADMIN!$S$182:INDEX(ADMIN!$S$182:$HL$197,16,ADMIN!$D$5*3-1),Stats!$L35)-SUM(P35:T35)</f>
        <v>0</v>
      </c>
      <c r="P35" s="470">
        <f ca="1">COUNTIF(ADMIN!$S$210:INDEX(ADMIN!$S$210:$HL$217,8,ADMIN!$D$5*3-1),Stats!$L35)-SUM(Q35:T35)</f>
        <v>0</v>
      </c>
      <c r="Q35" s="470">
        <f ca="1">COUNTIF(ADMIN!$S$226:INDEX(ADMIN!$S$226:$HL$229,4,ADMIN!$D$5*3-1),Stats!$L35)-SUM(R35:T35)</f>
        <v>0</v>
      </c>
      <c r="R35" s="470">
        <f ca="1">IFERROR(COUNTIF(ADMIN!$S$252:INDEX(ADMIN!$S$252:$HL$252,1,ADMIN!$D$5*3-1),Stats!$L35),0)</f>
        <v>0</v>
      </c>
      <c r="S35" s="470">
        <f ca="1">IFERROR(COUNTIF(ADMIN!$S$251:INDEX(ADMIN!$S$251:$HL$251,1,ADMIN!$D$5*3-1),Stats!$L35),0)</f>
        <v>0</v>
      </c>
      <c r="T35" s="471">
        <f ca="1">IFERROR(COUNTIF(ADMIN!$S$250:INDEX(ADMIN!$S$250:$HL$250,1,ADMIN!$D$5*3-1),Stats!$L35),0)</f>
        <v>0</v>
      </c>
      <c r="U35" s="25"/>
      <c r="V35" s="11">
        <f t="shared" ca="1" si="0"/>
        <v>19</v>
      </c>
      <c r="W35" s="11" cm="1">
        <f t="array" aca="1" ref="W35:W40" ca="1">IFERROR(IF(_xlfn.ANCHORARRAY(Y35)&lt;&gt;"",COUNTIF(INDEX(DailyPrediction!$G$4:$AQ$81,,MATCH(Stats!$I$5,DailyPrediction!$G$2:$AQ$2,0)),_xlfn.ANCHORARRAY(Y35)),""),"")</f>
        <v>1</v>
      </c>
      <c r="X35" s="11" t="str" cm="1">
        <f t="array" aca="1" ref="X35:X40" ca="1">IFERROR(_xlfn._xlws.SORT(_xlfn.UNIQUE(_xlfn._xlws.FILTER(INDEX(DailyPrediction!$G$4:$AQ$81,,MATCH(Stats!$I$5,DailyPrediction!$G$2:$AQ$2,0)),LEN(INDEX(DailyPrediction!$G$4:$AQ$81,,MATCH(Stats!$I$5,DailyPrediction!$G$2:$AQ$2,0)))&gt;1))),Idiomas!D501)</f>
        <v>1|1-0</v>
      </c>
      <c r="Y35" s="11" t="str" cm="1">
        <f t="array" aca="1" ref="Y35:Y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0" ca="1">IFERROR(IF(_xlfn.ANCHORARRAY(Y35)&lt;&gt;"",COUNTIF(INDEX(OFFSET(DailyPrediction!$G$4,0,0,ADMIN!$D$5,COUNTA(DailyPrediction!$A$4:$A$35)),,MATCH(Stats!$I$5,OFFSET(DailyPrediction!$G$2,0,0,1,COUNTA(DailyPrediction!$A$4:$A$35)),0)),_xlfn.ANCHORARRAY(Y35)),""),"")</f>
        <v>1</v>
      </c>
      <c r="AA35" s="11" cm="1">
        <f t="array" aca="1" ref="AA35:AA4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4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0" ca="1">_xlfn.SORTBY(OFFSET($Y$35,0,0,COUNTA(_xlfn.ANCHORARRAY($Y$35)),3),OFFSET(Z35,0,0,COUNTA(_xlfn.ANCHORARRAY($Y$35))),-1)</f>
        <v>1|2-0</v>
      </c>
      <c r="AD35" s="11">
        <f ca="1"/>
        <v>8</v>
      </c>
      <c r="AE35" s="11">
        <f ca="1"/>
        <v>0</v>
      </c>
      <c r="AF35" s="11"/>
      <c r="AG35" s="11" t="str" cm="1">
        <f t="array" aca="1" ref="AG35:AG36" ca="1">_xlfn.UNIQUE(_xlfn._xlws.FILTER(DailyPrediction!$A$4:$A$35,DailyPrediction!$A$4:$A$35&lt;&gt;""))</f>
        <v>México-Sudáfrica</v>
      </c>
      <c r="AH35" s="11" t="str" cm="1">
        <f t="array" aca="1" ref="AH35:AH40" ca="1">LEFT(OFFSET(_xlfn.ANCHORARRAY(Y35),0,0,COUNTA(_xlfn.ANCHORARRAY(Y35)),1))</f>
        <v>1</v>
      </c>
      <c r="AI35" s="11" t="str" cm="1">
        <f t="array" aca="1" ref="AI35:AI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0"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f ca="1">SUMIFS(_xlfn.ANCHORARRAY($Z$35),_xlfn.ANCHORARRAY($AH$35),D36)</f>
        <v>3</v>
      </c>
      <c r="F36" s="25">
        <f ca="1">IFERROR(E36/SUM($E$35:E38),0)</f>
        <v>0.15789473684210525</v>
      </c>
      <c r="G36" s="17"/>
      <c r="H36" s="17"/>
      <c r="I36" s="17"/>
      <c r="J36" s="25"/>
      <c r="K36" s="25"/>
      <c r="L36" s="133" t="str">
        <f ca="1">Horarios!Q31</f>
        <v>Japón</v>
      </c>
      <c r="M36" s="468">
        <f ca="1">ADMIN!$D$5-SUM(N36:T36)</f>
        <v>1</v>
      </c>
      <c r="N36" s="468">
        <f ca="1">IFERROR(COUNTIF(ADMIN!$S$130:INDEX(ADMIN!$S$130:$HL$161,32,ADMIN!$D$5*3-1),Stats!$L36)-SUM(O36:T36),0)</f>
        <v>15</v>
      </c>
      <c r="O36" s="468">
        <f ca="1">COUNTIF(ADMIN!$S$182:INDEX(ADMIN!$S$182:$HL$197,16,ADMIN!$D$5*3-1),Stats!$L36)-SUM(P36:T36)</f>
        <v>0</v>
      </c>
      <c r="P36" s="468">
        <f ca="1">COUNTIF(ADMIN!$S$210:INDEX(ADMIN!$S$210:$HL$217,8,ADMIN!$D$5*3-1),Stats!$L36)-SUM(Q36:T36)</f>
        <v>2</v>
      </c>
      <c r="Q36" s="468">
        <f ca="1">COUNTIF(ADMIN!$S$226:INDEX(ADMIN!$S$226:$HL$229,4,ADMIN!$D$5*3-1),Stats!$L36)-SUM(R36:T36)</f>
        <v>1</v>
      </c>
      <c r="R36" s="468">
        <f ca="1">IFERROR(COUNTIF(ADMIN!$S$252:INDEX(ADMIN!$S$252:$HL$252,1,ADMIN!$D$5*3-1),Stats!$L36),0)</f>
        <v>0</v>
      </c>
      <c r="S36" s="468">
        <f ca="1">IFERROR(COUNTIF(ADMIN!$S$251:INDEX(ADMIN!$S$251:$HL$251,1,ADMIN!$D$5*3-1),Stats!$L36),0)</f>
        <v>0</v>
      </c>
      <c r="T36" s="469">
        <f ca="1">IFERROR(COUNTIF(ADMIN!$S$250:INDEX(ADMIN!$S$250:$HL$250,1,ADMIN!$D$5*3-1),Stats!$L36),0)</f>
        <v>0</v>
      </c>
      <c r="U36" s="25"/>
      <c r="V36" s="11">
        <f t="shared" ca="1" si="0"/>
        <v>19</v>
      </c>
      <c r="W36" s="11">
        <f ca="1"/>
        <v>8</v>
      </c>
      <c r="X36" s="11" t="str">
        <f ca="1"/>
        <v>1|2-0</v>
      </c>
      <c r="Y36" s="11" t="str">
        <f ca="1"/>
        <v>1|2-0</v>
      </c>
      <c r="Z36" s="11">
        <f ca="1"/>
        <v>8</v>
      </c>
      <c r="AA36" s="11">
        <f ca="1"/>
        <v>0</v>
      </c>
      <c r="AB36" s="11">
        <f ca="1"/>
        <v>0</v>
      </c>
      <c r="AC36" s="11" t="str">
        <f ca="1"/>
        <v>1|2-1</v>
      </c>
      <c r="AD36" s="11">
        <f ca="1"/>
        <v>5</v>
      </c>
      <c r="AE36" s="11">
        <f ca="1"/>
        <v>0</v>
      </c>
      <c r="AF36" s="11"/>
      <c r="AG36" s="11" t="str">
        <f ca="1"/>
        <v>Corea del Sur-República Checa</v>
      </c>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f ca="1">SUMIFS(_xlfn.ANCHORARRAY($Z$35),_xlfn.ANCHORARRAY($AH$35),D37)</f>
        <v>0</v>
      </c>
      <c r="F37" s="25">
        <f ca="1">IFERROR(E37/SUM($E$35:E39),0)</f>
        <v>0</v>
      </c>
      <c r="G37" s="17"/>
      <c r="H37" s="17"/>
      <c r="I37" s="17"/>
      <c r="J37" s="25"/>
      <c r="K37" s="25"/>
      <c r="L37" s="132" t="str">
        <f ca="1">Horarios!Q32</f>
        <v>Jordania</v>
      </c>
      <c r="M37" s="470">
        <f ca="1">ADMIN!$D$5-SUM(N37:T37)</f>
        <v>18</v>
      </c>
      <c r="N37" s="470">
        <f ca="1">IFERROR(COUNTIF(ADMIN!$S$130:INDEX(ADMIN!$S$130:$HL$161,32,ADMIN!$D$5*3-1),Stats!$L37)-SUM(O37:T37),0)</f>
        <v>1</v>
      </c>
      <c r="O37" s="470">
        <f ca="1">COUNTIF(ADMIN!$S$182:INDEX(ADMIN!$S$182:$HL$197,16,ADMIN!$D$5*3-1),Stats!$L37)-SUM(P37:T37)</f>
        <v>0</v>
      </c>
      <c r="P37" s="470">
        <f ca="1">COUNTIF(ADMIN!$S$210:INDEX(ADMIN!$S$210:$HL$217,8,ADMIN!$D$5*3-1),Stats!$L37)-SUM(Q37:T37)</f>
        <v>0</v>
      </c>
      <c r="Q37" s="470">
        <f ca="1">COUNTIF(ADMIN!$S$226:INDEX(ADMIN!$S$226:$HL$229,4,ADMIN!$D$5*3-1),Stats!$L37)-SUM(R37:T37)</f>
        <v>0</v>
      </c>
      <c r="R37" s="470">
        <f ca="1">IFERROR(COUNTIF(ADMIN!$S$252:INDEX(ADMIN!$S$252:$HL$252,1,ADMIN!$D$5*3-1),Stats!$L37),0)</f>
        <v>0</v>
      </c>
      <c r="S37" s="470">
        <f ca="1">IFERROR(COUNTIF(ADMIN!$S$251:INDEX(ADMIN!$S$251:$HL$251,1,ADMIN!$D$5*3-1),Stats!$L37),0)</f>
        <v>0</v>
      </c>
      <c r="T37" s="471">
        <f ca="1">IFERROR(COUNTIF(ADMIN!$S$250:INDEX(ADMIN!$S$250:$HL$250,1,ADMIN!$D$5*3-1),Stats!$L37),0)</f>
        <v>0</v>
      </c>
      <c r="U37" s="25"/>
      <c r="V37" s="11">
        <f t="shared" ca="1" si="0"/>
        <v>19</v>
      </c>
      <c r="W37" s="11">
        <f ca="1"/>
        <v>5</v>
      </c>
      <c r="X37" s="11" t="str">
        <f ca="1"/>
        <v>1|2-1</v>
      </c>
      <c r="Y37" s="11" t="str">
        <f ca="1"/>
        <v>1|2-1</v>
      </c>
      <c r="Z37" s="11">
        <f ca="1"/>
        <v>5</v>
      </c>
      <c r="AA37" s="11">
        <f ca="1"/>
        <v>0</v>
      </c>
      <c r="AB37" s="11">
        <f ca="1"/>
        <v>0</v>
      </c>
      <c r="AC37" s="11" t="str">
        <f ca="1"/>
        <v>X|1-1</v>
      </c>
      <c r="AD37" s="11">
        <f ca="1"/>
        <v>3</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8">
        <f ca="1">ADMIN!$D$5-SUM(N38:T38)</f>
        <v>2</v>
      </c>
      <c r="N38" s="468">
        <f ca="1">IFERROR(COUNTIF(ADMIN!$S$130:INDEX(ADMIN!$S$130:$HL$161,32,ADMIN!$D$5*3-1),Stats!$L38)-SUM(O38:T38),0)</f>
        <v>13</v>
      </c>
      <c r="O38" s="468">
        <f ca="1">COUNTIF(ADMIN!$S$182:INDEX(ADMIN!$S$182:$HL$197,16,ADMIN!$D$5*3-1),Stats!$L38)-SUM(P38:T38)</f>
        <v>2</v>
      </c>
      <c r="P38" s="468">
        <f ca="1">COUNTIF(ADMIN!$S$210:INDEX(ADMIN!$S$210:$HL$217,8,ADMIN!$D$5*3-1),Stats!$L38)-SUM(Q38:T38)</f>
        <v>0</v>
      </c>
      <c r="Q38" s="468">
        <f ca="1">COUNTIF(ADMIN!$S$226:INDEX(ADMIN!$S$226:$HL$229,4,ADMIN!$D$5*3-1),Stats!$L38)-SUM(R38:T38)</f>
        <v>1</v>
      </c>
      <c r="R38" s="468">
        <f ca="1">IFERROR(COUNTIF(ADMIN!$S$252:INDEX(ADMIN!$S$252:$HL$252,1,ADMIN!$D$5*3-1),Stats!$L38),0)</f>
        <v>1</v>
      </c>
      <c r="S38" s="468">
        <f ca="1">IFERROR(COUNTIF(ADMIN!$S$251:INDEX(ADMIN!$S$251:$HL$251,1,ADMIN!$D$5*3-1),Stats!$L38),0)</f>
        <v>0</v>
      </c>
      <c r="T38" s="469">
        <f ca="1">IFERROR(COUNTIF(ADMIN!$S$250:INDEX(ADMIN!$S$250:$HL$250,1,ADMIN!$D$5*3-1),Stats!$L38),0)</f>
        <v>0</v>
      </c>
      <c r="U38" s="25"/>
      <c r="V38" s="11">
        <f t="shared" ca="1" si="0"/>
        <v>19</v>
      </c>
      <c r="W38" s="11">
        <f ca="1"/>
        <v>1</v>
      </c>
      <c r="X38" s="11" t="str">
        <f ca="1"/>
        <v>1|3-0</v>
      </c>
      <c r="Y38" s="11" t="str">
        <f ca="1"/>
        <v>1|3-0</v>
      </c>
      <c r="Z38" s="11">
        <f ca="1"/>
        <v>1</v>
      </c>
      <c r="AA38" s="11">
        <f ca="1"/>
        <v>0</v>
      </c>
      <c r="AB38" s="11">
        <f ca="1"/>
        <v>0</v>
      </c>
      <c r="AC38" s="11" t="str">
        <f ca="1"/>
        <v>1|1-0</v>
      </c>
      <c r="AD38" s="11">
        <f ca="1"/>
        <v>1</v>
      </c>
      <c r="AE38" s="11">
        <f ca="1"/>
        <v>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2"/>
      <c r="E39" s="452"/>
      <c r="F39" s="452"/>
      <c r="G39" s="17"/>
      <c r="H39" s="17"/>
      <c r="I39" s="17"/>
      <c r="J39" s="25"/>
      <c r="K39" s="25"/>
      <c r="L39" s="132" t="str">
        <f ca="1">Horarios!Q34</f>
        <v>México</v>
      </c>
      <c r="M39" s="470">
        <f ca="1">ADMIN!$D$5-SUM(N39:T39)</f>
        <v>1</v>
      </c>
      <c r="N39" s="470">
        <f ca="1">IFERROR(COUNTIF(ADMIN!$S$130:INDEX(ADMIN!$S$130:$HL$161,32,ADMIN!$D$5*3-1),Stats!$L39)-SUM(O39:T39),0)</f>
        <v>5</v>
      </c>
      <c r="O39" s="470">
        <f ca="1">COUNTIF(ADMIN!$S$182:INDEX(ADMIN!$S$182:$HL$197,16,ADMIN!$D$5*3-1),Stats!$L39)-SUM(P39:T39)</f>
        <v>13</v>
      </c>
      <c r="P39" s="470">
        <f ca="1">COUNTIF(ADMIN!$S$210:INDEX(ADMIN!$S$210:$HL$217,8,ADMIN!$D$5*3-1),Stats!$L39)-SUM(Q39:T39)</f>
        <v>0</v>
      </c>
      <c r="Q39" s="470">
        <f ca="1">COUNTIF(ADMIN!$S$226:INDEX(ADMIN!$S$226:$HL$229,4,ADMIN!$D$5*3-1),Stats!$L39)-SUM(R39:T39)</f>
        <v>0</v>
      </c>
      <c r="R39" s="470">
        <f ca="1">IFERROR(COUNTIF(ADMIN!$S$252:INDEX(ADMIN!$S$252:$HL$252,1,ADMIN!$D$5*3-1),Stats!$L39),0)</f>
        <v>0</v>
      </c>
      <c r="S39" s="470">
        <f ca="1">IFERROR(COUNTIF(ADMIN!$S$251:INDEX(ADMIN!$S$251:$HL$251,1,ADMIN!$D$5*3-1),Stats!$L39),0)</f>
        <v>0</v>
      </c>
      <c r="T39" s="471">
        <f ca="1">IFERROR(COUNTIF(ADMIN!$S$250:INDEX(ADMIN!$S$250:$HL$250,1,ADMIN!$D$5*3-1),Stats!$L39),0)</f>
        <v>0</v>
      </c>
      <c r="U39" s="25"/>
      <c r="V39" s="11">
        <f t="shared" ca="1" si="0"/>
        <v>19</v>
      </c>
      <c r="W39" s="11">
        <f ca="1"/>
        <v>1</v>
      </c>
      <c r="X39" s="11" t="str">
        <f ca="1"/>
        <v>1|3-1</v>
      </c>
      <c r="Y39" s="11" t="str">
        <f ca="1"/>
        <v>1|3-1</v>
      </c>
      <c r="Z39" s="11">
        <f ca="1"/>
        <v>1</v>
      </c>
      <c r="AA39" s="11">
        <f ca="1"/>
        <v>0</v>
      </c>
      <c r="AB39" s="11">
        <f ca="1"/>
        <v>0</v>
      </c>
      <c r="AC39" s="11" t="str">
        <f ca="1"/>
        <v>1|3-0</v>
      </c>
      <c r="AD39" s="11">
        <f ca="1"/>
        <v>1</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2"/>
      <c r="E40" s="452"/>
      <c r="F40" s="452"/>
      <c r="G40" s="17"/>
      <c r="H40" s="17"/>
      <c r="I40" s="17"/>
      <c r="J40" s="25"/>
      <c r="K40" s="25"/>
      <c r="L40" s="133" t="str">
        <f ca="1">Horarios!Q35</f>
        <v>Noruega</v>
      </c>
      <c r="M40" s="468">
        <f ca="1">ADMIN!$D$5-SUM(N40:T40)</f>
        <v>1</v>
      </c>
      <c r="N40" s="468">
        <f ca="1">IFERROR(COUNTIF(ADMIN!$S$130:INDEX(ADMIN!$S$130:$HL$161,32,ADMIN!$D$5*3-1),Stats!$L40)-SUM(O40:T40),0)</f>
        <v>10</v>
      </c>
      <c r="O40" s="468">
        <f ca="1">COUNTIF(ADMIN!$S$182:INDEX(ADMIN!$S$182:$HL$197,16,ADMIN!$D$5*3-1),Stats!$L40)-SUM(P40:T40)</f>
        <v>6</v>
      </c>
      <c r="P40" s="468">
        <f ca="1">COUNTIF(ADMIN!$S$210:INDEX(ADMIN!$S$210:$HL$217,8,ADMIN!$D$5*3-1),Stats!$L40)-SUM(Q40:T40)</f>
        <v>0</v>
      </c>
      <c r="Q40" s="468">
        <f ca="1">COUNTIF(ADMIN!$S$226:INDEX(ADMIN!$S$226:$HL$229,4,ADMIN!$D$5*3-1),Stats!$L40)-SUM(R40:T40)</f>
        <v>2</v>
      </c>
      <c r="R40" s="468">
        <f ca="1">IFERROR(COUNTIF(ADMIN!$S$252:INDEX(ADMIN!$S$252:$HL$252,1,ADMIN!$D$5*3-1),Stats!$L40),0)</f>
        <v>0</v>
      </c>
      <c r="S40" s="468">
        <f ca="1">IFERROR(COUNTIF(ADMIN!$S$251:INDEX(ADMIN!$S$251:$HL$251,1,ADMIN!$D$5*3-1),Stats!$L40),0)</f>
        <v>0</v>
      </c>
      <c r="T40" s="469">
        <f ca="1">IFERROR(COUNTIF(ADMIN!$S$250:INDEX(ADMIN!$S$250:$HL$250,1,ADMIN!$D$5*3-1),Stats!$L40),0)</f>
        <v>0</v>
      </c>
      <c r="U40" s="25"/>
      <c r="V40" s="11">
        <f t="shared" ca="1" si="0"/>
        <v>19</v>
      </c>
      <c r="W40" s="11">
        <f ca="1"/>
        <v>3</v>
      </c>
      <c r="X40" s="11" t="str">
        <f ca="1"/>
        <v>X|1-1</v>
      </c>
      <c r="Y40" s="11" t="str">
        <f ca="1"/>
        <v>X|1-1</v>
      </c>
      <c r="Z40" s="11">
        <f ca="1"/>
        <v>3</v>
      </c>
      <c r="AA40" s="11">
        <f ca="1"/>
        <v>0</v>
      </c>
      <c r="AB40" s="11">
        <f ca="1"/>
        <v>0</v>
      </c>
      <c r="AC40" s="11" t="str">
        <f ca="1"/>
        <v>1|3-1</v>
      </c>
      <c r="AD40" s="11">
        <f ca="1"/>
        <v>1</v>
      </c>
      <c r="AE40" s="11">
        <f ca="1"/>
        <v>0</v>
      </c>
      <c r="AF40" s="11"/>
      <c r="AG40" s="11"/>
      <c r="AH40" s="11" t="str">
        <f ca="1"/>
        <v>X</v>
      </c>
      <c r="AI40" s="11" t="str">
        <f ca="1"/>
        <v>X|1-1</v>
      </c>
      <c r="AJ40" s="11" t="str">
        <f ca="1"/>
        <v>X|1-1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2"/>
      <c r="G41" s="17"/>
      <c r="H41" s="17"/>
      <c r="I41" s="17"/>
      <c r="J41" s="25"/>
      <c r="K41" s="25"/>
      <c r="L41" s="132" t="str">
        <f ca="1">Horarios!Q36</f>
        <v>Nueva Zelanda</v>
      </c>
      <c r="M41" s="470">
        <f ca="1">ADMIN!$D$5-SUM(N41:T41)</f>
        <v>15</v>
      </c>
      <c r="N41" s="470">
        <f ca="1">IFERROR(COUNTIF(ADMIN!$S$130:INDEX(ADMIN!$S$130:$HL$161,32,ADMIN!$D$5*3-1),Stats!$L41)-SUM(O41:T41),0)</f>
        <v>4</v>
      </c>
      <c r="O41" s="470">
        <f ca="1">COUNTIF(ADMIN!$S$182:INDEX(ADMIN!$S$182:$HL$197,16,ADMIN!$D$5*3-1),Stats!$L41)-SUM(P41:T41)</f>
        <v>0</v>
      </c>
      <c r="P41" s="470">
        <f ca="1">COUNTIF(ADMIN!$S$210:INDEX(ADMIN!$S$210:$HL$217,8,ADMIN!$D$5*3-1),Stats!$L41)-SUM(Q41:T41)</f>
        <v>0</v>
      </c>
      <c r="Q41" s="470">
        <f ca="1">COUNTIF(ADMIN!$S$226:INDEX(ADMIN!$S$226:$HL$229,4,ADMIN!$D$5*3-1),Stats!$L41)-SUM(R41:T41)</f>
        <v>0</v>
      </c>
      <c r="R41" s="470">
        <f ca="1">IFERROR(COUNTIF(ADMIN!$S$252:INDEX(ADMIN!$S$252:$HL$252,1,ADMIN!$D$5*3-1),Stats!$L41),0)</f>
        <v>0</v>
      </c>
      <c r="S41" s="470">
        <f ca="1">IFERROR(COUNTIF(ADMIN!$S$251:INDEX(ADMIN!$S$251:$HL$251,1,ADMIN!$D$5*3-1),Stats!$L41),0)</f>
        <v>0</v>
      </c>
      <c r="T41" s="471">
        <f ca="1">IFERROR(COUNTIF(ADMIN!$S$250:INDEX(ADMIN!$S$250:$HL$250,1,ADMIN!$D$5*3-1),Stats!$L41),0)</f>
        <v>0</v>
      </c>
      <c r="U41" s="25"/>
      <c r="V41" s="11">
        <f t="shared" ca="1" si="0"/>
        <v>19</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2"/>
      <c r="G42" s="17"/>
      <c r="H42" s="17"/>
      <c r="I42" s="17"/>
      <c r="J42" s="25"/>
      <c r="K42" s="25"/>
      <c r="L42" s="133" t="str">
        <f ca="1">Horarios!Q37</f>
        <v>Países Bajos</v>
      </c>
      <c r="M42" s="468">
        <f ca="1">ADMIN!$D$5-SUM(N42:T42)</f>
        <v>0</v>
      </c>
      <c r="N42" s="468">
        <f ca="1">IFERROR(COUNTIF(ADMIN!$S$130:INDEX(ADMIN!$S$130:$HL$161,32,ADMIN!$D$5*3-1),Stats!$L42)-SUM(O42:T42),0)</f>
        <v>6</v>
      </c>
      <c r="O42" s="468">
        <f ca="1">COUNTIF(ADMIN!$S$182:INDEX(ADMIN!$S$182:$HL$197,16,ADMIN!$D$5*3-1),Stats!$L42)-SUM(P42:T42)</f>
        <v>0</v>
      </c>
      <c r="P42" s="468">
        <f ca="1">COUNTIF(ADMIN!$S$210:INDEX(ADMIN!$S$210:$HL$217,8,ADMIN!$D$5*3-1),Stats!$L42)-SUM(Q42:T42)</f>
        <v>12</v>
      </c>
      <c r="Q42" s="468">
        <f ca="1">COUNTIF(ADMIN!$S$226:INDEX(ADMIN!$S$226:$HL$229,4,ADMIN!$D$5*3-1),Stats!$L42)-SUM(R42:T42)</f>
        <v>1</v>
      </c>
      <c r="R42" s="468">
        <f ca="1">IFERROR(COUNTIF(ADMIN!$S$252:INDEX(ADMIN!$S$252:$HL$252,1,ADMIN!$D$5*3-1),Stats!$L42),0)</f>
        <v>0</v>
      </c>
      <c r="S42" s="468">
        <f ca="1">IFERROR(COUNTIF(ADMIN!$S$251:INDEX(ADMIN!$S$251:$HL$251,1,ADMIN!$D$5*3-1),Stats!$L42),0)</f>
        <v>0</v>
      </c>
      <c r="T42" s="469">
        <f ca="1">IFERROR(COUNTIF(ADMIN!$S$250:INDEX(ADMIN!$S$250:$HL$250,1,ADMIN!$D$5*3-1),Stats!$L42),0)</f>
        <v>0</v>
      </c>
      <c r="U42" s="25"/>
      <c r="V42" s="11">
        <f t="shared" ca="1" si="0"/>
        <v>19</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2"/>
      <c r="G43" s="17"/>
      <c r="H43" s="17"/>
      <c r="I43" s="17"/>
      <c r="J43" s="25"/>
      <c r="K43" s="25"/>
      <c r="L43" s="132" t="str">
        <f ca="1">Horarios!Q38</f>
        <v>Panamá</v>
      </c>
      <c r="M43" s="470">
        <f ca="1">ADMIN!$D$5-SUM(N43:T43)</f>
        <v>18</v>
      </c>
      <c r="N43" s="470">
        <f ca="1">IFERROR(COUNTIF(ADMIN!$S$130:INDEX(ADMIN!$S$130:$HL$161,32,ADMIN!$D$5*3-1),Stats!$L43)-SUM(O43:T43),0)</f>
        <v>1</v>
      </c>
      <c r="O43" s="470">
        <f ca="1">COUNTIF(ADMIN!$S$182:INDEX(ADMIN!$S$182:$HL$197,16,ADMIN!$D$5*3-1),Stats!$L43)-SUM(P43:T43)</f>
        <v>0</v>
      </c>
      <c r="P43" s="470">
        <f ca="1">COUNTIF(ADMIN!$S$210:INDEX(ADMIN!$S$210:$HL$217,8,ADMIN!$D$5*3-1),Stats!$L43)-SUM(Q43:T43)</f>
        <v>0</v>
      </c>
      <c r="Q43" s="470">
        <f ca="1">COUNTIF(ADMIN!$S$226:INDEX(ADMIN!$S$226:$HL$229,4,ADMIN!$D$5*3-1),Stats!$L43)-SUM(R43:T43)</f>
        <v>0</v>
      </c>
      <c r="R43" s="470">
        <f ca="1">IFERROR(COUNTIF(ADMIN!$S$252:INDEX(ADMIN!$S$252:$HL$252,1,ADMIN!$D$5*3-1),Stats!$L43),0)</f>
        <v>0</v>
      </c>
      <c r="S43" s="470">
        <f ca="1">IFERROR(COUNTIF(ADMIN!$S$251:INDEX(ADMIN!$S$251:$HL$251,1,ADMIN!$D$5*3-1),Stats!$L43),0)</f>
        <v>0</v>
      </c>
      <c r="T43" s="471">
        <f ca="1">IFERROR(COUNTIF(ADMIN!$S$250:INDEX(ADMIN!$S$250:$HL$250,1,ADMIN!$D$5*3-1),Stats!$L43),0)</f>
        <v>0</v>
      </c>
      <c r="U43" s="25"/>
      <c r="V43" s="11">
        <f t="shared" ca="1" si="0"/>
        <v>19</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2"/>
      <c r="E44" s="452"/>
      <c r="F44" s="452"/>
      <c r="G44" s="17"/>
      <c r="H44" s="17"/>
      <c r="I44" s="17"/>
      <c r="J44" s="25"/>
      <c r="K44" s="25"/>
      <c r="L44" s="133" t="str">
        <f ca="1">Horarios!Q39</f>
        <v>Paraguay</v>
      </c>
      <c r="M44" s="468">
        <f ca="1">ADMIN!$D$5-SUM(N44:T44)</f>
        <v>4</v>
      </c>
      <c r="N44" s="468">
        <f ca="1">IFERROR(COUNTIF(ADMIN!$S$130:INDEX(ADMIN!$S$130:$HL$161,32,ADMIN!$D$5*3-1),Stats!$L44)-SUM(O44:T44),0)</f>
        <v>5</v>
      </c>
      <c r="O44" s="468">
        <f ca="1">COUNTIF(ADMIN!$S$182:INDEX(ADMIN!$S$182:$HL$197,16,ADMIN!$D$5*3-1),Stats!$L44)-SUM(P44:T44)</f>
        <v>8</v>
      </c>
      <c r="P44" s="468">
        <f ca="1">COUNTIF(ADMIN!$S$210:INDEX(ADMIN!$S$210:$HL$217,8,ADMIN!$D$5*3-1),Stats!$L44)-SUM(Q44:T44)</f>
        <v>2</v>
      </c>
      <c r="Q44" s="468">
        <f ca="1">COUNTIF(ADMIN!$S$226:INDEX(ADMIN!$S$226:$HL$229,4,ADMIN!$D$5*3-1),Stats!$L44)-SUM(R44:T44)</f>
        <v>0</v>
      </c>
      <c r="R44" s="468">
        <f ca="1">IFERROR(COUNTIF(ADMIN!$S$252:INDEX(ADMIN!$S$252:$HL$252,1,ADMIN!$D$5*3-1),Stats!$L44),0)</f>
        <v>0</v>
      </c>
      <c r="S44" s="468">
        <f ca="1">IFERROR(COUNTIF(ADMIN!$S$251:INDEX(ADMIN!$S$251:$HL$251,1,ADMIN!$D$5*3-1),Stats!$L44),0)</f>
        <v>0</v>
      </c>
      <c r="T44" s="469">
        <f ca="1">IFERROR(COUNTIF(ADMIN!$S$250:INDEX(ADMIN!$S$250:$HL$250,1,ADMIN!$D$5*3-1),Stats!$L44),0)</f>
        <v>0</v>
      </c>
      <c r="U44" s="25"/>
      <c r="V44" s="11">
        <f t="shared" ca="1" si="0"/>
        <v>19</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2"/>
      <c r="E45" s="452" t="str">
        <f ca="1">IF(Home!E41&lt;Home!E42,"",IF(Home!E41&gt;=Home!E42,Idiomas!D511&amp;" "&amp;SUM(WORLDCUP!$BJ$6:$BJ$53,WORLDCUP!$AC$101:$AD$147)&amp;" "&amp;Idiomas!D512,""))</f>
        <v/>
      </c>
      <c r="F45" s="452"/>
      <c r="G45" s="17"/>
      <c r="H45" s="17"/>
      <c r="I45" s="17"/>
      <c r="J45" s="25"/>
      <c r="K45" s="25"/>
      <c r="L45" s="132" t="str">
        <f ca="1">Horarios!Q40</f>
        <v>Portugal</v>
      </c>
      <c r="M45" s="470">
        <f ca="1">ADMIN!$D$5-SUM(N45:T45)</f>
        <v>0</v>
      </c>
      <c r="N45" s="470">
        <f ca="1">IFERROR(COUNTIF(ADMIN!$S$130:INDEX(ADMIN!$S$130:$HL$161,32,ADMIN!$D$5*3-1),Stats!$L45)-SUM(O45:T45),0)</f>
        <v>0</v>
      </c>
      <c r="O45" s="470">
        <f ca="1">COUNTIF(ADMIN!$S$182:INDEX(ADMIN!$S$182:$HL$197,16,ADMIN!$D$5*3-1),Stats!$L45)-SUM(P45:T45)</f>
        <v>0</v>
      </c>
      <c r="P45" s="470">
        <f ca="1">COUNTIF(ADMIN!$S$210:INDEX(ADMIN!$S$210:$HL$217,8,ADMIN!$D$5*3-1),Stats!$L45)-SUM(Q45:T45)</f>
        <v>6</v>
      </c>
      <c r="Q45" s="470">
        <f ca="1">COUNTIF(ADMIN!$S$226:INDEX(ADMIN!$S$226:$HL$229,4,ADMIN!$D$5*3-1),Stats!$L45)-SUM(R45:T45)</f>
        <v>0</v>
      </c>
      <c r="R45" s="470">
        <f ca="1">IFERROR(COUNTIF(ADMIN!$S$252:INDEX(ADMIN!$S$252:$HL$252,1,ADMIN!$D$5*3-1),Stats!$L45),0)</f>
        <v>1</v>
      </c>
      <c r="S45" s="470">
        <f ca="1">IFERROR(COUNTIF(ADMIN!$S$251:INDEX(ADMIN!$S$251:$HL$251,1,ADMIN!$D$5*3-1),Stats!$L45),0)</f>
        <v>4</v>
      </c>
      <c r="T45" s="471">
        <f ca="1">IFERROR(COUNTIF(ADMIN!$S$250:INDEX(ADMIN!$S$250:$HL$250,1,ADMIN!$D$5*3-1),Stats!$L45),0)</f>
        <v>8</v>
      </c>
      <c r="U45" s="25"/>
      <c r="V45" s="11">
        <f t="shared" ca="1" si="0"/>
        <v>19</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2"/>
      <c r="E46" s="452"/>
      <c r="F46" s="452"/>
      <c r="G46" s="17"/>
      <c r="H46" s="17"/>
      <c r="I46" s="17"/>
      <c r="J46" s="25"/>
      <c r="K46" s="25"/>
      <c r="L46" s="133" t="str">
        <f ca="1">Horarios!Q41</f>
        <v>RD Congo</v>
      </c>
      <c r="M46" s="468">
        <f ca="1">ADMIN!$D$5-SUM(N46:T46)</f>
        <v>17</v>
      </c>
      <c r="N46" s="468">
        <f ca="1">IFERROR(COUNTIF(ADMIN!$S$130:INDEX(ADMIN!$S$130:$HL$161,32,ADMIN!$D$5*3-1),Stats!$L46)-SUM(O46:T46),0)</f>
        <v>2</v>
      </c>
      <c r="O46" s="468">
        <f ca="1">COUNTIF(ADMIN!$S$182:INDEX(ADMIN!$S$182:$HL$197,16,ADMIN!$D$5*3-1),Stats!$L46)-SUM(P46:T46)</f>
        <v>0</v>
      </c>
      <c r="P46" s="468">
        <f ca="1">COUNTIF(ADMIN!$S$210:INDEX(ADMIN!$S$210:$HL$217,8,ADMIN!$D$5*3-1),Stats!$L46)-SUM(Q46:T46)</f>
        <v>0</v>
      </c>
      <c r="Q46" s="468">
        <f ca="1">COUNTIF(ADMIN!$S$226:INDEX(ADMIN!$S$226:$HL$229,4,ADMIN!$D$5*3-1),Stats!$L46)-SUM(R46:T46)</f>
        <v>0</v>
      </c>
      <c r="R46" s="468">
        <f ca="1">IFERROR(COUNTIF(ADMIN!$S$252:INDEX(ADMIN!$S$252:$HL$252,1,ADMIN!$D$5*3-1),Stats!$L46),0)</f>
        <v>0</v>
      </c>
      <c r="S46" s="468">
        <f ca="1">IFERROR(COUNTIF(ADMIN!$S$251:INDEX(ADMIN!$S$251:$HL$251,1,ADMIN!$D$5*3-1),Stats!$L46),0)</f>
        <v>0</v>
      </c>
      <c r="T46" s="469">
        <f ca="1">IFERROR(COUNTIF(ADMIN!$S$250:INDEX(ADMIN!$S$250:$HL$250,1,ADMIN!$D$5*3-1),Stats!$L46),0)</f>
        <v>0</v>
      </c>
      <c r="U46" s="25"/>
      <c r="V46" s="11">
        <f t="shared" ca="1" si="0"/>
        <v>19</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24548</v>
      </c>
      <c r="C47" s="17"/>
      <c r="D47" s="452"/>
      <c r="E47" s="452"/>
      <c r="F47" s="452"/>
      <c r="G47" s="17"/>
      <c r="H47" s="17"/>
      <c r="I47" s="17"/>
      <c r="J47" s="25"/>
      <c r="K47" s="25"/>
      <c r="L47" s="132" t="str">
        <f ca="1">Horarios!Q42</f>
        <v>República Checa</v>
      </c>
      <c r="M47" s="470">
        <f ca="1">ADMIN!$D$5-SUM(N47:T47)</f>
        <v>5</v>
      </c>
      <c r="N47" s="470">
        <f ca="1">IFERROR(COUNTIF(ADMIN!$S$130:INDEX(ADMIN!$S$130:$HL$161,32,ADMIN!$D$5*3-1),Stats!$L47)-SUM(O47:T47),0)</f>
        <v>10</v>
      </c>
      <c r="O47" s="470">
        <f ca="1">COUNTIF(ADMIN!$S$182:INDEX(ADMIN!$S$182:$HL$197,16,ADMIN!$D$5*3-1),Stats!$L47)-SUM(P47:T47)</f>
        <v>4</v>
      </c>
      <c r="P47" s="470">
        <f ca="1">COUNTIF(ADMIN!$S$210:INDEX(ADMIN!$S$210:$HL$217,8,ADMIN!$D$5*3-1),Stats!$L47)-SUM(Q47:T47)</f>
        <v>0</v>
      </c>
      <c r="Q47" s="470">
        <f ca="1">COUNTIF(ADMIN!$S$226:INDEX(ADMIN!$S$226:$HL$229,4,ADMIN!$D$5*3-1),Stats!$L47)-SUM(R47:T47)</f>
        <v>0</v>
      </c>
      <c r="R47" s="470">
        <f ca="1">IFERROR(COUNTIF(ADMIN!$S$252:INDEX(ADMIN!$S$252:$HL$252,1,ADMIN!$D$5*3-1),Stats!$L47),0)</f>
        <v>0</v>
      </c>
      <c r="S47" s="470">
        <f ca="1">IFERROR(COUNTIF(ADMIN!$S$251:INDEX(ADMIN!$S$251:$HL$251,1,ADMIN!$D$5*3-1),Stats!$L47),0)</f>
        <v>0</v>
      </c>
      <c r="T47" s="471">
        <f ca="1">IFERROR(COUNTIF(ADMIN!$S$250:INDEX(ADMIN!$S$250:$HL$250,1,ADMIN!$D$5*3-1),Stats!$L47),0)</f>
        <v>0</v>
      </c>
      <c r="U47" s="25"/>
      <c r="V47" s="11">
        <f t="shared" ca="1" si="0"/>
        <v>19</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8">
        <f ca="1">ADMIN!$D$5-SUM(N48:T48)</f>
        <v>4</v>
      </c>
      <c r="N48" s="468">
        <f ca="1">IFERROR(COUNTIF(ADMIN!$S$130:INDEX(ADMIN!$S$130:$HL$161,32,ADMIN!$D$5*3-1),Stats!$L48)-SUM(O48:T48),0)</f>
        <v>13</v>
      </c>
      <c r="O48" s="468">
        <f ca="1">COUNTIF(ADMIN!$S$182:INDEX(ADMIN!$S$182:$HL$197,16,ADMIN!$D$5*3-1),Stats!$L48)-SUM(P48:T48)</f>
        <v>2</v>
      </c>
      <c r="P48" s="468">
        <f ca="1">COUNTIF(ADMIN!$S$210:INDEX(ADMIN!$S$210:$HL$217,8,ADMIN!$D$5*3-1),Stats!$L48)-SUM(Q48:T48)</f>
        <v>0</v>
      </c>
      <c r="Q48" s="468">
        <f ca="1">COUNTIF(ADMIN!$S$226:INDEX(ADMIN!$S$226:$HL$229,4,ADMIN!$D$5*3-1),Stats!$L48)-SUM(R48:T48)</f>
        <v>0</v>
      </c>
      <c r="R48" s="468">
        <f ca="1">IFERROR(COUNTIF(ADMIN!$S$252:INDEX(ADMIN!$S$252:$HL$252,1,ADMIN!$D$5*3-1),Stats!$L48),0)</f>
        <v>0</v>
      </c>
      <c r="S48" s="468">
        <f ca="1">IFERROR(COUNTIF(ADMIN!$S$251:INDEX(ADMIN!$S$251:$HL$251,1,ADMIN!$D$5*3-1),Stats!$L48),0)</f>
        <v>0</v>
      </c>
      <c r="T48" s="469">
        <f ca="1">IFERROR(COUNTIF(ADMIN!$S$250:INDEX(ADMIN!$S$250:$HL$250,1,ADMIN!$D$5*3-1),Stats!$L48),0)</f>
        <v>0</v>
      </c>
      <c r="U48" s="25"/>
      <c r="V48" s="11">
        <f t="shared" ca="1" si="0"/>
        <v>19</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0">
        <f ca="1">ADMIN!$D$5-SUM(N49:T49)</f>
        <v>15</v>
      </c>
      <c r="N49" s="470">
        <f ca="1">IFERROR(COUNTIF(ADMIN!$S$130:INDEX(ADMIN!$S$130:$HL$161,32,ADMIN!$D$5*3-1),Stats!$L49)-SUM(O49:T49),0)</f>
        <v>4</v>
      </c>
      <c r="O49" s="470">
        <f ca="1">COUNTIF(ADMIN!$S$182:INDEX(ADMIN!$S$182:$HL$197,16,ADMIN!$D$5*3-1),Stats!$L49)-SUM(P49:T49)</f>
        <v>0</v>
      </c>
      <c r="P49" s="470">
        <f ca="1">COUNTIF(ADMIN!$S$210:INDEX(ADMIN!$S$210:$HL$217,8,ADMIN!$D$5*3-1),Stats!$L49)-SUM(Q49:T49)</f>
        <v>0</v>
      </c>
      <c r="Q49" s="470">
        <f ca="1">COUNTIF(ADMIN!$S$226:INDEX(ADMIN!$S$226:$HL$229,4,ADMIN!$D$5*3-1),Stats!$L49)-SUM(R49:T49)</f>
        <v>0</v>
      </c>
      <c r="R49" s="470">
        <f ca="1">IFERROR(COUNTIF(ADMIN!$S$252:INDEX(ADMIN!$S$252:$HL$252,1,ADMIN!$D$5*3-1),Stats!$L49),0)</f>
        <v>0</v>
      </c>
      <c r="S49" s="470">
        <f ca="1">IFERROR(COUNTIF(ADMIN!$S$251:INDEX(ADMIN!$S$251:$HL$251,1,ADMIN!$D$5*3-1),Stats!$L49),0)</f>
        <v>0</v>
      </c>
      <c r="T49" s="471">
        <f ca="1">IFERROR(COUNTIF(ADMIN!$S$250:INDEX(ADMIN!$S$250:$HL$250,1,ADMIN!$D$5*3-1),Stats!$L49),0)</f>
        <v>0</v>
      </c>
      <c r="U49" s="25"/>
      <c r="V49" s="11">
        <f t="shared" ca="1" si="0"/>
        <v>19</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8">
        <f ca="1">ADMIN!$D$5-SUM(N50:T50)</f>
        <v>3</v>
      </c>
      <c r="N50" s="468">
        <f ca="1">IFERROR(COUNTIF(ADMIN!$S$130:INDEX(ADMIN!$S$130:$HL$161,32,ADMIN!$D$5*3-1),Stats!$L50)-SUM(O50:T50),0)</f>
        <v>16</v>
      </c>
      <c r="O50" s="468">
        <f ca="1">COUNTIF(ADMIN!$S$182:INDEX(ADMIN!$S$182:$HL$197,16,ADMIN!$D$5*3-1),Stats!$L50)-SUM(P50:T50)</f>
        <v>0</v>
      </c>
      <c r="P50" s="468">
        <f ca="1">COUNTIF(ADMIN!$S$210:INDEX(ADMIN!$S$210:$HL$217,8,ADMIN!$D$5*3-1),Stats!$L50)-SUM(Q50:T50)</f>
        <v>0</v>
      </c>
      <c r="Q50" s="468">
        <f ca="1">COUNTIF(ADMIN!$S$226:INDEX(ADMIN!$S$226:$HL$229,4,ADMIN!$D$5*3-1),Stats!$L50)-SUM(R50:T50)</f>
        <v>0</v>
      </c>
      <c r="R50" s="468">
        <f ca="1">IFERROR(COUNTIF(ADMIN!$S$252:INDEX(ADMIN!$S$252:$HL$252,1,ADMIN!$D$5*3-1),Stats!$L50),0)</f>
        <v>0</v>
      </c>
      <c r="S50" s="468">
        <f ca="1">IFERROR(COUNTIF(ADMIN!$S$251:INDEX(ADMIN!$S$251:$HL$251,1,ADMIN!$D$5*3-1),Stats!$L50),0)</f>
        <v>0</v>
      </c>
      <c r="T50" s="469">
        <f ca="1">IFERROR(COUNTIF(ADMIN!$S$250:INDEX(ADMIN!$S$250:$HL$250,1,ADMIN!$D$5*3-1),Stats!$L50),0)</f>
        <v>0</v>
      </c>
      <c r="U50" s="25"/>
      <c r="V50" s="11">
        <f t="shared" ca="1" si="0"/>
        <v>19</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0">
        <f ca="1">ADMIN!$D$5-SUM(N51:T51)</f>
        <v>1</v>
      </c>
      <c r="N51" s="470">
        <f ca="1">IFERROR(COUNTIF(ADMIN!$S$130:INDEX(ADMIN!$S$130:$HL$161,32,ADMIN!$D$5*3-1),Stats!$L51)-SUM(O51:T51),0)</f>
        <v>2</v>
      </c>
      <c r="O51" s="470">
        <f ca="1">COUNTIF(ADMIN!$S$182:INDEX(ADMIN!$S$182:$HL$197,16,ADMIN!$D$5*3-1),Stats!$L51)-SUM(P51:T51)</f>
        <v>16</v>
      </c>
      <c r="P51" s="470">
        <f ca="1">COUNTIF(ADMIN!$S$210:INDEX(ADMIN!$S$210:$HL$217,8,ADMIN!$D$5*3-1),Stats!$L51)-SUM(Q51:T51)</f>
        <v>0</v>
      </c>
      <c r="Q51" s="470">
        <f ca="1">COUNTIF(ADMIN!$S$226:INDEX(ADMIN!$S$226:$HL$229,4,ADMIN!$D$5*3-1),Stats!$L51)-SUM(R51:T51)</f>
        <v>0</v>
      </c>
      <c r="R51" s="470">
        <f ca="1">IFERROR(COUNTIF(ADMIN!$S$252:INDEX(ADMIN!$S$252:$HL$252,1,ADMIN!$D$5*3-1),Stats!$L51),0)</f>
        <v>0</v>
      </c>
      <c r="S51" s="470">
        <f ca="1">IFERROR(COUNTIF(ADMIN!$S$251:INDEX(ADMIN!$S$251:$HL$251,1,ADMIN!$D$5*3-1),Stats!$L51),0)</f>
        <v>0</v>
      </c>
      <c r="T51" s="471">
        <f ca="1">IFERROR(COUNTIF(ADMIN!$S$250:INDEX(ADMIN!$S$250:$HL$250,1,ADMIN!$D$5*3-1),Stats!$L51),0)</f>
        <v>0</v>
      </c>
      <c r="U51" s="25"/>
      <c r="V51" s="11">
        <f t="shared" ca="1" si="0"/>
        <v>19</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8">
        <f ca="1">ADMIN!$D$5-SUM(N52:T52)</f>
        <v>19</v>
      </c>
      <c r="N52" s="468">
        <f ca="1">IFERROR(COUNTIF(ADMIN!$S$130:INDEX(ADMIN!$S$130:$HL$161,32,ADMIN!$D$5*3-1),Stats!$L52)-SUM(O52:T52),0)</f>
        <v>0</v>
      </c>
      <c r="O52" s="468">
        <f ca="1">COUNTIF(ADMIN!$S$182:INDEX(ADMIN!$S$182:$HL$197,16,ADMIN!$D$5*3-1),Stats!$L52)-SUM(P52:T52)</f>
        <v>0</v>
      </c>
      <c r="P52" s="468">
        <f ca="1">COUNTIF(ADMIN!$S$210:INDEX(ADMIN!$S$210:$HL$217,8,ADMIN!$D$5*3-1),Stats!$L52)-SUM(Q52:T52)</f>
        <v>0</v>
      </c>
      <c r="Q52" s="468">
        <f ca="1">COUNTIF(ADMIN!$S$226:INDEX(ADMIN!$S$226:$HL$229,4,ADMIN!$D$5*3-1),Stats!$L52)-SUM(R52:T52)</f>
        <v>0</v>
      </c>
      <c r="R52" s="468">
        <f ca="1">IFERROR(COUNTIF(ADMIN!$S$252:INDEX(ADMIN!$S$252:$HL$252,1,ADMIN!$D$5*3-1),Stats!$L52),0)</f>
        <v>0</v>
      </c>
      <c r="S52" s="468">
        <f ca="1">IFERROR(COUNTIF(ADMIN!$S$251:INDEX(ADMIN!$S$251:$HL$251,1,ADMIN!$D$5*3-1),Stats!$L52),0)</f>
        <v>0</v>
      </c>
      <c r="T52" s="469">
        <f ca="1">IFERROR(COUNTIF(ADMIN!$S$250:INDEX(ADMIN!$S$250:$HL$250,1,ADMIN!$D$5*3-1),Stats!$L52),0)</f>
        <v>0</v>
      </c>
      <c r="U52" s="25"/>
      <c r="V52" s="11">
        <f t="shared" ca="1" si="0"/>
        <v>19</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0">
        <f ca="1">ADMIN!$D$5-SUM(N53:T53)</f>
        <v>1</v>
      </c>
      <c r="N53" s="470">
        <f ca="1">IFERROR(COUNTIF(ADMIN!$S$130:INDEX(ADMIN!$S$130:$HL$161,32,ADMIN!$D$5*3-1),Stats!$L53)-SUM(O53:T53),0)</f>
        <v>2</v>
      </c>
      <c r="O53" s="470">
        <f ca="1">COUNTIF(ADMIN!$S$182:INDEX(ADMIN!$S$182:$HL$197,16,ADMIN!$D$5*3-1),Stats!$L53)-SUM(P53:T53)</f>
        <v>12</v>
      </c>
      <c r="P53" s="470">
        <f ca="1">COUNTIF(ADMIN!$S$210:INDEX(ADMIN!$S$210:$HL$217,8,ADMIN!$D$5*3-1),Stats!$L53)-SUM(Q53:T53)</f>
        <v>3</v>
      </c>
      <c r="Q53" s="470">
        <f ca="1">COUNTIF(ADMIN!$S$226:INDEX(ADMIN!$S$226:$HL$229,4,ADMIN!$D$5*3-1),Stats!$L53)-SUM(R53:T53)</f>
        <v>1</v>
      </c>
      <c r="R53" s="470">
        <f ca="1">IFERROR(COUNTIF(ADMIN!$S$252:INDEX(ADMIN!$S$252:$HL$252,1,ADMIN!$D$5*3-1),Stats!$L53),0)</f>
        <v>0</v>
      </c>
      <c r="S53" s="470">
        <f ca="1">IFERROR(COUNTIF(ADMIN!$S$251:INDEX(ADMIN!$S$251:$HL$251,1,ADMIN!$D$5*3-1),Stats!$L53),0)</f>
        <v>0</v>
      </c>
      <c r="T53" s="471">
        <f ca="1">IFERROR(COUNTIF(ADMIN!$S$250:INDEX(ADMIN!$S$250:$HL$250,1,ADMIN!$D$5*3-1),Stats!$L53),0)</f>
        <v>0</v>
      </c>
      <c r="U53" s="25"/>
      <c r="V53" s="11">
        <f t="shared" ca="1" si="0"/>
        <v>19</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8">
        <f ca="1">ADMIN!$D$5-SUM(N54:T54)</f>
        <v>0</v>
      </c>
      <c r="N54" s="468">
        <f ca="1">IFERROR(COUNTIF(ADMIN!$S$130:INDEX(ADMIN!$S$130:$HL$161,32,ADMIN!$D$5*3-1),Stats!$L54)-SUM(O54:T54),0)</f>
        <v>15</v>
      </c>
      <c r="O54" s="468">
        <f ca="1">COUNTIF(ADMIN!$S$182:INDEX(ADMIN!$S$182:$HL$197,16,ADMIN!$D$5*3-1),Stats!$L54)-SUM(P54:T54)</f>
        <v>2</v>
      </c>
      <c r="P54" s="468">
        <f ca="1">COUNTIF(ADMIN!$S$210:INDEX(ADMIN!$S$210:$HL$217,8,ADMIN!$D$5*3-1),Stats!$L54)-SUM(Q54:T54)</f>
        <v>1</v>
      </c>
      <c r="Q54" s="468">
        <f ca="1">COUNTIF(ADMIN!$S$226:INDEX(ADMIN!$S$226:$HL$229,4,ADMIN!$D$5*3-1),Stats!$L54)-SUM(R54:T54)</f>
        <v>1</v>
      </c>
      <c r="R54" s="468">
        <f ca="1">IFERROR(COUNTIF(ADMIN!$S$252:INDEX(ADMIN!$S$252:$HL$252,1,ADMIN!$D$5*3-1),Stats!$L54),0)</f>
        <v>0</v>
      </c>
      <c r="S54" s="468">
        <f ca="1">IFERROR(COUNTIF(ADMIN!$S$251:INDEX(ADMIN!$S$251:$HL$251,1,ADMIN!$D$5*3-1),Stats!$L54),0)</f>
        <v>0</v>
      </c>
      <c r="T54" s="469">
        <f ca="1">IFERROR(COUNTIF(ADMIN!$S$250:INDEX(ADMIN!$S$250:$HL$250,1,ADMIN!$D$5*3-1),Stats!$L54),0)</f>
        <v>0</v>
      </c>
      <c r="U54" s="25"/>
      <c r="V54" s="11">
        <f t="shared" ca="1" si="0"/>
        <v>19</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2">
        <f ca="1">ADMIN!$D$5-SUM(N55:T55)</f>
        <v>16</v>
      </c>
      <c r="N55" s="472">
        <f ca="1">IFERROR(COUNTIF(ADMIN!$S$130:INDEX(ADMIN!$S$130:$HL$161,32,ADMIN!$D$5*3-1),Stats!$L55)-SUM(O55:T55),0)</f>
        <v>3</v>
      </c>
      <c r="O55" s="472">
        <f ca="1">COUNTIF(ADMIN!$S$182:INDEX(ADMIN!$S$182:$HL$197,16,ADMIN!$D$5*3-1),Stats!$L55)-SUM(P55:T55)</f>
        <v>0</v>
      </c>
      <c r="P55" s="472">
        <f ca="1">COUNTIF(ADMIN!$S$210:INDEX(ADMIN!$S$210:$HL$217,8,ADMIN!$D$5*3-1),Stats!$L55)-SUM(Q55:T55)</f>
        <v>0</v>
      </c>
      <c r="Q55" s="472">
        <f ca="1">COUNTIF(ADMIN!$S$226:INDEX(ADMIN!$S$226:$HL$229,4,ADMIN!$D$5*3-1),Stats!$L55)-SUM(R55:T55)</f>
        <v>0</v>
      </c>
      <c r="R55" s="472">
        <f ca="1">IFERROR(COUNTIF(ADMIN!$S$252:INDEX(ADMIN!$S$252:$HL$252,1,ADMIN!$D$5*3-1),Stats!$L55),0)</f>
        <v>0</v>
      </c>
      <c r="S55" s="472">
        <f ca="1">IFERROR(COUNTIF(ADMIN!$S$251:INDEX(ADMIN!$S$251:$HL$251,1,ADMIN!$D$5*3-1),Stats!$L55),0)</f>
        <v>0</v>
      </c>
      <c r="T55" s="473">
        <f ca="1">IFERROR(COUNTIF(ADMIN!$S$250:INDEX(ADMIN!$S$250:$HL$250,1,ADMIN!$D$5*3-1),Stats!$L55),0)</f>
        <v>0</v>
      </c>
      <c r="U55" s="25"/>
      <c r="V55" s="11">
        <f t="shared" ca="1" si="0"/>
        <v>19</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21" priority="4">
      <formula>IF(AND($I8=$J8,$I8&lt;&gt;""),1,0)</formula>
    </cfRule>
  </conditionalFormatting>
  <conditionalFormatting sqref="H8:I31">
    <cfRule type="expression" dxfId="20" priority="1">
      <formula>IF(AND($I8=$K8,$I8&lt;&gt;""),1,0)</formula>
    </cfRule>
  </conditionalFormatting>
  <conditionalFormatting sqref="H31:I31">
    <cfRule type="expression" dxfId="19"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6"/>
      <c r="O2" s="497"/>
      <c r="P2" s="175"/>
      <c r="Q2" s="297"/>
      <c r="R2" s="297"/>
      <c r="S2" s="498"/>
      <c r="T2" s="297"/>
      <c r="U2" s="175"/>
      <c r="V2" s="175"/>
      <c r="W2" s="175"/>
      <c r="X2" s="18"/>
      <c r="Y2" s="496"/>
      <c r="Z2" s="496"/>
      <c r="AA2" s="297"/>
      <c r="AB2" s="297"/>
      <c r="AC2" s="297"/>
      <c r="AD2" s="18"/>
      <c r="AE2" s="297"/>
      <c r="AF2" s="297"/>
      <c r="AG2" s="297"/>
      <c r="AH2" s="247"/>
      <c r="AI2" s="499"/>
      <c r="AJ2" s="499"/>
      <c r="AK2" s="499"/>
      <c r="AL2" s="92"/>
      <c r="AM2" s="499"/>
      <c r="AN2" s="499"/>
      <c r="AO2" s="499"/>
      <c r="AP2" s="19"/>
      <c r="AQ2" s="499"/>
      <c r="AR2" s="499"/>
      <c r="AS2" s="499"/>
      <c r="AT2" s="19"/>
      <c r="AU2" s="499"/>
      <c r="AV2" s="499"/>
      <c r="AW2" s="499"/>
      <c r="AX2" s="297"/>
      <c r="AY2" s="297"/>
      <c r="AZ2" s="297"/>
      <c r="BA2" s="297"/>
      <c r="BB2" s="297"/>
      <c r="BC2" s="297"/>
      <c r="BD2" s="297"/>
      <c r="BE2" s="297"/>
    </row>
    <row r="3" spans="1:67" ht="15.75" thickBot="1">
      <c r="A3" s="19">
        <v>1</v>
      </c>
      <c r="B3" s="500" t="s">
        <v>0</v>
      </c>
      <c r="C3" s="501" t="str">
        <f ca="1">+MID(INDEX(WORLDCUP!$AA$4:$AA$147,MATCH(A3,WORLDCUP!$AH$4:$AH$147,0)),1,3)</f>
        <v>Méx</v>
      </c>
      <c r="D3" s="502" t="str">
        <f>IF(ISBLANK(INDEX(WORLDCUP!$AC$4:$AC$147,MATCH(A3,WORLDCUP!$AH$4:$AH$147,0))),"",INDEX(WORLDCUP!$AC$4:$AC$147,MATCH(A3,WORLDCUP!$AH$4:$AH$147,0)))</f>
        <v/>
      </c>
      <c r="E3" s="502" t="str">
        <f>IF(ISBLANK(INDEX(WORLDCUP!$AD$4:$AD$147,MATCH(A3,WORLDCUP!$AH$4:$AH$147,0))),"",INDEX(WORLDCUP!$AD$4:$AD$147,MATCH(A3,WORLDCUP!$AH$4:$AH$147,0)))</f>
        <v/>
      </c>
      <c r="F3" s="503" t="str">
        <f ca="1">+MID(INDEX(WORLDCUP!$AF$4:$AF$147,MATCH(A3,WORLDCUP!$AH$4:$AH$147,0)),1,3)</f>
        <v>Sud</v>
      </c>
      <c r="G3" s="504"/>
      <c r="H3" s="505" t="str">
        <f>MID(WORLDCUP!AL5,1,3)</f>
        <v>Sel</v>
      </c>
      <c r="I3" s="506" t="s">
        <v>32</v>
      </c>
      <c r="J3" s="506" t="str">
        <f>WORLDCUP!AT5</f>
        <v>DG</v>
      </c>
      <c r="K3" s="507" t="str">
        <f>WORLDCUP!AR5&amp;"-"&amp;WORLDCUP!AS5</f>
        <v>GF-GC</v>
      </c>
      <c r="L3" s="19"/>
      <c r="M3" s="19">
        <v>16</v>
      </c>
      <c r="N3" s="508" t="s">
        <v>6</v>
      </c>
      <c r="O3" s="501" t="str">
        <f ca="1">+MID(INDEX(WORLDCUP!$AA$4:$AA$147,MATCH(M3,WORLDCUP!$AH$4:$AH$147,0)),1,3)</f>
        <v>Bél</v>
      </c>
      <c r="P3" s="502" t="str">
        <f>IF(ISBLANK(INDEX(WORLDCUP!$AC$4:$AC$147,MATCH(M3,WORLDCUP!$AH$4:$AH$147,0))),"",INDEX(WORLDCUP!$AC$4:$AC$147,MATCH(M3,WORLDCUP!$AH$4:$AH$147,0)))</f>
        <v/>
      </c>
      <c r="Q3" s="502" t="str">
        <f>IF(ISBLANK(INDEX(WORLDCUP!$AD$4:$AD$147,MATCH(M3,WORLDCUP!$AH$4:$AH$147,0))),"",INDEX(WORLDCUP!$AD$4:$AD$147,MATCH(M3,WORLDCUP!$AH$4:$AH$147,0)))</f>
        <v/>
      </c>
      <c r="R3" s="503" t="str">
        <f ca="1">+MID(INDEX(WORLDCUP!$AF$4:$AF$147,MATCH(M3,WORLDCUP!$AH$4:$AH$147,0)),1,3)</f>
        <v>Egi</v>
      </c>
      <c r="S3" s="504"/>
      <c r="T3" s="505" t="str">
        <f>+H43</f>
        <v>Sel</v>
      </c>
      <c r="U3" s="506" t="str">
        <f>+I43</f>
        <v>Pts</v>
      </c>
      <c r="V3" s="506" t="str">
        <f>+J43</f>
        <v>DG</v>
      </c>
      <c r="W3" s="507" t="str">
        <f>+K43</f>
        <v>GF-GC</v>
      </c>
      <c r="X3" s="19"/>
      <c r="Y3" s="19">
        <v>74</v>
      </c>
      <c r="Z3" s="509" t="s">
        <v>661</v>
      </c>
      <c r="AA3" s="510" t="str">
        <f ca="1">+MID(INDEX(WORLDCUP!$AA$101:$AA$147,MATCH(Y3,WORLDCUP!$Z$101:$Z$147,0)),1,3)</f>
        <v>1E</v>
      </c>
      <c r="AB3" s="511" t="str">
        <f>+IF(ISBLANK(INDEX(WORLDCUP!$AC$101:$AC$147,MATCH(Y3,WORLDCUP!$Z$101:$Z$147,0))),"",INDEX(WORLDCUP!$AC$101:$AC$147,MATCH(Y3,WORLDCUP!$Z$101:$Z$147,0)))</f>
        <v/>
      </c>
      <c r="AC3" s="512" t="str">
        <f>+IF(ISBLANK(INDEX(WORLDCUP!$AB$101:$AB$147,MATCH(Y3,WORLDCUP!$Z$101:$Z$147,0))),"","( "&amp;INDEX(WORLDCUP!$AB$101:$AB$147,MATCH(Y3,WORLDCUP!$Z$101:$Z$147,0))&amp;" )")</f>
        <v/>
      </c>
      <c r="AD3" s="18"/>
      <c r="AE3" s="513"/>
      <c r="AF3" s="513"/>
      <c r="AG3" s="513"/>
      <c r="AH3" s="19"/>
      <c r="AI3" s="514"/>
      <c r="AJ3" s="514"/>
      <c r="AK3" s="514"/>
      <c r="AL3" s="92"/>
      <c r="AM3" s="515"/>
      <c r="AN3" s="515"/>
      <c r="AO3" s="515"/>
      <c r="AP3" s="19"/>
      <c r="AQ3" s="516"/>
      <c r="AR3" s="516"/>
      <c r="AS3" s="516"/>
      <c r="AT3" s="19"/>
      <c r="AU3" s="517"/>
      <c r="AV3" s="517"/>
      <c r="AW3" s="517"/>
      <c r="AX3" s="19"/>
      <c r="AY3" s="297"/>
      <c r="AZ3" s="297"/>
      <c r="BA3" s="297"/>
      <c r="BB3" s="297"/>
      <c r="BC3" s="297"/>
      <c r="BD3" s="297"/>
      <c r="BE3" s="297"/>
      <c r="BG3" s="518"/>
      <c r="BH3" s="519" t="s">
        <v>1339</v>
      </c>
      <c r="BI3" s="520" t="s">
        <v>483</v>
      </c>
      <c r="BJ3" s="521" t="s">
        <v>88</v>
      </c>
      <c r="BK3" s="522" t="s">
        <v>34</v>
      </c>
      <c r="BL3" s="523" t="s">
        <v>35</v>
      </c>
      <c r="BM3" s="524" t="s">
        <v>1340</v>
      </c>
      <c r="BN3" s="525" t="s">
        <v>1341</v>
      </c>
      <c r="BO3" s="526" t="s">
        <v>1342</v>
      </c>
    </row>
    <row r="4" spans="1:67" ht="15.75" thickBot="1">
      <c r="A4" s="19">
        <v>2</v>
      </c>
      <c r="B4" s="527"/>
      <c r="C4" s="528" t="str">
        <f ca="1">+MID(INDEX(WORLDCUP!$AA$4:$AA$147,MATCH(A4,WORLDCUP!$AH$4:$AH$147,0)),1,3)</f>
        <v>Cor</v>
      </c>
      <c r="D4" s="529" t="str">
        <f>IF(ISBLANK(INDEX(WORLDCUP!$AC$4:$AC$147,MATCH(A4,WORLDCUP!$AH$4:$AH$147,0))),"",INDEX(WORLDCUP!$AC$4:$AC$147,MATCH(A4,WORLDCUP!$AH$4:$AH$147,0)))</f>
        <v/>
      </c>
      <c r="E4" s="529" t="str">
        <f>IF(ISBLANK(INDEX(WORLDCUP!$AD$4:$AD$147,MATCH(A4,WORLDCUP!$AH$4:$AH$147,0))),"",INDEX(WORLDCUP!$AD$4:$AD$147,MATCH(A4,WORLDCUP!$AH$4:$AH$147,0)))</f>
        <v/>
      </c>
      <c r="F4" s="530" t="str">
        <f ca="1">+MID(INDEX(WORLDCUP!$AF$4:$AF$147,MATCH(A4,WORLDCUP!$AH$4:$AH$147,0)),1,3)</f>
        <v>Rep</v>
      </c>
      <c r="G4" s="531">
        <v>1</v>
      </c>
      <c r="H4" s="532" t="str">
        <f ca="1">+MID(INDEX(WORLDCUP!$AL$6:$AL$97,MATCH(L4,WORLDCUP!$AI$6:$AI$97,0)),1,3)</f>
        <v>Méx</v>
      </c>
      <c r="I4" s="533">
        <f ca="1">+INDEX(WORLDCUP!$AM$6:$AM$97,MATCH(L4,WORLDCUP!$AI$6:$AI$97,0))</f>
        <v>0</v>
      </c>
      <c r="J4" s="534">
        <f ca="1">+INDEX(WORLDCUP!$AT$6:$AT$97,MATCH(L4,WORLDCUP!$AI$6:$AI$97,0))</f>
        <v>0</v>
      </c>
      <c r="K4" s="535" t="str">
        <f ca="1">+INDEX(WORLDCUP!$AR$6:$AR$97,MATCH(L4,WORLDCUP!$AI$6:$AI$97,0))&amp;"-"&amp;INDEX(WORLDCUP!$AS$6:$AS$97,MATCH(L4,WORLDCUP!$AI$6:$AI$97,0))</f>
        <v>0-0</v>
      </c>
      <c r="L4" s="19" t="s">
        <v>645</v>
      </c>
      <c r="M4" s="19">
        <v>15</v>
      </c>
      <c r="N4" s="536"/>
      <c r="O4" s="528" t="str">
        <f ca="1">+MID(INDEX(WORLDCUP!$AA$4:$AA$147,MATCH(M4,WORLDCUP!$AH$4:$AH$147,0)),1,3)</f>
        <v>Irá</v>
      </c>
      <c r="P4" s="529" t="str">
        <f>IF(ISBLANK(INDEX(WORLDCUP!$AC$4:$AC$147,MATCH(M4,WORLDCUP!$AH$4:$AH$147,0))),"",INDEX(WORLDCUP!$AC$4:$AC$147,MATCH(M4,WORLDCUP!$AH$4:$AH$147,0)))</f>
        <v/>
      </c>
      <c r="Q4" s="529" t="str">
        <f>IF(ISBLANK(INDEX(WORLDCUP!$AD$4:$AD$147,MATCH(M4,WORLDCUP!$AH$4:$AH$147,0))),"",INDEX(WORLDCUP!$AD$4:$AD$147,MATCH(M4,WORLDCUP!$AH$4:$AH$147,0)))</f>
        <v/>
      </c>
      <c r="R4" s="530" t="str">
        <f ca="1">+MID(INDEX(WORLDCUP!$AF$4:$AF$147,MATCH(M4,WORLDCUP!$AH$4:$AH$147,0)),1,3)</f>
        <v>Nue</v>
      </c>
      <c r="S4" s="531">
        <v>1</v>
      </c>
      <c r="T4" s="532" t="str">
        <f ca="1">+MID(INDEX(WORLDCUP!$AL$6:$AL$97,MATCH(X4,WORLDCUP!$AI$6:$AI$97,0)),1,3)</f>
        <v>Bél</v>
      </c>
      <c r="U4" s="533">
        <f ca="1">+INDEX(WORLDCUP!$AM$6:$AM$97,MATCH(X4,WORLDCUP!$AI$6:$AI$97,0))</f>
        <v>0</v>
      </c>
      <c r="V4" s="534">
        <f ca="1">+INDEX(WORLDCUP!$AT$6:$AT$97,MATCH(X4,WORLDCUP!$AI$6:$AI$97,0))</f>
        <v>0</v>
      </c>
      <c r="W4" s="535" t="str">
        <f ca="1">+INDEX(WORLDCUP!$AR$6:$AR$97,MATCH(X4,WORLDCUP!$AI$6:$AI$97,0))&amp;"-"&amp;INDEX(WORLDCUP!$AS$6:$AS$97,MATCH(X4,WORLDCUP!$AI$6:$AI$97,0))</f>
        <v>0-0</v>
      </c>
      <c r="X4" s="19" t="s">
        <v>667</v>
      </c>
      <c r="Y4" s="19">
        <v>74</v>
      </c>
      <c r="Z4" s="509" t="s">
        <v>722</v>
      </c>
      <c r="AA4" s="510" t="str">
        <f ca="1">+MID(INDEX(WORLDCUP!$AF$101:$AF$147,MATCH(Y4,WORLDCUP!$Z$101:$Z$147,0)),1,IF(WORLDCUP!$H$113&lt;144,6,3))</f>
        <v>3ABCDF</v>
      </c>
      <c r="AB4" s="537" t="str">
        <f>+IF(ISBLANK(INDEX(WORLDCUP!$AD$101:$AD$147,MATCH(Y4,WORLDCUP!$Z$101:$Z$147,0))),"",INDEX(WORLDCUP!$AD$101:$AD$147,MATCH(Y4,WORLDCUP!$Z$101:$Z$147,0)))</f>
        <v/>
      </c>
      <c r="AC4" s="538" t="str">
        <f>+IF(ISBLANK(INDEX(WORLDCUP!$AE$101:$AE$147,MATCH(Y4,WORLDCUP!$Z$101:$Z$147,0))),"","( "&amp;INDEX(WORLDCUP!$AE$101:$AE$147,MATCH(Y4,WORLDCUP!$Z$101:$Z$147,0))&amp;" )")</f>
        <v/>
      </c>
      <c r="AD4" s="539">
        <v>89</v>
      </c>
      <c r="AE4" s="540" t="str">
        <f>+MID(INDEX(WORLDCUP!$AA$101:$AA$147,MATCH(AD4,WORLDCUP!$Z$101:$Z$147,0)),1,3)</f>
        <v>W74</v>
      </c>
      <c r="AF4" s="541" t="str">
        <f>+IF(ISBLANK(INDEX(WORLDCUP!$AC$101:$AC$147,MATCH(AD4,WORLDCUP!$Z$101:$Z$147,0))),"",INDEX(WORLDCUP!$AC$101:$AC$147,MATCH(AD4,WORLDCUP!$Z$101:$Z$147,0)))</f>
        <v/>
      </c>
      <c r="AG4" s="542" t="str">
        <f>+IF(ISBLANK(INDEX(WORLDCUP!$AB$101:$AB$147,MATCH(AD4,WORLDCUP!$Z$101:$Z$147,0))),"","( "&amp;INDEX(WORLDCUP!$AB$101:$AB$147,MATCH(AD4,WORLDCUP!$Z$101:$Z$147,0))&amp;" )")</f>
        <v/>
      </c>
      <c r="AH4" s="19"/>
      <c r="AI4" s="543"/>
      <c r="AJ4" s="543"/>
      <c r="AK4" s="543"/>
      <c r="AL4" s="92"/>
      <c r="AM4" s="515"/>
      <c r="AN4" s="515"/>
      <c r="AO4" s="515"/>
      <c r="AP4" s="19"/>
      <c r="AQ4" s="544"/>
      <c r="AR4" s="544"/>
      <c r="AS4" s="544"/>
      <c r="AT4" s="19"/>
      <c r="AU4" s="517"/>
      <c r="AV4" s="517"/>
      <c r="AW4" s="517"/>
      <c r="AX4" s="19"/>
      <c r="AY4" s="545"/>
      <c r="AZ4" s="297"/>
      <c r="BA4" s="297"/>
      <c r="BB4" s="297"/>
      <c r="BC4" s="297"/>
      <c r="BD4" s="297"/>
      <c r="BE4" s="297"/>
      <c r="BG4" s="546" t="str">
        <f ca="1">Horarios!Q3</f>
        <v>Alemania</v>
      </c>
      <c r="BH4" s="547">
        <f ca="1">1-SUM(BI4:BO4)</f>
        <v>1</v>
      </c>
      <c r="BI4" s="547">
        <f ca="1">COUNTIF(ADMIN!$M$130:$M$161,Fixture!BG4)-BJ4-BK4-BL4-BM4-BN4-BO4</f>
        <v>0</v>
      </c>
      <c r="BJ4" s="548">
        <f ca="1">COUNTIF(ADMIN!$M$182:$M$197,Fixture!BG4)-BK4-BL4-BM4-BN4-BO4</f>
        <v>0</v>
      </c>
      <c r="BK4" s="549">
        <f ca="1">COUNTIF(ADMIN!$M$210:$M$217,Fixture!BG4)-BL4-BM4-BN4-BO4</f>
        <v>0</v>
      </c>
      <c r="BL4" s="549">
        <f ca="1">COUNTIF(ADMIN!$M$226:$M$229,BG4)-BM4-BN4-BO4</f>
        <v>0</v>
      </c>
      <c r="BM4" s="547">
        <f ca="1">COUNTIF(ADMIN!$M$252,Fixture!BG4)</f>
        <v>0</v>
      </c>
      <c r="BN4" s="547">
        <f ca="1">COUNTIF(ADMIN!$M$251,Fixture!BG4)</f>
        <v>0</v>
      </c>
      <c r="BO4" s="550">
        <f ca="1">COUNTIF(ADMIN!$M$250,Fixture!BG4)</f>
        <v>0</v>
      </c>
    </row>
    <row r="5" spans="1:67">
      <c r="A5" s="19">
        <v>25</v>
      </c>
      <c r="B5" s="527"/>
      <c r="C5" s="528" t="str">
        <f ca="1">+MID(INDEX(WORLDCUP!$AA$4:$AA$147,MATCH(A5,WORLDCUP!$AH$4:$AH$147,0)),1,3)</f>
        <v>Rep</v>
      </c>
      <c r="D5" s="529" t="str">
        <f>IF(ISBLANK(INDEX(WORLDCUP!$AC$4:$AC$147,MATCH(A5,WORLDCUP!$AH$4:$AH$147,0))),"",INDEX(WORLDCUP!$AC$4:$AC$147,MATCH(A5,WORLDCUP!$AH$4:$AH$147,0)))</f>
        <v/>
      </c>
      <c r="E5" s="529" t="str">
        <f>IF(ISBLANK(INDEX(WORLDCUP!$AD$4:$AD$147,MATCH(A5,WORLDCUP!$AH$4:$AH$147,0))),"",INDEX(WORLDCUP!$AD$4:$AD$147,MATCH(A5,WORLDCUP!$AH$4:$AH$147,0)))</f>
        <v/>
      </c>
      <c r="F5" s="530" t="str">
        <f ca="1">+MID(INDEX(WORLDCUP!$AF$4:$AF$147,MATCH(A5,WORLDCUP!$AH$4:$AH$147,0)),1,3)</f>
        <v>Sud</v>
      </c>
      <c r="G5" s="551">
        <v>2</v>
      </c>
      <c r="H5" s="552"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6"/>
      <c r="O5" s="528" t="str">
        <f ca="1">+MID(INDEX(WORLDCUP!$AA$4:$AA$147,MATCH(M5,WORLDCUP!$AH$4:$AH$147,0)),1,3)</f>
        <v>Bél</v>
      </c>
      <c r="P5" s="529" t="str">
        <f>IF(ISBLANK(INDEX(WORLDCUP!$AC$4:$AC$147,MATCH(M5,WORLDCUP!$AH$4:$AH$147,0))),"",INDEX(WORLDCUP!$AC$4:$AC$147,MATCH(M5,WORLDCUP!$AH$4:$AH$147,0)))</f>
        <v/>
      </c>
      <c r="Q5" s="529" t="str">
        <f>IF(ISBLANK(INDEX(WORLDCUP!$AD$4:$AD$147,MATCH(M5,WORLDCUP!$AH$4:$AH$147,0))),"",INDEX(WORLDCUP!$AD$4:$AD$147,MATCH(M5,WORLDCUP!$AH$4:$AH$147,0)))</f>
        <v/>
      </c>
      <c r="R5" s="530" t="str">
        <f ca="1">+MID(INDEX(WORLDCUP!$AF$4:$AF$147,MATCH(M5,WORLDCUP!$AH$4:$AH$147,0)),1,3)</f>
        <v>Irá</v>
      </c>
      <c r="S5" s="551">
        <v>2</v>
      </c>
      <c r="T5" s="552"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09"/>
      <c r="AA5" s="553"/>
      <c r="AB5" s="553"/>
      <c r="AC5" s="554"/>
      <c r="AD5" s="19">
        <v>89</v>
      </c>
      <c r="AE5" s="540" t="str">
        <f>+MID(INDEX(WORLDCUP!$AF$101:$AF$147,MATCH(AD5,WORLDCUP!$Z$101:$Z$147,0)),1,3)</f>
        <v>W77</v>
      </c>
      <c r="AF5" s="541" t="str">
        <f>+IF(ISBLANK(INDEX(WORLDCUP!$AD$101:$AD$147,MATCH(AD5,WORLDCUP!$Z$101:$Z$147,0))),"",INDEX(WORLDCUP!$AD$101:$AD$147,MATCH(AD5,WORLDCUP!$Z$101:$Z$147,0)))</f>
        <v/>
      </c>
      <c r="AG5" s="555" t="str">
        <f>+IF(ISBLANK(INDEX(WORLDCUP!$AE$101:$AE$147,MATCH(AD5,WORLDCUP!$Z$101:$Z$147,0))),"","( "&amp;INDEX(WORLDCUP!$AE$101:$AE$147,MATCH(AD5,WORLDCUP!$Z$101:$Z$147,0))&amp;" )")</f>
        <v/>
      </c>
      <c r="AH5" s="19"/>
      <c r="AI5" s="543"/>
      <c r="AJ5" s="543"/>
      <c r="AK5" s="543"/>
      <c r="AL5" s="92"/>
      <c r="AM5" s="515"/>
      <c r="AN5" s="515"/>
      <c r="AO5" s="515"/>
      <c r="AP5" s="19"/>
      <c r="AQ5" s="544"/>
      <c r="AR5" s="544"/>
      <c r="AS5" s="544"/>
      <c r="AT5" s="19"/>
      <c r="AU5" s="517"/>
      <c r="AV5" s="517"/>
      <c r="AW5" s="517"/>
      <c r="AX5" s="19"/>
      <c r="AY5" s="297"/>
      <c r="AZ5" s="297"/>
      <c r="BA5" s="297"/>
      <c r="BB5" s="297"/>
      <c r="BC5" s="297"/>
      <c r="BD5" s="297"/>
      <c r="BE5" s="297"/>
      <c r="BG5" s="546" t="str">
        <f ca="1">Horarios!Q4</f>
        <v>Arabia Saudita</v>
      </c>
      <c r="BH5" s="547">
        <f t="shared" ref="BH5:BH51" ca="1" si="0">1-SUM(BI5:BO5)</f>
        <v>1</v>
      </c>
      <c r="BI5" s="547">
        <f ca="1">COUNTIF(ADMIN!$M$130:$M$161,Fixture!BG5)-BJ5-BK5-BL5-BM5-BN5-BO5</f>
        <v>0</v>
      </c>
      <c r="BJ5" s="548">
        <f ca="1">COUNTIF(ADMIN!$M$182:$M$197,Fixture!BG5)-BK5-BL5-BM5-BN5-BO5</f>
        <v>0</v>
      </c>
      <c r="BK5" s="549">
        <f ca="1">COUNTIF(ADMIN!$M$210:$M$217,Fixture!BG5)-BL5-BM5-BN5-BO5</f>
        <v>0</v>
      </c>
      <c r="BL5" s="549">
        <f ca="1">COUNTIF(ADMIN!$M$226:$M$229,BG5)-BM5-BN5-BO5</f>
        <v>0</v>
      </c>
      <c r="BM5" s="547">
        <f ca="1">COUNTIF(ADMIN!$M$252,Fixture!BG5)</f>
        <v>0</v>
      </c>
      <c r="BN5" s="547">
        <f ca="1">COUNTIF(ADMIN!$M$251,Fixture!BG5)</f>
        <v>0</v>
      </c>
      <c r="BO5" s="550">
        <f ca="1">COUNTIF(ADMIN!$M$250,Fixture!BG5)</f>
        <v>0</v>
      </c>
    </row>
    <row r="6" spans="1:67" ht="15.75" thickBot="1">
      <c r="A6" s="19">
        <v>28</v>
      </c>
      <c r="B6" s="527"/>
      <c r="C6" s="528" t="str">
        <f ca="1">+MID(INDEX(WORLDCUP!$AA$4:$AA$147,MATCH(A6,WORLDCUP!$AH$4:$AH$147,0)),1,3)</f>
        <v>Méx</v>
      </c>
      <c r="D6" s="529" t="str">
        <f>IF(ISBLANK(INDEX(WORLDCUP!$AC$4:$AC$147,MATCH(A6,WORLDCUP!$AH$4:$AH$147,0))),"",INDEX(WORLDCUP!$AC$4:$AC$147,MATCH(A6,WORLDCUP!$AH$4:$AH$147,0)))</f>
        <v/>
      </c>
      <c r="E6" s="529" t="str">
        <f>IF(ISBLANK(INDEX(WORLDCUP!$AD$4:$AD$147,MATCH(A6,WORLDCUP!$AH$4:$AH$147,0))),"",INDEX(WORLDCUP!$AD$4:$AD$147,MATCH(A6,WORLDCUP!$AH$4:$AH$147,0)))</f>
        <v/>
      </c>
      <c r="F6" s="530" t="str">
        <f ca="1">+MID(INDEX(WORLDCUP!$AF$4:$AF$147,MATCH(A6,WORLDCUP!$AH$4:$AH$147,0)),1,3)</f>
        <v>Cor</v>
      </c>
      <c r="G6" s="551">
        <v>3</v>
      </c>
      <c r="H6" s="552"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6"/>
      <c r="O6" s="528" t="str">
        <f ca="1">+MID(INDEX(WORLDCUP!$AA$4:$AA$147,MATCH(M6,WORLDCUP!$AH$4:$AH$147,0)),1,3)</f>
        <v>Nue</v>
      </c>
      <c r="P6" s="529" t="str">
        <f>IF(ISBLANK(INDEX(WORLDCUP!$AC$4:$AC$147,MATCH(M6,WORLDCUP!$AH$4:$AH$147,0))),"",INDEX(WORLDCUP!$AC$4:$AC$147,MATCH(M6,WORLDCUP!$AH$4:$AH$147,0)))</f>
        <v/>
      </c>
      <c r="Q6" s="529" t="str">
        <f>IF(ISBLANK(INDEX(WORLDCUP!$AD$4:$AD$147,MATCH(M6,WORLDCUP!$AH$4:$AH$147,0))),"",INDEX(WORLDCUP!$AD$4:$AD$147,MATCH(M6,WORLDCUP!$AH$4:$AH$147,0)))</f>
        <v/>
      </c>
      <c r="R6" s="530" t="str">
        <f ca="1">+MID(INDEX(WORLDCUP!$AF$4:$AF$147,MATCH(M6,WORLDCUP!$AH$4:$AH$147,0)),1,3)</f>
        <v>Egi</v>
      </c>
      <c r="S6" s="551">
        <v>3</v>
      </c>
      <c r="T6" s="552"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09" t="s">
        <v>673</v>
      </c>
      <c r="AA6" s="510" t="str">
        <f ca="1">+MID(INDEX(WORLDCUP!$AA$101:$AA$147,MATCH(Y6,WORLDCUP!$Z$101:$Z$147,0)),1,3)</f>
        <v>1I</v>
      </c>
      <c r="AB6" s="556" t="str">
        <f>+IF(ISBLANK(INDEX(WORLDCUP!$AC$101:$AC$147,MATCH(Y6,WORLDCUP!$Z$101:$Z$147,0))),"",INDEX(WORLDCUP!$AC$101:$AC$147,MATCH(Y6,WORLDCUP!$Z$101:$Z$147,0)))</f>
        <v/>
      </c>
      <c r="AC6" s="557" t="str">
        <f>+IF(ISBLANK(INDEX(WORLDCUP!$AB$101:$AB$147,MATCH(Y6,WORLDCUP!$Z$101:$Z$147,0))),"","( "&amp;INDEX(WORLDCUP!$AB$101:$AB$147,MATCH(Y6,WORLDCUP!$Z$101:$Z$147,0))&amp;" )")</f>
        <v/>
      </c>
      <c r="AD6" s="19"/>
      <c r="AE6" s="558"/>
      <c r="AF6" s="558"/>
      <c r="AG6" s="559"/>
      <c r="AH6" s="19"/>
      <c r="AI6" s="543"/>
      <c r="AJ6" s="543"/>
      <c r="AK6" s="543"/>
      <c r="AL6" s="92"/>
      <c r="AM6" s="515"/>
      <c r="AN6" s="515"/>
      <c r="AO6" s="515"/>
      <c r="AP6" s="19"/>
      <c r="AQ6" s="544"/>
      <c r="AR6" s="544"/>
      <c r="AS6" s="544"/>
      <c r="AT6" s="19"/>
      <c r="AU6" s="517"/>
      <c r="AV6" s="517"/>
      <c r="AW6" s="517"/>
      <c r="AX6" s="19"/>
      <c r="AY6" s="297"/>
      <c r="AZ6" s="297"/>
      <c r="BA6" s="297"/>
      <c r="BB6" s="297"/>
      <c r="BC6" s="297"/>
      <c r="BD6" s="297"/>
      <c r="BE6" s="297"/>
      <c r="BG6" s="546" t="str">
        <f ca="1">Horarios!Q5</f>
        <v>Argelia</v>
      </c>
      <c r="BH6" s="547">
        <f t="shared" ca="1" si="0"/>
        <v>1</v>
      </c>
      <c r="BI6" s="547">
        <f ca="1">COUNTIF(ADMIN!$M$130:$M$161,Fixture!BG6)-BJ6-BK6-BL6-BM6-BN6-BO6</f>
        <v>0</v>
      </c>
      <c r="BJ6" s="548">
        <f ca="1">COUNTIF(ADMIN!$M$182:$M$197,Fixture!BG6)-BK6-BL6-BM6-BN6-BO6</f>
        <v>0</v>
      </c>
      <c r="BK6" s="549">
        <f ca="1">COUNTIF(ADMIN!$M$210:$M$217,Fixture!BG6)-BL6-BM6-BN6-BO6</f>
        <v>0</v>
      </c>
      <c r="BL6" s="549">
        <f ca="1">COUNTIF(ADMIN!$M$226:$M$229,BG6)-BM6-BN6-BO6</f>
        <v>0</v>
      </c>
      <c r="BM6" s="547">
        <f ca="1">COUNTIF(ADMIN!$M$252,Fixture!BG6)</f>
        <v>0</v>
      </c>
      <c r="BN6" s="547">
        <f ca="1">COUNTIF(ADMIN!$M$251,Fixture!BG6)</f>
        <v>0</v>
      </c>
      <c r="BO6" s="550">
        <f ca="1">COUNTIF(ADMIN!$M$250,Fixture!BG6)</f>
        <v>0</v>
      </c>
    </row>
    <row r="7" spans="1:67" ht="15.75" thickBot="1">
      <c r="A7" s="19">
        <v>53</v>
      </c>
      <c r="B7" s="527"/>
      <c r="C7" s="528" t="str">
        <f ca="1">+MID(INDEX(WORLDCUP!$AA$4:$AA$147,MATCH(A7,WORLDCUP!$AH$4:$AH$147,0)),1,3)</f>
        <v>Rep</v>
      </c>
      <c r="D7" s="529" t="str">
        <f>IF(ISBLANK(INDEX(WORLDCUP!$AC$4:$AC$147,MATCH(A7,WORLDCUP!$AH$4:$AH$147,0))),"",INDEX(WORLDCUP!$AC$4:$AC$147,MATCH(A7,WORLDCUP!$AH$4:$AH$147,0)))</f>
        <v/>
      </c>
      <c r="E7" s="529" t="str">
        <f>IF(ISBLANK(INDEX(WORLDCUP!$AD$4:$AD$147,MATCH(A7,WORLDCUP!$AH$4:$AH$147,0))),"",INDEX(WORLDCUP!$AD$4:$AD$147,MATCH(A7,WORLDCUP!$AH$4:$AH$147,0)))</f>
        <v/>
      </c>
      <c r="F7" s="530" t="str">
        <f ca="1">+MID(INDEX(WORLDCUP!$AF$4:$AF$147,MATCH(A7,WORLDCUP!$AH$4:$AH$147,0)),1,3)</f>
        <v>Méx</v>
      </c>
      <c r="G7" s="551">
        <v>4</v>
      </c>
      <c r="H7" s="560" t="str">
        <f ca="1">+MID(INDEX(WORLDCUP!$AL$6:$AL$97,MATCH(L7,WORLDCUP!$AI$6:$AI$97,0)),1,3)</f>
        <v>Rep</v>
      </c>
      <c r="I7" s="561">
        <f ca="1">+INDEX(WORLDCUP!$AM$6:$AM$97,MATCH(L7,WORLDCUP!$AI$6:$AI$97,0))</f>
        <v>0</v>
      </c>
      <c r="J7" s="562">
        <f ca="1">+INDEX(WORLDCUP!$AT$6:$AT$97,MATCH(L7,WORLDCUP!$AI$6:$AI$97,0))</f>
        <v>0</v>
      </c>
      <c r="K7" s="563" t="str">
        <f ca="1">+INDEX(WORLDCUP!$AR$6:$AR$97,MATCH(L7,WORLDCUP!$AI$6:$AI$97,0))&amp;"-"&amp;INDEX(WORLDCUP!$AS$6:$AS$97,MATCH(L7,WORLDCUP!$AI$6:$AI$97,0))</f>
        <v>0-0</v>
      </c>
      <c r="L7" s="19" t="s">
        <v>647</v>
      </c>
      <c r="M7" s="19">
        <v>63</v>
      </c>
      <c r="N7" s="536"/>
      <c r="O7" s="528" t="str">
        <f ca="1">+MID(INDEX(WORLDCUP!$AA$4:$AA$147,MATCH(M7,WORLDCUP!$AH$4:$AH$147,0)),1,3)</f>
        <v>Egi</v>
      </c>
      <c r="P7" s="529" t="str">
        <f>IF(ISBLANK(INDEX(WORLDCUP!$AC$4:$AC$147,MATCH(M7,WORLDCUP!$AH$4:$AH$147,0))),"",INDEX(WORLDCUP!$AC$4:$AC$147,MATCH(M7,WORLDCUP!$AH$4:$AH$147,0)))</f>
        <v/>
      </c>
      <c r="Q7" s="529" t="str">
        <f>IF(ISBLANK(INDEX(WORLDCUP!$AD$4:$AD$147,MATCH(M7,WORLDCUP!$AH$4:$AH$147,0))),"",INDEX(WORLDCUP!$AD$4:$AD$147,MATCH(M7,WORLDCUP!$AH$4:$AH$147,0)))</f>
        <v/>
      </c>
      <c r="R7" s="530" t="str">
        <f ca="1">+MID(INDEX(WORLDCUP!$AF$4:$AF$147,MATCH(M7,WORLDCUP!$AH$4:$AH$147,0)),1,3)</f>
        <v>Irá</v>
      </c>
      <c r="S7" s="551">
        <v>4</v>
      </c>
      <c r="T7" s="560" t="str">
        <f ca="1">+MID(INDEX(WORLDCUP!$AL$6:$AL$97,MATCH(X7,WORLDCUP!$AI$6:$AI$97,0)),1,3)</f>
        <v>Nue</v>
      </c>
      <c r="U7" s="561">
        <f ca="1">+INDEX(WORLDCUP!$AM$6:$AM$97,MATCH(X7,WORLDCUP!$AI$6:$AI$97,0))</f>
        <v>0</v>
      </c>
      <c r="V7" s="562">
        <f ca="1">+INDEX(WORLDCUP!$AT$6:$AT$97,MATCH(X7,WORLDCUP!$AI$6:$AI$97,0))</f>
        <v>0</v>
      </c>
      <c r="W7" s="563" t="str">
        <f ca="1">+INDEX(WORLDCUP!$AR$6:$AR$97,MATCH(X7,WORLDCUP!$AI$6:$AI$97,0))&amp;"-"&amp;INDEX(WORLDCUP!$AS$6:$AS$97,MATCH(X7,WORLDCUP!$AI$6:$AI$97,0))</f>
        <v>0-0</v>
      </c>
      <c r="X7" s="19" t="s">
        <v>669</v>
      </c>
      <c r="Y7" s="19">
        <v>77</v>
      </c>
      <c r="Z7" s="509" t="s">
        <v>723</v>
      </c>
      <c r="AA7" s="564" t="str">
        <f ca="1">+MID(INDEX(WORLDCUP!$AF$101:$AF$147,MATCH(Y7,WORLDCUP!$Z$101:$Z$147,0)),1,IF(WORLDCUP!$H$113&lt;144,6,3))</f>
        <v>3CDFGH</v>
      </c>
      <c r="AB7" s="565" t="str">
        <f>+IF(ISBLANK(INDEX(WORLDCUP!$AD$101:$AD$147,MATCH(Y7,WORLDCUP!$Z$101:$Z$147,0))),"",INDEX(WORLDCUP!$AD$101:$AD$147,MATCH(Y7,WORLDCUP!$Z$101:$Z$147,0)))</f>
        <v/>
      </c>
      <c r="AC7" s="566" t="str">
        <f>+IF(ISBLANK(INDEX(WORLDCUP!$AE$101:$AE$147,MATCH(Y7,WORLDCUP!$Z$101:$Z$147,0))),"","( "&amp;INDEX(WORLDCUP!$AE$101:$AE$147,MATCH(Y7,WORLDCUP!$Z$101:$Z$147,0))&amp;" )")</f>
        <v/>
      </c>
      <c r="AD7" s="19"/>
      <c r="AE7" s="558"/>
      <c r="AF7" s="558"/>
      <c r="AG7" s="559"/>
      <c r="AH7" s="539">
        <v>97</v>
      </c>
      <c r="AI7" s="567" t="str">
        <f>+MID(INDEX(WORLDCUP!$AA$101:$AA$147,MATCH(AH7,WORLDCUP!$Z$101:$Z$147,0)),1,3)</f>
        <v>W89</v>
      </c>
      <c r="AJ7" s="568" t="str">
        <f>+IF(ISBLANK(INDEX(WORLDCUP!$AC$101:$AC$147,MATCH(AH7,WORLDCUP!$Z$101:$Z$147,0))),"",INDEX(WORLDCUP!$AC$101:$AC$147,MATCH(AH7,WORLDCUP!$Z$101:$Z$147,0)))</f>
        <v/>
      </c>
      <c r="AK7" s="569" t="str">
        <f>+IF(ISBLANK(INDEX(WORLDCUP!$AB$101:$AB$147,MATCH(AH7,WORLDCUP!$Z$101:$Z$147,0))),"","( "&amp;INDEX(WORLDCUP!$AB$101:$AB$147,MATCH(AH7,WORLDCUP!$Z$101:$Z$147,0))&amp;" )")</f>
        <v/>
      </c>
      <c r="AL7" s="92"/>
      <c r="AM7" s="515"/>
      <c r="AN7" s="515"/>
      <c r="AO7" s="515"/>
      <c r="AP7" s="19"/>
      <c r="AQ7" s="544"/>
      <c r="AR7" s="544"/>
      <c r="AS7" s="544"/>
      <c r="AT7" s="19"/>
      <c r="AU7" s="517"/>
      <c r="AV7" s="517"/>
      <c r="AW7" s="517"/>
      <c r="AX7" s="19"/>
      <c r="AY7" s="297"/>
      <c r="AZ7" s="297"/>
      <c r="BA7" s="297"/>
      <c r="BB7" s="297"/>
      <c r="BC7" s="297"/>
      <c r="BD7" s="297"/>
      <c r="BE7" s="297"/>
      <c r="BG7" s="546" t="str">
        <f ca="1">Horarios!Q6</f>
        <v>Argentina</v>
      </c>
      <c r="BH7" s="547">
        <f t="shared" ca="1" si="0"/>
        <v>1</v>
      </c>
      <c r="BI7" s="547">
        <f ca="1">COUNTIF(ADMIN!$M$130:$M$161,Fixture!BG7)-BJ7-BK7-BL7-BM7-BN7-BO7</f>
        <v>0</v>
      </c>
      <c r="BJ7" s="548">
        <f ca="1">COUNTIF(ADMIN!$M$182:$M$197,Fixture!BG7)-BK7-BL7-BM7-BN7-BO7</f>
        <v>0</v>
      </c>
      <c r="BK7" s="549">
        <f ca="1">COUNTIF(ADMIN!$M$210:$M$217,Fixture!BG7)-BL7-BM7-BN7-BO7</f>
        <v>0</v>
      </c>
      <c r="BL7" s="549">
        <f ca="1">COUNTIF(ADMIN!$M$226:$M$229,BG7)-BM7-BN7-BO7</f>
        <v>0</v>
      </c>
      <c r="BM7" s="547">
        <f ca="1">COUNTIF(ADMIN!$M$252,Fixture!BG7)</f>
        <v>0</v>
      </c>
      <c r="BN7" s="547">
        <f ca="1">COUNTIF(ADMIN!$M$251,Fixture!BG7)</f>
        <v>0</v>
      </c>
      <c r="BO7" s="550">
        <f ca="1">COUNTIF(ADMIN!$M$250,Fixture!BG7)</f>
        <v>0</v>
      </c>
    </row>
    <row r="8" spans="1:67" ht="15.75" thickBot="1">
      <c r="A8" s="19">
        <v>54</v>
      </c>
      <c r="B8" s="570"/>
      <c r="C8" s="571" t="str">
        <f ca="1">+MID(INDEX(WORLDCUP!$AA$4:$AA$147,MATCH(A8,WORLDCUP!$AH$4:$AH$147,0)),1,3)</f>
        <v>Sud</v>
      </c>
      <c r="D8" s="572" t="str">
        <f>IF(ISBLANK(INDEX(WORLDCUP!$AC$4:$AC$147,MATCH(A8,WORLDCUP!$AH$4:$AH$147,0))),"",INDEX(WORLDCUP!$AC$4:$AC$147,MATCH(A8,WORLDCUP!$AH$4:$AH$147,0)))</f>
        <v/>
      </c>
      <c r="E8" s="572" t="str">
        <f>IF(ISBLANK(INDEX(WORLDCUP!$AD$4:$AD$147,MATCH(A8,WORLDCUP!$AH$4:$AH$147,0))),"",INDEX(WORLDCUP!$AD$4:$AD$147,MATCH(A8,WORLDCUP!$AH$4:$AH$147,0)))</f>
        <v/>
      </c>
      <c r="F8" s="573" t="str">
        <f ca="1">+MID(INDEX(WORLDCUP!$AF$4:$AF$147,MATCH(A8,WORLDCUP!$AH$4:$AH$147,0)),1,3)</f>
        <v>Cor</v>
      </c>
      <c r="G8" s="574"/>
      <c r="H8" s="574"/>
      <c r="I8" s="575"/>
      <c r="J8" s="575"/>
      <c r="K8" s="576"/>
      <c r="L8" s="19"/>
      <c r="M8" s="19">
        <v>64</v>
      </c>
      <c r="N8" s="577"/>
      <c r="O8" s="571" t="str">
        <f ca="1">+MID(INDEX(WORLDCUP!$AA$4:$AA$147,MATCH(M8,WORLDCUP!$AH$4:$AH$147,0)),1,3)</f>
        <v>Nue</v>
      </c>
      <c r="P8" s="572" t="str">
        <f>IF(ISBLANK(INDEX(WORLDCUP!$AC$4:$AC$147,MATCH(M8,WORLDCUP!$AH$4:$AH$147,0))),"",INDEX(WORLDCUP!$AC$4:$AC$147,MATCH(M8,WORLDCUP!$AH$4:$AH$147,0)))</f>
        <v/>
      </c>
      <c r="Q8" s="572" t="str">
        <f>IF(ISBLANK(INDEX(WORLDCUP!$AD$4:$AD$147,MATCH(M8,WORLDCUP!$AH$4:$AH$147,0))),"",INDEX(WORLDCUP!$AD$4:$AD$147,MATCH(M8,WORLDCUP!$AH$4:$AH$147,0)))</f>
        <v/>
      </c>
      <c r="R8" s="573" t="str">
        <f ca="1">+MID(INDEX(WORLDCUP!$AF$4:$AF$147,MATCH(M8,WORLDCUP!$AH$4:$AH$147,0)),1,3)</f>
        <v>Bél</v>
      </c>
      <c r="S8" s="574"/>
      <c r="T8" s="574"/>
      <c r="U8" s="575"/>
      <c r="V8" s="575"/>
      <c r="W8" s="576"/>
      <c r="X8" s="19"/>
      <c r="Y8" s="19"/>
      <c r="Z8" s="509"/>
      <c r="AA8" s="578"/>
      <c r="AB8" s="578"/>
      <c r="AC8" s="578"/>
      <c r="AD8" s="19"/>
      <c r="AE8" s="513"/>
      <c r="AF8" s="513"/>
      <c r="AG8" s="559"/>
      <c r="AH8" s="19">
        <v>97</v>
      </c>
      <c r="AI8" s="567" t="str">
        <f>+MID(INDEX(WORLDCUP!$AF$101:$AF$147,MATCH(AH8,WORLDCUP!$Z$101:$Z$147,0)),1,3)</f>
        <v>W90</v>
      </c>
      <c r="AJ8" s="568" t="str">
        <f>+IF(ISBLANK(INDEX(WORLDCUP!$AD$101:$AD$147,MATCH(AH8,WORLDCUP!$Z$101:$Z$147,0))),"",INDEX(WORLDCUP!$AD$101:$AD$147,MATCH(AH8,WORLDCUP!$Z$101:$Z$147,0)))</f>
        <v/>
      </c>
      <c r="AK8" s="579" t="str">
        <f>+IF(ISBLANK(INDEX(WORLDCUP!$AE$101:$AE$147,MATCH(AH8,WORLDCUP!$Z$101:$Z$147,0))),"","( "&amp;INDEX(WORLDCUP!$AE$101:$AE$147,MATCH(AH8,WORLDCUP!$Z$101:$Z$147,0))&amp;" )")</f>
        <v/>
      </c>
      <c r="AL8" s="92"/>
      <c r="AM8" s="515"/>
      <c r="AN8" s="515"/>
      <c r="AO8" s="515"/>
      <c r="AP8" s="19"/>
      <c r="AQ8" s="544"/>
      <c r="AR8" s="544"/>
      <c r="AS8" s="544"/>
      <c r="AT8" s="19"/>
      <c r="AU8" s="517"/>
      <c r="AV8" s="517"/>
      <c r="AW8" s="517"/>
      <c r="AX8" s="19"/>
      <c r="AY8" s="297"/>
      <c r="AZ8" s="297"/>
      <c r="BA8" s="297"/>
      <c r="BB8" s="297"/>
      <c r="BC8" s="297"/>
      <c r="BD8" s="297"/>
      <c r="BE8" s="297"/>
      <c r="BG8" s="546" t="str">
        <f ca="1">Horarios!Q7</f>
        <v>Australia</v>
      </c>
      <c r="BH8" s="547">
        <f t="shared" ca="1" si="0"/>
        <v>1</v>
      </c>
      <c r="BI8" s="547">
        <f ca="1">COUNTIF(ADMIN!$M$130:$M$161,Fixture!BG8)-BJ8-BK8-BL8-BM8-BN8-BO8</f>
        <v>0</v>
      </c>
      <c r="BJ8" s="548">
        <f ca="1">COUNTIF(ADMIN!$M$182:$M$197,Fixture!BG8)-BK8-BL8-BM8-BN8-BO8</f>
        <v>0</v>
      </c>
      <c r="BK8" s="549">
        <f ca="1">COUNTIF(ADMIN!$M$210:$M$217,Fixture!BG8)-BL8-BM8-BN8-BO8</f>
        <v>0</v>
      </c>
      <c r="BL8" s="549">
        <f ca="1">COUNTIF(ADMIN!$M$226:$M$229,BG8)-BM8-BN8-BO8</f>
        <v>0</v>
      </c>
      <c r="BM8" s="547">
        <f ca="1">COUNTIF(ADMIN!$M$252,Fixture!BG8)</f>
        <v>0</v>
      </c>
      <c r="BN8" s="547">
        <f ca="1">COUNTIF(ADMIN!$M$251,Fixture!BG8)</f>
        <v>0</v>
      </c>
      <c r="BO8" s="550">
        <f ca="1">COUNTIF(ADMIN!$M$250,Fixture!BG8)</f>
        <v>0</v>
      </c>
    </row>
    <row r="9" spans="1:67" ht="15.75" thickBot="1">
      <c r="A9" s="19"/>
      <c r="B9" s="496"/>
      <c r="C9" s="580"/>
      <c r="D9" s="441"/>
      <c r="E9" s="441"/>
      <c r="F9" s="297"/>
      <c r="G9" s="297"/>
      <c r="H9" s="580"/>
      <c r="I9" s="297"/>
      <c r="J9" s="297"/>
      <c r="K9" s="297"/>
      <c r="L9" s="19"/>
      <c r="M9" s="19"/>
      <c r="N9" s="247"/>
      <c r="O9" s="580"/>
      <c r="P9" s="441"/>
      <c r="Q9" s="441"/>
      <c r="R9" s="297"/>
      <c r="S9" s="297"/>
      <c r="T9" s="580"/>
      <c r="U9" s="297"/>
      <c r="V9" s="297"/>
      <c r="W9" s="297"/>
      <c r="X9" s="19"/>
      <c r="Y9" s="19">
        <v>73</v>
      </c>
      <c r="Z9" s="509" t="s">
        <v>646</v>
      </c>
      <c r="AA9" s="510" t="str">
        <f ca="1">+MID(INDEX(WORLDCUP!$AA$101:$AA$147,MATCH(Y9,WORLDCUP!$Z$101:$Z$147,0)),1,3)</f>
        <v>2A</v>
      </c>
      <c r="AB9" s="511" t="str">
        <f>+IF(ISBLANK(INDEX(WORLDCUP!$AC$101:$AC$147,MATCH(Y9,WORLDCUP!$Z$101:$Z$147,0))),"",INDEX(WORLDCUP!$AC$101:$AC$147,MATCH(Y9,WORLDCUP!$Z$101:$Z$147,0)))</f>
        <v/>
      </c>
      <c r="AC9" s="581" t="str">
        <f>+IF(ISBLANK(INDEX(WORLDCUP!$AB$101:$AB$147,MATCH(Y9,WORLDCUP!$Z$101:$Z$147,0))),"","( "&amp;INDEX(WORLDCUP!$AB$101:$AB$147,MATCH(Y9,WORLDCUP!$Z$101:$Z$147,0))&amp;" )")</f>
        <v/>
      </c>
      <c r="AD9" s="18"/>
      <c r="AE9" s="513"/>
      <c r="AF9" s="513"/>
      <c r="AG9" s="559"/>
      <c r="AH9" s="19"/>
      <c r="AI9" s="543"/>
      <c r="AJ9" s="543"/>
      <c r="AK9" s="582"/>
      <c r="AL9" s="92"/>
      <c r="AM9" s="515"/>
      <c r="AN9" s="515"/>
      <c r="AO9" s="515"/>
      <c r="AP9" s="19"/>
      <c r="AQ9" s="544"/>
      <c r="AR9" s="544"/>
      <c r="AS9" s="544"/>
      <c r="AT9" s="19"/>
      <c r="AU9" s="517"/>
      <c r="AV9" s="517"/>
      <c r="AW9" s="517"/>
      <c r="AX9" s="19"/>
      <c r="AY9" s="297"/>
      <c r="AZ9" s="297"/>
      <c r="BA9" s="297"/>
      <c r="BB9" s="297"/>
      <c r="BC9" s="297"/>
      <c r="BD9" s="297"/>
      <c r="BE9" s="297"/>
      <c r="BG9" s="546" t="str">
        <f ca="1">Horarios!Q8</f>
        <v>Austria</v>
      </c>
      <c r="BH9" s="547">
        <f t="shared" ca="1" si="0"/>
        <v>1</v>
      </c>
      <c r="BI9" s="547">
        <f ca="1">COUNTIF(ADMIN!$M$130:$M$161,Fixture!BG9)-BJ9-BK9-BL9-BM9-BN9-BO9</f>
        <v>0</v>
      </c>
      <c r="BJ9" s="548">
        <f ca="1">COUNTIF(ADMIN!$M$182:$M$197,Fixture!BG9)-BK9-BL9-BM9-BN9-BO9</f>
        <v>0</v>
      </c>
      <c r="BK9" s="549">
        <f ca="1">COUNTIF(ADMIN!$M$210:$M$217,Fixture!BG9)-BL9-BM9-BN9-BO9</f>
        <v>0</v>
      </c>
      <c r="BL9" s="549">
        <f ca="1">COUNTIF(ADMIN!$M$226:$M$229,BG9)-BM9-BN9-BO9</f>
        <v>0</v>
      </c>
      <c r="BM9" s="547">
        <f ca="1">COUNTIF(ADMIN!$M$252,Fixture!BG9)</f>
        <v>0</v>
      </c>
      <c r="BN9" s="547">
        <f ca="1">COUNTIF(ADMIN!$M$251,Fixture!BG9)</f>
        <v>0</v>
      </c>
      <c r="BO9" s="550">
        <f ca="1">COUNTIF(ADMIN!$M$250,Fixture!BG9)</f>
        <v>0</v>
      </c>
    </row>
    <row r="10" spans="1:67" ht="15.75" thickBot="1">
      <c r="A10" s="19"/>
      <c r="B10" s="496"/>
      <c r="C10" s="580"/>
      <c r="D10" s="441"/>
      <c r="E10" s="441"/>
      <c r="F10" s="297"/>
      <c r="G10" s="297"/>
      <c r="H10" s="580"/>
      <c r="I10" s="297"/>
      <c r="J10" s="297"/>
      <c r="K10" s="297"/>
      <c r="L10" s="19"/>
      <c r="M10" s="19"/>
      <c r="N10" s="247"/>
      <c r="O10" s="580"/>
      <c r="P10" s="441"/>
      <c r="Q10" s="441"/>
      <c r="R10" s="297"/>
      <c r="S10" s="297"/>
      <c r="T10" s="580"/>
      <c r="U10" s="297"/>
      <c r="V10" s="297"/>
      <c r="W10" s="297"/>
      <c r="X10" s="19"/>
      <c r="Y10" s="19">
        <v>73</v>
      </c>
      <c r="Z10" s="509" t="s">
        <v>649</v>
      </c>
      <c r="AA10" s="510" t="str">
        <f ca="1">+MID(INDEX(WORLDCUP!$AF$101:$AF$147,MATCH(Y10,WORLDCUP!$Z$101:$Z$147,0)),1,3)</f>
        <v>2B</v>
      </c>
      <c r="AB10" s="537" t="str">
        <f>+IF(ISBLANK(INDEX(WORLDCUP!$AD$101:$AD$147,MATCH(Y10,WORLDCUP!$Z$101:$Z$147,0))),"",INDEX(WORLDCUP!$AD$101:$AD$147,MATCH(Y10,WORLDCUP!$Z$101:$Z$147,0)))</f>
        <v/>
      </c>
      <c r="AC10" s="538" t="str">
        <f>+IF(ISBLANK(INDEX(WORLDCUP!$AE$101:$AE$147,MATCH(Y10,WORLDCUP!$Z$101:$Z$147,0))),"","( "&amp;INDEX(WORLDCUP!$AE$101:$AE$147,MATCH(Y10,WORLDCUP!$Z$101:$Z$147,0))&amp;" )")</f>
        <v/>
      </c>
      <c r="AD10" s="583">
        <v>90</v>
      </c>
      <c r="AE10" s="540" t="str">
        <f>+MID(INDEX(WORLDCUP!$AA$101:$AA$147,MATCH(AD10,WORLDCUP!$Z$101:$Z$147,0)),1,3)</f>
        <v>W73</v>
      </c>
      <c r="AF10" s="541" t="str">
        <f>+IF(ISBLANK(INDEX(WORLDCUP!$AC$101:$AC$147,MATCH(AD10,WORLDCUP!$Z$101:$Z$147,0))),"",INDEX(WORLDCUP!$AC$101:$AC$147,MATCH(AD10,WORLDCUP!$Z$101:$Z$147,0)))</f>
        <v/>
      </c>
      <c r="AG10" s="584" t="str">
        <f>+IF(ISBLANK(INDEX(WORLDCUP!$AB$101:$AB$147,MATCH(AD10,WORLDCUP!$Z$101:$Z$147,0))),"","( "&amp;INDEX(WORLDCUP!$AB$101:$AB$147,MATCH(AD10,WORLDCUP!$Z$101:$Z$147,0))&amp;" )")</f>
        <v/>
      </c>
      <c r="AH10" s="19"/>
      <c r="AI10" s="543"/>
      <c r="AJ10" s="543"/>
      <c r="AK10" s="582"/>
      <c r="AL10" s="92"/>
      <c r="AM10" s="515"/>
      <c r="AN10" s="515"/>
      <c r="AO10" s="515"/>
      <c r="AP10" s="19"/>
      <c r="AQ10" s="544"/>
      <c r="AR10" s="544"/>
      <c r="AS10" s="544"/>
      <c r="AT10" s="19"/>
      <c r="AU10" s="517"/>
      <c r="AV10" s="517"/>
      <c r="AW10" s="517"/>
      <c r="AX10" s="19"/>
      <c r="AY10" s="297"/>
      <c r="AZ10" s="247"/>
      <c r="BA10" s="247"/>
      <c r="BB10" s="175"/>
      <c r="BC10" s="580"/>
      <c r="BD10" s="441"/>
      <c r="BE10" s="441"/>
      <c r="BF10" s="585"/>
      <c r="BG10" s="546" t="str">
        <f ca="1">Horarios!Q9</f>
        <v>Bélgica</v>
      </c>
      <c r="BH10" s="547">
        <f t="shared" ca="1" si="0"/>
        <v>1</v>
      </c>
      <c r="BI10" s="547">
        <f ca="1">COUNTIF(ADMIN!$M$130:$M$161,Fixture!BG10)-BJ10-BK10-BL10-BM10-BN10-BO10</f>
        <v>0</v>
      </c>
      <c r="BJ10" s="548">
        <f ca="1">COUNTIF(ADMIN!$M$182:$M$197,Fixture!BG10)-BK10-BL10-BM10-BN10-BO10</f>
        <v>0</v>
      </c>
      <c r="BK10" s="549">
        <f ca="1">COUNTIF(ADMIN!$M$210:$M$217,Fixture!BG10)-BL10-BM10-BN10-BO10</f>
        <v>0</v>
      </c>
      <c r="BL10" s="549">
        <f ca="1">COUNTIF(ADMIN!$M$226:$M$229,BG10)-BM10-BN10-BO10</f>
        <v>0</v>
      </c>
      <c r="BM10" s="547">
        <f ca="1">COUNTIF(ADMIN!$M$252,Fixture!BG10)</f>
        <v>0</v>
      </c>
      <c r="BN10" s="547">
        <f ca="1">COUNTIF(ADMIN!$M$251,Fixture!BG10)</f>
        <v>0</v>
      </c>
      <c r="BO10" s="550">
        <f ca="1">COUNTIF(ADMIN!$M$250,Fixture!BG10)</f>
        <v>0</v>
      </c>
    </row>
    <row r="11" spans="1:67">
      <c r="A11" s="19">
        <v>3</v>
      </c>
      <c r="B11" s="586" t="s">
        <v>1</v>
      </c>
      <c r="C11" s="501" t="str">
        <f ca="1">+MID(INDEX(WORLDCUP!$AA$4:$AA$147,MATCH(A11,WORLDCUP!$AH$4:$AH$147,0)),1,3)</f>
        <v>Can</v>
      </c>
      <c r="D11" s="502" t="str">
        <f>IF(ISBLANK(INDEX(WORLDCUP!$AC$4:$AC$147,MATCH(A11,WORLDCUP!$AH$4:$AH$147,0))),"",INDEX(WORLDCUP!$AC$4:$AC$147,MATCH(A11,WORLDCUP!$AH$4:$AH$147,0)))</f>
        <v/>
      </c>
      <c r="E11" s="502" t="str">
        <f>IF(ISBLANK(INDEX(WORLDCUP!$AD$4:$AD$147,MATCH(A11,WORLDCUP!$AH$4:$AH$147,0))),"",INDEX(WORLDCUP!$AD$4:$AD$147,MATCH(A11,WORLDCUP!$AH$4:$AH$147,0)))</f>
        <v/>
      </c>
      <c r="F11" s="503" t="str">
        <f ca="1">+MID(INDEX(WORLDCUP!$AF$4:$AF$147,MATCH(A11,WORLDCUP!$AH$4:$AH$147,0)),1,3)</f>
        <v>Bos</v>
      </c>
      <c r="G11" s="504"/>
      <c r="H11" s="505" t="str">
        <f>+H3</f>
        <v>Sel</v>
      </c>
      <c r="I11" s="506" t="str">
        <f>+I3</f>
        <v>Pts</v>
      </c>
      <c r="J11" s="506" t="str">
        <f>+J3</f>
        <v>DG</v>
      </c>
      <c r="K11" s="507" t="str">
        <f>+K3</f>
        <v>GF-GC</v>
      </c>
      <c r="L11" s="19"/>
      <c r="M11" s="19">
        <v>14</v>
      </c>
      <c r="N11" s="587" t="s">
        <v>437</v>
      </c>
      <c r="O11" s="501" t="str">
        <f ca="1">+MID(INDEX(WORLDCUP!$AA$4:$AA$147,MATCH(M11,WORLDCUP!$AH$4:$AH$147,0)),1,3)</f>
        <v>Esp</v>
      </c>
      <c r="P11" s="502" t="str">
        <f>IF(ISBLANK(INDEX(WORLDCUP!$AC$4:$AC$147,MATCH(M11,WORLDCUP!$AH$4:$AH$147,0))),"",INDEX(WORLDCUP!$AC$4:$AC$147,MATCH(M11,WORLDCUP!$AH$4:$AH$147,0)))</f>
        <v/>
      </c>
      <c r="Q11" s="502" t="str">
        <f>IF(ISBLANK(INDEX(WORLDCUP!$AD$4:$AD$147,MATCH(M11,WORLDCUP!$AH$4:$AH$147,0))),"",INDEX(WORLDCUP!$AD$4:$AD$147,MATCH(M11,WORLDCUP!$AH$4:$AH$147,0)))</f>
        <v/>
      </c>
      <c r="R11" s="503" t="str">
        <f ca="1">+MID(INDEX(WORLDCUP!$AF$4:$AF$147,MATCH(M11,WORLDCUP!$AH$4:$AH$147,0)),1,3)</f>
        <v>Cab</v>
      </c>
      <c r="S11" s="504"/>
      <c r="T11" s="505" t="str">
        <f>+T3</f>
        <v>Sel</v>
      </c>
      <c r="U11" s="506" t="str">
        <f t="shared" ref="U11:W11" si="1">+U3</f>
        <v>Pts</v>
      </c>
      <c r="V11" s="506" t="str">
        <f t="shared" si="1"/>
        <v>DG</v>
      </c>
      <c r="W11" s="507" t="str">
        <f t="shared" si="1"/>
        <v>GF-GC</v>
      </c>
      <c r="X11" s="19"/>
      <c r="Y11" s="19"/>
      <c r="Z11" s="509"/>
      <c r="AA11" s="553"/>
      <c r="AB11" s="553"/>
      <c r="AC11" s="554"/>
      <c r="AD11" s="19">
        <v>90</v>
      </c>
      <c r="AE11" s="540" t="str">
        <f>+MID(INDEX(WORLDCUP!$AF$101:$AF$147,MATCH(AD11,WORLDCUP!$Z$101:$Z$147,0)),1,3)</f>
        <v>W75</v>
      </c>
      <c r="AF11" s="541" t="str">
        <f>+IF(ISBLANK(INDEX(WORLDCUP!$AD$101:$AD$147,MATCH(AD11,WORLDCUP!$Z$101:$Z$147,0))),"",INDEX(WORLDCUP!$AD$101:$AD$147,MATCH(AD11,WORLDCUP!$Z$101:$Z$147,0)))</f>
        <v/>
      </c>
      <c r="AG11" s="558" t="str">
        <f>+IF(ISBLANK(INDEX(WORLDCUP!$AE$101:$AE$147,MATCH(AD11,WORLDCUP!$Z$101:$Z$147,0))),"","( "&amp;INDEX(WORLDCUP!$AE$101:$AE$147,MATCH(AD11,WORLDCUP!$Z$101:$Z$147,0))&amp;" )")</f>
        <v/>
      </c>
      <c r="AH11" s="19"/>
      <c r="AI11" s="543"/>
      <c r="AJ11" s="543"/>
      <c r="AK11" s="582"/>
      <c r="AL11" s="92"/>
      <c r="AM11" s="515"/>
      <c r="AN11" s="515"/>
      <c r="AO11" s="515"/>
      <c r="AP11" s="19"/>
      <c r="AQ11" s="544"/>
      <c r="AR11" s="544"/>
      <c r="AS11" s="544"/>
      <c r="AT11" s="19"/>
      <c r="AU11" s="517"/>
      <c r="AV11" s="517"/>
      <c r="AW11" s="517"/>
      <c r="AX11" s="19"/>
      <c r="AY11" s="297"/>
      <c r="AZ11" s="297"/>
      <c r="BA11" s="297"/>
      <c r="BB11" s="297"/>
      <c r="BC11" s="297"/>
      <c r="BD11" s="297"/>
      <c r="BE11" s="297"/>
      <c r="BG11" s="546" t="str">
        <f ca="1">Horarios!Q10</f>
        <v>Bosnia y Herzegovina</v>
      </c>
      <c r="BH11" s="547">
        <f t="shared" ca="1" si="0"/>
        <v>1</v>
      </c>
      <c r="BI11" s="547">
        <f ca="1">COUNTIF(ADMIN!$M$130:$M$161,Fixture!BG11)-BJ11-BK11-BL11-BM11-BN11-BO11</f>
        <v>0</v>
      </c>
      <c r="BJ11" s="548">
        <f ca="1">COUNTIF(ADMIN!$M$182:$M$197,Fixture!BG11)-BK11-BL11-BM11-BN11-BO11</f>
        <v>0</v>
      </c>
      <c r="BK11" s="549">
        <f ca="1">COUNTIF(ADMIN!$M$210:$M$217,Fixture!BG11)-BL11-BM11-BN11-BO11</f>
        <v>0</v>
      </c>
      <c r="BL11" s="549">
        <f ca="1">COUNTIF(ADMIN!$M$226:$M$229,BG11)-BM11-BN11-BO11</f>
        <v>0</v>
      </c>
      <c r="BM11" s="547">
        <f ca="1">COUNTIF(ADMIN!$M$252,Fixture!BG11)</f>
        <v>0</v>
      </c>
      <c r="BN11" s="547">
        <f ca="1">COUNTIF(ADMIN!$M$251,Fixture!BG11)</f>
        <v>0</v>
      </c>
      <c r="BO11" s="550">
        <f ca="1">COUNTIF(ADMIN!$M$250,Fixture!BG11)</f>
        <v>0</v>
      </c>
    </row>
    <row r="12" spans="1:67" ht="15.75" thickBot="1">
      <c r="A12" s="19">
        <v>8</v>
      </c>
      <c r="B12" s="588"/>
      <c r="C12" s="528" t="str">
        <f ca="1">+MID(INDEX(WORLDCUP!$AA$4:$AA$147,MATCH(A12,WORLDCUP!$AH$4:$AH$147,0)),1,3)</f>
        <v>Cat</v>
      </c>
      <c r="D12" s="529" t="str">
        <f>IF(ISBLANK(INDEX(WORLDCUP!$AC$4:$AC$147,MATCH(A12,WORLDCUP!$AH$4:$AH$147,0))),"",INDEX(WORLDCUP!$AC$4:$AC$147,MATCH(A12,WORLDCUP!$AH$4:$AH$147,0)))</f>
        <v/>
      </c>
      <c r="E12" s="529" t="str">
        <f>IF(ISBLANK(INDEX(WORLDCUP!$AD$4:$AD$147,MATCH(A12,WORLDCUP!$AH$4:$AH$147,0))),"",INDEX(WORLDCUP!$AD$4:$AD$147,MATCH(A12,WORLDCUP!$AH$4:$AH$147,0)))</f>
        <v/>
      </c>
      <c r="F12" s="530" t="str">
        <f ca="1">+MID(INDEX(WORLDCUP!$AF$4:$AF$147,MATCH(A12,WORLDCUP!$AH$4:$AH$147,0)),1,3)</f>
        <v>Sui</v>
      </c>
      <c r="G12" s="531">
        <v>1</v>
      </c>
      <c r="H12" s="532" t="str">
        <f ca="1">+MID(INDEX(WORLDCUP!$AL$6:$AL$97,MATCH(L12,WORLDCUP!$AI$6:$AI$97,0)),1,3)</f>
        <v>Can</v>
      </c>
      <c r="I12" s="533">
        <f ca="1">+INDEX(WORLDCUP!$AM$6:$AM$97,MATCH(L12,WORLDCUP!$AI$6:$AI$97,0))</f>
        <v>0</v>
      </c>
      <c r="J12" s="534">
        <f ca="1">+INDEX(WORLDCUP!$AT$6:$AT$97,MATCH(L12,WORLDCUP!$AI$6:$AI$97,0))</f>
        <v>0</v>
      </c>
      <c r="K12" s="535" t="str">
        <f ca="1">+INDEX(WORLDCUP!$AR$6:$AR$97,MATCH(L12,WORLDCUP!$AI$6:$AI$97,0))&amp;"-"&amp;INDEX(WORLDCUP!$AS$6:$AS$97,MATCH(L12,WORLDCUP!$AI$6:$AI$97,0))</f>
        <v>0-0</v>
      </c>
      <c r="L12" s="19" t="s">
        <v>648</v>
      </c>
      <c r="M12" s="19">
        <v>13</v>
      </c>
      <c r="N12" s="589"/>
      <c r="O12" s="528" t="str">
        <f ca="1">+MID(INDEX(WORLDCUP!$AA$4:$AA$147,MATCH(M12,WORLDCUP!$AH$4:$AH$147,0)),1,3)</f>
        <v>Ara</v>
      </c>
      <c r="P12" s="529" t="str">
        <f>IF(ISBLANK(INDEX(WORLDCUP!$AC$4:$AC$147,MATCH(M12,WORLDCUP!$AH$4:$AH$147,0))),"",INDEX(WORLDCUP!$AC$4:$AC$147,MATCH(M12,WORLDCUP!$AH$4:$AH$147,0)))</f>
        <v/>
      </c>
      <c r="Q12" s="529" t="str">
        <f>IF(ISBLANK(INDEX(WORLDCUP!$AD$4:$AD$147,MATCH(M12,WORLDCUP!$AH$4:$AH$147,0))),"",INDEX(WORLDCUP!$AD$4:$AD$147,MATCH(M12,WORLDCUP!$AH$4:$AH$147,0)))</f>
        <v/>
      </c>
      <c r="R12" s="530" t="str">
        <f ca="1">+MID(INDEX(WORLDCUP!$AF$4:$AF$147,MATCH(M12,WORLDCUP!$AH$4:$AH$147,0)),1,3)</f>
        <v>Uru</v>
      </c>
      <c r="S12" s="531">
        <v>1</v>
      </c>
      <c r="T12" s="532" t="str">
        <f ca="1">+MID(INDEX(WORLDCUP!$AL$6:$AL$97,MATCH(X12,WORLDCUP!$AI$6:$AI$97,0)),1,3)</f>
        <v>Esp</v>
      </c>
      <c r="U12" s="533">
        <f ca="1">+INDEX(WORLDCUP!$AM$6:$AM$97,MATCH(X12,WORLDCUP!$AI$6:$AI$97,0))</f>
        <v>0</v>
      </c>
      <c r="V12" s="534">
        <f ca="1">+INDEX(WORLDCUP!$AT$6:$AT$97,MATCH(X12,WORLDCUP!$AI$6:$AI$97,0))</f>
        <v>0</v>
      </c>
      <c r="W12" s="535" t="str">
        <f ca="1">+INDEX(WORLDCUP!$AR$6:$AR$97,MATCH(X12,WORLDCUP!$AI$6:$AI$97,0))&amp;"-"&amp;INDEX(WORLDCUP!$AS$6:$AS$97,MATCH(X12,WORLDCUP!$AI$6:$AI$97,0))</f>
        <v>0-0</v>
      </c>
      <c r="X12" s="19" t="s">
        <v>670</v>
      </c>
      <c r="Y12" s="19">
        <v>75</v>
      </c>
      <c r="Z12" s="509" t="s">
        <v>664</v>
      </c>
      <c r="AA12" s="510" t="str">
        <f ca="1">+MID(INDEX(WORLDCUP!$AA$101:$AA$147,MATCH(Y12,WORLDCUP!$Z$101:$Z$147,0)),1,3)</f>
        <v>1F</v>
      </c>
      <c r="AB12" s="556" t="str">
        <f>+IF(ISBLANK(INDEX(WORLDCUP!$AC$101:$AC$147,MATCH(Y12,WORLDCUP!$Z$101:$Z$147,0))),"",INDEX(WORLDCUP!$AC$101:$AC$147,MATCH(Y12,WORLDCUP!$Z$101:$Z$147,0)))</f>
        <v/>
      </c>
      <c r="AC12" s="590" t="str">
        <f>+IF(ISBLANK(INDEX(WORLDCUP!$AB$101:$AB$147,MATCH(Y12,WORLDCUP!$Z$101:$Z$147,0))),"","( "&amp;INDEX(WORLDCUP!$AB$101:$AB$147,MATCH(Y12,WORLDCUP!$Z$101:$Z$147,0))&amp;" )")</f>
        <v/>
      </c>
      <c r="AD12" s="19"/>
      <c r="AE12" s="513"/>
      <c r="AF12" s="513"/>
      <c r="AG12" s="513"/>
      <c r="AH12" s="19"/>
      <c r="AI12" s="543"/>
      <c r="AJ12" s="543"/>
      <c r="AK12" s="582"/>
      <c r="AL12" s="92"/>
      <c r="AM12" s="515"/>
      <c r="AN12" s="515"/>
      <c r="AO12" s="515"/>
      <c r="AP12" s="19"/>
      <c r="AQ12" s="544"/>
      <c r="AR12" s="544"/>
      <c r="AS12" s="544"/>
      <c r="AT12" s="19"/>
      <c r="AU12" s="517"/>
      <c r="AV12" s="517"/>
      <c r="AW12" s="517"/>
      <c r="AX12" s="19"/>
      <c r="AY12" s="297"/>
      <c r="AZ12" s="297"/>
      <c r="BA12" s="297"/>
      <c r="BB12" s="297"/>
      <c r="BC12" s="297"/>
      <c r="BD12" s="297"/>
      <c r="BE12" s="297"/>
      <c r="BG12" s="546" t="str">
        <f ca="1">Horarios!Q11</f>
        <v>Brasil</v>
      </c>
      <c r="BH12" s="547">
        <f t="shared" ca="1" si="0"/>
        <v>1</v>
      </c>
      <c r="BI12" s="547">
        <f ca="1">COUNTIF(ADMIN!$M$130:$M$161,Fixture!BG12)-BJ12-BK12-BL12-BM12-BN12-BO12</f>
        <v>0</v>
      </c>
      <c r="BJ12" s="548">
        <f ca="1">COUNTIF(ADMIN!$M$182:$M$197,Fixture!BG12)-BK12-BL12-BM12-BN12-BO12</f>
        <v>0</v>
      </c>
      <c r="BK12" s="549">
        <f ca="1">COUNTIF(ADMIN!$M$210:$M$217,Fixture!BG12)-BL12-BM12-BN12-BO12</f>
        <v>0</v>
      </c>
      <c r="BL12" s="549">
        <f ca="1">COUNTIF(ADMIN!$M$226:$M$229,BG12)-BM12-BN12-BO12</f>
        <v>0</v>
      </c>
      <c r="BM12" s="547">
        <f ca="1">COUNTIF(ADMIN!$M$252,Fixture!BG12)</f>
        <v>0</v>
      </c>
      <c r="BN12" s="547">
        <f ca="1">COUNTIF(ADMIN!$M$251,Fixture!BG12)</f>
        <v>0</v>
      </c>
      <c r="BO12" s="550">
        <f ca="1">COUNTIF(ADMIN!$M$250,Fixture!BG12)</f>
        <v>0</v>
      </c>
    </row>
    <row r="13" spans="1:67" ht="15.75" thickBot="1">
      <c r="A13" s="19">
        <v>26</v>
      </c>
      <c r="B13" s="588"/>
      <c r="C13" s="528" t="str">
        <f ca="1">+MID(INDEX(WORLDCUP!$AA$4:$AA$147,MATCH(A13,WORLDCUP!$AH$4:$AH$147,0)),1,3)</f>
        <v>Sui</v>
      </c>
      <c r="D13" s="529" t="str">
        <f>IF(ISBLANK(INDEX(WORLDCUP!$AC$4:$AC$147,MATCH(A13,WORLDCUP!$AH$4:$AH$147,0))),"",INDEX(WORLDCUP!$AC$4:$AC$147,MATCH(A13,WORLDCUP!$AH$4:$AH$147,0)))</f>
        <v/>
      </c>
      <c r="E13" s="529" t="str">
        <f>IF(ISBLANK(INDEX(WORLDCUP!$AD$4:$AD$147,MATCH(A13,WORLDCUP!$AH$4:$AH$147,0))),"",INDEX(WORLDCUP!$AD$4:$AD$147,MATCH(A13,WORLDCUP!$AH$4:$AH$147,0)))</f>
        <v/>
      </c>
      <c r="F13" s="530" t="str">
        <f ca="1">+MID(INDEX(WORLDCUP!$AF$4:$AF$147,MATCH(A13,WORLDCUP!$AH$4:$AH$147,0)),1,3)</f>
        <v>Bos</v>
      </c>
      <c r="G13" s="551">
        <v>2</v>
      </c>
      <c r="H13" s="552"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89"/>
      <c r="O13" s="528" t="str">
        <f ca="1">+MID(INDEX(WORLDCUP!$AA$4:$AA$147,MATCH(M13,WORLDCUP!$AH$4:$AH$147,0)),1,3)</f>
        <v>Esp</v>
      </c>
      <c r="P13" s="529" t="str">
        <f>IF(ISBLANK(INDEX(WORLDCUP!$AC$4:$AC$147,MATCH(M13,WORLDCUP!$AH$4:$AH$147,0))),"",INDEX(WORLDCUP!$AC$4:$AC$147,MATCH(M13,WORLDCUP!$AH$4:$AH$147,0)))</f>
        <v/>
      </c>
      <c r="Q13" s="529" t="str">
        <f>IF(ISBLANK(INDEX(WORLDCUP!$AD$4:$AD$147,MATCH(M13,WORLDCUP!$AH$4:$AH$147,0))),"",INDEX(WORLDCUP!$AD$4:$AD$147,MATCH(M13,WORLDCUP!$AH$4:$AH$147,0)))</f>
        <v/>
      </c>
      <c r="R13" s="530" t="str">
        <f ca="1">+MID(INDEX(WORLDCUP!$AF$4:$AF$147,MATCH(M13,WORLDCUP!$AH$4:$AH$147,0)),1,3)</f>
        <v>Ara</v>
      </c>
      <c r="S13" s="551">
        <v>2</v>
      </c>
      <c r="T13" s="552"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09" t="s">
        <v>656</v>
      </c>
      <c r="AA13" s="564" t="str">
        <f ca="1">+MID(INDEX(WORLDCUP!$AF$101:$AF$147,MATCH(Y13,WORLDCUP!$Z$101:$Z$147,0)),1,3)</f>
        <v>2C</v>
      </c>
      <c r="AB13" s="565" t="str">
        <f>+IF(ISBLANK(INDEX(WORLDCUP!$AD$101:$AD$147,MATCH(Y13,WORLDCUP!$Z$101:$Z$147,0))),"",INDEX(WORLDCUP!$AD$101:$AD$147,MATCH(Y13,WORLDCUP!$Z$101:$Z$147,0)))</f>
        <v/>
      </c>
      <c r="AC13" s="591" t="str">
        <f>+IF(ISBLANK(INDEX(WORLDCUP!$AE$101:$AE$147,MATCH(Y13,WORLDCUP!$Z$101:$Z$147,0))),"","( "&amp;INDEX(WORLDCUP!$AE$101:$AE$147,MATCH(Y13,WORLDCUP!$Z$101:$Z$147,0))&amp;" )")</f>
        <v/>
      </c>
      <c r="AD13" s="19"/>
      <c r="AE13" s="513"/>
      <c r="AF13" s="513"/>
      <c r="AG13" s="513"/>
      <c r="AH13" s="19"/>
      <c r="AI13" s="543"/>
      <c r="AJ13" s="543"/>
      <c r="AK13" s="582"/>
      <c r="AL13" s="583">
        <v>101</v>
      </c>
      <c r="AM13" s="592" t="str">
        <f>+MID(INDEX(WORLDCUP!$AA$101:$AA$147,MATCH(AL13,WORLDCUP!$Z$101:$Z$147,0)),1,3)</f>
        <v>W97</v>
      </c>
      <c r="AN13" s="593" t="str">
        <f>+IF(ISBLANK(INDEX(WORLDCUP!$AC$101:$AC$147,MATCH(AL13,WORLDCUP!$Z$101:$Z$147,0))),"",INDEX(WORLDCUP!$AC$101:$AC$147,MATCH(AL13,WORLDCUP!$Z$101:$Z$147,0)))</f>
        <v/>
      </c>
      <c r="AO13" s="594" t="str">
        <f>+IF(ISBLANK(INDEX(WORLDCUP!$AB$101:$AB$147,MATCH(AL13,WORLDCUP!$Z$101:$Z$147,0))),"","( "&amp;INDEX(WORLDCUP!$AB$101:$AB$147,MATCH(AL13,WORLDCUP!$Z$101:$Z$147,0))&amp;" )")</f>
        <v/>
      </c>
      <c r="AP13" s="19"/>
      <c r="AQ13" s="544"/>
      <c r="AR13" s="544"/>
      <c r="AS13" s="544"/>
      <c r="AT13" s="19"/>
      <c r="AU13" s="517"/>
      <c r="AV13" s="517"/>
      <c r="AW13" s="517"/>
      <c r="AX13" s="19"/>
      <c r="AY13" s="297"/>
      <c r="AZ13" s="297"/>
      <c r="BA13" s="297"/>
      <c r="BB13" s="297"/>
      <c r="BC13" s="297"/>
      <c r="BD13" s="297"/>
      <c r="BE13" s="297"/>
      <c r="BG13" s="546" t="str">
        <f ca="1">Horarios!Q12</f>
        <v>Cabo Verde</v>
      </c>
      <c r="BH13" s="547">
        <f t="shared" ca="1" si="0"/>
        <v>1</v>
      </c>
      <c r="BI13" s="547">
        <f ca="1">COUNTIF(ADMIN!$M$130:$M$161,Fixture!BG13)-BJ13-BK13-BL13-BM13-BN13-BO13</f>
        <v>0</v>
      </c>
      <c r="BJ13" s="548">
        <f ca="1">COUNTIF(ADMIN!$M$182:$M$197,Fixture!BG13)-BK13-BL13-BM13-BN13-BO13</f>
        <v>0</v>
      </c>
      <c r="BK13" s="549">
        <f ca="1">COUNTIF(ADMIN!$M$210:$M$217,Fixture!BG13)-BL13-BM13-BN13-BO13</f>
        <v>0</v>
      </c>
      <c r="BL13" s="549">
        <f ca="1">COUNTIF(ADMIN!$M$226:$M$229,BG13)-BM13-BN13-BO13</f>
        <v>0</v>
      </c>
      <c r="BM13" s="547">
        <f ca="1">COUNTIF(ADMIN!$M$252,Fixture!BG13)</f>
        <v>0</v>
      </c>
      <c r="BN13" s="547">
        <f ca="1">COUNTIF(ADMIN!$M$251,Fixture!BG13)</f>
        <v>0</v>
      </c>
      <c r="BO13" s="550">
        <f ca="1">COUNTIF(ADMIN!$M$250,Fixture!BG13)</f>
        <v>0</v>
      </c>
    </row>
    <row r="14" spans="1:67">
      <c r="A14" s="19">
        <v>27</v>
      </c>
      <c r="B14" s="588"/>
      <c r="C14" s="528" t="str">
        <f ca="1">+MID(INDEX(WORLDCUP!$AA$4:$AA$147,MATCH(A14,WORLDCUP!$AH$4:$AH$147,0)),1,3)</f>
        <v>Can</v>
      </c>
      <c r="D14" s="529" t="str">
        <f>IF(ISBLANK(INDEX(WORLDCUP!$AC$4:$AC$147,MATCH(A14,WORLDCUP!$AH$4:$AH$147,0))),"",INDEX(WORLDCUP!$AC$4:$AC$147,MATCH(A14,WORLDCUP!$AH$4:$AH$147,0)))</f>
        <v/>
      </c>
      <c r="E14" s="529" t="str">
        <f>IF(ISBLANK(INDEX(WORLDCUP!$AD$4:$AD$147,MATCH(A14,WORLDCUP!$AH$4:$AH$147,0))),"",INDEX(WORLDCUP!$AD$4:$AD$147,MATCH(A14,WORLDCUP!$AH$4:$AH$147,0)))</f>
        <v/>
      </c>
      <c r="F14" s="530" t="str">
        <f ca="1">+MID(INDEX(WORLDCUP!$AF$4:$AF$147,MATCH(A14,WORLDCUP!$AH$4:$AH$147,0)),1,3)</f>
        <v>Cat</v>
      </c>
      <c r="G14" s="551">
        <v>3</v>
      </c>
      <c r="H14" s="552"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89"/>
      <c r="O14" s="528" t="str">
        <f ca="1">+MID(INDEX(WORLDCUP!$AA$4:$AA$147,MATCH(M14,WORLDCUP!$AH$4:$AH$147,0)),1,3)</f>
        <v>Uru</v>
      </c>
      <c r="P14" s="529" t="str">
        <f>IF(ISBLANK(INDEX(WORLDCUP!$AC$4:$AC$147,MATCH(M14,WORLDCUP!$AH$4:$AH$147,0))),"",INDEX(WORLDCUP!$AC$4:$AC$147,MATCH(M14,WORLDCUP!$AH$4:$AH$147,0)))</f>
        <v/>
      </c>
      <c r="Q14" s="529" t="str">
        <f>IF(ISBLANK(INDEX(WORLDCUP!$AD$4:$AD$147,MATCH(M14,WORLDCUP!$AH$4:$AH$147,0))),"",INDEX(WORLDCUP!$AD$4:$AD$147,MATCH(M14,WORLDCUP!$AH$4:$AH$147,0)))</f>
        <v/>
      </c>
      <c r="R14" s="530" t="str">
        <f ca="1">+MID(INDEX(WORLDCUP!$AF$4:$AF$147,MATCH(M14,WORLDCUP!$AH$4:$AH$147,0)),1,3)</f>
        <v>Cab</v>
      </c>
      <c r="S14" s="551">
        <v>3</v>
      </c>
      <c r="T14" s="552"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09"/>
      <c r="AA14" s="578"/>
      <c r="AB14" s="578"/>
      <c r="AC14" s="578"/>
      <c r="AD14" s="19"/>
      <c r="AE14" s="513"/>
      <c r="AF14" s="513"/>
      <c r="AG14" s="513"/>
      <c r="AH14" s="19"/>
      <c r="AI14" s="543"/>
      <c r="AJ14" s="543"/>
      <c r="AK14" s="582"/>
      <c r="AL14" s="19">
        <v>101</v>
      </c>
      <c r="AM14" s="592" t="str">
        <f>+MID(INDEX(WORLDCUP!$AF$101:$AF$147,MATCH(AL14,WORLDCUP!$Z$101:$Z$147,0)),1,3)</f>
        <v>W98</v>
      </c>
      <c r="AN14" s="593" t="str">
        <f>+IF(ISBLANK(INDEX(WORLDCUP!$AD$101:$AD$147,MATCH(AL14,WORLDCUP!$Z$101:$Z$147,0))),"",INDEX(WORLDCUP!$AD$101:$AD$147,MATCH(AL14,WORLDCUP!$Z$101:$Z$147,0)))</f>
        <v/>
      </c>
      <c r="AO14" s="595" t="str">
        <f>+IF(ISBLANK(INDEX(WORLDCUP!$AE$101:$AE$147,MATCH(AL14,WORLDCUP!$Z$101:$Z$147,0))),"","( "&amp;INDEX(WORLDCUP!$AE$101:$AE$147,MATCH(AL14,WORLDCUP!$Z$101:$Z$147,0))&amp;" )")</f>
        <v/>
      </c>
      <c r="AP14" s="19"/>
      <c r="AQ14" s="544"/>
      <c r="AR14" s="544"/>
      <c r="AS14" s="544"/>
      <c r="AT14" s="19"/>
      <c r="AU14" s="517"/>
      <c r="AV14" s="517"/>
      <c r="AW14" s="517"/>
      <c r="AX14" s="19"/>
      <c r="AY14" s="297"/>
      <c r="AZ14" s="297"/>
      <c r="BA14" s="297"/>
      <c r="BB14" s="297"/>
      <c r="BC14" s="297"/>
      <c r="BD14" s="297"/>
      <c r="BE14" s="297"/>
      <c r="BG14" s="546" t="str">
        <f ca="1">Horarios!Q13</f>
        <v>Canadá</v>
      </c>
      <c r="BH14" s="547">
        <f t="shared" ca="1" si="0"/>
        <v>1</v>
      </c>
      <c r="BI14" s="547">
        <f ca="1">COUNTIF(ADMIN!$M$130:$M$161,Fixture!BG14)-BJ14-BK14-BL14-BM14-BN14-BO14</f>
        <v>0</v>
      </c>
      <c r="BJ14" s="548">
        <f ca="1">COUNTIF(ADMIN!$M$182:$M$197,Fixture!BG14)-BK14-BL14-BM14-BN14-BO14</f>
        <v>0</v>
      </c>
      <c r="BK14" s="549">
        <f ca="1">COUNTIF(ADMIN!$M$210:$M$217,Fixture!BG14)-BL14-BM14-BN14-BO14</f>
        <v>0</v>
      </c>
      <c r="BL14" s="549">
        <f ca="1">COUNTIF(ADMIN!$M$226:$M$229,BG14)-BM14-BN14-BO14</f>
        <v>0</v>
      </c>
      <c r="BM14" s="547">
        <f ca="1">COUNTIF(ADMIN!$M$252,Fixture!BG14)</f>
        <v>0</v>
      </c>
      <c r="BN14" s="547">
        <f ca="1">COUNTIF(ADMIN!$M$251,Fixture!BG14)</f>
        <v>0</v>
      </c>
      <c r="BO14" s="550">
        <f ca="1">COUNTIF(ADMIN!$M$250,Fixture!BG14)</f>
        <v>0</v>
      </c>
    </row>
    <row r="15" spans="1:67" ht="15.75" thickBot="1">
      <c r="A15" s="19">
        <v>51</v>
      </c>
      <c r="B15" s="588"/>
      <c r="C15" s="528" t="str">
        <f ca="1">+MID(INDEX(WORLDCUP!$AA$4:$AA$147,MATCH(A15,WORLDCUP!$AH$4:$AH$147,0)),1,3)</f>
        <v>Sui</v>
      </c>
      <c r="D15" s="529" t="str">
        <f>IF(ISBLANK(INDEX(WORLDCUP!$AC$4:$AC$147,MATCH(A15,WORLDCUP!$AH$4:$AH$147,0))),"",INDEX(WORLDCUP!$AC$4:$AC$147,MATCH(A15,WORLDCUP!$AH$4:$AH$147,0)))</f>
        <v/>
      </c>
      <c r="E15" s="529" t="str">
        <f>IF(ISBLANK(INDEX(WORLDCUP!$AD$4:$AD$147,MATCH(A15,WORLDCUP!$AH$4:$AH$147,0))),"",INDEX(WORLDCUP!$AD$4:$AD$147,MATCH(A15,WORLDCUP!$AH$4:$AH$147,0)))</f>
        <v/>
      </c>
      <c r="F15" s="530" t="str">
        <f ca="1">+MID(INDEX(WORLDCUP!$AF$4:$AF$147,MATCH(A15,WORLDCUP!$AH$4:$AH$147,0)),1,3)</f>
        <v>Can</v>
      </c>
      <c r="G15" s="551">
        <v>4</v>
      </c>
      <c r="H15" s="560" t="str">
        <f ca="1">+MID(INDEX(WORLDCUP!$AL$6:$AL$97,MATCH(L15,WORLDCUP!$AI$6:$AI$97,0)),1,3)</f>
        <v>Sui</v>
      </c>
      <c r="I15" s="561">
        <f ca="1">+INDEX(WORLDCUP!$AM$6:$AM$97,MATCH(L15,WORLDCUP!$AI$6:$AI$97,0))</f>
        <v>0</v>
      </c>
      <c r="J15" s="562">
        <f ca="1">+INDEX(WORLDCUP!$AT$6:$AT$97,MATCH(L15,WORLDCUP!$AI$6:$AI$97,0))</f>
        <v>0</v>
      </c>
      <c r="K15" s="563" t="str">
        <f ca="1">+INDEX(WORLDCUP!$AR$6:$AR$97,MATCH(L15,WORLDCUP!$AI$6:$AI$97,0))&amp;"-"&amp;INDEX(WORLDCUP!$AS$6:$AS$97,MATCH(L15,WORLDCUP!$AI$6:$AI$97,0))</f>
        <v>0-0</v>
      </c>
      <c r="L15" s="19" t="s">
        <v>650</v>
      </c>
      <c r="M15" s="19">
        <v>65</v>
      </c>
      <c r="N15" s="589"/>
      <c r="O15" s="528" t="str">
        <f ca="1">+MID(INDEX(WORLDCUP!$AA$4:$AA$147,MATCH(M15,WORLDCUP!$AH$4:$AH$147,0)),1,3)</f>
        <v>Cab</v>
      </c>
      <c r="P15" s="529" t="str">
        <f>IF(ISBLANK(INDEX(WORLDCUP!$AC$4:$AC$147,MATCH(M15,WORLDCUP!$AH$4:$AH$147,0))),"",INDEX(WORLDCUP!$AC$4:$AC$147,MATCH(M15,WORLDCUP!$AH$4:$AH$147,0)))</f>
        <v/>
      </c>
      <c r="Q15" s="529" t="str">
        <f>IF(ISBLANK(INDEX(WORLDCUP!$AD$4:$AD$147,MATCH(M15,WORLDCUP!$AH$4:$AH$147,0))),"",INDEX(WORLDCUP!$AD$4:$AD$147,MATCH(M15,WORLDCUP!$AH$4:$AH$147,0)))</f>
        <v/>
      </c>
      <c r="R15" s="530" t="str">
        <f ca="1">+MID(INDEX(WORLDCUP!$AF$4:$AF$147,MATCH(M15,WORLDCUP!$AH$4:$AH$147,0)),1,3)</f>
        <v>Ara</v>
      </c>
      <c r="S15" s="551">
        <v>4</v>
      </c>
      <c r="T15" s="560" t="str">
        <f ca="1">+MID(INDEX(WORLDCUP!$AL$6:$AL$97,MATCH(X15,WORLDCUP!$AI$6:$AI$97,0)),1,3)</f>
        <v>Uru</v>
      </c>
      <c r="U15" s="561">
        <f ca="1">+INDEX(WORLDCUP!$AM$6:$AM$97,MATCH(X15,WORLDCUP!$AI$6:$AI$97,0))</f>
        <v>0</v>
      </c>
      <c r="V15" s="562">
        <f ca="1">+INDEX(WORLDCUP!$AT$6:$AT$97,MATCH(X15,WORLDCUP!$AI$6:$AI$97,0))</f>
        <v>0</v>
      </c>
      <c r="W15" s="563" t="str">
        <f ca="1">+INDEX(WORLDCUP!$AR$6:$AR$97,MATCH(X15,WORLDCUP!$AI$6:$AI$97,0))&amp;"-"&amp;INDEX(WORLDCUP!$AS$6:$AS$97,MATCH(X15,WORLDCUP!$AI$6:$AI$97,0))</f>
        <v>0-0</v>
      </c>
      <c r="X15" s="19" t="s">
        <v>672</v>
      </c>
      <c r="Y15" s="19">
        <v>83</v>
      </c>
      <c r="Z15" s="509" t="s">
        <v>680</v>
      </c>
      <c r="AA15" s="510" t="str">
        <f ca="1">+MID(INDEX(WORLDCUP!$AA$101:$AA$147,MATCH(Y15,WORLDCUP!$Z$101:$Z$147,0)),1,3)</f>
        <v>2K</v>
      </c>
      <c r="AB15" s="511" t="str">
        <f>+IF(ISBLANK(INDEX(WORLDCUP!$AC$101:$AC$147,MATCH(Y15,WORLDCUP!$Z$101:$Z$147,0))),"",INDEX(WORLDCUP!$AC$101:$AC$147,MATCH(Y15,WORLDCUP!$Z$101:$Z$147,0)))</f>
        <v/>
      </c>
      <c r="AC15" s="581" t="str">
        <f>+IF(ISBLANK(INDEX(WORLDCUP!$AB$101:$AB$147,MATCH(Y15,WORLDCUP!$Z$101:$Z$147,0))),"","( "&amp;INDEX(WORLDCUP!$AB$101:$AB$147,MATCH(Y15,WORLDCUP!$Z$101:$Z$147,0))&amp;" )")</f>
        <v/>
      </c>
      <c r="AD15" s="18"/>
      <c r="AE15" s="513"/>
      <c r="AF15" s="513"/>
      <c r="AG15" s="513"/>
      <c r="AH15" s="19"/>
      <c r="AI15" s="543"/>
      <c r="AJ15" s="543"/>
      <c r="AK15" s="582"/>
      <c r="AL15" s="92"/>
      <c r="AM15" s="515"/>
      <c r="AN15" s="515"/>
      <c r="AO15" s="596"/>
      <c r="AP15" s="92"/>
      <c r="AQ15" s="544"/>
      <c r="AR15" s="544"/>
      <c r="AS15" s="544"/>
      <c r="AT15" s="19"/>
      <c r="AU15" s="517"/>
      <c r="AV15" s="517"/>
      <c r="AW15" s="517"/>
      <c r="AX15" s="19"/>
      <c r="AY15" s="297"/>
      <c r="AZ15" s="297"/>
      <c r="BA15" s="297"/>
      <c r="BB15" s="297"/>
      <c r="BC15" s="297"/>
      <c r="BD15" s="297"/>
      <c r="BE15" s="297"/>
      <c r="BG15" s="546" t="str">
        <f ca="1">Horarios!Q14</f>
        <v>Catar</v>
      </c>
      <c r="BH15" s="547">
        <f t="shared" ca="1" si="0"/>
        <v>1</v>
      </c>
      <c r="BI15" s="547">
        <f ca="1">COUNTIF(ADMIN!$M$130:$M$161,Fixture!BG15)-BJ15-BK15-BL15-BM15-BN15-BO15</f>
        <v>0</v>
      </c>
      <c r="BJ15" s="548">
        <f ca="1">COUNTIF(ADMIN!$M$182:$M$197,Fixture!BG15)-BK15-BL15-BM15-BN15-BO15</f>
        <v>0</v>
      </c>
      <c r="BK15" s="549">
        <f ca="1">COUNTIF(ADMIN!$M$210:$M$217,Fixture!BG15)-BL15-BM15-BN15-BO15</f>
        <v>0</v>
      </c>
      <c r="BL15" s="549">
        <f ca="1">COUNTIF(ADMIN!$M$226:$M$229,BG15)-BM15-BN15-BO15</f>
        <v>0</v>
      </c>
      <c r="BM15" s="547">
        <f ca="1">COUNTIF(ADMIN!$M$252,Fixture!BG15)</f>
        <v>0</v>
      </c>
      <c r="BN15" s="547">
        <f ca="1">COUNTIF(ADMIN!$M$251,Fixture!BG15)</f>
        <v>0</v>
      </c>
      <c r="BO15" s="550">
        <f ca="1">COUNTIF(ADMIN!$M$250,Fixture!BG15)</f>
        <v>0</v>
      </c>
    </row>
    <row r="16" spans="1:67" ht="15.75" thickBot="1">
      <c r="A16" s="19">
        <v>52</v>
      </c>
      <c r="B16" s="597"/>
      <c r="C16" s="571" t="str">
        <f ca="1">+MID(INDEX(WORLDCUP!$AA$4:$AA$147,MATCH(A16,WORLDCUP!$AH$4:$AH$147,0)),1,3)</f>
        <v>Bos</v>
      </c>
      <c r="D16" s="572" t="str">
        <f>IF(ISBLANK(INDEX(WORLDCUP!$AC$4:$AC$147,MATCH(A16,WORLDCUP!$AH$4:$AH$147,0))),"",INDEX(WORLDCUP!$AC$4:$AC$147,MATCH(A16,WORLDCUP!$AH$4:$AH$147,0)))</f>
        <v/>
      </c>
      <c r="E16" s="572" t="str">
        <f>IF(ISBLANK(INDEX(WORLDCUP!$AD$4:$AD$147,MATCH(A16,WORLDCUP!$AH$4:$AH$147,0))),"",INDEX(WORLDCUP!$AD$4:$AD$147,MATCH(A16,WORLDCUP!$AH$4:$AH$147,0)))</f>
        <v/>
      </c>
      <c r="F16" s="573" t="str">
        <f ca="1">+MID(INDEX(WORLDCUP!$AF$4:$AF$147,MATCH(A16,WORLDCUP!$AH$4:$AH$147,0)),1,3)</f>
        <v>Cat</v>
      </c>
      <c r="G16" s="574"/>
      <c r="H16" s="574"/>
      <c r="I16" s="575"/>
      <c r="J16" s="575"/>
      <c r="K16" s="576"/>
      <c r="L16" s="19"/>
      <c r="M16" s="19">
        <v>66</v>
      </c>
      <c r="N16" s="598"/>
      <c r="O16" s="571" t="str">
        <f ca="1">+MID(INDEX(WORLDCUP!$AA$4:$AA$147,MATCH(M16,WORLDCUP!$AH$4:$AH$147,0)),1,3)</f>
        <v>Uru</v>
      </c>
      <c r="P16" s="572" t="str">
        <f>IF(ISBLANK(INDEX(WORLDCUP!$AC$4:$AC$147,MATCH(M16,WORLDCUP!$AH$4:$AH$147,0))),"",INDEX(WORLDCUP!$AC$4:$AC$147,MATCH(M16,WORLDCUP!$AH$4:$AH$147,0)))</f>
        <v/>
      </c>
      <c r="Q16" s="572" t="str">
        <f>IF(ISBLANK(INDEX(WORLDCUP!$AD$4:$AD$147,MATCH(M16,WORLDCUP!$AH$4:$AH$147,0))),"",INDEX(WORLDCUP!$AD$4:$AD$147,MATCH(M16,WORLDCUP!$AH$4:$AH$147,0)))</f>
        <v/>
      </c>
      <c r="R16" s="573" t="str">
        <f ca="1">+MID(INDEX(WORLDCUP!$AF$4:$AF$147,MATCH(M16,WORLDCUP!$AH$4:$AH$147,0)),1,3)</f>
        <v>Esp</v>
      </c>
      <c r="S16" s="574"/>
      <c r="T16" s="574"/>
      <c r="U16" s="575"/>
      <c r="V16" s="575"/>
      <c r="W16" s="576"/>
      <c r="X16" s="19"/>
      <c r="Y16" s="19">
        <v>83</v>
      </c>
      <c r="Z16" s="509" t="s">
        <v>683</v>
      </c>
      <c r="AA16" s="510" t="str">
        <f ca="1">+MID(INDEX(WORLDCUP!$AF$101:$AF$147,MATCH(Y16,WORLDCUP!$Z$101:$Z$147,0)),1,3)</f>
        <v>2L</v>
      </c>
      <c r="AB16" s="537" t="str">
        <f>+IF(ISBLANK(INDEX(WORLDCUP!$AD$101:$AD$147,MATCH(Y16,WORLDCUP!$Z$101:$Z$147,0))),"",INDEX(WORLDCUP!$AD$101:$AD$147,MATCH(Y16,WORLDCUP!$Z$101:$Z$147,0)))</f>
        <v/>
      </c>
      <c r="AC16" s="538" t="str">
        <f>+IF(ISBLANK(INDEX(WORLDCUP!$AE$101:$AE$147,MATCH(Y16,WORLDCUP!$Z$101:$Z$147,0))),"","( "&amp;INDEX(WORLDCUP!$AE$101:$AE$147,MATCH(Y16,WORLDCUP!$Z$101:$Z$147,0))&amp;" )")</f>
        <v/>
      </c>
      <c r="AD16" s="539">
        <v>93</v>
      </c>
      <c r="AE16" s="540" t="str">
        <f>+MID(INDEX(WORLDCUP!$AA$101:$AA$147,MATCH(AD16,WORLDCUP!$Z$101:$Z$147,0)),1,3)</f>
        <v>W83</v>
      </c>
      <c r="AF16" s="541" t="str">
        <f>+IF(ISBLANK(INDEX(WORLDCUP!$AC$101:$AC$147,MATCH(AD16,WORLDCUP!$Z$101:$Z$147,0))),"",INDEX(WORLDCUP!$AC$101:$AC$147,MATCH(AD16,WORLDCUP!$Z$101:$Z$147,0)))</f>
        <v/>
      </c>
      <c r="AG16" s="542" t="str">
        <f>+IF(ISBLANK(INDEX(WORLDCUP!$AB$101:$AB$147,MATCH(AD16,WORLDCUP!$Z$101:$Z$147,0))),"","( "&amp;INDEX(WORLDCUP!$AB$101:$AB$147,MATCH(AD16,WORLDCUP!$Z$101:$Z$147,0))&amp;" )")</f>
        <v/>
      </c>
      <c r="AH16" s="19"/>
      <c r="AI16" s="543"/>
      <c r="AJ16" s="543"/>
      <c r="AK16" s="582"/>
      <c r="AL16" s="19"/>
      <c r="AM16" s="515"/>
      <c r="AN16" s="515"/>
      <c r="AO16" s="596"/>
      <c r="AP16" s="92"/>
      <c r="AQ16" s="544"/>
      <c r="AR16" s="544"/>
      <c r="AS16" s="544"/>
      <c r="AT16" s="19"/>
      <c r="AU16" s="517"/>
      <c r="AV16" s="517"/>
      <c r="AW16" s="517"/>
      <c r="AX16" s="19"/>
      <c r="AY16" s="297"/>
      <c r="AZ16" s="297"/>
      <c r="BA16" s="297"/>
      <c r="BB16" s="297"/>
      <c r="BC16" s="297"/>
      <c r="BD16" s="297"/>
      <c r="BE16" s="297"/>
      <c r="BG16" s="546" t="str">
        <f ca="1">Horarios!Q15</f>
        <v>Colombia</v>
      </c>
      <c r="BH16" s="547">
        <f t="shared" ca="1" si="0"/>
        <v>1</v>
      </c>
      <c r="BI16" s="547">
        <f ca="1">COUNTIF(ADMIN!$M$130:$M$161,Fixture!BG16)-BJ16-BK16-BL16-BM16-BN16-BO16</f>
        <v>0</v>
      </c>
      <c r="BJ16" s="548">
        <f ca="1">COUNTIF(ADMIN!$M$182:$M$197,Fixture!BG16)-BK16-BL16-BM16-BN16-BO16</f>
        <v>0</v>
      </c>
      <c r="BK16" s="549">
        <f ca="1">COUNTIF(ADMIN!$M$210:$M$217,Fixture!BG16)-BL16-BM16-BN16-BO16</f>
        <v>0</v>
      </c>
      <c r="BL16" s="549">
        <f ca="1">COUNTIF(ADMIN!$M$226:$M$229,BG16)-BM16-BN16-BO16</f>
        <v>0</v>
      </c>
      <c r="BM16" s="547">
        <f ca="1">COUNTIF(ADMIN!$M$252,Fixture!BG16)</f>
        <v>0</v>
      </c>
      <c r="BN16" s="547">
        <f ca="1">COUNTIF(ADMIN!$M$251,Fixture!BG16)</f>
        <v>0</v>
      </c>
      <c r="BO16" s="550">
        <f ca="1">COUNTIF(ADMIN!$M$250,Fixture!BG16)</f>
        <v>0</v>
      </c>
    </row>
    <row r="17" spans="1:67">
      <c r="A17" s="19"/>
      <c r="B17" s="496"/>
      <c r="C17" s="580"/>
      <c r="D17" s="441"/>
      <c r="E17" s="441"/>
      <c r="F17" s="297"/>
      <c r="G17" s="297"/>
      <c r="H17" s="580"/>
      <c r="I17" s="297"/>
      <c r="J17" s="297"/>
      <c r="K17" s="297"/>
      <c r="L17" s="19"/>
      <c r="M17" s="19"/>
      <c r="N17" s="247"/>
      <c r="O17" s="580"/>
      <c r="P17" s="441"/>
      <c r="Q17" s="441"/>
      <c r="R17" s="297"/>
      <c r="S17" s="297"/>
      <c r="T17" s="580"/>
      <c r="U17" s="297"/>
      <c r="V17" s="297"/>
      <c r="W17" s="297"/>
      <c r="X17" s="19"/>
      <c r="Y17" s="19"/>
      <c r="Z17" s="509"/>
      <c r="AA17" s="553"/>
      <c r="AB17" s="553"/>
      <c r="AC17" s="554"/>
      <c r="AD17" s="19">
        <v>93</v>
      </c>
      <c r="AE17" s="540" t="str">
        <f>+MID(INDEX(WORLDCUP!$AF$101:$AF$147,MATCH(AD17,WORLDCUP!$Z$101:$Z$147,0)),1,3)</f>
        <v>W84</v>
      </c>
      <c r="AF17" s="541" t="str">
        <f>+IF(ISBLANK(INDEX(WORLDCUP!$AD$101:$AD$147,MATCH(AD17,WORLDCUP!$Z$101:$Z$147,0))),"",INDEX(WORLDCUP!$AD$101:$AD$147,MATCH(AD17,WORLDCUP!$Z$101:$Z$147,0)))</f>
        <v/>
      </c>
      <c r="AG17" s="599" t="str">
        <f>+IF(ISBLANK(INDEX(WORLDCUP!$AE$101:$AE$147,MATCH(AD17,WORLDCUP!$Z$101:$Z$147,0))),"","( "&amp;INDEX(WORLDCUP!$AE$101:$AE$147,MATCH(AD17,WORLDCUP!$Z$101:$Z$147,0))&amp;" )")</f>
        <v/>
      </c>
      <c r="AH17" s="19"/>
      <c r="AI17" s="543"/>
      <c r="AJ17" s="543"/>
      <c r="AK17" s="582"/>
      <c r="AL17" s="19"/>
      <c r="AM17" s="515"/>
      <c r="AN17" s="515"/>
      <c r="AO17" s="596"/>
      <c r="AP17" s="92"/>
      <c r="AQ17" s="544"/>
      <c r="AR17" s="544"/>
      <c r="AS17" s="544"/>
      <c r="AT17" s="19"/>
      <c r="AU17" s="517"/>
      <c r="AV17" s="517"/>
      <c r="AW17" s="517"/>
      <c r="AX17" s="19"/>
      <c r="AY17" s="297"/>
      <c r="AZ17" s="297"/>
      <c r="BA17" s="297"/>
      <c r="BB17" s="297"/>
      <c r="BC17" s="297"/>
      <c r="BD17" s="297"/>
      <c r="BE17" s="297"/>
      <c r="BG17" s="546" t="str">
        <f ca="1">Horarios!Q16</f>
        <v>Corea del Sur</v>
      </c>
      <c r="BH17" s="547">
        <f t="shared" ca="1" si="0"/>
        <v>1</v>
      </c>
      <c r="BI17" s="547">
        <f ca="1">COUNTIF(ADMIN!$M$130:$M$161,Fixture!BG17)-BJ17-BK17-BL17-BM17-BN17-BO17</f>
        <v>0</v>
      </c>
      <c r="BJ17" s="548">
        <f ca="1">COUNTIF(ADMIN!$M$182:$M$197,Fixture!BG17)-BK17-BL17-BM17-BN17-BO17</f>
        <v>0</v>
      </c>
      <c r="BK17" s="549">
        <f ca="1">COUNTIF(ADMIN!$M$210:$M$217,Fixture!BG17)-BL17-BM17-BN17-BO17</f>
        <v>0</v>
      </c>
      <c r="BL17" s="549">
        <f ca="1">COUNTIF(ADMIN!$M$226:$M$229,BG17)-BM17-BN17-BO17</f>
        <v>0</v>
      </c>
      <c r="BM17" s="547">
        <f ca="1">COUNTIF(ADMIN!$M$252,Fixture!BG17)</f>
        <v>0</v>
      </c>
      <c r="BN17" s="547">
        <f ca="1">COUNTIF(ADMIN!$M$251,Fixture!BG17)</f>
        <v>0</v>
      </c>
      <c r="BO17" s="550">
        <f ca="1">COUNTIF(ADMIN!$M$250,Fixture!BG17)</f>
        <v>0</v>
      </c>
    </row>
    <row r="18" spans="1:67" ht="15.75" thickBot="1">
      <c r="A18" s="19"/>
      <c r="B18" s="496"/>
      <c r="C18" s="580"/>
      <c r="D18" s="441"/>
      <c r="E18" s="441"/>
      <c r="F18" s="297"/>
      <c r="G18" s="297"/>
      <c r="H18" s="580"/>
      <c r="I18" s="297"/>
      <c r="J18" s="297"/>
      <c r="K18" s="297"/>
      <c r="L18" s="19"/>
      <c r="M18" s="19"/>
      <c r="N18" s="247"/>
      <c r="O18" s="580"/>
      <c r="P18" s="441"/>
      <c r="Q18" s="441"/>
      <c r="R18" s="297"/>
      <c r="S18" s="297"/>
      <c r="T18" s="580"/>
      <c r="U18" s="297"/>
      <c r="V18" s="297"/>
      <c r="W18" s="297"/>
      <c r="X18" s="19"/>
      <c r="Y18" s="19">
        <v>84</v>
      </c>
      <c r="Z18" s="509" t="s">
        <v>670</v>
      </c>
      <c r="AA18" s="510" t="str">
        <f ca="1">+MID(INDEX(WORLDCUP!$AA$101:$AA$147,MATCH(Y18,WORLDCUP!$Z$101:$Z$147,0)),1,3)</f>
        <v>1H</v>
      </c>
      <c r="AB18" s="556" t="str">
        <f>+IF(ISBLANK(INDEX(WORLDCUP!$AC$101:$AC$147,MATCH(Y18,WORLDCUP!$Z$101:$Z$147,0))),"",INDEX(WORLDCUP!$AC$101:$AC$147,MATCH(Y18,WORLDCUP!$Z$101:$Z$147,0)))</f>
        <v/>
      </c>
      <c r="AC18" s="590" t="str">
        <f>+IF(ISBLANK(INDEX(WORLDCUP!$AB$101:$AB$147,MATCH(Y18,WORLDCUP!$Z$101:$Z$147,0))),"","( "&amp;INDEX(WORLDCUP!$AB$101:$AB$147,MATCH(Y18,WORLDCUP!$Z$101:$Z$147,0))&amp;" )")</f>
        <v/>
      </c>
      <c r="AD18" s="19"/>
      <c r="AE18" s="558"/>
      <c r="AF18" s="558"/>
      <c r="AG18" s="559"/>
      <c r="AH18" s="19"/>
      <c r="AI18" s="543"/>
      <c r="AJ18" s="543"/>
      <c r="AK18" s="582"/>
      <c r="AL18" s="19"/>
      <c r="AM18" s="515"/>
      <c r="AN18" s="515"/>
      <c r="AO18" s="596"/>
      <c r="AP18" s="92"/>
      <c r="AQ18" s="544"/>
      <c r="AR18" s="544"/>
      <c r="AS18" s="544"/>
      <c r="AT18" s="19"/>
      <c r="AU18" s="517"/>
      <c r="AV18" s="517"/>
      <c r="AW18" s="517"/>
      <c r="AX18" s="600" t="str">
        <f>Idiomas!D8</f>
        <v>XXIII Mundial USA/MEX/CAN 2026</v>
      </c>
      <c r="AY18" s="600"/>
      <c r="AZ18" s="601"/>
      <c r="BA18" s="601"/>
      <c r="BB18" s="601"/>
      <c r="BC18" s="601"/>
      <c r="BD18" s="601"/>
      <c r="BE18" s="601"/>
      <c r="BG18" s="546" t="str">
        <f ca="1">Horarios!Q17</f>
        <v>Costa de Marfil</v>
      </c>
      <c r="BH18" s="547">
        <f t="shared" ca="1" si="0"/>
        <v>1</v>
      </c>
      <c r="BI18" s="547">
        <f ca="1">COUNTIF(ADMIN!$M$130:$M$161,Fixture!BG18)-BJ18-BK18-BL18-BM18-BN18-BO18</f>
        <v>0</v>
      </c>
      <c r="BJ18" s="548">
        <f ca="1">COUNTIF(ADMIN!$M$182:$M$197,Fixture!BG18)-BK18-BL18-BM18-BN18-BO18</f>
        <v>0</v>
      </c>
      <c r="BK18" s="549">
        <f ca="1">COUNTIF(ADMIN!$M$210:$M$217,Fixture!BG18)-BL18-BM18-BN18-BO18</f>
        <v>0</v>
      </c>
      <c r="BL18" s="549">
        <f ca="1">COUNTIF(ADMIN!$M$226:$M$229,BG18)-BM18-BN18-BO18</f>
        <v>0</v>
      </c>
      <c r="BM18" s="547">
        <f ca="1">COUNTIF(ADMIN!$M$252,Fixture!BG18)</f>
        <v>0</v>
      </c>
      <c r="BN18" s="547">
        <f ca="1">COUNTIF(ADMIN!$M$251,Fixture!BG18)</f>
        <v>0</v>
      </c>
      <c r="BO18" s="550">
        <f ca="1">COUNTIF(ADMIN!$M$250,Fixture!BG18)</f>
        <v>0</v>
      </c>
    </row>
    <row r="19" spans="1:67" ht="15.75" thickBot="1">
      <c r="A19" s="19">
        <v>7</v>
      </c>
      <c r="B19" s="602" t="s">
        <v>2</v>
      </c>
      <c r="C19" s="501" t="str">
        <f ca="1">+MID(INDEX(WORLDCUP!$AA$4:$AA$147,MATCH(A19,WORLDCUP!$AH$4:$AH$147,0)),1,3)</f>
        <v>Bra</v>
      </c>
      <c r="D19" s="502" t="str">
        <f>IF(ISBLANK(INDEX(WORLDCUP!$AC$4:$AC$147,MATCH(A19,WORLDCUP!$AH$4:$AH$147,0))),"",INDEX(WORLDCUP!$AC$4:$AC$147,MATCH(A19,WORLDCUP!$AH$4:$AH$147,0)))</f>
        <v/>
      </c>
      <c r="E19" s="502" t="str">
        <f>IF(ISBLANK(INDEX(WORLDCUP!$AD$4:$AD$147,MATCH(A19,WORLDCUP!$AH$4:$AH$147,0))),"",INDEX(WORLDCUP!$AD$4:$AD$147,MATCH(A19,WORLDCUP!$AH$4:$AH$147,0)))</f>
        <v/>
      </c>
      <c r="F19" s="503" t="str">
        <f ca="1">+MID(INDEX(WORLDCUP!$AF$4:$AF$147,MATCH(A19,WORLDCUP!$AH$4:$AH$147,0)),1,3)</f>
        <v>Mar</v>
      </c>
      <c r="G19" s="504"/>
      <c r="H19" s="505" t="str">
        <f>+H11</f>
        <v>Sel</v>
      </c>
      <c r="I19" s="506" t="str">
        <f>+I11</f>
        <v>Pts</v>
      </c>
      <c r="J19" s="506" t="str">
        <f>+J11</f>
        <v>DG</v>
      </c>
      <c r="K19" s="507" t="str">
        <f>+K11</f>
        <v>GF-GC</v>
      </c>
      <c r="L19" s="19"/>
      <c r="M19" s="19">
        <v>17</v>
      </c>
      <c r="N19" s="603" t="s">
        <v>438</v>
      </c>
      <c r="O19" s="501" t="str">
        <f ca="1">+MID(INDEX(WORLDCUP!$AA$4:$AA$147,MATCH(M19,WORLDCUP!$AH$4:$AH$147,0)),1,3)</f>
        <v>Fra</v>
      </c>
      <c r="P19" s="502" t="str">
        <f>IF(ISBLANK(INDEX(WORLDCUP!$AC$4:$AC$147,MATCH(M19,WORLDCUP!$AH$4:$AH$147,0))),"",INDEX(WORLDCUP!$AC$4:$AC$147,MATCH(M19,WORLDCUP!$AH$4:$AH$147,0)))</f>
        <v/>
      </c>
      <c r="Q19" s="502" t="str">
        <f>IF(ISBLANK(INDEX(WORLDCUP!$AD$4:$AD$147,MATCH(M19,WORLDCUP!$AH$4:$AH$147,0))),"",INDEX(WORLDCUP!$AD$4:$AD$147,MATCH(M19,WORLDCUP!$AH$4:$AH$147,0)))</f>
        <v/>
      </c>
      <c r="R19" s="503" t="str">
        <f ca="1">+MID(INDEX(WORLDCUP!$AF$4:$AF$147,MATCH(M19,WORLDCUP!$AH$4:$AH$147,0)),1,3)</f>
        <v>Sen</v>
      </c>
      <c r="S19" s="504"/>
      <c r="T19" s="505" t="str">
        <f>+T11</f>
        <v>Sel</v>
      </c>
      <c r="U19" s="506" t="str">
        <f>+U11</f>
        <v>Pts</v>
      </c>
      <c r="V19" s="506" t="str">
        <f>+V11</f>
        <v>DG</v>
      </c>
      <c r="W19" s="507" t="str">
        <f>+W11</f>
        <v>GF-GC</v>
      </c>
      <c r="X19" s="19"/>
      <c r="Y19" s="19">
        <v>84</v>
      </c>
      <c r="Z19" s="509" t="s">
        <v>677</v>
      </c>
      <c r="AA19" s="564" t="str">
        <f ca="1">+MID(INDEX(WORLDCUP!$AF$101:$AF$147,MATCH(Y19,WORLDCUP!$Z$101:$Z$147,0)),1,3)</f>
        <v>2J</v>
      </c>
      <c r="AB19" s="565" t="str">
        <f>+IF(ISBLANK(INDEX(WORLDCUP!$AD$101:$AD$147,MATCH(Y19,WORLDCUP!$Z$101:$Z$147,0))),"",INDEX(WORLDCUP!$AD$101:$AD$147,MATCH(Y19,WORLDCUP!$Z$101:$Z$147,0)))</f>
        <v/>
      </c>
      <c r="AC19" s="591" t="str">
        <f>+IF(ISBLANK(INDEX(WORLDCUP!$AE$101:$AE$147,MATCH(Y19,WORLDCUP!$Z$101:$Z$147,0))),"","( "&amp;INDEX(WORLDCUP!$AE$101:$AE$147,MATCH(Y19,WORLDCUP!$Z$101:$Z$147,0))&amp;" )")</f>
        <v/>
      </c>
      <c r="AD19" s="19"/>
      <c r="AE19" s="558"/>
      <c r="AF19" s="558"/>
      <c r="AG19" s="559"/>
      <c r="AH19" s="583">
        <v>98</v>
      </c>
      <c r="AI19" s="567" t="str">
        <f>+MID(INDEX(WORLDCUP!$AA$101:$AA$147,MATCH(AH19,WORLDCUP!$Z$101:$Z$147,0)),1,3)</f>
        <v>W93</v>
      </c>
      <c r="AJ19" s="568" t="str">
        <f>+IF(ISBLANK(INDEX(WORLDCUP!$AC$101:$AC$147,MATCH(AH19,WORLDCUP!$Z$101:$Z$147,0))),"",INDEX(WORLDCUP!$AC$101:$AC$147,MATCH(AH19,WORLDCUP!$Z$101:$Z$147,0)))</f>
        <v/>
      </c>
      <c r="AK19" s="604" t="str">
        <f>+IF(ISBLANK(INDEX(WORLDCUP!$AB$101:$AB$147,MATCH(AH19,WORLDCUP!$Z$101:$Z$147,0))),"","( "&amp;INDEX(WORLDCUP!$AB$101:$AB$147,MATCH(AH19,WORLDCUP!$Z$101:$Z$147,0))&amp;" )")</f>
        <v/>
      </c>
      <c r="AL19" s="19"/>
      <c r="AM19" s="515"/>
      <c r="AN19" s="515"/>
      <c r="AO19" s="596"/>
      <c r="AP19" s="92"/>
      <c r="AQ19" s="544"/>
      <c r="AR19" s="544"/>
      <c r="AS19" s="544"/>
      <c r="AT19" s="19"/>
      <c r="AU19" s="517"/>
      <c r="AV19" s="517"/>
      <c r="AW19" s="517"/>
      <c r="AX19" s="19"/>
      <c r="AY19" s="297"/>
      <c r="AZ19" s="297"/>
      <c r="BA19" s="297"/>
      <c r="BB19" s="297"/>
      <c r="BC19" s="297"/>
      <c r="BD19" s="297"/>
      <c r="BE19" s="297"/>
      <c r="BG19" s="546" t="str">
        <f ca="1">Horarios!Q18</f>
        <v>Croacia</v>
      </c>
      <c r="BH19" s="547">
        <f t="shared" ca="1" si="0"/>
        <v>1</v>
      </c>
      <c r="BI19" s="547">
        <f ca="1">COUNTIF(ADMIN!$M$130:$M$161,Fixture!BG19)-BJ19-BK19-BL19-BM19-BN19-BO19</f>
        <v>0</v>
      </c>
      <c r="BJ19" s="548">
        <f ca="1">COUNTIF(ADMIN!$M$182:$M$197,Fixture!BG19)-BK19-BL19-BM19-BN19-BO19</f>
        <v>0</v>
      </c>
      <c r="BK19" s="549">
        <f ca="1">COUNTIF(ADMIN!$M$210:$M$217,Fixture!BG19)-BL19-BM19-BN19-BO19</f>
        <v>0</v>
      </c>
      <c r="BL19" s="549">
        <f ca="1">COUNTIF(ADMIN!$M$226:$M$229,BG19)-BM19-BN19-BO19</f>
        <v>0</v>
      </c>
      <c r="BM19" s="547">
        <f ca="1">COUNTIF(ADMIN!$M$252,Fixture!BG19)</f>
        <v>0</v>
      </c>
      <c r="BN19" s="547">
        <f ca="1">COUNTIF(ADMIN!$M$251,Fixture!BG19)</f>
        <v>0</v>
      </c>
      <c r="BO19" s="550">
        <f ca="1">COUNTIF(ADMIN!$M$250,Fixture!BG19)</f>
        <v>0</v>
      </c>
    </row>
    <row r="20" spans="1:67">
      <c r="A20" s="19">
        <v>5</v>
      </c>
      <c r="B20" s="605"/>
      <c r="C20" s="528" t="str">
        <f ca="1">+MID(INDEX(WORLDCUP!$AA$4:$AA$147,MATCH(A20,WORLDCUP!$AH$4:$AH$147,0)),1,3)</f>
        <v>Hai</v>
      </c>
      <c r="D20" s="529" t="str">
        <f>IF(ISBLANK(INDEX(WORLDCUP!$AC$4:$AC$147,MATCH(A20,WORLDCUP!$AH$4:$AH$147,0))),"",INDEX(WORLDCUP!$AC$4:$AC$147,MATCH(A20,WORLDCUP!$AH$4:$AH$147,0)))</f>
        <v/>
      </c>
      <c r="E20" s="529" t="str">
        <f>IF(ISBLANK(INDEX(WORLDCUP!$AD$4:$AD$147,MATCH(A20,WORLDCUP!$AH$4:$AH$147,0))),"",INDEX(WORLDCUP!$AD$4:$AD$147,MATCH(A20,WORLDCUP!$AH$4:$AH$147,0)))</f>
        <v/>
      </c>
      <c r="F20" s="530" t="str">
        <f ca="1">+MID(INDEX(WORLDCUP!$AF$4:$AF$147,MATCH(A20,WORLDCUP!$AH$4:$AH$147,0)),1,3)</f>
        <v>Esc</v>
      </c>
      <c r="G20" s="531">
        <v>1</v>
      </c>
      <c r="H20" s="532" t="str">
        <f ca="1">+MID(INDEX(WORLDCUP!$AL$6:$AL$97,MATCH(L20,WORLDCUP!$AI$6:$AI$97,0)),1,3)</f>
        <v>Bra</v>
      </c>
      <c r="I20" s="533">
        <f ca="1">+INDEX(WORLDCUP!$AM$6:$AM$97,MATCH(L20,WORLDCUP!$AI$6:$AI$97,0))</f>
        <v>0</v>
      </c>
      <c r="J20" s="534">
        <f ca="1">+INDEX(WORLDCUP!$AT$6:$AT$97,MATCH(L20,WORLDCUP!$AI$6:$AI$97,0))</f>
        <v>0</v>
      </c>
      <c r="K20" s="535" t="str">
        <f ca="1">+INDEX(WORLDCUP!$AR$6:$AR$97,MATCH(L20,WORLDCUP!$AI$6:$AI$97,0))&amp;"-"&amp;INDEX(WORLDCUP!$AS$6:$AS$97,MATCH(L20,WORLDCUP!$AI$6:$AI$97,0))</f>
        <v>0-0</v>
      </c>
      <c r="L20" s="19" t="s">
        <v>651</v>
      </c>
      <c r="M20" s="19">
        <v>18</v>
      </c>
      <c r="N20" s="606"/>
      <c r="O20" s="528" t="str">
        <f ca="1">+MID(INDEX(WORLDCUP!$AA$4:$AA$147,MATCH(M20,WORLDCUP!$AH$4:$AH$147,0)),1,3)</f>
        <v>Ira</v>
      </c>
      <c r="P20" s="529" t="str">
        <f>IF(ISBLANK(INDEX(WORLDCUP!$AC$4:$AC$147,MATCH(M20,WORLDCUP!$AH$4:$AH$147,0))),"",INDEX(WORLDCUP!$AC$4:$AC$147,MATCH(M20,WORLDCUP!$AH$4:$AH$147,0)))</f>
        <v/>
      </c>
      <c r="Q20" s="529" t="str">
        <f>IF(ISBLANK(INDEX(WORLDCUP!$AD$4:$AD$147,MATCH(M20,WORLDCUP!$AH$4:$AH$147,0))),"",INDEX(WORLDCUP!$AD$4:$AD$147,MATCH(M20,WORLDCUP!$AH$4:$AH$147,0)))</f>
        <v/>
      </c>
      <c r="R20" s="530" t="str">
        <f ca="1">+MID(INDEX(WORLDCUP!$AF$4:$AF$147,MATCH(M20,WORLDCUP!$AH$4:$AH$147,0)),1,3)</f>
        <v>Nor</v>
      </c>
      <c r="S20" s="531">
        <v>1</v>
      </c>
      <c r="T20" s="532" t="str">
        <f ca="1">+MID(INDEX(WORLDCUP!$AL$6:$AL$97,MATCH(X20,WORLDCUP!$AI$6:$AI$97,0)),1,3)</f>
        <v>Fra</v>
      </c>
      <c r="U20" s="533">
        <f ca="1">+INDEX(WORLDCUP!$AM$6:$AM$97,MATCH(X20,WORLDCUP!$AI$6:$AI$97,0))</f>
        <v>0</v>
      </c>
      <c r="V20" s="534">
        <f ca="1">+INDEX(WORLDCUP!$AT$6:$AT$97,MATCH(X20,WORLDCUP!$AI$6:$AI$97,0))</f>
        <v>0</v>
      </c>
      <c r="W20" s="535" t="str">
        <f ca="1">+INDEX(WORLDCUP!$AR$6:$AR$97,MATCH(X20,WORLDCUP!$AI$6:$AI$97,0))&amp;"-"&amp;INDEX(WORLDCUP!$AS$6:$AS$97,MATCH(X20,WORLDCUP!$AI$6:$AI$97,0))</f>
        <v>0-0</v>
      </c>
      <c r="X20" s="19" t="s">
        <v>673</v>
      </c>
      <c r="Y20" s="19"/>
      <c r="Z20" s="509"/>
      <c r="AA20" s="578"/>
      <c r="AB20" s="578"/>
      <c r="AC20" s="578"/>
      <c r="AD20" s="19"/>
      <c r="AE20" s="513"/>
      <c r="AF20" s="513"/>
      <c r="AG20" s="559"/>
      <c r="AH20" s="19">
        <v>98</v>
      </c>
      <c r="AI20" s="567" t="str">
        <f>+MID(INDEX(WORLDCUP!$AF$101:$AF$147,MATCH(AH20,WORLDCUP!$Z$101:$Z$147,0)),1,3)</f>
        <v>W94</v>
      </c>
      <c r="AJ20" s="568" t="str">
        <f>+IF(ISBLANK(INDEX(WORLDCUP!$AD$101:$AD$147,MATCH(AH20,WORLDCUP!$Z$101:$Z$147,0))),"",INDEX(WORLDCUP!$AD$101:$AD$147,MATCH(AH20,WORLDCUP!$Z$101:$Z$147,0)))</f>
        <v/>
      </c>
      <c r="AK20" s="543" t="str">
        <f>+IF(ISBLANK(INDEX(WORLDCUP!$AE$101:$AE$147,MATCH(AH20,WORLDCUP!$Z$101:$Z$147,0))),"","( "&amp;INDEX(WORLDCUP!$AE$101:$AE$147,MATCH(AH20,WORLDCUP!$Z$101:$Z$147,0))&amp;" )")</f>
        <v/>
      </c>
      <c r="AL20" s="19"/>
      <c r="AM20" s="515"/>
      <c r="AN20" s="515"/>
      <c r="AO20" s="596"/>
      <c r="AP20" s="19"/>
      <c r="AQ20" s="544"/>
      <c r="AR20" s="544"/>
      <c r="AS20" s="544"/>
      <c r="AT20" s="19"/>
      <c r="AU20" s="607"/>
      <c r="AV20" s="608"/>
      <c r="AW20" s="517"/>
      <c r="AX20" s="19"/>
      <c r="AY20" s="609"/>
      <c r="AZ20" s="610"/>
      <c r="BA20" s="610"/>
      <c r="BB20" s="610"/>
      <c r="BC20" s="611"/>
      <c r="BD20" s="297"/>
      <c r="BE20" s="297"/>
      <c r="BG20" s="546" t="str">
        <f ca="1">Horarios!Q19</f>
        <v>Curazao</v>
      </c>
      <c r="BH20" s="547">
        <f t="shared" ca="1" si="0"/>
        <v>1</v>
      </c>
      <c r="BI20" s="547">
        <f ca="1">COUNTIF(ADMIN!$M$130:$M$161,Fixture!BG20)-BJ20-BK20-BL20-BM20-BN20-BO20</f>
        <v>0</v>
      </c>
      <c r="BJ20" s="548">
        <f ca="1">COUNTIF(ADMIN!$M$182:$M$197,Fixture!BG20)-BK20-BL20-BM20-BN20-BO20</f>
        <v>0</v>
      </c>
      <c r="BK20" s="549">
        <f ca="1">COUNTIF(ADMIN!$M$210:$M$217,Fixture!BG20)-BL20-BM20-BN20-BO20</f>
        <v>0</v>
      </c>
      <c r="BL20" s="549">
        <f ca="1">COUNTIF(ADMIN!$M$226:$M$229,BG20)-BM20-BN20-BO20</f>
        <v>0</v>
      </c>
      <c r="BM20" s="547">
        <f ca="1">COUNTIF(ADMIN!$M$252,Fixture!BG20)</f>
        <v>0</v>
      </c>
      <c r="BN20" s="547">
        <f ca="1">COUNTIF(ADMIN!$M$251,Fixture!BG20)</f>
        <v>0</v>
      </c>
      <c r="BO20" s="550">
        <f ca="1">COUNTIF(ADMIN!$M$250,Fixture!BG20)</f>
        <v>0</v>
      </c>
    </row>
    <row r="21" spans="1:67" ht="15.75" thickBot="1">
      <c r="A21" s="19">
        <v>30</v>
      </c>
      <c r="B21" s="605"/>
      <c r="C21" s="528" t="str">
        <f ca="1">+MID(INDEX(WORLDCUP!$AA$4:$AA$147,MATCH(A21,WORLDCUP!$AH$4:$AH$147,0)),1,3)</f>
        <v>Esc</v>
      </c>
      <c r="D21" s="529" t="str">
        <f>IF(ISBLANK(INDEX(WORLDCUP!$AC$4:$AC$147,MATCH(A21,WORLDCUP!$AH$4:$AH$147,0))),"",INDEX(WORLDCUP!$AC$4:$AC$147,MATCH(A21,WORLDCUP!$AH$4:$AH$147,0)))</f>
        <v/>
      </c>
      <c r="E21" s="529" t="str">
        <f>IF(ISBLANK(INDEX(WORLDCUP!$AD$4:$AD$147,MATCH(A21,WORLDCUP!$AH$4:$AH$147,0))),"",INDEX(WORLDCUP!$AD$4:$AD$147,MATCH(A21,WORLDCUP!$AH$4:$AH$147,0)))</f>
        <v/>
      </c>
      <c r="F21" s="530" t="str">
        <f ca="1">+MID(INDEX(WORLDCUP!$AF$4:$AF$147,MATCH(A21,WORLDCUP!$AH$4:$AH$147,0)),1,3)</f>
        <v>Mar</v>
      </c>
      <c r="G21" s="551">
        <v>2</v>
      </c>
      <c r="H21" s="552"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6"/>
      <c r="O21" s="528" t="str">
        <f ca="1">+MID(INDEX(WORLDCUP!$AA$4:$AA$147,MATCH(M21,WORLDCUP!$AH$4:$AH$147,0)),1,3)</f>
        <v>Fra</v>
      </c>
      <c r="P21" s="529" t="str">
        <f>IF(ISBLANK(INDEX(WORLDCUP!$AC$4:$AC$147,MATCH(M21,WORLDCUP!$AH$4:$AH$147,0))),"",INDEX(WORLDCUP!$AC$4:$AC$147,MATCH(M21,WORLDCUP!$AH$4:$AH$147,0)))</f>
        <v/>
      </c>
      <c r="Q21" s="529" t="str">
        <f>IF(ISBLANK(INDEX(WORLDCUP!$AD$4:$AD$147,MATCH(M21,WORLDCUP!$AH$4:$AH$147,0))),"",INDEX(WORLDCUP!$AD$4:$AD$147,MATCH(M21,WORLDCUP!$AH$4:$AH$147,0)))</f>
        <v/>
      </c>
      <c r="R21" s="530" t="str">
        <f ca="1">+MID(INDEX(WORLDCUP!$AF$4:$AF$147,MATCH(M21,WORLDCUP!$AH$4:$AH$147,0)),1,3)</f>
        <v>Ira</v>
      </c>
      <c r="S21" s="551">
        <v>2</v>
      </c>
      <c r="T21" s="552"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09" t="s">
        <v>658</v>
      </c>
      <c r="AA21" s="510" t="str">
        <f ca="1">+MID(INDEX(WORLDCUP!$AA$101:$AA$147,MATCH(Y21,WORLDCUP!$Z$101:$Z$147,0)),1,3)</f>
        <v>1D</v>
      </c>
      <c r="AB21" s="511" t="str">
        <f>+IF(ISBLANK(INDEX(WORLDCUP!$AC$101:$AC$147,MATCH(Y21,WORLDCUP!$Z$101:$Z$147,0))),"",INDEX(WORLDCUP!$AC$101:$AC$147,MATCH(Y21,WORLDCUP!$Z$101:$Z$147,0)))</f>
        <v/>
      </c>
      <c r="AC21" s="581" t="str">
        <f>+IF(ISBLANK(INDEX(WORLDCUP!$AB$101:$AB$147,MATCH(Y21,WORLDCUP!$Z$101:$Z$147,0))),"","( "&amp;INDEX(WORLDCUP!$AB$101:$AB$147,MATCH(Y21,WORLDCUP!$Z$101:$Z$147,0))&amp;" )")</f>
        <v/>
      </c>
      <c r="AD21" s="18"/>
      <c r="AE21" s="513"/>
      <c r="AF21" s="513"/>
      <c r="AG21" s="559"/>
      <c r="AH21" s="19"/>
      <c r="AI21" s="543"/>
      <c r="AJ21" s="543"/>
      <c r="AK21" s="543"/>
      <c r="AL21" s="19"/>
      <c r="AM21" s="515"/>
      <c r="AN21" s="515"/>
      <c r="AO21" s="596"/>
      <c r="AP21" s="19"/>
      <c r="AQ21" s="544"/>
      <c r="AR21" s="544"/>
      <c r="AS21" s="544"/>
      <c r="AT21" s="19"/>
      <c r="AU21" s="607"/>
      <c r="AV21" s="608"/>
      <c r="AW21" s="517"/>
      <c r="AX21" s="19"/>
      <c r="AY21" s="612"/>
      <c r="AZ21" s="613"/>
      <c r="BA21" s="613" t="str">
        <f>WORLDCUP!AA150</f>
        <v>WF</v>
      </c>
      <c r="BB21" s="613"/>
      <c r="BC21" s="614"/>
      <c r="BD21" s="297"/>
      <c r="BE21" s="297"/>
      <c r="BG21" s="546" t="str">
        <f ca="1">Horarios!Q20</f>
        <v>Ecuador</v>
      </c>
      <c r="BH21" s="547">
        <f t="shared" ca="1" si="0"/>
        <v>1</v>
      </c>
      <c r="BI21" s="547">
        <f ca="1">COUNTIF(ADMIN!$M$130:$M$161,Fixture!BG21)-BJ21-BK21-BL21-BM21-BN21-BO21</f>
        <v>0</v>
      </c>
      <c r="BJ21" s="548">
        <f ca="1">COUNTIF(ADMIN!$M$182:$M$197,Fixture!BG21)-BK21-BL21-BM21-BN21-BO21</f>
        <v>0</v>
      </c>
      <c r="BK21" s="549">
        <f ca="1">COUNTIF(ADMIN!$M$210:$M$217,Fixture!BG21)-BL21-BM21-BN21-BO21</f>
        <v>0</v>
      </c>
      <c r="BL21" s="549">
        <f ca="1">COUNTIF(ADMIN!$M$226:$M$229,BG21)-BM21-BN21-BO21</f>
        <v>0</v>
      </c>
      <c r="BM21" s="547">
        <f ca="1">COUNTIF(ADMIN!$M$252,Fixture!BG21)</f>
        <v>0</v>
      </c>
      <c r="BN21" s="547">
        <f ca="1">COUNTIF(ADMIN!$M$251,Fixture!BG21)</f>
        <v>0</v>
      </c>
      <c r="BO21" s="550">
        <f ca="1">COUNTIF(ADMIN!$M$250,Fixture!BG21)</f>
        <v>0</v>
      </c>
    </row>
    <row r="22" spans="1:67" ht="15.75" thickBot="1">
      <c r="A22" s="19">
        <v>29</v>
      </c>
      <c r="B22" s="605"/>
      <c r="C22" s="528" t="str">
        <f ca="1">+MID(INDEX(WORLDCUP!$AA$4:$AA$147,MATCH(A22,WORLDCUP!$AH$4:$AH$147,0)),1,3)</f>
        <v>Bra</v>
      </c>
      <c r="D22" s="529" t="str">
        <f>IF(ISBLANK(INDEX(WORLDCUP!$AC$4:$AC$147,MATCH(A22,WORLDCUP!$AH$4:$AH$147,0))),"",INDEX(WORLDCUP!$AC$4:$AC$147,MATCH(A22,WORLDCUP!$AH$4:$AH$147,0)))</f>
        <v/>
      </c>
      <c r="E22" s="529" t="str">
        <f>IF(ISBLANK(INDEX(WORLDCUP!$AD$4:$AD$147,MATCH(A22,WORLDCUP!$AH$4:$AH$147,0))),"",INDEX(WORLDCUP!$AD$4:$AD$147,MATCH(A22,WORLDCUP!$AH$4:$AH$147,0)))</f>
        <v/>
      </c>
      <c r="F22" s="530" t="str">
        <f ca="1">+MID(INDEX(WORLDCUP!$AF$4:$AF$147,MATCH(A22,WORLDCUP!$AH$4:$AH$147,0)),1,3)</f>
        <v>Hai</v>
      </c>
      <c r="G22" s="551">
        <v>3</v>
      </c>
      <c r="H22" s="552"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6"/>
      <c r="O22" s="528" t="str">
        <f ca="1">+MID(INDEX(WORLDCUP!$AA$4:$AA$147,MATCH(M22,WORLDCUP!$AH$4:$AH$147,0)),1,3)</f>
        <v>Nor</v>
      </c>
      <c r="P22" s="529" t="str">
        <f>IF(ISBLANK(INDEX(WORLDCUP!$AC$4:$AC$147,MATCH(M22,WORLDCUP!$AH$4:$AH$147,0))),"",INDEX(WORLDCUP!$AC$4:$AC$147,MATCH(M22,WORLDCUP!$AH$4:$AH$147,0)))</f>
        <v/>
      </c>
      <c r="Q22" s="529" t="str">
        <f>IF(ISBLANK(INDEX(WORLDCUP!$AD$4:$AD$147,MATCH(M22,WORLDCUP!$AH$4:$AH$147,0))),"",INDEX(WORLDCUP!$AD$4:$AD$147,MATCH(M22,WORLDCUP!$AH$4:$AH$147,0)))</f>
        <v/>
      </c>
      <c r="R22" s="530" t="str">
        <f ca="1">+MID(INDEX(WORLDCUP!$AF$4:$AF$147,MATCH(M22,WORLDCUP!$AH$4:$AH$147,0)),1,3)</f>
        <v>Sen</v>
      </c>
      <c r="S22" s="551">
        <v>3</v>
      </c>
      <c r="T22" s="552"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09" t="s">
        <v>726</v>
      </c>
      <c r="AA22" s="510" t="str">
        <f ca="1">+MID(INDEX(WORLDCUP!$AF$101:$AF$147,MATCH(Y22,WORLDCUP!$Z$101:$Z$147,0)),1,IF(WORLDCUP!$H$113&lt;144,6,3))</f>
        <v>3BEFIJ</v>
      </c>
      <c r="AB22" s="537" t="str">
        <f>+IF(ISBLANK(INDEX(WORLDCUP!$AD$101:$AD$147,MATCH(Y22,WORLDCUP!$Z$101:$Z$147,0))),"",INDEX(WORLDCUP!$AD$101:$AD$147,MATCH(Y22,WORLDCUP!$Z$101:$Z$147,0)))</f>
        <v/>
      </c>
      <c r="AC22" s="538" t="str">
        <f>+IF(ISBLANK(INDEX(WORLDCUP!$AE$101:$AE$147,MATCH(Y22,WORLDCUP!$Z$101:$Z$147,0))),"","( "&amp;INDEX(WORLDCUP!$AE$101:$AE$147,MATCH(Y22,WORLDCUP!$Z$101:$Z$147,0))&amp;" )")</f>
        <v/>
      </c>
      <c r="AD22" s="539">
        <v>94</v>
      </c>
      <c r="AE22" s="540" t="str">
        <f>+MID(INDEX(WORLDCUP!$AA$101:$AA$147,MATCH(AD22,WORLDCUP!$Z$101:$Z$147,0)),1,3)</f>
        <v>W81</v>
      </c>
      <c r="AF22" s="541" t="str">
        <f>+IF(ISBLANK(INDEX(WORLDCUP!$AC$101:$AC$147,MATCH(AD22,WORLDCUP!$Z$101:$Z$147,0))),"",INDEX(WORLDCUP!$AC$101:$AC$147,MATCH(AD22,WORLDCUP!$Z$101:$Z$147,0)))</f>
        <v/>
      </c>
      <c r="AG22" s="584" t="str">
        <f>+IF(ISBLANK(INDEX(WORLDCUP!$AB$101:$AB$147,MATCH(AD22,WORLDCUP!$Z$101:$Z$147,0))),"","( "&amp;INDEX(WORLDCUP!$AB$101:$AB$147,MATCH(AD22,WORLDCUP!$Z$101:$Z$147,0))&amp;" )")</f>
        <v/>
      </c>
      <c r="AH22" s="19"/>
      <c r="AI22" s="543"/>
      <c r="AJ22" s="543"/>
      <c r="AK22" s="543"/>
      <c r="AL22" s="19"/>
      <c r="AM22" s="515"/>
      <c r="AN22" s="515"/>
      <c r="AO22" s="596"/>
      <c r="AP22" s="19"/>
      <c r="AQ22" s="544"/>
      <c r="AR22" s="544"/>
      <c r="AS22" s="544"/>
      <c r="AT22" s="19"/>
      <c r="AU22" s="607"/>
      <c r="AV22" s="608"/>
      <c r="AW22" s="517"/>
      <c r="AX22" s="19"/>
      <c r="AY22" s="612"/>
      <c r="AZ22" s="613"/>
      <c r="BA22" s="615"/>
      <c r="BB22" s="613"/>
      <c r="BC22" s="614"/>
      <c r="BD22" s="297"/>
      <c r="BE22" s="297"/>
      <c r="BG22" s="546" t="str">
        <f ca="1">Horarios!Q21</f>
        <v>Egipto</v>
      </c>
      <c r="BH22" s="547">
        <f t="shared" ca="1" si="0"/>
        <v>1</v>
      </c>
      <c r="BI22" s="547">
        <f ca="1">COUNTIF(ADMIN!$M$130:$M$161,Fixture!BG22)-BJ22-BK22-BL22-BM22-BN22-BO22</f>
        <v>0</v>
      </c>
      <c r="BJ22" s="548">
        <f ca="1">COUNTIF(ADMIN!$M$182:$M$197,Fixture!BG22)-BK22-BL22-BM22-BN22-BO22</f>
        <v>0</v>
      </c>
      <c r="BK22" s="549">
        <f ca="1">COUNTIF(ADMIN!$M$210:$M$217,Fixture!BG22)-BL22-BM22-BN22-BO22</f>
        <v>0</v>
      </c>
      <c r="BL22" s="549">
        <f ca="1">COUNTIF(ADMIN!$M$226:$M$229,BG22)-BM22-BN22-BO22</f>
        <v>0</v>
      </c>
      <c r="BM22" s="547">
        <f ca="1">COUNTIF(ADMIN!$M$252,Fixture!BG22)</f>
        <v>0</v>
      </c>
      <c r="BN22" s="547">
        <f ca="1">COUNTIF(ADMIN!$M$251,Fixture!BG22)</f>
        <v>0</v>
      </c>
      <c r="BO22" s="550">
        <f ca="1">COUNTIF(ADMIN!$M$250,Fixture!BG22)</f>
        <v>0</v>
      </c>
    </row>
    <row r="23" spans="1:67">
      <c r="A23" s="19">
        <v>49</v>
      </c>
      <c r="B23" s="605"/>
      <c r="C23" s="528" t="str">
        <f ca="1">+MID(INDEX(WORLDCUP!$AA$4:$AA$147,MATCH(A23,WORLDCUP!$AH$4:$AH$147,0)),1,3)</f>
        <v>Esc</v>
      </c>
      <c r="D23" s="529" t="str">
        <f>IF(ISBLANK(INDEX(WORLDCUP!$AC$4:$AC$147,MATCH(A23,WORLDCUP!$AH$4:$AH$147,0))),"",INDEX(WORLDCUP!$AC$4:$AC$147,MATCH(A23,WORLDCUP!$AH$4:$AH$147,0)))</f>
        <v/>
      </c>
      <c r="E23" s="529" t="str">
        <f>IF(ISBLANK(INDEX(WORLDCUP!$AD$4:$AD$147,MATCH(A23,WORLDCUP!$AH$4:$AH$147,0))),"",INDEX(WORLDCUP!$AD$4:$AD$147,MATCH(A23,WORLDCUP!$AH$4:$AH$147,0)))</f>
        <v/>
      </c>
      <c r="F23" s="530" t="str">
        <f ca="1">+MID(INDEX(WORLDCUP!$AF$4:$AF$147,MATCH(A23,WORLDCUP!$AH$4:$AH$147,0)),1,3)</f>
        <v>Bra</v>
      </c>
      <c r="G23" s="551">
        <v>4</v>
      </c>
      <c r="H23" s="560" t="str">
        <f ca="1">+MID(INDEX(WORLDCUP!$AL$6:$AL$97,MATCH(L23,WORLDCUP!$AI$6:$AI$97,0)),1,3)</f>
        <v>Esc</v>
      </c>
      <c r="I23" s="561">
        <f ca="1">+INDEX(WORLDCUP!$AM$6:$AM$97,MATCH(L23,WORLDCUP!$AI$6:$AI$97,0))</f>
        <v>0</v>
      </c>
      <c r="J23" s="562">
        <f ca="1">+INDEX(WORLDCUP!$AT$6:$AT$97,MATCH(L23,WORLDCUP!$AI$6:$AI$97,0))</f>
        <v>0</v>
      </c>
      <c r="K23" s="563" t="str">
        <f ca="1">+INDEX(WORLDCUP!$AR$6:$AR$97,MATCH(L23,WORLDCUP!$AI$6:$AI$97,0))&amp;"-"&amp;INDEX(WORLDCUP!$AS$6:$AS$97,MATCH(L23,WORLDCUP!$AI$6:$AI$97,0))</f>
        <v>0-0</v>
      </c>
      <c r="L23" s="19" t="s">
        <v>657</v>
      </c>
      <c r="M23" s="19">
        <v>61</v>
      </c>
      <c r="N23" s="606"/>
      <c r="O23" s="528" t="str">
        <f ca="1">+MID(INDEX(WORLDCUP!$AA$4:$AA$147,MATCH(M23,WORLDCUP!$AH$4:$AH$147,0)),1,3)</f>
        <v>Nor</v>
      </c>
      <c r="P23" s="529" t="str">
        <f>IF(ISBLANK(INDEX(WORLDCUP!$AC$4:$AC$147,MATCH(M23,WORLDCUP!$AH$4:$AH$147,0))),"",INDEX(WORLDCUP!$AC$4:$AC$147,MATCH(M23,WORLDCUP!$AH$4:$AH$147,0)))</f>
        <v/>
      </c>
      <c r="Q23" s="529" t="str">
        <f>IF(ISBLANK(INDEX(WORLDCUP!$AD$4:$AD$147,MATCH(M23,WORLDCUP!$AH$4:$AH$147,0))),"",INDEX(WORLDCUP!$AD$4:$AD$147,MATCH(M23,WORLDCUP!$AH$4:$AH$147,0)))</f>
        <v/>
      </c>
      <c r="R23" s="530" t="str">
        <f ca="1">+MID(INDEX(WORLDCUP!$AF$4:$AF$147,MATCH(M23,WORLDCUP!$AH$4:$AH$147,0)),1,3)</f>
        <v>Fra</v>
      </c>
      <c r="S23" s="551">
        <v>4</v>
      </c>
      <c r="T23" s="560" t="str">
        <f ca="1">+MID(INDEX(WORLDCUP!$AL$6:$AL$97,MATCH(X23,WORLDCUP!$AI$6:$AI$97,0)),1,3)</f>
        <v>Nor</v>
      </c>
      <c r="U23" s="561">
        <f ca="1">+INDEX(WORLDCUP!$AM$6:$AM$97,MATCH(X23,WORLDCUP!$AI$6:$AI$97,0))</f>
        <v>0</v>
      </c>
      <c r="V23" s="562">
        <f ca="1">+INDEX(WORLDCUP!$AT$6:$AT$97,MATCH(X23,WORLDCUP!$AI$6:$AI$97,0))</f>
        <v>0</v>
      </c>
      <c r="W23" s="563" t="str">
        <f ca="1">+INDEX(WORLDCUP!$AR$6:$AR$97,MATCH(X23,WORLDCUP!$AI$6:$AI$97,0))&amp;"-"&amp;INDEX(WORLDCUP!$AS$6:$AS$97,MATCH(X23,WORLDCUP!$AI$6:$AI$97,0))</f>
        <v>0-0</v>
      </c>
      <c r="X23" s="19" t="s">
        <v>675</v>
      </c>
      <c r="Y23" s="19"/>
      <c r="Z23" s="509"/>
      <c r="AA23" s="553"/>
      <c r="AB23" s="553"/>
      <c r="AC23" s="554"/>
      <c r="AD23" s="19">
        <v>94</v>
      </c>
      <c r="AE23" s="540" t="str">
        <f>+MID(INDEX(WORLDCUP!$AF$101:$AF$147,MATCH(AD23,WORLDCUP!$Z$101:$Z$147,0)),1,3)</f>
        <v>W82</v>
      </c>
      <c r="AF23" s="541" t="str">
        <f>+IF(ISBLANK(INDEX(WORLDCUP!$AD$101:$AD$147,MATCH(AD23,WORLDCUP!$Z$101:$Z$147,0))),"",INDEX(WORLDCUP!$AD$101:$AD$147,MATCH(AD23,WORLDCUP!$Z$101:$Z$147,0)))</f>
        <v/>
      </c>
      <c r="AG23" s="558" t="str">
        <f>+IF(ISBLANK(INDEX(WORLDCUP!$AE$101:$AE$147,MATCH(AD23,WORLDCUP!$Z$101:$Z$147,0))),"","( "&amp;INDEX(WORLDCUP!$AE$101:$AE$147,MATCH(AD23,WORLDCUP!$Z$101:$Z$147,0))&amp;" )")</f>
        <v/>
      </c>
      <c r="AH23" s="19"/>
      <c r="AI23" s="543"/>
      <c r="AJ23" s="543"/>
      <c r="AK23" s="543"/>
      <c r="AL23" s="19"/>
      <c r="AM23" s="515"/>
      <c r="AN23" s="515"/>
      <c r="AO23" s="596"/>
      <c r="AP23" s="92"/>
      <c r="AQ23" s="544"/>
      <c r="AR23" s="544"/>
      <c r="AS23" s="544"/>
      <c r="AT23" s="19"/>
      <c r="AU23" s="517"/>
      <c r="AV23" s="517"/>
      <c r="AW23" s="517"/>
      <c r="AX23" s="19"/>
      <c r="AY23" s="612"/>
      <c r="AZ23" s="613"/>
      <c r="BA23" s="615"/>
      <c r="BB23" s="613" t="str">
        <f>+WORLDCUP!AA151</f>
        <v>LF</v>
      </c>
      <c r="BC23" s="614"/>
      <c r="BD23" s="297"/>
      <c r="BE23" s="297"/>
      <c r="BG23" s="546" t="str">
        <f ca="1">Horarios!Q22</f>
        <v>Escocia</v>
      </c>
      <c r="BH23" s="547">
        <f t="shared" ca="1" si="0"/>
        <v>1</v>
      </c>
      <c r="BI23" s="547">
        <f ca="1">COUNTIF(ADMIN!$M$130:$M$161,Fixture!BG23)-BJ23-BK23-BL23-BM23-BN23-BO23</f>
        <v>0</v>
      </c>
      <c r="BJ23" s="548">
        <f ca="1">COUNTIF(ADMIN!$M$182:$M$197,Fixture!BG23)-BK23-BL23-BM23-BN23-BO23</f>
        <v>0</v>
      </c>
      <c r="BK23" s="549">
        <f ca="1">COUNTIF(ADMIN!$M$210:$M$217,Fixture!BG23)-BL23-BM23-BN23-BO23</f>
        <v>0</v>
      </c>
      <c r="BL23" s="549">
        <f ca="1">COUNTIF(ADMIN!$M$226:$M$229,BG23)-BM23-BN23-BO23</f>
        <v>0</v>
      </c>
      <c r="BM23" s="547">
        <f ca="1">COUNTIF(ADMIN!$M$252,Fixture!BG23)</f>
        <v>0</v>
      </c>
      <c r="BN23" s="547">
        <f ca="1">COUNTIF(ADMIN!$M$251,Fixture!BG23)</f>
        <v>0</v>
      </c>
      <c r="BO23" s="550">
        <f ca="1">COUNTIF(ADMIN!$M$250,Fixture!BG23)</f>
        <v>0</v>
      </c>
    </row>
    <row r="24" spans="1:67" ht="15.75" thickBot="1">
      <c r="A24" s="19">
        <v>50</v>
      </c>
      <c r="B24" s="616"/>
      <c r="C24" s="571" t="str">
        <f ca="1">+MID(INDEX(WORLDCUP!$AA$4:$AA$147,MATCH(A24,WORLDCUP!$AH$4:$AH$147,0)),1,3)</f>
        <v>Mar</v>
      </c>
      <c r="D24" s="572" t="str">
        <f>IF(ISBLANK(INDEX(WORLDCUP!$AC$4:$AC$147,MATCH(A24,WORLDCUP!$AH$4:$AH$147,0))),"",INDEX(WORLDCUP!$AC$4:$AC$147,MATCH(A24,WORLDCUP!$AH$4:$AH$147,0)))</f>
        <v/>
      </c>
      <c r="E24" s="572" t="str">
        <f>IF(ISBLANK(INDEX(WORLDCUP!$AD$4:$AD$147,MATCH(A24,WORLDCUP!$AH$4:$AH$147,0))),"",INDEX(WORLDCUP!$AD$4:$AD$147,MATCH(A24,WORLDCUP!$AH$4:$AH$147,0)))</f>
        <v/>
      </c>
      <c r="F24" s="573" t="str">
        <f ca="1">+MID(INDEX(WORLDCUP!$AF$4:$AF$147,MATCH(A24,WORLDCUP!$AH$4:$AH$147,0)),1,3)</f>
        <v>Hai</v>
      </c>
      <c r="G24" s="574"/>
      <c r="H24" s="574"/>
      <c r="I24" s="575"/>
      <c r="J24" s="575"/>
      <c r="K24" s="576"/>
      <c r="L24" s="19"/>
      <c r="M24" s="19">
        <v>62</v>
      </c>
      <c r="N24" s="617"/>
      <c r="O24" s="571" t="str">
        <f ca="1">+MID(INDEX(WORLDCUP!$AA$4:$AA$147,MATCH(M24,WORLDCUP!$AH$4:$AH$147,0)),1,3)</f>
        <v>Sen</v>
      </c>
      <c r="P24" s="572" t="str">
        <f>IF(ISBLANK(INDEX(WORLDCUP!$AC$4:$AC$147,MATCH(M24,WORLDCUP!$AH$4:$AH$147,0))),"",INDEX(WORLDCUP!$AC$4:$AC$147,MATCH(M24,WORLDCUP!$AH$4:$AH$147,0)))</f>
        <v/>
      </c>
      <c r="Q24" s="572" t="str">
        <f>IF(ISBLANK(INDEX(WORLDCUP!$AD$4:$AD$147,MATCH(M24,WORLDCUP!$AH$4:$AH$147,0))),"",INDEX(WORLDCUP!$AD$4:$AD$147,MATCH(M24,WORLDCUP!$AH$4:$AH$147,0)))</f>
        <v/>
      </c>
      <c r="R24" s="573" t="str">
        <f ca="1">+MID(INDEX(WORLDCUP!$AF$4:$AF$147,MATCH(M24,WORLDCUP!$AH$4:$AH$147,0)),1,3)</f>
        <v>Ira</v>
      </c>
      <c r="S24" s="574"/>
      <c r="T24" s="574"/>
      <c r="U24" s="575"/>
      <c r="V24" s="575"/>
      <c r="W24" s="576"/>
      <c r="X24" s="19"/>
      <c r="Y24" s="19">
        <v>82</v>
      </c>
      <c r="Z24" s="509" t="s">
        <v>667</v>
      </c>
      <c r="AA24" s="510" t="str">
        <f ca="1">+MID(INDEX(WORLDCUP!$AA$101:$AA$147,MATCH(Y24,WORLDCUP!$Z$101:$Z$147,0)),1,3)</f>
        <v>1G</v>
      </c>
      <c r="AB24" s="556" t="str">
        <f>+IF(ISBLANK(INDEX(WORLDCUP!$AC$101:$AC$147,MATCH(Y24,WORLDCUP!$Z$101:$Z$147,0))),"",INDEX(WORLDCUP!$AC$101:$AC$147,MATCH(Y24,WORLDCUP!$Z$101:$Z$147,0)))</f>
        <v/>
      </c>
      <c r="AC24" s="590" t="str">
        <f>+IF(ISBLANK(INDEX(WORLDCUP!$AB$101:$AB$147,MATCH(Y24,WORLDCUP!$Z$101:$Z$147,0))),"","( "&amp;INDEX(WORLDCUP!$AB$101:$AB$147,MATCH(Y24,WORLDCUP!$Z$101:$Z$147,0))&amp;" )")</f>
        <v/>
      </c>
      <c r="AD24" s="19"/>
      <c r="AE24" s="513"/>
      <c r="AF24" s="513"/>
      <c r="AG24" s="513"/>
      <c r="AH24" s="19"/>
      <c r="AI24" s="543"/>
      <c r="AJ24" s="543"/>
      <c r="AK24" s="543"/>
      <c r="AL24" s="19"/>
      <c r="AM24" s="515"/>
      <c r="AN24" s="515"/>
      <c r="AO24" s="596"/>
      <c r="AP24" s="92"/>
      <c r="AQ24" s="544"/>
      <c r="AR24" s="544"/>
      <c r="AS24" s="544"/>
      <c r="AT24" s="19"/>
      <c r="AU24" s="517"/>
      <c r="AV24" s="517"/>
      <c r="AW24" s="517"/>
      <c r="AX24" s="19"/>
      <c r="AY24" s="612"/>
      <c r="AZ24" s="613"/>
      <c r="BA24" s="615"/>
      <c r="BB24" s="618"/>
      <c r="BC24" s="614"/>
      <c r="BD24" s="297"/>
      <c r="BE24" s="297"/>
      <c r="BG24" s="546" t="str">
        <f ca="1">Horarios!Q23</f>
        <v>España</v>
      </c>
      <c r="BH24" s="547">
        <f t="shared" ca="1" si="0"/>
        <v>1</v>
      </c>
      <c r="BI24" s="547">
        <f ca="1">COUNTIF(ADMIN!$M$130:$M$161,Fixture!BG24)-BJ24-BK24-BL24-BM24-BN24-BO24</f>
        <v>0</v>
      </c>
      <c r="BJ24" s="548">
        <f ca="1">COUNTIF(ADMIN!$M$182:$M$197,Fixture!BG24)-BK24-BL24-BM24-BN24-BO24</f>
        <v>0</v>
      </c>
      <c r="BK24" s="549">
        <f ca="1">COUNTIF(ADMIN!$M$210:$M$217,Fixture!BG24)-BL24-BM24-BN24-BO24</f>
        <v>0</v>
      </c>
      <c r="BL24" s="549">
        <f ca="1">COUNTIF(ADMIN!$M$226:$M$229,BG24)-BM24-BN24-BO24</f>
        <v>0</v>
      </c>
      <c r="BM24" s="547">
        <f ca="1">COUNTIF(ADMIN!$M$252,Fixture!BG24)</f>
        <v>0</v>
      </c>
      <c r="BN24" s="547">
        <f ca="1">COUNTIF(ADMIN!$M$251,Fixture!BG24)</f>
        <v>0</v>
      </c>
      <c r="BO24" s="550">
        <f ca="1">COUNTIF(ADMIN!$M$250,Fixture!BG24)</f>
        <v>0</v>
      </c>
    </row>
    <row r="25" spans="1:67" ht="15.75" thickBot="1">
      <c r="A25" s="19"/>
      <c r="B25" s="496"/>
      <c r="C25" s="580"/>
      <c r="D25" s="441"/>
      <c r="E25" s="441"/>
      <c r="F25" s="297"/>
      <c r="G25" s="297"/>
      <c r="H25" s="580"/>
      <c r="I25" s="297"/>
      <c r="J25" s="297"/>
      <c r="K25" s="297"/>
      <c r="L25" s="19"/>
      <c r="M25" s="19"/>
      <c r="N25" s="247"/>
      <c r="O25" s="297"/>
      <c r="P25" s="297"/>
      <c r="Q25" s="297"/>
      <c r="R25" s="297"/>
      <c r="S25" s="297"/>
      <c r="T25" s="297"/>
      <c r="U25" s="297"/>
      <c r="V25" s="297"/>
      <c r="W25" s="297"/>
      <c r="X25" s="19"/>
      <c r="Y25" s="19">
        <v>82</v>
      </c>
      <c r="Z25" s="509" t="s">
        <v>727</v>
      </c>
      <c r="AA25" s="564" t="str">
        <f ca="1">+MID(INDEX(WORLDCUP!$AF$101:$AF$147,MATCH(Y25,WORLDCUP!$Z$101:$Z$147,0)),1,IF(WORLDCUP!$H$113&lt;144,6,3))</f>
        <v>3AEHIJ</v>
      </c>
      <c r="AB25" s="565" t="str">
        <f>+IF(ISBLANK(INDEX(WORLDCUP!$AD$101:$AD$147,MATCH(Y25,WORLDCUP!$Z$101:$Z$147,0))),"",INDEX(WORLDCUP!$AD$101:$AD$147,MATCH(Y25,WORLDCUP!$Z$101:$Z$147,0)))</f>
        <v/>
      </c>
      <c r="AC25" s="591" t="str">
        <f>+IF(ISBLANK(INDEX(WORLDCUP!$AE$101:$AE$147,MATCH(Y25,WORLDCUP!$Z$101:$Z$147,0))),"","( "&amp;INDEX(WORLDCUP!$AE$101:$AE$147,MATCH(Y25,WORLDCUP!$Z$101:$Z$147,0))&amp;" )")</f>
        <v/>
      </c>
      <c r="AD25" s="19"/>
      <c r="AE25" s="513"/>
      <c r="AF25" s="513"/>
      <c r="AG25" s="513"/>
      <c r="AH25" s="19"/>
      <c r="AI25" s="543"/>
      <c r="AJ25" s="543"/>
      <c r="AK25" s="543"/>
      <c r="AL25" s="19"/>
      <c r="AM25" s="515"/>
      <c r="AN25" s="515"/>
      <c r="AO25" s="596"/>
      <c r="AP25" s="619"/>
      <c r="AQ25" s="620"/>
      <c r="AR25" s="620"/>
      <c r="AS25" s="620"/>
      <c r="AT25" s="621">
        <v>104</v>
      </c>
      <c r="AU25" s="622" t="str">
        <f>+MID(INDEX(WORLDCUP!$AA$101:$AA$147,MATCH(AT25,WORLDCUP!$Z$101:$Z$147,0)),1,4)</f>
        <v>W101</v>
      </c>
      <c r="AV25" s="623" t="str">
        <f>+IF(ISBLANK(INDEX(WORLDCUP!$AC$101:$AC$147,MATCH(AT25,WORLDCUP!$Z$101:$Z$147,0))),"",INDEX(WORLDCUP!$AC$101:$AC$147,MATCH(AT25,WORLDCUP!$Z$101:$Z$147,0)))</f>
        <v/>
      </c>
      <c r="AW25" s="624" t="str">
        <f>+IF(ISBLANK(INDEX(WORLDCUP!$AB$101:$AB$147,MATCH(AT25,WORLDCUP!$Z$101:$Z$147,0))),"","( "&amp;INDEX(WORLDCUP!$AB$101:$AB$147,MATCH(AT25,WORLDCUP!$Z$101:$Z$147,0))&amp;" )")</f>
        <v/>
      </c>
      <c r="AX25" s="625"/>
      <c r="AY25" s="612"/>
      <c r="AZ25" s="613" t="str">
        <f>+WORLDCUP!AA152</f>
        <v>W34</v>
      </c>
      <c r="BA25" s="615"/>
      <c r="BB25" s="618"/>
      <c r="BC25" s="614"/>
      <c r="BD25" s="297"/>
      <c r="BE25" s="297"/>
      <c r="BG25" s="546" t="str">
        <f ca="1">Horarios!Q24</f>
        <v>Estados Unidos</v>
      </c>
      <c r="BH25" s="547">
        <f t="shared" ca="1" si="0"/>
        <v>1</v>
      </c>
      <c r="BI25" s="547">
        <f ca="1">COUNTIF(ADMIN!$M$130:$M$161,Fixture!BG25)-BJ25-BK25-BL25-BM25-BN25-BO25</f>
        <v>0</v>
      </c>
      <c r="BJ25" s="548">
        <f ca="1">COUNTIF(ADMIN!$M$182:$M$197,Fixture!BG25)-BK25-BL25-BM25-BN25-BO25</f>
        <v>0</v>
      </c>
      <c r="BK25" s="549">
        <f ca="1">COUNTIF(ADMIN!$M$210:$M$217,Fixture!BG25)-BL25-BM25-BN25-BO25</f>
        <v>0</v>
      </c>
      <c r="BL25" s="549">
        <f ca="1">COUNTIF(ADMIN!$M$226:$M$229,BG25)-BM25-BN25-BO25</f>
        <v>0</v>
      </c>
      <c r="BM25" s="547">
        <f ca="1">COUNTIF(ADMIN!$M$252,Fixture!BG25)</f>
        <v>0</v>
      </c>
      <c r="BN25" s="547">
        <f ca="1">COUNTIF(ADMIN!$M$251,Fixture!BG25)</f>
        <v>0</v>
      </c>
      <c r="BO25" s="550">
        <f ca="1">COUNTIF(ADMIN!$M$250,Fixture!BG25)</f>
        <v>0</v>
      </c>
    </row>
    <row r="26" spans="1:67" ht="15.75" thickBot="1">
      <c r="A26" s="19"/>
      <c r="B26" s="496"/>
      <c r="C26" s="580"/>
      <c r="D26" s="441"/>
      <c r="E26" s="441"/>
      <c r="F26" s="297"/>
      <c r="G26" s="297"/>
      <c r="H26" s="580"/>
      <c r="I26" s="297"/>
      <c r="J26" s="297"/>
      <c r="K26" s="297"/>
      <c r="L26" s="19"/>
      <c r="M26" s="19"/>
      <c r="N26" s="247"/>
      <c r="O26" s="297"/>
      <c r="P26" s="297"/>
      <c r="Q26" s="297"/>
      <c r="R26" s="297"/>
      <c r="S26" s="297"/>
      <c r="T26" s="297"/>
      <c r="U26" s="297"/>
      <c r="V26" s="297"/>
      <c r="W26" s="297"/>
      <c r="X26" s="19"/>
      <c r="Y26" s="19"/>
      <c r="Z26" s="509"/>
      <c r="AA26" s="578"/>
      <c r="AB26" s="578"/>
      <c r="AC26" s="578"/>
      <c r="AD26" s="19"/>
      <c r="AE26" s="513"/>
      <c r="AF26" s="513"/>
      <c r="AG26" s="558"/>
      <c r="AH26" s="19"/>
      <c r="AI26" s="543"/>
      <c r="AJ26" s="543"/>
      <c r="AK26" s="543"/>
      <c r="AL26" s="19"/>
      <c r="AM26" s="515"/>
      <c r="AN26" s="515"/>
      <c r="AO26" s="596"/>
      <c r="AP26" s="19"/>
      <c r="AQ26" s="544"/>
      <c r="AR26" s="544"/>
      <c r="AS26" s="544"/>
      <c r="AT26" s="19">
        <v>104</v>
      </c>
      <c r="AU26" s="622" t="str">
        <f>+MID(INDEX(WORLDCUP!$AF$101:$AF$147,MATCH(AT26,WORLDCUP!$Z$101:$Z$147,0)),1,4)</f>
        <v>W102</v>
      </c>
      <c r="AV26" s="623" t="str">
        <f>+IF(ISBLANK(INDEX(WORLDCUP!$AD$101:$AD$147,MATCH(AT26,WORLDCUP!$Z$101:$Z$147,0))),"",INDEX(WORLDCUP!$AD$101:$AD$147,MATCH(AT26,WORLDCUP!$Z$101:$Z$147,0)))</f>
        <v/>
      </c>
      <c r="AW26" s="517" t="str">
        <f>+IF(ISBLANK(INDEX(WORLDCUP!$AE$101:$AE$147,MATCH(AT26,WORLDCUP!$Z$101:$Z$147,0))),"","( "&amp;INDEX(WORLDCUP!$AE$101:$AE$147,MATCH(AT26,WORLDCUP!$Z$101:$Z$147,0))&amp;" )")</f>
        <v/>
      </c>
      <c r="AX26" s="19"/>
      <c r="AY26" s="612"/>
      <c r="AZ26" s="626"/>
      <c r="BA26" s="615"/>
      <c r="BB26" s="618"/>
      <c r="BC26" s="614"/>
      <c r="BD26" s="297"/>
      <c r="BE26" s="297"/>
      <c r="BG26" s="546" t="str">
        <f ca="1">Horarios!Q25</f>
        <v>Francia</v>
      </c>
      <c r="BH26" s="547">
        <f t="shared" ca="1" si="0"/>
        <v>1</v>
      </c>
      <c r="BI26" s="547">
        <f ca="1">COUNTIF(ADMIN!$M$130:$M$161,Fixture!BG26)-BJ26-BK26-BL26-BM26-BN26-BO26</f>
        <v>0</v>
      </c>
      <c r="BJ26" s="548">
        <f ca="1">COUNTIF(ADMIN!$M$182:$M$197,Fixture!BG26)-BK26-BL26-BM26-BN26-BO26</f>
        <v>0</v>
      </c>
      <c r="BK26" s="549">
        <f ca="1">COUNTIF(ADMIN!$M$210:$M$217,Fixture!BG26)-BL26-BM26-BN26-BO26</f>
        <v>0</v>
      </c>
      <c r="BL26" s="549">
        <f ca="1">COUNTIF(ADMIN!$M$226:$M$229,BG26)-BM26-BN26-BO26</f>
        <v>0</v>
      </c>
      <c r="BM26" s="547">
        <f ca="1">COUNTIF(ADMIN!$M$252,Fixture!BG26)</f>
        <v>0</v>
      </c>
      <c r="BN26" s="547">
        <f ca="1">COUNTIF(ADMIN!$M$251,Fixture!BG26)</f>
        <v>0</v>
      </c>
      <c r="BO26" s="550">
        <f ca="1">COUNTIF(ADMIN!$M$250,Fixture!BG26)</f>
        <v>0</v>
      </c>
    </row>
    <row r="27" spans="1:67" ht="15.75" thickBot="1">
      <c r="A27" s="19">
        <v>4</v>
      </c>
      <c r="B27" s="627" t="s">
        <v>73</v>
      </c>
      <c r="C27" s="501" t="str">
        <f ca="1">+MID(INDEX(WORLDCUP!$AA$4:$AA$147,MATCH(A27,WORLDCUP!$AH$4:$AH$147,0)),1,3)</f>
        <v>Est</v>
      </c>
      <c r="D27" s="502" t="str">
        <f>IF(ISBLANK(INDEX(WORLDCUP!$AC$4:$AC$147,MATCH(A27,WORLDCUP!$AH$4:$AH$147,0))),"",INDEX(WORLDCUP!$AC$4:$AC$147,MATCH(A27,WORLDCUP!$AH$4:$AH$147,0)))</f>
        <v/>
      </c>
      <c r="E27" s="502" t="str">
        <f>IF(ISBLANK(INDEX(WORLDCUP!$AD$4:$AD$147,MATCH(A27,WORLDCUP!$AH$4:$AH$147,0))),"",INDEX(WORLDCUP!$AD$4:$AD$147,MATCH(A27,WORLDCUP!$AH$4:$AH$147,0)))</f>
        <v/>
      </c>
      <c r="F27" s="503" t="str">
        <f ca="1">+MID(INDEX(WORLDCUP!$AF$4:$AF$147,MATCH(A27,WORLDCUP!$AH$4:$AH$147,0)),1,3)</f>
        <v>Par</v>
      </c>
      <c r="G27" s="504"/>
      <c r="H27" s="505" t="str">
        <f>+H19</f>
        <v>Sel</v>
      </c>
      <c r="I27" s="506" t="str">
        <f>+I19</f>
        <v>Pts</v>
      </c>
      <c r="J27" s="506" t="str">
        <f>+J19</f>
        <v>DG</v>
      </c>
      <c r="K27" s="507" t="str">
        <f>+K19</f>
        <v>GF-GC</v>
      </c>
      <c r="L27" s="19"/>
      <c r="M27" s="19">
        <v>19</v>
      </c>
      <c r="N27" s="628" t="s">
        <v>5</v>
      </c>
      <c r="O27" s="501" t="str">
        <f ca="1">+MID(INDEX(WORLDCUP!$AA$4:$AA$147,MATCH(M27,WORLDCUP!$AH$4:$AH$147,0)),1,3)</f>
        <v>Arg</v>
      </c>
      <c r="P27" s="502" t="str">
        <f>IF(ISBLANK(INDEX(WORLDCUP!$AC$4:$AC$147,MATCH(M27,WORLDCUP!$AH$4:$AH$147,0))),"",INDEX(WORLDCUP!$AC$4:$AC$147,MATCH(M27,WORLDCUP!$AH$4:$AH$147,0)))</f>
        <v/>
      </c>
      <c r="Q27" s="502" t="str">
        <f>IF(ISBLANK(INDEX(WORLDCUP!$AD$4:$AD$147,MATCH(M27,WORLDCUP!$AH$4:$AH$147,0))),"",INDEX(WORLDCUP!$AD$4:$AD$147,MATCH(M27,WORLDCUP!$AH$4:$AH$147,0)))</f>
        <v/>
      </c>
      <c r="R27" s="503" t="str">
        <f ca="1">+MID(INDEX(WORLDCUP!$AF$4:$AF$147,MATCH(M27,WORLDCUP!$AH$4:$AH$147,0)),1,3)</f>
        <v>Arg</v>
      </c>
      <c r="S27" s="504"/>
      <c r="T27" s="505" t="str">
        <f>+T19</f>
        <v>Sel</v>
      </c>
      <c r="U27" s="506" t="str">
        <f>+U19</f>
        <v>Pts</v>
      </c>
      <c r="V27" s="506" t="str">
        <f>+V19</f>
        <v>DG</v>
      </c>
      <c r="W27" s="507" t="str">
        <f>+W19</f>
        <v>GF-GC</v>
      </c>
      <c r="X27" s="19"/>
      <c r="Y27" s="19">
        <v>76</v>
      </c>
      <c r="Z27" s="509" t="s">
        <v>651</v>
      </c>
      <c r="AA27" s="510" t="str">
        <f ca="1">+MID(INDEX(WORLDCUP!$AA$101:$AA$147,MATCH(Y27,WORLDCUP!$Z$101:$Z$147,0)),1,3)</f>
        <v>1C</v>
      </c>
      <c r="AB27" s="511" t="str">
        <f>+IF(ISBLANK(INDEX(WORLDCUP!$AC$101:$AC$147,MATCH(Y27,WORLDCUP!$Z$101:$Z$147,0))),"",INDEX(WORLDCUP!$AC$101:$AC$147,MATCH(Y27,WORLDCUP!$Z$101:$Z$147,0)))</f>
        <v/>
      </c>
      <c r="AC27" s="581" t="str">
        <f>+IF(ISBLANK(INDEX(WORLDCUP!$AB$101:$AB$147,MATCH(Y27,WORLDCUP!$Z$101:$Z$147,0))),"","( "&amp;INDEX(WORLDCUP!$AB$101:$AB$147,MATCH(Y27,WORLDCUP!$Z$101:$Z$147,0))&amp;" )")</f>
        <v/>
      </c>
      <c r="AD27" s="18"/>
      <c r="AE27" s="513"/>
      <c r="AF27" s="513"/>
      <c r="AG27" s="513"/>
      <c r="AH27" s="19"/>
      <c r="AI27" s="543"/>
      <c r="AJ27" s="543"/>
      <c r="AK27" s="543"/>
      <c r="AL27" s="19"/>
      <c r="AM27" s="515"/>
      <c r="AN27" s="515"/>
      <c r="AO27" s="596"/>
      <c r="AP27" s="92"/>
      <c r="AQ27" s="544"/>
      <c r="AR27" s="544"/>
      <c r="AS27" s="544"/>
      <c r="AT27" s="19"/>
      <c r="AU27" s="517"/>
      <c r="AV27" s="517"/>
      <c r="AW27" s="517"/>
      <c r="AX27" s="19"/>
      <c r="AY27" s="612"/>
      <c r="AZ27" s="626"/>
      <c r="BA27" s="615"/>
      <c r="BB27" s="618"/>
      <c r="BC27" s="614"/>
      <c r="BD27" s="297"/>
      <c r="BE27" s="297"/>
      <c r="BG27" s="546" t="str">
        <f ca="1">Horarios!Q26</f>
        <v>Ghana</v>
      </c>
      <c r="BH27" s="547">
        <f t="shared" ca="1" si="0"/>
        <v>1</v>
      </c>
      <c r="BI27" s="547">
        <f ca="1">COUNTIF(ADMIN!$M$130:$M$161,Fixture!BG27)-BJ27-BK27-BL27-BM27-BN27-BO27</f>
        <v>0</v>
      </c>
      <c r="BJ27" s="548">
        <f ca="1">COUNTIF(ADMIN!$M$182:$M$197,Fixture!BG27)-BK27-BL27-BM27-BN27-BO27</f>
        <v>0</v>
      </c>
      <c r="BK27" s="549">
        <f ca="1">COUNTIF(ADMIN!$M$210:$M$217,Fixture!BG27)-BL27-BM27-BN27-BO27</f>
        <v>0</v>
      </c>
      <c r="BL27" s="549">
        <f ca="1">COUNTIF(ADMIN!$M$226:$M$229,BG27)-BM27-BN27-BO27</f>
        <v>0</v>
      </c>
      <c r="BM27" s="547">
        <f ca="1">COUNTIF(ADMIN!$M$252,Fixture!BG27)</f>
        <v>0</v>
      </c>
      <c r="BN27" s="547">
        <f ca="1">COUNTIF(ADMIN!$M$251,Fixture!BG27)</f>
        <v>0</v>
      </c>
      <c r="BO27" s="550">
        <f ca="1">COUNTIF(ADMIN!$M$250,Fixture!BG27)</f>
        <v>0</v>
      </c>
    </row>
    <row r="28" spans="1:67" ht="15.75" thickBot="1">
      <c r="A28" s="19">
        <v>6</v>
      </c>
      <c r="B28" s="629"/>
      <c r="C28" s="528" t="str">
        <f ca="1">+MID(INDEX(WORLDCUP!$AA$4:$AA$147,MATCH(A28,WORLDCUP!$AH$4:$AH$147,0)),1,3)</f>
        <v>Aus</v>
      </c>
      <c r="D28" s="529" t="str">
        <f>IF(ISBLANK(INDEX(WORLDCUP!$AC$4:$AC$147,MATCH(A28,WORLDCUP!$AH$4:$AH$147,0))),"",INDEX(WORLDCUP!$AC$4:$AC$147,MATCH(A28,WORLDCUP!$AH$4:$AH$147,0)))</f>
        <v/>
      </c>
      <c r="E28" s="529" t="str">
        <f>IF(ISBLANK(INDEX(WORLDCUP!$AD$4:$AD$147,MATCH(A28,WORLDCUP!$AH$4:$AH$147,0))),"",INDEX(WORLDCUP!$AD$4:$AD$147,MATCH(A28,WORLDCUP!$AH$4:$AH$147,0)))</f>
        <v/>
      </c>
      <c r="F28" s="530" t="str">
        <f ca="1">+MID(INDEX(WORLDCUP!$AF$4:$AF$147,MATCH(A28,WORLDCUP!$AH$4:$AH$147,0)),1,3)</f>
        <v>Tur</v>
      </c>
      <c r="G28" s="531">
        <v>1</v>
      </c>
      <c r="H28" s="532" t="str">
        <f ca="1">+MID(INDEX(WORLDCUP!$AL$6:$AL$97,MATCH(L28,WORLDCUP!$AI$6:$AI$97,0)),1,3)</f>
        <v>Est</v>
      </c>
      <c r="I28" s="533">
        <f ca="1">+INDEX(WORLDCUP!$AM$6:$AM$97,MATCH(L28,WORLDCUP!$AI$6:$AI$97,0))</f>
        <v>0</v>
      </c>
      <c r="J28" s="534">
        <f ca="1">+INDEX(WORLDCUP!$AT$6:$AT$97,MATCH(L28,WORLDCUP!$AI$6:$AI$97,0))</f>
        <v>0</v>
      </c>
      <c r="K28" s="535" t="str">
        <f ca="1">+INDEX(WORLDCUP!$AR$6:$AR$97,MATCH(L28,WORLDCUP!$AI$6:$AI$97,0))&amp;"-"&amp;INDEX(WORLDCUP!$AS$6:$AS$97,MATCH(L28,WORLDCUP!$AI$6:$AI$97,0))</f>
        <v>0-0</v>
      </c>
      <c r="L28" s="19" t="s">
        <v>658</v>
      </c>
      <c r="M28" s="19">
        <v>20</v>
      </c>
      <c r="N28" s="630"/>
      <c r="O28" s="528" t="str">
        <f ca="1">+MID(INDEX(WORLDCUP!$AA$4:$AA$147,MATCH(M28,WORLDCUP!$AH$4:$AH$147,0)),1,3)</f>
        <v>Aus</v>
      </c>
      <c r="P28" s="529" t="str">
        <f>IF(ISBLANK(INDEX(WORLDCUP!$AC$4:$AC$147,MATCH(M28,WORLDCUP!$AH$4:$AH$147,0))),"",INDEX(WORLDCUP!$AC$4:$AC$147,MATCH(M28,WORLDCUP!$AH$4:$AH$147,0)))</f>
        <v/>
      </c>
      <c r="Q28" s="529" t="str">
        <f>IF(ISBLANK(INDEX(WORLDCUP!$AD$4:$AD$147,MATCH(M28,WORLDCUP!$AH$4:$AH$147,0))),"",INDEX(WORLDCUP!$AD$4:$AD$147,MATCH(M28,WORLDCUP!$AH$4:$AH$147,0)))</f>
        <v/>
      </c>
      <c r="R28" s="530" t="str">
        <f ca="1">+MID(INDEX(WORLDCUP!$AF$4:$AF$147,MATCH(M28,WORLDCUP!$AH$4:$AH$147,0)),1,3)</f>
        <v>Jor</v>
      </c>
      <c r="S28" s="531">
        <v>1</v>
      </c>
      <c r="T28" s="532" t="str">
        <f ca="1">+MID(INDEX(WORLDCUP!$AL$6:$AL$97,MATCH(X28,WORLDCUP!$AI$6:$AI$97,0)),1,3)</f>
        <v>Arg</v>
      </c>
      <c r="U28" s="533">
        <f ca="1">+INDEX(WORLDCUP!$AM$6:$AM$97,MATCH(X28,WORLDCUP!$AI$6:$AI$97,0))</f>
        <v>0</v>
      </c>
      <c r="V28" s="534">
        <f ca="1">+INDEX(WORLDCUP!$AT$6:$AT$97,MATCH(X28,WORLDCUP!$AI$6:$AI$97,0))</f>
        <v>0</v>
      </c>
      <c r="W28" s="535" t="str">
        <f ca="1">+INDEX(WORLDCUP!$AR$6:$AR$97,MATCH(X28,WORLDCUP!$AI$6:$AI$97,0))&amp;"-"&amp;INDEX(WORLDCUP!$AS$6:$AS$97,MATCH(X28,WORLDCUP!$AI$6:$AI$97,0))</f>
        <v>0-0</v>
      </c>
      <c r="X28" s="19" t="s">
        <v>676</v>
      </c>
      <c r="Y28" s="19">
        <v>76</v>
      </c>
      <c r="Z28" s="509" t="s">
        <v>665</v>
      </c>
      <c r="AA28" s="510" t="str">
        <f ca="1">+MID(INDEX(WORLDCUP!$AF$101:$AF$147,MATCH(Y28,WORLDCUP!$Z$101:$Z$147,0)),1,3)</f>
        <v>2F</v>
      </c>
      <c r="AB28" s="537" t="str">
        <f>+IF(ISBLANK(INDEX(WORLDCUP!$AD$101:$AD$147,MATCH(Y28,WORLDCUP!$Z$101:$Z$147,0))),"",INDEX(WORLDCUP!$AD$101:$AD$147,MATCH(Y28,WORLDCUP!$Z$101:$Z$147,0)))</f>
        <v/>
      </c>
      <c r="AC28" s="538" t="str">
        <f>+IF(ISBLANK(INDEX(WORLDCUP!$AE$101:$AE$147,MATCH(Y28,WORLDCUP!$Z$101:$Z$147,0))),"","( "&amp;INDEX(WORLDCUP!$AE$101:$AE$147,MATCH(Y28,WORLDCUP!$Z$101:$Z$147,0))&amp;" )")</f>
        <v/>
      </c>
      <c r="AD28" s="539">
        <v>91</v>
      </c>
      <c r="AE28" s="540" t="str">
        <f>+MID(INDEX(WORLDCUP!$AA$101:$AA$147,MATCH(AD28,WORLDCUP!$Z$101:$Z$147,0)),1,3)</f>
        <v>W76</v>
      </c>
      <c r="AF28" s="541" t="str">
        <f>+IF(ISBLANK(INDEX(WORLDCUP!$AC$101:$AC$147,MATCH(AD28,WORLDCUP!$Z$101:$Z$147,0))),"",INDEX(WORLDCUP!$AC$101:$AC$147,MATCH(AD28,WORLDCUP!$Z$101:$Z$147,0)))</f>
        <v/>
      </c>
      <c r="AG28" s="542" t="str">
        <f>+IF(ISBLANK(INDEX(WORLDCUP!$AB$101:$AB$147,MATCH(AD28,WORLDCUP!$Z$101:$Z$147,0))),"","( "&amp;INDEX(WORLDCUP!$AB$101:$AB$147,MATCH(AD28,WORLDCUP!$Z$101:$Z$147,0))&amp;" )")</f>
        <v/>
      </c>
      <c r="AH28" s="19"/>
      <c r="AI28" s="543"/>
      <c r="AJ28" s="543"/>
      <c r="AK28" s="543"/>
      <c r="AL28" s="19"/>
      <c r="AM28" s="515"/>
      <c r="AN28" s="515"/>
      <c r="AO28" s="596"/>
      <c r="AP28" s="92"/>
      <c r="AQ28" s="544"/>
      <c r="AR28" s="544"/>
      <c r="AS28" s="544"/>
      <c r="AT28" s="19"/>
      <c r="AU28" s="517"/>
      <c r="AV28" s="517"/>
      <c r="AW28" s="517"/>
      <c r="AX28" s="19"/>
      <c r="AY28" s="612"/>
      <c r="AZ28" s="626"/>
      <c r="BA28" s="615"/>
      <c r="BB28" s="618"/>
      <c r="BC28" s="614"/>
      <c r="BD28" s="297"/>
      <c r="BE28" s="297"/>
      <c r="BG28" s="546" t="str">
        <f ca="1">Horarios!Q27</f>
        <v>Haití</v>
      </c>
      <c r="BH28" s="547">
        <f t="shared" ca="1" si="0"/>
        <v>1</v>
      </c>
      <c r="BI28" s="547">
        <f ca="1">COUNTIF(ADMIN!$M$130:$M$161,Fixture!BG28)-BJ28-BK28-BL28-BM28-BN28-BO28</f>
        <v>0</v>
      </c>
      <c r="BJ28" s="548">
        <f ca="1">COUNTIF(ADMIN!$M$182:$M$197,Fixture!BG28)-BK28-BL28-BM28-BN28-BO28</f>
        <v>0</v>
      </c>
      <c r="BK28" s="549">
        <f ca="1">COUNTIF(ADMIN!$M$210:$M$217,Fixture!BG28)-BL28-BM28-BN28-BO28</f>
        <v>0</v>
      </c>
      <c r="BL28" s="549">
        <f ca="1">COUNTIF(ADMIN!$M$226:$M$229,BG28)-BM28-BN28-BO28</f>
        <v>0</v>
      </c>
      <c r="BM28" s="547">
        <f ca="1">COUNTIF(ADMIN!$M$252,Fixture!BG28)</f>
        <v>0</v>
      </c>
      <c r="BN28" s="547">
        <f ca="1">COUNTIF(ADMIN!$M$251,Fixture!BG28)</f>
        <v>0</v>
      </c>
      <c r="BO28" s="550">
        <f ca="1">COUNTIF(ADMIN!$M$250,Fixture!BG28)</f>
        <v>0</v>
      </c>
    </row>
    <row r="29" spans="1:67">
      <c r="A29" s="19">
        <v>32</v>
      </c>
      <c r="B29" s="629"/>
      <c r="C29" s="528" t="str">
        <f ca="1">+MID(INDEX(WORLDCUP!$AA$4:$AA$147,MATCH(A29,WORLDCUP!$AH$4:$AH$147,0)),1,3)</f>
        <v>Est</v>
      </c>
      <c r="D29" s="529" t="str">
        <f>IF(ISBLANK(INDEX(WORLDCUP!$AC$4:$AC$147,MATCH(A29,WORLDCUP!$AH$4:$AH$147,0))),"",INDEX(WORLDCUP!$AC$4:$AC$147,MATCH(A29,WORLDCUP!$AH$4:$AH$147,0)))</f>
        <v/>
      </c>
      <c r="E29" s="529" t="str">
        <f>IF(ISBLANK(INDEX(WORLDCUP!$AD$4:$AD$147,MATCH(A29,WORLDCUP!$AH$4:$AH$147,0))),"",INDEX(WORLDCUP!$AD$4:$AD$147,MATCH(A29,WORLDCUP!$AH$4:$AH$147,0)))</f>
        <v/>
      </c>
      <c r="F29" s="530" t="str">
        <f ca="1">+MID(INDEX(WORLDCUP!$AF$4:$AF$147,MATCH(A29,WORLDCUP!$AH$4:$AH$147,0)),1,3)</f>
        <v>Aus</v>
      </c>
      <c r="G29" s="551">
        <v>2</v>
      </c>
      <c r="H29" s="552"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0"/>
      <c r="O29" s="528" t="str">
        <f ca="1">+MID(INDEX(WORLDCUP!$AA$4:$AA$147,MATCH(M29,WORLDCUP!$AH$4:$AH$147,0)),1,3)</f>
        <v>Arg</v>
      </c>
      <c r="P29" s="529" t="str">
        <f>IF(ISBLANK(INDEX(WORLDCUP!$AC$4:$AC$147,MATCH(M29,WORLDCUP!$AH$4:$AH$147,0))),"",INDEX(WORLDCUP!$AC$4:$AC$147,MATCH(M29,WORLDCUP!$AH$4:$AH$147,0)))</f>
        <v/>
      </c>
      <c r="Q29" s="529" t="str">
        <f>IF(ISBLANK(INDEX(WORLDCUP!$AD$4:$AD$147,MATCH(M29,WORLDCUP!$AH$4:$AH$147,0))),"",INDEX(WORLDCUP!$AD$4:$AD$147,MATCH(M29,WORLDCUP!$AH$4:$AH$147,0)))</f>
        <v/>
      </c>
      <c r="R29" s="530" t="str">
        <f ca="1">+MID(INDEX(WORLDCUP!$AF$4:$AF$147,MATCH(M29,WORLDCUP!$AH$4:$AH$147,0)),1,3)</f>
        <v>Aus</v>
      </c>
      <c r="S29" s="551">
        <v>2</v>
      </c>
      <c r="T29" s="552"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09"/>
      <c r="AA29" s="553"/>
      <c r="AB29" s="553"/>
      <c r="AC29" s="554"/>
      <c r="AD29" s="19">
        <v>91</v>
      </c>
      <c r="AE29" s="540" t="str">
        <f>+MID(INDEX(WORLDCUP!$AF$101:$AF$147,MATCH(AD29,WORLDCUP!$Z$101:$Z$147,0)),1,3)</f>
        <v>W78</v>
      </c>
      <c r="AF29" s="541" t="str">
        <f>+IF(ISBLANK(INDEX(WORLDCUP!$AD$101:$AD$147,MATCH(AD29,WORLDCUP!$Z$101:$Z$147,0))),"",INDEX(WORLDCUP!$AD$101:$AD$147,MATCH(AD29,WORLDCUP!$Z$101:$Z$147,0)))</f>
        <v/>
      </c>
      <c r="AG29" s="599" t="str">
        <f>+IF(ISBLANK(INDEX(WORLDCUP!$AE$101:$AE$147,MATCH(AD29,WORLDCUP!$Z$101:$Z$147,0))),"","( "&amp;INDEX(WORLDCUP!$AE$101:$AE$147,MATCH(AD29,WORLDCUP!$Z$101:$Z$147,0))&amp;" )")</f>
        <v/>
      </c>
      <c r="AH29" s="19"/>
      <c r="AI29" s="543"/>
      <c r="AJ29" s="543"/>
      <c r="AK29" s="543"/>
      <c r="AL29" s="19"/>
      <c r="AM29" s="515"/>
      <c r="AN29" s="515"/>
      <c r="AO29" s="596"/>
      <c r="AP29" s="92"/>
      <c r="AQ29" s="544"/>
      <c r="AR29" s="544"/>
      <c r="AS29" s="544"/>
      <c r="AT29" s="19"/>
      <c r="AU29" s="517"/>
      <c r="AV29" s="517"/>
      <c r="AW29" s="517"/>
      <c r="AX29" s="19"/>
      <c r="AY29" s="612"/>
      <c r="AZ29" s="626"/>
      <c r="BA29" s="615"/>
      <c r="BB29" s="618"/>
      <c r="BC29" s="614"/>
      <c r="BD29" s="297"/>
      <c r="BE29" s="297"/>
      <c r="BG29" s="546" t="str">
        <f ca="1">Horarios!Q28</f>
        <v>Inglaterra</v>
      </c>
      <c r="BH29" s="547">
        <f t="shared" ca="1" si="0"/>
        <v>1</v>
      </c>
      <c r="BI29" s="547">
        <f ca="1">COUNTIF(ADMIN!$M$130:$M$161,Fixture!BG29)-BJ29-BK29-BL29-BM29-BN29-BO29</f>
        <v>0</v>
      </c>
      <c r="BJ29" s="548">
        <f ca="1">COUNTIF(ADMIN!$M$182:$M$197,Fixture!BG29)-BK29-BL29-BM29-BN29-BO29</f>
        <v>0</v>
      </c>
      <c r="BK29" s="549">
        <f ca="1">COUNTIF(ADMIN!$M$210:$M$217,Fixture!BG29)-BL29-BM29-BN29-BO29</f>
        <v>0</v>
      </c>
      <c r="BL29" s="549">
        <f ca="1">COUNTIF(ADMIN!$M$226:$M$229,BG29)-BM29-BN29-BO29</f>
        <v>0</v>
      </c>
      <c r="BM29" s="547">
        <f ca="1">COUNTIF(ADMIN!$M$252,Fixture!BG29)</f>
        <v>0</v>
      </c>
      <c r="BN29" s="547">
        <f ca="1">COUNTIF(ADMIN!$M$251,Fixture!BG29)</f>
        <v>0</v>
      </c>
      <c r="BO29" s="550">
        <f ca="1">COUNTIF(ADMIN!$M$250,Fixture!BG29)</f>
        <v>0</v>
      </c>
    </row>
    <row r="30" spans="1:67" ht="15.75" thickBot="1">
      <c r="A30" s="19">
        <v>31</v>
      </c>
      <c r="B30" s="629"/>
      <c r="C30" s="528" t="str">
        <f ca="1">+MID(INDEX(WORLDCUP!$AA$4:$AA$147,MATCH(A30,WORLDCUP!$AH$4:$AH$147,0)),1,3)</f>
        <v>Tur</v>
      </c>
      <c r="D30" s="529" t="str">
        <f>IF(ISBLANK(INDEX(WORLDCUP!$AC$4:$AC$147,MATCH(A30,WORLDCUP!$AH$4:$AH$147,0))),"",INDEX(WORLDCUP!$AC$4:$AC$147,MATCH(A30,WORLDCUP!$AH$4:$AH$147,0)))</f>
        <v/>
      </c>
      <c r="E30" s="529" t="str">
        <f>IF(ISBLANK(INDEX(WORLDCUP!$AD$4:$AD$147,MATCH(A30,WORLDCUP!$AH$4:$AH$147,0))),"",INDEX(WORLDCUP!$AD$4:$AD$147,MATCH(A30,WORLDCUP!$AH$4:$AH$147,0)))</f>
        <v/>
      </c>
      <c r="F30" s="530" t="str">
        <f ca="1">+MID(INDEX(WORLDCUP!$AF$4:$AF$147,MATCH(A30,WORLDCUP!$AH$4:$AH$147,0)),1,3)</f>
        <v>Par</v>
      </c>
      <c r="G30" s="551">
        <v>3</v>
      </c>
      <c r="H30" s="552"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0"/>
      <c r="O30" s="528" t="str">
        <f ca="1">+MID(INDEX(WORLDCUP!$AA$4:$AA$147,MATCH(M30,WORLDCUP!$AH$4:$AH$147,0)),1,3)</f>
        <v>Jor</v>
      </c>
      <c r="P30" s="529" t="str">
        <f>IF(ISBLANK(INDEX(WORLDCUP!$AC$4:$AC$147,MATCH(M30,WORLDCUP!$AH$4:$AH$147,0))),"",INDEX(WORLDCUP!$AC$4:$AC$147,MATCH(M30,WORLDCUP!$AH$4:$AH$147,0)))</f>
        <v/>
      </c>
      <c r="Q30" s="529" t="str">
        <f>IF(ISBLANK(INDEX(WORLDCUP!$AD$4:$AD$147,MATCH(M30,WORLDCUP!$AH$4:$AH$147,0))),"",INDEX(WORLDCUP!$AD$4:$AD$147,MATCH(M30,WORLDCUP!$AH$4:$AH$147,0)))</f>
        <v/>
      </c>
      <c r="R30" s="530" t="str">
        <f ca="1">+MID(INDEX(WORLDCUP!$AF$4:$AF$147,MATCH(M30,WORLDCUP!$AH$4:$AH$147,0)),1,3)</f>
        <v>Arg</v>
      </c>
      <c r="S30" s="551">
        <v>3</v>
      </c>
      <c r="T30" s="552"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09" t="s">
        <v>662</v>
      </c>
      <c r="AA30" s="510" t="str">
        <f ca="1">+MID(INDEX(WORLDCUP!$AA$101:$AA$147,MATCH(Y30,WORLDCUP!$Z$101:$Z$147,0)),1,3)</f>
        <v>2E</v>
      </c>
      <c r="AB30" s="556" t="str">
        <f>+IF(ISBLANK(INDEX(WORLDCUP!$AC$101:$AC$147,MATCH(Y30,WORLDCUP!$Z$101:$Z$147,0))),"",INDEX(WORLDCUP!$AC$101:$AC$147,MATCH(Y30,WORLDCUP!$Z$101:$Z$147,0)))</f>
        <v/>
      </c>
      <c r="AC30" s="590" t="str">
        <f>+IF(ISBLANK(INDEX(WORLDCUP!$AB$101:$AB$147,MATCH(Y30,WORLDCUP!$Z$101:$Z$147,0))),"","( "&amp;INDEX(WORLDCUP!$AB$101:$AB$147,MATCH(Y30,WORLDCUP!$Z$101:$Z$147,0))&amp;" )")</f>
        <v/>
      </c>
      <c r="AD30" s="19"/>
      <c r="AE30" s="558"/>
      <c r="AF30" s="558"/>
      <c r="AG30" s="559"/>
      <c r="AH30" s="19"/>
      <c r="AI30" s="543"/>
      <c r="AJ30" s="543"/>
      <c r="AK30" s="543"/>
      <c r="AL30" s="19"/>
      <c r="AM30" s="515"/>
      <c r="AN30" s="515"/>
      <c r="AO30" s="596"/>
      <c r="AP30" s="19"/>
      <c r="AQ30" s="544"/>
      <c r="AR30" s="544"/>
      <c r="AS30" s="544"/>
      <c r="AT30" s="19"/>
      <c r="AU30" s="517"/>
      <c r="AV30" s="517"/>
      <c r="AW30" s="517"/>
      <c r="AX30" s="19"/>
      <c r="AY30" s="612"/>
      <c r="AZ30" s="626"/>
      <c r="BA30" s="615"/>
      <c r="BB30" s="618"/>
      <c r="BC30" s="614"/>
      <c r="BD30" s="297"/>
      <c r="BE30" s="297"/>
      <c r="BG30" s="546" t="str">
        <f ca="1">Horarios!Q29</f>
        <v>Irak</v>
      </c>
      <c r="BH30" s="547">
        <f t="shared" ca="1" si="0"/>
        <v>1</v>
      </c>
      <c r="BI30" s="547">
        <f ca="1">COUNTIF(ADMIN!$M$130:$M$161,Fixture!BG30)-BJ30-BK30-BL30-BM30-BN30-BO30</f>
        <v>0</v>
      </c>
      <c r="BJ30" s="548">
        <f ca="1">COUNTIF(ADMIN!$M$182:$M$197,Fixture!BG30)-BK30-BL30-BM30-BN30-BO30</f>
        <v>0</v>
      </c>
      <c r="BK30" s="549">
        <f ca="1">COUNTIF(ADMIN!$M$210:$M$217,Fixture!BG30)-BL30-BM30-BN30-BO30</f>
        <v>0</v>
      </c>
      <c r="BL30" s="549">
        <f ca="1">COUNTIF(ADMIN!$M$226:$M$229,BG30)-BM30-BN30-BO30</f>
        <v>0</v>
      </c>
      <c r="BM30" s="547">
        <f ca="1">COUNTIF(ADMIN!$M$252,Fixture!BG30)</f>
        <v>0</v>
      </c>
      <c r="BN30" s="547">
        <f ca="1">COUNTIF(ADMIN!$M$251,Fixture!BG30)</f>
        <v>0</v>
      </c>
      <c r="BO30" s="550">
        <f ca="1">COUNTIF(ADMIN!$M$250,Fixture!BG30)</f>
        <v>0</v>
      </c>
    </row>
    <row r="31" spans="1:67" ht="15.75" thickBot="1">
      <c r="A31" s="19">
        <v>59</v>
      </c>
      <c r="B31" s="629"/>
      <c r="C31" s="528" t="str">
        <f ca="1">+MID(INDEX(WORLDCUP!$AA$4:$AA$147,MATCH(A31,WORLDCUP!$AH$4:$AH$147,0)),1,3)</f>
        <v>Tur</v>
      </c>
      <c r="D31" s="529" t="str">
        <f>IF(ISBLANK(INDEX(WORLDCUP!$AC$4:$AC$147,MATCH(A31,WORLDCUP!$AH$4:$AH$147,0))),"",INDEX(WORLDCUP!$AC$4:$AC$147,MATCH(A31,WORLDCUP!$AH$4:$AH$147,0)))</f>
        <v/>
      </c>
      <c r="E31" s="529" t="str">
        <f>IF(ISBLANK(INDEX(WORLDCUP!$AD$4:$AD$147,MATCH(A31,WORLDCUP!$AH$4:$AH$147,0))),"",INDEX(WORLDCUP!$AD$4:$AD$147,MATCH(A31,WORLDCUP!$AH$4:$AH$147,0)))</f>
        <v/>
      </c>
      <c r="F31" s="530" t="str">
        <f ca="1">+MID(INDEX(WORLDCUP!$AF$4:$AF$147,MATCH(A31,WORLDCUP!$AH$4:$AH$147,0)),1,3)</f>
        <v>Est</v>
      </c>
      <c r="G31" s="551">
        <v>4</v>
      </c>
      <c r="H31" s="560" t="str">
        <f ca="1">+MID(INDEX(WORLDCUP!$AL$6:$AL$97,MATCH(L31,WORLDCUP!$AI$6:$AI$97,0)),1,3)</f>
        <v>Tur</v>
      </c>
      <c r="I31" s="561">
        <f ca="1">+INDEX(WORLDCUP!$AM$6:$AM$97,MATCH(L31,WORLDCUP!$AI$6:$AI$97,0))</f>
        <v>0</v>
      </c>
      <c r="J31" s="562">
        <f ca="1">+INDEX(WORLDCUP!$AT$6:$AT$97,MATCH(L31,WORLDCUP!$AI$6:$AI$97,0))</f>
        <v>0</v>
      </c>
      <c r="K31" s="563" t="str">
        <f ca="1">+INDEX(WORLDCUP!$AR$6:$AR$97,MATCH(L31,WORLDCUP!$AI$6:$AI$97,0))&amp;"-"&amp;INDEX(WORLDCUP!$AS$6:$AS$97,MATCH(L31,WORLDCUP!$AI$6:$AI$97,0))</f>
        <v>0-0</v>
      </c>
      <c r="L31" s="19" t="s">
        <v>660</v>
      </c>
      <c r="M31" s="19">
        <v>69</v>
      </c>
      <c r="N31" s="630"/>
      <c r="O31" s="528" t="str">
        <f ca="1">+MID(INDEX(WORLDCUP!$AA$4:$AA$147,MATCH(M31,WORLDCUP!$AH$4:$AH$147,0)),1,3)</f>
        <v>Arg</v>
      </c>
      <c r="P31" s="529" t="str">
        <f>IF(ISBLANK(INDEX(WORLDCUP!$AC$4:$AC$147,MATCH(M31,WORLDCUP!$AH$4:$AH$147,0))),"",INDEX(WORLDCUP!$AC$4:$AC$147,MATCH(M31,WORLDCUP!$AH$4:$AH$147,0)))</f>
        <v/>
      </c>
      <c r="Q31" s="529" t="str">
        <f>IF(ISBLANK(INDEX(WORLDCUP!$AD$4:$AD$147,MATCH(M31,WORLDCUP!$AH$4:$AH$147,0))),"",INDEX(WORLDCUP!$AD$4:$AD$147,MATCH(M31,WORLDCUP!$AH$4:$AH$147,0)))</f>
        <v/>
      </c>
      <c r="R31" s="530" t="str">
        <f ca="1">+MID(INDEX(WORLDCUP!$AF$4:$AF$147,MATCH(M31,WORLDCUP!$AH$4:$AH$147,0)),1,3)</f>
        <v>Aus</v>
      </c>
      <c r="S31" s="551">
        <v>4</v>
      </c>
      <c r="T31" s="560" t="str">
        <f ca="1">+MID(INDEX(WORLDCUP!$AL$6:$AL$97,MATCH(X31,WORLDCUP!$AI$6:$AI$97,0)),1,3)</f>
        <v>Jor</v>
      </c>
      <c r="U31" s="561">
        <f ca="1">+INDEX(WORLDCUP!$AM$6:$AM$97,MATCH(X31,WORLDCUP!$AI$6:$AI$97,0))</f>
        <v>0</v>
      </c>
      <c r="V31" s="562">
        <f ca="1">+INDEX(WORLDCUP!$AT$6:$AT$97,MATCH(X31,WORLDCUP!$AI$6:$AI$97,0))</f>
        <v>0</v>
      </c>
      <c r="W31" s="563" t="str">
        <f ca="1">+INDEX(WORLDCUP!$AR$6:$AR$97,MATCH(X31,WORLDCUP!$AI$6:$AI$97,0))&amp;"-"&amp;INDEX(WORLDCUP!$AS$6:$AS$97,MATCH(X31,WORLDCUP!$AI$6:$AI$97,0))</f>
        <v>0-0</v>
      </c>
      <c r="X31" s="19" t="s">
        <v>678</v>
      </c>
      <c r="Y31" s="19">
        <v>78</v>
      </c>
      <c r="Z31" s="509" t="s">
        <v>674</v>
      </c>
      <c r="AA31" s="564" t="str">
        <f ca="1">+MID(INDEX(WORLDCUP!$AF$101:$AF$147,MATCH(Y31,WORLDCUP!$Z$101:$Z$147,0)),1,3)</f>
        <v>2I</v>
      </c>
      <c r="AB31" s="565" t="str">
        <f>+IF(ISBLANK(INDEX(WORLDCUP!$AD$101:$AD$147,MATCH(Y31,WORLDCUP!$Z$101:$Z$147,0))),"",INDEX(WORLDCUP!$AD$101:$AD$147,MATCH(Y31,WORLDCUP!$Z$101:$Z$147,0)))</f>
        <v/>
      </c>
      <c r="AC31" s="591" t="str">
        <f>+IF(ISBLANK(INDEX(WORLDCUP!$AE$101:$AE$147,MATCH(Y31,WORLDCUP!$Z$101:$Z$147,0))),"","( "&amp;INDEX(WORLDCUP!$AE$101:$AE$147,MATCH(Y31,WORLDCUP!$Z$101:$Z$147,0))&amp;" )")</f>
        <v/>
      </c>
      <c r="AD31" s="19"/>
      <c r="AE31" s="558"/>
      <c r="AF31" s="558"/>
      <c r="AG31" s="559"/>
      <c r="AH31" s="583">
        <v>99</v>
      </c>
      <c r="AI31" s="567" t="str">
        <f>+MID(INDEX(WORLDCUP!$AA$101:$AA$147,MATCH(AH31,WORLDCUP!$Z$101:$Z$147,0)),1,3)</f>
        <v>W91</v>
      </c>
      <c r="AJ31" s="568" t="str">
        <f>+IF(ISBLANK(INDEX(WORLDCUP!$AC$101:$AC$147,MATCH(AH31,WORLDCUP!$Z$101:$Z$147,0))),"",INDEX(WORLDCUP!$AC$101:$AC$147,MATCH(AH31,WORLDCUP!$Z$101:$Z$147,0)))</f>
        <v/>
      </c>
      <c r="AK31" s="569" t="str">
        <f>+IF(ISBLANK(INDEX(WORLDCUP!$AB$101:$AB$147,MATCH(AH31,WORLDCUP!$Z$101:$Z$147,0))),"","( "&amp;INDEX(WORLDCUP!$AB$101:$AB$147,MATCH(AH31,WORLDCUP!$Z$101:$Z$147,0))&amp;" )")</f>
        <v/>
      </c>
      <c r="AL31" s="19"/>
      <c r="AM31" s="515"/>
      <c r="AN31" s="515"/>
      <c r="AO31" s="596"/>
      <c r="AP31" s="631">
        <v>103</v>
      </c>
      <c r="AQ31" s="632" t="str">
        <f>+MID(INDEX(WORLDCUP!$AA$101:$AA$147,MATCH(AP31,WORLDCUP!$Z$101:$Z$147,0)),1,4)</f>
        <v>L101</v>
      </c>
      <c r="AR31" s="633" t="str">
        <f>+IF(ISBLANK(INDEX(WORLDCUP!$AC$101:$AC$147,MATCH(AP31,WORLDCUP!$Z$101:$Z$147,0))),"",INDEX(WORLDCUP!$AC$101:$AC$147,MATCH(AP31,WORLDCUP!$Z$101:$Z$147,0)))</f>
        <v/>
      </c>
      <c r="AS31" s="634" t="str">
        <f>+IF(ISBLANK(INDEX(WORLDCUP!$AB$101:$AB$147,MATCH(AP31,WORLDCUP!$Z$101:$Z$147,0))),"","( "&amp;INDEX(WORLDCUP!$AB$101:$AB$147,MATCH(AP31,WORLDCUP!$Z$101:$Z$147,0))&amp;" )")</f>
        <v/>
      </c>
      <c r="AT31" s="635"/>
      <c r="AU31" s="636"/>
      <c r="AV31" s="636"/>
      <c r="AW31" s="636"/>
      <c r="AX31" s="635"/>
      <c r="AY31" s="637"/>
      <c r="AZ31" s="638"/>
      <c r="BA31" s="638"/>
      <c r="BB31" s="638"/>
      <c r="BC31" s="639"/>
      <c r="BD31" s="297"/>
      <c r="BE31" s="297"/>
      <c r="BG31" s="546" t="str">
        <f ca="1">Horarios!Q30</f>
        <v>Irán</v>
      </c>
      <c r="BH31" s="547">
        <f t="shared" ca="1" si="0"/>
        <v>1</v>
      </c>
      <c r="BI31" s="547">
        <f ca="1">COUNTIF(ADMIN!$M$130:$M$161,Fixture!BG31)-BJ31-BK31-BL31-BM31-BN31-BO31</f>
        <v>0</v>
      </c>
      <c r="BJ31" s="548">
        <f ca="1">COUNTIF(ADMIN!$M$182:$M$197,Fixture!BG31)-BK31-BL31-BM31-BN31-BO31</f>
        <v>0</v>
      </c>
      <c r="BK31" s="549">
        <f ca="1">COUNTIF(ADMIN!$M$210:$M$217,Fixture!BG31)-BL31-BM31-BN31-BO31</f>
        <v>0</v>
      </c>
      <c r="BL31" s="549">
        <f ca="1">COUNTIF(ADMIN!$M$226:$M$229,BG31)-BM31-BN31-BO31</f>
        <v>0</v>
      </c>
      <c r="BM31" s="547">
        <f ca="1">COUNTIF(ADMIN!$M$252,Fixture!BG31)</f>
        <v>0</v>
      </c>
      <c r="BN31" s="547">
        <f ca="1">COUNTIF(ADMIN!$M$251,Fixture!BG31)</f>
        <v>0</v>
      </c>
      <c r="BO31" s="550">
        <f ca="1">COUNTIF(ADMIN!$M$250,Fixture!BG31)</f>
        <v>0</v>
      </c>
    </row>
    <row r="32" spans="1:67" ht="15.75" thickBot="1">
      <c r="A32" s="19">
        <v>60</v>
      </c>
      <c r="B32" s="640"/>
      <c r="C32" s="571" t="str">
        <f ca="1">+MID(INDEX(WORLDCUP!$AA$4:$AA$147,MATCH(A32,WORLDCUP!$AH$4:$AH$147,0)),1,3)</f>
        <v>Par</v>
      </c>
      <c r="D32" s="572" t="str">
        <f>IF(ISBLANK(INDEX(WORLDCUP!$AC$4:$AC$147,MATCH(A32,WORLDCUP!$AH$4:$AH$147,0))),"",INDEX(WORLDCUP!$AC$4:$AC$147,MATCH(A32,WORLDCUP!$AH$4:$AH$147,0)))</f>
        <v/>
      </c>
      <c r="E32" s="572" t="str">
        <f>IF(ISBLANK(INDEX(WORLDCUP!$AD$4:$AD$147,MATCH(A32,WORLDCUP!$AH$4:$AH$147,0))),"",INDEX(WORLDCUP!$AD$4:$AD$147,MATCH(A32,WORLDCUP!$AH$4:$AH$147,0)))</f>
        <v/>
      </c>
      <c r="F32" s="573" t="str">
        <f ca="1">+MID(INDEX(WORLDCUP!$AF$4:$AF$147,MATCH(A32,WORLDCUP!$AH$4:$AH$147,0)),1,3)</f>
        <v>Aus</v>
      </c>
      <c r="G32" s="574"/>
      <c r="H32" s="574"/>
      <c r="I32" s="575"/>
      <c r="J32" s="575"/>
      <c r="K32" s="576"/>
      <c r="L32" s="19"/>
      <c r="M32" s="19">
        <v>70</v>
      </c>
      <c r="N32" s="641"/>
      <c r="O32" s="571" t="str">
        <f ca="1">+MID(INDEX(WORLDCUP!$AA$4:$AA$147,MATCH(M32,WORLDCUP!$AH$4:$AH$147,0)),1,3)</f>
        <v>Jor</v>
      </c>
      <c r="P32" s="572" t="str">
        <f>IF(ISBLANK(INDEX(WORLDCUP!$AC$4:$AC$147,MATCH(M32,WORLDCUP!$AH$4:$AH$147,0))),"",INDEX(WORLDCUP!$AC$4:$AC$147,MATCH(M32,WORLDCUP!$AH$4:$AH$147,0)))</f>
        <v/>
      </c>
      <c r="Q32" s="572" t="str">
        <f>IF(ISBLANK(INDEX(WORLDCUP!$AD$4:$AD$147,MATCH(M32,WORLDCUP!$AH$4:$AH$147,0))),"",INDEX(WORLDCUP!$AD$4:$AD$147,MATCH(M32,WORLDCUP!$AH$4:$AH$147,0)))</f>
        <v/>
      </c>
      <c r="R32" s="573" t="str">
        <f ca="1">+MID(INDEX(WORLDCUP!$AF$4:$AF$147,MATCH(M32,WORLDCUP!$AH$4:$AH$147,0)),1,3)</f>
        <v>Arg</v>
      </c>
      <c r="S32" s="574"/>
      <c r="T32" s="574"/>
      <c r="U32" s="575"/>
      <c r="V32" s="575"/>
      <c r="W32" s="576"/>
      <c r="X32" s="19"/>
      <c r="Y32" s="19"/>
      <c r="Z32" s="509"/>
      <c r="AA32" s="578"/>
      <c r="AB32" s="578"/>
      <c r="AC32" s="578"/>
      <c r="AD32" s="19"/>
      <c r="AE32" s="513"/>
      <c r="AF32" s="513"/>
      <c r="AG32" s="559"/>
      <c r="AH32" s="19">
        <v>99</v>
      </c>
      <c r="AI32" s="567" t="str">
        <f>+MID(INDEX(WORLDCUP!$AF$101:$AF$147,MATCH(AH32,WORLDCUP!$Z$101:$Z$147,0)),1,3)</f>
        <v>W92</v>
      </c>
      <c r="AJ32" s="568" t="str">
        <f>+IF(ISBLANK(INDEX(WORLDCUP!$AD$101:$AD$147,MATCH(AH32,WORLDCUP!$Z$101:$Z$147,0))),"",INDEX(WORLDCUP!$AD$101:$AD$147,MATCH(AH32,WORLDCUP!$Z$101:$Z$147,0)))</f>
        <v/>
      </c>
      <c r="AK32" s="579" t="str">
        <f>+IF(ISBLANK(INDEX(WORLDCUP!$AE$101:$AE$147,MATCH(AH32,WORLDCUP!$Z$101:$Z$147,0))),"","( "&amp;INDEX(WORLDCUP!$AE$101:$AE$147,MATCH(AH32,WORLDCUP!$Z$101:$Z$147,0))&amp;" )")</f>
        <v/>
      </c>
      <c r="AL32" s="19"/>
      <c r="AM32" s="515"/>
      <c r="AN32" s="515"/>
      <c r="AO32" s="596"/>
      <c r="AP32" s="92">
        <v>103</v>
      </c>
      <c r="AQ32" s="632" t="str">
        <f>+MID(INDEX(WORLDCUP!$AF$101:$AF$147,MATCH(AP32,WORLDCUP!$Z$101:$Z$147,0)),1,4)</f>
        <v>L102</v>
      </c>
      <c r="AR32" s="633" t="str">
        <f>+IF(ISBLANK(INDEX(WORLDCUP!$AD$101:$AD$147,MATCH(AP32,WORLDCUP!$Z$101:$Z$147,0))),"",INDEX(WORLDCUP!$AD$101:$AD$147,MATCH(AP32,WORLDCUP!$Z$101:$Z$147,0)))</f>
        <v/>
      </c>
      <c r="AS32" s="544" t="str">
        <f>+IF(ISBLANK(INDEX(WORLDCUP!$AE$101:$AE$147,MATCH(AP32,WORLDCUP!$Z$101:$Z$147,0))),"","( "&amp;INDEX(WORLDCUP!$AE$101:$AE$147,MATCH(AP32,WORLDCUP!$Z$101:$Z$147,0))&amp;" )")</f>
        <v/>
      </c>
      <c r="AT32" s="19"/>
      <c r="AU32" s="517"/>
      <c r="AV32" s="517"/>
      <c r="AW32" s="517"/>
      <c r="AX32" s="19"/>
      <c r="AY32" s="297"/>
      <c r="AZ32" s="297"/>
      <c r="BA32" s="297"/>
      <c r="BB32" s="297"/>
      <c r="BC32" s="297"/>
      <c r="BD32" s="297"/>
      <c r="BE32" s="297"/>
      <c r="BG32" s="546" t="str">
        <f ca="1">Horarios!Q31</f>
        <v>Japón</v>
      </c>
      <c r="BH32" s="547">
        <f t="shared" ca="1" si="0"/>
        <v>1</v>
      </c>
      <c r="BI32" s="547">
        <f ca="1">COUNTIF(ADMIN!$M$130:$M$161,Fixture!BG32)-BJ32-BK32-BL32-BM32-BN32-BO32</f>
        <v>0</v>
      </c>
      <c r="BJ32" s="548">
        <f ca="1">COUNTIF(ADMIN!$M$182:$M$197,Fixture!BG32)-BK32-BL32-BM32-BN32-BO32</f>
        <v>0</v>
      </c>
      <c r="BK32" s="549">
        <f ca="1">COUNTIF(ADMIN!$M$210:$M$217,Fixture!BG32)-BL32-BM32-BN32-BO32</f>
        <v>0</v>
      </c>
      <c r="BL32" s="549">
        <f ca="1">COUNTIF(ADMIN!$M$226:$M$229,BG32)-BM32-BN32-BO32</f>
        <v>0</v>
      </c>
      <c r="BM32" s="547">
        <f ca="1">COUNTIF(ADMIN!$M$252,Fixture!BG32)</f>
        <v>0</v>
      </c>
      <c r="BN32" s="547">
        <f ca="1">COUNTIF(ADMIN!$M$251,Fixture!BG32)</f>
        <v>0</v>
      </c>
      <c r="BO32" s="550">
        <f ca="1">COUNTIF(ADMIN!$M$250,Fixture!BG32)</f>
        <v>0</v>
      </c>
    </row>
    <row r="33" spans="1:67" ht="15.75" thickBot="1">
      <c r="A33" s="19"/>
      <c r="B33" s="496"/>
      <c r="C33" s="580"/>
      <c r="D33" s="441"/>
      <c r="E33" s="441"/>
      <c r="F33" s="297"/>
      <c r="G33" s="297"/>
      <c r="H33" s="580"/>
      <c r="I33" s="297"/>
      <c r="J33" s="297"/>
      <c r="K33" s="297"/>
      <c r="L33" s="19"/>
      <c r="M33" s="19"/>
      <c r="N33" s="247"/>
      <c r="O33" s="580"/>
      <c r="P33" s="441"/>
      <c r="Q33" s="441"/>
      <c r="R33" s="297"/>
      <c r="S33" s="297"/>
      <c r="T33" s="580"/>
      <c r="U33" s="297"/>
      <c r="V33" s="297"/>
      <c r="W33" s="297"/>
      <c r="X33" s="19"/>
      <c r="Y33" s="19">
        <v>79</v>
      </c>
      <c r="Z33" s="509" t="s">
        <v>645</v>
      </c>
      <c r="AA33" s="510" t="str">
        <f ca="1">+MID(INDEX(WORLDCUP!$AA$101:$AA$147,MATCH(Y33,WORLDCUP!$Z$101:$Z$147,0)),1,3)</f>
        <v>1A</v>
      </c>
      <c r="AB33" s="511" t="str">
        <f>+IF(ISBLANK(INDEX(WORLDCUP!$AC$101:$AC$147,MATCH(Y33,WORLDCUP!$Z$101:$Z$147,0))),"",INDEX(WORLDCUP!$AC$101:$AC$147,MATCH(Y33,WORLDCUP!$Z$101:$Z$147,0)))</f>
        <v/>
      </c>
      <c r="AC33" s="581" t="str">
        <f>+IF(ISBLANK(INDEX(WORLDCUP!$AB$101:$AB$147,MATCH(Y33,WORLDCUP!$Z$101:$Z$147,0))),"","( "&amp;INDEX(WORLDCUP!$AB$101:$AB$147,MATCH(Y33,WORLDCUP!$Z$101:$Z$147,0))&amp;" )")</f>
        <v/>
      </c>
      <c r="AD33" s="18"/>
      <c r="AE33" s="513"/>
      <c r="AF33" s="513"/>
      <c r="AG33" s="559"/>
      <c r="AH33" s="19"/>
      <c r="AI33" s="543"/>
      <c r="AJ33" s="543"/>
      <c r="AK33" s="582"/>
      <c r="AL33" s="92"/>
      <c r="AM33" s="515"/>
      <c r="AN33" s="515"/>
      <c r="AO33" s="596"/>
      <c r="AP33" s="19"/>
      <c r="AQ33" s="544"/>
      <c r="AR33" s="544"/>
      <c r="AS33" s="544"/>
      <c r="AT33" s="19"/>
      <c r="AU33" s="517"/>
      <c r="AV33" s="517"/>
      <c r="AW33" s="517"/>
      <c r="AX33" s="19"/>
      <c r="AY33" s="297"/>
      <c r="AZ33" s="297"/>
      <c r="BA33" s="297"/>
      <c r="BB33" s="297"/>
      <c r="BC33" s="297"/>
      <c r="BD33" s="297"/>
      <c r="BE33" s="297"/>
      <c r="BG33" s="546" t="str">
        <f ca="1">Horarios!Q32</f>
        <v>Jordania</v>
      </c>
      <c r="BH33" s="547">
        <f t="shared" ca="1" si="0"/>
        <v>1</v>
      </c>
      <c r="BI33" s="547">
        <f ca="1">COUNTIF(ADMIN!$M$130:$M$161,Fixture!BG33)-BJ33-BK33-BL33-BM33-BN33-BO33</f>
        <v>0</v>
      </c>
      <c r="BJ33" s="548">
        <f ca="1">COUNTIF(ADMIN!$M$182:$M$197,Fixture!BG33)-BK33-BL33-BM33-BN33-BO33</f>
        <v>0</v>
      </c>
      <c r="BK33" s="549">
        <f ca="1">COUNTIF(ADMIN!$M$210:$M$217,Fixture!BG33)-BL33-BM33-BN33-BO33</f>
        <v>0</v>
      </c>
      <c r="BL33" s="549">
        <f ca="1">COUNTIF(ADMIN!$M$226:$M$229,BG33)-BM33-BN33-BO33</f>
        <v>0</v>
      </c>
      <c r="BM33" s="547">
        <f ca="1">COUNTIF(ADMIN!$M$252,Fixture!BG33)</f>
        <v>0</v>
      </c>
      <c r="BN33" s="547">
        <f ca="1">COUNTIF(ADMIN!$M$251,Fixture!BG33)</f>
        <v>0</v>
      </c>
      <c r="BO33" s="550">
        <f ca="1">COUNTIF(ADMIN!$M$250,Fixture!BG33)</f>
        <v>0</v>
      </c>
    </row>
    <row r="34" spans="1:67" ht="15.75" thickBot="1">
      <c r="A34" s="19"/>
      <c r="B34" s="496"/>
      <c r="C34" s="580"/>
      <c r="D34" s="441"/>
      <c r="E34" s="441"/>
      <c r="F34" s="297"/>
      <c r="G34" s="297"/>
      <c r="H34" s="580"/>
      <c r="I34" s="297"/>
      <c r="J34" s="297"/>
      <c r="K34" s="297"/>
      <c r="L34" s="19"/>
      <c r="M34" s="19"/>
      <c r="N34" s="247"/>
      <c r="O34" s="580"/>
      <c r="P34" s="441"/>
      <c r="Q34" s="441"/>
      <c r="R34" s="297"/>
      <c r="S34" s="297"/>
      <c r="T34" s="580"/>
      <c r="U34" s="297"/>
      <c r="V34" s="297"/>
      <c r="W34" s="297"/>
      <c r="X34" s="19"/>
      <c r="Y34" s="19">
        <v>79</v>
      </c>
      <c r="Z34" s="509" t="s">
        <v>724</v>
      </c>
      <c r="AA34" s="510" t="str">
        <f ca="1">+MID(INDEX(WORLDCUP!$AF$101:$AF$147,MATCH(Y34,WORLDCUP!$Z$101:$Z$147,0)),1,IF(WORLDCUP!$H$113&lt;144,6,3))</f>
        <v>3CEFHI</v>
      </c>
      <c r="AB34" s="537" t="str">
        <f>+IF(ISBLANK(INDEX(WORLDCUP!$AD$101:$AD$147,MATCH(Y34,WORLDCUP!$Z$101:$Z$147,0))),"",INDEX(WORLDCUP!$AD$101:$AD$147,MATCH(Y34,WORLDCUP!$Z$101:$Z$147,0)))</f>
        <v/>
      </c>
      <c r="AC34" s="538" t="str">
        <f>+IF(ISBLANK(INDEX(WORLDCUP!$AE$101:$AE$147,MATCH(Y34,WORLDCUP!$Z$101:$Z$147,0))),"","( "&amp;INDEX(WORLDCUP!$AE$101:$AE$147,MATCH(Y34,WORLDCUP!$Z$101:$Z$147,0))&amp;" )")</f>
        <v/>
      </c>
      <c r="AD34" s="539">
        <v>92</v>
      </c>
      <c r="AE34" s="540" t="str">
        <f>+MID(INDEX(WORLDCUP!$AA$101:$AA$147,MATCH(AD34,WORLDCUP!$Z$101:$Z$147,0)),1,3)</f>
        <v>W79</v>
      </c>
      <c r="AF34" s="541" t="str">
        <f>+IF(ISBLANK(INDEX(WORLDCUP!$AC$101:$AC$147,MATCH(AD34,WORLDCUP!$Z$101:$Z$147,0))),"",INDEX(WORLDCUP!$AC$101:$AC$147,MATCH(AD34,WORLDCUP!$Z$101:$Z$147,0)))</f>
        <v/>
      </c>
      <c r="AG34" s="584" t="str">
        <f>+IF(ISBLANK(INDEX(WORLDCUP!$AB$101:$AB$147,MATCH(AD34,WORLDCUP!$Z$101:$Z$147,0))),"","( "&amp;INDEX(WORLDCUP!$AB$101:$AB$147,MATCH(AD34,WORLDCUP!$Z$101:$Z$147,0))&amp;" )")</f>
        <v/>
      </c>
      <c r="AH34" s="19"/>
      <c r="AI34" s="543"/>
      <c r="AJ34" s="543"/>
      <c r="AK34" s="582"/>
      <c r="AL34" s="92"/>
      <c r="AM34" s="515"/>
      <c r="AN34" s="515"/>
      <c r="AO34" s="596"/>
      <c r="AP34" s="19"/>
      <c r="AQ34" s="544"/>
      <c r="AR34" s="544"/>
      <c r="AS34" s="544"/>
      <c r="AT34" s="19"/>
      <c r="AU34" s="517"/>
      <c r="AV34" s="517"/>
      <c r="AW34" s="517"/>
      <c r="AX34" s="19"/>
      <c r="AY34" s="297"/>
      <c r="AZ34" s="297"/>
      <c r="BA34" s="297"/>
      <c r="BB34" s="297"/>
      <c r="BC34" s="297"/>
      <c r="BD34" s="297"/>
      <c r="BE34" s="297"/>
      <c r="BG34" s="546" t="str">
        <f ca="1">Horarios!Q33</f>
        <v>Marruecos</v>
      </c>
      <c r="BH34" s="547">
        <f t="shared" ca="1" si="0"/>
        <v>1</v>
      </c>
      <c r="BI34" s="547">
        <f ca="1">COUNTIF(ADMIN!$M$130:$M$161,Fixture!BG34)-BJ34-BK34-BL34-BM34-BN34-BO34</f>
        <v>0</v>
      </c>
      <c r="BJ34" s="548">
        <f ca="1">COUNTIF(ADMIN!$M$182:$M$197,Fixture!BG34)-BK34-BL34-BM34-BN34-BO34</f>
        <v>0</v>
      </c>
      <c r="BK34" s="549">
        <f ca="1">COUNTIF(ADMIN!$M$210:$M$217,Fixture!BG34)-BL34-BM34-BN34-BO34</f>
        <v>0</v>
      </c>
      <c r="BL34" s="549">
        <f ca="1">COUNTIF(ADMIN!$M$226:$M$229,BG34)-BM34-BN34-BO34</f>
        <v>0</v>
      </c>
      <c r="BM34" s="547">
        <f ca="1">COUNTIF(ADMIN!$M$252,Fixture!BG34)</f>
        <v>0</v>
      </c>
      <c r="BN34" s="547">
        <f ca="1">COUNTIF(ADMIN!$M$251,Fixture!BG34)</f>
        <v>0</v>
      </c>
      <c r="BO34" s="550">
        <f ca="1">COUNTIF(ADMIN!$M$250,Fixture!BG34)</f>
        <v>0</v>
      </c>
    </row>
    <row r="35" spans="1:67">
      <c r="A35" s="19">
        <v>10</v>
      </c>
      <c r="B35" s="642" t="s">
        <v>3</v>
      </c>
      <c r="C35" s="501" t="str">
        <f ca="1">+MID(INDEX(WORLDCUP!$AA$4:$AA$147,MATCH(A35,WORLDCUP!$AH$4:$AH$147,0)),1,3)</f>
        <v>Ale</v>
      </c>
      <c r="D35" s="502" t="str">
        <f>IF(ISBLANK(INDEX(WORLDCUP!$AC$4:$AC$147,MATCH(A35,WORLDCUP!$AH$4:$AH$147,0))),"",INDEX(WORLDCUP!$AC$4:$AC$147,MATCH(A35,WORLDCUP!$AH$4:$AH$147,0)))</f>
        <v/>
      </c>
      <c r="E35" s="502" t="str">
        <f>IF(ISBLANK(INDEX(WORLDCUP!$AD$4:$AD$147,MATCH(A35,WORLDCUP!$AH$4:$AH$147,0))),"",INDEX(WORLDCUP!$AD$4:$AD$147,MATCH(A35,WORLDCUP!$AH$4:$AH$147,0)))</f>
        <v/>
      </c>
      <c r="F35" s="503" t="str">
        <f ca="1">+MID(INDEX(WORLDCUP!$AF$4:$AF$147,MATCH(A35,WORLDCUP!$AH$4:$AH$147,0)),1,3)</f>
        <v>Cur</v>
      </c>
      <c r="G35" s="504"/>
      <c r="H35" s="505" t="str">
        <f>+H27</f>
        <v>Sel</v>
      </c>
      <c r="I35" s="506" t="str">
        <f>+I27</f>
        <v>Pts</v>
      </c>
      <c r="J35" s="506" t="str">
        <f>+J27</f>
        <v>DG</v>
      </c>
      <c r="K35" s="507" t="str">
        <f>+K27</f>
        <v>GF-GC</v>
      </c>
      <c r="L35" s="19"/>
      <c r="M35" s="19">
        <v>23</v>
      </c>
      <c r="N35" s="643" t="s">
        <v>439</v>
      </c>
      <c r="O35" s="501" t="str">
        <f ca="1">+MID(INDEX(WORLDCUP!$AA$4:$AA$147,MATCH(M35,WORLDCUP!$AH$4:$AH$147,0)),1,3)</f>
        <v>Por</v>
      </c>
      <c r="P35" s="502" t="str">
        <f>IF(ISBLANK(INDEX(WORLDCUP!$AC$4:$AC$147,MATCH(M35,WORLDCUP!$AH$4:$AH$147,0))),"",INDEX(WORLDCUP!$AC$4:$AC$147,MATCH(M35,WORLDCUP!$AH$4:$AH$147,0)))</f>
        <v/>
      </c>
      <c r="Q35" s="502" t="str">
        <f>IF(ISBLANK(INDEX(WORLDCUP!$AD$4:$AD$147,MATCH(M35,WORLDCUP!$AH$4:$AH$147,0))),"",INDEX(WORLDCUP!$AD$4:$AD$147,MATCH(M35,WORLDCUP!$AH$4:$AH$147,0)))</f>
        <v/>
      </c>
      <c r="R35" s="503" t="str">
        <f ca="1">+MID(INDEX(WORLDCUP!$AF$4:$AF$147,MATCH(M35,WORLDCUP!$AH$4:$AH$147,0)),1,3)</f>
        <v xml:space="preserve">RD </v>
      </c>
      <c r="S35" s="504"/>
      <c r="T35" s="505" t="str">
        <f>+T27</f>
        <v>Sel</v>
      </c>
      <c r="U35" s="506" t="str">
        <f>+U27</f>
        <v>Pts</v>
      </c>
      <c r="V35" s="506" t="str">
        <f>+V27</f>
        <v>DG</v>
      </c>
      <c r="W35" s="507" t="str">
        <f>+W27</f>
        <v>GF-GC</v>
      </c>
      <c r="X35" s="19"/>
      <c r="Y35" s="19"/>
      <c r="Z35" s="509"/>
      <c r="AA35" s="553"/>
      <c r="AB35" s="553"/>
      <c r="AC35" s="554"/>
      <c r="AD35" s="19">
        <v>92</v>
      </c>
      <c r="AE35" s="540" t="str">
        <f>+MID(INDEX(WORLDCUP!$AF$101:$AF$147,MATCH(AD35,WORLDCUP!$Z$101:$Z$147,0)),1,3)</f>
        <v>W80</v>
      </c>
      <c r="AF35" s="541" t="str">
        <f>+IF(ISBLANK(INDEX(WORLDCUP!$AD$101:$AD$147,MATCH(AD35,WORLDCUP!$Z$101:$Z$147,0))),"",INDEX(WORLDCUP!$AD$101:$AD$147,MATCH(AD35,WORLDCUP!$Z$101:$Z$147,0)))</f>
        <v/>
      </c>
      <c r="AG35" s="558" t="str">
        <f>+IF(ISBLANK(INDEX(WORLDCUP!$AE$101:$AE$147,MATCH(AD35,WORLDCUP!$Z$101:$Z$147,0))),"","( "&amp;INDEX(WORLDCUP!$AE$101:$AE$147,MATCH(AD35,WORLDCUP!$Z$101:$Z$147,0))&amp;" )")</f>
        <v/>
      </c>
      <c r="AH35" s="19"/>
      <c r="AI35" s="543"/>
      <c r="AJ35" s="543"/>
      <c r="AK35" s="582"/>
      <c r="AL35" s="92"/>
      <c r="AM35" s="515"/>
      <c r="AN35" s="644"/>
      <c r="AO35" s="596"/>
      <c r="AP35" s="92"/>
      <c r="AQ35" s="544"/>
      <c r="AR35" s="544"/>
      <c r="AS35" s="544"/>
      <c r="AT35" s="19"/>
      <c r="AU35" s="517"/>
      <c r="AV35" s="517"/>
      <c r="AW35" s="517"/>
      <c r="AX35" s="19"/>
      <c r="AY35" s="297"/>
      <c r="AZ35" s="297"/>
      <c r="BA35" s="297"/>
      <c r="BB35" s="297"/>
      <c r="BC35" s="297"/>
      <c r="BD35" s="297"/>
      <c r="BE35" s="297"/>
      <c r="BG35" s="546" t="str">
        <f ca="1">Horarios!Q34</f>
        <v>México</v>
      </c>
      <c r="BH35" s="547">
        <f t="shared" ca="1" si="0"/>
        <v>1</v>
      </c>
      <c r="BI35" s="547">
        <f ca="1">COUNTIF(ADMIN!$M$130:$M$161,Fixture!BG35)-BJ35-BK35-BL35-BM35-BN35-BO35</f>
        <v>0</v>
      </c>
      <c r="BJ35" s="548">
        <f ca="1">COUNTIF(ADMIN!$M$182:$M$197,Fixture!BG35)-BK35-BL35-BM35-BN35-BO35</f>
        <v>0</v>
      </c>
      <c r="BK35" s="549">
        <f ca="1">COUNTIF(ADMIN!$M$210:$M$217,Fixture!BG35)-BL35-BM35-BN35-BO35</f>
        <v>0</v>
      </c>
      <c r="BL35" s="549">
        <f ca="1">COUNTIF(ADMIN!$M$226:$M$229,BG35)-BM35-BN35-BO35</f>
        <v>0</v>
      </c>
      <c r="BM35" s="547">
        <f ca="1">COUNTIF(ADMIN!$M$252,Fixture!BG35)</f>
        <v>0</v>
      </c>
      <c r="BN35" s="547">
        <f ca="1">COUNTIF(ADMIN!$M$251,Fixture!BG35)</f>
        <v>0</v>
      </c>
      <c r="BO35" s="550">
        <f ca="1">COUNTIF(ADMIN!$M$250,Fixture!BG35)</f>
        <v>0</v>
      </c>
    </row>
    <row r="36" spans="1:67" ht="15.75" thickBot="1">
      <c r="A36" s="19">
        <v>9</v>
      </c>
      <c r="B36" s="645"/>
      <c r="C36" s="528" t="str">
        <f ca="1">+MID(INDEX(WORLDCUP!$AA$4:$AA$147,MATCH(A36,WORLDCUP!$AH$4:$AH$147,0)),1,3)</f>
        <v>Cos</v>
      </c>
      <c r="D36" s="529" t="str">
        <f>IF(ISBLANK(INDEX(WORLDCUP!$AC$4:$AC$147,MATCH(A36,WORLDCUP!$AH$4:$AH$147,0))),"",INDEX(WORLDCUP!$AC$4:$AC$147,MATCH(A36,WORLDCUP!$AH$4:$AH$147,0)))</f>
        <v/>
      </c>
      <c r="E36" s="529" t="str">
        <f>IF(ISBLANK(INDEX(WORLDCUP!$AD$4:$AD$147,MATCH(A36,WORLDCUP!$AH$4:$AH$147,0))),"",INDEX(WORLDCUP!$AD$4:$AD$147,MATCH(A36,WORLDCUP!$AH$4:$AH$147,0)))</f>
        <v/>
      </c>
      <c r="F36" s="530" t="str">
        <f ca="1">+MID(INDEX(WORLDCUP!$AF$4:$AF$147,MATCH(A36,WORLDCUP!$AH$4:$AH$147,0)),1,3)</f>
        <v>Ecu</v>
      </c>
      <c r="G36" s="531">
        <v>1</v>
      </c>
      <c r="H36" s="532" t="str">
        <f ca="1">+MID(INDEX(WORLDCUP!$AL$6:$AL$97,MATCH(L36,WORLDCUP!$AI$6:$AI$97,0)),1,3)</f>
        <v>Ale</v>
      </c>
      <c r="I36" s="533">
        <f ca="1">+INDEX(WORLDCUP!$AM$6:$AM$97,MATCH(L36,WORLDCUP!$AI$6:$AI$97,0))</f>
        <v>0</v>
      </c>
      <c r="J36" s="534">
        <f ca="1">+INDEX(WORLDCUP!$AT$6:$AT$97,MATCH(L36,WORLDCUP!$AI$6:$AI$97,0))</f>
        <v>0</v>
      </c>
      <c r="K36" s="535" t="str">
        <f ca="1">+INDEX(WORLDCUP!$AR$6:$AR$97,MATCH(L36,WORLDCUP!$AI$6:$AI$97,0))&amp;"-"&amp;INDEX(WORLDCUP!$AS$6:$AS$97,MATCH(L36,WORLDCUP!$AI$6:$AI$97,0))</f>
        <v>0-0</v>
      </c>
      <c r="L36" s="19" t="s">
        <v>661</v>
      </c>
      <c r="M36" s="19">
        <v>24</v>
      </c>
      <c r="N36" s="646"/>
      <c r="O36" s="528" t="str">
        <f ca="1">+MID(INDEX(WORLDCUP!$AA$4:$AA$147,MATCH(M36,WORLDCUP!$AH$4:$AH$147,0)),1,3)</f>
        <v>Uzb</v>
      </c>
      <c r="P36" s="529" t="str">
        <f>IF(ISBLANK(INDEX(WORLDCUP!$AC$4:$AC$147,MATCH(M36,WORLDCUP!$AH$4:$AH$147,0))),"",INDEX(WORLDCUP!$AC$4:$AC$147,MATCH(M36,WORLDCUP!$AH$4:$AH$147,0)))</f>
        <v/>
      </c>
      <c r="Q36" s="529" t="str">
        <f>IF(ISBLANK(INDEX(WORLDCUP!$AD$4:$AD$147,MATCH(M36,WORLDCUP!$AH$4:$AH$147,0))),"",INDEX(WORLDCUP!$AD$4:$AD$147,MATCH(M36,WORLDCUP!$AH$4:$AH$147,0)))</f>
        <v/>
      </c>
      <c r="R36" s="530" t="str">
        <f ca="1">+MID(INDEX(WORLDCUP!$AF$4:$AF$147,MATCH(M36,WORLDCUP!$AH$4:$AH$147,0)),1,3)</f>
        <v>Col</v>
      </c>
      <c r="S36" s="531">
        <v>1</v>
      </c>
      <c r="T36" s="532" t="str">
        <f ca="1">+MID(INDEX(WORLDCUP!$AL$6:$AL$97,MATCH(X36,WORLDCUP!$AI$6:$AI$97,0)),1,3)</f>
        <v>Por</v>
      </c>
      <c r="U36" s="533">
        <f ca="1">+INDEX(WORLDCUP!$AM$6:$AM$97,MATCH(X36,WORLDCUP!$AI$6:$AI$97,0))</f>
        <v>0</v>
      </c>
      <c r="V36" s="534">
        <f ca="1">+INDEX(WORLDCUP!$AT$6:$AT$97,MATCH(X36,WORLDCUP!$AI$6:$AI$97,0))</f>
        <v>0</v>
      </c>
      <c r="W36" s="535" t="str">
        <f ca="1">+INDEX(WORLDCUP!$AR$6:$AR$97,MATCH(X36,WORLDCUP!$AI$6:$AI$97,0))&amp;"-"&amp;INDEX(WORLDCUP!$AS$6:$AS$97,MATCH(X36,WORLDCUP!$AI$6:$AI$97,0))</f>
        <v>0-0</v>
      </c>
      <c r="X36" s="19" t="s">
        <v>679</v>
      </c>
      <c r="Y36" s="19">
        <v>80</v>
      </c>
      <c r="Z36" s="509" t="s">
        <v>682</v>
      </c>
      <c r="AA36" s="510" t="str">
        <f ca="1">+MID(INDEX(WORLDCUP!$AA$101:$AA$147,MATCH(Y36,WORLDCUP!$Z$101:$Z$147,0)),1,3)</f>
        <v>1L</v>
      </c>
      <c r="AB36" s="556" t="str">
        <f>+IF(ISBLANK(INDEX(WORLDCUP!$AC$101:$AC$147,MATCH(Y36,WORLDCUP!$Z$101:$Z$147,0))),"",INDEX(WORLDCUP!$AC$101:$AC$147,MATCH(Y36,WORLDCUP!$Z$101:$Z$147,0)))</f>
        <v/>
      </c>
      <c r="AC36" s="590" t="str">
        <f>+IF(ISBLANK(INDEX(WORLDCUP!$AB$101:$AB$147,MATCH(Y36,WORLDCUP!$Z$101:$Z$147,0))),"","( "&amp;INDEX(WORLDCUP!$AB$101:$AB$147,MATCH(Y36,WORLDCUP!$Z$101:$Z$147,0))&amp;" )")</f>
        <v/>
      </c>
      <c r="AD36" s="19"/>
      <c r="AE36" s="513"/>
      <c r="AF36" s="513"/>
      <c r="AG36" s="513"/>
      <c r="AH36" s="19"/>
      <c r="AI36" s="543"/>
      <c r="AJ36" s="543"/>
      <c r="AK36" s="582"/>
      <c r="AL36" s="92"/>
      <c r="AM36" s="515"/>
      <c r="AN36" s="515"/>
      <c r="AO36" s="596"/>
      <c r="AP36" s="92"/>
      <c r="AQ36" s="544"/>
      <c r="AR36" s="544"/>
      <c r="AS36" s="544"/>
      <c r="AT36" s="19"/>
      <c r="AU36" s="517"/>
      <c r="AV36" s="517"/>
      <c r="AW36" s="517"/>
      <c r="AX36" s="19"/>
      <c r="AY36" s="297"/>
      <c r="AZ36" s="297"/>
      <c r="BA36" s="297"/>
      <c r="BB36" s="297"/>
      <c r="BC36" s="297"/>
      <c r="BD36" s="297"/>
      <c r="BE36" s="297"/>
      <c r="BG36" s="546" t="str">
        <f ca="1">Horarios!Q35</f>
        <v>Noruega</v>
      </c>
      <c r="BH36" s="547">
        <f t="shared" ca="1" si="0"/>
        <v>1</v>
      </c>
      <c r="BI36" s="547">
        <f ca="1">COUNTIF(ADMIN!$M$130:$M$161,Fixture!BG36)-BJ36-BK36-BL36-BM36-BN36-BO36</f>
        <v>0</v>
      </c>
      <c r="BJ36" s="548">
        <f ca="1">COUNTIF(ADMIN!$M$182:$M$197,Fixture!BG36)-BK36-BL36-BM36-BN36-BO36</f>
        <v>0</v>
      </c>
      <c r="BK36" s="549">
        <f ca="1">COUNTIF(ADMIN!$M$210:$M$217,Fixture!BG36)-BL36-BM36-BN36-BO36</f>
        <v>0</v>
      </c>
      <c r="BL36" s="549">
        <f ca="1">COUNTIF(ADMIN!$M$226:$M$229,BG36)-BM36-BN36-BO36</f>
        <v>0</v>
      </c>
      <c r="BM36" s="547">
        <f ca="1">COUNTIF(ADMIN!$M$252,Fixture!BG36)</f>
        <v>0</v>
      </c>
      <c r="BN36" s="547">
        <f ca="1">COUNTIF(ADMIN!$M$251,Fixture!BG36)</f>
        <v>0</v>
      </c>
      <c r="BO36" s="550">
        <f ca="1">COUNTIF(ADMIN!$M$250,Fixture!BG36)</f>
        <v>0</v>
      </c>
    </row>
    <row r="37" spans="1:67" ht="15.75" thickBot="1">
      <c r="A37" s="19">
        <v>33</v>
      </c>
      <c r="B37" s="645"/>
      <c r="C37" s="528" t="str">
        <f ca="1">+MID(INDEX(WORLDCUP!$AA$4:$AA$147,MATCH(A37,WORLDCUP!$AH$4:$AH$147,0)),1,3)</f>
        <v>Ale</v>
      </c>
      <c r="D37" s="529" t="str">
        <f>IF(ISBLANK(INDEX(WORLDCUP!$AC$4:$AC$147,MATCH(A37,WORLDCUP!$AH$4:$AH$147,0))),"",INDEX(WORLDCUP!$AC$4:$AC$147,MATCH(A37,WORLDCUP!$AH$4:$AH$147,0)))</f>
        <v/>
      </c>
      <c r="E37" s="529" t="str">
        <f>IF(ISBLANK(INDEX(WORLDCUP!$AD$4:$AD$147,MATCH(A37,WORLDCUP!$AH$4:$AH$147,0))),"",INDEX(WORLDCUP!$AD$4:$AD$147,MATCH(A37,WORLDCUP!$AH$4:$AH$147,0)))</f>
        <v/>
      </c>
      <c r="F37" s="530" t="str">
        <f ca="1">+MID(INDEX(WORLDCUP!$AF$4:$AF$147,MATCH(A37,WORLDCUP!$AH$4:$AH$147,0)),1,3)</f>
        <v>Cos</v>
      </c>
      <c r="G37" s="551">
        <v>2</v>
      </c>
      <c r="H37" s="552"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6"/>
      <c r="O37" s="528" t="str">
        <f ca="1">+MID(INDEX(WORLDCUP!$AA$4:$AA$147,MATCH(M37,WORLDCUP!$AH$4:$AH$147,0)),1,3)</f>
        <v>Por</v>
      </c>
      <c r="P37" s="529" t="str">
        <f>IF(ISBLANK(INDEX(WORLDCUP!$AC$4:$AC$147,MATCH(M37,WORLDCUP!$AH$4:$AH$147,0))),"",INDEX(WORLDCUP!$AC$4:$AC$147,MATCH(M37,WORLDCUP!$AH$4:$AH$147,0)))</f>
        <v/>
      </c>
      <c r="Q37" s="529" t="str">
        <f>IF(ISBLANK(INDEX(WORLDCUP!$AD$4:$AD$147,MATCH(M37,WORLDCUP!$AH$4:$AH$147,0))),"",INDEX(WORLDCUP!$AD$4:$AD$147,MATCH(M37,WORLDCUP!$AH$4:$AH$147,0)))</f>
        <v/>
      </c>
      <c r="R37" s="530" t="str">
        <f ca="1">+MID(INDEX(WORLDCUP!$AF$4:$AF$147,MATCH(M37,WORLDCUP!$AH$4:$AH$147,0)),1,3)</f>
        <v>Uzb</v>
      </c>
      <c r="S37" s="551">
        <v>2</v>
      </c>
      <c r="T37" s="552"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09" t="s">
        <v>725</v>
      </c>
      <c r="AA37" s="564" t="str">
        <f ca="1">+MID(INDEX(WORLDCUP!$AF$101:$AF$147,MATCH(Y37,WORLDCUP!$Z$101:$Z$147,0)),1,IF(WORLDCUP!$H$113&lt;144,6,3))</f>
        <v>3EHIJK</v>
      </c>
      <c r="AB37" s="565" t="str">
        <f>+IF(ISBLANK(INDEX(WORLDCUP!$AD$101:$AD$147,MATCH(Y37,WORLDCUP!$Z$101:$Z$147,0))),"",INDEX(WORLDCUP!$AD$101:$AD$147,MATCH(Y37,WORLDCUP!$Z$101:$Z$147,0)))</f>
        <v/>
      </c>
      <c r="AC37" s="591" t="str">
        <f>+IF(ISBLANK(INDEX(WORLDCUP!$AE$101:$AE$147,MATCH(Y37,WORLDCUP!$Z$101:$Z$147,0))),"","( "&amp;INDEX(WORLDCUP!$AE$101:$AE$147,MATCH(Y37,WORLDCUP!$Z$101:$Z$147,0))&amp;" )")</f>
        <v/>
      </c>
      <c r="AD37" s="19"/>
      <c r="AE37" s="513"/>
      <c r="AF37" s="513"/>
      <c r="AG37" s="513"/>
      <c r="AH37" s="19"/>
      <c r="AI37" s="543"/>
      <c r="AJ37" s="543"/>
      <c r="AK37" s="582"/>
      <c r="AL37" s="583">
        <v>102</v>
      </c>
      <c r="AM37" s="592" t="str">
        <f>+MID(INDEX(WORLDCUP!$AA$101:$AA$147,MATCH(AL37,WORLDCUP!$Z$101:$Z$147,0)),1,3)</f>
        <v>W99</v>
      </c>
      <c r="AN37" s="593" t="str">
        <f>+IF(ISBLANK(INDEX(WORLDCUP!$AC$101:$AC$147,MATCH(AL37,WORLDCUP!$Z$101:$Z$147,0))),"",INDEX(WORLDCUP!$AC$101:$AC$147,MATCH(AL37,WORLDCUP!$Z$101:$Z$147,0)))</f>
        <v/>
      </c>
      <c r="AO37" s="647" t="str">
        <f>+IF(ISBLANK(INDEX(WORLDCUP!$AB$101:$AB$147,MATCH(AL37,WORLDCUP!$Z$101:$Z$147,0))),"","( "&amp;INDEX(WORLDCUP!$AB$101:$AB$147,MATCH(AL37,WORLDCUP!$Z$101:$Z$147,0))&amp;" )")</f>
        <v/>
      </c>
      <c r="AP37" s="19"/>
      <c r="AQ37" s="544"/>
      <c r="AR37" s="544"/>
      <c r="AS37" s="544"/>
      <c r="AT37" s="19"/>
      <c r="AU37" s="517"/>
      <c r="AV37" s="517"/>
      <c r="AW37" s="517"/>
      <c r="AX37" s="19"/>
      <c r="AY37" s="297"/>
      <c r="AZ37" s="297"/>
      <c r="BA37" s="297"/>
      <c r="BB37" s="297"/>
      <c r="BC37" s="297"/>
      <c r="BD37" s="297"/>
      <c r="BE37" s="297"/>
      <c r="BG37" s="546" t="str">
        <f ca="1">Horarios!Q36</f>
        <v>Nueva Zelanda</v>
      </c>
      <c r="BH37" s="547">
        <f t="shared" ca="1" si="0"/>
        <v>1</v>
      </c>
      <c r="BI37" s="547">
        <f ca="1">COUNTIF(ADMIN!$M$130:$M$161,Fixture!BG37)-BJ37-BK37-BL37-BM37-BN37-BO37</f>
        <v>0</v>
      </c>
      <c r="BJ37" s="548">
        <f ca="1">COUNTIF(ADMIN!$M$182:$M$197,Fixture!BG37)-BK37-BL37-BM37-BN37-BO37</f>
        <v>0</v>
      </c>
      <c r="BK37" s="549">
        <f ca="1">COUNTIF(ADMIN!$M$210:$M$217,Fixture!BG37)-BL37-BM37-BN37-BO37</f>
        <v>0</v>
      </c>
      <c r="BL37" s="549">
        <f ca="1">COUNTIF(ADMIN!$M$226:$M$229,BG37)-BM37-BN37-BO37</f>
        <v>0</v>
      </c>
      <c r="BM37" s="547">
        <f ca="1">COUNTIF(ADMIN!$M$252,Fixture!BG37)</f>
        <v>0</v>
      </c>
      <c r="BN37" s="547">
        <f ca="1">COUNTIF(ADMIN!$M$251,Fixture!BG37)</f>
        <v>0</v>
      </c>
      <c r="BO37" s="550">
        <f ca="1">COUNTIF(ADMIN!$M$250,Fixture!BG37)</f>
        <v>0</v>
      </c>
    </row>
    <row r="38" spans="1:67">
      <c r="A38" s="19">
        <v>34</v>
      </c>
      <c r="B38" s="645"/>
      <c r="C38" s="528" t="str">
        <f ca="1">+MID(INDEX(WORLDCUP!$AA$4:$AA$147,MATCH(A38,WORLDCUP!$AH$4:$AH$147,0)),1,3)</f>
        <v>Ecu</v>
      </c>
      <c r="D38" s="529" t="str">
        <f>IF(ISBLANK(INDEX(WORLDCUP!$AC$4:$AC$147,MATCH(A38,WORLDCUP!$AH$4:$AH$147,0))),"",INDEX(WORLDCUP!$AC$4:$AC$147,MATCH(A38,WORLDCUP!$AH$4:$AH$147,0)))</f>
        <v/>
      </c>
      <c r="E38" s="529" t="str">
        <f>IF(ISBLANK(INDEX(WORLDCUP!$AD$4:$AD$147,MATCH(A38,WORLDCUP!$AH$4:$AH$147,0))),"",INDEX(WORLDCUP!$AD$4:$AD$147,MATCH(A38,WORLDCUP!$AH$4:$AH$147,0)))</f>
        <v/>
      </c>
      <c r="F38" s="530" t="str">
        <f ca="1">+MID(INDEX(WORLDCUP!$AF$4:$AF$147,MATCH(A38,WORLDCUP!$AH$4:$AH$147,0)),1,3)</f>
        <v>Cur</v>
      </c>
      <c r="G38" s="551">
        <v>3</v>
      </c>
      <c r="H38" s="552"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6"/>
      <c r="O38" s="528" t="str">
        <f ca="1">+MID(INDEX(WORLDCUP!$AA$4:$AA$147,MATCH(M38,WORLDCUP!$AH$4:$AH$147,0)),1,3)</f>
        <v>Col</v>
      </c>
      <c r="P38" s="529" t="str">
        <f>IF(ISBLANK(INDEX(WORLDCUP!$AC$4:$AC$147,MATCH(M38,WORLDCUP!$AH$4:$AH$147,0))),"",INDEX(WORLDCUP!$AC$4:$AC$147,MATCH(M38,WORLDCUP!$AH$4:$AH$147,0)))</f>
        <v/>
      </c>
      <c r="Q38" s="529" t="str">
        <f>IF(ISBLANK(INDEX(WORLDCUP!$AD$4:$AD$147,MATCH(M38,WORLDCUP!$AH$4:$AH$147,0))),"",INDEX(WORLDCUP!$AD$4:$AD$147,MATCH(M38,WORLDCUP!$AH$4:$AH$147,0)))</f>
        <v/>
      </c>
      <c r="R38" s="530" t="str">
        <f ca="1">+MID(INDEX(WORLDCUP!$AF$4:$AF$147,MATCH(M38,WORLDCUP!$AH$4:$AH$147,0)),1,3)</f>
        <v xml:space="preserve">RD </v>
      </c>
      <c r="S38" s="551">
        <v>3</v>
      </c>
      <c r="T38" s="552"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09"/>
      <c r="AA38" s="578"/>
      <c r="AB38" s="578"/>
      <c r="AC38" s="578"/>
      <c r="AD38" s="19"/>
      <c r="AE38" s="513"/>
      <c r="AF38" s="513"/>
      <c r="AG38" s="513"/>
      <c r="AH38" s="19"/>
      <c r="AI38" s="543"/>
      <c r="AJ38" s="543"/>
      <c r="AK38" s="582"/>
      <c r="AL38" s="19">
        <v>102</v>
      </c>
      <c r="AM38" s="592" t="str" cm="1">
        <f t="array" ref="AM38">+MID(INDEX(WORLDCUP!$AF$101:$AF$147,MATCH(AL38,WORLDCUP!$Z$101:$Z$147,0)),1,IF(OR(ISBLANK(AC86:AD86)),4,3))</f>
        <v>W100</v>
      </c>
      <c r="AN38" s="593" t="str">
        <f>+IF(ISBLANK(INDEX(WORLDCUP!$AD$101:$AD$147,MATCH(AL38,WORLDCUP!$Z$101:$Z$147,0))),"",INDEX(WORLDCUP!$AD$101:$AD$147,MATCH(AL38,WORLDCUP!$Z$101:$Z$147,0)))</f>
        <v/>
      </c>
      <c r="AO38" s="515" t="str">
        <f>+IF(ISBLANK(INDEX(WORLDCUP!$AE$101:$AE$147,MATCH(AL38,WORLDCUP!$Z$101:$Z$147,0))),"","( "&amp;INDEX(WORLDCUP!$AE$101:$AE$147,MATCH(AL38,WORLDCUP!$Z$101:$Z$147,0))&amp;" )")</f>
        <v/>
      </c>
      <c r="AP38" s="19"/>
      <c r="AQ38" s="544"/>
      <c r="AR38" s="544"/>
      <c r="AS38" s="544"/>
      <c r="AT38" s="19"/>
      <c r="AU38" s="517"/>
      <c r="AV38" s="517"/>
      <c r="AW38" s="517"/>
      <c r="AX38" s="19"/>
      <c r="AY38" s="297"/>
      <c r="AZ38" s="297"/>
      <c r="BA38" s="297"/>
      <c r="BB38" s="297"/>
      <c r="BC38" s="297"/>
      <c r="BD38" s="297"/>
      <c r="BE38" s="297"/>
      <c r="BG38" s="546" t="str">
        <f ca="1">Horarios!Q37</f>
        <v>Países Bajos</v>
      </c>
      <c r="BH38" s="547">
        <f t="shared" ca="1" si="0"/>
        <v>1</v>
      </c>
      <c r="BI38" s="547">
        <f ca="1">COUNTIF(ADMIN!$M$130:$M$161,Fixture!BG38)-BJ38-BK38-BL38-BM38-BN38-BO38</f>
        <v>0</v>
      </c>
      <c r="BJ38" s="548">
        <f ca="1">COUNTIF(ADMIN!$M$182:$M$197,Fixture!BG38)-BK38-BL38-BM38-BN38-BO38</f>
        <v>0</v>
      </c>
      <c r="BK38" s="549">
        <f ca="1">COUNTIF(ADMIN!$M$210:$M$217,Fixture!BG38)-BL38-BM38-BN38-BO38</f>
        <v>0</v>
      </c>
      <c r="BL38" s="549">
        <f ca="1">COUNTIF(ADMIN!$M$226:$M$229,BG38)-BM38-BN38-BO38</f>
        <v>0</v>
      </c>
      <c r="BM38" s="547">
        <f ca="1">COUNTIF(ADMIN!$M$252,Fixture!BG38)</f>
        <v>0</v>
      </c>
      <c r="BN38" s="547">
        <f ca="1">COUNTIF(ADMIN!$M$251,Fixture!BG38)</f>
        <v>0</v>
      </c>
      <c r="BO38" s="550">
        <f ca="1">COUNTIF(ADMIN!$M$250,Fixture!BG38)</f>
        <v>0</v>
      </c>
    </row>
    <row r="39" spans="1:67" ht="15.75" thickBot="1">
      <c r="A39" s="19">
        <v>55</v>
      </c>
      <c r="B39" s="645"/>
      <c r="C39" s="528" t="str">
        <f ca="1">+MID(INDEX(WORLDCUP!$AA$4:$AA$147,MATCH(A39,WORLDCUP!$AH$4:$AH$147,0)),1,3)</f>
        <v>Cur</v>
      </c>
      <c r="D39" s="529" t="str">
        <f>IF(ISBLANK(INDEX(WORLDCUP!$AC$4:$AC$147,MATCH(A39,WORLDCUP!$AH$4:$AH$147,0))),"",INDEX(WORLDCUP!$AC$4:$AC$147,MATCH(A39,WORLDCUP!$AH$4:$AH$147,0)))</f>
        <v/>
      </c>
      <c r="E39" s="529" t="str">
        <f>IF(ISBLANK(INDEX(WORLDCUP!$AD$4:$AD$147,MATCH(A39,WORLDCUP!$AH$4:$AH$147,0))),"",INDEX(WORLDCUP!$AD$4:$AD$147,MATCH(A39,WORLDCUP!$AH$4:$AH$147,0)))</f>
        <v/>
      </c>
      <c r="F39" s="530" t="str">
        <f ca="1">+MID(INDEX(WORLDCUP!$AF$4:$AF$147,MATCH(A39,WORLDCUP!$AH$4:$AH$147,0)),1,3)</f>
        <v>Cos</v>
      </c>
      <c r="G39" s="551">
        <v>4</v>
      </c>
      <c r="H39" s="560" t="str">
        <f ca="1">+MID(INDEX(WORLDCUP!$AL$6:$AL$97,MATCH(L39,WORLDCUP!$AI$6:$AI$97,0)),1,3)</f>
        <v>Ecu</v>
      </c>
      <c r="I39" s="561">
        <f ca="1">+INDEX(WORLDCUP!$AM$6:$AM$97,MATCH(L39,WORLDCUP!$AI$6:$AI$97,0))</f>
        <v>0</v>
      </c>
      <c r="J39" s="562">
        <f ca="1">+INDEX(WORLDCUP!$AT$6:$AT$97,MATCH(L39,WORLDCUP!$AI$6:$AI$97,0))</f>
        <v>0</v>
      </c>
      <c r="K39" s="563" t="str">
        <f ca="1">+INDEX(WORLDCUP!$AR$6:$AR$97,MATCH(L39,WORLDCUP!$AI$6:$AI$97,0))&amp;"-"&amp;INDEX(WORLDCUP!$AS$6:$AS$97,MATCH(L39,WORLDCUP!$AI$6:$AI$97,0))</f>
        <v>0-0</v>
      </c>
      <c r="L39" s="19" t="s">
        <v>663</v>
      </c>
      <c r="M39" s="19">
        <v>71</v>
      </c>
      <c r="N39" s="646"/>
      <c r="O39" s="528" t="str">
        <f ca="1">+MID(INDEX(WORLDCUP!$AA$4:$AA$147,MATCH(M39,WORLDCUP!$AH$4:$AH$147,0)),1,3)</f>
        <v>Col</v>
      </c>
      <c r="P39" s="529" t="str">
        <f>IF(ISBLANK(INDEX(WORLDCUP!$AC$4:$AC$147,MATCH(M39,WORLDCUP!$AH$4:$AH$147,0))),"",INDEX(WORLDCUP!$AC$4:$AC$147,MATCH(M39,WORLDCUP!$AH$4:$AH$147,0)))</f>
        <v/>
      </c>
      <c r="Q39" s="529" t="str">
        <f>IF(ISBLANK(INDEX(WORLDCUP!$AD$4:$AD$147,MATCH(M39,WORLDCUP!$AH$4:$AH$147,0))),"",INDEX(WORLDCUP!$AD$4:$AD$147,MATCH(M39,WORLDCUP!$AH$4:$AH$147,0)))</f>
        <v/>
      </c>
      <c r="R39" s="530" t="str">
        <f ca="1">+MID(INDEX(WORLDCUP!$AF$4:$AF$147,MATCH(M39,WORLDCUP!$AH$4:$AH$147,0)),1,3)</f>
        <v>Por</v>
      </c>
      <c r="S39" s="551">
        <v>4</v>
      </c>
      <c r="T39" s="560" t="str">
        <f ca="1">+MID(INDEX(WORLDCUP!$AL$6:$AL$97,MATCH(X39,WORLDCUP!$AI$6:$AI$97,0)),1,3)</f>
        <v>Col</v>
      </c>
      <c r="U39" s="561">
        <f ca="1">+INDEX(WORLDCUP!$AM$6:$AM$97,MATCH(X39,WORLDCUP!$AI$6:$AI$97,0))</f>
        <v>0</v>
      </c>
      <c r="V39" s="562">
        <f ca="1">+INDEX(WORLDCUP!$AT$6:$AT$97,MATCH(X39,WORLDCUP!$AI$6:$AI$97,0))</f>
        <v>0</v>
      </c>
      <c r="W39" s="563" t="str">
        <f ca="1">+INDEX(WORLDCUP!$AR$6:$AR$97,MATCH(X39,WORLDCUP!$AI$6:$AI$97,0))&amp;"-"&amp;INDEX(WORLDCUP!$AS$6:$AS$97,MATCH(X39,WORLDCUP!$AI$6:$AI$97,0))</f>
        <v>0-0</v>
      </c>
      <c r="X39" s="19" t="s">
        <v>681</v>
      </c>
      <c r="Y39" s="19">
        <v>86</v>
      </c>
      <c r="Z39" s="509" t="s">
        <v>676</v>
      </c>
      <c r="AA39" s="510" t="str">
        <f ca="1">+MID(INDEX(WORLDCUP!$AA$101:$AA$147,MATCH(Y39,WORLDCUP!$Z$101:$Z$147,0)),1,3)</f>
        <v>1J</v>
      </c>
      <c r="AB39" s="511" t="str">
        <f>+IF(ISBLANK(INDEX(WORLDCUP!$AC$101:$AC$147,MATCH(Y39,WORLDCUP!$Z$101:$Z$147,0))),"",INDEX(WORLDCUP!$AC$101:$AC$147,MATCH(Y39,WORLDCUP!$Z$101:$Z$147,0)))</f>
        <v/>
      </c>
      <c r="AC39" s="581" t="str">
        <f>+IF(ISBLANK(INDEX(WORLDCUP!$AB$101:$AB$147,MATCH(Y39,WORLDCUP!$Z$101:$Z$147,0))),"","( "&amp;INDEX(WORLDCUP!$AB$101:$AB$147,MATCH(Y39,WORLDCUP!$Z$101:$Z$147,0))&amp;" )")</f>
        <v/>
      </c>
      <c r="AD39" s="18"/>
      <c r="AE39" s="513"/>
      <c r="AF39" s="513"/>
      <c r="AG39" s="513"/>
      <c r="AH39" s="19"/>
      <c r="AI39" s="543"/>
      <c r="AJ39" s="543"/>
      <c r="AK39" s="582"/>
      <c r="AL39" s="92"/>
      <c r="AM39" s="515"/>
      <c r="AN39" s="515"/>
      <c r="AO39" s="515"/>
      <c r="AP39" s="19"/>
      <c r="AQ39" s="544"/>
      <c r="AR39" s="544"/>
      <c r="AS39" s="544"/>
      <c r="AT39" s="19"/>
      <c r="AU39" s="517"/>
      <c r="AV39" s="517"/>
      <c r="AW39" s="517"/>
      <c r="AX39" s="19"/>
      <c r="AY39" s="297"/>
      <c r="AZ39" s="297"/>
      <c r="BA39" s="297"/>
      <c r="BB39" s="297"/>
      <c r="BC39" s="297"/>
      <c r="BD39" s="297"/>
      <c r="BE39" s="297"/>
      <c r="BG39" s="546" t="str">
        <f ca="1">Horarios!Q38</f>
        <v>Panamá</v>
      </c>
      <c r="BH39" s="547">
        <f t="shared" ca="1" si="0"/>
        <v>1</v>
      </c>
      <c r="BI39" s="547">
        <f ca="1">COUNTIF(ADMIN!$M$130:$M$161,Fixture!BG39)-BJ39-BK39-BL39-BM39-BN39-BO39</f>
        <v>0</v>
      </c>
      <c r="BJ39" s="548">
        <f ca="1">COUNTIF(ADMIN!$M$182:$M$197,Fixture!BG39)-BK39-BL39-BM39-BN39-BO39</f>
        <v>0</v>
      </c>
      <c r="BK39" s="549">
        <f ca="1">COUNTIF(ADMIN!$M$210:$M$217,Fixture!BG39)-BL39-BM39-BN39-BO39</f>
        <v>0</v>
      </c>
      <c r="BL39" s="549">
        <f ca="1">COUNTIF(ADMIN!$M$226:$M$229,BG39)-BM39-BN39-BO39</f>
        <v>0</v>
      </c>
      <c r="BM39" s="547">
        <f ca="1">COUNTIF(ADMIN!$M$252,Fixture!BG39)</f>
        <v>0</v>
      </c>
      <c r="BN39" s="547">
        <f ca="1">COUNTIF(ADMIN!$M$251,Fixture!BG39)</f>
        <v>0</v>
      </c>
      <c r="BO39" s="550">
        <f ca="1">COUNTIF(ADMIN!$M$250,Fixture!BG39)</f>
        <v>0</v>
      </c>
    </row>
    <row r="40" spans="1:67" ht="15.75" thickBot="1">
      <c r="A40" s="19">
        <v>56</v>
      </c>
      <c r="B40" s="648"/>
      <c r="C40" s="571" t="str">
        <f ca="1">+MID(INDEX(WORLDCUP!$AA$4:$AA$147,MATCH(A40,WORLDCUP!$AH$4:$AH$147,0)),1,3)</f>
        <v>Ecu</v>
      </c>
      <c r="D40" s="572" t="str">
        <f>IF(ISBLANK(INDEX(WORLDCUP!$AC$4:$AC$147,MATCH(A40,WORLDCUP!$AH$4:$AH$147,0))),"",INDEX(WORLDCUP!$AC$4:$AC$147,MATCH(A40,WORLDCUP!$AH$4:$AH$147,0)))</f>
        <v/>
      </c>
      <c r="E40" s="572" t="str">
        <f>IF(ISBLANK(INDEX(WORLDCUP!$AD$4:$AD$147,MATCH(A40,WORLDCUP!$AH$4:$AH$147,0))),"",INDEX(WORLDCUP!$AD$4:$AD$147,MATCH(A40,WORLDCUP!$AH$4:$AH$147,0)))</f>
        <v/>
      </c>
      <c r="F40" s="573" t="str">
        <f ca="1">+MID(INDEX(WORLDCUP!$AF$4:$AF$147,MATCH(A40,WORLDCUP!$AH$4:$AH$147,0)),1,3)</f>
        <v>Ale</v>
      </c>
      <c r="G40" s="574"/>
      <c r="H40" s="574"/>
      <c r="I40" s="575"/>
      <c r="J40" s="575"/>
      <c r="K40" s="576"/>
      <c r="L40" s="19"/>
      <c r="M40" s="19">
        <v>72</v>
      </c>
      <c r="N40" s="649"/>
      <c r="O40" s="571" t="str">
        <f ca="1">+MID(INDEX(WORLDCUP!$AA$4:$AA$147,MATCH(M40,WORLDCUP!$AH$4:$AH$147,0)),1,3)</f>
        <v xml:space="preserve">RD </v>
      </c>
      <c r="P40" s="572" t="str">
        <f>IF(ISBLANK(INDEX(WORLDCUP!$AC$4:$AC$147,MATCH(M40,WORLDCUP!$AH$4:$AH$147,0))),"",INDEX(WORLDCUP!$AC$4:$AC$147,MATCH(M40,WORLDCUP!$AH$4:$AH$147,0)))</f>
        <v/>
      </c>
      <c r="Q40" s="572" t="str">
        <f>IF(ISBLANK(INDEX(WORLDCUP!$AD$4:$AD$147,MATCH(M40,WORLDCUP!$AH$4:$AH$147,0))),"",INDEX(WORLDCUP!$AD$4:$AD$147,MATCH(M40,WORLDCUP!$AH$4:$AH$147,0)))</f>
        <v/>
      </c>
      <c r="R40" s="573" t="str">
        <f ca="1">+MID(INDEX(WORLDCUP!$AF$4:$AF$147,MATCH(M40,WORLDCUP!$AH$4:$AH$147,0)),1,3)</f>
        <v>Uzb</v>
      </c>
      <c r="S40" s="574"/>
      <c r="T40" s="574"/>
      <c r="U40" s="575"/>
      <c r="V40" s="575"/>
      <c r="W40" s="576"/>
      <c r="X40" s="19"/>
      <c r="Y40" s="19">
        <v>86</v>
      </c>
      <c r="Z40" s="509" t="s">
        <v>671</v>
      </c>
      <c r="AA40" s="510" t="str">
        <f ca="1">+MID(INDEX(WORLDCUP!$AF$101:$AF$147,MATCH(Y40,WORLDCUP!$Z$101:$Z$147,0)),1,3)</f>
        <v>2H</v>
      </c>
      <c r="AB40" s="537" t="str">
        <f>+IF(ISBLANK(INDEX(WORLDCUP!$AD$101:$AD$147,MATCH(Y40,WORLDCUP!$Z$101:$Z$147,0))),"",INDEX(WORLDCUP!$AD$101:$AD$147,MATCH(Y40,WORLDCUP!$Z$101:$Z$147,0)))</f>
        <v/>
      </c>
      <c r="AC40" s="538" t="str">
        <f>+IF(ISBLANK(INDEX(WORLDCUP!$AE$101:$AE$147,MATCH(Y40,WORLDCUP!$Z$101:$Z$147,0))),"","( "&amp;INDEX(WORLDCUP!$AE$101:$AE$147,MATCH(Y40,WORLDCUP!$Z$101:$Z$147,0))&amp;" )")</f>
        <v/>
      </c>
      <c r="AD40" s="539">
        <v>95</v>
      </c>
      <c r="AE40" s="540" t="str">
        <f>+MID(INDEX(WORLDCUP!$AA$101:$AA$147,MATCH(AD40,WORLDCUP!$Z$101:$Z$147,0)),1,3)</f>
        <v>W86</v>
      </c>
      <c r="AF40" s="541" t="str">
        <f>+IF(ISBLANK(INDEX(WORLDCUP!$AC$101:$AC$147,MATCH(AD40,WORLDCUP!$Z$101:$Z$147,0))),"",INDEX(WORLDCUP!$AC$101:$AC$147,MATCH(AD40,WORLDCUP!$Z$101:$Z$147,0)))</f>
        <v/>
      </c>
      <c r="AG40" s="542" t="str">
        <f>+IF(ISBLANK(INDEX(WORLDCUP!$AB$101:$AB$147,MATCH(AD40,WORLDCUP!$Z$101:$Z$147,0))),"","( "&amp;INDEX(WORLDCUP!$AB$101:$AB$147,MATCH(AD40,WORLDCUP!$Z$101:$Z$147,0))&amp;" )")</f>
        <v/>
      </c>
      <c r="AH40" s="19"/>
      <c r="AI40" s="543"/>
      <c r="AJ40" s="543"/>
      <c r="AK40" s="582"/>
      <c r="AL40" s="92"/>
      <c r="AM40" s="515"/>
      <c r="AN40" s="515"/>
      <c r="AO40" s="515"/>
      <c r="AP40" s="19"/>
      <c r="AQ40" s="544"/>
      <c r="AR40" s="544"/>
      <c r="AS40" s="544"/>
      <c r="AT40" s="19"/>
      <c r="AU40" s="517"/>
      <c r="AV40" s="517"/>
      <c r="AW40" s="517"/>
      <c r="AX40" s="19"/>
      <c r="AY40" s="297"/>
      <c r="AZ40" s="297"/>
      <c r="BA40" s="297"/>
      <c r="BB40" s="297"/>
      <c r="BC40" s="297"/>
      <c r="BD40" s="297"/>
      <c r="BE40" s="297"/>
      <c r="BG40" s="546" t="str">
        <f ca="1">Horarios!Q39</f>
        <v>Paraguay</v>
      </c>
      <c r="BH40" s="547">
        <f t="shared" ca="1" si="0"/>
        <v>1</v>
      </c>
      <c r="BI40" s="547">
        <f ca="1">COUNTIF(ADMIN!$M$130:$M$161,Fixture!BG40)-BJ40-BK40-BL40-BM40-BN40-BO40</f>
        <v>0</v>
      </c>
      <c r="BJ40" s="548">
        <f ca="1">COUNTIF(ADMIN!$M$182:$M$197,Fixture!BG40)-BK40-BL40-BM40-BN40-BO40</f>
        <v>0</v>
      </c>
      <c r="BK40" s="549">
        <f ca="1">COUNTIF(ADMIN!$M$210:$M$217,Fixture!BG40)-BL40-BM40-BN40-BO40</f>
        <v>0</v>
      </c>
      <c r="BL40" s="549">
        <f ca="1">COUNTIF(ADMIN!$M$226:$M$229,BG40)-BM40-BN40-BO40</f>
        <v>0</v>
      </c>
      <c r="BM40" s="547">
        <f ca="1">COUNTIF(ADMIN!$M$252,Fixture!BG40)</f>
        <v>0</v>
      </c>
      <c r="BN40" s="547">
        <f ca="1">COUNTIF(ADMIN!$M$251,Fixture!BG40)</f>
        <v>0</v>
      </c>
      <c r="BO40" s="550">
        <f ca="1">COUNTIF(ADMIN!$M$250,Fixture!BG40)</f>
        <v>0</v>
      </c>
    </row>
    <row r="41" spans="1:67">
      <c r="A41" s="19"/>
      <c r="B41" s="496"/>
      <c r="C41" s="580"/>
      <c r="D41" s="441"/>
      <c r="E41" s="441"/>
      <c r="F41" s="297"/>
      <c r="G41" s="297"/>
      <c r="H41" s="580"/>
      <c r="I41" s="297"/>
      <c r="J41" s="297"/>
      <c r="K41" s="297"/>
      <c r="L41" s="19"/>
      <c r="M41" s="19"/>
      <c r="N41" s="247"/>
      <c r="O41" s="580"/>
      <c r="P41" s="441"/>
      <c r="Q41" s="441"/>
      <c r="R41" s="297"/>
      <c r="S41" s="297"/>
      <c r="T41" s="580"/>
      <c r="U41" s="297"/>
      <c r="V41" s="297"/>
      <c r="W41" s="297"/>
      <c r="X41" s="19"/>
      <c r="Y41" s="19"/>
      <c r="Z41" s="509"/>
      <c r="AA41" s="553"/>
      <c r="AB41" s="553"/>
      <c r="AC41" s="554"/>
      <c r="AD41" s="19">
        <v>95</v>
      </c>
      <c r="AE41" s="540" t="str">
        <f>+MID(INDEX(WORLDCUP!$AF$101:$AF$147,MATCH(AD41,WORLDCUP!$Z$101:$Z$147,0)),1,3)</f>
        <v>W88</v>
      </c>
      <c r="AF41" s="541" t="str">
        <f>+IF(ISBLANK(INDEX(WORLDCUP!$AD$101:$AD$147,MATCH(AD41,WORLDCUP!$Z$101:$Z$147,0))),"",INDEX(WORLDCUP!$AD$101:$AD$147,MATCH(AD41,WORLDCUP!$Z$101:$Z$147,0)))</f>
        <v/>
      </c>
      <c r="AG41" s="599" t="str">
        <f>+IF(ISBLANK(INDEX(WORLDCUP!$AE$101:$AE$147,MATCH(AD41,WORLDCUP!$Z$101:$Z$147,0))),"","( "&amp;INDEX(WORLDCUP!$AE$101:$AE$147,MATCH(AD41,WORLDCUP!$Z$101:$Z$147,0))&amp;" )")</f>
        <v/>
      </c>
      <c r="AH41" s="19"/>
      <c r="AI41" s="543"/>
      <c r="AJ41" s="543"/>
      <c r="AK41" s="582"/>
      <c r="AL41" s="92"/>
      <c r="AM41" s="515"/>
      <c r="AN41" s="515"/>
      <c r="AO41" s="515"/>
      <c r="AP41" s="19"/>
      <c r="AQ41" s="544"/>
      <c r="AR41" s="544"/>
      <c r="AS41" s="544"/>
      <c r="AT41" s="19"/>
      <c r="AU41" s="517"/>
      <c r="AV41" s="517"/>
      <c r="AW41" s="517"/>
      <c r="AX41" s="19"/>
      <c r="AY41" s="297"/>
      <c r="AZ41" s="297"/>
      <c r="BA41" s="297"/>
      <c r="BB41" s="297"/>
      <c r="BC41" s="297"/>
      <c r="BD41" s="297"/>
      <c r="BE41" s="297"/>
      <c r="BG41" s="546" t="str">
        <f ca="1">Horarios!Q40</f>
        <v>Portugal</v>
      </c>
      <c r="BH41" s="547">
        <f t="shared" ca="1" si="0"/>
        <v>1</v>
      </c>
      <c r="BI41" s="547">
        <f ca="1">COUNTIF(ADMIN!$M$130:$M$161,Fixture!BG41)-BJ41-BK41-BL41-BM41-BN41-BO41</f>
        <v>0</v>
      </c>
      <c r="BJ41" s="548">
        <f ca="1">COUNTIF(ADMIN!$M$182:$M$197,Fixture!BG41)-BK41-BL41-BM41-BN41-BO41</f>
        <v>0</v>
      </c>
      <c r="BK41" s="549">
        <f ca="1">COUNTIF(ADMIN!$M$210:$M$217,Fixture!BG41)-BL41-BM41-BN41-BO41</f>
        <v>0</v>
      </c>
      <c r="BL41" s="549">
        <f ca="1">COUNTIF(ADMIN!$M$226:$M$229,BG41)-BM41-BN41-BO41</f>
        <v>0</v>
      </c>
      <c r="BM41" s="547">
        <f ca="1">COUNTIF(ADMIN!$M$252,Fixture!BG41)</f>
        <v>0</v>
      </c>
      <c r="BN41" s="547">
        <f ca="1">COUNTIF(ADMIN!$M$251,Fixture!BG41)</f>
        <v>0</v>
      </c>
      <c r="BO41" s="550">
        <f ca="1">COUNTIF(ADMIN!$M$250,Fixture!BG41)</f>
        <v>0</v>
      </c>
    </row>
    <row r="42" spans="1:67" ht="15.75" thickBot="1">
      <c r="A42" s="19"/>
      <c r="B42" s="496"/>
      <c r="C42" s="580"/>
      <c r="D42" s="441"/>
      <c r="E42" s="441"/>
      <c r="F42" s="297"/>
      <c r="G42" s="297"/>
      <c r="H42" s="580"/>
      <c r="I42" s="297"/>
      <c r="J42" s="297"/>
      <c r="K42" s="297"/>
      <c r="L42" s="19"/>
      <c r="M42" s="19"/>
      <c r="N42" s="247"/>
      <c r="O42" s="580"/>
      <c r="P42" s="441"/>
      <c r="Q42" s="441"/>
      <c r="R42" s="297"/>
      <c r="S42" s="297"/>
      <c r="T42" s="580"/>
      <c r="U42" s="297"/>
      <c r="V42" s="297"/>
      <c r="W42" s="297"/>
      <c r="X42" s="19"/>
      <c r="Y42" s="19">
        <v>88</v>
      </c>
      <c r="Z42" s="509" t="s">
        <v>659</v>
      </c>
      <c r="AA42" s="510" t="str">
        <f ca="1">+MID(INDEX(WORLDCUP!$AA$101:$AA$147,MATCH(Y42,WORLDCUP!$Z$101:$Z$147,0)),1,3)</f>
        <v>2D</v>
      </c>
      <c r="AB42" s="556" t="str">
        <f>+IF(ISBLANK(INDEX(WORLDCUP!$AC$101:$AC$147,MATCH(Y42,WORLDCUP!$Z$101:$Z$147,0))),"",INDEX(WORLDCUP!$AC$101:$AC$147,MATCH(Y42,WORLDCUP!$Z$101:$Z$147,0)))</f>
        <v/>
      </c>
      <c r="AC42" s="590" t="str">
        <f>+IF(ISBLANK(INDEX(WORLDCUP!$AB$101:$AB$147,MATCH(Y42,WORLDCUP!$Z$101:$Z$147,0))),"","( "&amp;INDEX(WORLDCUP!$AB$101:$AB$147,MATCH(Y42,WORLDCUP!$Z$101:$Z$147,0))&amp;" )")</f>
        <v/>
      </c>
      <c r="AD42" s="19"/>
      <c r="AE42" s="558"/>
      <c r="AF42" s="558"/>
      <c r="AG42" s="559"/>
      <c r="AH42" s="19"/>
      <c r="AI42" s="543"/>
      <c r="AJ42" s="543"/>
      <c r="AK42" s="582"/>
      <c r="AL42" s="92"/>
      <c r="AM42" s="515"/>
      <c r="AN42" s="515"/>
      <c r="AO42" s="515"/>
      <c r="AP42" s="19"/>
      <c r="AQ42" s="544"/>
      <c r="AR42" s="544"/>
      <c r="AS42" s="544"/>
      <c r="AT42" s="19"/>
      <c r="AU42" s="517"/>
      <c r="AV42" s="517"/>
      <c r="AW42" s="517"/>
      <c r="AX42" s="19"/>
      <c r="AY42" s="297"/>
      <c r="AZ42" s="297"/>
      <c r="BA42" s="297"/>
      <c r="BB42" s="297"/>
      <c r="BC42" s="297"/>
      <c r="BD42" s="297"/>
      <c r="BE42" s="297"/>
      <c r="BG42" s="546" t="str">
        <f ca="1">Horarios!Q41</f>
        <v>RD Congo</v>
      </c>
      <c r="BH42" s="547">
        <f t="shared" ca="1" si="0"/>
        <v>1</v>
      </c>
      <c r="BI42" s="547">
        <f ca="1">COUNTIF(ADMIN!$M$130:$M$161,Fixture!BG42)-BJ42-BK42-BL42-BM42-BN42-BO42</f>
        <v>0</v>
      </c>
      <c r="BJ42" s="548">
        <f ca="1">COUNTIF(ADMIN!$M$182:$M$197,Fixture!BG42)-BK42-BL42-BM42-BN42-BO42</f>
        <v>0</v>
      </c>
      <c r="BK42" s="549">
        <f ca="1">COUNTIF(ADMIN!$M$210:$M$217,Fixture!BG42)-BL42-BM42-BN42-BO42</f>
        <v>0</v>
      </c>
      <c r="BL42" s="549">
        <f ca="1">COUNTIF(ADMIN!$M$226:$M$229,BG42)-BM42-BN42-BO42</f>
        <v>0</v>
      </c>
      <c r="BM42" s="547">
        <f ca="1">COUNTIF(ADMIN!$M$252,Fixture!BG42)</f>
        <v>0</v>
      </c>
      <c r="BN42" s="547">
        <f ca="1">COUNTIF(ADMIN!$M$251,Fixture!BG42)</f>
        <v>0</v>
      </c>
      <c r="BO42" s="550">
        <f ca="1">COUNTIF(ADMIN!$M$250,Fixture!BG42)</f>
        <v>0</v>
      </c>
    </row>
    <row r="43" spans="1:67" ht="15.75" thickBot="1">
      <c r="A43" s="19">
        <v>11</v>
      </c>
      <c r="B43" s="650" t="s">
        <v>4</v>
      </c>
      <c r="C43" s="501" t="str">
        <f ca="1">+MID(INDEX(WORLDCUP!$AA$4:$AA$147,MATCH(A43,WORLDCUP!$AH$4:$AH$147,0)),1,3)</f>
        <v>Paí</v>
      </c>
      <c r="D43" s="502" t="str">
        <f>IF(ISBLANK(INDEX(WORLDCUP!$AC$4:$AC$147,MATCH(A43,WORLDCUP!$AH$4:$AH$147,0))),"",INDEX(WORLDCUP!$AC$4:$AC$147,MATCH(A43,WORLDCUP!$AH$4:$AH$147,0)))</f>
        <v/>
      </c>
      <c r="E43" s="502" t="str">
        <f>IF(ISBLANK(INDEX(WORLDCUP!$AD$4:$AD$147,MATCH(A43,WORLDCUP!$AH$4:$AH$147,0))),"",INDEX(WORLDCUP!$AD$4:$AD$147,MATCH(A43,WORLDCUP!$AH$4:$AH$147,0)))</f>
        <v/>
      </c>
      <c r="F43" s="503" t="str">
        <f ca="1">+MID(INDEX(WORLDCUP!$AF$4:$AF$147,MATCH(A43,WORLDCUP!$AH$4:$AH$147,0)),1,3)</f>
        <v>Jap</v>
      </c>
      <c r="G43" s="504"/>
      <c r="H43" s="505" t="str">
        <f>+H35</f>
        <v>Sel</v>
      </c>
      <c r="I43" s="506" t="str">
        <f>+I35</f>
        <v>Pts</v>
      </c>
      <c r="J43" s="506" t="str">
        <f>+J35</f>
        <v>DG</v>
      </c>
      <c r="K43" s="507" t="str">
        <f>+K35</f>
        <v>GF-GC</v>
      </c>
      <c r="L43" s="19"/>
      <c r="M43" s="19">
        <v>22</v>
      </c>
      <c r="N43" s="651" t="s">
        <v>238</v>
      </c>
      <c r="O43" s="501" t="str">
        <f ca="1">+MID(INDEX(WORLDCUP!$AA$4:$AA$147,MATCH(M43,WORLDCUP!$AH$4:$AH$147,0)),1,3)</f>
        <v>Ing</v>
      </c>
      <c r="P43" s="502" t="str">
        <f>IF(ISBLANK(INDEX(WORLDCUP!$AC$4:$AC$147,MATCH(M43,WORLDCUP!$AH$4:$AH$147,0))),"",INDEX(WORLDCUP!$AC$4:$AC$147,MATCH(M43,WORLDCUP!$AH$4:$AH$147,0)))</f>
        <v/>
      </c>
      <c r="Q43" s="502" t="str">
        <f>IF(ISBLANK(INDEX(WORLDCUP!$AD$4:$AD$147,MATCH(M43,WORLDCUP!$AH$4:$AH$147,0))),"",INDEX(WORLDCUP!$AD$4:$AD$147,MATCH(M43,WORLDCUP!$AH$4:$AH$147,0)))</f>
        <v/>
      </c>
      <c r="R43" s="503" t="str">
        <f ca="1">+MID(INDEX(WORLDCUP!$AF$4:$AF$147,MATCH(M43,WORLDCUP!$AH$4:$AH$147,0)),1,3)</f>
        <v>Cro</v>
      </c>
      <c r="S43" s="504"/>
      <c r="T43" s="505" t="str">
        <f>+T35</f>
        <v>Sel</v>
      </c>
      <c r="U43" s="506" t="str">
        <f>+U35</f>
        <v>Pts</v>
      </c>
      <c r="V43" s="506" t="str">
        <f>+V35</f>
        <v>DG</v>
      </c>
      <c r="W43" s="507" t="str">
        <f>+W35</f>
        <v>GF-GC</v>
      </c>
      <c r="X43" s="19"/>
      <c r="Y43" s="19">
        <v>88</v>
      </c>
      <c r="Z43" s="509" t="s">
        <v>668</v>
      </c>
      <c r="AA43" s="564" t="str">
        <f ca="1">+MID(INDEX(WORLDCUP!$AF$101:$AF$147,MATCH(Y43,WORLDCUP!$Z$101:$Z$147,0)),1,3)</f>
        <v>2G</v>
      </c>
      <c r="AB43" s="565" t="str">
        <f>+IF(ISBLANK(INDEX(WORLDCUP!$AD$101:$AD$147,MATCH(Y43,WORLDCUP!$Z$101:$Z$147,0))),"",INDEX(WORLDCUP!$AD$101:$AD$147,MATCH(Y43,WORLDCUP!$Z$101:$Z$147,0)))</f>
        <v/>
      </c>
      <c r="AC43" s="591" t="str">
        <f>+IF(ISBLANK(INDEX(WORLDCUP!$AE$101:$AE$147,MATCH(Y43,WORLDCUP!$Z$101:$Z$147,0))),"","( "&amp;INDEX(WORLDCUP!$AE$101:$AE$147,MATCH(Y43,WORLDCUP!$Z$101:$Z$147,0))&amp;" )")</f>
        <v/>
      </c>
      <c r="AD43" s="19"/>
      <c r="AE43" s="558"/>
      <c r="AF43" s="558"/>
      <c r="AG43" s="559"/>
      <c r="AH43" s="583">
        <v>100</v>
      </c>
      <c r="AI43" s="567" t="str">
        <f>+MID(INDEX(WORLDCUP!$AA$101:$AA$147,MATCH(AH43,WORLDCUP!$Z$101:$Z$147,0)),1,3)</f>
        <v>W95</v>
      </c>
      <c r="AJ43" s="568" t="str">
        <f>+IF(ISBLANK(INDEX(WORLDCUP!$AC$101:$AC$147,MATCH(AH43,WORLDCUP!$Z$101:$Z$147,0))),"",INDEX(WORLDCUP!$AC$101:$AC$147,MATCH(AH43,WORLDCUP!$Z$101:$Z$147,0)))</f>
        <v/>
      </c>
      <c r="AK43" s="604" t="str">
        <f>+IF(ISBLANK(INDEX(WORLDCUP!$AB$101:$AB$147,MATCH(AH43,WORLDCUP!$Z$101:$Z$147,0))),"","( "&amp;INDEX(WORLDCUP!$AB$101:$AB$147,MATCH(AH43,WORLDCUP!$Z$101:$Z$147,0))&amp;" )")</f>
        <v/>
      </c>
      <c r="AL43" s="92"/>
      <c r="AM43" s="515"/>
      <c r="AN43" s="515"/>
      <c r="AO43" s="515"/>
      <c r="AP43" s="19"/>
      <c r="AQ43" s="544"/>
      <c r="AR43" s="544"/>
      <c r="AS43" s="544"/>
      <c r="AT43" s="19"/>
      <c r="AU43" s="517"/>
      <c r="AV43" s="517"/>
      <c r="AW43" s="517"/>
      <c r="AX43" s="19"/>
      <c r="AY43" s="297"/>
      <c r="AZ43" s="297"/>
      <c r="BA43" s="297"/>
      <c r="BB43" s="297"/>
      <c r="BC43" s="297"/>
      <c r="BD43" s="297"/>
      <c r="BE43" s="297"/>
      <c r="BG43" s="546" t="str">
        <f ca="1">Horarios!Q42</f>
        <v>República Checa</v>
      </c>
      <c r="BH43" s="547">
        <f t="shared" ca="1" si="0"/>
        <v>1</v>
      </c>
      <c r="BI43" s="547">
        <f ca="1">COUNTIF(ADMIN!$M$130:$M$161,Fixture!BG43)-BJ43-BK43-BL43-BM43-BN43-BO43</f>
        <v>0</v>
      </c>
      <c r="BJ43" s="548">
        <f ca="1">COUNTIF(ADMIN!$M$182:$M$197,Fixture!BG43)-BK43-BL43-BM43-BN43-BO43</f>
        <v>0</v>
      </c>
      <c r="BK43" s="549">
        <f ca="1">COUNTIF(ADMIN!$M$210:$M$217,Fixture!BG43)-BL43-BM43-BN43-BO43</f>
        <v>0</v>
      </c>
      <c r="BL43" s="549">
        <f ca="1">COUNTIF(ADMIN!$M$226:$M$229,BG43)-BM43-BN43-BO43</f>
        <v>0</v>
      </c>
      <c r="BM43" s="547">
        <f ca="1">COUNTIF(ADMIN!$M$252,Fixture!BG43)</f>
        <v>0</v>
      </c>
      <c r="BN43" s="547">
        <f ca="1">COUNTIF(ADMIN!$M$251,Fixture!BG43)</f>
        <v>0</v>
      </c>
      <c r="BO43" s="550">
        <f ca="1">COUNTIF(ADMIN!$M$250,Fixture!BG43)</f>
        <v>0</v>
      </c>
    </row>
    <row r="44" spans="1:67">
      <c r="A44" s="19">
        <v>12</v>
      </c>
      <c r="B44" s="652"/>
      <c r="C44" s="528" t="str">
        <f ca="1">+MID(INDEX(WORLDCUP!$AA$4:$AA$147,MATCH(A44,WORLDCUP!$AH$4:$AH$147,0)),1,3)</f>
        <v>Sue</v>
      </c>
      <c r="D44" s="529" t="str">
        <f>IF(ISBLANK(INDEX(WORLDCUP!$AC$4:$AC$147,MATCH(A44,WORLDCUP!$AH$4:$AH$147,0))),"",INDEX(WORLDCUP!$AC$4:$AC$147,MATCH(A44,WORLDCUP!$AH$4:$AH$147,0)))</f>
        <v/>
      </c>
      <c r="E44" s="529" t="str">
        <f>IF(ISBLANK(INDEX(WORLDCUP!$AD$4:$AD$147,MATCH(A44,WORLDCUP!$AH$4:$AH$147,0))),"",INDEX(WORLDCUP!$AD$4:$AD$147,MATCH(A44,WORLDCUP!$AH$4:$AH$147,0)))</f>
        <v/>
      </c>
      <c r="F44" s="530" t="str">
        <f ca="1">+MID(INDEX(WORLDCUP!$AF$4:$AF$147,MATCH(A44,WORLDCUP!$AH$4:$AH$147,0)),1,3)</f>
        <v>Tún</v>
      </c>
      <c r="G44" s="531">
        <v>1</v>
      </c>
      <c r="H44" s="532" t="str">
        <f ca="1">+MID(INDEX(WORLDCUP!$AL$6:$AL$97,MATCH(L44,WORLDCUP!$AI$6:$AI$97,0)),1,3)</f>
        <v>Paí</v>
      </c>
      <c r="I44" s="533">
        <f ca="1">+INDEX(WORLDCUP!$AM$6:$AM$97,MATCH(L44,WORLDCUP!$AI$6:$AI$97,0))</f>
        <v>0</v>
      </c>
      <c r="J44" s="534">
        <f ca="1">+INDEX(WORLDCUP!$AT$6:$AT$97,MATCH(L44,WORLDCUP!$AI$6:$AI$97,0))</f>
        <v>0</v>
      </c>
      <c r="K44" s="535" t="str">
        <f ca="1">+INDEX(WORLDCUP!$AR$6:$AR$97,MATCH(L44,WORLDCUP!$AI$6:$AI$97,0))&amp;"-"&amp;INDEX(WORLDCUP!$AS$6:$AS$97,MATCH(L44,WORLDCUP!$AI$6:$AI$97,0))</f>
        <v>0-0</v>
      </c>
      <c r="L44" s="19" t="s">
        <v>664</v>
      </c>
      <c r="M44" s="19">
        <v>21</v>
      </c>
      <c r="N44" s="653"/>
      <c r="O44" s="528" t="str">
        <f ca="1">+MID(INDEX(WORLDCUP!$AA$4:$AA$147,MATCH(M44,WORLDCUP!$AH$4:$AH$147,0)),1,3)</f>
        <v>Gha</v>
      </c>
      <c r="P44" s="529" t="str">
        <f>IF(ISBLANK(INDEX(WORLDCUP!$AC$4:$AC$147,MATCH(M44,WORLDCUP!$AH$4:$AH$147,0))),"",INDEX(WORLDCUP!$AC$4:$AC$147,MATCH(M44,WORLDCUP!$AH$4:$AH$147,0)))</f>
        <v/>
      </c>
      <c r="Q44" s="529" t="str">
        <f>IF(ISBLANK(INDEX(WORLDCUP!$AD$4:$AD$147,MATCH(M44,WORLDCUP!$AH$4:$AH$147,0))),"",INDEX(WORLDCUP!$AD$4:$AD$147,MATCH(M44,WORLDCUP!$AH$4:$AH$147,0)))</f>
        <v/>
      </c>
      <c r="R44" s="530" t="str">
        <f ca="1">+MID(INDEX(WORLDCUP!$AF$4:$AF$147,MATCH(M44,WORLDCUP!$AH$4:$AH$147,0)),1,3)</f>
        <v>Pan</v>
      </c>
      <c r="S44" s="531">
        <v>1</v>
      </c>
      <c r="T44" s="532" t="str">
        <f ca="1">+MID(INDEX(WORLDCUP!$AL$6:$AL$97,MATCH(X44,WORLDCUP!$AI$6:$AI$97,0)),1,3)</f>
        <v>Ing</v>
      </c>
      <c r="U44" s="533">
        <f ca="1">+INDEX(WORLDCUP!$AM$6:$AM$97,MATCH(X44,WORLDCUP!$AI$6:$AI$97,0))</f>
        <v>0</v>
      </c>
      <c r="V44" s="534">
        <f ca="1">+INDEX(WORLDCUP!$AT$6:$AT$97,MATCH(X44,WORLDCUP!$AI$6:$AI$97,0))</f>
        <v>0</v>
      </c>
      <c r="W44" s="535" t="str">
        <f ca="1">+INDEX(WORLDCUP!$AR$6:$AR$97,MATCH(X44,WORLDCUP!$AI$6:$AI$97,0))&amp;"-"&amp;INDEX(WORLDCUP!$AS$6:$AS$97,MATCH(X44,WORLDCUP!$AI$6:$AI$97,0))</f>
        <v>0-0</v>
      </c>
      <c r="X44" s="19" t="s">
        <v>682</v>
      </c>
      <c r="Y44" s="19"/>
      <c r="Z44" s="509"/>
      <c r="AA44" s="578"/>
      <c r="AB44" s="578"/>
      <c r="AC44" s="578"/>
      <c r="AD44" s="19"/>
      <c r="AE44" s="513"/>
      <c r="AF44" s="513"/>
      <c r="AG44" s="559"/>
      <c r="AH44" s="19">
        <v>100</v>
      </c>
      <c r="AI44" s="567" t="str">
        <f>+MID(INDEX(WORLDCUP!$AF$101:$AF$147,MATCH(AH44,WORLDCUP!$Z$101:$Z$147,0)),1,3)</f>
        <v>W96</v>
      </c>
      <c r="AJ44" s="568" t="str">
        <f>+IF(ISBLANK(INDEX(WORLDCUP!$AD$101:$AD$147,MATCH(AH44,WORLDCUP!$Z$101:$Z$147,0))),"",INDEX(WORLDCUP!$AD$101:$AD$147,MATCH(AH44,WORLDCUP!$Z$101:$Z$147,0)))</f>
        <v/>
      </c>
      <c r="AK44" s="543" t="str">
        <f>+IF(ISBLANK(INDEX(WORLDCUP!$AE$101:$AE$147,MATCH(AH44,WORLDCUP!$Z$101:$Z$147,0))),"","( "&amp;INDEX(WORLDCUP!$AE$101:$AE$147,MATCH(AH44,WORLDCUP!$Z$101:$Z$147,0))&amp;" )")</f>
        <v/>
      </c>
      <c r="AL44" s="92"/>
      <c r="AM44" s="515"/>
      <c r="AN44" s="515"/>
      <c r="AO44" s="515"/>
      <c r="AP44" s="19"/>
      <c r="AQ44" s="544"/>
      <c r="AR44" s="544"/>
      <c r="AS44" s="544"/>
      <c r="AT44" s="19"/>
      <c r="AU44" s="517"/>
      <c r="AV44" s="517"/>
      <c r="AW44" s="517"/>
      <c r="AX44" s="19"/>
      <c r="AY44" s="297"/>
      <c r="AZ44" s="297"/>
      <c r="BA44" s="297"/>
      <c r="BB44" s="297"/>
      <c r="BC44" s="297"/>
      <c r="BD44" s="297"/>
      <c r="BE44" s="297"/>
      <c r="BG44" s="546" t="str">
        <f ca="1">Horarios!Q43</f>
        <v>Senegal</v>
      </c>
      <c r="BH44" s="547">
        <f t="shared" ca="1" si="0"/>
        <v>1</v>
      </c>
      <c r="BI44" s="547">
        <f ca="1">COUNTIF(ADMIN!$M$130:$M$161,Fixture!BG44)-BJ44-BK44-BL44-BM44-BN44-BO44</f>
        <v>0</v>
      </c>
      <c r="BJ44" s="548">
        <f ca="1">COUNTIF(ADMIN!$M$182:$M$197,Fixture!BG44)-BK44-BL44-BM44-BN44-BO44</f>
        <v>0</v>
      </c>
      <c r="BK44" s="549">
        <f ca="1">COUNTIF(ADMIN!$M$210:$M$217,Fixture!BG44)-BL44-BM44-BN44-BO44</f>
        <v>0</v>
      </c>
      <c r="BL44" s="549">
        <f ca="1">COUNTIF(ADMIN!$M$226:$M$229,BG44)-BM44-BN44-BO44</f>
        <v>0</v>
      </c>
      <c r="BM44" s="547">
        <f ca="1">COUNTIF(ADMIN!$M$252,Fixture!BG44)</f>
        <v>0</v>
      </c>
      <c r="BN44" s="547">
        <f ca="1">COUNTIF(ADMIN!$M$251,Fixture!BG44)</f>
        <v>0</v>
      </c>
      <c r="BO44" s="550">
        <f ca="1">COUNTIF(ADMIN!$M$250,Fixture!BG44)</f>
        <v>0</v>
      </c>
    </row>
    <row r="45" spans="1:67" ht="15.75" thickBot="1">
      <c r="A45" s="19">
        <v>35</v>
      </c>
      <c r="B45" s="652"/>
      <c r="C45" s="528" t="str">
        <f ca="1">+MID(INDEX(WORLDCUP!$AA$4:$AA$147,MATCH(A45,WORLDCUP!$AH$4:$AH$147,0)),1,3)</f>
        <v>Paí</v>
      </c>
      <c r="D45" s="529" t="str">
        <f>IF(ISBLANK(INDEX(WORLDCUP!$AC$4:$AC$147,MATCH(A45,WORLDCUP!$AH$4:$AH$147,0))),"",INDEX(WORLDCUP!$AC$4:$AC$147,MATCH(A45,WORLDCUP!$AH$4:$AH$147,0)))</f>
        <v/>
      </c>
      <c r="E45" s="529" t="str">
        <f>IF(ISBLANK(INDEX(WORLDCUP!$AD$4:$AD$147,MATCH(A45,WORLDCUP!$AH$4:$AH$147,0))),"",INDEX(WORLDCUP!$AD$4:$AD$147,MATCH(A45,WORLDCUP!$AH$4:$AH$147,0)))</f>
        <v/>
      </c>
      <c r="F45" s="530" t="str">
        <f ca="1">+MID(INDEX(WORLDCUP!$AF$4:$AF$147,MATCH(A45,WORLDCUP!$AH$4:$AH$147,0)),1,3)</f>
        <v>Sue</v>
      </c>
      <c r="G45" s="551">
        <v>2</v>
      </c>
      <c r="H45" s="552"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3"/>
      <c r="O45" s="528" t="str">
        <f ca="1">+MID(INDEX(WORLDCUP!$AA$4:$AA$147,MATCH(M45,WORLDCUP!$AH$4:$AH$147,0)),1,3)</f>
        <v>Ing</v>
      </c>
      <c r="P45" s="529" t="str">
        <f>IF(ISBLANK(INDEX(WORLDCUP!$AC$4:$AC$147,MATCH(M45,WORLDCUP!$AH$4:$AH$147,0))),"",INDEX(WORLDCUP!$AC$4:$AC$147,MATCH(M45,WORLDCUP!$AH$4:$AH$147,0)))</f>
        <v/>
      </c>
      <c r="Q45" s="529" t="str">
        <f>IF(ISBLANK(INDEX(WORLDCUP!$AD$4:$AD$147,MATCH(M45,WORLDCUP!$AH$4:$AH$147,0))),"",INDEX(WORLDCUP!$AD$4:$AD$147,MATCH(M45,WORLDCUP!$AH$4:$AH$147,0)))</f>
        <v/>
      </c>
      <c r="R45" s="530" t="str">
        <f ca="1">+MID(INDEX(WORLDCUP!$AF$4:$AF$147,MATCH(M45,WORLDCUP!$AH$4:$AH$147,0)),1,3)</f>
        <v>Gha</v>
      </c>
      <c r="S45" s="551">
        <v>2</v>
      </c>
      <c r="T45" s="552"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09" t="s">
        <v>648</v>
      </c>
      <c r="AA45" s="510" t="str">
        <f ca="1">+MID(INDEX(WORLDCUP!$AA$101:$AA$147,MATCH(Y45,WORLDCUP!$Z$101:$Z$147,0)),1,3)</f>
        <v>1B</v>
      </c>
      <c r="AB45" s="511" t="str">
        <f>+IF(ISBLANK(INDEX(WORLDCUP!$AC$101:$AC$147,MATCH(Y45,WORLDCUP!$Z$101:$Z$147,0))),"",INDEX(WORLDCUP!$AC$101:$AC$147,MATCH(Y45,WORLDCUP!$Z$101:$Z$147,0)))</f>
        <v/>
      </c>
      <c r="AC45" s="581" t="str">
        <f>+IF(ISBLANK(INDEX(WORLDCUP!$AB$101:$AB$147,MATCH(Y45,WORLDCUP!$Z$101:$Z$147,0))),"","( "&amp;INDEX(WORLDCUP!$AB$101:$AB$147,MATCH(Y45,WORLDCUP!$Z$101:$Z$147,0))&amp;" )")</f>
        <v/>
      </c>
      <c r="AD45" s="18"/>
      <c r="AE45" s="513"/>
      <c r="AF45" s="513"/>
      <c r="AG45" s="559"/>
      <c r="AH45" s="19"/>
      <c r="AI45" s="543"/>
      <c r="AJ45" s="543"/>
      <c r="AK45" s="543"/>
      <c r="AL45" s="92"/>
      <c r="AM45" s="515"/>
      <c r="AN45" s="515"/>
      <c r="AO45" s="515"/>
      <c r="AP45" s="19"/>
      <c r="AQ45" s="544"/>
      <c r="AR45" s="544"/>
      <c r="AS45" s="544"/>
      <c r="AT45" s="19"/>
      <c r="AU45" s="517"/>
      <c r="AV45" s="517"/>
      <c r="AW45" s="517"/>
      <c r="AX45" s="19"/>
      <c r="AY45" s="297"/>
      <c r="AZ45" s="297"/>
      <c r="BA45" s="297"/>
      <c r="BB45" s="297"/>
      <c r="BC45" s="297"/>
      <c r="BD45" s="297"/>
      <c r="BE45" s="297"/>
      <c r="BG45" s="546" t="str">
        <f ca="1">Horarios!Q44</f>
        <v>Sudáfrica</v>
      </c>
      <c r="BH45" s="547">
        <f t="shared" ca="1" si="0"/>
        <v>1</v>
      </c>
      <c r="BI45" s="547">
        <f ca="1">COUNTIF(ADMIN!$M$130:$M$161,Fixture!BG45)-BJ45-BK45-BL45-BM45-BN45-BO45</f>
        <v>0</v>
      </c>
      <c r="BJ45" s="548">
        <f ca="1">COUNTIF(ADMIN!$M$182:$M$197,Fixture!BG45)-BK45-BL45-BM45-BN45-BO45</f>
        <v>0</v>
      </c>
      <c r="BK45" s="549">
        <f ca="1">COUNTIF(ADMIN!$M$210:$M$217,Fixture!BG45)-BL45-BM45-BN45-BO45</f>
        <v>0</v>
      </c>
      <c r="BL45" s="549">
        <f ca="1">COUNTIF(ADMIN!$M$226:$M$229,BG45)-BM45-BN45-BO45</f>
        <v>0</v>
      </c>
      <c r="BM45" s="547">
        <f ca="1">COUNTIF(ADMIN!$M$252,Fixture!BG45)</f>
        <v>0</v>
      </c>
      <c r="BN45" s="547">
        <f ca="1">COUNTIF(ADMIN!$M$251,Fixture!BG45)</f>
        <v>0</v>
      </c>
      <c r="BO45" s="550">
        <f ca="1">COUNTIF(ADMIN!$M$250,Fixture!BG45)</f>
        <v>0</v>
      </c>
    </row>
    <row r="46" spans="1:67" ht="15.75" thickBot="1">
      <c r="A46" s="19">
        <v>36</v>
      </c>
      <c r="B46" s="652"/>
      <c r="C46" s="528" t="str">
        <f ca="1">+MID(INDEX(WORLDCUP!$AA$4:$AA$147,MATCH(A46,WORLDCUP!$AH$4:$AH$147,0)),1,3)</f>
        <v>Tún</v>
      </c>
      <c r="D46" s="529" t="str">
        <f>IF(ISBLANK(INDEX(WORLDCUP!$AC$4:$AC$147,MATCH(A46,WORLDCUP!$AH$4:$AH$147,0))),"",INDEX(WORLDCUP!$AC$4:$AC$147,MATCH(A46,WORLDCUP!$AH$4:$AH$147,0)))</f>
        <v/>
      </c>
      <c r="E46" s="529" t="str">
        <f>IF(ISBLANK(INDEX(WORLDCUP!$AD$4:$AD$147,MATCH(A46,WORLDCUP!$AH$4:$AH$147,0))),"",INDEX(WORLDCUP!$AD$4:$AD$147,MATCH(A46,WORLDCUP!$AH$4:$AH$147,0)))</f>
        <v/>
      </c>
      <c r="F46" s="530" t="str">
        <f ca="1">+MID(INDEX(WORLDCUP!$AF$4:$AF$147,MATCH(A46,WORLDCUP!$AH$4:$AH$147,0)),1,3)</f>
        <v>Jap</v>
      </c>
      <c r="G46" s="551">
        <v>3</v>
      </c>
      <c r="H46" s="552"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3"/>
      <c r="O46" s="528" t="str">
        <f ca="1">+MID(INDEX(WORLDCUP!$AA$4:$AA$147,MATCH(M46,WORLDCUP!$AH$4:$AH$147,0)),1,3)</f>
        <v>Pan</v>
      </c>
      <c r="P46" s="529" t="str">
        <f>IF(ISBLANK(INDEX(WORLDCUP!$AC$4:$AC$147,MATCH(M46,WORLDCUP!$AH$4:$AH$147,0))),"",INDEX(WORLDCUP!$AC$4:$AC$147,MATCH(M46,WORLDCUP!$AH$4:$AH$147,0)))</f>
        <v/>
      </c>
      <c r="Q46" s="529" t="str">
        <f>IF(ISBLANK(INDEX(WORLDCUP!$AD$4:$AD$147,MATCH(M46,WORLDCUP!$AH$4:$AH$147,0))),"",INDEX(WORLDCUP!$AD$4:$AD$147,MATCH(M46,WORLDCUP!$AH$4:$AH$147,0)))</f>
        <v/>
      </c>
      <c r="R46" s="530" t="str">
        <f ca="1">+MID(INDEX(WORLDCUP!$AF$4:$AF$147,MATCH(M46,WORLDCUP!$AH$4:$AH$147,0)),1,3)</f>
        <v>Cro</v>
      </c>
      <c r="S46" s="551">
        <v>3</v>
      </c>
      <c r="T46" s="552"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09" t="s">
        <v>728</v>
      </c>
      <c r="AA46" s="510" t="str">
        <f ca="1">+MID(INDEX(WORLDCUP!$AF$101:$AF$147,MATCH(Y46,WORLDCUP!$Z$101:$Z$147,0)),1,IF(WORLDCUP!$H$113&lt;144,6,3))</f>
        <v>3EFGIJ</v>
      </c>
      <c r="AB46" s="537" t="str">
        <f>+IF(ISBLANK(INDEX(WORLDCUP!$AD$101:$AD$147,MATCH(Y46,WORLDCUP!$Z$101:$Z$147,0))),"",INDEX(WORLDCUP!$AD$101:$AD$147,MATCH(Y46,WORLDCUP!$Z$101:$Z$147,0)))</f>
        <v/>
      </c>
      <c r="AC46" s="538" t="str">
        <f>+IF(ISBLANK(INDEX(WORLDCUP!$AE$101:$AE$147,MATCH(Y46,WORLDCUP!$Z$101:$Z$147,0))),"","( "&amp;INDEX(WORLDCUP!$AE$101:$AE$147,MATCH(Y46,WORLDCUP!$Z$101:$Z$147,0))&amp;" )")</f>
        <v/>
      </c>
      <c r="AD46" s="539">
        <v>96</v>
      </c>
      <c r="AE46" s="540" t="str">
        <f>+MID(INDEX(WORLDCUP!$AA$101:$AA$147,MATCH(AD46,WORLDCUP!$Z$101:$Z$147,0)),1,3)</f>
        <v>W85</v>
      </c>
      <c r="AF46" s="541" t="str">
        <f>+IF(ISBLANK(INDEX(WORLDCUP!$AC$101:$AC$147,MATCH(AD46,WORLDCUP!$Z$101:$Z$147,0))),"",INDEX(WORLDCUP!$AC$101:$AC$147,MATCH(AD46,WORLDCUP!$Z$101:$Z$147,0)))</f>
        <v/>
      </c>
      <c r="AG46" s="584" t="str">
        <f>+IF(ISBLANK(INDEX(WORLDCUP!$AB$101:$AB$147,MATCH(AD46,WORLDCUP!$Z$101:$Z$147,0))),"","( "&amp;INDEX(WORLDCUP!$AB$101:$AB$147,MATCH(AD46,WORLDCUP!$Z$101:$Z$147,0))&amp;" )")</f>
        <v/>
      </c>
      <c r="AH46" s="19"/>
      <c r="AI46" s="543"/>
      <c r="AJ46" s="543"/>
      <c r="AK46" s="543"/>
      <c r="AL46" s="92"/>
      <c r="AM46" s="515"/>
      <c r="AN46" s="515"/>
      <c r="AO46" s="515"/>
      <c r="AP46" s="19"/>
      <c r="AQ46" s="544"/>
      <c r="AR46" s="544"/>
      <c r="AS46" s="544"/>
      <c r="AT46" s="19"/>
      <c r="AU46" s="517"/>
      <c r="AV46" s="517"/>
      <c r="AW46" s="517"/>
      <c r="AX46" s="19"/>
      <c r="AY46" s="297"/>
      <c r="AZ46" s="297"/>
      <c r="BA46" s="297"/>
      <c r="BB46" s="297"/>
      <c r="BC46" s="297"/>
      <c r="BD46" s="297"/>
      <c r="BE46" s="297"/>
      <c r="BG46" s="546" t="str">
        <f ca="1">Horarios!Q45</f>
        <v>Suecia</v>
      </c>
      <c r="BH46" s="547">
        <f t="shared" ca="1" si="0"/>
        <v>1</v>
      </c>
      <c r="BI46" s="547">
        <f ca="1">COUNTIF(ADMIN!$M$130:$M$161,Fixture!BG46)-BJ46-BK46-BL46-BM46-BN46-BO46</f>
        <v>0</v>
      </c>
      <c r="BJ46" s="548">
        <f ca="1">COUNTIF(ADMIN!$M$182:$M$197,Fixture!BG46)-BK46-BL46-BM46-BN46-BO46</f>
        <v>0</v>
      </c>
      <c r="BK46" s="549">
        <f ca="1">COUNTIF(ADMIN!$M$210:$M$217,Fixture!BG46)-BL46-BM46-BN46-BO46</f>
        <v>0</v>
      </c>
      <c r="BL46" s="549">
        <f ca="1">COUNTIF(ADMIN!$M$226:$M$229,BG46)-BM46-BN46-BO46</f>
        <v>0</v>
      </c>
      <c r="BM46" s="547">
        <f ca="1">COUNTIF(ADMIN!$M$252,Fixture!BG46)</f>
        <v>0</v>
      </c>
      <c r="BN46" s="547">
        <f ca="1">COUNTIF(ADMIN!$M$251,Fixture!BG46)</f>
        <v>0</v>
      </c>
      <c r="BO46" s="550">
        <f ca="1">COUNTIF(ADMIN!$M$250,Fixture!BG46)</f>
        <v>0</v>
      </c>
    </row>
    <row r="47" spans="1:67">
      <c r="A47" s="19">
        <v>57</v>
      </c>
      <c r="B47" s="652"/>
      <c r="C47" s="528" t="str">
        <f ca="1">+MID(INDEX(WORLDCUP!$AA$4:$AA$147,MATCH(A47,WORLDCUP!$AH$4:$AH$147,0)),1,3)</f>
        <v>Jap</v>
      </c>
      <c r="D47" s="529" t="str">
        <f>IF(ISBLANK(INDEX(WORLDCUP!$AC$4:$AC$147,MATCH(A47,WORLDCUP!$AH$4:$AH$147,0))),"",INDEX(WORLDCUP!$AC$4:$AC$147,MATCH(A47,WORLDCUP!$AH$4:$AH$147,0)))</f>
        <v/>
      </c>
      <c r="E47" s="529" t="str">
        <f>IF(ISBLANK(INDEX(WORLDCUP!$AD$4:$AD$147,MATCH(A47,WORLDCUP!$AH$4:$AH$147,0))),"",INDEX(WORLDCUP!$AD$4:$AD$147,MATCH(A47,WORLDCUP!$AH$4:$AH$147,0)))</f>
        <v/>
      </c>
      <c r="F47" s="530" t="str">
        <f ca="1">+MID(INDEX(WORLDCUP!$AF$4:$AF$147,MATCH(A47,WORLDCUP!$AH$4:$AH$147,0)),1,3)</f>
        <v>Sue</v>
      </c>
      <c r="G47" s="551">
        <v>4</v>
      </c>
      <c r="H47" s="560" t="str">
        <f ca="1">+MID(INDEX(WORLDCUP!$AL$6:$AL$97,MATCH(L47,WORLDCUP!$AI$6:$AI$97,0)),1,3)</f>
        <v>Tún</v>
      </c>
      <c r="I47" s="561">
        <f ca="1">+INDEX(WORLDCUP!$AM$6:$AM$97,MATCH(L47,WORLDCUP!$AI$6:$AI$97,0))</f>
        <v>0</v>
      </c>
      <c r="J47" s="562">
        <f ca="1">+INDEX(WORLDCUP!$AT$6:$AT$97,MATCH(L47,WORLDCUP!$AI$6:$AI$97,0))</f>
        <v>0</v>
      </c>
      <c r="K47" s="563" t="str">
        <f ca="1">+INDEX(WORLDCUP!$AR$6:$AR$97,MATCH(L47,WORLDCUP!$AI$6:$AI$97,0))&amp;"-"&amp;INDEX(WORLDCUP!$AS$6:$AS$97,MATCH(L47,WORLDCUP!$AI$6:$AI$97,0))</f>
        <v>0-0</v>
      </c>
      <c r="L47" s="19" t="s">
        <v>666</v>
      </c>
      <c r="M47" s="19">
        <v>67</v>
      </c>
      <c r="N47" s="653"/>
      <c r="O47" s="528" t="str">
        <f ca="1">+MID(INDEX(WORLDCUP!$AA$4:$AA$147,MATCH(M47,WORLDCUP!$AH$4:$AH$147,0)),1,3)</f>
        <v>Pan</v>
      </c>
      <c r="P47" s="529" t="str">
        <f>IF(ISBLANK(INDEX(WORLDCUP!$AC$4:$AC$147,MATCH(M47,WORLDCUP!$AH$4:$AH$147,0))),"",INDEX(WORLDCUP!$AC$4:$AC$147,MATCH(M47,WORLDCUP!$AH$4:$AH$147,0)))</f>
        <v/>
      </c>
      <c r="Q47" s="529" t="str">
        <f>IF(ISBLANK(INDEX(WORLDCUP!$AD$4:$AD$147,MATCH(M47,WORLDCUP!$AH$4:$AH$147,0))),"",INDEX(WORLDCUP!$AD$4:$AD$147,MATCH(M47,WORLDCUP!$AH$4:$AH$147,0)))</f>
        <v/>
      </c>
      <c r="R47" s="530" t="str">
        <f ca="1">+MID(INDEX(WORLDCUP!$AF$4:$AF$147,MATCH(M47,WORLDCUP!$AH$4:$AH$147,0)),1,3)</f>
        <v>Ing</v>
      </c>
      <c r="S47" s="551">
        <v>4</v>
      </c>
      <c r="T47" s="560" t="str">
        <f ca="1">+MID(INDEX(WORLDCUP!$AL$6:$AL$97,MATCH(X47,WORLDCUP!$AI$6:$AI$97,0)),1,3)</f>
        <v>Pan</v>
      </c>
      <c r="U47" s="561">
        <f ca="1">+INDEX(WORLDCUP!$AM$6:$AM$97,MATCH(X47,WORLDCUP!$AI$6:$AI$97,0))</f>
        <v>0</v>
      </c>
      <c r="V47" s="562">
        <f ca="1">+INDEX(WORLDCUP!$AT$6:$AT$97,MATCH(X47,WORLDCUP!$AI$6:$AI$97,0))</f>
        <v>0</v>
      </c>
      <c r="W47" s="563" t="str">
        <f ca="1">+INDEX(WORLDCUP!$AR$6:$AR$97,MATCH(X47,WORLDCUP!$AI$6:$AI$97,0))&amp;"-"&amp;INDEX(WORLDCUP!$AS$6:$AS$97,MATCH(X47,WORLDCUP!$AI$6:$AI$97,0))</f>
        <v>0-0</v>
      </c>
      <c r="X47" s="19" t="s">
        <v>684</v>
      </c>
      <c r="Y47" s="19"/>
      <c r="Z47" s="509"/>
      <c r="AA47" s="553"/>
      <c r="AB47" s="553"/>
      <c r="AC47" s="554"/>
      <c r="AD47" s="19">
        <v>96</v>
      </c>
      <c r="AE47" s="540" t="str">
        <f>+MID(INDEX(WORLDCUP!$AF$101:$AF$147,MATCH(AD47,WORLDCUP!$Z$101:$Z$147,0)),1,3)</f>
        <v>W87</v>
      </c>
      <c r="AF47" s="541" t="str">
        <f>+IF(ISBLANK(INDEX(WORLDCUP!$AD$101:$AD$147,MATCH(AD47,WORLDCUP!$Z$101:$Z$147,0))),"",INDEX(WORLDCUP!$AD$101:$AD$147,MATCH(AD47,WORLDCUP!$Z$101:$Z$147,0)))</f>
        <v/>
      </c>
      <c r="AG47" s="558" t="str">
        <f>+IF(ISBLANK(INDEX(WORLDCUP!$AE$101:$AE$147,MATCH(AD47,WORLDCUP!$Z$101:$Z$147,0))),"","( "&amp;INDEX(WORLDCUP!$AE$101:$AE$147,MATCH(AD47,WORLDCUP!$Z$101:$Z$147,0))&amp;" )")</f>
        <v/>
      </c>
      <c r="AH47" s="19"/>
      <c r="AI47" s="543"/>
      <c r="AJ47" s="543"/>
      <c r="AK47" s="543"/>
      <c r="AL47" s="92"/>
      <c r="AM47" s="515"/>
      <c r="AN47" s="515"/>
      <c r="AO47" s="515"/>
      <c r="AP47" s="19"/>
      <c r="AQ47" s="544"/>
      <c r="AR47" s="544"/>
      <c r="AS47" s="544"/>
      <c r="AT47" s="19"/>
      <c r="AU47" s="517"/>
      <c r="AV47" s="517"/>
      <c r="AW47" s="517"/>
      <c r="AX47" s="19"/>
      <c r="AY47" s="297"/>
      <c r="AZ47" s="297"/>
      <c r="BA47" s="297"/>
      <c r="BB47" s="297"/>
      <c r="BC47" s="297"/>
      <c r="BD47" s="297"/>
      <c r="BE47" s="297"/>
      <c r="BG47" s="546" t="str">
        <f ca="1">Horarios!Q46</f>
        <v>Suiza</v>
      </c>
      <c r="BH47" s="547">
        <f t="shared" ca="1" si="0"/>
        <v>1</v>
      </c>
      <c r="BI47" s="547">
        <f ca="1">COUNTIF(ADMIN!$M$130:$M$161,Fixture!BG47)-BJ47-BK47-BL47-BM47-BN47-BO47</f>
        <v>0</v>
      </c>
      <c r="BJ47" s="548">
        <f ca="1">COUNTIF(ADMIN!$M$182:$M$197,Fixture!BG47)-BK47-BL47-BM47-BN47-BO47</f>
        <v>0</v>
      </c>
      <c r="BK47" s="549">
        <f ca="1">COUNTIF(ADMIN!$M$210:$M$217,Fixture!BG47)-BL47-BM47-BN47-BO47</f>
        <v>0</v>
      </c>
      <c r="BL47" s="549">
        <f ca="1">COUNTIF(ADMIN!$M$226:$M$229,BG47)-BM47-BN47-BO47</f>
        <v>0</v>
      </c>
      <c r="BM47" s="547">
        <f ca="1">COUNTIF(ADMIN!$M$252,Fixture!BG47)</f>
        <v>0</v>
      </c>
      <c r="BN47" s="547">
        <f ca="1">COUNTIF(ADMIN!$M$251,Fixture!BG47)</f>
        <v>0</v>
      </c>
      <c r="BO47" s="550">
        <f ca="1">COUNTIF(ADMIN!$M$250,Fixture!BG47)</f>
        <v>0</v>
      </c>
    </row>
    <row r="48" spans="1:67" ht="15.75" thickBot="1">
      <c r="A48" s="19">
        <v>58</v>
      </c>
      <c r="B48" s="654"/>
      <c r="C48" s="571" t="str">
        <f ca="1">+MID(INDEX(WORLDCUP!$AA$4:$AA$147,MATCH(A48,WORLDCUP!$AH$4:$AH$147,0)),1,3)</f>
        <v>Tún</v>
      </c>
      <c r="D48" s="572" t="str">
        <f>IF(ISBLANK(INDEX(WORLDCUP!$AC$4:$AC$147,MATCH(A48,WORLDCUP!$AH$4:$AH$147,0))),"",INDEX(WORLDCUP!$AC$4:$AC$147,MATCH(A48,WORLDCUP!$AH$4:$AH$147,0)))</f>
        <v/>
      </c>
      <c r="E48" s="572" t="str">
        <f>IF(ISBLANK(INDEX(WORLDCUP!$AD$4:$AD$147,MATCH(A48,WORLDCUP!$AH$4:$AH$147,0))),"",INDEX(WORLDCUP!$AD$4:$AD$147,MATCH(A48,WORLDCUP!$AH$4:$AH$147,0)))</f>
        <v/>
      </c>
      <c r="F48" s="573" t="str">
        <f ca="1">+MID(INDEX(WORLDCUP!$AF$4:$AF$147,MATCH(A48,WORLDCUP!$AH$4:$AH$147,0)),1,3)</f>
        <v>Paí</v>
      </c>
      <c r="G48" s="574"/>
      <c r="H48" s="574"/>
      <c r="I48" s="575"/>
      <c r="J48" s="575"/>
      <c r="K48" s="576"/>
      <c r="L48" s="19"/>
      <c r="M48" s="19">
        <v>68</v>
      </c>
      <c r="N48" s="655"/>
      <c r="O48" s="571" t="str">
        <f ca="1">+MID(INDEX(WORLDCUP!$AA$4:$AA$147,MATCH(M48,WORLDCUP!$AH$4:$AH$147,0)),1,3)</f>
        <v>Cro</v>
      </c>
      <c r="P48" s="572" t="str">
        <f>IF(ISBLANK(INDEX(WORLDCUP!$AC$4:$AC$147,MATCH(M48,WORLDCUP!$AH$4:$AH$147,0))),"",INDEX(WORLDCUP!$AC$4:$AC$147,MATCH(M48,WORLDCUP!$AH$4:$AH$147,0)))</f>
        <v/>
      </c>
      <c r="Q48" s="572" t="str">
        <f>IF(ISBLANK(INDEX(WORLDCUP!$AD$4:$AD$147,MATCH(M48,WORLDCUP!$AH$4:$AH$147,0))),"",INDEX(WORLDCUP!$AD$4:$AD$147,MATCH(M48,WORLDCUP!$AH$4:$AH$147,0)))</f>
        <v/>
      </c>
      <c r="R48" s="573" t="str">
        <f ca="1">+MID(INDEX(WORLDCUP!$AF$4:$AF$147,MATCH(M48,WORLDCUP!$AH$4:$AH$147,0)),1,3)</f>
        <v>Gha</v>
      </c>
      <c r="S48" s="574"/>
      <c r="T48" s="574"/>
      <c r="U48" s="575"/>
      <c r="V48" s="575"/>
      <c r="W48" s="576"/>
      <c r="X48" s="19"/>
      <c r="Y48" s="19">
        <v>87</v>
      </c>
      <c r="Z48" s="509" t="s">
        <v>679</v>
      </c>
      <c r="AA48" s="510" t="str">
        <f ca="1">+MID(INDEX(WORLDCUP!$AA$101:$AA$147,MATCH(Y48,WORLDCUP!$Z$101:$Z$147,0)),1,3)</f>
        <v>1K</v>
      </c>
      <c r="AB48" s="556" t="str">
        <f>+IF(ISBLANK(INDEX(WORLDCUP!$AC$101:$AC$147,MATCH(Y48,WORLDCUP!$Z$101:$Z$147,0))),"",INDEX(WORLDCUP!$AC$101:$AC$147,MATCH(Y48,WORLDCUP!$Z$101:$Z$147,0)))</f>
        <v/>
      </c>
      <c r="AC48" s="590" t="str">
        <f>+IF(ISBLANK(INDEX(WORLDCUP!$AB$101:$AB$147,MATCH(Y48,WORLDCUP!$Z$101:$Z$147,0))),"","( "&amp;INDEX(WORLDCUP!$AB$101:$AB$147,MATCH(Y48,WORLDCUP!$Z$101:$Z$147,0))&amp;" )")</f>
        <v/>
      </c>
      <c r="AD48" s="19"/>
      <c r="AE48" s="513"/>
      <c r="AF48" s="513"/>
      <c r="AG48" s="513"/>
      <c r="AH48" s="19"/>
      <c r="AI48" s="543"/>
      <c r="AJ48" s="543"/>
      <c r="AK48" s="543"/>
      <c r="AL48" s="92"/>
      <c r="AM48" s="515"/>
      <c r="AN48" s="515"/>
      <c r="AO48" s="515"/>
      <c r="AP48" s="19"/>
      <c r="AQ48" s="544"/>
      <c r="AR48" s="544"/>
      <c r="AS48" s="544"/>
      <c r="AT48" s="19"/>
      <c r="AU48" s="517"/>
      <c r="AV48" s="517"/>
      <c r="AW48" s="517"/>
      <c r="AX48" s="19"/>
      <c r="AY48" s="297"/>
      <c r="AZ48" s="297"/>
      <c r="BA48" s="297"/>
      <c r="BB48" s="297"/>
      <c r="BC48" s="297"/>
      <c r="BD48" s="297"/>
      <c r="BE48" s="297"/>
      <c r="BG48" s="546" t="str">
        <f ca="1">Horarios!Q47</f>
        <v>Túnez</v>
      </c>
      <c r="BH48" s="547">
        <f t="shared" ca="1" si="0"/>
        <v>1</v>
      </c>
      <c r="BI48" s="547">
        <f ca="1">COUNTIF(ADMIN!$M$130:$M$161,Fixture!BG48)-BJ48-BK48-BL48-BM48-BN48-BO48</f>
        <v>0</v>
      </c>
      <c r="BJ48" s="548">
        <f ca="1">COUNTIF(ADMIN!$M$182:$M$197,Fixture!BG48)-BK48-BL48-BM48-BN48-BO48</f>
        <v>0</v>
      </c>
      <c r="BK48" s="549">
        <f ca="1">COUNTIF(ADMIN!$M$210:$M$217,Fixture!BG48)-BL48-BM48-BN48-BO48</f>
        <v>0</v>
      </c>
      <c r="BL48" s="549">
        <f ca="1">COUNTIF(ADMIN!$M$226:$M$229,BG48)-BM48-BN48-BO48</f>
        <v>0</v>
      </c>
      <c r="BM48" s="547">
        <f ca="1">COUNTIF(ADMIN!$M$252,Fixture!BG48)</f>
        <v>0</v>
      </c>
      <c r="BN48" s="547">
        <f ca="1">COUNTIF(ADMIN!$M$251,Fixture!BG48)</f>
        <v>0</v>
      </c>
      <c r="BO48" s="550">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09" t="s">
        <v>729</v>
      </c>
      <c r="AA49" s="564" t="str">
        <f ca="1">+MID(INDEX(WORLDCUP!$AF$101:$AF$147,MATCH(Y49,WORLDCUP!$Z$101:$Z$147,0)),1,IF(WORLDCUP!$H$113&lt;144,6,3))</f>
        <v>3DEIJL</v>
      </c>
      <c r="AB49" s="565" t="str">
        <f>+IF(ISBLANK(INDEX(WORLDCUP!$AD$101:$AD$147,MATCH(Y49,WORLDCUP!$Z$101:$Z$147,0))),"",INDEX(WORLDCUP!$AD$101:$AD$147,MATCH(Y49,WORLDCUP!$Z$101:$Z$147,0)))</f>
        <v/>
      </c>
      <c r="AC49" s="591" t="str">
        <f>+IF(ISBLANK(INDEX(WORLDCUP!$AE$101:$AE$147,MATCH(Y49,WORLDCUP!$Z$101:$Z$147,0))),"","( "&amp;INDEX(WORLDCUP!$AE$101:$AE$147,MATCH(Y49,WORLDCUP!$Z$101:$Z$147,0))&amp;" )")</f>
        <v/>
      </c>
      <c r="AD49" s="19"/>
      <c r="AE49" s="513"/>
      <c r="AF49" s="513"/>
      <c r="AG49" s="513"/>
      <c r="AH49" s="19"/>
      <c r="AI49" s="543"/>
      <c r="AJ49" s="543"/>
      <c r="AK49" s="543"/>
      <c r="AL49" s="92"/>
      <c r="AM49" s="515"/>
      <c r="AN49" s="515"/>
      <c r="AO49" s="515"/>
      <c r="AP49" s="19"/>
      <c r="AQ49" s="544"/>
      <c r="AR49" s="544"/>
      <c r="AS49" s="544"/>
      <c r="AT49" s="19"/>
      <c r="AU49" s="517"/>
      <c r="AV49" s="517"/>
      <c r="AW49" s="517"/>
      <c r="AX49" s="19"/>
      <c r="AY49" s="297"/>
      <c r="AZ49" s="297"/>
      <c r="BA49" s="297"/>
      <c r="BB49" s="297"/>
      <c r="BC49" s="297"/>
      <c r="BD49" s="297"/>
      <c r="BE49" s="297"/>
      <c r="BG49" s="546" t="str">
        <f ca="1">Horarios!Q48</f>
        <v>Turquía</v>
      </c>
      <c r="BH49" s="547">
        <f t="shared" ca="1" si="0"/>
        <v>1</v>
      </c>
      <c r="BI49" s="547">
        <f ca="1">COUNTIF(ADMIN!$M$130:$M$161,Fixture!BG49)-BJ49-BK49-BL49-BM49-BN49-BO49</f>
        <v>0</v>
      </c>
      <c r="BJ49" s="548">
        <f ca="1">COUNTIF(ADMIN!$M$182:$M$197,Fixture!BG49)-BK49-BL49-BM49-BN49-BO49</f>
        <v>0</v>
      </c>
      <c r="BK49" s="549">
        <f ca="1">COUNTIF(ADMIN!$M$210:$M$217,Fixture!BG49)-BL49-BM49-BN49-BO49</f>
        <v>0</v>
      </c>
      <c r="BL49" s="549">
        <f ca="1">COUNTIF(ADMIN!$M$226:$M$229,BG49)-BM49-BN49-BO49</f>
        <v>0</v>
      </c>
      <c r="BM49" s="547">
        <f ca="1">COUNTIF(ADMIN!$M$252,Fixture!BG49)</f>
        <v>0</v>
      </c>
      <c r="BN49" s="547">
        <f ca="1">COUNTIF(ADMIN!$M$251,Fixture!BG49)</f>
        <v>0</v>
      </c>
      <c r="BO49" s="550">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6"/>
      <c r="AB50" s="656"/>
      <c r="AC50" s="656"/>
      <c r="AD50" s="19"/>
      <c r="AE50" s="657"/>
      <c r="AF50" s="657"/>
      <c r="AG50" s="657"/>
      <c r="AH50" s="19"/>
      <c r="AI50" s="543"/>
      <c r="AJ50" s="543"/>
      <c r="AK50" s="543"/>
      <c r="AL50" s="92"/>
      <c r="AM50" s="515"/>
      <c r="AN50" s="515"/>
      <c r="AO50" s="515"/>
      <c r="AP50" s="19"/>
      <c r="AQ50" s="516"/>
      <c r="AR50" s="516"/>
      <c r="AS50" s="516"/>
      <c r="AT50" s="19"/>
      <c r="AU50" s="658"/>
      <c r="AV50" s="658"/>
      <c r="AW50" s="658"/>
      <c r="AX50" s="19"/>
      <c r="AY50" s="297"/>
      <c r="AZ50" s="297"/>
      <c r="BA50" s="297"/>
      <c r="BB50" s="297"/>
      <c r="BC50" s="297"/>
      <c r="BD50" s="297"/>
      <c r="BE50" s="297"/>
      <c r="BG50" s="546" t="str">
        <f ca="1">Horarios!Q49</f>
        <v>Uruguay</v>
      </c>
      <c r="BH50" s="547">
        <f t="shared" ca="1" si="0"/>
        <v>1</v>
      </c>
      <c r="BI50" s="547">
        <f ca="1">COUNTIF(ADMIN!$M$130:$M$161,Fixture!BG50)-BJ50-BK50-BL50-BM50-BN50-BO50</f>
        <v>0</v>
      </c>
      <c r="BJ50" s="548">
        <f ca="1">COUNTIF(ADMIN!$M$182:$M$197,Fixture!BG50)-BK50-BL50-BM50-BN50-BO50</f>
        <v>0</v>
      </c>
      <c r="BK50" s="549">
        <f ca="1">COUNTIF(ADMIN!$M$210:$M$217,Fixture!BG50)-BL50-BM50-BN50-BO50</f>
        <v>0</v>
      </c>
      <c r="BL50" s="549">
        <f ca="1">COUNTIF(ADMIN!$M$226:$M$229,BG50)-BM50-BN50-BO50</f>
        <v>0</v>
      </c>
      <c r="BM50" s="547">
        <f ca="1">COUNTIF(ADMIN!$M$252,Fixture!BG50)</f>
        <v>0</v>
      </c>
      <c r="BN50" s="547">
        <f ca="1">COUNTIF(ADMIN!$M$251,Fixture!BG50)</f>
        <v>0</v>
      </c>
      <c r="BO50" s="550">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59" t="str">
        <f ca="1">Horarios!Q50</f>
        <v>Uzbekistán</v>
      </c>
      <c r="BH51" s="660">
        <f t="shared" ca="1" si="0"/>
        <v>1</v>
      </c>
      <c r="BI51" s="660">
        <f ca="1">COUNTIF(ADMIN!$M$130:$M$161,Fixture!BG51)-BJ51-BK51-BL51-BM51-BN51-BO51</f>
        <v>0</v>
      </c>
      <c r="BJ51" s="661">
        <f ca="1">COUNTIF(ADMIN!$M$182:$M$197,Fixture!BG51)-BK51-BL51-BM51-BN51-BO51</f>
        <v>0</v>
      </c>
      <c r="BK51" s="662">
        <f ca="1">COUNTIF(ADMIN!$M$210:$M$217,Fixture!BG51)-BL51-BM51-BN51-BO51</f>
        <v>0</v>
      </c>
      <c r="BL51" s="662">
        <f ca="1">COUNTIF(ADMIN!$M$226:$M$229,BG51)-BM51-BN51-BO51</f>
        <v>0</v>
      </c>
      <c r="BM51" s="660">
        <f ca="1">COUNTIF(ADMIN!$M$252,Fixture!BG51)</f>
        <v>0</v>
      </c>
      <c r="BN51" s="660">
        <f ca="1">COUNTIF(ADMIN!$M$251,Fixture!BG51)</f>
        <v>0</v>
      </c>
      <c r="BO51" s="663">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5"/>
    </row>
    <row r="54" spans="1:67">
      <c r="W54" s="8"/>
      <c r="X54" s="1"/>
      <c r="BB54" s="585"/>
    </row>
    <row r="55" spans="1:67">
      <c r="W55" s="8"/>
      <c r="X55" s="1"/>
      <c r="BB55" s="585"/>
    </row>
    <row r="56" spans="1:67">
      <c r="W56" s="8"/>
      <c r="X56" s="1"/>
      <c r="BB56" s="585"/>
    </row>
    <row r="57" spans="1:67">
      <c r="W57" s="8"/>
      <c r="X57" s="1"/>
      <c r="BB57" s="585"/>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7" priority="1">
      <formula>$BH4=1</formula>
    </cfRule>
  </conditionalFormatting>
  <conditionalFormatting sqref="BH4:BI51">
    <cfRule type="expression" dxfId="16" priority="2">
      <formula>$BI4=1</formula>
    </cfRule>
  </conditionalFormatting>
  <conditionalFormatting sqref="BH4:BJ51">
    <cfRule type="expression" dxfId="15" priority="3">
      <formula>$BJ4=1</formula>
    </cfRule>
  </conditionalFormatting>
  <conditionalFormatting sqref="BH4:BK51">
    <cfRule type="expression" dxfId="14" priority="4">
      <formula>$BK4=1</formula>
    </cfRule>
  </conditionalFormatting>
  <conditionalFormatting sqref="BH4:BL51">
    <cfRule type="expression" dxfId="13" priority="5">
      <formula>$BL4=1</formula>
    </cfRule>
  </conditionalFormatting>
  <conditionalFormatting sqref="BH4:BM51">
    <cfRule type="expression" dxfId="12" priority="6">
      <formula>$BM4=1</formula>
    </cfRule>
  </conditionalFormatting>
  <conditionalFormatting sqref="BH4:BN51">
    <cfRule type="expression" dxfId="11" priority="7">
      <formula>$BN4=1</formula>
    </cfRule>
  </conditionalFormatting>
  <conditionalFormatting sqref="BH4:BO51">
    <cfRule type="expression" dxfId="10"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7"/>
      <c r="T2" s="687"/>
    </row>
    <row r="3" spans="1:20">
      <c r="A3" s="26"/>
      <c r="B3" s="935"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936"/>
      <c r="D3" s="936"/>
      <c r="E3" s="936"/>
      <c r="F3" s="936"/>
      <c r="G3" s="936"/>
      <c r="H3" s="936"/>
      <c r="I3" s="936"/>
      <c r="J3" s="937"/>
      <c r="K3" s="27"/>
      <c r="L3" s="673"/>
      <c r="M3" s="674"/>
      <c r="N3" s="674"/>
      <c r="O3" s="674"/>
      <c r="P3" s="674"/>
      <c r="Q3" s="674"/>
      <c r="R3" s="674"/>
      <c r="S3" s="688"/>
      <c r="T3" s="689"/>
    </row>
    <row r="4" spans="1:20">
      <c r="A4" s="26"/>
      <c r="B4" s="938"/>
      <c r="C4" s="939"/>
      <c r="D4" s="939"/>
      <c r="E4" s="939"/>
      <c r="F4" s="939"/>
      <c r="G4" s="939"/>
      <c r="H4" s="939"/>
      <c r="I4" s="939"/>
      <c r="J4" s="940"/>
      <c r="K4" s="27"/>
      <c r="L4" s="675" t="str">
        <f>Idiomas!D86</f>
        <v>· Selecciona el idioma en el que quieras hacer la porra y la zona horaria</v>
      </c>
      <c r="M4" s="141"/>
      <c r="N4" s="141"/>
      <c r="O4" s="141"/>
      <c r="P4" s="141"/>
      <c r="Q4" s="141"/>
      <c r="R4" s="141"/>
      <c r="S4" s="690"/>
      <c r="T4" s="691"/>
    </row>
    <row r="5" spans="1:20">
      <c r="A5" s="26"/>
      <c r="B5" s="938"/>
      <c r="C5" s="939"/>
      <c r="D5" s="939"/>
      <c r="E5" s="939"/>
      <c r="F5" s="939"/>
      <c r="G5" s="939"/>
      <c r="H5" s="939"/>
      <c r="I5" s="939"/>
      <c r="J5" s="940"/>
      <c r="K5" s="27"/>
      <c r="L5" s="675" t="str">
        <f>Idiomas!D87</f>
        <v>· Escribe el nombre del grupo de la porra/quiniela</v>
      </c>
      <c r="M5" s="141"/>
      <c r="N5" s="141"/>
      <c r="O5" s="141"/>
      <c r="P5" s="141"/>
      <c r="Q5" s="141"/>
      <c r="R5" s="141"/>
      <c r="S5" s="690"/>
      <c r="T5" s="691"/>
    </row>
    <row r="6" spans="1:20">
      <c r="A6" s="26"/>
      <c r="B6" s="938"/>
      <c r="C6" s="939"/>
      <c r="D6" s="939"/>
      <c r="E6" s="939"/>
      <c r="F6" s="939"/>
      <c r="G6" s="939"/>
      <c r="H6" s="939"/>
      <c r="I6" s="939"/>
      <c r="J6" s="940"/>
      <c r="K6" s="27"/>
      <c r="L6" s="946" t="str">
        <f>HYPERLINK(Idiomas!D103,Idiomas!D88)</f>
        <v>· El archivo de participante lo puedes descargar desde aquí</v>
      </c>
      <c r="M6" s="947"/>
      <c r="N6" s="947"/>
      <c r="O6" s="947"/>
      <c r="P6" s="141"/>
      <c r="Q6" s="141"/>
      <c r="R6" s="141"/>
      <c r="S6" s="690"/>
      <c r="T6" s="691"/>
    </row>
    <row r="7" spans="1:20">
      <c r="A7" s="26"/>
      <c r="B7" s="938"/>
      <c r="C7" s="939"/>
      <c r="D7" s="939"/>
      <c r="E7" s="939"/>
      <c r="F7" s="939"/>
      <c r="G7" s="939"/>
      <c r="H7" s="939"/>
      <c r="I7" s="939"/>
      <c r="J7" s="940"/>
      <c r="K7" s="27"/>
      <c r="L7" s="676"/>
      <c r="M7" s="677"/>
      <c r="N7" s="677"/>
      <c r="O7" s="677"/>
      <c r="P7" s="677"/>
      <c r="Q7" s="677"/>
      <c r="R7" s="677"/>
      <c r="S7" s="692"/>
      <c r="T7" s="693"/>
    </row>
    <row r="8" spans="1:20">
      <c r="A8" s="26"/>
      <c r="B8" s="938"/>
      <c r="C8" s="939"/>
      <c r="D8" s="939"/>
      <c r="E8" s="939"/>
      <c r="F8" s="939"/>
      <c r="G8" s="939"/>
      <c r="H8" s="939"/>
      <c r="I8" s="939"/>
      <c r="J8" s="940"/>
      <c r="K8" s="27"/>
      <c r="L8" s="4"/>
      <c r="M8" s="4"/>
      <c r="N8" s="4"/>
      <c r="O8" s="4"/>
      <c r="P8" s="4"/>
      <c r="Q8" s="4"/>
      <c r="R8" s="4"/>
      <c r="S8" s="687"/>
      <c r="T8" s="687"/>
    </row>
    <row r="9" spans="1:20">
      <c r="A9" s="26"/>
      <c r="B9" s="938"/>
      <c r="C9" s="939"/>
      <c r="D9" s="939"/>
      <c r="E9" s="939"/>
      <c r="F9" s="939"/>
      <c r="G9" s="939"/>
      <c r="H9" s="939"/>
      <c r="I9" s="939"/>
      <c r="J9" s="940"/>
      <c r="K9" s="27"/>
      <c r="L9" s="36" t="str">
        <f>"ADMIN"&amp;" "&amp;Idiomas!D89</f>
        <v>ADMIN (Antes de empezar el mundial)</v>
      </c>
      <c r="M9" s="682"/>
      <c r="N9" s="4"/>
      <c r="O9" s="4"/>
      <c r="P9" s="4"/>
      <c r="Q9" s="4"/>
      <c r="R9" s="4"/>
      <c r="S9" s="687"/>
      <c r="T9" s="687"/>
    </row>
    <row r="10" spans="1:20">
      <c r="A10" s="26"/>
      <c r="B10" s="938"/>
      <c r="C10" s="939"/>
      <c r="D10" s="939"/>
      <c r="E10" s="939"/>
      <c r="F10" s="939"/>
      <c r="G10" s="939"/>
      <c r="H10" s="939"/>
      <c r="I10" s="939"/>
      <c r="J10" s="940"/>
      <c r="K10" s="27"/>
      <c r="L10" s="673"/>
      <c r="M10" s="674"/>
      <c r="N10" s="674"/>
      <c r="O10" s="674"/>
      <c r="P10" s="674"/>
      <c r="Q10" s="674"/>
      <c r="R10" s="674"/>
      <c r="S10" s="688"/>
      <c r="T10" s="689"/>
    </row>
    <row r="11" spans="1:20">
      <c r="A11" s="26"/>
      <c r="B11" s="938"/>
      <c r="C11" s="939"/>
      <c r="D11" s="939"/>
      <c r="E11" s="939"/>
      <c r="F11" s="939"/>
      <c r="G11" s="939"/>
      <c r="H11" s="939"/>
      <c r="I11" s="939"/>
      <c r="J11" s="940"/>
      <c r="K11" s="27"/>
      <c r="L11" s="675" t="str">
        <f>Idiomas!D91</f>
        <v>· Esta hoja sirve para administrar la porra/quiniela</v>
      </c>
      <c r="M11" s="141"/>
      <c r="N11" s="141"/>
      <c r="O11" s="141"/>
      <c r="P11" s="141"/>
      <c r="Q11" s="141"/>
      <c r="R11" s="141"/>
      <c r="S11" s="690"/>
      <c r="T11" s="691"/>
    </row>
    <row r="12" spans="1:20">
      <c r="A12" s="26"/>
      <c r="B12" s="941"/>
      <c r="C12" s="942"/>
      <c r="D12" s="942"/>
      <c r="E12" s="942"/>
      <c r="F12" s="942"/>
      <c r="G12" s="942"/>
      <c r="H12" s="942"/>
      <c r="I12" s="942"/>
      <c r="J12" s="943"/>
      <c r="K12" s="27"/>
      <c r="L12" s="675" t="str">
        <f>Idiomas!D92</f>
        <v>· Lo primero, establece la puntuación para cada criterio y comparte la puntuación con los participantes</v>
      </c>
      <c r="M12" s="141"/>
      <c r="N12" s="141"/>
      <c r="O12" s="141"/>
      <c r="P12" s="141"/>
      <c r="Q12" s="141"/>
      <c r="R12" s="681"/>
      <c r="S12" s="690"/>
      <c r="T12" s="691"/>
    </row>
    <row r="13" spans="1:20">
      <c r="A13" s="26"/>
      <c r="B13" s="31"/>
      <c r="C13" s="31"/>
      <c r="D13" s="31"/>
      <c r="E13" s="31"/>
      <c r="F13" s="31"/>
      <c r="G13" s="31"/>
      <c r="H13" s="31"/>
      <c r="I13" s="31"/>
      <c r="J13" s="31"/>
      <c r="K13" s="27"/>
      <c r="L13" s="946" t="str">
        <f>HYPERLINK(Idiomas!D302,Idiomas!D93)</f>
        <v>· Aquí explicamos cada criterio de puntuación</v>
      </c>
      <c r="M13" s="947"/>
      <c r="N13" s="947"/>
      <c r="O13" s="947"/>
      <c r="P13" s="141"/>
      <c r="Q13" s="141"/>
      <c r="R13" s="141"/>
      <c r="S13" s="690"/>
      <c r="T13" s="691"/>
    </row>
    <row r="14" spans="1:20">
      <c r="A14" s="26"/>
      <c r="B14" s="136"/>
      <c r="C14" s="137"/>
      <c r="D14" s="137"/>
      <c r="E14" s="137"/>
      <c r="F14" s="137"/>
      <c r="G14" s="137"/>
      <c r="H14" s="137"/>
      <c r="I14" s="137"/>
      <c r="J14" s="138"/>
      <c r="K14" s="27"/>
      <c r="L14" s="678" t="str">
        <f>Idiomas!D94</f>
        <v>· Cuando los participantes te envíen su archivo, copia sus pronósticos de la hoja “Pool”, en esta hoja ADMIN</v>
      </c>
      <c r="M14" s="141"/>
      <c r="N14" s="141"/>
      <c r="O14" s="141"/>
      <c r="P14" s="141"/>
      <c r="Q14" s="141"/>
      <c r="R14" s="141"/>
      <c r="S14" s="690"/>
      <c r="T14" s="691"/>
    </row>
    <row r="15" spans="1:20">
      <c r="A15" s="26"/>
      <c r="B15" s="139" t="str">
        <f>Idiomas!D82</f>
        <v>Autor:</v>
      </c>
      <c r="C15" s="140" t="s">
        <v>25</v>
      </c>
      <c r="D15" s="140"/>
      <c r="E15" s="140" t="s">
        <v>1315</v>
      </c>
      <c r="F15" s="141"/>
      <c r="G15" s="140" t="s">
        <v>1316</v>
      </c>
      <c r="H15" s="141"/>
      <c r="I15" s="142"/>
      <c r="J15" s="143"/>
      <c r="K15" s="27"/>
      <c r="L15" s="675" t="str">
        <f>Idiomas!D95</f>
        <v>· Cuando tengas todos los pronósticos, selecciona el número de jugadores en la hoja ADMIN</v>
      </c>
      <c r="M15" s="141"/>
      <c r="N15" s="141"/>
      <c r="O15" s="141"/>
      <c r="P15" s="141"/>
      <c r="Q15" s="141"/>
      <c r="R15" s="141"/>
      <c r="S15" s="690"/>
      <c r="T15" s="691"/>
    </row>
    <row r="16" spans="1:20">
      <c r="A16" s="26"/>
      <c r="B16" s="144" t="str">
        <f>Idiomas!D83</f>
        <v>Útima versión</v>
      </c>
      <c r="C16" s="145">
        <v>46122</v>
      </c>
      <c r="D16" s="145"/>
      <c r="E16" s="146"/>
      <c r="F16" s="146"/>
      <c r="G16" s="146"/>
      <c r="H16" s="146"/>
      <c r="I16" s="147"/>
      <c r="J16" s="148"/>
      <c r="K16" s="27"/>
      <c r="L16" s="676"/>
      <c r="M16" s="677"/>
      <c r="N16" s="677"/>
      <c r="O16" s="677"/>
      <c r="P16" s="677"/>
      <c r="Q16" s="677"/>
      <c r="R16" s="677"/>
      <c r="S16" s="692"/>
      <c r="T16" s="693"/>
    </row>
    <row r="17" spans="1:20">
      <c r="A17" s="26"/>
      <c r="B17" s="149"/>
      <c r="C17" s="150"/>
      <c r="D17" s="150"/>
      <c r="E17" s="150"/>
      <c r="F17" s="150"/>
      <c r="G17" s="150"/>
      <c r="H17" s="150"/>
      <c r="I17" s="150"/>
      <c r="J17" s="151"/>
      <c r="K17" s="27"/>
      <c r="L17" s="27"/>
      <c r="M17" s="27"/>
      <c r="N17" s="27"/>
      <c r="O17" s="27"/>
      <c r="P17" s="27"/>
      <c r="Q17" s="27"/>
      <c r="R17" s="27"/>
      <c r="S17" s="687"/>
      <c r="T17" s="687"/>
    </row>
    <row r="18" spans="1:20">
      <c r="A18" s="26"/>
      <c r="B18" s="33"/>
      <c r="C18" s="33"/>
      <c r="D18" s="33"/>
      <c r="E18" s="34"/>
      <c r="F18" s="34"/>
      <c r="G18" s="26"/>
      <c r="H18" s="26"/>
      <c r="I18" s="26"/>
      <c r="J18" s="672"/>
      <c r="K18" s="27"/>
      <c r="L18" s="36" t="str">
        <f>"WORLDCUP"&amp;" "&amp;Idiomas!D96</f>
        <v>WORLDCUP (Una vez ha empezado el mundial)</v>
      </c>
      <c r="M18" s="682"/>
      <c r="N18" s="4"/>
      <c r="O18" s="4"/>
      <c r="P18" s="4"/>
      <c r="Q18" s="4"/>
      <c r="R18" s="4"/>
      <c r="S18" s="687"/>
      <c r="T18" s="687"/>
    </row>
    <row r="19" spans="1:20" ht="20.100000000000001" customHeight="1">
      <c r="A19" s="27"/>
      <c r="B19" s="152"/>
      <c r="C19" s="153" t="str">
        <f>Idiomas!D85</f>
        <v>PARA DESCARGAR, CLICK EN</v>
      </c>
      <c r="D19" s="153"/>
      <c r="E19" s="154">
        <v>2</v>
      </c>
      <c r="F19" s="155"/>
      <c r="G19" s="153"/>
      <c r="H19" s="156"/>
      <c r="I19" s="156"/>
      <c r="J19" s="157"/>
      <c r="K19" s="27"/>
      <c r="L19" s="673"/>
      <c r="M19" s="674"/>
      <c r="N19" s="674"/>
      <c r="O19" s="674"/>
      <c r="P19" s="674"/>
      <c r="Q19" s="674"/>
      <c r="R19" s="674"/>
      <c r="S19" s="688"/>
      <c r="T19" s="689"/>
    </row>
    <row r="20" spans="1:20">
      <c r="A20" s="27"/>
      <c r="B20" s="158"/>
      <c r="C20" s="159" t="s">
        <v>1370</v>
      </c>
      <c r="D20" s="159"/>
      <c r="E20" s="160" t="s">
        <v>216</v>
      </c>
      <c r="F20" s="160"/>
      <c r="G20" s="160" t="s">
        <v>348</v>
      </c>
      <c r="H20" s="161"/>
      <c r="I20" s="161"/>
      <c r="J20" s="148"/>
      <c r="K20" s="27"/>
      <c r="L20" s="675" t="str">
        <f>Idiomas!D97</f>
        <v>· Cuando empiece el mundial, rellena los cuadros grises con los resultados reales de la fase de grupos</v>
      </c>
      <c r="M20" s="141"/>
      <c r="N20" s="141"/>
      <c r="O20" s="141"/>
      <c r="P20" s="141"/>
      <c r="Q20" s="141"/>
      <c r="R20" s="141"/>
      <c r="S20" s="690"/>
      <c r="T20" s="691"/>
    </row>
    <row r="21" spans="1:20" ht="20.100000000000001" customHeight="1">
      <c r="A21" s="35"/>
      <c r="B21" s="162"/>
      <c r="C21" s="163" t="s">
        <v>1935</v>
      </c>
      <c r="D21" s="164"/>
      <c r="E21" s="37">
        <v>2</v>
      </c>
      <c r="F21" s="164"/>
      <c r="G21" s="37">
        <v>2</v>
      </c>
      <c r="H21" s="165"/>
      <c r="I21" s="161"/>
      <c r="J21" s="166"/>
      <c r="K21" s="35"/>
      <c r="L21" s="675" t="str">
        <f>Idiomas!D98</f>
        <v>· En caso de empate en la posición de un grupo o en los mejores terceros, selcciona el orden de los empatados</v>
      </c>
      <c r="M21" s="141"/>
      <c r="N21" s="141"/>
      <c r="O21" s="141"/>
      <c r="P21" s="141"/>
      <c r="Q21" s="141"/>
      <c r="R21" s="141"/>
      <c r="S21" s="690"/>
      <c r="T21" s="691"/>
    </row>
    <row r="22" spans="1:20" ht="2.1" customHeight="1">
      <c r="A22" s="35"/>
      <c r="B22" s="162"/>
      <c r="C22" s="165"/>
      <c r="D22" s="165"/>
      <c r="E22" s="165"/>
      <c r="F22" s="165"/>
      <c r="G22" s="165"/>
      <c r="H22" s="165"/>
      <c r="I22" s="161"/>
      <c r="J22" s="166"/>
      <c r="K22" s="35"/>
      <c r="L22" s="675"/>
      <c r="M22" s="141"/>
      <c r="N22" s="141"/>
      <c r="O22" s="141"/>
      <c r="P22" s="141"/>
      <c r="Q22" s="141"/>
      <c r="R22" s="141"/>
      <c r="S22" s="690"/>
      <c r="T22" s="691"/>
    </row>
    <row r="23" spans="1:20" ht="20.100000000000001" customHeight="1">
      <c r="A23" s="35"/>
      <c r="B23" s="162"/>
      <c r="C23" s="163" t="s">
        <v>1299</v>
      </c>
      <c r="D23" s="164"/>
      <c r="E23" s="38">
        <v>2</v>
      </c>
      <c r="F23" s="164"/>
      <c r="G23" s="38">
        <v>2</v>
      </c>
      <c r="H23" s="165"/>
      <c r="I23" s="165"/>
      <c r="J23" s="166"/>
      <c r="K23" s="35"/>
      <c r="L23" s="675" t="str">
        <f>Idiomas!D99</f>
        <v>· Las eliminatorias se establecen de forma automática</v>
      </c>
      <c r="M23" s="141"/>
      <c r="N23" s="141"/>
      <c r="O23" s="141"/>
      <c r="P23" s="141"/>
      <c r="Q23" s="141"/>
      <c r="R23" s="141"/>
      <c r="S23" s="690"/>
      <c r="T23" s="691"/>
    </row>
    <row r="24" spans="1:20" ht="2.1" customHeight="1">
      <c r="A24" s="35"/>
      <c r="B24" s="162"/>
      <c r="C24" s="165"/>
      <c r="D24" s="165"/>
      <c r="E24" s="165"/>
      <c r="F24" s="165"/>
      <c r="G24" s="165"/>
      <c r="H24" s="165"/>
      <c r="I24" s="165"/>
      <c r="J24" s="166"/>
      <c r="K24" s="35"/>
      <c r="L24" s="675"/>
      <c r="M24" s="141"/>
      <c r="N24" s="141"/>
      <c r="O24" s="141"/>
      <c r="P24" s="141"/>
      <c r="Q24" s="141"/>
      <c r="R24" s="141"/>
      <c r="S24" s="690"/>
      <c r="T24" s="691"/>
    </row>
    <row r="25" spans="1:20" ht="20.100000000000001" customHeight="1">
      <c r="A25" s="35"/>
      <c r="B25" s="162"/>
      <c r="C25" s="163" t="s">
        <v>1268</v>
      </c>
      <c r="D25" s="164"/>
      <c r="E25" s="38">
        <v>2</v>
      </c>
      <c r="F25" s="164"/>
      <c r="G25" s="39">
        <v>0</v>
      </c>
      <c r="H25" s="165"/>
      <c r="I25" s="165"/>
      <c r="J25" s="166"/>
      <c r="K25" s="35"/>
      <c r="L25" s="675" t="str">
        <f>Idiomas!D100</f>
        <v>· Rellena los resultados de las fases eliminatorias. En caso de empate, se abren dos celdas a los lados para poner el resultado de los penaltis</v>
      </c>
      <c r="M25" s="141"/>
      <c r="N25" s="141"/>
      <c r="O25" s="141"/>
      <c r="P25" s="141"/>
      <c r="Q25" s="141"/>
      <c r="R25" s="141"/>
      <c r="S25" s="690"/>
      <c r="T25" s="691"/>
    </row>
    <row r="26" spans="1:20" ht="2.1" customHeight="1">
      <c r="A26" s="35"/>
      <c r="B26" s="162"/>
      <c r="C26" s="165"/>
      <c r="D26" s="165"/>
      <c r="E26" s="165"/>
      <c r="F26" s="165"/>
      <c r="G26" s="165"/>
      <c r="H26" s="165"/>
      <c r="I26" s="165"/>
      <c r="J26" s="166"/>
      <c r="K26" s="35"/>
      <c r="L26" s="675"/>
      <c r="M26" s="141"/>
      <c r="N26" s="141"/>
      <c r="O26" s="141"/>
      <c r="P26" s="141"/>
      <c r="Q26" s="141"/>
      <c r="R26" s="141"/>
      <c r="S26" s="690"/>
      <c r="T26" s="691"/>
    </row>
    <row r="27" spans="1:20" ht="20.100000000000001" customHeight="1">
      <c r="A27" s="35"/>
      <c r="B27" s="162"/>
      <c r="C27" s="163" t="s">
        <v>1269</v>
      </c>
      <c r="D27" s="164"/>
      <c r="E27" s="38">
        <v>2</v>
      </c>
      <c r="F27" s="164"/>
      <c r="G27" s="39">
        <v>0</v>
      </c>
      <c r="H27" s="165"/>
      <c r="I27" s="165"/>
      <c r="J27" s="166"/>
      <c r="K27" s="35"/>
      <c r="L27" s="676" t="str">
        <f>Idiomas!D101</f>
        <v>· Rellenar los mejores jugadores y los máximos goleadores</v>
      </c>
      <c r="M27" s="677"/>
      <c r="N27" s="677"/>
      <c r="O27" s="677"/>
      <c r="P27" s="677"/>
      <c r="Q27" s="677"/>
      <c r="R27" s="677"/>
      <c r="S27" s="692"/>
      <c r="T27" s="693"/>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79" t="s">
        <v>1916</v>
      </c>
    </row>
    <row r="32" spans="1:20" ht="18" customHeight="1">
      <c r="A32" s="27"/>
      <c r="B32" s="167"/>
      <c r="C32" s="168"/>
      <c r="D32" s="168"/>
      <c r="E32" s="168"/>
      <c r="F32" s="168"/>
      <c r="G32" s="168"/>
      <c r="H32" s="168"/>
      <c r="I32" s="168"/>
      <c r="J32" s="169"/>
      <c r="K32" s="27"/>
      <c r="L32" s="683" t="str">
        <f>Idiomas!D104</f>
        <v>· En esta hoja se puede ver la clasificación general según se vayan introduciendo los resultados de los partidos</v>
      </c>
      <c r="M32" s="684"/>
      <c r="N32" s="684"/>
      <c r="O32" s="684"/>
      <c r="P32" s="684"/>
      <c r="Q32" s="684"/>
      <c r="R32" s="684"/>
      <c r="S32" s="694"/>
      <c r="T32" s="695"/>
    </row>
    <row r="33" spans="1:20">
      <c r="A33" s="27"/>
      <c r="B33" s="3"/>
      <c r="C33" s="3"/>
      <c r="D33" s="3"/>
      <c r="E33" s="3"/>
      <c r="F33" s="3"/>
      <c r="G33" s="3"/>
      <c r="H33" s="3"/>
      <c r="I33" s="3"/>
      <c r="J33" s="3"/>
      <c r="K33" s="27"/>
      <c r="L33" s="27"/>
    </row>
    <row r="34" spans="1:20" ht="27.95" customHeight="1">
      <c r="A34" s="27"/>
      <c r="B34" s="944"/>
      <c r="C34" s="944"/>
      <c r="D34" s="944"/>
      <c r="E34" s="944"/>
      <c r="F34" s="944"/>
      <c r="G34" s="944"/>
      <c r="H34" s="944"/>
      <c r="I34" s="944"/>
      <c r="J34" s="944"/>
      <c r="K34" s="27"/>
      <c r="L34" s="679" t="s">
        <v>1878</v>
      </c>
    </row>
    <row r="35" spans="1:20" ht="18" customHeight="1" thickBot="1">
      <c r="A35" s="27"/>
      <c r="B35" s="4"/>
      <c r="C35" s="27"/>
      <c r="D35" s="27"/>
      <c r="E35" s="27"/>
      <c r="F35" s="27"/>
      <c r="G35" s="27"/>
      <c r="H35" s="27"/>
      <c r="I35" s="27"/>
      <c r="J35" s="27"/>
      <c r="K35" s="27"/>
      <c r="L35" s="683" t="str">
        <f>Idiomas!D105</f>
        <v>· Esta hoja permite filtrar los pronósticos por día de la fase de grupos o por eliminatoria.</v>
      </c>
      <c r="M35" s="684"/>
      <c r="N35" s="684"/>
      <c r="O35" s="684"/>
      <c r="P35" s="684"/>
      <c r="Q35" s="684"/>
      <c r="R35" s="684"/>
      <c r="S35" s="694"/>
      <c r="T35" s="695"/>
    </row>
    <row r="36" spans="1:20" ht="18.75" thickBot="1">
      <c r="A36" s="27"/>
      <c r="B36" s="4"/>
      <c r="C36" s="781"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79" t="s">
        <v>1888</v>
      </c>
      <c r="M37" s="26"/>
      <c r="N37" s="27"/>
    </row>
    <row r="38" spans="1:20" ht="33.950000000000003" customHeight="1">
      <c r="A38" s="27"/>
      <c r="C38" s="27"/>
      <c r="D38" s="27"/>
      <c r="E38" s="27"/>
      <c r="F38" s="27"/>
      <c r="G38" s="27"/>
      <c r="H38" s="27"/>
      <c r="I38" s="27"/>
      <c r="J38" s="27"/>
      <c r="K38" s="27"/>
      <c r="L38" s="683" t="str">
        <f>Idiomas!D106</f>
        <v xml:space="preserve"> · Aquí puedes ver la clasificación del dia/ronda seleccionado en la hoja "DailyPredcition"</v>
      </c>
      <c r="M38" s="684"/>
      <c r="N38" s="684"/>
      <c r="O38" s="684"/>
      <c r="P38" s="684"/>
      <c r="Q38" s="684"/>
      <c r="R38" s="684"/>
      <c r="S38" s="694"/>
      <c r="T38" s="695"/>
    </row>
    <row r="40" spans="1:20">
      <c r="L40" s="679" t="s">
        <v>1656</v>
      </c>
      <c r="M40" s="680"/>
      <c r="N40" s="680"/>
      <c r="O40" s="680"/>
      <c r="P40" s="680"/>
      <c r="Q40" s="680"/>
      <c r="R40" s="680"/>
      <c r="S40" s="696"/>
      <c r="T40" s="696"/>
    </row>
    <row r="41" spans="1:20">
      <c r="L41" s="673" t="str">
        <f>Idiomas!D108</f>
        <v>· En estas hoja podrás ver diferentes estadísticas generales y por partido</v>
      </c>
      <c r="M41" s="674"/>
      <c r="N41" s="674"/>
      <c r="O41" s="674"/>
      <c r="P41" s="674"/>
      <c r="Q41" s="674"/>
      <c r="R41" s="674"/>
      <c r="S41" s="688"/>
      <c r="T41" s="689"/>
    </row>
    <row r="42" spans="1:20">
      <c r="L42" s="685" t="str">
        <f>Idiomas!D109</f>
        <v>· Para verlas correctamente necesitas una versión posterior a excel 2021</v>
      </c>
      <c r="M42" s="686"/>
      <c r="N42" s="686"/>
      <c r="O42" s="686"/>
      <c r="P42" s="686"/>
      <c r="Q42" s="686"/>
      <c r="R42" s="686"/>
      <c r="S42" s="697"/>
      <c r="T42" s="698"/>
    </row>
    <row r="44" spans="1:20">
      <c r="L44" s="679" t="s">
        <v>1305</v>
      </c>
      <c r="M44" s="680"/>
      <c r="N44" s="680"/>
      <c r="O44" s="680"/>
      <c r="P44" s="680"/>
      <c r="Q44" s="680"/>
      <c r="R44" s="680"/>
      <c r="S44" s="696"/>
      <c r="T44" s="696"/>
    </row>
    <row r="45" spans="1:20" ht="18" customHeight="1">
      <c r="L45" s="683" t="str">
        <f>Idiomas!D110</f>
        <v xml:space="preserve">· En esta hoja puedes ver de un vistazo el cuadro del mundial </v>
      </c>
      <c r="M45" s="684"/>
      <c r="N45" s="684"/>
      <c r="O45" s="684"/>
      <c r="P45" s="684"/>
      <c r="Q45" s="684"/>
      <c r="R45" s="684"/>
      <c r="S45" s="694"/>
      <c r="T45" s="695"/>
    </row>
    <row r="84" spans="13:25" ht="60" customHeight="1">
      <c r="M84" s="945" t="str">
        <f>Idiomas!D107</f>
        <v>Si Irán no participa en el mundial y le sustituye otra selección, selecciona el país sustituto en el desplegable. Si no aparece, elige 'Otro' e ingresa manualmente el nombre (español e inglés), su zona UTC y, opcionalmente, la imagen de su bandera.</v>
      </c>
      <c r="N84" s="945"/>
      <c r="O84" s="945"/>
      <c r="P84" s="945"/>
      <c r="Q84" s="945"/>
      <c r="R84" s="945"/>
    </row>
    <row r="86" spans="13:25">
      <c r="M86" s="492" t="s">
        <v>1791</v>
      </c>
      <c r="T86" s="492" t="s">
        <v>1795</v>
      </c>
      <c r="U86" s="492" t="s">
        <v>1792</v>
      </c>
      <c r="V86" s="492" t="s">
        <v>1793</v>
      </c>
      <c r="W86" s="492" t="s">
        <v>1800</v>
      </c>
      <c r="X86" s="492" t="s">
        <v>1801</v>
      </c>
      <c r="Y86" s="492" t="s">
        <v>1802</v>
      </c>
    </row>
    <row r="87" spans="13:25">
      <c r="M87" s="671" t="s">
        <v>1794</v>
      </c>
      <c r="N87" s="11" t="str">
        <f>IFERROR(IF(J18="",$U$87,INDEX($U$87:$U$91,MATCH(M87,$T$87:$T$91,0))),"")</f>
        <v>Irán</v>
      </c>
      <c r="O87" s="11" t="str">
        <f>IFERROR(IF(J18="",$V$87,INDEX($V$87:$V$91,MATCH(M87,$T$87:$T$91,0))),"")</f>
        <v>Iran</v>
      </c>
      <c r="T87" s="699" t="s">
        <v>1794</v>
      </c>
      <c r="U87" s="8" t="s">
        <v>1262</v>
      </c>
      <c r="V87" s="8" t="s">
        <v>1282</v>
      </c>
      <c r="W87" s="8" t="s">
        <v>1283</v>
      </c>
      <c r="X87" s="8" t="e" vm="2">
        <v>#VALUE!</v>
      </c>
      <c r="Y87" s="8">
        <v>3.5</v>
      </c>
    </row>
    <row r="88" spans="13:25">
      <c r="T88" s="699" t="s">
        <v>1796</v>
      </c>
      <c r="U88" s="8" t="s">
        <v>1755</v>
      </c>
      <c r="V88" s="8" t="s">
        <v>1756</v>
      </c>
      <c r="W88" s="8" t="s">
        <v>1760</v>
      </c>
      <c r="X88" s="699" t="e" vm="3">
        <v>#VALUE!</v>
      </c>
      <c r="Y88" s="8">
        <v>4</v>
      </c>
    </row>
    <row r="89" spans="13:25" ht="15.75">
      <c r="T89" s="699" t="s">
        <v>1797</v>
      </c>
      <c r="U89" s="8" t="s">
        <v>1786</v>
      </c>
      <c r="V89" s="8" t="s">
        <v>1786</v>
      </c>
      <c r="W89" s="700" t="s">
        <v>1787</v>
      </c>
      <c r="X89" s="699" t="e" vm="4">
        <v>#VALUE!</v>
      </c>
      <c r="Y89" s="8">
        <v>-4</v>
      </c>
    </row>
    <row r="90" spans="13:25" ht="15.75">
      <c r="T90" s="699" t="s">
        <v>1798</v>
      </c>
      <c r="U90" s="8" t="s">
        <v>1788</v>
      </c>
      <c r="V90" s="8" t="s">
        <v>1789</v>
      </c>
      <c r="W90" s="701" t="s">
        <v>1790</v>
      </c>
      <c r="X90" s="699" t="e" vm="5">
        <v>#VALUE!</v>
      </c>
      <c r="Y90" s="8">
        <v>-3</v>
      </c>
    </row>
    <row r="91" spans="13:25">
      <c r="T91" s="699" t="s">
        <v>1799</v>
      </c>
      <c r="U91" s="8" t="str">
        <f>N93</f>
        <v>Escribe la selección</v>
      </c>
      <c r="V91" s="8" t="str">
        <f>O93</f>
        <v>Write the nation</v>
      </c>
      <c r="W91" s="8" t="str">
        <f>IF(Q93="","",Q93)</f>
        <v/>
      </c>
      <c r="X91" s="8" t="str">
        <f>IF(R93="","",R93)</f>
        <v/>
      </c>
      <c r="Y91" s="8">
        <f>IF(P93="",-4,P93)</f>
        <v>-4</v>
      </c>
    </row>
    <row r="92" spans="13:25" ht="18.95" customHeight="1">
      <c r="N92" s="492" t="s">
        <v>1792</v>
      </c>
      <c r="O92" s="492" t="s">
        <v>1793</v>
      </c>
      <c r="P92" s="492" t="s">
        <v>1807</v>
      </c>
      <c r="Q92" s="492" t="s">
        <v>1804</v>
      </c>
      <c r="R92" s="492" t="s">
        <v>1801</v>
      </c>
    </row>
    <row r="93" spans="13:25" ht="24.95" customHeight="1">
      <c r="N93" s="493" t="s">
        <v>1848</v>
      </c>
      <c r="O93" s="493" t="s">
        <v>1803</v>
      </c>
      <c r="P93" s="493"/>
      <c r="Q93" s="493"/>
      <c r="R93" s="493"/>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0"/>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0"/>
      <c r="C6" s="11"/>
      <c r="D6" s="11" t="str">
        <f t="shared" si="0"/>
        <v>Predictor Equipos</v>
      </c>
      <c r="E6" s="11"/>
      <c r="F6" s="11"/>
      <c r="G6" s="687" t="s">
        <v>1297</v>
      </c>
      <c r="H6" s="687"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0"/>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1"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7" t="s">
        <v>1232</v>
      </c>
      <c r="H69" s="687" t="s">
        <v>1233</v>
      </c>
      <c r="I69" s="11"/>
    </row>
    <row r="70" spans="1:9">
      <c r="A70" s="11"/>
      <c r="B70" s="11"/>
      <c r="C70" s="11"/>
      <c r="D70" s="11" t="str">
        <f t="shared" si="2"/>
        <v xml:space="preserve">Grupos mejores 3ºs: </v>
      </c>
      <c r="E70" s="11"/>
      <c r="F70" s="11"/>
      <c r="G70" s="687" t="s">
        <v>1331</v>
      </c>
      <c r="H70" s="687"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1"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2"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3"/>
      <c r="K116" s="729"/>
      <c r="L116" s="729"/>
      <c r="M116" s="729"/>
      <c r="N116" s="729"/>
      <c r="O116" s="729"/>
      <c r="P116" s="729"/>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1" t="s">
        <v>1936</v>
      </c>
      <c r="H117" s="11" t="s">
        <v>1346</v>
      </c>
      <c r="I117" s="773"/>
      <c r="K117" s="729"/>
      <c r="L117" s="729"/>
      <c r="M117" s="729"/>
      <c r="N117" s="729"/>
      <c r="O117" s="729"/>
      <c r="P117" s="729"/>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4"/>
      <c r="K119" s="730"/>
      <c r="L119" s="730"/>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7" t="s">
        <v>1373</v>
      </c>
      <c r="H131" s="687" t="s">
        <v>1372</v>
      </c>
      <c r="I131" s="11"/>
    </row>
    <row r="132" spans="1:9">
      <c r="A132" s="11"/>
      <c r="B132" s="11"/>
      <c r="C132" s="11"/>
      <c r="D132" s="11" t="str">
        <f t="shared" si="6"/>
        <v>J1</v>
      </c>
      <c r="E132" s="11" t="s">
        <v>433</v>
      </c>
      <c r="F132" s="11" t="s">
        <v>252</v>
      </c>
      <c r="G132" s="11" t="s">
        <v>26</v>
      </c>
      <c r="H132" s="11" t="s">
        <v>273</v>
      </c>
      <c r="I132" s="687"/>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28"/>
      <c r="K207" s="731"/>
    </row>
    <row r="208" spans="1:11">
      <c r="A208" s="11"/>
      <c r="B208" s="11"/>
      <c r="C208" s="11"/>
      <c r="D208" s="11"/>
      <c r="E208" s="11"/>
      <c r="F208" s="11"/>
      <c r="G208" s="11"/>
      <c r="H208" s="11"/>
      <c r="I208" s="11"/>
    </row>
    <row r="209" spans="1:16">
      <c r="A209" s="11"/>
      <c r="B209" s="11"/>
      <c r="C209" s="11"/>
      <c r="D209" s="11"/>
      <c r="E209" s="11"/>
      <c r="F209" s="11"/>
      <c r="G209" s="11"/>
      <c r="H209" s="11"/>
      <c r="I209" s="11"/>
      <c r="J209" s="728"/>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28"/>
      <c r="O211" s="732" t="s">
        <v>1934</v>
      </c>
      <c r="P211" s="732"/>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2" t="str">
        <f ca="1">IF(Home!$K$23=$D$1419,O212,
IF(AND(Home!$K$23&lt;&gt;$D$1419,TODAY()&lt;=Horarios!$A$4),O212,$D$1420))</f>
        <v>Alemania</v>
      </c>
      <c r="K212" s="732" t="str">
        <f ca="1">IF(Home!$K$23=$D$1419,P212,
IF(AND(Home!$K$23&lt;&gt;$D$1419,TODAY()&lt;=Horarios!$A$4),P212,$D$1420))</f>
        <v>Germany</v>
      </c>
      <c r="O212" s="733" t="s">
        <v>77</v>
      </c>
      <c r="P212" s="733"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2" t="str">
        <f ca="1">IF(Home!$K$23=$D$1419,O213,
IF(AND(Home!$K$23&lt;&gt;$D$1419,TODAY()&lt;=Horarios!$A$4),O213,$D$1420))</f>
        <v>Arabia Saudita</v>
      </c>
      <c r="K213" s="732" t="str">
        <f ca="1">IF(Home!$K$23=$D$1419,P213,
IF(AND(Home!$K$23&lt;&gt;$D$1419,TODAY()&lt;=Horarios!$A$4),P213,$D$1420))</f>
        <v>Saudi Arabia</v>
      </c>
      <c r="O213" s="733" t="s">
        <v>1632</v>
      </c>
      <c r="P213" s="733"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2" t="str">
        <f ca="1">IF(Home!$K$23=$D$1419,O214,
IF(AND(Home!$K$23&lt;&gt;$D$1419,TODAY()&lt;=Horarios!$A$4),O214,$D$1420))</f>
        <v>Argelia</v>
      </c>
      <c r="K214" s="732" t="str">
        <f ca="1">IF(Home!$K$23=$D$1419,P214,
IF(AND(Home!$K$23&lt;&gt;$D$1419,TODAY()&lt;=Horarios!$A$4),P214,$D$1420))</f>
        <v>Algeria</v>
      </c>
      <c r="O214" s="733" t="s">
        <v>1558</v>
      </c>
      <c r="P214" s="733"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2" t="str">
        <f ca="1">IF(Home!$K$23=$D$1419,O215,
IF(AND(Home!$K$23&lt;&gt;$D$1419,TODAY()&lt;=Horarios!$A$4),O215,$D$1420))</f>
        <v>Argentina</v>
      </c>
      <c r="K215" s="732" t="str">
        <f ca="1">IF(Home!$K$23=$D$1419,P215,
IF(AND(Home!$K$23&lt;&gt;$D$1419,TODAY()&lt;=Horarios!$A$4),P215,$D$1420))</f>
        <v>Argentina</v>
      </c>
      <c r="O215" s="733" t="s">
        <v>1256</v>
      </c>
      <c r="P215" s="733"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2" t="str">
        <f ca="1">IF(Home!$K$23=$D$1419,O216,
IF(AND(Home!$K$23&lt;&gt;$D$1419,TODAY()&lt;=Horarios!$A$4),O216,$D$1420))</f>
        <v>Australia</v>
      </c>
      <c r="K216" s="732" t="str">
        <f ca="1">IF(Home!$K$23=$D$1419,P216,
IF(AND(Home!$K$23&lt;&gt;$D$1419,TODAY()&lt;=Horarios!$A$4),P216,$D$1420))</f>
        <v>Australia</v>
      </c>
      <c r="O216" s="733" t="s">
        <v>1257</v>
      </c>
      <c r="P216" s="733"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2" t="str">
        <f ca="1">IF(Home!$K$23=$D$1419,O217,
IF(AND(Home!$K$23&lt;&gt;$D$1419,TODAY()&lt;=Horarios!$A$4),O217,$D$1420))</f>
        <v>Austria</v>
      </c>
      <c r="K217" s="732" t="str">
        <f ca="1">IF(Home!$K$23=$D$1419,P217,
IF(AND(Home!$K$23&lt;&gt;$D$1419,TODAY()&lt;=Horarios!$A$4),P217,$D$1420))</f>
        <v>Austria</v>
      </c>
      <c r="O217" s="733" t="s">
        <v>80</v>
      </c>
      <c r="P217" s="733"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2" t="str">
        <f ca="1">IF(Home!$K$23=$D$1419,O218,
IF(AND(Home!$K$23&lt;&gt;$D$1419,TODAY()&lt;=Horarios!$A$4),O218,$D$1420))</f>
        <v>Bélgica</v>
      </c>
      <c r="K218" s="732" t="str">
        <f ca="1">IF(Home!$K$23=$D$1419,P218,
IF(AND(Home!$K$23&lt;&gt;$D$1419,TODAY()&lt;=Horarios!$A$4),P218,$D$1420))</f>
        <v>Belgium</v>
      </c>
      <c r="O218" s="733" t="s">
        <v>110</v>
      </c>
      <c r="P218" s="733"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2" t="str">
        <f ca="1">IF(Home!$K$23=$D$1419,O219,
IF(AND(Home!$K$23&lt;&gt;$D$1419,TODAY()&lt;=Horarios!$A$4),O219,$D$1420))</f>
        <v>Brasil</v>
      </c>
      <c r="K219" s="732" t="str">
        <f ca="1">IF(Home!$K$23=$D$1419,P219,
IF(AND(Home!$K$23&lt;&gt;$D$1419,TODAY()&lt;=Horarios!$A$4),P219,$D$1420))</f>
        <v>Brazil</v>
      </c>
      <c r="O219" s="733" t="s">
        <v>1258</v>
      </c>
      <c r="P219" s="733"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2" t="str">
        <f ca="1">IF(Home!$K$23=$D$1419,O220,
IF(AND(Home!$K$23&lt;&gt;$D$1419,TODAY()&lt;=Horarios!$A$4),O220,$D$1420))</f>
        <v>Cabo Verde</v>
      </c>
      <c r="K220" s="732" t="str">
        <f ca="1">IF(Home!$K$23=$D$1419,P220,
IF(AND(Home!$K$23&lt;&gt;$D$1419,TODAY()&lt;=Horarios!$A$4),P220,$D$1420))</f>
        <v>Cape Verde</v>
      </c>
      <c r="O220" s="733" t="s">
        <v>1552</v>
      </c>
      <c r="P220" s="733"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2" t="str">
        <f ca="1">IF(Home!$K$23=$D$1419,O221,
IF(AND(Home!$K$23&lt;&gt;$D$1419,TODAY()&lt;=Horarios!$A$4),O221,$D$1420))</f>
        <v>Canadá</v>
      </c>
      <c r="K221" s="732" t="str">
        <f ca="1">IF(Home!$K$23=$D$1419,P221,
IF(AND(Home!$K$23&lt;&gt;$D$1419,TODAY()&lt;=Horarios!$A$4),P221,$D$1420))</f>
        <v>Canada</v>
      </c>
      <c r="O221" s="733" t="s">
        <v>1259</v>
      </c>
      <c r="P221" s="733"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2" t="str">
        <f ca="1">IF(Home!$K$23=$D$1419,O222,
IF(AND(Home!$K$23&lt;&gt;$D$1419,TODAY()&lt;=Horarios!$A$4),O222,$D$1420))</f>
        <v>Catar</v>
      </c>
      <c r="K222" s="732" t="str">
        <f ca="1">IF(Home!$K$23=$D$1419,P222,
IF(AND(Home!$K$23&lt;&gt;$D$1419,TODAY()&lt;=Horarios!$A$4),P222,$D$1420))</f>
        <v>Qatar</v>
      </c>
      <c r="O222" s="733" t="s">
        <v>1631</v>
      </c>
      <c r="P222" s="733"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2" t="str">
        <f ca="1">IF(Home!$K$23=$D$1419,O223,
IF(AND(Home!$K$23&lt;&gt;$D$1419,TODAY()&lt;=Horarios!$A$4),O223,$D$1420))</f>
        <v>Colombia</v>
      </c>
      <c r="K223" s="732" t="str">
        <f ca="1">IF(Home!$K$23=$D$1419,P223,
IF(AND(Home!$K$23&lt;&gt;$D$1419,TODAY()&lt;=Horarios!$A$4),P223,$D$1420))</f>
        <v>Colombia</v>
      </c>
      <c r="O223" s="733" t="s">
        <v>1320</v>
      </c>
      <c r="P223" s="733"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2" t="str">
        <f ca="1">IF(Home!$K$23=$D$1419,O224,
IF(AND(Home!$K$23&lt;&gt;$D$1419,TODAY()&lt;=Horarios!$A$4),O224,$D$1420))</f>
        <v>Corea del Sur</v>
      </c>
      <c r="K224" s="732" t="str">
        <f ca="1">IF(Home!$K$23=$D$1419,P224,
IF(AND(Home!$K$23&lt;&gt;$D$1419,TODAY()&lt;=Horarios!$A$4),P224,$D$1420))</f>
        <v>South Korea</v>
      </c>
      <c r="O224" s="733" t="s">
        <v>1260</v>
      </c>
      <c r="P224" s="733"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2" t="str">
        <f ca="1">IF(Home!$K$23=$D$1419,O225,
IF(AND(Home!$K$23&lt;&gt;$D$1419,TODAY()&lt;=Horarios!$A$4),O225,$D$1420))</f>
        <v>Costa de Marfil</v>
      </c>
      <c r="K225" s="732" t="str">
        <f ca="1">IF(Home!$K$23=$D$1419,P225,
IF(AND(Home!$K$23&lt;&gt;$D$1419,TODAY()&lt;=Horarios!$A$4),P225,$D$1420))</f>
        <v>Ivory Coast</v>
      </c>
      <c r="O225" s="734" t="s">
        <v>1633</v>
      </c>
      <c r="P225" s="733"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2" t="str">
        <f ca="1">IF(Home!$K$23=$D$1419,O226,
IF(AND(Home!$K$23&lt;&gt;$D$1419,TODAY()&lt;=Horarios!$A$4),O226,$D$1420))</f>
        <v>Croacia</v>
      </c>
      <c r="K226" s="732" t="str">
        <f ca="1">IF(Home!$K$23=$D$1419,P226,
IF(AND(Home!$K$23&lt;&gt;$D$1419,TODAY()&lt;=Horarios!$A$4),P226,$D$1420))</f>
        <v>Croatia</v>
      </c>
      <c r="O226" s="733" t="s">
        <v>78</v>
      </c>
      <c r="P226" s="733"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2" t="str">
        <f ca="1">IF(Home!$K$23=$D$1419,O227,
IF(AND(Home!$K$23&lt;&gt;$D$1419,TODAY()&lt;=Horarios!$A$4),O227,$D$1420))</f>
        <v>Curazao</v>
      </c>
      <c r="K227" s="732" t="str">
        <f ca="1">IF(Home!$K$23=$D$1419,P227,
IF(AND(Home!$K$23&lt;&gt;$D$1419,TODAY()&lt;=Horarios!$A$4),P227,$D$1420))</f>
        <v>Curaçao</v>
      </c>
      <c r="O227" s="733" t="s">
        <v>1726</v>
      </c>
      <c r="P227" s="733"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2" t="str">
        <f ca="1">IF(Home!$K$23=$D$1419,O228,
IF(AND(Home!$K$23&lt;&gt;$D$1419,TODAY()&lt;=Horarios!$A$4),O228,$D$1420))</f>
        <v>Ecuador</v>
      </c>
      <c r="K228" s="732" t="str">
        <f ca="1">IF(Home!$K$23=$D$1419,P228,
IF(AND(Home!$K$23&lt;&gt;$D$1419,TODAY()&lt;=Horarios!$A$4),P228,$D$1420))</f>
        <v>Ecuador</v>
      </c>
      <c r="O228" s="733" t="s">
        <v>1261</v>
      </c>
      <c r="P228" s="733"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2" t="str">
        <f ca="1">IF(Home!$K$23=$D$1419,O229,
IF(AND(Home!$K$23&lt;&gt;$D$1419,TODAY()&lt;=Horarios!$A$4),O229,$D$1420))</f>
        <v>Egipto</v>
      </c>
      <c r="K229" s="732" t="str">
        <f ca="1">IF(Home!$K$23=$D$1419,P229,
IF(AND(Home!$K$23&lt;&gt;$D$1419,TODAY()&lt;=Horarios!$A$4),P229,$D$1420))</f>
        <v>Egypt</v>
      </c>
      <c r="O229" s="733" t="s">
        <v>1550</v>
      </c>
      <c r="P229" s="733"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2" t="str">
        <f ca="1">IF(Home!$K$23=$D$1419,O230,
IF(AND(Home!$K$23&lt;&gt;$D$1419,TODAY()&lt;=Horarios!$A$4),O230,$D$1420))</f>
        <v>Escocia</v>
      </c>
      <c r="K230" s="732" t="str">
        <f ca="1">IF(Home!$K$23=$D$1419,P230,
IF(AND(Home!$K$23&lt;&gt;$D$1419,TODAY()&lt;=Horarios!$A$4),P230,$D$1420))</f>
        <v>Scotland</v>
      </c>
      <c r="O230" s="733" t="s">
        <v>134</v>
      </c>
      <c r="P230" s="733"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2" t="str">
        <f ca="1">IF(Home!$K$23=$D$1419,O231,
IF(AND(Home!$K$23&lt;&gt;$D$1419,TODAY()&lt;=Horarios!$A$4),O231,$D$1420))</f>
        <v>España</v>
      </c>
      <c r="K231" s="732" t="str">
        <f ca="1">IF(Home!$K$23=$D$1419,P231,
IF(AND(Home!$K$23&lt;&gt;$D$1419,TODAY()&lt;=Horarios!$A$4),P231,$D$1420))</f>
        <v>Spain</v>
      </c>
      <c r="O231" s="733" t="s">
        <v>38</v>
      </c>
      <c r="P231" s="733"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2" t="str">
        <f ca="1">IF(Home!$K$23=$D$1419,O232,
IF(AND(Home!$K$23&lt;&gt;$D$1419,TODAY()&lt;=Horarios!$A$4),O232,$D$1420))</f>
        <v>Estados Unidos</v>
      </c>
      <c r="K232" s="732" t="str">
        <f ca="1">IF(Home!$K$23=$D$1419,P232,
IF(AND(Home!$K$23&lt;&gt;$D$1419,TODAY()&lt;=Horarios!$A$4),P232,$D$1420))</f>
        <v>United States</v>
      </c>
      <c r="O232" s="733" t="s">
        <v>497</v>
      </c>
      <c r="P232" s="733"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2" t="str">
        <f ca="1">IF(Home!$K$23=$D$1419,O233,
IF(AND(Home!$K$23&lt;&gt;$D$1419,TODAY()&lt;=Horarios!$A$4),O233,$D$1420))</f>
        <v>Francia</v>
      </c>
      <c r="K233" s="732" t="str">
        <f ca="1">IF(Home!$K$23=$D$1419,P233,
IF(AND(Home!$K$23&lt;&gt;$D$1419,TODAY()&lt;=Horarios!$A$4),P233,$D$1420))</f>
        <v>France</v>
      </c>
      <c r="O233" s="733" t="s">
        <v>74</v>
      </c>
      <c r="P233" s="733"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2" t="str">
        <f ca="1">IF(Home!$K$23=$D$1419,O234,
IF(AND(Home!$K$23&lt;&gt;$D$1419,TODAY()&lt;=Horarios!$A$4),O234,$D$1420))</f>
        <v>Ghana</v>
      </c>
      <c r="K234" s="732" t="str">
        <f ca="1">IF(Home!$K$23=$D$1419,P234,
IF(AND(Home!$K$23&lt;&gt;$D$1419,TODAY()&lt;=Horarios!$A$4),P234,$D$1420))</f>
        <v>Ghana</v>
      </c>
      <c r="O234" s="733" t="s">
        <v>1551</v>
      </c>
      <c r="P234" s="733"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2" t="str">
        <f ca="1">IF(Home!$K$23=$D$1419,O235,
IF(AND(Home!$K$23&lt;&gt;$D$1419,TODAY()&lt;=Horarios!$A$4),O235,$D$1420))</f>
        <v>Haití</v>
      </c>
      <c r="K235" s="732" t="str">
        <f ca="1">IF(Home!$K$23=$D$1419,P235,
IF(AND(Home!$K$23&lt;&gt;$D$1419,TODAY()&lt;=Horarios!$A$4),P235,$D$1420))</f>
        <v>Haiti</v>
      </c>
      <c r="O235" s="733" t="s">
        <v>1728</v>
      </c>
      <c r="P235" s="733"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2" t="str">
        <f ca="1">IF(Home!$K$23=$D$1419,O236,
IF(AND(Home!$K$23&lt;&gt;$D$1419,TODAY()&lt;=Horarios!$A$4),O236,$D$1420))</f>
        <v>Inglaterra</v>
      </c>
      <c r="K236" s="732" t="str">
        <f ca="1">IF(Home!$K$23=$D$1419,P236,
IF(AND(Home!$K$23&lt;&gt;$D$1419,TODAY()&lt;=Horarios!$A$4),P236,$D$1420))</f>
        <v>England</v>
      </c>
      <c r="O236" s="733" t="s">
        <v>76</v>
      </c>
      <c r="P236" s="733"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2" t="str">
        <f ca="1">IF(Home!$K$23=$D$1419,O237,
IF(AND(Home!$K$23&lt;&gt;$D$1419,TODAY()&lt;=Horarios!$A$4),O237,$D$1420))</f>
        <v>Irán</v>
      </c>
      <c r="K237" s="732" t="str">
        <f ca="1">IF(Home!$K$23=$D$1419,P237,
IF(AND(Home!$K$23&lt;&gt;$D$1419,TODAY()&lt;=Horarios!$A$4),P237,$D$1420))</f>
        <v>Iran</v>
      </c>
      <c r="O237" s="733" t="str">
        <f>Credits!N87</f>
        <v>Irán</v>
      </c>
      <c r="P237" s="733"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2" t="str">
        <f ca="1">IF(Home!$K$23=$D$1419,O238,
IF(AND(Home!$K$23&lt;&gt;$D$1419,TODAY()&lt;=Horarios!$A$4),O238,$D$1420))</f>
        <v>Japón</v>
      </c>
      <c r="K238" s="732" t="str">
        <f ca="1">IF(Home!$K$23=$D$1419,P238,
IF(AND(Home!$K$23&lt;&gt;$D$1419,TODAY()&lt;=Horarios!$A$4),P238,$D$1420))</f>
        <v>Japan</v>
      </c>
      <c r="O238" s="733" t="s">
        <v>1263</v>
      </c>
      <c r="P238" s="733"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2" t="str">
        <f ca="1">IF(Home!$K$23=$D$1419,O239,
IF(AND(Home!$K$23&lt;&gt;$D$1419,TODAY()&lt;=Horarios!$A$4),O239,$D$1420))</f>
        <v>Jordania</v>
      </c>
      <c r="K239" s="732" t="str">
        <f ca="1">IF(Home!$K$23=$D$1419,P239,
IF(AND(Home!$K$23&lt;&gt;$D$1419,TODAY()&lt;=Horarios!$A$4),P239,$D$1420))</f>
        <v>Jordan</v>
      </c>
      <c r="O239" s="733" t="s">
        <v>1264</v>
      </c>
      <c r="P239" s="733"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2" t="str">
        <f ca="1">IF(Home!$K$23=$D$1419,O240,
IF(AND(Home!$K$23&lt;&gt;$D$1419,TODAY()&lt;=Horarios!$A$4),O240,$D$1420))</f>
        <v>Marruecos</v>
      </c>
      <c r="K240" s="732" t="str">
        <f ca="1">IF(Home!$K$23=$D$1419,P240,
IF(AND(Home!$K$23&lt;&gt;$D$1419,TODAY()&lt;=Horarios!$A$4),P240,$D$1420))</f>
        <v>Morocco</v>
      </c>
      <c r="O240" s="733" t="s">
        <v>1321</v>
      </c>
      <c r="P240" s="733"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2" t="str">
        <f ca="1">IF(Home!$K$23=$D$1419,O241,
IF(AND(Home!$K$23&lt;&gt;$D$1419,TODAY()&lt;=Horarios!$A$4),O241,$D$1420))</f>
        <v>México</v>
      </c>
      <c r="K241" s="732" t="str">
        <f ca="1">IF(Home!$K$23=$D$1419,P241,
IF(AND(Home!$K$23&lt;&gt;$D$1419,TODAY()&lt;=Horarios!$A$4),P241,$D$1420))</f>
        <v>Mexico</v>
      </c>
      <c r="O241" s="733" t="s">
        <v>1265</v>
      </c>
      <c r="P241" s="733"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2" t="str">
        <f ca="1">IF(Home!$K$23=$D$1419,O242,
IF(AND(Home!$K$23&lt;&gt;$D$1419,TODAY()&lt;=Horarios!$A$4),O242,$D$1420))</f>
        <v>Noruega</v>
      </c>
      <c r="K242" s="732" t="str">
        <f ca="1">IF(Home!$K$23=$D$1419,P242,
IF(AND(Home!$K$23&lt;&gt;$D$1419,TODAY()&lt;=Horarios!$A$4),P242,$D$1420))</f>
        <v>Norway</v>
      </c>
      <c r="O242" s="733" t="s">
        <v>135</v>
      </c>
      <c r="P242" s="733"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2" t="str">
        <f ca="1">IF(Home!$K$23=$D$1419,O243,
IF(AND(Home!$K$23&lt;&gt;$D$1419,TODAY()&lt;=Horarios!$A$4),O243,$D$1420))</f>
        <v>Nueva Zelanda</v>
      </c>
      <c r="K243" s="732" t="str">
        <f ca="1">IF(Home!$K$23=$D$1419,P243,
IF(AND(Home!$K$23&lt;&gt;$D$1419,TODAY()&lt;=Horarios!$A$4),P243,$D$1420))</f>
        <v>New Zealand</v>
      </c>
      <c r="O243" s="733" t="s">
        <v>1266</v>
      </c>
      <c r="P243" s="733"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2" t="str">
        <f ca="1">IF(Home!$K$23=$D$1419,O244,
IF(AND(Home!$K$23&lt;&gt;$D$1419,TODAY()&lt;=Horarios!$A$4),O244,$D$1420))</f>
        <v>Países Bajos</v>
      </c>
      <c r="K244" s="732" t="str">
        <f ca="1">IF(Home!$K$23=$D$1419,P244,
IF(AND(Home!$K$23&lt;&gt;$D$1419,TODAY()&lt;=Horarios!$A$4),P244,$D$1420))</f>
        <v>Netherlands</v>
      </c>
      <c r="O244" s="733" t="s">
        <v>111</v>
      </c>
      <c r="P244" s="733"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2" t="str">
        <f ca="1">IF(Home!$K$23=$D$1419,O245,
IF(AND(Home!$K$23&lt;&gt;$D$1419,TODAY()&lt;=Horarios!$A$4),O245,$D$1420))</f>
        <v>Panamá</v>
      </c>
      <c r="K245" s="732" t="str">
        <f ca="1">IF(Home!$K$23=$D$1419,P245,
IF(AND(Home!$K$23&lt;&gt;$D$1419,TODAY()&lt;=Horarios!$A$4),P245,$D$1420))</f>
        <v>Panama</v>
      </c>
      <c r="O245" s="733" t="s">
        <v>1730</v>
      </c>
      <c r="P245" s="733"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2" t="str">
        <f ca="1">IF(Home!$K$23=$D$1419,O246,
IF(AND(Home!$K$23&lt;&gt;$D$1419,TODAY()&lt;=Horarios!$A$4),O246,$D$1420))</f>
        <v>Paraguay</v>
      </c>
      <c r="K246" s="732" t="str">
        <f ca="1">IF(Home!$K$23=$D$1419,P246,
IF(AND(Home!$K$23&lt;&gt;$D$1419,TODAY()&lt;=Horarios!$A$4),P246,$D$1420))</f>
        <v>Paraguay</v>
      </c>
      <c r="O246" s="733" t="s">
        <v>1319</v>
      </c>
      <c r="P246" s="733"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2" t="str">
        <f ca="1">IF(Home!$K$23=$D$1419,O247,
IF(AND(Home!$K$23&lt;&gt;$D$1419,TODAY()&lt;=Horarios!$A$4),O247,$D$1420))</f>
        <v>Portugal</v>
      </c>
      <c r="K247" s="732" t="str">
        <f ca="1">IF(Home!$K$23=$D$1419,P247,
IF(AND(Home!$K$23&lt;&gt;$D$1419,TODAY()&lt;=Horarios!$A$4),P247,$D$1420))</f>
        <v>Portugal</v>
      </c>
      <c r="O247" s="733" t="s">
        <v>79</v>
      </c>
      <c r="P247" s="733"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2" t="str">
        <f ca="1">IF(Home!$K$23=$D$1419,O248,
IF(AND(Home!$K$23&lt;&gt;$D$1419,TODAY()&lt;=Horarios!$A$4),O248,$D$1420))</f>
        <v>Senegal</v>
      </c>
      <c r="K248" s="732" t="str">
        <f ca="1">IF(Home!$K$23=$D$1419,P248,
IF(AND(Home!$K$23&lt;&gt;$D$1419,TODAY()&lt;=Horarios!$A$4),P248,$D$1420))</f>
        <v>Senegal</v>
      </c>
      <c r="O248" s="733" t="s">
        <v>1634</v>
      </c>
      <c r="P248" s="733"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2" t="str">
        <f ca="1">IF(Home!$K$23=$D$1419,O249,
IF(AND(Home!$K$23&lt;&gt;$D$1419,TODAY()&lt;=Horarios!$A$4),O249,$D$1420))</f>
        <v>Sudáfrica</v>
      </c>
      <c r="K249" s="732" t="str">
        <f ca="1">IF(Home!$K$23=$D$1419,P249,
IF(AND(Home!$K$23&lt;&gt;$D$1419,TODAY()&lt;=Horarios!$A$4),P249,$D$1420))</f>
        <v>South Africa</v>
      </c>
      <c r="O249" s="733" t="s">
        <v>1630</v>
      </c>
      <c r="P249" s="733"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2" t="str">
        <f ca="1">IF(Home!$K$23=$D$1419,O250,
IF(AND(Home!$K$23&lt;&gt;$D$1419,TODAY()&lt;=Horarios!$A$4),O250,$D$1420))</f>
        <v>Suiza</v>
      </c>
      <c r="K250" s="732" t="str">
        <f ca="1">IF(Home!$K$23=$D$1419,P250,
IF(AND(Home!$K$23&lt;&gt;$D$1419,TODAY()&lt;=Horarios!$A$4),P250,$D$1420))</f>
        <v>Switzerland</v>
      </c>
      <c r="O250" s="733" t="s">
        <v>75</v>
      </c>
      <c r="P250" s="733"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2" t="str">
        <f ca="1">IF(Home!$K$23=$D$1419,O251,
IF(AND(Home!$K$23&lt;&gt;$D$1419,TODAY()&lt;=Horarios!$A$4),O251,$D$1420))</f>
        <v>Túnez</v>
      </c>
      <c r="K251" s="732" t="str">
        <f ca="1">IF(Home!$K$23=$D$1419,P251,
IF(AND(Home!$K$23&lt;&gt;$D$1419,TODAY()&lt;=Horarios!$A$4),P251,$D$1420))</f>
        <v>Tunisia</v>
      </c>
      <c r="O251" s="733" t="s">
        <v>1322</v>
      </c>
      <c r="P251" s="733"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2" t="str">
        <f ca="1">IF(Home!$K$23=$D$1419,O252,
IF(AND(Home!$K$23&lt;&gt;$D$1419,TODAY()&lt;=Horarios!$A$4),O252,$D$1420))</f>
        <v>Uruguay</v>
      </c>
      <c r="K252" s="732" t="str">
        <f ca="1">IF(Home!$K$23=$D$1419,P252,
IF(AND(Home!$K$23&lt;&gt;$D$1419,TODAY()&lt;=Horarios!$A$4),P252,$D$1420))</f>
        <v>Uruguay</v>
      </c>
      <c r="O252" s="733" t="s">
        <v>1318</v>
      </c>
      <c r="P252" s="733"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2" t="str">
        <f ca="1">IF(Home!$K$23=$D$1419,O253,
IF(AND(Home!$K$23&lt;&gt;$D$1419,TODAY()&lt;=Horarios!$A$4),O253,$D$1420))</f>
        <v>Uzbekistán</v>
      </c>
      <c r="K253" s="732" t="str">
        <f ca="1">IF(Home!$K$23=$D$1419,P253,
IF(AND(Home!$K$23&lt;&gt;$D$1419,TODAY()&lt;=Horarios!$A$4),P253,$D$1420))</f>
        <v>Uzbekistan</v>
      </c>
      <c r="O253" s="733" t="s">
        <v>1267</v>
      </c>
      <c r="P253" s="733"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2" t="str">
        <f ca="1">IF(Home!$K$23=$D$1419,O254,
IF(AND(Home!$K$23&lt;&gt;$D$1419,TODAY()&lt;=Horarios!$A$4),O254,$D$1420))</f>
        <v>RD Congo</v>
      </c>
      <c r="K254" s="732" t="str">
        <f ca="1">IF(Home!$K$23=$D$1419,P254,
IF(AND(Home!$K$23&lt;&gt;$D$1419,TODAY()&lt;=Horarios!$A$4),P254,$D$1420))</f>
        <v>DR Congo</v>
      </c>
      <c r="O254" s="734" t="s">
        <v>1839</v>
      </c>
      <c r="P254" s="734"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2" t="str">
        <f ca="1">IF(Home!$K$23=$D$1419,O255,
IF(AND(Home!$K$23&lt;&gt;$D$1419,TODAY()&lt;=Horarios!$A$4),O255,$D$1420))</f>
        <v>Irak</v>
      </c>
      <c r="K255" s="732" t="str">
        <f ca="1">IF(Home!$K$23=$D$1419,P255,
IF(AND(Home!$K$23&lt;&gt;$D$1419,TODAY()&lt;=Horarios!$A$4),P255,$D$1420))</f>
        <v>Iraq</v>
      </c>
      <c r="O255" s="734" t="s">
        <v>1757</v>
      </c>
      <c r="P255" s="734"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2" t="str">
        <f ca="1">IF(Home!$K$23=$D$1419,O256,
IF(AND(Home!$K$23&lt;&gt;$D$1419,TODAY()&lt;=Horarios!$A$4),O256,$D$1420))</f>
        <v>Bosnia y Herzegovina</v>
      </c>
      <c r="K256" s="732" t="str">
        <f ca="1">IF(Home!$K$23=$D$1419,P256,
IF(AND(Home!$K$23&lt;&gt;$D$1419,TODAY()&lt;=Horarios!$A$4),P256,$D$1420))</f>
        <v>Bosnia and Herzegovina</v>
      </c>
      <c r="O256" s="734" t="s">
        <v>1841</v>
      </c>
      <c r="P256" s="734"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2" t="str">
        <f ca="1">IF(Home!$K$23=$D$1419,O257,
IF(AND(Home!$K$23&lt;&gt;$D$1419,TODAY()&lt;=Horarios!$A$4),O257,$D$1420))</f>
        <v>Suecia</v>
      </c>
      <c r="K257" s="732" t="str">
        <f ca="1">IF(Home!$K$23=$D$1419,P257,
IF(AND(Home!$K$23&lt;&gt;$D$1419,TODAY()&lt;=Horarios!$A$4),P257,$D$1420))</f>
        <v>Sweden</v>
      </c>
      <c r="O257" s="734" t="s">
        <v>1833</v>
      </c>
      <c r="P257" s="734"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2" t="str">
        <f ca="1">IF(Home!$K$23=$D$1419,O258,
IF(AND(Home!$K$23&lt;&gt;$D$1419,TODAY()&lt;=Horarios!$A$4),O258,$D$1420))</f>
        <v>Turquía</v>
      </c>
      <c r="K258" s="732" t="str">
        <f ca="1">IF(Home!$K$23=$D$1419,P258,
IF(AND(Home!$K$23&lt;&gt;$D$1419,TODAY()&lt;=Horarios!$A$4),P258,$D$1420))</f>
        <v>Turkey</v>
      </c>
      <c r="O258" s="734" t="s">
        <v>1835</v>
      </c>
      <c r="P258" s="734"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2" t="str">
        <f ca="1">IF(Home!$K$23=$D$1419,O259,
IF(AND(Home!$K$23&lt;&gt;$D$1419,TODAY()&lt;=Horarios!$A$4),O259,$D$1420))</f>
        <v>República Checa</v>
      </c>
      <c r="K259" s="732" t="str">
        <f ca="1">IF(Home!$K$23=$D$1419,P259,
IF(AND(Home!$K$23&lt;&gt;$D$1419,TODAY()&lt;=Horarios!$A$4),P259,$D$1420))</f>
        <v>Czech Republic</v>
      </c>
      <c r="O259" s="734" t="s">
        <v>1843</v>
      </c>
      <c r="P259" s="734"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7"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7" t="s">
        <v>220</v>
      </c>
      <c r="I272" s="11"/>
    </row>
    <row r="273" spans="1:9">
      <c r="A273" s="11"/>
      <c r="B273" s="11"/>
      <c r="C273" s="11"/>
      <c r="D273" s="11" t="str">
        <f t="shared" si="14"/>
        <v>Cuartos de final</v>
      </c>
      <c r="E273" s="11" t="s">
        <v>1242</v>
      </c>
      <c r="F273" s="11"/>
      <c r="G273" s="11" t="s">
        <v>69</v>
      </c>
      <c r="H273" s="687" t="s">
        <v>219</v>
      </c>
      <c r="I273" s="11"/>
    </row>
    <row r="274" spans="1:9">
      <c r="A274" s="11"/>
      <c r="B274" s="11"/>
      <c r="C274" s="11"/>
      <c r="D274" s="11" t="str">
        <f t="shared" si="14"/>
        <v>Octavos de final</v>
      </c>
      <c r="E274" s="11" t="s">
        <v>1242</v>
      </c>
      <c r="F274" s="11"/>
      <c r="G274" s="11" t="s">
        <v>87</v>
      </c>
      <c r="H274" s="687"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7" t="s">
        <v>1244</v>
      </c>
      <c r="I276" s="11"/>
    </row>
    <row r="277" spans="1:9">
      <c r="A277" s="11"/>
      <c r="B277" s="11"/>
      <c r="C277" s="11"/>
      <c r="D277" s="11" t="str">
        <f t="shared" si="14"/>
        <v>Pronóstica la ronda</v>
      </c>
      <c r="E277" s="11" t="s">
        <v>1242</v>
      </c>
      <c r="F277" s="11"/>
      <c r="G277" s="687" t="s">
        <v>1236</v>
      </c>
      <c r="H277" s="687" t="s">
        <v>1237</v>
      </c>
      <c r="I277" s="11"/>
    </row>
    <row r="278" spans="1:9">
      <c r="A278" s="11"/>
      <c r="B278" s="11"/>
      <c r="C278" s="11"/>
      <c r="D278" s="11" t="str">
        <f t="shared" si="14"/>
        <v>Predice la selección</v>
      </c>
      <c r="E278" s="11" t="s">
        <v>1242</v>
      </c>
      <c r="F278" s="11"/>
      <c r="G278" s="687" t="s">
        <v>1245</v>
      </c>
      <c r="H278" s="687" t="s">
        <v>1246</v>
      </c>
      <c r="I278" s="11"/>
    </row>
    <row r="279" spans="1:9">
      <c r="A279" s="11"/>
      <c r="B279" s="11"/>
      <c r="C279" s="11"/>
      <c r="D279" s="11" t="str">
        <f t="shared" si="14"/>
        <v>Ronda</v>
      </c>
      <c r="E279" s="11" t="s">
        <v>1242</v>
      </c>
      <c r="F279" s="11"/>
      <c r="G279" s="687" t="s">
        <v>1238</v>
      </c>
      <c r="H279" s="687"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7" t="s">
        <v>1253</v>
      </c>
      <c r="I280" s="11"/>
    </row>
    <row r="281" spans="1:9">
      <c r="A281" s="11"/>
      <c r="B281" s="11"/>
      <c r="C281" s="11"/>
      <c r="D281" s="11" t="str">
        <f t="shared" si="14"/>
        <v>·Una vez elijas una selección, dejará de aparecer en la lista</v>
      </c>
      <c r="E281" s="11" t="s">
        <v>1242</v>
      </c>
      <c r="F281" s="11"/>
      <c r="G281" s="11" t="s">
        <v>1254</v>
      </c>
      <c r="H281" s="687" t="s">
        <v>1252</v>
      </c>
      <c r="I281" s="11"/>
    </row>
    <row r="282" spans="1:9">
      <c r="A282" s="11"/>
      <c r="B282" s="11"/>
      <c r="C282" s="11"/>
      <c r="D282" s="11" t="str">
        <f t="shared" si="14"/>
        <v xml:space="preserve">·Si has rellenado todos y quieres hacer un cambio, </v>
      </c>
      <c r="E282" s="11" t="s">
        <v>1242</v>
      </c>
      <c r="F282" s="11"/>
      <c r="G282" s="11" t="s">
        <v>1240</v>
      </c>
      <c r="H282" s="687" t="s">
        <v>1241</v>
      </c>
      <c r="I282" s="11"/>
    </row>
    <row r="283" spans="1:9">
      <c r="A283" s="11"/>
      <c r="B283" s="11"/>
      <c r="C283" s="11"/>
      <c r="D283" s="11" t="str">
        <f t="shared" si="14"/>
        <v xml:space="preserve"> borra las selecciones que quieras cambiar y podrás volver a elegirlas</v>
      </c>
      <c r="E283" s="11" t="s">
        <v>1242</v>
      </c>
      <c r="F283" s="11"/>
      <c r="G283" s="11" t="s">
        <v>1248</v>
      </c>
      <c r="H283" s="687" t="s">
        <v>1251</v>
      </c>
      <c r="I283" s="11"/>
    </row>
    <row r="284" spans="1:9">
      <c r="A284" s="11"/>
      <c r="B284" s="11"/>
      <c r="C284" s="11"/>
      <c r="D284" s="11" t="str">
        <f t="shared" si="14"/>
        <v>Rellenar antes del comienzo del Mundial</v>
      </c>
      <c r="E284" s="11" t="s">
        <v>1242</v>
      </c>
      <c r="F284" s="11"/>
      <c r="G284" s="11" t="s">
        <v>1249</v>
      </c>
      <c r="H284" s="687"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5" t="s">
        <v>1375</v>
      </c>
      <c r="F299" s="775" t="s">
        <v>126</v>
      </c>
      <c r="G299" s="775" t="s">
        <v>1376</v>
      </c>
      <c r="H299" s="775" t="s">
        <v>1516</v>
      </c>
      <c r="I299" s="11"/>
    </row>
    <row r="300" spans="1:9">
      <c r="A300" s="11"/>
      <c r="B300" s="11"/>
      <c r="C300" s="11"/>
      <c r="D300" s="11" t="str">
        <f t="shared" si="16"/>
        <v>↓↓ Resultados reales ↓↓</v>
      </c>
      <c r="E300" s="775" t="s">
        <v>1375</v>
      </c>
      <c r="F300" s="775" t="s">
        <v>181</v>
      </c>
      <c r="G300" s="775" t="s">
        <v>1377</v>
      </c>
      <c r="H300" s="775" t="s">
        <v>1378</v>
      </c>
      <c r="I300" s="11"/>
    </row>
    <row r="301" spans="1:9">
      <c r="A301" s="11"/>
      <c r="B301" s="11"/>
      <c r="C301" s="11"/>
      <c r="D301" s="11" t="str">
        <f t="shared" si="16"/>
        <v>Regla* (Click para ver la explicación)</v>
      </c>
      <c r="E301" s="775" t="s">
        <v>1375</v>
      </c>
      <c r="F301" s="775" t="s">
        <v>1379</v>
      </c>
      <c r="G301" s="775" t="s">
        <v>1829</v>
      </c>
      <c r="H301" s="775" t="s">
        <v>1830</v>
      </c>
      <c r="I301" s="11"/>
    </row>
    <row r="302" spans="1:9">
      <c r="A302" s="11"/>
      <c r="B302" s="11"/>
      <c r="C302" s="11"/>
      <c r="D302" s="11" t="str">
        <f t="shared" si="16"/>
        <v>https://matejero.es/puntuaciones-excel-mundial-2026/</v>
      </c>
      <c r="E302" s="775" t="s">
        <v>1375</v>
      </c>
      <c r="F302" s="775"/>
      <c r="G302" s="776" t="s">
        <v>1828</v>
      </c>
      <c r="H302" s="776" t="s">
        <v>1917</v>
      </c>
      <c r="I302" s="11"/>
    </row>
    <row r="303" spans="1:9">
      <c r="A303" s="11"/>
      <c r="B303" s="11"/>
      <c r="C303" s="11"/>
      <c r="D303" s="11" t="str">
        <f t="shared" si="16"/>
        <v>Puntos</v>
      </c>
      <c r="E303" s="775" t="s">
        <v>1375</v>
      </c>
      <c r="F303" s="775" t="s">
        <v>1380</v>
      </c>
      <c r="G303" s="775" t="s">
        <v>1381</v>
      </c>
      <c r="H303" s="775" t="s">
        <v>1382</v>
      </c>
      <c r="I303" s="11"/>
    </row>
    <row r="304" spans="1:9">
      <c r="A304" s="11"/>
      <c r="B304" s="11"/>
      <c r="C304" s="11"/>
      <c r="D304" s="11" t="str">
        <f t="shared" si="16"/>
        <v>FASE DE GRUPOS - Signo 1X2 (local, empate, visitante)</v>
      </c>
      <c r="E304" s="775" t="s">
        <v>1375</v>
      </c>
      <c r="F304" s="775" t="s">
        <v>1383</v>
      </c>
      <c r="G304" s="775" t="s">
        <v>1774</v>
      </c>
      <c r="H304" s="775" t="s">
        <v>1775</v>
      </c>
      <c r="I304" s="11"/>
    </row>
    <row r="305" spans="1:9">
      <c r="A305" s="11"/>
      <c r="B305" s="11"/>
      <c r="C305" s="11"/>
      <c r="D305" s="11" t="str">
        <f t="shared" si="16"/>
        <v>FASE DE GRUPOS - Diferencia/Distancia de goles (Con 1X2 acertado)</v>
      </c>
      <c r="E305" s="775" t="s">
        <v>1375</v>
      </c>
      <c r="F305" s="775" t="s">
        <v>1384</v>
      </c>
      <c r="G305" s="775" t="s">
        <v>1766</v>
      </c>
      <c r="H305" s="775" t="s">
        <v>1385</v>
      </c>
      <c r="I305" s="11"/>
    </row>
    <row r="306" spans="1:9">
      <c r="A306" s="11"/>
      <c r="B306" s="11"/>
      <c r="C306" s="11"/>
      <c r="D306" s="11" t="str">
        <f t="shared" si="16"/>
        <v>FASE DE GRUPOS - Resultado exacto</v>
      </c>
      <c r="E306" s="775" t="s">
        <v>1375</v>
      </c>
      <c r="F306" s="775" t="s">
        <v>1386</v>
      </c>
      <c r="G306" s="775" t="s">
        <v>1387</v>
      </c>
      <c r="H306" s="775" t="s">
        <v>1388</v>
      </c>
      <c r="I306" s="11"/>
    </row>
    <row r="307" spans="1:9">
      <c r="A307" s="11"/>
      <c r="B307" s="11"/>
      <c r="C307" s="11"/>
      <c r="D307" s="11" t="str">
        <f t="shared" si="16"/>
        <v>FASE DE GRUPOS - Posición exacta (1º)</v>
      </c>
      <c r="E307" s="775" t="s">
        <v>1375</v>
      </c>
      <c r="F307" s="775" t="s">
        <v>1389</v>
      </c>
      <c r="G307" s="775" t="s">
        <v>1390</v>
      </c>
      <c r="H307" s="775" t="s">
        <v>1391</v>
      </c>
      <c r="I307" s="11"/>
    </row>
    <row r="308" spans="1:9">
      <c r="A308" s="11"/>
      <c r="B308" s="11"/>
      <c r="C308" s="11"/>
      <c r="D308" s="11" t="str">
        <f t="shared" si="16"/>
        <v>FASE DE GRUPOS - Posición exacta (2º)</v>
      </c>
      <c r="E308" s="775" t="s">
        <v>1375</v>
      </c>
      <c r="F308" s="775" t="s">
        <v>1398</v>
      </c>
      <c r="G308" s="775" t="s">
        <v>1392</v>
      </c>
      <c r="H308" s="775" t="s">
        <v>1393</v>
      </c>
      <c r="I308" s="11"/>
    </row>
    <row r="309" spans="1:9">
      <c r="A309" s="11"/>
      <c r="B309" s="11"/>
      <c r="C309" s="11"/>
      <c r="D309" s="11" t="str">
        <f t="shared" si="16"/>
        <v>FASE DE GRUPOS - Posición exacta (3º)</v>
      </c>
      <c r="E309" s="775" t="s">
        <v>1375</v>
      </c>
      <c r="F309" s="775" t="s">
        <v>1398</v>
      </c>
      <c r="G309" s="775" t="s">
        <v>1394</v>
      </c>
      <c r="H309" s="775" t="s">
        <v>1395</v>
      </c>
      <c r="I309" s="11"/>
    </row>
    <row r="310" spans="1:9">
      <c r="A310" s="11"/>
      <c r="B310" s="11"/>
      <c r="C310" s="11"/>
      <c r="D310" s="11" t="str">
        <f t="shared" si="16"/>
        <v>FASE DE GRUPOS - Posición exacta (4º)</v>
      </c>
      <c r="E310" s="775" t="s">
        <v>1375</v>
      </c>
      <c r="F310" s="775" t="s">
        <v>1400</v>
      </c>
      <c r="G310" s="775" t="s">
        <v>1396</v>
      </c>
      <c r="H310" s="775" t="s">
        <v>1397</v>
      </c>
      <c r="I310" s="11"/>
    </row>
    <row r="311" spans="1:9">
      <c r="A311" s="11"/>
      <c r="B311" s="11"/>
      <c r="C311" s="11"/>
      <c r="D311" s="11" t="str">
        <f t="shared" si="16"/>
        <v>Equipo clasificado para DIECISEISAVOS</v>
      </c>
      <c r="E311" s="775" t="s">
        <v>1375</v>
      </c>
      <c r="F311" s="775" t="s">
        <v>1403</v>
      </c>
      <c r="G311" s="775" t="s">
        <v>1540</v>
      </c>
      <c r="H311" s="775" t="s">
        <v>1572</v>
      </c>
      <c r="I311" s="11"/>
    </row>
    <row r="312" spans="1:9">
      <c r="A312" s="11"/>
      <c r="B312" s="11"/>
      <c r="C312" s="11"/>
      <c r="D312" s="11" t="str">
        <f t="shared" si="16"/>
        <v>DIECISEISAVOS - Signo 1X2 (local, empate, visitante)</v>
      </c>
      <c r="E312" s="775" t="s">
        <v>1375</v>
      </c>
      <c r="F312" s="775" t="s">
        <v>1405</v>
      </c>
      <c r="G312" s="775" t="s">
        <v>1542</v>
      </c>
      <c r="H312" s="775" t="s">
        <v>1547</v>
      </c>
      <c r="I312" s="11"/>
    </row>
    <row r="313" spans="1:9">
      <c r="A313" s="11"/>
      <c r="B313" s="11"/>
      <c r="C313" s="11"/>
      <c r="D313" s="11" t="str">
        <f t="shared" si="16"/>
        <v>DIECISEISAVOS - Diferencia/Distancia de goles (Con 1X2 acertado)</v>
      </c>
      <c r="E313" s="775" t="s">
        <v>1375</v>
      </c>
      <c r="F313" s="775" t="s">
        <v>1400</v>
      </c>
      <c r="G313" s="775" t="s">
        <v>1767</v>
      </c>
      <c r="H313" s="775" t="s">
        <v>1548</v>
      </c>
      <c r="I313" s="11"/>
    </row>
    <row r="314" spans="1:9">
      <c r="A314" s="11"/>
      <c r="B314" s="11"/>
      <c r="C314" s="11"/>
      <c r="D314" s="11" t="str">
        <f t="shared" si="16"/>
        <v>DIECISEISAVOS - Resultado exacto</v>
      </c>
      <c r="E314" s="775" t="s">
        <v>1375</v>
      </c>
      <c r="F314" s="775" t="s">
        <v>1403</v>
      </c>
      <c r="G314" s="775" t="s">
        <v>1541</v>
      </c>
      <c r="H314" s="775" t="s">
        <v>1549</v>
      </c>
      <c r="I314" s="11"/>
    </row>
    <row r="315" spans="1:9">
      <c r="A315" s="11"/>
      <c r="B315" s="11"/>
      <c r="C315" s="11"/>
      <c r="D315" s="11" t="str">
        <f t="shared" si="16"/>
        <v>Equipo clasificado para OCTAVOS</v>
      </c>
      <c r="E315" s="775" t="s">
        <v>1375</v>
      </c>
      <c r="F315" s="775" t="s">
        <v>1405</v>
      </c>
      <c r="G315" s="775" t="s">
        <v>1399</v>
      </c>
      <c r="H315" s="775" t="s">
        <v>1561</v>
      </c>
      <c r="I315" s="11"/>
    </row>
    <row r="316" spans="1:9">
      <c r="A316" s="11"/>
      <c r="B316" s="11"/>
      <c r="C316" s="11"/>
      <c r="D316" s="11" t="str">
        <f t="shared" si="16"/>
        <v>OCTAVOS - Signo 1X2  (local, empate, visitante)</v>
      </c>
      <c r="E316" s="775" t="s">
        <v>1375</v>
      </c>
      <c r="F316" s="775" t="s">
        <v>1407</v>
      </c>
      <c r="G316" s="775" t="s">
        <v>1401</v>
      </c>
      <c r="H316" s="775" t="s">
        <v>1402</v>
      </c>
      <c r="I316" s="11"/>
    </row>
    <row r="317" spans="1:9">
      <c r="A317" s="11"/>
      <c r="B317" s="11"/>
      <c r="C317" s="11"/>
      <c r="D317" s="11" t="str">
        <f t="shared" si="16"/>
        <v>OCTAVOS -Diferencia/Distancia de goles (Con 1X2 acertado)</v>
      </c>
      <c r="E317" s="775" t="s">
        <v>1375</v>
      </c>
      <c r="F317" s="775" t="s">
        <v>1409</v>
      </c>
      <c r="G317" s="775" t="s">
        <v>1768</v>
      </c>
      <c r="H317" s="775" t="s">
        <v>1404</v>
      </c>
      <c r="I317" s="11"/>
    </row>
    <row r="318" spans="1:9">
      <c r="A318" s="11"/>
      <c r="B318" s="11"/>
      <c r="C318" s="11"/>
      <c r="D318" s="11" t="str">
        <f t="shared" si="16"/>
        <v>OCTAVOS - Resultado exacto</v>
      </c>
      <c r="E318" s="775" t="s">
        <v>1375</v>
      </c>
      <c r="F318" s="775" t="s">
        <v>1412</v>
      </c>
      <c r="G318" s="775" t="s">
        <v>1406</v>
      </c>
      <c r="H318" s="775" t="s">
        <v>1517</v>
      </c>
      <c r="I318" s="11"/>
    </row>
    <row r="319" spans="1:9">
      <c r="A319" s="11"/>
      <c r="B319" s="11"/>
      <c r="C319" s="11"/>
      <c r="D319" s="11" t="str">
        <f t="shared" si="16"/>
        <v>Equipo clasificado para CUARTOS</v>
      </c>
      <c r="E319" s="775" t="s">
        <v>1375</v>
      </c>
      <c r="F319" s="775" t="s">
        <v>1414</v>
      </c>
      <c r="G319" s="775" t="s">
        <v>1408</v>
      </c>
      <c r="H319" s="775" t="s">
        <v>1518</v>
      </c>
      <c r="I319" s="11"/>
    </row>
    <row r="320" spans="1:9">
      <c r="A320" s="11"/>
      <c r="B320" s="11"/>
      <c r="C320" s="11"/>
      <c r="D320" s="11" t="str">
        <f t="shared" si="16"/>
        <v>CUARTOS - Signo 1X2  (local, empate, visitante)</v>
      </c>
      <c r="E320" s="775" t="s">
        <v>1375</v>
      </c>
      <c r="F320" s="775" t="s">
        <v>1416</v>
      </c>
      <c r="G320" s="775" t="s">
        <v>1410</v>
      </c>
      <c r="H320" s="775" t="s">
        <v>1411</v>
      </c>
      <c r="I320" s="11"/>
    </row>
    <row r="321" spans="1:9">
      <c r="A321" s="11"/>
      <c r="B321" s="11"/>
      <c r="C321" s="11"/>
      <c r="D321" s="11" t="str">
        <f t="shared" si="16"/>
        <v>CUARTOS -Diferencia/Distancia de goles (Con 1X2 acertado)</v>
      </c>
      <c r="E321" s="775" t="s">
        <v>1375</v>
      </c>
      <c r="F321" s="775" t="s">
        <v>1418</v>
      </c>
      <c r="G321" s="775" t="s">
        <v>1769</v>
      </c>
      <c r="H321" s="775" t="s">
        <v>1413</v>
      </c>
      <c r="I321" s="11"/>
    </row>
    <row r="322" spans="1:9">
      <c r="A322" s="11"/>
      <c r="B322" s="11"/>
      <c r="C322" s="11"/>
      <c r="D322" s="11" t="str">
        <f t="shared" si="16"/>
        <v>CUARTOS - Resultado exacto</v>
      </c>
      <c r="E322" s="775" t="s">
        <v>1375</v>
      </c>
      <c r="F322" s="775" t="s">
        <v>1421</v>
      </c>
      <c r="G322" s="775" t="s">
        <v>1415</v>
      </c>
      <c r="H322" s="775" t="s">
        <v>1519</v>
      </c>
      <c r="I322" s="11"/>
    </row>
    <row r="323" spans="1:9">
      <c r="A323" s="11"/>
      <c r="B323" s="11"/>
      <c r="C323" s="11"/>
      <c r="D323" s="11" t="str">
        <f t="shared" si="16"/>
        <v>Equipo clasificado para SEMIFINALES</v>
      </c>
      <c r="E323" s="775" t="s">
        <v>1375</v>
      </c>
      <c r="F323" s="775" t="s">
        <v>1423</v>
      </c>
      <c r="G323" s="775" t="s">
        <v>1417</v>
      </c>
      <c r="H323" s="775" t="s">
        <v>1562</v>
      </c>
      <c r="I323" s="11"/>
    </row>
    <row r="324" spans="1:9">
      <c r="A324" s="11"/>
      <c r="B324" s="11"/>
      <c r="C324" s="11"/>
      <c r="D324" s="11" t="str">
        <f t="shared" si="16"/>
        <v>SEMIFINALES - Signo 1X2  (local, empate, visitante)</v>
      </c>
      <c r="E324" s="775" t="s">
        <v>1375</v>
      </c>
      <c r="F324" s="775" t="s">
        <v>1426</v>
      </c>
      <c r="G324" s="775" t="s">
        <v>1419</v>
      </c>
      <c r="H324" s="775" t="s">
        <v>1420</v>
      </c>
      <c r="I324" s="11"/>
    </row>
    <row r="325" spans="1:9">
      <c r="A325" s="11"/>
      <c r="B325" s="11"/>
      <c r="C325" s="11"/>
      <c r="D325" s="11" t="str">
        <f t="shared" si="16"/>
        <v>SEMIFINALES -Diferencia/Distancia de goles (Con 1X2 acertado)</v>
      </c>
      <c r="E325" s="775" t="s">
        <v>1375</v>
      </c>
      <c r="F325" s="775" t="s">
        <v>1426</v>
      </c>
      <c r="G325" s="775" t="s">
        <v>1770</v>
      </c>
      <c r="H325" s="775" t="s">
        <v>1422</v>
      </c>
      <c r="I325" s="11"/>
    </row>
    <row r="326" spans="1:9">
      <c r="A326" s="11"/>
      <c r="B326" s="11"/>
      <c r="C326" s="11"/>
      <c r="D326" s="11" t="str">
        <f t="shared" si="16"/>
        <v>SEMIFINALES - Resultado exacto</v>
      </c>
      <c r="E326" s="775" t="s">
        <v>1375</v>
      </c>
      <c r="F326" s="775" t="s">
        <v>1427</v>
      </c>
      <c r="G326" s="775" t="s">
        <v>1424</v>
      </c>
      <c r="H326" s="775" t="s">
        <v>1425</v>
      </c>
      <c r="I326" s="11"/>
    </row>
    <row r="327" spans="1:9">
      <c r="A327" s="11"/>
      <c r="B327" s="11"/>
      <c r="C327" s="11"/>
      <c r="D327" s="11" t="str">
        <f t="shared" si="16"/>
        <v>Equipo clasificado para 3º y 4º puesto</v>
      </c>
      <c r="E327" s="775" t="s">
        <v>1375</v>
      </c>
      <c r="F327" s="775" t="s">
        <v>1430</v>
      </c>
      <c r="G327" s="775" t="s">
        <v>1544</v>
      </c>
      <c r="H327" s="775" t="s">
        <v>1710</v>
      </c>
      <c r="I327" s="11"/>
    </row>
    <row r="328" spans="1:9">
      <c r="A328" s="11"/>
      <c r="B328" s="11"/>
      <c r="C328" s="11"/>
      <c r="D328" s="11" t="str">
        <f t="shared" si="16"/>
        <v>Equipo clasificado para FINAL</v>
      </c>
      <c r="E328" s="775" t="s">
        <v>1375</v>
      </c>
      <c r="F328" s="775" t="s">
        <v>1432</v>
      </c>
      <c r="G328" s="775" t="s">
        <v>1543</v>
      </c>
      <c r="H328" s="775" t="s">
        <v>1520</v>
      </c>
      <c r="I328" s="11"/>
    </row>
    <row r="329" spans="1:9">
      <c r="A329" s="11"/>
      <c r="B329" s="11"/>
      <c r="C329" s="11"/>
      <c r="D329" s="11" t="str">
        <f t="shared" si="16"/>
        <v>3ºy4º PUESTO - Signo 1X2  (local, empate, visitante)</v>
      </c>
      <c r="E329" s="775" t="s">
        <v>1375</v>
      </c>
      <c r="F329" s="775" t="s">
        <v>1435</v>
      </c>
      <c r="G329" s="775" t="s">
        <v>1545</v>
      </c>
      <c r="H329" s="775" t="s">
        <v>1563</v>
      </c>
      <c r="I329" s="11"/>
    </row>
    <row r="330" spans="1:9">
      <c r="A330" s="11"/>
      <c r="B330" s="11"/>
      <c r="C330" s="11"/>
      <c r="D330" s="11" t="str">
        <f t="shared" si="16"/>
        <v>3ºy4º PUESTO - Diferencia/Distancia de goles (Con 1X2 acertado)</v>
      </c>
      <c r="E330" s="775" t="s">
        <v>1375</v>
      </c>
      <c r="F330" s="775" t="s">
        <v>1436</v>
      </c>
      <c r="G330" s="775" t="s">
        <v>1771</v>
      </c>
      <c r="H330" s="775" t="s">
        <v>1564</v>
      </c>
      <c r="I330" s="11"/>
    </row>
    <row r="331" spans="1:9">
      <c r="A331" s="11"/>
      <c r="B331" s="11"/>
      <c r="C331" s="11"/>
      <c r="D331" s="11" t="str">
        <f t="shared" si="16"/>
        <v>3ºy4º PUESTO - Resultado exacto</v>
      </c>
      <c r="E331" s="775" t="s">
        <v>1375</v>
      </c>
      <c r="F331" s="775" t="s">
        <v>1437</v>
      </c>
      <c r="G331" s="775" t="s">
        <v>1546</v>
      </c>
      <c r="H331" s="775" t="s">
        <v>1565</v>
      </c>
      <c r="I331" s="11"/>
    </row>
    <row r="332" spans="1:9">
      <c r="A332" s="11"/>
      <c r="B332" s="11"/>
      <c r="C332" s="11"/>
      <c r="D332" s="11" t="str">
        <f t="shared" si="16"/>
        <v>FINAL - Signo 1X2  (local, empate, visitante)</v>
      </c>
      <c r="E332" s="775" t="s">
        <v>1375</v>
      </c>
      <c r="F332" s="775" t="s">
        <v>1439</v>
      </c>
      <c r="G332" s="775" t="s">
        <v>1428</v>
      </c>
      <c r="H332" s="775" t="s">
        <v>1429</v>
      </c>
      <c r="I332" s="11"/>
    </row>
    <row r="333" spans="1:9">
      <c r="A333" s="11"/>
      <c r="B333" s="11"/>
      <c r="C333" s="11"/>
      <c r="D333" s="11" t="str">
        <f t="shared" si="16"/>
        <v>FINAL - Diferencia/Distancia de goles (Con 1X2 acertado)</v>
      </c>
      <c r="E333" s="775" t="s">
        <v>1375</v>
      </c>
      <c r="F333" s="775" t="s">
        <v>1441</v>
      </c>
      <c r="G333" s="775" t="s">
        <v>1772</v>
      </c>
      <c r="H333" s="775" t="s">
        <v>1431</v>
      </c>
      <c r="I333" s="11"/>
    </row>
    <row r="334" spans="1:9">
      <c r="A334" s="11"/>
      <c r="B334" s="11"/>
      <c r="C334" s="11"/>
      <c r="D334" s="11" t="str">
        <f t="shared" si="16"/>
        <v>FINAL - Resultado exacto</v>
      </c>
      <c r="E334" s="775" t="s">
        <v>1375</v>
      </c>
      <c r="F334" s="775" t="s">
        <v>1443</v>
      </c>
      <c r="G334" s="775" t="s">
        <v>1433</v>
      </c>
      <c r="H334" s="775" t="s">
        <v>1434</v>
      </c>
      <c r="I334" s="11"/>
    </row>
    <row r="335" spans="1:9">
      <c r="A335" s="11"/>
      <c r="B335" s="11"/>
      <c r="C335" s="11"/>
      <c r="D335" s="11" t="str">
        <f t="shared" si="16"/>
        <v>Campeón</v>
      </c>
      <c r="E335" s="775"/>
      <c r="F335" s="775"/>
      <c r="G335" s="775" t="s">
        <v>18</v>
      </c>
      <c r="H335" s="775" t="s">
        <v>222</v>
      </c>
      <c r="I335" s="11"/>
    </row>
    <row r="336" spans="1:9">
      <c r="A336" s="11"/>
      <c r="B336" s="11"/>
      <c r="C336" s="11"/>
      <c r="D336" s="11" t="str">
        <f t="shared" si="16"/>
        <v>Subcampeón</v>
      </c>
      <c r="E336" s="775"/>
      <c r="F336" s="775"/>
      <c r="G336" s="775" t="s">
        <v>19</v>
      </c>
      <c r="H336" s="775" t="s">
        <v>223</v>
      </c>
      <c r="I336" s="11"/>
    </row>
    <row r="337" spans="1:9">
      <c r="A337" s="11"/>
      <c r="B337" s="11"/>
      <c r="C337" s="11"/>
      <c r="D337" s="11" t="str">
        <f t="shared" si="16"/>
        <v>3º puesto</v>
      </c>
      <c r="E337" s="775"/>
      <c r="F337" s="775"/>
      <c r="G337" s="775" t="s">
        <v>1234</v>
      </c>
      <c r="H337" s="775" t="s">
        <v>1235</v>
      </c>
      <c r="I337" s="11"/>
    </row>
    <row r="338" spans="1:9">
      <c r="A338" s="11"/>
      <c r="B338" s="11"/>
      <c r="C338" s="11"/>
      <c r="D338" s="11" t="str">
        <f t="shared" si="16"/>
        <v>Bota de Oro  (máximo goleador)</v>
      </c>
      <c r="E338" s="775" t="s">
        <v>1375</v>
      </c>
      <c r="F338" s="775" t="s">
        <v>1446</v>
      </c>
      <c r="G338" s="775" t="s">
        <v>499</v>
      </c>
      <c r="H338" s="775" t="s">
        <v>1566</v>
      </c>
      <c r="I338" s="11"/>
    </row>
    <row r="339" spans="1:9">
      <c r="A339" s="11"/>
      <c r="B339" s="11"/>
      <c r="C339" s="11"/>
      <c r="D339" s="11" t="str">
        <f t="shared" si="16"/>
        <v>Bota de Plata (2º máximo goleador)</v>
      </c>
      <c r="E339" s="775" t="s">
        <v>1449</v>
      </c>
      <c r="F339" s="775" t="s">
        <v>1450</v>
      </c>
      <c r="G339" s="775" t="s">
        <v>500</v>
      </c>
      <c r="H339" s="775" t="s">
        <v>1567</v>
      </c>
      <c r="I339" s="11"/>
    </row>
    <row r="340" spans="1:9">
      <c r="A340" s="11"/>
      <c r="B340" s="11"/>
      <c r="C340" s="11"/>
      <c r="D340" s="11" t="str">
        <f t="shared" si="16"/>
        <v>Bota de Bronce (3º máximo goleador)</v>
      </c>
      <c r="E340" s="775" t="s">
        <v>1375</v>
      </c>
      <c r="F340" s="775" t="s">
        <v>1458</v>
      </c>
      <c r="G340" s="775" t="s">
        <v>501</v>
      </c>
      <c r="H340" s="775" t="s">
        <v>1568</v>
      </c>
      <c r="I340" s="11"/>
    </row>
    <row r="341" spans="1:9">
      <c r="A341" s="11"/>
      <c r="B341" s="11"/>
      <c r="C341" s="11"/>
      <c r="D341" s="11" t="str">
        <f t="shared" si="16"/>
        <v>Balón de Oro  (mejor jugador)</v>
      </c>
      <c r="E341" s="775" t="s">
        <v>1375</v>
      </c>
      <c r="F341" s="775" t="s">
        <v>1453</v>
      </c>
      <c r="G341" s="775" t="s">
        <v>502</v>
      </c>
      <c r="H341" s="775" t="s">
        <v>1569</v>
      </c>
      <c r="I341" s="11"/>
    </row>
    <row r="342" spans="1:9">
      <c r="A342" s="11"/>
      <c r="B342" s="11"/>
      <c r="C342" s="11"/>
      <c r="D342" s="11" t="str">
        <f t="shared" si="16"/>
        <v>Balón de Plata (2º mejor jugador)</v>
      </c>
      <c r="E342" s="775" t="s">
        <v>1449</v>
      </c>
      <c r="F342" s="775" t="s">
        <v>1456</v>
      </c>
      <c r="G342" s="775" t="s">
        <v>503</v>
      </c>
      <c r="H342" s="775" t="s">
        <v>1570</v>
      </c>
      <c r="I342" s="11"/>
    </row>
    <row r="343" spans="1:9">
      <c r="A343" s="11"/>
      <c r="B343" s="11"/>
      <c r="C343" s="11"/>
      <c r="D343" s="11" t="str">
        <f t="shared" si="16"/>
        <v>Balón de Bronce (3º mejor jugador)</v>
      </c>
      <c r="E343" s="775" t="s">
        <v>1375</v>
      </c>
      <c r="F343" s="775" t="s">
        <v>1458</v>
      </c>
      <c r="G343" s="775" t="s">
        <v>504</v>
      </c>
      <c r="H343" s="775" t="s">
        <v>1571</v>
      </c>
      <c r="I343" s="11"/>
    </row>
    <row r="344" spans="1:9">
      <c r="A344" s="11"/>
      <c r="B344" s="11"/>
      <c r="C344" s="11"/>
      <c r="D344" s="11" t="str">
        <f t="shared" si="16"/>
        <v>Fase de grupos</v>
      </c>
      <c r="E344" s="775" t="s">
        <v>1449</v>
      </c>
      <c r="F344" s="775" t="s">
        <v>1461</v>
      </c>
      <c r="G344" s="775" t="s">
        <v>1243</v>
      </c>
      <c r="H344" s="775" t="s">
        <v>1442</v>
      </c>
      <c r="I344" s="11"/>
    </row>
    <row r="345" spans="1:9">
      <c r="A345" s="11"/>
      <c r="B345" s="11"/>
      <c r="C345" s="11"/>
      <c r="D345" s="11" t="str">
        <f t="shared" si="16"/>
        <v>Posición grupos</v>
      </c>
      <c r="E345" s="775" t="s">
        <v>1375</v>
      </c>
      <c r="F345" s="775" t="s">
        <v>1463</v>
      </c>
      <c r="G345" s="775" t="s">
        <v>1444</v>
      </c>
      <c r="H345" s="775" t="s">
        <v>1445</v>
      </c>
      <c r="I345" s="11"/>
    </row>
    <row r="346" spans="1:9">
      <c r="A346" s="11"/>
      <c r="B346" s="11"/>
      <c r="C346" s="11"/>
      <c r="D346" s="11" t="str">
        <f t="shared" si="16"/>
        <v>CLASIFICADOS PARA PLAYOFFS</v>
      </c>
      <c r="E346" s="775" t="s">
        <v>1449</v>
      </c>
      <c r="F346" s="775" t="s">
        <v>1466</v>
      </c>
      <c r="G346" s="775" t="s">
        <v>1521</v>
      </c>
      <c r="H346" s="775" t="s">
        <v>1522</v>
      </c>
      <c r="I346" s="11"/>
    </row>
    <row r="347" spans="1:9">
      <c r="A347" s="11"/>
      <c r="B347" s="11"/>
      <c r="C347" s="11"/>
      <c r="D347" s="11" t="str">
        <f t="shared" si="16"/>
        <v>CLASIFICADOS PARA OCTAVOS (Desde Fase Liga)</v>
      </c>
      <c r="E347" s="775" t="s">
        <v>1375</v>
      </c>
      <c r="F347" s="775" t="s">
        <v>1468</v>
      </c>
      <c r="G347" s="775" t="s">
        <v>1523</v>
      </c>
      <c r="H347" s="775" t="s">
        <v>1524</v>
      </c>
      <c r="I347" s="11"/>
    </row>
    <row r="348" spans="1:9">
      <c r="A348" s="11"/>
      <c r="B348" s="11"/>
      <c r="C348" s="11"/>
      <c r="D348" s="11" t="str">
        <f t="shared" si="16"/>
        <v>CLASIFICADOS PARA OCTAVOS (DESDE PLAYOFFS)</v>
      </c>
      <c r="E348" s="775" t="s">
        <v>1375</v>
      </c>
      <c r="F348" s="775" t="s">
        <v>1470</v>
      </c>
      <c r="G348" s="775" t="s">
        <v>1525</v>
      </c>
      <c r="H348" s="775" t="s">
        <v>1526</v>
      </c>
      <c r="I348" s="11"/>
    </row>
    <row r="349" spans="1:9">
      <c r="A349" s="11"/>
      <c r="B349" s="11"/>
      <c r="C349" s="11"/>
      <c r="D349" s="11" t="str">
        <f t="shared" si="16"/>
        <v>Clasificados para Octavos de Final</v>
      </c>
      <c r="E349" s="775" t="s">
        <v>1375</v>
      </c>
      <c r="F349" s="775" t="s">
        <v>1471</v>
      </c>
      <c r="G349" s="775" t="s">
        <v>1447</v>
      </c>
      <c r="H349" s="775" t="s">
        <v>1448</v>
      </c>
      <c r="I349" s="11"/>
    </row>
    <row r="350" spans="1:9">
      <c r="A350" s="11"/>
      <c r="B350" s="11"/>
      <c r="C350" s="11"/>
      <c r="D350" s="11" t="str">
        <f t="shared" si="16"/>
        <v>Enfrentamientos Octavos de Final</v>
      </c>
      <c r="E350" s="775" t="s">
        <v>1375</v>
      </c>
      <c r="F350" s="775" t="s">
        <v>1472</v>
      </c>
      <c r="G350" s="775" t="s">
        <v>1451</v>
      </c>
      <c r="H350" s="775" t="s">
        <v>1452</v>
      </c>
      <c r="I350" s="11"/>
    </row>
    <row r="351" spans="1:9">
      <c r="A351" s="11"/>
      <c r="B351" s="11"/>
      <c r="C351" s="11"/>
      <c r="D351" s="11" t="str">
        <f t="shared" si="16"/>
        <v>Clasificados para Cuartos de Final</v>
      </c>
      <c r="E351" s="775" t="s">
        <v>1375</v>
      </c>
      <c r="F351" s="775" t="s">
        <v>1474</v>
      </c>
      <c r="G351" s="775" t="s">
        <v>1454</v>
      </c>
      <c r="H351" s="775" t="s">
        <v>1527</v>
      </c>
      <c r="I351" s="11"/>
    </row>
    <row r="352" spans="1:9">
      <c r="A352" s="11"/>
      <c r="B352" s="11"/>
      <c r="C352" s="11"/>
      <c r="D352" s="11" t="str">
        <f t="shared" si="16"/>
        <v>Clasificados para Cuartos de Final</v>
      </c>
      <c r="E352" s="775" t="s">
        <v>1375</v>
      </c>
      <c r="F352" s="775" t="s">
        <v>28</v>
      </c>
      <c r="G352" s="775" t="s">
        <v>1454</v>
      </c>
      <c r="H352" s="775" t="s">
        <v>1455</v>
      </c>
      <c r="I352" s="11"/>
    </row>
    <row r="353" spans="1:9">
      <c r="A353" s="11"/>
      <c r="B353" s="11"/>
      <c r="C353" s="11"/>
      <c r="D353" s="11" t="str">
        <f t="shared" si="16"/>
        <v>Enfrentamientos Cuartos de Final</v>
      </c>
      <c r="E353" s="775" t="s">
        <v>1375</v>
      </c>
      <c r="F353" s="775"/>
      <c r="G353" s="775" t="s">
        <v>1457</v>
      </c>
      <c r="H353" s="775" t="s">
        <v>219</v>
      </c>
      <c r="I353" s="11"/>
    </row>
    <row r="354" spans="1:9">
      <c r="A354" s="11"/>
      <c r="B354" s="11"/>
      <c r="C354" s="11"/>
      <c r="D354" s="11" t="str">
        <f t="shared" si="16"/>
        <v>Clasificados para Semifinales</v>
      </c>
      <c r="E354" s="775" t="s">
        <v>1375</v>
      </c>
      <c r="F354" s="775"/>
      <c r="G354" s="775" t="s">
        <v>1459</v>
      </c>
      <c r="H354" s="775" t="s">
        <v>1460</v>
      </c>
      <c r="I354" s="11"/>
    </row>
    <row r="355" spans="1:9">
      <c r="A355" s="11"/>
      <c r="B355" s="11"/>
      <c r="C355" s="11"/>
      <c r="D355" s="11" t="str">
        <f t="shared" si="16"/>
        <v>Enfrentamientos Semifinales</v>
      </c>
      <c r="E355" s="775" t="s">
        <v>1375</v>
      </c>
      <c r="F355" s="775"/>
      <c r="G355" s="775" t="s">
        <v>1462</v>
      </c>
      <c r="H355" s="775" t="s">
        <v>220</v>
      </c>
      <c r="I355" s="11"/>
    </row>
    <row r="356" spans="1:9">
      <c r="A356" s="11"/>
      <c r="B356" s="11"/>
      <c r="C356" s="11"/>
      <c r="D356" s="11" t="str">
        <f t="shared" si="16"/>
        <v>Clasificados para la Final</v>
      </c>
      <c r="E356" s="775" t="s">
        <v>1375</v>
      </c>
      <c r="F356" s="775"/>
      <c r="G356" s="775" t="s">
        <v>1464</v>
      </c>
      <c r="H356" s="775" t="s">
        <v>1465</v>
      </c>
      <c r="I356" s="11"/>
    </row>
    <row r="357" spans="1:9">
      <c r="A357" s="11"/>
      <c r="B357" s="11"/>
      <c r="C357" s="11"/>
      <c r="D357" s="11" t="str">
        <f t="shared" si="16"/>
        <v>Partido Final</v>
      </c>
      <c r="E357" s="775" t="s">
        <v>1375</v>
      </c>
      <c r="F357" s="775"/>
      <c r="G357" s="775" t="s">
        <v>1467</v>
      </c>
      <c r="H357" s="775" t="s">
        <v>37</v>
      </c>
      <c r="I357" s="11"/>
    </row>
    <row r="358" spans="1:9">
      <c r="A358" s="11"/>
      <c r="B358" s="11"/>
      <c r="C358" s="11"/>
      <c r="D358" s="11" t="str">
        <f t="shared" si="16"/>
        <v>Cuadro de honor</v>
      </c>
      <c r="E358" s="775" t="s">
        <v>1375</v>
      </c>
      <c r="F358" s="775"/>
      <c r="G358" s="775" t="s">
        <v>1310</v>
      </c>
      <c r="H358" s="775" t="s">
        <v>1469</v>
      </c>
      <c r="I358" s="11"/>
    </row>
    <row r="359" spans="1:9">
      <c r="A359" s="11"/>
      <c r="B359" s="11"/>
      <c r="C359" s="11"/>
      <c r="D359" s="11" t="str">
        <f t="shared" si="16"/>
        <v>Campeón</v>
      </c>
      <c r="E359" s="775" t="s">
        <v>1375</v>
      </c>
      <c r="F359" s="775"/>
      <c r="G359" s="775" t="s">
        <v>18</v>
      </c>
      <c r="H359" s="775" t="s">
        <v>222</v>
      </c>
      <c r="I359" s="11"/>
    </row>
    <row r="360" spans="1:9">
      <c r="A360" s="11"/>
      <c r="B360" s="11"/>
      <c r="C360" s="11"/>
      <c r="D360" s="11" t="str">
        <f t="shared" si="16"/>
        <v>Subcampeón</v>
      </c>
      <c r="E360" s="775" t="s">
        <v>1375</v>
      </c>
      <c r="F360" s="775"/>
      <c r="G360" s="775" t="s">
        <v>19</v>
      </c>
      <c r="H360" s="775" t="s">
        <v>223</v>
      </c>
      <c r="I360" s="11"/>
    </row>
    <row r="361" spans="1:9">
      <c r="A361" s="11"/>
      <c r="B361" s="11"/>
      <c r="C361" s="11"/>
      <c r="D361" s="11" t="str">
        <f t="shared" si="16"/>
        <v>Goleador del torneo</v>
      </c>
      <c r="E361" s="775" t="s">
        <v>1375</v>
      </c>
      <c r="F361" s="775"/>
      <c r="G361" s="775" t="s">
        <v>1438</v>
      </c>
      <c r="H361" s="775" t="s">
        <v>1473</v>
      </c>
      <c r="I361" s="11"/>
    </row>
    <row r="362" spans="1:9">
      <c r="A362" s="11"/>
      <c r="B362" s="11"/>
      <c r="C362" s="11"/>
      <c r="D362" s="11" t="str">
        <f t="shared" si="16"/>
        <v>Mejor jugador del torneo</v>
      </c>
      <c r="E362" s="775" t="s">
        <v>1375</v>
      </c>
      <c r="F362" s="775"/>
      <c r="G362" s="775" t="s">
        <v>1440</v>
      </c>
      <c r="H362" s="775" t="s">
        <v>1475</v>
      </c>
      <c r="I362" s="11"/>
    </row>
    <row r="363" spans="1:9">
      <c r="A363" s="11"/>
      <c r="B363" s="11"/>
      <c r="C363" s="11"/>
      <c r="D363" s="11" t="str">
        <f t="shared" si="16"/>
        <v>Pegar Valores Nombre J</v>
      </c>
      <c r="E363" s="775" t="s">
        <v>1375</v>
      </c>
      <c r="F363" s="775"/>
      <c r="G363" s="775" t="s">
        <v>1925</v>
      </c>
      <c r="H363" s="775" t="s">
        <v>1926</v>
      </c>
      <c r="I363" s="11"/>
    </row>
    <row r="364" spans="1:9">
      <c r="A364" s="11"/>
      <c r="B364" s="11"/>
      <c r="C364" s="11"/>
      <c r="D364" s="11" t="str">
        <f t="shared" ref="D364:D423" si="17">IF($B$2,G364,H364)</f>
        <v>Pegar Valores (J1)</v>
      </c>
      <c r="E364" s="775" t="s">
        <v>1375</v>
      </c>
      <c r="F364" s="775"/>
      <c r="G364" s="775" t="s">
        <v>1476</v>
      </c>
      <c r="H364" s="775" t="s">
        <v>1477</v>
      </c>
      <c r="I364" s="11"/>
    </row>
    <row r="365" spans="1:9">
      <c r="A365" s="11"/>
      <c r="B365" s="11"/>
      <c r="C365" s="11"/>
      <c r="D365" s="11" t="str">
        <f t="shared" si="17"/>
        <v>Pegar Valores (J2)</v>
      </c>
      <c r="E365" s="775" t="s">
        <v>1375</v>
      </c>
      <c r="F365" s="775"/>
      <c r="G365" s="775" t="s">
        <v>1478</v>
      </c>
      <c r="H365" s="775" t="s">
        <v>1479</v>
      </c>
      <c r="I365" s="11"/>
    </row>
    <row r="366" spans="1:9">
      <c r="A366" s="11"/>
      <c r="B366" s="11"/>
      <c r="C366" s="11"/>
      <c r="D366" s="11" t="str">
        <f t="shared" si="17"/>
        <v>Pegar Valores (J3)</v>
      </c>
      <c r="E366" s="775" t="s">
        <v>1375</v>
      </c>
      <c r="F366" s="775"/>
      <c r="G366" s="775" t="s">
        <v>1480</v>
      </c>
      <c r="H366" s="775" t="s">
        <v>1481</v>
      </c>
      <c r="I366" s="11"/>
    </row>
    <row r="367" spans="1:9">
      <c r="A367" s="11"/>
      <c r="B367" s="11"/>
      <c r="C367" s="11"/>
      <c r="D367" s="11" t="str">
        <f t="shared" si="17"/>
        <v>Pegar Valores Dieciseisavos</v>
      </c>
      <c r="E367" s="775" t="s">
        <v>1375</v>
      </c>
      <c r="F367" s="775" t="s">
        <v>1488</v>
      </c>
      <c r="G367" s="775" t="s">
        <v>1583</v>
      </c>
      <c r="H367" s="775" t="s">
        <v>1584</v>
      </c>
      <c r="I367" s="11"/>
    </row>
    <row r="368" spans="1:9">
      <c r="A368" s="11"/>
      <c r="B368" s="11"/>
      <c r="C368" s="11"/>
      <c r="D368" s="11" t="str">
        <f t="shared" si="17"/>
        <v>Pegar Valores Octavos</v>
      </c>
      <c r="E368" s="775" t="s">
        <v>1375</v>
      </c>
      <c r="F368" s="775" t="s">
        <v>1489</v>
      </c>
      <c r="G368" s="775" t="s">
        <v>1482</v>
      </c>
      <c r="H368" s="775" t="s">
        <v>1483</v>
      </c>
      <c r="I368" s="11"/>
    </row>
    <row r="369" spans="1:9">
      <c r="A369" s="11"/>
      <c r="B369" s="11"/>
      <c r="C369" s="11"/>
      <c r="D369" s="11" t="str">
        <f t="shared" si="17"/>
        <v>Pegar valores Cuartos</v>
      </c>
      <c r="E369" s="775" t="s">
        <v>1375</v>
      </c>
      <c r="F369" s="775" t="s">
        <v>1490</v>
      </c>
      <c r="G369" s="775" t="s">
        <v>1484</v>
      </c>
      <c r="H369" s="775" t="s">
        <v>1485</v>
      </c>
      <c r="I369" s="11"/>
    </row>
    <row r="370" spans="1:9">
      <c r="A370" s="11"/>
      <c r="B370" s="11"/>
      <c r="C370" s="11"/>
      <c r="D370" s="11" t="str">
        <f t="shared" si="17"/>
        <v>Pegar valores Semifinales</v>
      </c>
      <c r="E370" s="775" t="s">
        <v>1375</v>
      </c>
      <c r="F370" s="775" t="s">
        <v>1491</v>
      </c>
      <c r="G370" s="775" t="s">
        <v>1486</v>
      </c>
      <c r="H370" s="775" t="s">
        <v>1487</v>
      </c>
      <c r="I370" s="11"/>
    </row>
    <row r="371" spans="1:9">
      <c r="A371" s="11"/>
      <c r="B371" s="11"/>
      <c r="C371" s="11"/>
      <c r="D371" s="11" t="str">
        <f t="shared" si="17"/>
        <v>Pegar valores 3º-4º puesto y Final</v>
      </c>
      <c r="E371" s="775" t="s">
        <v>1375</v>
      </c>
      <c r="F371" s="775" t="s">
        <v>1492</v>
      </c>
      <c r="G371" s="775" t="s">
        <v>1585</v>
      </c>
      <c r="H371" s="775" t="s">
        <v>1586</v>
      </c>
      <c r="I371" s="11"/>
    </row>
    <row r="372" spans="1:9">
      <c r="A372" s="11"/>
      <c r="B372" s="11"/>
      <c r="C372" s="11"/>
      <c r="D372" s="11" t="str">
        <f t="shared" si="17"/>
        <v>Pegar valores Predictor</v>
      </c>
      <c r="E372" s="775" t="s">
        <v>1375</v>
      </c>
      <c r="F372" s="775" t="s">
        <v>1493</v>
      </c>
      <c r="G372" s="775" t="s">
        <v>1528</v>
      </c>
      <c r="H372" s="775" t="s">
        <v>1529</v>
      </c>
      <c r="I372" s="11"/>
    </row>
    <row r="373" spans="1:9">
      <c r="A373" s="11"/>
      <c r="B373" s="11"/>
      <c r="C373" s="11"/>
      <c r="D373" s="11" t="str">
        <f t="shared" si="17"/>
        <v>Pegar Valores Cuadro de Honor</v>
      </c>
      <c r="E373" s="775"/>
      <c r="F373" s="775"/>
      <c r="G373" s="775" t="s">
        <v>1587</v>
      </c>
      <c r="H373" s="775" t="s">
        <v>1588</v>
      </c>
      <c r="I373" s="11"/>
    </row>
    <row r="374" spans="1:9">
      <c r="A374" s="11"/>
      <c r="B374" s="11"/>
      <c r="C374" s="11"/>
      <c r="D374" s="11" t="str">
        <f t="shared" si="17"/>
        <v>1º GRUPO A</v>
      </c>
      <c r="E374" s="775" t="s">
        <v>1375</v>
      </c>
      <c r="F374" s="775" t="s">
        <v>1494</v>
      </c>
      <c r="G374" s="775" t="s">
        <v>45</v>
      </c>
      <c r="H374" s="775" t="s">
        <v>377</v>
      </c>
      <c r="I374" s="11"/>
    </row>
    <row r="375" spans="1:9">
      <c r="A375" s="11"/>
      <c r="B375" s="11"/>
      <c r="C375" s="11"/>
      <c r="D375" s="11" t="str">
        <f t="shared" si="17"/>
        <v>2º GRUPO A</v>
      </c>
      <c r="E375" s="775" t="s">
        <v>1375</v>
      </c>
      <c r="F375" s="775" t="s">
        <v>1495</v>
      </c>
      <c r="G375" s="775" t="s">
        <v>46</v>
      </c>
      <c r="H375" s="775" t="s">
        <v>378</v>
      </c>
      <c r="I375" s="11"/>
    </row>
    <row r="376" spans="1:9">
      <c r="A376" s="11"/>
      <c r="B376" s="11"/>
      <c r="C376" s="11"/>
      <c r="D376" s="11" t="str">
        <f t="shared" si="17"/>
        <v>3º GRUPO A</v>
      </c>
      <c r="E376" s="775" t="s">
        <v>1375</v>
      </c>
      <c r="F376" s="775" t="s">
        <v>1496</v>
      </c>
      <c r="G376" s="775" t="s">
        <v>47</v>
      </c>
      <c r="H376" s="775" t="s">
        <v>379</v>
      </c>
      <c r="I376" s="11"/>
    </row>
    <row r="377" spans="1:9">
      <c r="A377" s="11"/>
      <c r="B377" s="11"/>
      <c r="C377" s="11"/>
      <c r="D377" s="11" t="str">
        <f t="shared" si="17"/>
        <v>4º GRUPO A</v>
      </c>
      <c r="E377" s="775" t="s">
        <v>1375</v>
      </c>
      <c r="F377" s="775" t="s">
        <v>1497</v>
      </c>
      <c r="G377" s="775" t="s">
        <v>48</v>
      </c>
      <c r="H377" s="775" t="s">
        <v>380</v>
      </c>
      <c r="I377" s="11"/>
    </row>
    <row r="378" spans="1:9">
      <c r="A378" s="11"/>
      <c r="B378" s="11"/>
      <c r="C378" s="11"/>
      <c r="D378" s="11" t="str">
        <f t="shared" si="17"/>
        <v>1º GRUPO B</v>
      </c>
      <c r="E378" s="775" t="s">
        <v>1375</v>
      </c>
      <c r="F378" s="775" t="s">
        <v>1498</v>
      </c>
      <c r="G378" s="775" t="s">
        <v>49</v>
      </c>
      <c r="H378" s="775" t="s">
        <v>381</v>
      </c>
      <c r="I378" s="11"/>
    </row>
    <row r="379" spans="1:9">
      <c r="A379" s="11"/>
      <c r="B379" s="11"/>
      <c r="C379" s="11"/>
      <c r="D379" s="11" t="str">
        <f t="shared" si="17"/>
        <v>2º GRUPO B</v>
      </c>
      <c r="E379" s="775" t="s">
        <v>1375</v>
      </c>
      <c r="F379" s="775" t="s">
        <v>1499</v>
      </c>
      <c r="G379" s="775" t="s">
        <v>50</v>
      </c>
      <c r="H379" s="775" t="s">
        <v>382</v>
      </c>
      <c r="I379" s="11"/>
    </row>
    <row r="380" spans="1:9">
      <c r="A380" s="11"/>
      <c r="B380" s="11"/>
      <c r="C380" s="11"/>
      <c r="D380" s="11" t="str">
        <f t="shared" si="17"/>
        <v>3º GRUPO B</v>
      </c>
      <c r="E380" s="775" t="s">
        <v>1375</v>
      </c>
      <c r="F380" s="775" t="s">
        <v>1500</v>
      </c>
      <c r="G380" s="775" t="s">
        <v>51</v>
      </c>
      <c r="H380" s="775" t="s">
        <v>383</v>
      </c>
      <c r="I380" s="11"/>
    </row>
    <row r="381" spans="1:9">
      <c r="A381" s="11"/>
      <c r="B381" s="11"/>
      <c r="C381" s="11"/>
      <c r="D381" s="11" t="str">
        <f t="shared" si="17"/>
        <v>4º GRUPO B</v>
      </c>
      <c r="E381" s="775" t="s">
        <v>1375</v>
      </c>
      <c r="F381" s="775" t="s">
        <v>1501</v>
      </c>
      <c r="G381" s="775" t="s">
        <v>52</v>
      </c>
      <c r="H381" s="775" t="s">
        <v>384</v>
      </c>
      <c r="I381" s="11"/>
    </row>
    <row r="382" spans="1:9">
      <c r="A382" s="11"/>
      <c r="B382" s="11"/>
      <c r="C382" s="11"/>
      <c r="D382" s="11" t="str">
        <f t="shared" si="17"/>
        <v>1º GRUPO C</v>
      </c>
      <c r="E382" s="775" t="s">
        <v>1375</v>
      </c>
      <c r="F382" s="775" t="s">
        <v>1502</v>
      </c>
      <c r="G382" s="775" t="s">
        <v>53</v>
      </c>
      <c r="H382" s="775" t="s">
        <v>385</v>
      </c>
      <c r="I382" s="11"/>
    </row>
    <row r="383" spans="1:9">
      <c r="A383" s="11"/>
      <c r="B383" s="11"/>
      <c r="C383" s="11"/>
      <c r="D383" s="11" t="str">
        <f t="shared" si="17"/>
        <v>2º GRUPO C</v>
      </c>
      <c r="E383" s="775" t="s">
        <v>1375</v>
      </c>
      <c r="F383" s="775" t="s">
        <v>1503</v>
      </c>
      <c r="G383" s="775" t="s">
        <v>54</v>
      </c>
      <c r="H383" s="775" t="s">
        <v>386</v>
      </c>
      <c r="I383" s="11"/>
    </row>
    <row r="384" spans="1:9">
      <c r="A384" s="11"/>
      <c r="B384" s="11"/>
      <c r="C384" s="11"/>
      <c r="D384" s="11" t="str">
        <f t="shared" si="17"/>
        <v>3º GRUPO C</v>
      </c>
      <c r="E384" s="775" t="s">
        <v>1375</v>
      </c>
      <c r="F384" s="775" t="s">
        <v>1504</v>
      </c>
      <c r="G384" s="775" t="s">
        <v>55</v>
      </c>
      <c r="H384" s="775" t="s">
        <v>387</v>
      </c>
      <c r="I384" s="11"/>
    </row>
    <row r="385" spans="1:9">
      <c r="A385" s="11"/>
      <c r="B385" s="11"/>
      <c r="C385" s="11"/>
      <c r="D385" s="11" t="str">
        <f t="shared" si="17"/>
        <v>4º GRUPO C</v>
      </c>
      <c r="E385" s="775" t="s">
        <v>1375</v>
      </c>
      <c r="F385" s="775" t="s">
        <v>1505</v>
      </c>
      <c r="G385" s="775" t="s">
        <v>56</v>
      </c>
      <c r="H385" s="775" t="s">
        <v>388</v>
      </c>
      <c r="I385" s="11"/>
    </row>
    <row r="386" spans="1:9">
      <c r="A386" s="11"/>
      <c r="B386" s="11"/>
      <c r="C386" s="11"/>
      <c r="D386" s="11" t="str">
        <f t="shared" si="17"/>
        <v>1º GRUPO D</v>
      </c>
      <c r="E386" s="775" t="s">
        <v>1375</v>
      </c>
      <c r="F386" s="775" t="s">
        <v>1506</v>
      </c>
      <c r="G386" s="775" t="s">
        <v>96</v>
      </c>
      <c r="H386" s="775" t="s">
        <v>389</v>
      </c>
      <c r="I386" s="11"/>
    </row>
    <row r="387" spans="1:9">
      <c r="A387" s="11"/>
      <c r="B387" s="11"/>
      <c r="C387" s="11"/>
      <c r="D387" s="11" t="str">
        <f t="shared" si="17"/>
        <v>2º GRUPO D</v>
      </c>
      <c r="E387" s="775" t="s">
        <v>1375</v>
      </c>
      <c r="F387" s="775" t="s">
        <v>1507</v>
      </c>
      <c r="G387" s="775" t="s">
        <v>97</v>
      </c>
      <c r="H387" s="775" t="s">
        <v>390</v>
      </c>
      <c r="I387" s="11"/>
    </row>
    <row r="388" spans="1:9">
      <c r="A388" s="11"/>
      <c r="B388" s="11"/>
      <c r="C388" s="11"/>
      <c r="D388" s="11" t="str">
        <f t="shared" si="17"/>
        <v>3º GRUPO D</v>
      </c>
      <c r="E388" s="775" t="s">
        <v>1375</v>
      </c>
      <c r="F388" s="775" t="s">
        <v>1508</v>
      </c>
      <c r="G388" s="775" t="s">
        <v>98</v>
      </c>
      <c r="H388" s="775" t="s">
        <v>391</v>
      </c>
      <c r="I388" s="11"/>
    </row>
    <row r="389" spans="1:9">
      <c r="A389" s="11"/>
      <c r="B389" s="11"/>
      <c r="C389" s="11"/>
      <c r="D389" s="11" t="str">
        <f t="shared" si="17"/>
        <v>4º GRUPO D</v>
      </c>
      <c r="E389" s="775" t="s">
        <v>1375</v>
      </c>
      <c r="F389" s="775" t="s">
        <v>1509</v>
      </c>
      <c r="G389" s="775" t="s">
        <v>99</v>
      </c>
      <c r="H389" s="775" t="s">
        <v>392</v>
      </c>
      <c r="I389" s="11"/>
    </row>
    <row r="390" spans="1:9">
      <c r="A390" s="11"/>
      <c r="B390" s="11"/>
      <c r="C390" s="11"/>
      <c r="D390" s="11" t="str">
        <f t="shared" si="17"/>
        <v>1º GRUPO E</v>
      </c>
      <c r="E390" s="775" t="s">
        <v>1375</v>
      </c>
      <c r="F390" s="775" t="s">
        <v>1510</v>
      </c>
      <c r="G390" s="775" t="s">
        <v>100</v>
      </c>
      <c r="H390" s="775" t="s">
        <v>393</v>
      </c>
      <c r="I390" s="11"/>
    </row>
    <row r="391" spans="1:9">
      <c r="A391" s="11"/>
      <c r="B391" s="11"/>
      <c r="C391" s="11"/>
      <c r="D391" s="11" t="str">
        <f t="shared" si="17"/>
        <v>2º GRUPO E</v>
      </c>
      <c r="E391" s="775" t="s">
        <v>1375</v>
      </c>
      <c r="F391" s="775" t="s">
        <v>1511</v>
      </c>
      <c r="G391" s="775" t="s">
        <v>101</v>
      </c>
      <c r="H391" s="775" t="s">
        <v>394</v>
      </c>
      <c r="I391" s="11"/>
    </row>
    <row r="392" spans="1:9">
      <c r="A392" s="11"/>
      <c r="B392" s="11"/>
      <c r="C392" s="11"/>
      <c r="D392" s="11" t="str">
        <f t="shared" si="17"/>
        <v>3º GRUPO E</v>
      </c>
      <c r="E392" s="775" t="s">
        <v>1375</v>
      </c>
      <c r="F392" s="775" t="s">
        <v>1512</v>
      </c>
      <c r="G392" s="775" t="s">
        <v>102</v>
      </c>
      <c r="H392" s="775" t="s">
        <v>395</v>
      </c>
      <c r="I392" s="11"/>
    </row>
    <row r="393" spans="1:9">
      <c r="A393" s="11"/>
      <c r="B393" s="11"/>
      <c r="C393" s="11"/>
      <c r="D393" s="11" t="str">
        <f t="shared" si="17"/>
        <v>4º GRUPO E</v>
      </c>
      <c r="E393" s="775" t="s">
        <v>1375</v>
      </c>
      <c r="F393" s="775" t="s">
        <v>1513</v>
      </c>
      <c r="G393" s="775" t="s">
        <v>103</v>
      </c>
      <c r="H393" s="775" t="s">
        <v>396</v>
      </c>
      <c r="I393" s="11"/>
    </row>
    <row r="394" spans="1:9">
      <c r="A394" s="11"/>
      <c r="B394" s="11"/>
      <c r="C394" s="11"/>
      <c r="D394" s="11" t="str">
        <f t="shared" si="17"/>
        <v>1º GRUPO F</v>
      </c>
      <c r="E394" s="775" t="s">
        <v>1375</v>
      </c>
      <c r="F394" s="775" t="s">
        <v>1514</v>
      </c>
      <c r="G394" s="775" t="s">
        <v>104</v>
      </c>
      <c r="H394" s="775" t="s">
        <v>397</v>
      </c>
      <c r="I394" s="11"/>
    </row>
    <row r="395" spans="1:9">
      <c r="A395" s="11"/>
      <c r="B395" s="11"/>
      <c r="C395" s="11"/>
      <c r="D395" s="11" t="str">
        <f t="shared" si="17"/>
        <v>2º GRUPO F</v>
      </c>
      <c r="E395" s="775" t="s">
        <v>1375</v>
      </c>
      <c r="F395" s="775" t="s">
        <v>1515</v>
      </c>
      <c r="G395" s="775" t="s">
        <v>105</v>
      </c>
      <c r="H395" s="775" t="s">
        <v>398</v>
      </c>
      <c r="I395" s="11"/>
    </row>
    <row r="396" spans="1:9">
      <c r="A396" s="11"/>
      <c r="B396" s="11"/>
      <c r="C396" s="11"/>
      <c r="D396" s="11" t="str">
        <f t="shared" si="17"/>
        <v>3º GRUPO F</v>
      </c>
      <c r="E396" s="775" t="s">
        <v>1375</v>
      </c>
      <c r="F396" s="775"/>
      <c r="G396" s="775" t="s">
        <v>106</v>
      </c>
      <c r="H396" s="775" t="s">
        <v>399</v>
      </c>
      <c r="I396" s="11"/>
    </row>
    <row r="397" spans="1:9">
      <c r="A397" s="11"/>
      <c r="B397" s="11"/>
      <c r="C397" s="11"/>
      <c r="D397" s="11" t="str">
        <f t="shared" si="17"/>
        <v>4º GRUPO F</v>
      </c>
      <c r="E397" s="775" t="s">
        <v>1375</v>
      </c>
      <c r="F397" s="775"/>
      <c r="G397" s="775" t="s">
        <v>107</v>
      </c>
      <c r="H397" s="775" t="s">
        <v>400</v>
      </c>
      <c r="I397" s="11"/>
    </row>
    <row r="398" spans="1:9">
      <c r="A398" s="11"/>
      <c r="B398" s="11"/>
      <c r="C398" s="11"/>
      <c r="D398" s="11" t="str">
        <f t="shared" si="17"/>
        <v>1º GRUPO G</v>
      </c>
      <c r="E398" s="775" t="s">
        <v>1375</v>
      </c>
      <c r="F398" s="775"/>
      <c r="G398" s="775" t="s">
        <v>516</v>
      </c>
      <c r="H398" s="775" t="s">
        <v>520</v>
      </c>
      <c r="I398" s="11"/>
    </row>
    <row r="399" spans="1:9">
      <c r="A399" s="11"/>
      <c r="B399" s="11"/>
      <c r="C399" s="11"/>
      <c r="D399" s="11" t="str">
        <f t="shared" si="17"/>
        <v>2º GRUPO G</v>
      </c>
      <c r="E399" s="775" t="s">
        <v>1375</v>
      </c>
      <c r="F399" s="775"/>
      <c r="G399" s="775" t="s">
        <v>517</v>
      </c>
      <c r="H399" s="775" t="s">
        <v>521</v>
      </c>
      <c r="I399" s="11"/>
    </row>
    <row r="400" spans="1:9">
      <c r="A400" s="11"/>
      <c r="B400" s="11"/>
      <c r="C400" s="11"/>
      <c r="D400" s="11" t="str">
        <f t="shared" si="17"/>
        <v>3º GRUPO G</v>
      </c>
      <c r="E400" s="775" t="s">
        <v>1375</v>
      </c>
      <c r="F400" s="775"/>
      <c r="G400" s="775" t="s">
        <v>518</v>
      </c>
      <c r="H400" s="775" t="s">
        <v>522</v>
      </c>
      <c r="I400" s="11"/>
    </row>
    <row r="401" spans="1:9">
      <c r="A401" s="11"/>
      <c r="B401" s="11"/>
      <c r="C401" s="11"/>
      <c r="D401" s="11" t="str">
        <f t="shared" si="17"/>
        <v>4º GRUPO G</v>
      </c>
      <c r="E401" s="775" t="s">
        <v>1375</v>
      </c>
      <c r="F401" s="775"/>
      <c r="G401" s="775" t="s">
        <v>519</v>
      </c>
      <c r="H401" s="775" t="s">
        <v>523</v>
      </c>
      <c r="I401" s="11"/>
    </row>
    <row r="402" spans="1:9">
      <c r="A402" s="11"/>
      <c r="B402" s="11"/>
      <c r="C402" s="11"/>
      <c r="D402" s="11" t="str">
        <f t="shared" si="17"/>
        <v>1º GRUPO H</v>
      </c>
      <c r="E402" s="775" t="s">
        <v>1375</v>
      </c>
      <c r="F402" s="775"/>
      <c r="G402" s="775" t="s">
        <v>524</v>
      </c>
      <c r="H402" s="775" t="s">
        <v>528</v>
      </c>
      <c r="I402" s="11"/>
    </row>
    <row r="403" spans="1:9">
      <c r="A403" s="11"/>
      <c r="B403" s="11"/>
      <c r="C403" s="11"/>
      <c r="D403" s="11" t="str">
        <f t="shared" si="17"/>
        <v>2º GRUPO H</v>
      </c>
      <c r="E403" s="775" t="s">
        <v>1375</v>
      </c>
      <c r="F403" s="11"/>
      <c r="G403" s="775" t="s">
        <v>525</v>
      </c>
      <c r="H403" s="775" t="s">
        <v>529</v>
      </c>
      <c r="I403" s="11"/>
    </row>
    <row r="404" spans="1:9">
      <c r="A404" s="11"/>
      <c r="B404" s="11"/>
      <c r="C404" s="11"/>
      <c r="D404" s="11" t="str">
        <f t="shared" si="17"/>
        <v>3º GRUPO H</v>
      </c>
      <c r="E404" s="775" t="s">
        <v>1375</v>
      </c>
      <c r="F404" s="11"/>
      <c r="G404" s="775" t="s">
        <v>526</v>
      </c>
      <c r="H404" s="775" t="s">
        <v>530</v>
      </c>
      <c r="I404" s="11"/>
    </row>
    <row r="405" spans="1:9">
      <c r="A405" s="11"/>
      <c r="B405" s="11"/>
      <c r="C405" s="11"/>
      <c r="D405" s="11" t="str">
        <f t="shared" si="17"/>
        <v>4º GRUPO H</v>
      </c>
      <c r="E405" s="775" t="s">
        <v>1375</v>
      </c>
      <c r="F405" s="11"/>
      <c r="G405" s="775" t="s">
        <v>527</v>
      </c>
      <c r="H405" s="775" t="s">
        <v>531</v>
      </c>
      <c r="I405" s="11"/>
    </row>
    <row r="406" spans="1:9">
      <c r="A406" s="11"/>
      <c r="B406" s="11"/>
      <c r="C406" s="11"/>
      <c r="D406" s="11" t="str">
        <f t="shared" si="17"/>
        <v>1º GRUPO I</v>
      </c>
      <c r="E406" s="775" t="s">
        <v>1375</v>
      </c>
      <c r="F406" s="11"/>
      <c r="G406" s="775" t="s">
        <v>532</v>
      </c>
      <c r="H406" s="775" t="s">
        <v>536</v>
      </c>
      <c r="I406" s="11"/>
    </row>
    <row r="407" spans="1:9">
      <c r="A407" s="11"/>
      <c r="B407" s="11"/>
      <c r="C407" s="11"/>
      <c r="D407" s="11" t="str">
        <f t="shared" si="17"/>
        <v>2º GRUPO I</v>
      </c>
      <c r="E407" s="775" t="s">
        <v>1375</v>
      </c>
      <c r="F407" s="11"/>
      <c r="G407" s="775" t="s">
        <v>533</v>
      </c>
      <c r="H407" s="775" t="s">
        <v>537</v>
      </c>
      <c r="I407" s="11"/>
    </row>
    <row r="408" spans="1:9">
      <c r="A408" s="11"/>
      <c r="B408" s="11"/>
      <c r="C408" s="11"/>
      <c r="D408" s="11" t="str">
        <f t="shared" si="17"/>
        <v>3º GRUPO I</v>
      </c>
      <c r="E408" s="775" t="s">
        <v>1375</v>
      </c>
      <c r="F408" s="11"/>
      <c r="G408" s="775" t="s">
        <v>534</v>
      </c>
      <c r="H408" s="775" t="s">
        <v>538</v>
      </c>
      <c r="I408" s="11"/>
    </row>
    <row r="409" spans="1:9">
      <c r="A409" s="11"/>
      <c r="B409" s="11"/>
      <c r="C409" s="11"/>
      <c r="D409" s="11" t="str">
        <f t="shared" si="17"/>
        <v>4º GRUPO I</v>
      </c>
      <c r="E409" s="775" t="s">
        <v>1375</v>
      </c>
      <c r="F409" s="11"/>
      <c r="G409" s="775" t="s">
        <v>535</v>
      </c>
      <c r="H409" s="775" t="s">
        <v>539</v>
      </c>
      <c r="I409" s="11"/>
    </row>
    <row r="410" spans="1:9">
      <c r="A410" s="11"/>
      <c r="B410" s="11"/>
      <c r="C410" s="11"/>
      <c r="D410" s="11" t="str">
        <f t="shared" si="17"/>
        <v>1º GRUPO J</v>
      </c>
      <c r="E410" s="775" t="s">
        <v>1375</v>
      </c>
      <c r="F410" s="11"/>
      <c r="G410" s="775" t="s">
        <v>540</v>
      </c>
      <c r="H410" s="775" t="s">
        <v>544</v>
      </c>
      <c r="I410" s="11"/>
    </row>
    <row r="411" spans="1:9">
      <c r="A411" s="11"/>
      <c r="B411" s="11"/>
      <c r="C411" s="11"/>
      <c r="D411" s="11" t="str">
        <f t="shared" si="17"/>
        <v>2º GRUPO J</v>
      </c>
      <c r="E411" s="775" t="s">
        <v>1375</v>
      </c>
      <c r="F411" s="11"/>
      <c r="G411" s="775" t="s">
        <v>541</v>
      </c>
      <c r="H411" s="775" t="s">
        <v>545</v>
      </c>
      <c r="I411" s="11"/>
    </row>
    <row r="412" spans="1:9">
      <c r="A412" s="11"/>
      <c r="B412" s="11"/>
      <c r="C412" s="11"/>
      <c r="D412" s="11" t="str">
        <f t="shared" si="17"/>
        <v>3º GRUPO J</v>
      </c>
      <c r="E412" s="775" t="s">
        <v>1375</v>
      </c>
      <c r="F412" s="11"/>
      <c r="G412" s="775" t="s">
        <v>542</v>
      </c>
      <c r="H412" s="775" t="s">
        <v>546</v>
      </c>
      <c r="I412" s="11"/>
    </row>
    <row r="413" spans="1:9">
      <c r="A413" s="11"/>
      <c r="B413" s="11"/>
      <c r="C413" s="11"/>
      <c r="D413" s="11" t="str">
        <f t="shared" si="17"/>
        <v>4º GRUPO J</v>
      </c>
      <c r="E413" s="775" t="s">
        <v>1375</v>
      </c>
      <c r="F413" s="11"/>
      <c r="G413" s="775" t="s">
        <v>543</v>
      </c>
      <c r="H413" s="775" t="s">
        <v>547</v>
      </c>
      <c r="I413" s="11"/>
    </row>
    <row r="414" spans="1:9">
      <c r="A414" s="11"/>
      <c r="B414" s="11"/>
      <c r="C414" s="11"/>
      <c r="D414" s="11" t="str">
        <f t="shared" si="17"/>
        <v>1º GRUPO K</v>
      </c>
      <c r="E414" s="775" t="s">
        <v>1375</v>
      </c>
      <c r="F414" s="11"/>
      <c r="G414" s="775" t="s">
        <v>548</v>
      </c>
      <c r="H414" s="775" t="s">
        <v>552</v>
      </c>
      <c r="I414" s="11"/>
    </row>
    <row r="415" spans="1:9">
      <c r="A415" s="11"/>
      <c r="B415" s="11"/>
      <c r="C415" s="11"/>
      <c r="D415" s="11" t="str">
        <f t="shared" si="17"/>
        <v>2º GRUPO K</v>
      </c>
      <c r="E415" s="775" t="s">
        <v>1375</v>
      </c>
      <c r="F415" s="11"/>
      <c r="G415" s="775" t="s">
        <v>549</v>
      </c>
      <c r="H415" s="775" t="s">
        <v>553</v>
      </c>
      <c r="I415" s="11"/>
    </row>
    <row r="416" spans="1:9">
      <c r="A416" s="11"/>
      <c r="B416" s="11"/>
      <c r="C416" s="11"/>
      <c r="D416" s="11" t="str">
        <f t="shared" si="17"/>
        <v>3º GRUPO K</v>
      </c>
      <c r="E416" s="775" t="s">
        <v>1375</v>
      </c>
      <c r="F416" s="11"/>
      <c r="G416" s="775" t="s">
        <v>550</v>
      </c>
      <c r="H416" s="775" t="s">
        <v>554</v>
      </c>
      <c r="I416" s="11"/>
    </row>
    <row r="417" spans="1:9">
      <c r="A417" s="11"/>
      <c r="B417" s="11"/>
      <c r="C417" s="11"/>
      <c r="D417" s="11" t="str">
        <f t="shared" si="17"/>
        <v>4º GRUPO K</v>
      </c>
      <c r="E417" s="775" t="s">
        <v>1375</v>
      </c>
      <c r="F417" s="11"/>
      <c r="G417" s="775" t="s">
        <v>551</v>
      </c>
      <c r="H417" s="775" t="s">
        <v>555</v>
      </c>
      <c r="I417" s="11"/>
    </row>
    <row r="418" spans="1:9">
      <c r="A418" s="11"/>
      <c r="B418" s="11"/>
      <c r="C418" s="11"/>
      <c r="D418" s="11" t="str">
        <f t="shared" si="17"/>
        <v>1º GRUPO L</v>
      </c>
      <c r="E418" s="775" t="s">
        <v>1375</v>
      </c>
      <c r="F418" s="11"/>
      <c r="G418" s="775" t="s">
        <v>556</v>
      </c>
      <c r="H418" s="775" t="s">
        <v>560</v>
      </c>
      <c r="I418" s="11"/>
    </row>
    <row r="419" spans="1:9">
      <c r="A419" s="11"/>
      <c r="B419" s="11"/>
      <c r="C419" s="11"/>
      <c r="D419" s="11" t="str">
        <f t="shared" si="17"/>
        <v>2º GRUPO L</v>
      </c>
      <c r="E419" s="775" t="s">
        <v>1375</v>
      </c>
      <c r="F419" s="11"/>
      <c r="G419" s="775" t="s">
        <v>557</v>
      </c>
      <c r="H419" s="775" t="s">
        <v>561</v>
      </c>
      <c r="I419" s="11"/>
    </row>
    <row r="420" spans="1:9">
      <c r="A420" s="11"/>
      <c r="B420" s="11"/>
      <c r="C420" s="11"/>
      <c r="D420" s="11" t="str">
        <f t="shared" si="17"/>
        <v>3º GRUPO L</v>
      </c>
      <c r="E420" s="775" t="s">
        <v>1375</v>
      </c>
      <c r="F420" s="11"/>
      <c r="G420" s="775" t="s">
        <v>558</v>
      </c>
      <c r="H420" s="775" t="s">
        <v>562</v>
      </c>
      <c r="I420" s="11"/>
    </row>
    <row r="421" spans="1:9">
      <c r="A421" s="11"/>
      <c r="B421" s="11"/>
      <c r="C421" s="11"/>
      <c r="D421" s="11" t="str">
        <f t="shared" si="17"/>
        <v>4º GRUPO L</v>
      </c>
      <c r="E421" s="775" t="s">
        <v>1375</v>
      </c>
      <c r="F421" s="11"/>
      <c r="G421" s="775" t="s">
        <v>559</v>
      </c>
      <c r="H421" s="775" t="s">
        <v>563</v>
      </c>
      <c r="I421" s="11"/>
    </row>
    <row r="422" spans="1:9">
      <c r="A422" s="11"/>
      <c r="B422" s="11"/>
      <c r="C422" s="11"/>
      <c r="D422" s="11" t="str">
        <f t="shared" si="17"/>
        <v>Dieciseisavofinalista</v>
      </c>
      <c r="E422" s="775" t="s">
        <v>1375</v>
      </c>
      <c r="F422" s="11"/>
      <c r="G422" s="775" t="s">
        <v>566</v>
      </c>
      <c r="H422" s="775" t="s">
        <v>567</v>
      </c>
      <c r="I422" s="11"/>
    </row>
    <row r="423" spans="1:9">
      <c r="A423" s="11"/>
      <c r="B423" s="11"/>
      <c r="C423" s="11"/>
      <c r="D423" s="11" t="str">
        <f t="shared" si="17"/>
        <v>Octavofinalista</v>
      </c>
      <c r="E423" s="775" t="s">
        <v>1375</v>
      </c>
      <c r="F423" s="11"/>
      <c r="G423" s="775" t="s">
        <v>1296</v>
      </c>
      <c r="H423" s="775" t="s">
        <v>401</v>
      </c>
      <c r="I423" s="11"/>
    </row>
    <row r="424" spans="1:9">
      <c r="A424" s="11"/>
      <c r="B424" s="11"/>
      <c r="C424" s="11"/>
      <c r="D424" s="11" t="str">
        <f t="shared" ref="D424:D446" si="18">IF($B$2,G424,H424)</f>
        <v>Cuartofinalista</v>
      </c>
      <c r="E424" s="775" t="s">
        <v>1375</v>
      </c>
      <c r="F424" s="11"/>
      <c r="G424" s="775" t="s">
        <v>58</v>
      </c>
      <c r="H424" s="775" t="s">
        <v>402</v>
      </c>
      <c r="I424" s="11"/>
    </row>
    <row r="425" spans="1:9">
      <c r="A425" s="11"/>
      <c r="B425" s="11"/>
      <c r="C425" s="11"/>
      <c r="D425" s="11" t="str">
        <f t="shared" si="18"/>
        <v>Semifinalista</v>
      </c>
      <c r="E425" s="775" t="s">
        <v>1375</v>
      </c>
      <c r="F425" s="11"/>
      <c r="G425" s="775" t="s">
        <v>61</v>
      </c>
      <c r="H425" s="775" t="s">
        <v>403</v>
      </c>
      <c r="I425" s="11"/>
    </row>
    <row r="426" spans="1:9">
      <c r="A426" s="11"/>
      <c r="B426" s="11"/>
      <c r="C426" s="11"/>
      <c r="D426" s="11" t="str">
        <f t="shared" si="18"/>
        <v>3º y 4º puesto</v>
      </c>
      <c r="E426" s="775" t="s">
        <v>1375</v>
      </c>
      <c r="F426" s="11"/>
      <c r="G426" s="775" t="s">
        <v>491</v>
      </c>
      <c r="H426" s="775" t="s">
        <v>492</v>
      </c>
      <c r="I426" s="11"/>
    </row>
    <row r="427" spans="1:9">
      <c r="A427" s="11"/>
      <c r="B427" s="11"/>
      <c r="C427" s="11"/>
      <c r="D427" s="11" t="str">
        <f t="shared" si="18"/>
        <v>Finalista</v>
      </c>
      <c r="E427" s="775" t="s">
        <v>1375</v>
      </c>
      <c r="F427" s="11"/>
      <c r="G427" s="775" t="s">
        <v>64</v>
      </c>
      <c r="H427" s="775" t="s">
        <v>404</v>
      </c>
      <c r="I427" s="11"/>
    </row>
    <row r="428" spans="1:9">
      <c r="A428" s="11"/>
      <c r="B428" s="11"/>
      <c r="C428" s="11"/>
      <c r="D428" s="11" t="str">
        <f t="shared" si="18"/>
        <v>J1</v>
      </c>
      <c r="E428" s="775" t="s">
        <v>1375</v>
      </c>
      <c r="F428" s="11"/>
      <c r="G428" s="775" t="s">
        <v>26</v>
      </c>
      <c r="H428" s="775" t="s">
        <v>273</v>
      </c>
      <c r="I428" s="11"/>
    </row>
    <row r="429" spans="1:9">
      <c r="A429" s="11"/>
      <c r="B429" s="11"/>
      <c r="C429" s="11"/>
      <c r="D429" s="11" t="str">
        <f t="shared" si="18"/>
        <v>J2</v>
      </c>
      <c r="E429" s="775" t="s">
        <v>1375</v>
      </c>
      <c r="F429" s="11"/>
      <c r="G429" s="775" t="s">
        <v>27</v>
      </c>
      <c r="H429" s="775" t="s">
        <v>274</v>
      </c>
      <c r="I429" s="11"/>
    </row>
    <row r="430" spans="1:9">
      <c r="A430" s="11"/>
      <c r="B430" s="11"/>
      <c r="C430" s="11"/>
      <c r="D430" s="11" t="str">
        <f t="shared" si="18"/>
        <v>J3</v>
      </c>
      <c r="E430" s="775" t="s">
        <v>1375</v>
      </c>
      <c r="F430" s="11"/>
      <c r="G430" s="775" t="s">
        <v>28</v>
      </c>
      <c r="H430" s="775" t="s">
        <v>275</v>
      </c>
      <c r="I430" s="11"/>
    </row>
    <row r="431" spans="1:9">
      <c r="A431" s="11"/>
      <c r="B431" s="11"/>
      <c r="C431" s="11"/>
      <c r="D431" s="11" t="str">
        <f t="shared" si="18"/>
        <v>Sistema de puntuación</v>
      </c>
      <c r="E431" s="775" t="s">
        <v>1375</v>
      </c>
      <c r="F431" s="11"/>
      <c r="G431" s="775" t="s">
        <v>1938</v>
      </c>
      <c r="H431" s="775" t="s">
        <v>1939</v>
      </c>
      <c r="I431" s="11"/>
    </row>
    <row r="432" spans="1:9">
      <c r="A432" s="11"/>
      <c r="B432" s="11"/>
      <c r="C432" s="11"/>
      <c r="D432" s="11">
        <f t="shared" si="18"/>
        <v>0</v>
      </c>
      <c r="E432" s="775" t="s">
        <v>1375</v>
      </c>
      <c r="F432" s="11"/>
      <c r="G432" s="775"/>
      <c r="H432" s="775"/>
      <c r="I432" s="11"/>
    </row>
    <row r="433" spans="1:9">
      <c r="A433" s="11"/>
      <c r="B433" s="11"/>
      <c r="C433" s="11"/>
      <c r="D433" s="11" t="str">
        <f t="shared" si="18"/>
        <v>PREDICTOR - Campeón</v>
      </c>
      <c r="E433" s="775" t="s">
        <v>1375</v>
      </c>
      <c r="F433" s="11"/>
      <c r="G433" s="775" t="s">
        <v>1530</v>
      </c>
      <c r="H433" s="775" t="s">
        <v>1531</v>
      </c>
      <c r="I433" s="11"/>
    </row>
    <row r="434" spans="1:9">
      <c r="A434" s="11"/>
      <c r="B434" s="11"/>
      <c r="C434" s="11"/>
      <c r="D434" s="11" t="str">
        <f t="shared" si="18"/>
        <v>PREDICTOR - Subcampeón</v>
      </c>
      <c r="E434" s="775" t="s">
        <v>1375</v>
      </c>
      <c r="F434" s="11"/>
      <c r="G434" s="775" t="s">
        <v>1581</v>
      </c>
      <c r="H434" s="775" t="s">
        <v>1582</v>
      </c>
      <c r="I434" s="11"/>
    </row>
    <row r="435" spans="1:9">
      <c r="A435" s="11"/>
      <c r="B435" s="11"/>
      <c r="C435" s="11"/>
      <c r="D435" s="11" t="str">
        <f t="shared" ref="D435" si="19">IF($B$2,G435,H435)</f>
        <v>PREDICTOR- 3º puesto</v>
      </c>
      <c r="E435" s="775" t="s">
        <v>1375</v>
      </c>
      <c r="F435" s="11"/>
      <c r="G435" s="775" t="s">
        <v>1579</v>
      </c>
      <c r="H435" s="775" t="s">
        <v>1580</v>
      </c>
      <c r="I435" s="11"/>
    </row>
    <row r="436" spans="1:9">
      <c r="A436" s="11"/>
      <c r="B436" s="11"/>
      <c r="C436" s="11"/>
      <c r="D436" s="11" t="str">
        <f t="shared" si="18"/>
        <v>PREDICTOR - Semifinales</v>
      </c>
      <c r="E436" s="775" t="s">
        <v>1375</v>
      </c>
      <c r="F436" s="11"/>
      <c r="G436" s="775" t="s">
        <v>1532</v>
      </c>
      <c r="H436" s="775" t="s">
        <v>1533</v>
      </c>
      <c r="I436" s="11"/>
    </row>
    <row r="437" spans="1:9">
      <c r="A437" s="11"/>
      <c r="B437" s="11"/>
      <c r="C437" s="11"/>
      <c r="D437" s="11" t="str">
        <f t="shared" si="18"/>
        <v>PREDICTOR - Cuartos de final</v>
      </c>
      <c r="E437" s="775" t="s">
        <v>1375</v>
      </c>
      <c r="F437" s="11"/>
      <c r="G437" s="775" t="s">
        <v>1534</v>
      </c>
      <c r="H437" s="775" t="s">
        <v>1535</v>
      </c>
      <c r="I437" s="11"/>
    </row>
    <row r="438" spans="1:9">
      <c r="A438" s="11"/>
      <c r="B438" s="11"/>
      <c r="C438" s="11"/>
      <c r="D438" s="11" t="str">
        <f t="shared" si="18"/>
        <v>PREDICTOR - Octavos de final</v>
      </c>
      <c r="E438" s="775" t="s">
        <v>1375</v>
      </c>
      <c r="F438" s="11"/>
      <c r="G438" s="775" t="s">
        <v>1536</v>
      </c>
      <c r="H438" s="775" t="s">
        <v>1537</v>
      </c>
      <c r="I438" s="11"/>
    </row>
    <row r="439" spans="1:9">
      <c r="A439" s="11"/>
      <c r="B439" s="11"/>
      <c r="C439" s="11"/>
      <c r="D439" s="11" t="str">
        <f t="shared" si="18"/>
        <v>PREDICTOR - Dieciseisavos de final</v>
      </c>
      <c r="E439" s="775" t="s">
        <v>1375</v>
      </c>
      <c r="F439" s="11"/>
      <c r="G439" s="775" t="s">
        <v>1573</v>
      </c>
      <c r="H439" s="775" t="s">
        <v>1574</v>
      </c>
      <c r="I439" s="11"/>
    </row>
    <row r="440" spans="1:9">
      <c r="A440" s="11"/>
      <c r="B440" s="11"/>
      <c r="C440" s="11"/>
      <c r="D440" s="11" t="str">
        <f t="shared" si="18"/>
        <v>PREDICTOR- Fase de Liga</v>
      </c>
      <c r="E440" s="775" t="s">
        <v>1375</v>
      </c>
      <c r="F440" s="11"/>
      <c r="G440" s="775" t="s">
        <v>1538</v>
      </c>
      <c r="H440" s="775" t="s">
        <v>1539</v>
      </c>
      <c r="I440" s="11"/>
    </row>
    <row r="441" spans="1:9">
      <c r="A441" s="11"/>
      <c r="B441" s="11"/>
      <c r="C441" s="11"/>
      <c r="D441" s="11" t="str">
        <f t="shared" si="18"/>
        <v>% Ajuste por desvío en Diferencia/Distancia de goles</v>
      </c>
      <c r="E441" s="775" t="s">
        <v>1375</v>
      </c>
      <c r="F441" s="11"/>
      <c r="G441" s="775" t="s">
        <v>1739</v>
      </c>
      <c r="H441" s="775" t="s">
        <v>1776</v>
      </c>
      <c r="I441" s="11"/>
    </row>
    <row r="442" spans="1:9">
      <c r="A442" s="11"/>
      <c r="B442" s="11"/>
      <c r="C442" s="11"/>
      <c r="D442" s="11" t="str">
        <f t="shared" si="18"/>
        <v>None</v>
      </c>
      <c r="E442" s="775" t="s">
        <v>1449</v>
      </c>
      <c r="F442" s="11"/>
      <c r="G442" s="775" t="s">
        <v>1927</v>
      </c>
      <c r="H442" s="11" t="s">
        <v>1927</v>
      </c>
      <c r="I442" s="11"/>
    </row>
    <row r="443" spans="1:9">
      <c r="A443" s="11"/>
      <c r="B443" s="11"/>
      <c r="C443" s="11"/>
      <c r="D443" s="11" t="str">
        <f t="shared" si="18"/>
        <v>**¿Qué es esto y cómo funciona?</v>
      </c>
      <c r="E443" s="775" t="s">
        <v>1375</v>
      </c>
      <c r="F443" s="11"/>
      <c r="G443" s="775" t="s">
        <v>1826</v>
      </c>
      <c r="H443" s="775" t="s">
        <v>1827</v>
      </c>
      <c r="I443" s="11"/>
    </row>
    <row r="444" spans="1:9">
      <c r="A444" s="11"/>
      <c r="B444" s="11"/>
      <c r="C444" s="11"/>
      <c r="D444" s="11" t="str">
        <f t="shared" si="18"/>
        <v>https://matejero.es/puntuaciones-excel-mundial-2026/#%C2%BFQue_es_y_como_funciona_el_ajuste_por_desvio_en_diferenciadistancia_de_goles</v>
      </c>
      <c r="E444" s="775" t="s">
        <v>1375</v>
      </c>
      <c r="F444" s="11"/>
      <c r="G444" s="777" t="s">
        <v>1825</v>
      </c>
      <c r="H444" s="777" t="s">
        <v>1929</v>
      </c>
      <c r="I444" s="11"/>
    </row>
    <row r="445" spans="1:9">
      <c r="A445" s="11"/>
      <c r="B445" s="11"/>
      <c r="C445" s="11"/>
      <c r="D445" s="11" t="str">
        <f t="shared" si="18"/>
        <v>?</v>
      </c>
      <c r="E445" s="775" t="s">
        <v>1375</v>
      </c>
      <c r="F445" s="11"/>
      <c r="G445" s="775" t="s">
        <v>1831</v>
      </c>
      <c r="H445" s="775" t="s">
        <v>1831</v>
      </c>
      <c r="I445" s="11"/>
    </row>
    <row r="446" spans="1:9">
      <c r="A446" s="11"/>
      <c r="B446" s="11"/>
      <c r="C446" s="11"/>
      <c r="D446" s="11" t="str">
        <f t="shared" si="18"/>
        <v>https://matejero.es/puntuaciones-excel-mundial-2026/#%C2%BFQue_es_un_BONUS</v>
      </c>
      <c r="E446" s="775" t="s">
        <v>1375</v>
      </c>
      <c r="F446" s="11"/>
      <c r="G446" s="777" t="s">
        <v>1832</v>
      </c>
      <c r="H446" s="777" t="s">
        <v>1928</v>
      </c>
      <c r="I446" s="11"/>
    </row>
    <row r="447" spans="1:9">
      <c r="A447" s="11"/>
      <c r="B447" s="11"/>
      <c r="C447" s="11"/>
      <c r="D447" s="11"/>
      <c r="E447" s="775"/>
      <c r="F447" s="11"/>
      <c r="G447" s="776"/>
      <c r="H447" s="776"/>
      <c r="I447" s="11"/>
    </row>
    <row r="448" spans="1:9">
      <c r="A448" s="11"/>
      <c r="B448" s="11"/>
      <c r="C448" s="11"/>
      <c r="D448" s="11"/>
      <c r="E448" s="775"/>
      <c r="F448" s="11"/>
      <c r="G448" s="776"/>
      <c r="H448" s="776"/>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78" t="s">
        <v>1610</v>
      </c>
      <c r="H451" s="778" t="s">
        <v>1611</v>
      </c>
      <c r="I451" s="11"/>
    </row>
    <row r="452" spans="1:9">
      <c r="A452" s="11"/>
      <c r="B452" s="11"/>
      <c r="C452" s="11"/>
      <c r="D452" s="11" t="str">
        <f t="shared" si="20"/>
        <v>Pos</v>
      </c>
      <c r="E452" s="11" t="s">
        <v>1589</v>
      </c>
      <c r="F452" s="11" t="s">
        <v>125</v>
      </c>
      <c r="G452" s="778" t="s">
        <v>14</v>
      </c>
      <c r="H452" s="778" t="s">
        <v>14</v>
      </c>
      <c r="I452" s="11"/>
    </row>
    <row r="453" spans="1:9">
      <c r="A453" s="11"/>
      <c r="B453" s="11"/>
      <c r="C453" s="11"/>
      <c r="D453" s="11" t="str">
        <f t="shared" si="20"/>
        <v>Jugador</v>
      </c>
      <c r="E453" s="11" t="s">
        <v>1589</v>
      </c>
      <c r="F453" s="11" t="s">
        <v>126</v>
      </c>
      <c r="G453" s="778" t="s">
        <v>1591</v>
      </c>
      <c r="H453" s="778" t="s">
        <v>1592</v>
      </c>
      <c r="I453" s="11"/>
    </row>
    <row r="454" spans="1:9">
      <c r="A454" s="11"/>
      <c r="B454" s="11"/>
      <c r="C454" s="11"/>
      <c r="D454" s="11" t="str">
        <f t="shared" si="20"/>
        <v>Puntos Totales</v>
      </c>
      <c r="E454" s="11" t="s">
        <v>1589</v>
      </c>
      <c r="F454" s="11" t="s">
        <v>127</v>
      </c>
      <c r="G454" s="778" t="s">
        <v>1593</v>
      </c>
      <c r="H454" s="778" t="s">
        <v>1594</v>
      </c>
      <c r="I454" s="11"/>
    </row>
    <row r="455" spans="1:9">
      <c r="A455" s="11"/>
      <c r="B455" s="11"/>
      <c r="C455" s="11"/>
      <c r="D455" s="11" t="str">
        <f t="shared" si="20"/>
        <v>F. Grupos</v>
      </c>
      <c r="E455" s="11" t="s">
        <v>1589</v>
      </c>
      <c r="F455" s="11" t="s">
        <v>128</v>
      </c>
      <c r="G455" s="778" t="s">
        <v>1595</v>
      </c>
      <c r="H455" s="778" t="s">
        <v>1627</v>
      </c>
      <c r="I455" s="11"/>
    </row>
    <row r="456" spans="1:9">
      <c r="A456" s="11"/>
      <c r="B456" s="11"/>
      <c r="C456" s="11"/>
      <c r="D456" s="11" t="str">
        <f t="shared" si="20"/>
        <v>Pos. Grupos</v>
      </c>
      <c r="E456" s="11" t="s">
        <v>1589</v>
      </c>
      <c r="F456" s="11" t="s">
        <v>129</v>
      </c>
      <c r="G456" s="778" t="s">
        <v>1596</v>
      </c>
      <c r="H456" s="778" t="s">
        <v>1628</v>
      </c>
      <c r="I456" s="11"/>
    </row>
    <row r="457" spans="1:9">
      <c r="A457" s="11"/>
      <c r="B457" s="11"/>
      <c r="C457" s="11"/>
      <c r="D457" s="11" t="str">
        <f t="shared" ref="D457:D458" si="21">IF($B$2,G457,H457)</f>
        <v>Equipos 1/16</v>
      </c>
      <c r="E457" s="11" t="s">
        <v>1589</v>
      </c>
      <c r="F457" s="11" t="s">
        <v>180</v>
      </c>
      <c r="G457" s="778" t="s">
        <v>1612</v>
      </c>
      <c r="H457" s="778" t="s">
        <v>1617</v>
      </c>
      <c r="I457" s="11"/>
    </row>
    <row r="458" spans="1:9">
      <c r="A458" s="11"/>
      <c r="B458" s="11"/>
      <c r="C458" s="11"/>
      <c r="D458" s="11" t="str">
        <f t="shared" si="21"/>
        <v>Partidos 1/16</v>
      </c>
      <c r="E458" s="11" t="s">
        <v>1589</v>
      </c>
      <c r="F458" s="11" t="s">
        <v>181</v>
      </c>
      <c r="G458" s="778" t="s">
        <v>1613</v>
      </c>
      <c r="H458" s="778" t="s">
        <v>1614</v>
      </c>
      <c r="I458" s="11"/>
    </row>
    <row r="459" spans="1:9">
      <c r="A459" s="11"/>
      <c r="B459" s="11"/>
      <c r="C459" s="11"/>
      <c r="D459" s="11" t="str">
        <f t="shared" si="20"/>
        <v>Equipos 1/8</v>
      </c>
      <c r="E459" s="11" t="s">
        <v>1589</v>
      </c>
      <c r="F459" s="11" t="s">
        <v>180</v>
      </c>
      <c r="G459" s="778" t="s">
        <v>1597</v>
      </c>
      <c r="H459" s="778" t="s">
        <v>1618</v>
      </c>
      <c r="I459" s="11"/>
    </row>
    <row r="460" spans="1:9">
      <c r="A460" s="11"/>
      <c r="B460" s="11"/>
      <c r="C460" s="11"/>
      <c r="D460" s="11" t="str">
        <f t="shared" si="20"/>
        <v>Partidos 1/8</v>
      </c>
      <c r="E460" s="11" t="s">
        <v>1589</v>
      </c>
      <c r="F460" s="11" t="s">
        <v>181</v>
      </c>
      <c r="G460" s="778" t="s">
        <v>1598</v>
      </c>
      <c r="H460" s="778" t="s">
        <v>1599</v>
      </c>
      <c r="I460" s="11"/>
    </row>
    <row r="461" spans="1:9">
      <c r="A461" s="11"/>
      <c r="B461" s="11"/>
      <c r="C461" s="11"/>
      <c r="D461" s="11" t="str">
        <f t="shared" si="20"/>
        <v>Equipos 1/4</v>
      </c>
      <c r="E461" s="11" t="s">
        <v>1589</v>
      </c>
      <c r="F461" s="11" t="s">
        <v>182</v>
      </c>
      <c r="G461" s="778" t="s">
        <v>1600</v>
      </c>
      <c r="H461" s="778" t="s">
        <v>1619</v>
      </c>
      <c r="I461" s="11"/>
    </row>
    <row r="462" spans="1:9">
      <c r="A462" s="11"/>
      <c r="B462" s="11"/>
      <c r="C462" s="11"/>
      <c r="D462" s="11" t="str">
        <f t="shared" si="20"/>
        <v>Partidos 1/4</v>
      </c>
      <c r="E462" s="11" t="s">
        <v>1589</v>
      </c>
      <c r="F462" s="11" t="s">
        <v>28</v>
      </c>
      <c r="G462" s="778" t="s">
        <v>1601</v>
      </c>
      <c r="H462" s="778" t="s">
        <v>1602</v>
      </c>
      <c r="I462" s="11"/>
    </row>
    <row r="463" spans="1:9">
      <c r="A463" s="11"/>
      <c r="B463" s="11"/>
      <c r="C463" s="11"/>
      <c r="D463" s="11" t="str">
        <f t="shared" si="20"/>
        <v>Equipos 1/2</v>
      </c>
      <c r="E463" s="11" t="s">
        <v>1589</v>
      </c>
      <c r="F463" s="11" t="s">
        <v>188</v>
      </c>
      <c r="G463" s="778" t="s">
        <v>1603</v>
      </c>
      <c r="H463" s="778" t="s">
        <v>1620</v>
      </c>
      <c r="I463" s="11"/>
    </row>
    <row r="464" spans="1:9">
      <c r="A464" s="11"/>
      <c r="B464" s="11"/>
      <c r="C464" s="11"/>
      <c r="D464" s="11" t="str">
        <f t="shared" si="20"/>
        <v>Partidos 1/2</v>
      </c>
      <c r="E464" s="11" t="s">
        <v>1589</v>
      </c>
      <c r="F464" s="11" t="s">
        <v>1198</v>
      </c>
      <c r="G464" s="778" t="s">
        <v>1604</v>
      </c>
      <c r="H464" s="778" t="s">
        <v>1605</v>
      </c>
      <c r="I464" s="11"/>
    </row>
    <row r="465" spans="1:9">
      <c r="A465" s="11"/>
      <c r="B465" s="11"/>
      <c r="C465" s="11"/>
      <c r="D465" s="11" t="str">
        <f t="shared" si="20"/>
        <v>Equipos 3-4</v>
      </c>
      <c r="E465" s="11" t="s">
        <v>1589</v>
      </c>
      <c r="F465" s="11"/>
      <c r="G465" s="778" t="s">
        <v>1615</v>
      </c>
      <c r="H465" s="778" t="s">
        <v>1616</v>
      </c>
      <c r="I465" s="11"/>
    </row>
    <row r="466" spans="1:9">
      <c r="A466" s="11"/>
      <c r="B466" s="11"/>
      <c r="C466" s="11"/>
      <c r="D466" s="11" t="str">
        <f t="shared" si="20"/>
        <v>Equipos Final</v>
      </c>
      <c r="E466" s="11" t="s">
        <v>1589</v>
      </c>
      <c r="F466" s="11" t="s">
        <v>1606</v>
      </c>
      <c r="G466" s="778" t="s">
        <v>1607</v>
      </c>
      <c r="H466" s="778" t="s">
        <v>1621</v>
      </c>
      <c r="I466" s="11"/>
    </row>
    <row r="467" spans="1:9">
      <c r="A467" s="11"/>
      <c r="B467" s="11"/>
      <c r="C467" s="11"/>
      <c r="D467" s="11" t="str">
        <f t="shared" ref="D467" si="22">IF($B$2,G467,H467)</f>
        <v>Partido 3-4</v>
      </c>
      <c r="E467" s="11" t="s">
        <v>1589</v>
      </c>
      <c r="F467" s="11"/>
      <c r="G467" s="778" t="s">
        <v>1622</v>
      </c>
      <c r="H467" s="778" t="s">
        <v>1623</v>
      </c>
      <c r="I467" s="11"/>
    </row>
    <row r="468" spans="1:9">
      <c r="A468" s="11"/>
      <c r="B468" s="11"/>
      <c r="C468" s="11"/>
      <c r="D468" s="11" t="str">
        <f t="shared" si="20"/>
        <v>Partido Final</v>
      </c>
      <c r="E468" s="11" t="s">
        <v>1589</v>
      </c>
      <c r="F468" s="11" t="s">
        <v>190</v>
      </c>
      <c r="G468" s="778" t="s">
        <v>1467</v>
      </c>
      <c r="H468" s="778" t="s">
        <v>1608</v>
      </c>
      <c r="I468" s="11"/>
    </row>
    <row r="469" spans="1:9">
      <c r="A469" s="11"/>
      <c r="B469" s="11"/>
      <c r="C469" s="11"/>
      <c r="D469" s="11" t="str">
        <f t="shared" ref="D469" si="23">IF($B$2,G469,H469)</f>
        <v xml:space="preserve">Cuadro de Honor </v>
      </c>
      <c r="E469" s="11" t="s">
        <v>1589</v>
      </c>
      <c r="F469" s="11" t="s">
        <v>1609</v>
      </c>
      <c r="G469" s="778" t="s">
        <v>1624</v>
      </c>
      <c r="H469" s="778" t="s">
        <v>1626</v>
      </c>
      <c r="I469" s="11"/>
    </row>
    <row r="470" spans="1:9">
      <c r="A470" s="11"/>
      <c r="B470" s="11"/>
      <c r="C470" s="11"/>
      <c r="D470" s="11" t="str">
        <f t="shared" si="20"/>
        <v xml:space="preserve">Predictor </v>
      </c>
      <c r="E470" s="11" t="s">
        <v>1589</v>
      </c>
      <c r="F470" s="11" t="s">
        <v>1609</v>
      </c>
      <c r="G470" s="778" t="s">
        <v>1625</v>
      </c>
      <c r="H470" s="778"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0"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7" customWidth="1"/>
    <col min="15" max="20" width="20.42578125" style="718"/>
    <col min="21" max="16384" width="20.42578125" style="9"/>
  </cols>
  <sheetData>
    <row r="1" spans="1:20" ht="15" customHeight="1">
      <c r="A1" s="716" t="s">
        <v>368</v>
      </c>
      <c r="B1" s="716" t="s">
        <v>30</v>
      </c>
      <c r="C1" s="716" t="s">
        <v>71</v>
      </c>
      <c r="D1" s="716" t="s">
        <v>11</v>
      </c>
      <c r="F1" s="5" t="s">
        <v>33</v>
      </c>
      <c r="H1" s="716"/>
      <c r="I1" s="716"/>
      <c r="K1" s="8" t="s">
        <v>68</v>
      </c>
      <c r="L1" s="8" t="s">
        <v>1345</v>
      </c>
      <c r="M1" s="8"/>
      <c r="Q1" s="786" t="s">
        <v>1644</v>
      </c>
      <c r="R1" s="786" t="s">
        <v>1645</v>
      </c>
      <c r="T1" s="788"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6">
        <v>#VALUE!</v>
      </c>
      <c r="O2" s="783">
        <v>1</v>
      </c>
      <c r="P2" s="721"/>
      <c r="Q2" s="787" cm="1">
        <f t="array" aca="1" ref="Q2" ca="1">IFERROR(MIN(IF(COUNTIF($Q$1:Q1,ADMIN!$H$6:$H$77)=0,ADMIN!$H$6:$H$77)),"")</f>
        <v>46184</v>
      </c>
      <c r="R2" s="786">
        <v>1</v>
      </c>
      <c r="S2" s="722"/>
      <c r="T2" s="788">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7">
        <v>#VALUE!</v>
      </c>
      <c r="O3" s="783">
        <v>2</v>
      </c>
      <c r="P3" s="721"/>
      <c r="Q3" s="787" cm="1">
        <f t="array" aca="1" ref="Q3" ca="1">IFERROR(MIN(IF(COUNTIF($Q$1:Q2,ADMIN!$H$6:$H$77)=0,ADMIN!$H$6:$H$77)),"")</f>
        <v>46185</v>
      </c>
      <c r="R3" s="786">
        <v>2</v>
      </c>
      <c r="S3" s="722"/>
      <c r="T3" s="788">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8">
        <v>#VALUE!</v>
      </c>
      <c r="O4" s="783">
        <v>3</v>
      </c>
      <c r="P4" s="721"/>
      <c r="Q4" s="787" cm="1">
        <f t="array" aca="1" ref="Q4" ca="1">IFERROR(MIN(IF(COUNTIF($Q$1:Q3,ADMIN!$H$6:$H$77)=0,ADMIN!$H$6:$H$77)),"")</f>
        <v>46186</v>
      </c>
      <c r="R4" s="786">
        <v>3</v>
      </c>
      <c r="S4" s="722"/>
      <c r="T4" s="788">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9">
        <v>#VALUE!</v>
      </c>
      <c r="O5" s="783">
        <v>4</v>
      </c>
      <c r="P5" s="721"/>
      <c r="Q5" s="787" cm="1">
        <f t="array" aca="1" ref="Q5" ca="1">IFERROR(MIN(IF(COUNTIF($Q$1:Q4,ADMIN!$H$6:$H$77)=0,ADMIN!$H$6:$H$77)),"")</f>
        <v>46187</v>
      </c>
      <c r="R5" s="786">
        <v>4</v>
      </c>
      <c r="S5" s="722"/>
      <c r="T5" s="788">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10">
        <v>#VALUE!</v>
      </c>
      <c r="O6" s="783">
        <v>5</v>
      </c>
      <c r="P6" s="721"/>
      <c r="Q6" s="787" cm="1">
        <f t="array" aca="1" ref="Q6" ca="1">IFERROR(MIN(IF(COUNTIF($Q$1:Q5,ADMIN!$H$6:$H$77)=0,ADMIN!$H$6:$H$77)),"")</f>
        <v>46188</v>
      </c>
      <c r="R6" s="786">
        <v>5</v>
      </c>
      <c r="S6" s="722"/>
      <c r="T6" s="788">
        <v>0.25</v>
      </c>
    </row>
    <row r="7" spans="1:20" ht="15" customHeight="1">
      <c r="A7" s="5">
        <v>6</v>
      </c>
      <c r="B7" s="5" t="str">
        <f ca="1">+INDEX(Idiomas!$D$212:$D$259,MATCH(T_Equipos[[#This Row],[Num]],Idiomas!$C$212:$C$259,0))</f>
        <v>Bosnia y Herzegovina</v>
      </c>
      <c r="C7" s="5" t="s">
        <v>1</v>
      </c>
      <c r="D7" s="5">
        <v>2</v>
      </c>
      <c r="F7" s="5" t="s">
        <v>4</v>
      </c>
      <c r="K7" s="8" t="str">
        <f ca="1">Idiomas!D217</f>
        <v>Austria</v>
      </c>
      <c r="L7" s="783" t="s">
        <v>145</v>
      </c>
      <c r="M7" s="783" t="e" vm="11">
        <v>#VALUE!</v>
      </c>
      <c r="O7" s="783">
        <v>6</v>
      </c>
      <c r="P7" s="721"/>
      <c r="Q7" s="787" cm="1">
        <f t="array" aca="1" ref="Q7" ca="1">IFERROR(MIN(IF(COUNTIF($Q$1:Q6,ADMIN!$H$6:$H$77)=0,ADMIN!$H$6:$H$77)),"")</f>
        <v>46189</v>
      </c>
      <c r="R7" s="786">
        <v>6</v>
      </c>
      <c r="S7" s="722"/>
      <c r="T7" s="788">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2">
        <v>#VALUE!</v>
      </c>
      <c r="O8" s="783">
        <v>7</v>
      </c>
      <c r="P8" s="721"/>
      <c r="Q8" s="787" cm="1">
        <f t="array" aca="1" ref="Q8" ca="1">IFERROR(MIN(IF(COUNTIF($Q$1:Q7,ADMIN!$H$6:$H$77)=0,ADMIN!$H$6:$H$77)),"")</f>
        <v>46190</v>
      </c>
      <c r="R8" s="786">
        <v>7</v>
      </c>
      <c r="S8" s="722"/>
      <c r="T8" s="788">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3">
        <v>#VALUE!</v>
      </c>
      <c r="O9" s="783">
        <v>8</v>
      </c>
      <c r="P9" s="721"/>
      <c r="Q9" s="787" cm="1">
        <f t="array" aca="1" ref="Q9" ca="1">IFERROR(MIN(IF(COUNTIF($Q$1:Q8,ADMIN!$H$6:$H$77)=0,ADMIN!$H$6:$H$77)),"")</f>
        <v>46191</v>
      </c>
      <c r="R9" s="786">
        <v>8</v>
      </c>
      <c r="S9" s="722"/>
      <c r="T9" s="788">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4">
        <v>#VALUE!</v>
      </c>
      <c r="O10" s="783">
        <v>9</v>
      </c>
      <c r="P10" s="721"/>
      <c r="Q10" s="787" cm="1">
        <f t="array" aca="1" ref="Q10" ca="1">IFERROR(MIN(IF(COUNTIF($Q$1:Q9,ADMIN!$H$6:$H$77)=0,ADMIN!$H$6:$H$77)),"")</f>
        <v>46192</v>
      </c>
      <c r="R10" s="786">
        <v>9</v>
      </c>
      <c r="S10" s="722"/>
      <c r="T10" s="788">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5">
        <v>#VALUE!</v>
      </c>
      <c r="O11" s="783">
        <v>10</v>
      </c>
      <c r="P11" s="721"/>
      <c r="Q11" s="787" cm="1">
        <f t="array" aca="1" ref="Q11" ca="1">IFERROR(MIN(IF(COUNTIF($Q$1:Q10,ADMIN!$H$6:$H$77)=0,ADMIN!$H$6:$H$77)),"")</f>
        <v>46193</v>
      </c>
      <c r="R11" s="786">
        <v>10</v>
      </c>
      <c r="S11" s="722"/>
      <c r="T11" s="788">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6">
        <v>#VALUE!</v>
      </c>
      <c r="O12" s="783">
        <v>11</v>
      </c>
      <c r="P12" s="721"/>
      <c r="Q12" s="787" cm="1">
        <f t="array" aca="1" ref="Q12" ca="1">IFERROR(MIN(IF(COUNTIF($Q$1:Q11,ADMIN!$H$6:$H$77)=0,ADMIN!$H$6:$H$77)),"")</f>
        <v>46194</v>
      </c>
      <c r="R12" s="786">
        <v>11</v>
      </c>
      <c r="S12" s="722"/>
      <c r="T12" s="788">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7">
        <v>#VALUE!</v>
      </c>
      <c r="O13" s="783">
        <v>12</v>
      </c>
      <c r="P13" s="721"/>
      <c r="Q13" s="787" cm="1">
        <f t="array" aca="1" ref="Q13" ca="1">IFERROR(MIN(IF(COUNTIF($Q$1:Q12,ADMIN!$H$6:$H$77)=0,ADMIN!$H$6:$H$77)),"")</f>
        <v>46195</v>
      </c>
      <c r="R13" s="786">
        <v>12</v>
      </c>
      <c r="S13" s="722"/>
      <c r="T13" s="788">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8">
        <v>#VALUE!</v>
      </c>
      <c r="O14" s="783">
        <v>13</v>
      </c>
      <c r="P14" s="721"/>
      <c r="Q14" s="787" cm="1">
        <f t="array" aca="1" ref="Q14" ca="1">IFERROR(MIN(IF(COUNTIF($Q$1:Q13,ADMIN!$H$6:$H$77)=0,ADMIN!$H$6:$H$77)),"")</f>
        <v>46196</v>
      </c>
      <c r="R14" s="786">
        <v>13</v>
      </c>
      <c r="S14" s="722"/>
      <c r="T14" s="788">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9">
        <v>#VALUE!</v>
      </c>
      <c r="O15" s="783">
        <v>14</v>
      </c>
      <c r="P15" s="721"/>
      <c r="Q15" s="787" cm="1">
        <f t="array" aca="1" ref="Q15" ca="1">IFERROR(MIN(IF(COUNTIF($Q$1:Q14,ADMIN!$H$6:$H$77)=0,ADMIN!$H$6:$H$77)),"")</f>
        <v>46197</v>
      </c>
      <c r="R15" s="786">
        <v>14</v>
      </c>
      <c r="S15" s="722"/>
      <c r="T15" s="788">
        <v>0.7</v>
      </c>
    </row>
    <row r="16" spans="1:20" ht="15" customHeight="1">
      <c r="A16" s="5">
        <v>15</v>
      </c>
      <c r="B16" s="5" t="str">
        <f ca="1">+INDEX(Idiomas!$D$212:$D$259,MATCH(T_Equipos[[#This Row],[Num]],Idiomas!$C$212:$C$259,0))</f>
        <v>Australia</v>
      </c>
      <c r="C16" s="5" t="s">
        <v>73</v>
      </c>
      <c r="D16" s="5">
        <v>3</v>
      </c>
      <c r="K16" s="8" t="str">
        <f ca="1">Idiomas!D226</f>
        <v>Croacia</v>
      </c>
      <c r="L16" s="8" t="s">
        <v>143</v>
      </c>
      <c r="M16" s="8" t="e" vm="20">
        <v>#VALUE!</v>
      </c>
      <c r="O16" s="783">
        <v>15</v>
      </c>
      <c r="P16" s="721"/>
      <c r="Q16" s="787" cm="1">
        <f t="array" aca="1" ref="Q16" ca="1">IFERROR(MIN(IF(COUNTIF($Q$1:Q15,ADMIN!$H$6:$H$77)=0,ADMIN!$H$6:$H$77)),"")</f>
        <v>46198</v>
      </c>
      <c r="R16" s="786">
        <v>15</v>
      </c>
      <c r="S16" s="722"/>
      <c r="T16" s="788">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1">
        <v>#VALUE!</v>
      </c>
      <c r="O17" s="783">
        <v>16</v>
      </c>
      <c r="P17" s="721"/>
      <c r="Q17" s="787" cm="1">
        <f t="array" aca="1" ref="Q17" ca="1">IFERROR(MIN(IF(COUNTIF($Q$1:Q16,ADMIN!$H$6:$H$77)=0,ADMIN!$H$6:$H$77)),"")</f>
        <v>46199</v>
      </c>
      <c r="R17" s="786">
        <v>16</v>
      </c>
      <c r="S17" s="722"/>
      <c r="T17" s="788">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2">
        <v>#VALUE!</v>
      </c>
      <c r="O18" s="783">
        <v>17</v>
      </c>
      <c r="P18" s="721"/>
      <c r="Q18" s="787" cm="1">
        <f t="array" aca="1" ref="Q18" ca="1">IFERROR(MIN(IF(COUNTIF($Q$1:Q17,ADMIN!$H$6:$H$77)=0,ADMIN!$H$6:$H$77)),"")</f>
        <v>46200</v>
      </c>
      <c r="R18" s="786">
        <v>17</v>
      </c>
      <c r="S18" s="722"/>
      <c r="T18" s="788">
        <v>0.85</v>
      </c>
    </row>
    <row r="19" spans="1:20" ht="15" customHeight="1">
      <c r="A19" s="5">
        <v>18</v>
      </c>
      <c r="B19" s="5" t="str">
        <f ca="1">+INDEX(Idiomas!$D$212:$D$259,MATCH(T_Equipos[[#This Row],[Num]],Idiomas!$C$212:$C$259,0))</f>
        <v>Curazao</v>
      </c>
      <c r="C19" s="5" t="s">
        <v>3</v>
      </c>
      <c r="D19" s="5">
        <v>2</v>
      </c>
      <c r="K19" s="8" t="str">
        <f ca="1">Idiomas!D229</f>
        <v>Egipto</v>
      </c>
      <c r="L19" s="8" t="s">
        <v>1554</v>
      </c>
      <c r="M19" s="11" t="e" vm="23">
        <v>#VALUE!</v>
      </c>
      <c r="O19" s="783">
        <v>18</v>
      </c>
      <c r="P19" s="721"/>
      <c r="Q19" s="787" cm="1">
        <f t="array" aca="1" ref="Q19" ca="1">IFERROR(MIN(IF(COUNTIF($Q$1:Q18,ADMIN!$H$6:$H$77)=0,ADMIN!$H$6:$H$77)),"")</f>
        <v>0</v>
      </c>
      <c r="R19" s="786">
        <v>18</v>
      </c>
      <c r="S19" s="722"/>
      <c r="T19" s="788">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4">
        <v>#VALUE!</v>
      </c>
      <c r="O20" s="783">
        <v>19</v>
      </c>
      <c r="P20" s="721"/>
      <c r="Q20" s="783" t="str">
        <f>+PROPER(Idiomas!D137)</f>
        <v>Clasificados Para Dieciseisavos</v>
      </c>
      <c r="R20" s="783">
        <v>19</v>
      </c>
      <c r="T20" s="788">
        <v>0.95</v>
      </c>
    </row>
    <row r="21" spans="1:20" ht="15" customHeight="1">
      <c r="A21" s="5">
        <v>20</v>
      </c>
      <c r="B21" s="5" t="str">
        <f ca="1">+INDEX(Idiomas!$D$212:$D$259,MATCH(T_Equipos[[#This Row],[Num]],Idiomas!$C$212:$C$259,0))</f>
        <v>Ecuador</v>
      </c>
      <c r="C21" s="5" t="s">
        <v>3</v>
      </c>
      <c r="D21" s="5">
        <v>4</v>
      </c>
      <c r="K21" s="8" t="str">
        <f ca="1">Idiomas!D231</f>
        <v>España</v>
      </c>
      <c r="L21" s="8" t="s">
        <v>142</v>
      </c>
      <c r="M21" s="8" t="e" vm="25">
        <v>#VALUE!</v>
      </c>
      <c r="O21" s="783">
        <v>20</v>
      </c>
      <c r="Q21" s="787" t="str">
        <f>Idiomas!D260</f>
        <v>Dieciseisavos de final</v>
      </c>
      <c r="R21" s="786">
        <v>20</v>
      </c>
      <c r="T21" s="719"/>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6">
        <v>#VALUE!</v>
      </c>
      <c r="O22" s="783">
        <v>21</v>
      </c>
      <c r="Q22" s="787" t="str">
        <f>Idiomas!D261</f>
        <v>Octavos de final</v>
      </c>
      <c r="R22" s="786">
        <v>21</v>
      </c>
      <c r="T22" s="719"/>
    </row>
    <row r="23" spans="1:20" ht="15" customHeight="1">
      <c r="A23" s="5">
        <v>22</v>
      </c>
      <c r="B23" s="5" t="str">
        <f ca="1">+INDEX(Idiomas!$D$212:$D$259,MATCH(T_Equipos[[#This Row],[Num]],Idiomas!$C$212:$C$259,0))</f>
        <v>Japón</v>
      </c>
      <c r="C23" s="5" t="s">
        <v>4</v>
      </c>
      <c r="D23" s="5">
        <v>2</v>
      </c>
      <c r="K23" s="8" t="str">
        <f ca="1">Idiomas!D233</f>
        <v>Francia</v>
      </c>
      <c r="L23" s="8" t="s">
        <v>141</v>
      </c>
      <c r="M23" s="8" t="e" vm="27">
        <v>#VALUE!</v>
      </c>
      <c r="O23" s="783">
        <v>22</v>
      </c>
      <c r="Q23" s="787" t="str">
        <f>Idiomas!D262</f>
        <v>Cuartos de final</v>
      </c>
      <c r="R23" s="786">
        <v>22</v>
      </c>
    </row>
    <row r="24" spans="1:20" ht="15" customHeight="1">
      <c r="A24" s="5">
        <v>23</v>
      </c>
      <c r="B24" s="5" t="str">
        <f ca="1">+INDEX(Idiomas!$D$212:$D$259,MATCH(T_Equipos[[#This Row],[Num]],Idiomas!$C$212:$C$259,0))</f>
        <v>Suecia</v>
      </c>
      <c r="C24" s="5" t="s">
        <v>4</v>
      </c>
      <c r="D24" s="5">
        <v>3</v>
      </c>
      <c r="K24" s="8" t="str">
        <f ca="1">Idiomas!D234</f>
        <v>Ghana</v>
      </c>
      <c r="L24" s="8" t="s">
        <v>1555</v>
      </c>
      <c r="M24" s="8" t="e" vm="28">
        <v>#VALUE!</v>
      </c>
      <c r="O24" s="783">
        <v>23</v>
      </c>
      <c r="Q24" s="787" t="str">
        <f>Idiomas!D263</f>
        <v>Semifinales</v>
      </c>
      <c r="R24" s="786">
        <v>23</v>
      </c>
    </row>
    <row r="25" spans="1:20" ht="15" customHeight="1">
      <c r="A25" s="5">
        <v>24</v>
      </c>
      <c r="B25" s="5" t="str">
        <f ca="1">+INDEX(Idiomas!$D$212:$D$259,MATCH(T_Equipos[[#This Row],[Num]],Idiomas!$C$212:$C$259,0))</f>
        <v>Túnez</v>
      </c>
      <c r="C25" s="5" t="s">
        <v>4</v>
      </c>
      <c r="D25" s="5">
        <v>4</v>
      </c>
      <c r="K25" s="8" t="str">
        <f ca="1">Idiomas!D235</f>
        <v>Haití</v>
      </c>
      <c r="L25" s="8" t="s">
        <v>1733</v>
      </c>
      <c r="M25" s="8" t="e" vm="29">
        <v>#VALUE!</v>
      </c>
      <c r="O25" s="783">
        <v>24</v>
      </c>
      <c r="Q25" s="787" t="str">
        <f>Idiomas!D264</f>
        <v>3-4 &amp; Final</v>
      </c>
      <c r="R25" s="786">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30">
        <v>#VALUE!</v>
      </c>
      <c r="O26" s="783">
        <v>25</v>
      </c>
      <c r="Q26" s="783" t="str">
        <f>+PROPER(Idiomas!G137)</f>
        <v>Clasificados Para Dieciseisavos</v>
      </c>
      <c r="R26" s="783">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31">
        <f>+INDEX(Credits!$X$87:$X$91,MATCH(Credits!$N$87,Credits!$U$87:$U$91,0))</f>
        <v>#VALUE!</v>
      </c>
      <c r="O27" s="720"/>
      <c r="P27" s="722"/>
      <c r="Q27" s="787" t="str">
        <f>Idiomas!G260</f>
        <v>Dieciseisavos de final</v>
      </c>
      <c r="R27" s="786">
        <v>20</v>
      </c>
    </row>
    <row r="28" spans="1:20" ht="15" customHeight="1">
      <c r="A28" s="5">
        <v>27</v>
      </c>
      <c r="B28" s="5" t="str">
        <f ca="1">+INDEX(Idiomas!$D$212:$D$259,MATCH(T_Equipos[[#This Row],[Num]],Idiomas!$C$212:$C$259,0))</f>
        <v>Irán</v>
      </c>
      <c r="C28" s="5" t="s">
        <v>6</v>
      </c>
      <c r="D28" s="5">
        <v>3</v>
      </c>
      <c r="K28" s="8" t="str">
        <f ca="1">Idiomas!D238</f>
        <v>Japón</v>
      </c>
      <c r="L28" s="8" t="s">
        <v>1285</v>
      </c>
      <c r="M28" s="8" t="e" vm="32">
        <v>#VALUE!</v>
      </c>
      <c r="O28" s="720"/>
      <c r="P28" s="722"/>
      <c r="Q28" s="787" t="str">
        <f>Idiomas!G261</f>
        <v>Octavos de final</v>
      </c>
      <c r="R28" s="786">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3">
        <v>#VALUE!</v>
      </c>
      <c r="O29" s="720"/>
      <c r="P29" s="722"/>
      <c r="Q29" s="787" t="str">
        <f>Idiomas!G262</f>
        <v>Cuartos de final</v>
      </c>
      <c r="R29" s="786">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4">
        <v>#VALUE!</v>
      </c>
      <c r="O30" s="720"/>
      <c r="Q30" s="787" t="str">
        <f>Idiomas!G263</f>
        <v>Semifinales</v>
      </c>
      <c r="R30" s="786">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5">
        <v>#VALUE!</v>
      </c>
      <c r="O31" s="720"/>
      <c r="Q31" s="787" t="str">
        <f>Idiomas!G264</f>
        <v>3-4 &amp; Final</v>
      </c>
      <c r="R31" s="786">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6">
        <v>#VALUE!</v>
      </c>
      <c r="O32" s="720"/>
      <c r="Q32" s="783" t="str">
        <f>+PROPER(Idiomas!H137)</f>
        <v>Qualified For Round Of 32</v>
      </c>
      <c r="R32" s="783">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7">
        <v>#VALUE!</v>
      </c>
      <c r="O33" s="720"/>
      <c r="Q33" s="787" t="str">
        <f>Idiomas!H260</f>
        <v>Round of 32</v>
      </c>
      <c r="R33" s="786">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8">
        <v>#VALUE!</v>
      </c>
      <c r="O34" s="720"/>
      <c r="Q34" s="787" t="str">
        <f>Idiomas!H261</f>
        <v>Round Of 16</v>
      </c>
      <c r="R34" s="786">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9">
        <v>#VALUE!</v>
      </c>
      <c r="O35" s="720"/>
      <c r="Q35" s="787" t="str">
        <f>Idiomas!H262</f>
        <v>Quarterfinals</v>
      </c>
      <c r="R35" s="786">
        <v>22</v>
      </c>
    </row>
    <row r="36" spans="1:20" ht="15" customHeight="1">
      <c r="A36" s="5">
        <v>35</v>
      </c>
      <c r="B36" s="5" t="str">
        <f ca="1">+INDEX(Idiomas!$D$212:$D$259,MATCH(T_Equipos[[#This Row],[Num]],Idiomas!$C$212:$C$259,0))</f>
        <v>Irak</v>
      </c>
      <c r="C36" s="5" t="s">
        <v>438</v>
      </c>
      <c r="D36" s="5">
        <v>3</v>
      </c>
      <c r="K36" s="8" t="str">
        <f ca="1">Idiomas!D246</f>
        <v>Paraguay</v>
      </c>
      <c r="L36" s="8" t="s">
        <v>1324</v>
      </c>
      <c r="M36" s="8" t="e" vm="40">
        <v>#VALUE!</v>
      </c>
      <c r="O36" s="720"/>
      <c r="Q36" s="787" t="str">
        <f>Idiomas!H263</f>
        <v>Semifinals</v>
      </c>
      <c r="R36" s="786">
        <v>23</v>
      </c>
    </row>
    <row r="37" spans="1:20" ht="15" customHeight="1">
      <c r="A37" s="5">
        <v>36</v>
      </c>
      <c r="B37" s="5" t="str">
        <f ca="1">+INDEX(Idiomas!$D$212:$D$259,MATCH(T_Equipos[[#This Row],[Num]],Idiomas!$C$212:$C$259,0))</f>
        <v>Noruega</v>
      </c>
      <c r="C37" s="5" t="s">
        <v>438</v>
      </c>
      <c r="D37" s="5">
        <v>4</v>
      </c>
      <c r="K37" s="8" t="str">
        <f ca="1">Idiomas!D247</f>
        <v>Portugal</v>
      </c>
      <c r="L37" s="8" t="s">
        <v>137</v>
      </c>
      <c r="M37" s="8" t="e" vm="41">
        <v>#VALUE!</v>
      </c>
      <c r="O37" s="720"/>
      <c r="Q37" s="787" t="str">
        <f>Idiomas!H264</f>
        <v>3-4 &amp; Final</v>
      </c>
      <c r="R37" s="786">
        <v>24</v>
      </c>
      <c r="T37" s="721"/>
    </row>
    <row r="38" spans="1:20" ht="15" customHeight="1">
      <c r="A38" s="5">
        <v>37</v>
      </c>
      <c r="B38" s="5" t="str">
        <f ca="1">+INDEX(Idiomas!$D$212:$D$259,MATCH(T_Equipos[[#This Row],[Num]],Idiomas!$C$212:$C$259,0))</f>
        <v>Argentina</v>
      </c>
      <c r="C38" s="5" t="s">
        <v>5</v>
      </c>
      <c r="D38" s="5">
        <v>1</v>
      </c>
      <c r="K38" s="8" t="str">
        <f ca="1">Idiomas!D248</f>
        <v>Senegal</v>
      </c>
      <c r="L38" s="8" t="s">
        <v>1643</v>
      </c>
      <c r="M38" s="8" t="e" vm="42">
        <v>#VALUE!</v>
      </c>
      <c r="O38" s="720"/>
      <c r="T38" s="721"/>
    </row>
    <row r="39" spans="1:20" ht="15" customHeight="1">
      <c r="A39" s="5">
        <v>38</v>
      </c>
      <c r="B39" s="5" t="str">
        <f ca="1">+INDEX(Idiomas!$D$212:$D$259,MATCH(T_Equipos[[#This Row],[Num]],Idiomas!$C$212:$C$259,0))</f>
        <v>Argelia</v>
      </c>
      <c r="C39" s="5" t="s">
        <v>5</v>
      </c>
      <c r="D39" s="5">
        <v>2</v>
      </c>
      <c r="K39" s="8" t="str">
        <f ca="1">Idiomas!D249</f>
        <v>Sudáfrica</v>
      </c>
      <c r="L39" s="8" t="s">
        <v>1636</v>
      </c>
      <c r="M39" s="8" t="e" vm="43">
        <v>#VALUE!</v>
      </c>
      <c r="O39" s="720"/>
      <c r="Q39" s="783" t="s">
        <v>1647</v>
      </c>
      <c r="R39" s="783" t="s">
        <v>1648</v>
      </c>
      <c r="S39" s="720"/>
      <c r="T39" s="721"/>
    </row>
    <row r="40" spans="1:20" ht="15" customHeight="1">
      <c r="A40" s="5">
        <v>39</v>
      </c>
      <c r="B40" s="5" t="str">
        <f ca="1">+INDEX(Idiomas!$D$212:$D$259,MATCH(T_Equipos[[#This Row],[Num]],Idiomas!$C$212:$C$259,0))</f>
        <v>Austria</v>
      </c>
      <c r="C40" s="5" t="s">
        <v>5</v>
      </c>
      <c r="D40" s="5">
        <v>3</v>
      </c>
      <c r="K40" s="8" t="str">
        <f ca="1">Idiomas!D250</f>
        <v>Suiza</v>
      </c>
      <c r="L40" s="8" t="s">
        <v>136</v>
      </c>
      <c r="M40" s="8" t="e" vm="44">
        <v>#VALUE!</v>
      </c>
      <c r="O40" s="720"/>
      <c r="Q40" s="787" cm="1">
        <f t="array" aca="1" ref="Q40" ca="1">IFERROR(INDEX($Q$2:$Q$25,SMALL(IF(($Q$2:$Q$25)=0,"",ROW($Q$2:$Q$25)),ROW(Q1))-MIN(ROW($Q$2:$Q$25))+1),"")</f>
        <v>46184</v>
      </c>
      <c r="R40" s="787" cm="1">
        <f t="array" aca="1" ref="R40:R62" ca="1">Equipos!$Q$40:INDEX(Equipos!$Q$40:$Q$63,SUMPRODUCT((NOT(ISERROR(Equipos!$Q$40:$Q$63)))*(Equipos!$Q$40:$Q$63&lt;&gt;"")))</f>
        <v>46184</v>
      </c>
      <c r="S40" s="720"/>
      <c r="T40" s="721"/>
    </row>
    <row r="41" spans="1:20" ht="15" customHeight="1">
      <c r="A41" s="5">
        <v>40</v>
      </c>
      <c r="B41" s="5" t="str">
        <f ca="1">+INDEX(Idiomas!$D$212:$D$259,MATCH(T_Equipos[[#This Row],[Num]],Idiomas!$C$212:$C$259,0))</f>
        <v>Jordania</v>
      </c>
      <c r="C41" s="5" t="s">
        <v>5</v>
      </c>
      <c r="D41" s="5">
        <v>4</v>
      </c>
      <c r="K41" s="8" t="str">
        <f ca="1">Idiomas!D251</f>
        <v>Túnez</v>
      </c>
      <c r="L41" s="8" t="s">
        <v>1329</v>
      </c>
      <c r="M41" s="8" t="e" vm="45">
        <v>#VALUE!</v>
      </c>
      <c r="O41" s="720"/>
      <c r="Q41" s="787" cm="1">
        <f t="array" aca="1" ref="Q41" ca="1">IFERROR(INDEX($Q$2:$Q$25,SMALL(IF(($Q$2:$Q$25)=0,"",ROW($Q$2:$Q$25)),ROW(Q2))-MIN(ROW($Q$2:$Q$25))+1),"")</f>
        <v>46185</v>
      </c>
      <c r="R41" s="787">
        <f ca="1"/>
        <v>46185</v>
      </c>
      <c r="T41" s="721"/>
    </row>
    <row r="42" spans="1:20" ht="15" customHeight="1">
      <c r="A42" s="5">
        <v>41</v>
      </c>
      <c r="B42" s="5" t="str">
        <f ca="1">+INDEX(Idiomas!$D$212:$D$259,MATCH(T_Equipos[[#This Row],[Num]],Idiomas!$C$212:$C$259,0))</f>
        <v>Portugal</v>
      </c>
      <c r="C42" s="5" t="s">
        <v>439</v>
      </c>
      <c r="D42" s="5">
        <v>1</v>
      </c>
      <c r="K42" s="8" t="str">
        <f ca="1">Idiomas!D252</f>
        <v>Uruguay</v>
      </c>
      <c r="L42" s="8" t="s">
        <v>1323</v>
      </c>
      <c r="M42" s="8" t="e" vm="46">
        <v>#VALUE!</v>
      </c>
      <c r="O42" s="720"/>
      <c r="Q42" s="787" cm="1">
        <f t="array" aca="1" ref="Q42" ca="1">IFERROR(INDEX($Q$2:$Q$25,SMALL(IF(($Q$2:$Q$25)=0,"",ROW($Q$2:$Q$25)),ROW(Q3))-MIN(ROW($Q$2:$Q$25))+1),"")</f>
        <v>46186</v>
      </c>
      <c r="R42" s="787">
        <f ca="1"/>
        <v>46186</v>
      </c>
      <c r="T42" s="721"/>
    </row>
    <row r="43" spans="1:20" ht="15" customHeight="1">
      <c r="A43" s="5">
        <v>42</v>
      </c>
      <c r="B43" s="5" t="str">
        <f ca="1">+INDEX(Idiomas!$D$212:$D$259,MATCH(T_Equipos[[#This Row],[Num]],Idiomas!$C$212:$C$259,0))</f>
        <v>RD Congo</v>
      </c>
      <c r="C43" s="5" t="s">
        <v>439</v>
      </c>
      <c r="D43" s="5">
        <v>2</v>
      </c>
      <c r="K43" s="8" t="str">
        <f ca="1">Idiomas!D253</f>
        <v>Uzbekistán</v>
      </c>
      <c r="L43" s="8" t="s">
        <v>1293</v>
      </c>
      <c r="M43" s="8" t="e" vm="47">
        <v>#VALUE!</v>
      </c>
      <c r="O43" s="720"/>
      <c r="Q43" s="787" cm="1">
        <f t="array" aca="1" ref="Q43" ca="1">IFERROR(INDEX($Q$2:$Q$25,SMALL(IF(($Q$2:$Q$25)=0,"",ROW($Q$2:$Q$25)),ROW(Q4))-MIN(ROW($Q$2:$Q$25))+1),"")</f>
        <v>46187</v>
      </c>
      <c r="R43" s="787">
        <f ca="1"/>
        <v>46187</v>
      </c>
      <c r="T43" s="721"/>
    </row>
    <row r="44" spans="1:20" ht="15" customHeight="1">
      <c r="A44" s="5">
        <v>43</v>
      </c>
      <c r="B44" s="5" t="str">
        <f ca="1">+INDEX(Idiomas!$D$212:$D$259,MATCH(T_Equipos[[#This Row],[Num]],Idiomas!$C$212:$C$259,0))</f>
        <v>Uzbekistán</v>
      </c>
      <c r="C44" s="5" t="s">
        <v>439</v>
      </c>
      <c r="D44" s="5">
        <v>3</v>
      </c>
      <c r="K44" s="8" t="str">
        <f ca="1">Idiomas!D254</f>
        <v>RD Congo</v>
      </c>
      <c r="L44" s="784" t="s">
        <v>1845</v>
      </c>
      <c r="M44" s="8" t="e" vm="48">
        <v>#VALUE!</v>
      </c>
      <c r="O44" s="720"/>
      <c r="Q44" s="787" cm="1">
        <f t="array" aca="1" ref="Q44" ca="1">IFERROR(INDEX($Q$2:$Q$25,SMALL(IF(($Q$2:$Q$25)=0,"",ROW($Q$2:$Q$25)),ROW(Q5))-MIN(ROW($Q$2:$Q$25))+1),"")</f>
        <v>46188</v>
      </c>
      <c r="R44" s="787">
        <f ca="1"/>
        <v>46188</v>
      </c>
      <c r="T44" s="721"/>
    </row>
    <row r="45" spans="1:20" ht="15" customHeight="1">
      <c r="A45" s="5">
        <v>44</v>
      </c>
      <c r="B45" s="5" t="str">
        <f ca="1">+INDEX(Idiomas!$D$212:$D$259,MATCH(T_Equipos[[#This Row],[Num]],Idiomas!$C$212:$C$259,0))</f>
        <v>Colombia</v>
      </c>
      <c r="C45" s="5" t="s">
        <v>439</v>
      </c>
      <c r="D45" s="5">
        <v>4</v>
      </c>
      <c r="K45" s="8" t="str">
        <f ca="1">Idiomas!D255</f>
        <v>Irak</v>
      </c>
      <c r="L45" s="784" t="s">
        <v>1759</v>
      </c>
      <c r="M45" s="8" t="e" vm="49">
        <v>#VALUE!</v>
      </c>
      <c r="O45" s="720"/>
      <c r="Q45" s="787" cm="1">
        <f t="array" aca="1" ref="Q45" ca="1">IFERROR(INDEX($Q$2:$Q$25,SMALL(IF(($Q$2:$Q$25)=0,"",ROW($Q$2:$Q$25)),ROW(Q6))-MIN(ROW($Q$2:$Q$25))+1),"")</f>
        <v>46189</v>
      </c>
      <c r="R45" s="787">
        <f ca="1"/>
        <v>46189</v>
      </c>
      <c r="T45" s="721"/>
    </row>
    <row r="46" spans="1:20" ht="15" customHeight="1">
      <c r="A46" s="5">
        <v>45</v>
      </c>
      <c r="B46" s="5" t="str">
        <f ca="1">+INDEX(Idiomas!$D$212:$D$259,MATCH(T_Equipos[[#This Row],[Num]],Idiomas!$C$212:$C$259,0))</f>
        <v>Inglaterra</v>
      </c>
      <c r="C46" s="5" t="s">
        <v>238</v>
      </c>
      <c r="D46" s="5">
        <v>1</v>
      </c>
      <c r="K46" s="8" t="str">
        <f ca="1">Idiomas!D256</f>
        <v>Bosnia y Herzegovina</v>
      </c>
      <c r="L46" s="785" t="s">
        <v>1846</v>
      </c>
      <c r="M46" s="8" t="e" vm="50">
        <v>#VALUE!</v>
      </c>
      <c r="O46" s="720"/>
      <c r="Q46" s="787" cm="1">
        <f t="array" aca="1" ref="Q46" ca="1">IFERROR(INDEX($Q$2:$Q$25,SMALL(IF(($Q$2:$Q$25)=0,"",ROW($Q$2:$Q$25)),ROW(Q7))-MIN(ROW($Q$2:$Q$25))+1),"")</f>
        <v>46190</v>
      </c>
      <c r="R46" s="787">
        <f ca="1"/>
        <v>46190</v>
      </c>
      <c r="T46" s="721"/>
    </row>
    <row r="47" spans="1:20" ht="15" customHeight="1">
      <c r="A47" s="5">
        <v>46</v>
      </c>
      <c r="B47" s="5" t="str">
        <f ca="1">+INDEX(Idiomas!$D$212:$D$259,MATCH(T_Equipos[[#This Row],[Num]],Idiomas!$C$212:$C$259,0))</f>
        <v>Croacia</v>
      </c>
      <c r="C47" s="5" t="s">
        <v>238</v>
      </c>
      <c r="D47" s="5">
        <v>2</v>
      </c>
      <c r="K47" s="8" t="str">
        <f ca="1">Idiomas!D257</f>
        <v>Suecia</v>
      </c>
      <c r="L47" s="784" t="s">
        <v>1837</v>
      </c>
      <c r="M47" s="8" t="e" vm="51">
        <v>#VALUE!</v>
      </c>
      <c r="O47" s="720"/>
      <c r="Q47" s="787" cm="1">
        <f t="array" aca="1" ref="Q47" ca="1">IFERROR(INDEX($Q$2:$Q$25,SMALL(IF(($Q$2:$Q$25)=0,"",ROW($Q$2:$Q$25)),ROW(Q8))-MIN(ROW($Q$2:$Q$25))+1),"")</f>
        <v>46191</v>
      </c>
      <c r="R47" s="787">
        <f ca="1"/>
        <v>46191</v>
      </c>
      <c r="T47" s="721"/>
    </row>
    <row r="48" spans="1:20" ht="15" customHeight="1">
      <c r="A48" s="5">
        <v>47</v>
      </c>
      <c r="B48" s="5" t="str">
        <f ca="1">+INDEX(Idiomas!$D$212:$D$259,MATCH(T_Equipos[[#This Row],[Num]],Idiomas!$C$212:$C$259,0))</f>
        <v>Ghana</v>
      </c>
      <c r="C48" s="5" t="s">
        <v>238</v>
      </c>
      <c r="D48" s="5">
        <v>3</v>
      </c>
      <c r="K48" s="8" t="str">
        <f ca="1">Idiomas!D258</f>
        <v>Turquía</v>
      </c>
      <c r="L48" s="784" t="s">
        <v>1838</v>
      </c>
      <c r="M48" s="8" t="e" vm="52">
        <v>#VALUE!</v>
      </c>
      <c r="O48" s="720"/>
      <c r="Q48" s="787" cm="1">
        <f t="array" aca="1" ref="Q48" ca="1">IFERROR(INDEX($Q$2:$Q$25,SMALL(IF(($Q$2:$Q$25)=0,"",ROW($Q$2:$Q$25)),ROW(Q9))-MIN(ROW($Q$2:$Q$25))+1),"")</f>
        <v>46192</v>
      </c>
      <c r="R48" s="787">
        <f ca="1"/>
        <v>46192</v>
      </c>
      <c r="T48" s="721"/>
    </row>
    <row r="49" spans="1:20" ht="15" customHeight="1">
      <c r="A49" s="5">
        <v>48</v>
      </c>
      <c r="B49" s="5" t="str">
        <f ca="1">+INDEX(Idiomas!$D$212:$D$259,MATCH(T_Equipos[[#This Row],[Num]],Idiomas!$C$212:$C$259,0))</f>
        <v>Panamá</v>
      </c>
      <c r="C49" s="5" t="s">
        <v>238</v>
      </c>
      <c r="D49" s="5">
        <v>4</v>
      </c>
      <c r="K49" s="8" t="str">
        <f ca="1">Idiomas!D259</f>
        <v>República Checa</v>
      </c>
      <c r="L49" s="784" t="s">
        <v>1847</v>
      </c>
      <c r="M49" s="8" t="e" vm="53">
        <v>#VALUE!</v>
      </c>
      <c r="O49" s="720"/>
      <c r="Q49" s="787" cm="1">
        <f t="array" aca="1" ref="Q49" ca="1">IFERROR(INDEX($Q$2:$Q$25,SMALL(IF(($Q$2:$Q$25)=0,"",ROW($Q$2:$Q$25)),ROW(Q10))-MIN(ROW($Q$2:$Q$25))+1),"")</f>
        <v>46193</v>
      </c>
      <c r="R49" s="787">
        <f ca="1"/>
        <v>46193</v>
      </c>
      <c r="T49" s="721"/>
    </row>
    <row r="50" spans="1:20" ht="15" customHeight="1">
      <c r="K50" s="8"/>
      <c r="L50" s="8" t="s">
        <v>1304</v>
      </c>
      <c r="M50" s="8"/>
      <c r="O50" s="720"/>
      <c r="Q50" s="787" cm="1">
        <f t="array" aca="1" ref="Q50" ca="1">IFERROR(INDEX($Q$2:$Q$25,SMALL(IF(($Q$2:$Q$25)=0,"",ROW($Q$2:$Q$25)),ROW(Q11))-MIN(ROW($Q$2:$Q$25))+1),"")</f>
        <v>46194</v>
      </c>
      <c r="R50" s="787">
        <f ca="1"/>
        <v>46194</v>
      </c>
      <c r="T50" s="721"/>
    </row>
    <row r="51" spans="1:20" ht="15" customHeight="1">
      <c r="O51" s="720"/>
      <c r="Q51" s="787" cm="1">
        <f t="array" aca="1" ref="Q51" ca="1">IFERROR(INDEX($Q$2:$Q$25,SMALL(IF(($Q$2:$Q$25)=0,"",ROW($Q$2:$Q$25)),ROW(Q12))-MIN(ROW($Q$2:$Q$25))+1),"")</f>
        <v>46195</v>
      </c>
      <c r="R51" s="787">
        <f ca="1"/>
        <v>46195</v>
      </c>
      <c r="T51" s="721"/>
    </row>
    <row r="52" spans="1:20" ht="15" customHeight="1">
      <c r="O52" s="720"/>
      <c r="Q52" s="787" cm="1">
        <f t="array" aca="1" ref="Q52" ca="1">IFERROR(INDEX($Q$2:$Q$25,SMALL(IF(($Q$2:$Q$25)=0,"",ROW($Q$2:$Q$25)),ROW(Q13))-MIN(ROW($Q$2:$Q$25))+1),"")</f>
        <v>46196</v>
      </c>
      <c r="R52" s="787">
        <f ca="1"/>
        <v>46196</v>
      </c>
      <c r="T52" s="721"/>
    </row>
    <row r="53" spans="1:20" ht="15" customHeight="1">
      <c r="O53" s="720"/>
      <c r="P53" s="722"/>
      <c r="Q53" s="787" cm="1">
        <f t="array" aca="1" ref="Q53" ca="1">IFERROR(INDEX($Q$2:$Q$25,SMALL(IF(($Q$2:$Q$25)=0,"",ROW($Q$2:$Q$25)),ROW(Q14))-MIN(ROW($Q$2:$Q$25))+1),"")</f>
        <v>46197</v>
      </c>
      <c r="R53" s="787">
        <f ca="1"/>
        <v>46197</v>
      </c>
      <c r="T53" s="721"/>
    </row>
    <row r="54" spans="1:20" ht="15" customHeight="1">
      <c r="O54" s="720"/>
      <c r="Q54" s="787" cm="1">
        <f t="array" aca="1" ref="Q54" ca="1">IFERROR(INDEX($Q$2:$Q$25,SMALL(IF(($Q$2:$Q$25)=0,"",ROW($Q$2:$Q$25)),ROW(Q15))-MIN(ROW($Q$2:$Q$25))+1),"")</f>
        <v>46198</v>
      </c>
      <c r="R54" s="787">
        <f ca="1"/>
        <v>46198</v>
      </c>
      <c r="T54" s="721"/>
    </row>
    <row r="55" spans="1:20" ht="15" customHeight="1">
      <c r="O55" s="720"/>
      <c r="Q55" s="787" cm="1">
        <f t="array" aca="1" ref="Q55" ca="1">IFERROR(INDEX($Q$2:$Q$25,SMALL(IF(($Q$2:$Q$25)=0,"",ROW($Q$2:$Q$25)),ROW(Q16))-MIN(ROW($Q$2:$Q$25))+1),"")</f>
        <v>46199</v>
      </c>
      <c r="R55" s="787">
        <f ca="1"/>
        <v>46199</v>
      </c>
      <c r="T55" s="721"/>
    </row>
    <row r="56" spans="1:20" ht="15" customHeight="1">
      <c r="O56" s="720"/>
      <c r="Q56" s="787" cm="1">
        <f t="array" aca="1" ref="Q56" ca="1">IFERROR(INDEX($Q$2:$Q$25,SMALL(IF(($Q$2:$Q$25)=0,"",ROW($Q$2:$Q$25)),ROW(Q17))-MIN(ROW($Q$2:$Q$25))+1),"")</f>
        <v>46200</v>
      </c>
      <c r="R56" s="787">
        <f ca="1"/>
        <v>46200</v>
      </c>
      <c r="T56" s="721"/>
    </row>
    <row r="57" spans="1:20" ht="15" customHeight="1">
      <c r="O57" s="720"/>
      <c r="Q57" s="787" t="str" cm="1">
        <f t="array" aca="1" ref="Q57" ca="1">IFERROR(INDEX($Q$2:$Q$25,SMALL(IF(($Q$2:$Q$25)=0,"",ROW($Q$2:$Q$25)),ROW(Q18))-MIN(ROW($Q$2:$Q$25))+1),"")</f>
        <v>Clasificados Para Dieciseisavos</v>
      </c>
      <c r="R57" s="787" t="str">
        <f ca="1"/>
        <v>Clasificados Para Dieciseisavos</v>
      </c>
      <c r="T57" s="721"/>
    </row>
    <row r="58" spans="1:20" ht="15" customHeight="1">
      <c r="O58" s="720"/>
      <c r="Q58" s="787" t="str" cm="1">
        <f t="array" aca="1" ref="Q58" ca="1">IFERROR(INDEX($Q$2:$Q$25,SMALL(IF(($Q$2:$Q$25)=0,"",ROW($Q$2:$Q$25)),ROW(Q19))-MIN(ROW($Q$2:$Q$25))+1),"")</f>
        <v>Dieciseisavos de final</v>
      </c>
      <c r="R58" s="783" t="str">
        <f ca="1"/>
        <v>Dieciseisavos de final</v>
      </c>
      <c r="T58" s="721"/>
    </row>
    <row r="59" spans="1:20" ht="15" customHeight="1">
      <c r="O59" s="720"/>
      <c r="Q59" s="787" t="str" cm="1">
        <f t="array" aca="1" ref="Q59" ca="1">IFERROR(INDEX($Q$2:$Q$25,SMALL(IF(($Q$2:$Q$25)=0,"",ROW($Q$2:$Q$25)),ROW(Q20))-MIN(ROW($Q$2:$Q$25))+1),"")</f>
        <v>Octavos de final</v>
      </c>
      <c r="R59" s="783" t="str">
        <f ca="1"/>
        <v>Octavos de final</v>
      </c>
      <c r="T59" s="721"/>
    </row>
    <row r="60" spans="1:20" ht="15" customHeight="1">
      <c r="O60" s="720"/>
      <c r="Q60" s="787" t="str" cm="1">
        <f t="array" aca="1" ref="Q60" ca="1">IFERROR(INDEX($Q$2:$Q$25,SMALL(IF(($Q$2:$Q$25)=0,"",ROW($Q$2:$Q$25)),ROW(Q21))-MIN(ROW($Q$2:$Q$25))+1),"")</f>
        <v>Cuartos de final</v>
      </c>
      <c r="R60" s="783" t="str">
        <f ca="1"/>
        <v>Cuartos de final</v>
      </c>
      <c r="T60" s="721"/>
    </row>
    <row r="61" spans="1:20" ht="15" customHeight="1">
      <c r="O61" s="720"/>
      <c r="Q61" s="787" t="str" cm="1">
        <f t="array" aca="1" ref="Q61" ca="1">IFERROR(INDEX($Q$2:$Q$25,SMALL(IF(($Q$2:$Q$25)=0,"",ROW($Q$2:$Q$25)),ROW(Q22))-MIN(ROW($Q$2:$Q$25))+1),"")</f>
        <v>Semifinales</v>
      </c>
      <c r="R61" s="783" t="str">
        <f ca="1"/>
        <v>Semifinales</v>
      </c>
    </row>
    <row r="62" spans="1:20" ht="15" customHeight="1">
      <c r="O62" s="720"/>
      <c r="Q62" s="787" t="str" cm="1">
        <f t="array" aca="1" ref="Q62" ca="1">IFERROR(INDEX($Q$2:$Q$25,SMALL(IF(($Q$2:$Q$25)=0,"",ROW($Q$2:$Q$25)),ROW(Q23))-MIN(ROW($Q$2:$Q$25))+1),"")</f>
        <v>3-4 &amp; Final</v>
      </c>
      <c r="R62" s="783" t="str">
        <f ca="1"/>
        <v>3-4 &amp; Final</v>
      </c>
    </row>
    <row r="63" spans="1:20" ht="15" customHeight="1">
      <c r="O63" s="720"/>
      <c r="Q63" s="787" t="str" cm="1">
        <f t="array" aca="1" ref="Q63" ca="1">IFERROR(INDEX($Q$2:$Q$25,SMALL(IF(($Q$2:$Q$25)=0,"",ROW($Q$2:$Q$25)),ROW(Q24))-MIN(ROW($Q$2:$Q$25))+1),"")</f>
        <v/>
      </c>
      <c r="R63" s="783"/>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4"/>
      <c r="B1" s="11"/>
      <c r="C1" s="11"/>
      <c r="D1" s="11"/>
      <c r="E1" s="11"/>
      <c r="F1" s="11"/>
      <c r="G1" s="11"/>
      <c r="H1" s="11"/>
      <c r="I1" s="11"/>
      <c r="J1" s="11"/>
      <c r="K1" s="765" t="s">
        <v>376</v>
      </c>
      <c r="L1" s="765" t="s">
        <v>367</v>
      </c>
      <c r="M1" s="765" t="s">
        <v>149</v>
      </c>
      <c r="N1" s="765"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5" t="s">
        <v>366</v>
      </c>
      <c r="L2" s="765" t="str">
        <f>Idiomas!D266</f>
        <v>Estados Unidos</v>
      </c>
      <c r="M2" s="765">
        <f ca="1">+INDEX($R$3:$R$86,MATCH($L$2,$Q$3:$Q$86,0))</f>
        <v>-4</v>
      </c>
      <c r="N2" s="766">
        <f ca="1">+INDEX($S$3:$S$86,MATCH($L$2,$Q$3:$Q$86,0))</f>
        <v>0.16666666666666666</v>
      </c>
      <c r="O2" s="11"/>
      <c r="P2" s="767" t="s">
        <v>368</v>
      </c>
      <c r="Q2" s="767" t="s">
        <v>367</v>
      </c>
      <c r="R2" s="767" t="s">
        <v>352</v>
      </c>
      <c r="S2" s="767" t="s">
        <v>371</v>
      </c>
      <c r="T2" s="767" t="s">
        <v>353</v>
      </c>
      <c r="U2" s="767" t="s">
        <v>354</v>
      </c>
      <c r="V2" s="767" t="s">
        <v>370</v>
      </c>
      <c r="W2" s="768" t="s">
        <v>369</v>
      </c>
      <c r="X2" s="767" t="s">
        <v>353</v>
      </c>
      <c r="Y2" s="11"/>
      <c r="Z2" s="11"/>
      <c r="AA2" s="767" t="s">
        <v>368</v>
      </c>
      <c r="AB2" s="767" t="s">
        <v>367</v>
      </c>
      <c r="AC2" s="767" t="s">
        <v>352</v>
      </c>
      <c r="AD2" s="767" t="s">
        <v>371</v>
      </c>
      <c r="AE2" s="767" t="s">
        <v>353</v>
      </c>
      <c r="AF2" s="767" t="s">
        <v>354</v>
      </c>
      <c r="AG2" s="767" t="s">
        <v>370</v>
      </c>
      <c r="AH2" s="768" t="s">
        <v>369</v>
      </c>
      <c r="AI2" s="767"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69">
        <f t="shared" ca="1" si="0"/>
        <v>8.3333333333333329E-2</v>
      </c>
      <c r="T3" s="11">
        <f t="shared" ca="1" si="0"/>
        <v>0</v>
      </c>
      <c r="U3" s="11">
        <f t="shared" ca="1" si="0"/>
        <v>6</v>
      </c>
      <c r="V3" s="769">
        <f t="shared" ca="1" si="0"/>
        <v>0.25</v>
      </c>
      <c r="W3" s="11">
        <f t="shared" ca="1" si="0"/>
        <v>1</v>
      </c>
      <c r="X3" s="11">
        <f t="shared" ref="X3:X50" ca="1" si="1">IFERROR(IF(Q3=$L$2,1,0),0)</f>
        <v>0</v>
      </c>
      <c r="Y3" s="11"/>
      <c r="Z3" s="11"/>
      <c r="AA3" s="11">
        <v>1</v>
      </c>
      <c r="AB3" s="11" t="str">
        <f ca="1">Idiomas!D212</f>
        <v>Alemania</v>
      </c>
      <c r="AC3" s="11">
        <v>2</v>
      </c>
      <c r="AD3" s="769">
        <f>ABS(AC3/24)</f>
        <v>8.3333333333333329E-2</v>
      </c>
      <c r="AE3" s="11">
        <v>0</v>
      </c>
      <c r="AF3" s="11">
        <f ca="1">AC3-$M$2</f>
        <v>6</v>
      </c>
      <c r="AG3" s="769">
        <f ca="1">ABS(AF3/24)</f>
        <v>0.25</v>
      </c>
      <c r="AH3" s="11">
        <f ca="1">IF(AC3&gt;$M$2,1,IF(AC3=$M$2,0,-1))</f>
        <v>1</v>
      </c>
      <c r="AI3" s="11">
        <f ca="1">+COUNTIF($AB$3:$AB$50,"&lt;="&amp;AB3)</f>
        <v>1</v>
      </c>
      <c r="AJ3" s="11"/>
    </row>
    <row r="4" spans="1:36">
      <c r="A4" s="764">
        <v>46184.625</v>
      </c>
      <c r="B4" s="11"/>
      <c r="C4" s="764">
        <f t="shared" ref="C4:C9" ca="1" si="2">A4+INDEX($V$3:$V$86,MATCH($C$3,$P$3:$P$86,0))*INDEX($W$3:$W$86,MATCH($C$3,$P$3:$P$86,0))</f>
        <v>46184.625</v>
      </c>
      <c r="D4" s="764"/>
      <c r="E4" s="764"/>
      <c r="F4" s="11"/>
      <c r="G4" s="11"/>
      <c r="H4" s="11"/>
      <c r="I4" s="11"/>
      <c r="J4" s="11"/>
      <c r="K4" s="11"/>
      <c r="L4" s="11"/>
      <c r="M4" s="11"/>
      <c r="N4" s="11"/>
      <c r="O4" s="11"/>
      <c r="P4" s="11">
        <v>2</v>
      </c>
      <c r="Q4" s="11" t="str">
        <f t="shared" ref="Q4:Q50" ca="1" si="3">+INDEX($AB$3:$AB$50,MATCH(P4,$AI$3:$AI$50,0))</f>
        <v>Arabia Saudita</v>
      </c>
      <c r="R4" s="11">
        <f t="shared" ca="1" si="0"/>
        <v>3</v>
      </c>
      <c r="S4" s="769">
        <f t="shared" ca="1" si="0"/>
        <v>0.125</v>
      </c>
      <c r="T4" s="11">
        <f t="shared" ca="1" si="0"/>
        <v>0</v>
      </c>
      <c r="U4" s="11">
        <f t="shared" ca="1" si="0"/>
        <v>7</v>
      </c>
      <c r="V4" s="769">
        <f t="shared" ca="1" si="0"/>
        <v>0.29166666666666669</v>
      </c>
      <c r="W4" s="11">
        <f t="shared" ca="1" si="0"/>
        <v>1</v>
      </c>
      <c r="X4" s="11">
        <f t="shared" ca="1" si="1"/>
        <v>0</v>
      </c>
      <c r="Y4" s="11"/>
      <c r="Z4" s="11"/>
      <c r="AA4" s="11">
        <v>2</v>
      </c>
      <c r="AB4" s="11" t="str">
        <f ca="1">Idiomas!D213</f>
        <v>Arabia Saudita</v>
      </c>
      <c r="AC4" s="11">
        <v>3</v>
      </c>
      <c r="AD4" s="769">
        <f t="shared" ref="AD4:AD67" si="4">ABS(AC4/24)</f>
        <v>0.125</v>
      </c>
      <c r="AE4" s="11">
        <v>0</v>
      </c>
      <c r="AF4" s="11">
        <f t="shared" ref="AF4:AF50" ca="1" si="5">AC4-$M$2</f>
        <v>7</v>
      </c>
      <c r="AG4" s="769">
        <f t="shared" ref="AG4:AG67" ca="1" si="6">ABS(AF4/24)</f>
        <v>0.29166666666666669</v>
      </c>
      <c r="AH4" s="11">
        <f t="shared" ref="AH4:AH50" ca="1" si="7">IF(AC4&gt;$M$2,1,IF(AC4=$M$2,0,-1))</f>
        <v>1</v>
      </c>
      <c r="AI4" s="11">
        <f t="shared" ref="AI4:AI50" ca="1" si="8">+COUNTIF($AB$3:$AB$50,"&lt;="&amp;AB4)</f>
        <v>2</v>
      </c>
      <c r="AJ4" s="11"/>
    </row>
    <row r="5" spans="1:36">
      <c r="A5" s="764">
        <v>46184.916666666664</v>
      </c>
      <c r="B5" s="11"/>
      <c r="C5" s="764">
        <f t="shared" ca="1" si="2"/>
        <v>46184.916666666664</v>
      </c>
      <c r="D5" s="764"/>
      <c r="E5" s="764"/>
      <c r="F5" s="11"/>
      <c r="G5" s="11"/>
      <c r="H5" s="11"/>
      <c r="I5" s="11"/>
      <c r="J5" s="11"/>
      <c r="K5" s="11"/>
      <c r="L5" s="11"/>
      <c r="M5" s="11"/>
      <c r="N5" s="11"/>
      <c r="O5" s="11"/>
      <c r="P5" s="11">
        <v>3</v>
      </c>
      <c r="Q5" s="11" t="str">
        <f t="shared" ca="1" si="3"/>
        <v>Argelia</v>
      </c>
      <c r="R5" s="11">
        <f t="shared" ca="1" si="0"/>
        <v>1</v>
      </c>
      <c r="S5" s="769">
        <f t="shared" ca="1" si="0"/>
        <v>4.1666666666666664E-2</v>
      </c>
      <c r="T5" s="11">
        <f t="shared" ca="1" si="0"/>
        <v>0</v>
      </c>
      <c r="U5" s="11">
        <f t="shared" ca="1" si="0"/>
        <v>5</v>
      </c>
      <c r="V5" s="769">
        <f t="shared" ca="1" si="0"/>
        <v>0.20833333333333334</v>
      </c>
      <c r="W5" s="11">
        <f t="shared" ca="1" si="0"/>
        <v>1</v>
      </c>
      <c r="X5" s="11">
        <f t="shared" ca="1" si="1"/>
        <v>0</v>
      </c>
      <c r="Y5" s="11"/>
      <c r="Z5" s="11"/>
      <c r="AA5" s="11">
        <v>3</v>
      </c>
      <c r="AB5" s="11" t="str">
        <f ca="1">Idiomas!D214</f>
        <v>Argelia</v>
      </c>
      <c r="AC5" s="11">
        <v>1</v>
      </c>
      <c r="AD5" s="769">
        <f t="shared" si="4"/>
        <v>4.1666666666666664E-2</v>
      </c>
      <c r="AE5" s="11">
        <v>0</v>
      </c>
      <c r="AF5" s="11">
        <f t="shared" ca="1" si="5"/>
        <v>5</v>
      </c>
      <c r="AG5" s="769">
        <f t="shared" ca="1" si="6"/>
        <v>0.20833333333333334</v>
      </c>
      <c r="AH5" s="11">
        <f t="shared" ca="1" si="7"/>
        <v>1</v>
      </c>
      <c r="AI5" s="11">
        <f t="shared" ca="1" si="8"/>
        <v>3</v>
      </c>
      <c r="AJ5" s="11"/>
    </row>
    <row r="6" spans="1:36">
      <c r="A6" s="764">
        <v>46191.5</v>
      </c>
      <c r="B6" s="11"/>
      <c r="C6" s="764">
        <f t="shared" ca="1" si="2"/>
        <v>46191.5</v>
      </c>
      <c r="D6" s="764"/>
      <c r="E6" s="764"/>
      <c r="F6" s="11"/>
      <c r="G6" s="11"/>
      <c r="H6" s="11"/>
      <c r="I6" s="11"/>
      <c r="J6" s="11"/>
      <c r="K6" s="11"/>
      <c r="L6" s="11"/>
      <c r="M6" s="11"/>
      <c r="N6" s="11"/>
      <c r="O6" s="11"/>
      <c r="P6" s="11">
        <v>4</v>
      </c>
      <c r="Q6" s="11" t="str">
        <f t="shared" ca="1" si="3"/>
        <v>Argentina</v>
      </c>
      <c r="R6" s="11">
        <f t="shared" ca="1" si="0"/>
        <v>-3</v>
      </c>
      <c r="S6" s="769">
        <f t="shared" ca="1" si="0"/>
        <v>0.125</v>
      </c>
      <c r="T6" s="11">
        <f t="shared" ca="1" si="0"/>
        <v>0</v>
      </c>
      <c r="U6" s="11">
        <f t="shared" ca="1" si="0"/>
        <v>1</v>
      </c>
      <c r="V6" s="769">
        <f t="shared" ca="1" si="0"/>
        <v>4.1666666666666664E-2</v>
      </c>
      <c r="W6" s="11">
        <f t="shared" ca="1" si="0"/>
        <v>1</v>
      </c>
      <c r="X6" s="11">
        <f t="shared" ca="1" si="1"/>
        <v>0</v>
      </c>
      <c r="Y6" s="11"/>
      <c r="Z6" s="11"/>
      <c r="AA6" s="11">
        <v>4</v>
      </c>
      <c r="AB6" s="11" t="str">
        <f ca="1">Idiomas!D215</f>
        <v>Argentina</v>
      </c>
      <c r="AC6" s="11">
        <v>-3</v>
      </c>
      <c r="AD6" s="769">
        <f t="shared" si="4"/>
        <v>0.125</v>
      </c>
      <c r="AE6" s="11">
        <v>0</v>
      </c>
      <c r="AF6" s="11">
        <f t="shared" ca="1" si="5"/>
        <v>1</v>
      </c>
      <c r="AG6" s="769">
        <f t="shared" ca="1" si="6"/>
        <v>4.1666666666666664E-2</v>
      </c>
      <c r="AH6" s="11">
        <f t="shared" ca="1" si="7"/>
        <v>1</v>
      </c>
      <c r="AI6" s="11">
        <f t="shared" ca="1" si="8"/>
        <v>4</v>
      </c>
      <c r="AJ6" s="11"/>
    </row>
    <row r="7" spans="1:36">
      <c r="A7" s="764">
        <v>46191.875</v>
      </c>
      <c r="B7" s="11"/>
      <c r="C7" s="764">
        <f t="shared" ca="1" si="2"/>
        <v>46191.875</v>
      </c>
      <c r="D7" s="764"/>
      <c r="E7" s="764"/>
      <c r="F7" s="11"/>
      <c r="G7" s="11"/>
      <c r="H7" s="11"/>
      <c r="I7" s="11"/>
      <c r="J7" s="11"/>
      <c r="K7" s="11"/>
      <c r="L7" s="11"/>
      <c r="M7" s="11"/>
      <c r="N7" s="11"/>
      <c r="O7" s="11"/>
      <c r="P7" s="11">
        <v>5</v>
      </c>
      <c r="Q7" s="11" t="str">
        <f t="shared" ca="1" si="3"/>
        <v>Australia</v>
      </c>
      <c r="R7" s="11">
        <f t="shared" ca="1" si="0"/>
        <v>10.5</v>
      </c>
      <c r="S7" s="769">
        <f t="shared" ca="1" si="0"/>
        <v>0.4375</v>
      </c>
      <c r="T7" s="11">
        <f t="shared" ca="1" si="0"/>
        <v>0</v>
      </c>
      <c r="U7" s="11">
        <f t="shared" ca="1" si="0"/>
        <v>14.5</v>
      </c>
      <c r="V7" s="769">
        <f t="shared" ca="1" si="0"/>
        <v>0.60416666666666663</v>
      </c>
      <c r="W7" s="11">
        <f t="shared" ca="1" si="0"/>
        <v>1</v>
      </c>
      <c r="X7" s="11">
        <f t="shared" ca="1" si="1"/>
        <v>0</v>
      </c>
      <c r="Y7" s="11"/>
      <c r="Z7" s="11"/>
      <c r="AA7" s="11">
        <v>5</v>
      </c>
      <c r="AB7" s="11" t="str">
        <f ca="1">Idiomas!D216</f>
        <v>Australia</v>
      </c>
      <c r="AC7" s="11">
        <v>10.5</v>
      </c>
      <c r="AD7" s="769">
        <f t="shared" si="4"/>
        <v>0.4375</v>
      </c>
      <c r="AE7" s="11">
        <v>0</v>
      </c>
      <c r="AF7" s="11">
        <f t="shared" ca="1" si="5"/>
        <v>14.5</v>
      </c>
      <c r="AG7" s="769">
        <f t="shared" ca="1" si="6"/>
        <v>0.60416666666666663</v>
      </c>
      <c r="AH7" s="11">
        <f t="shared" ca="1" si="7"/>
        <v>1</v>
      </c>
      <c r="AI7" s="11">
        <f t="shared" ca="1" si="8"/>
        <v>5</v>
      </c>
      <c r="AJ7" s="11"/>
    </row>
    <row r="8" spans="1:36">
      <c r="A8" s="764">
        <v>46197.875</v>
      </c>
      <c r="B8" s="11"/>
      <c r="C8" s="764">
        <f t="shared" ca="1" si="2"/>
        <v>46197.875</v>
      </c>
      <c r="D8" s="764"/>
      <c r="E8" s="764"/>
      <c r="F8" s="11"/>
      <c r="G8" s="11"/>
      <c r="H8" s="11"/>
      <c r="I8" s="11"/>
      <c r="J8" s="11"/>
      <c r="K8" s="11"/>
      <c r="L8" s="11"/>
      <c r="M8" s="11"/>
      <c r="N8" s="11"/>
      <c r="O8" s="11"/>
      <c r="P8" s="11">
        <v>6</v>
      </c>
      <c r="Q8" s="11" t="str">
        <f t="shared" ca="1" si="3"/>
        <v>Austria</v>
      </c>
      <c r="R8" s="11">
        <f t="shared" ca="1" si="0"/>
        <v>2</v>
      </c>
      <c r="S8" s="769">
        <f t="shared" ca="1" si="0"/>
        <v>8.3333333333333329E-2</v>
      </c>
      <c r="T8" s="11">
        <f t="shared" ca="1" si="0"/>
        <v>0</v>
      </c>
      <c r="U8" s="11">
        <f t="shared" ca="1" si="0"/>
        <v>6</v>
      </c>
      <c r="V8" s="769">
        <f t="shared" ca="1" si="0"/>
        <v>0.25</v>
      </c>
      <c r="W8" s="11">
        <f t="shared" ca="1" si="0"/>
        <v>1</v>
      </c>
      <c r="X8" s="11">
        <f t="shared" ca="1" si="1"/>
        <v>0</v>
      </c>
      <c r="Y8" s="11"/>
      <c r="Z8" s="11"/>
      <c r="AA8" s="11">
        <v>6</v>
      </c>
      <c r="AB8" s="11" t="str">
        <f ca="1">Idiomas!D217</f>
        <v>Austria</v>
      </c>
      <c r="AC8" s="11">
        <v>2</v>
      </c>
      <c r="AD8" s="769">
        <f t="shared" si="4"/>
        <v>8.3333333333333329E-2</v>
      </c>
      <c r="AE8" s="11">
        <v>0</v>
      </c>
      <c r="AF8" s="11">
        <f t="shared" ca="1" si="5"/>
        <v>6</v>
      </c>
      <c r="AG8" s="769">
        <f t="shared" ca="1" si="6"/>
        <v>0.25</v>
      </c>
      <c r="AH8" s="11">
        <f t="shared" ca="1" si="7"/>
        <v>1</v>
      </c>
      <c r="AI8" s="11">
        <f t="shared" ca="1" si="8"/>
        <v>6</v>
      </c>
      <c r="AJ8" s="11"/>
    </row>
    <row r="9" spans="1:36">
      <c r="A9" s="764">
        <v>46197.875</v>
      </c>
      <c r="B9" s="11"/>
      <c r="C9" s="764">
        <f t="shared" ca="1" si="2"/>
        <v>46197.875</v>
      </c>
      <c r="D9" s="764"/>
      <c r="E9" s="764"/>
      <c r="F9" s="11"/>
      <c r="G9" s="11"/>
      <c r="H9" s="11"/>
      <c r="I9" s="11"/>
      <c r="J9" s="11"/>
      <c r="K9" s="11"/>
      <c r="L9" s="11"/>
      <c r="M9" s="11"/>
      <c r="N9" s="11"/>
      <c r="O9" s="11"/>
      <c r="P9" s="11">
        <v>7</v>
      </c>
      <c r="Q9" s="11" t="str">
        <f t="shared" ca="1" si="3"/>
        <v>Bélgica</v>
      </c>
      <c r="R9" s="11">
        <f t="shared" ca="1" si="0"/>
        <v>2</v>
      </c>
      <c r="S9" s="769">
        <f t="shared" ca="1" si="0"/>
        <v>8.3333333333333329E-2</v>
      </c>
      <c r="T9" s="11">
        <f t="shared" ca="1" si="0"/>
        <v>0</v>
      </c>
      <c r="U9" s="11">
        <f t="shared" ca="1" si="0"/>
        <v>6</v>
      </c>
      <c r="V9" s="769">
        <f t="shared" ca="1" si="0"/>
        <v>0.25</v>
      </c>
      <c r="W9" s="11">
        <f t="shared" ca="1" si="0"/>
        <v>1</v>
      </c>
      <c r="X9" s="11">
        <f t="shared" ca="1" si="1"/>
        <v>0</v>
      </c>
      <c r="Y9" s="11"/>
      <c r="Z9" s="11"/>
      <c r="AA9" s="11">
        <v>7</v>
      </c>
      <c r="AB9" s="11" t="str">
        <f ca="1">Idiomas!D218</f>
        <v>Bélgica</v>
      </c>
      <c r="AC9" s="11">
        <v>2</v>
      </c>
      <c r="AD9" s="769">
        <f t="shared" si="4"/>
        <v>8.3333333333333329E-2</v>
      </c>
      <c r="AE9" s="11">
        <v>0</v>
      </c>
      <c r="AF9" s="11">
        <f t="shared" ca="1" si="5"/>
        <v>6</v>
      </c>
      <c r="AG9" s="769">
        <f t="shared" ca="1" si="6"/>
        <v>0.25</v>
      </c>
      <c r="AH9" s="11">
        <f t="shared" ca="1" si="7"/>
        <v>1</v>
      </c>
      <c r="AI9" s="11">
        <f t="shared" ca="1" si="8"/>
        <v>7</v>
      </c>
      <c r="AJ9" s="11"/>
    </row>
    <row r="10" spans="1:36">
      <c r="A10" s="11"/>
      <c r="B10" s="11"/>
      <c r="C10" s="764"/>
      <c r="D10" s="11"/>
      <c r="E10" s="764"/>
      <c r="F10" s="11"/>
      <c r="G10" s="11"/>
      <c r="H10" s="11"/>
      <c r="I10" s="11"/>
      <c r="J10" s="11"/>
      <c r="K10" s="11"/>
      <c r="L10" s="11"/>
      <c r="M10" s="11"/>
      <c r="N10" s="11"/>
      <c r="O10" s="11"/>
      <c r="P10" s="11">
        <v>8</v>
      </c>
      <c r="Q10" s="11" t="str">
        <f t="shared" ca="1" si="3"/>
        <v>Bosnia y Herzegovina</v>
      </c>
      <c r="R10" s="11">
        <f t="shared" ca="1" si="0"/>
        <v>2</v>
      </c>
      <c r="S10" s="769">
        <f t="shared" ca="1" si="0"/>
        <v>8.3333333333333329E-2</v>
      </c>
      <c r="T10" s="11">
        <f t="shared" ca="1" si="0"/>
        <v>0</v>
      </c>
      <c r="U10" s="11">
        <f t="shared" ca="1" si="0"/>
        <v>6</v>
      </c>
      <c r="V10" s="769">
        <f t="shared" ca="1" si="0"/>
        <v>0.25</v>
      </c>
      <c r="W10" s="11">
        <f t="shared" ca="1" si="0"/>
        <v>1</v>
      </c>
      <c r="X10" s="11">
        <f t="shared" ca="1" si="1"/>
        <v>0</v>
      </c>
      <c r="Y10" s="11"/>
      <c r="Z10" s="11"/>
      <c r="AA10" s="11">
        <v>8</v>
      </c>
      <c r="AB10" s="11" t="str">
        <f ca="1">Idiomas!D219</f>
        <v>Brasil</v>
      </c>
      <c r="AC10" s="11">
        <v>-3</v>
      </c>
      <c r="AD10" s="769">
        <f t="shared" si="4"/>
        <v>0.125</v>
      </c>
      <c r="AE10" s="11">
        <v>0</v>
      </c>
      <c r="AF10" s="11">
        <f t="shared" ca="1" si="5"/>
        <v>1</v>
      </c>
      <c r="AG10" s="769">
        <f t="shared" ca="1" si="6"/>
        <v>4.1666666666666664E-2</v>
      </c>
      <c r="AH10" s="11">
        <f t="shared" ca="1" si="7"/>
        <v>1</v>
      </c>
      <c r="AI10" s="11">
        <f t="shared" ca="1" si="8"/>
        <v>9</v>
      </c>
      <c r="AJ10" s="11"/>
    </row>
    <row r="11" spans="1:36">
      <c r="A11" s="8" t="s">
        <v>40</v>
      </c>
      <c r="B11" s="11"/>
      <c r="C11" s="764"/>
      <c r="D11" s="11"/>
      <c r="E11" s="764"/>
      <c r="F11" s="11"/>
      <c r="G11" s="11"/>
      <c r="H11" s="11"/>
      <c r="I11" s="11"/>
      <c r="J11" s="11"/>
      <c r="K11" s="11"/>
      <c r="L11" s="11"/>
      <c r="M11" s="11"/>
      <c r="N11" s="11"/>
      <c r="O11" s="11"/>
      <c r="P11" s="11">
        <v>9</v>
      </c>
      <c r="Q11" s="11" t="str">
        <f t="shared" ca="1" si="3"/>
        <v>Brasil</v>
      </c>
      <c r="R11" s="11">
        <f t="shared" ca="1" si="0"/>
        <v>-3</v>
      </c>
      <c r="S11" s="769">
        <f t="shared" ca="1" si="0"/>
        <v>0.125</v>
      </c>
      <c r="T11" s="11">
        <f t="shared" ca="1" si="0"/>
        <v>0</v>
      </c>
      <c r="U11" s="11">
        <f t="shared" ca="1" si="0"/>
        <v>1</v>
      </c>
      <c r="V11" s="769">
        <f t="shared" ca="1" si="0"/>
        <v>4.1666666666666664E-2</v>
      </c>
      <c r="W11" s="11">
        <f t="shared" ca="1" si="0"/>
        <v>1</v>
      </c>
      <c r="X11" s="11">
        <f t="shared" ca="1" si="1"/>
        <v>0</v>
      </c>
      <c r="Y11" s="11"/>
      <c r="Z11" s="11"/>
      <c r="AA11" s="11">
        <v>9</v>
      </c>
      <c r="AB11" s="11" t="str">
        <f ca="1">Idiomas!D220</f>
        <v>Cabo Verde</v>
      </c>
      <c r="AC11" s="11">
        <v>-1</v>
      </c>
      <c r="AD11" s="769">
        <f t="shared" si="4"/>
        <v>4.1666666666666664E-2</v>
      </c>
      <c r="AE11" s="11">
        <v>0</v>
      </c>
      <c r="AF11" s="11">
        <f t="shared" ca="1" si="5"/>
        <v>3</v>
      </c>
      <c r="AG11" s="769">
        <f t="shared" ca="1" si="6"/>
        <v>0.125</v>
      </c>
      <c r="AH11" s="11">
        <f t="shared" ca="1" si="7"/>
        <v>1</v>
      </c>
      <c r="AI11" s="11">
        <f t="shared" ca="1" si="8"/>
        <v>10</v>
      </c>
      <c r="AJ11" s="11"/>
    </row>
    <row r="12" spans="1:36">
      <c r="A12" s="764">
        <v>46185.625</v>
      </c>
      <c r="B12" s="11"/>
      <c r="C12" s="764">
        <f t="shared" ref="C12:C17" ca="1" si="9">A12+INDEX($V$3:$V$86,MATCH($C$3,$P$3:$P$86,0))*INDEX($W$3:$W$86,MATCH($C$3,$P$3:$P$86,0))</f>
        <v>46185.625</v>
      </c>
      <c r="D12" s="764"/>
      <c r="E12" s="764"/>
      <c r="F12" s="11"/>
      <c r="G12" s="11"/>
      <c r="H12" s="11"/>
      <c r="I12" s="11"/>
      <c r="J12" s="11"/>
      <c r="K12" s="11"/>
      <c r="L12" s="11"/>
      <c r="M12" s="11"/>
      <c r="N12" s="11"/>
      <c r="O12" s="11"/>
      <c r="P12" s="11">
        <v>10</v>
      </c>
      <c r="Q12" s="11" t="str">
        <f t="shared" ca="1" si="3"/>
        <v>Cabo Verde</v>
      </c>
      <c r="R12" s="11">
        <f t="shared" ca="1" si="0"/>
        <v>-1</v>
      </c>
      <c r="S12" s="769">
        <f t="shared" ca="1" si="0"/>
        <v>4.1666666666666664E-2</v>
      </c>
      <c r="T12" s="11">
        <f t="shared" ca="1" si="0"/>
        <v>0</v>
      </c>
      <c r="U12" s="11">
        <f t="shared" ca="1" si="0"/>
        <v>3</v>
      </c>
      <c r="V12" s="769">
        <f t="shared" ca="1" si="0"/>
        <v>0.125</v>
      </c>
      <c r="W12" s="11">
        <f t="shared" ca="1" si="0"/>
        <v>1</v>
      </c>
      <c r="X12" s="11">
        <f t="shared" ca="1" si="1"/>
        <v>0</v>
      </c>
      <c r="Y12" s="11"/>
      <c r="Z12" s="11"/>
      <c r="AA12" s="11">
        <v>10</v>
      </c>
      <c r="AB12" s="11" t="str">
        <f ca="1">Idiomas!D221</f>
        <v>Canadá</v>
      </c>
      <c r="AC12" s="11">
        <v>-4</v>
      </c>
      <c r="AD12" s="769">
        <f t="shared" si="4"/>
        <v>0.16666666666666666</v>
      </c>
      <c r="AE12" s="11">
        <v>0</v>
      </c>
      <c r="AF12" s="11">
        <f t="shared" ca="1" si="5"/>
        <v>0</v>
      </c>
      <c r="AG12" s="769">
        <f t="shared" ca="1" si="6"/>
        <v>0</v>
      </c>
      <c r="AH12" s="11">
        <f t="shared" ca="1" si="7"/>
        <v>0</v>
      </c>
      <c r="AI12" s="11">
        <f t="shared" ca="1" si="8"/>
        <v>11</v>
      </c>
      <c r="AJ12" s="11"/>
    </row>
    <row r="13" spans="1:36">
      <c r="A13" s="764">
        <v>46186.625</v>
      </c>
      <c r="B13" s="11"/>
      <c r="C13" s="764">
        <f t="shared" ca="1" si="9"/>
        <v>46186.625</v>
      </c>
      <c r="D13" s="764"/>
      <c r="E13" s="764"/>
      <c r="F13" s="11"/>
      <c r="G13" s="11"/>
      <c r="H13" s="11"/>
      <c r="I13" s="11"/>
      <c r="J13" s="11"/>
      <c r="K13" s="11"/>
      <c r="L13" s="11"/>
      <c r="M13" s="11"/>
      <c r="N13" s="11"/>
      <c r="O13" s="11"/>
      <c r="P13" s="11">
        <v>11</v>
      </c>
      <c r="Q13" s="11" t="str">
        <f t="shared" ca="1" si="3"/>
        <v>Canadá</v>
      </c>
      <c r="R13" s="11">
        <f t="shared" ref="R13:W22" ca="1" si="10">+INDEX($AC$3:$AH$86,MATCH($Q13,$AB$3:$AB$86,0),MATCH(R$2,$AC$2:$AH$2,0))</f>
        <v>-4</v>
      </c>
      <c r="S13" s="769">
        <f t="shared" ca="1" si="10"/>
        <v>0.16666666666666666</v>
      </c>
      <c r="T13" s="11">
        <f t="shared" ca="1" si="10"/>
        <v>0</v>
      </c>
      <c r="U13" s="11">
        <f t="shared" ca="1" si="10"/>
        <v>0</v>
      </c>
      <c r="V13" s="769">
        <f t="shared" ca="1" si="10"/>
        <v>0</v>
      </c>
      <c r="W13" s="11">
        <f t="shared" ca="1" si="10"/>
        <v>0</v>
      </c>
      <c r="X13" s="11">
        <f t="shared" ca="1" si="1"/>
        <v>0</v>
      </c>
      <c r="Y13" s="11"/>
      <c r="Z13" s="11"/>
      <c r="AA13" s="11">
        <v>11</v>
      </c>
      <c r="AB13" s="11" t="str">
        <f ca="1">Idiomas!D222</f>
        <v>Catar</v>
      </c>
      <c r="AC13" s="11">
        <v>3</v>
      </c>
      <c r="AD13" s="769">
        <f t="shared" si="4"/>
        <v>0.125</v>
      </c>
      <c r="AE13" s="11">
        <v>0</v>
      </c>
      <c r="AF13" s="11">
        <f t="shared" ca="1" si="5"/>
        <v>7</v>
      </c>
      <c r="AG13" s="769">
        <f t="shared" ca="1" si="6"/>
        <v>0.29166666666666669</v>
      </c>
      <c r="AH13" s="11">
        <f t="shared" ca="1" si="7"/>
        <v>1</v>
      </c>
      <c r="AI13" s="11">
        <f t="shared" ca="1" si="8"/>
        <v>12</v>
      </c>
      <c r="AJ13" s="11"/>
    </row>
    <row r="14" spans="1:36">
      <c r="A14" s="764">
        <v>46191.625</v>
      </c>
      <c r="B14" s="11"/>
      <c r="C14" s="764">
        <f t="shared" ca="1" si="9"/>
        <v>46191.625</v>
      </c>
      <c r="D14" s="764"/>
      <c r="E14" s="764"/>
      <c r="F14" s="11"/>
      <c r="G14" s="11"/>
      <c r="H14" s="11"/>
      <c r="I14" s="11"/>
      <c r="J14" s="11"/>
      <c r="K14" s="11"/>
      <c r="L14" s="11"/>
      <c r="M14" s="11"/>
      <c r="N14" s="11"/>
      <c r="O14" s="11"/>
      <c r="P14" s="11">
        <v>12</v>
      </c>
      <c r="Q14" s="11" t="str">
        <f t="shared" ca="1" si="3"/>
        <v>Catar</v>
      </c>
      <c r="R14" s="11">
        <f t="shared" ca="1" si="10"/>
        <v>3</v>
      </c>
      <c r="S14" s="769">
        <f t="shared" ca="1" si="10"/>
        <v>0.125</v>
      </c>
      <c r="T14" s="11">
        <f t="shared" ca="1" si="10"/>
        <v>0</v>
      </c>
      <c r="U14" s="11">
        <f t="shared" ca="1" si="10"/>
        <v>7</v>
      </c>
      <c r="V14" s="769">
        <f t="shared" ca="1" si="10"/>
        <v>0.29166666666666669</v>
      </c>
      <c r="W14" s="11">
        <f t="shared" ca="1" si="10"/>
        <v>1</v>
      </c>
      <c r="X14" s="11">
        <f t="shared" ca="1" si="1"/>
        <v>0</v>
      </c>
      <c r="Y14" s="11"/>
      <c r="Z14" s="11"/>
      <c r="AA14" s="11">
        <v>12</v>
      </c>
      <c r="AB14" s="11" t="str">
        <f ca="1">Idiomas!D223</f>
        <v>Colombia</v>
      </c>
      <c r="AC14" s="11">
        <v>-5</v>
      </c>
      <c r="AD14" s="769">
        <f t="shared" si="4"/>
        <v>0.20833333333333334</v>
      </c>
      <c r="AE14" s="11">
        <v>0</v>
      </c>
      <c r="AF14" s="11">
        <f t="shared" ca="1" si="5"/>
        <v>-1</v>
      </c>
      <c r="AG14" s="769">
        <f t="shared" ca="1" si="6"/>
        <v>4.1666666666666664E-2</v>
      </c>
      <c r="AH14" s="11">
        <f t="shared" ca="1" si="7"/>
        <v>-1</v>
      </c>
      <c r="AI14" s="11">
        <f t="shared" ca="1" si="8"/>
        <v>13</v>
      </c>
      <c r="AJ14" s="11"/>
    </row>
    <row r="15" spans="1:36">
      <c r="A15" s="764">
        <v>46191.75</v>
      </c>
      <c r="B15" s="11"/>
      <c r="C15" s="764">
        <f t="shared" ca="1" si="9"/>
        <v>46191.75</v>
      </c>
      <c r="D15" s="764"/>
      <c r="E15" s="764"/>
      <c r="F15" s="11"/>
      <c r="G15" s="11"/>
      <c r="H15" s="11"/>
      <c r="I15" s="11"/>
      <c r="J15" s="11"/>
      <c r="K15" s="11"/>
      <c r="L15" s="11"/>
      <c r="M15" s="11"/>
      <c r="N15" s="11"/>
      <c r="O15" s="11"/>
      <c r="P15" s="11">
        <v>13</v>
      </c>
      <c r="Q15" s="11" t="str">
        <f t="shared" ca="1" si="3"/>
        <v>Colombia</v>
      </c>
      <c r="R15" s="11">
        <f t="shared" ca="1" si="10"/>
        <v>-5</v>
      </c>
      <c r="S15" s="769">
        <f t="shared" ca="1" si="10"/>
        <v>0.20833333333333334</v>
      </c>
      <c r="T15" s="11">
        <f t="shared" ca="1" si="10"/>
        <v>0</v>
      </c>
      <c r="U15" s="11">
        <f t="shared" ca="1" si="10"/>
        <v>-1</v>
      </c>
      <c r="V15" s="769">
        <f t="shared" ca="1" si="10"/>
        <v>4.1666666666666664E-2</v>
      </c>
      <c r="W15" s="11">
        <f t="shared" ca="1" si="10"/>
        <v>-1</v>
      </c>
      <c r="X15" s="11">
        <f t="shared" ca="1" si="1"/>
        <v>0</v>
      </c>
      <c r="Y15" s="11"/>
      <c r="Z15" s="11"/>
      <c r="AA15" s="11">
        <v>13</v>
      </c>
      <c r="AB15" s="11" t="str">
        <f ca="1">Idiomas!D224</f>
        <v>Corea del Sur</v>
      </c>
      <c r="AC15" s="11">
        <v>9</v>
      </c>
      <c r="AD15" s="769">
        <f t="shared" si="4"/>
        <v>0.375</v>
      </c>
      <c r="AE15" s="11">
        <v>0</v>
      </c>
      <c r="AF15" s="11">
        <f t="shared" ca="1" si="5"/>
        <v>13</v>
      </c>
      <c r="AG15" s="769">
        <f t="shared" ca="1" si="6"/>
        <v>0.54166666666666663</v>
      </c>
      <c r="AH15" s="11">
        <f t="shared" ca="1" si="7"/>
        <v>1</v>
      </c>
      <c r="AI15" s="11">
        <f t="shared" ca="1" si="8"/>
        <v>14</v>
      </c>
      <c r="AJ15" s="11"/>
    </row>
    <row r="16" spans="1:36">
      <c r="A16" s="764">
        <v>46197.625</v>
      </c>
      <c r="B16" s="11"/>
      <c r="C16" s="764">
        <f t="shared" ca="1" si="9"/>
        <v>46197.625</v>
      </c>
      <c r="D16" s="764"/>
      <c r="E16" s="764"/>
      <c r="F16" s="11"/>
      <c r="G16" s="11"/>
      <c r="H16" s="11"/>
      <c r="I16" s="11"/>
      <c r="J16" s="11"/>
      <c r="K16" s="11"/>
      <c r="L16" s="11"/>
      <c r="M16" s="11"/>
      <c r="N16" s="11"/>
      <c r="O16" s="11"/>
      <c r="P16" s="11">
        <v>14</v>
      </c>
      <c r="Q16" s="11" t="str">
        <f t="shared" ca="1" si="3"/>
        <v>Corea del Sur</v>
      </c>
      <c r="R16" s="11">
        <f t="shared" ca="1" si="10"/>
        <v>9</v>
      </c>
      <c r="S16" s="769">
        <f t="shared" ca="1" si="10"/>
        <v>0.375</v>
      </c>
      <c r="T16" s="11">
        <f t="shared" ca="1" si="10"/>
        <v>0</v>
      </c>
      <c r="U16" s="11">
        <f t="shared" ca="1" si="10"/>
        <v>13</v>
      </c>
      <c r="V16" s="769">
        <f t="shared" ca="1" si="10"/>
        <v>0.54166666666666663</v>
      </c>
      <c r="W16" s="11">
        <f t="shared" ca="1" si="10"/>
        <v>1</v>
      </c>
      <c r="X16" s="11">
        <f t="shared" ca="1" si="1"/>
        <v>0</v>
      </c>
      <c r="Y16" s="11"/>
      <c r="Z16" s="11"/>
      <c r="AA16" s="11">
        <v>14</v>
      </c>
      <c r="AB16" s="11" t="str">
        <f ca="1">Idiomas!D225</f>
        <v>Costa de Marfil</v>
      </c>
      <c r="AC16" s="11">
        <v>0</v>
      </c>
      <c r="AD16" s="769">
        <f t="shared" si="4"/>
        <v>0</v>
      </c>
      <c r="AE16" s="11">
        <v>0</v>
      </c>
      <c r="AF16" s="11">
        <f t="shared" ca="1" si="5"/>
        <v>4</v>
      </c>
      <c r="AG16" s="769">
        <f t="shared" ca="1" si="6"/>
        <v>0.16666666666666666</v>
      </c>
      <c r="AH16" s="11">
        <f t="shared" ca="1" si="7"/>
        <v>1</v>
      </c>
      <c r="AI16" s="11">
        <f t="shared" ca="1" si="8"/>
        <v>15</v>
      </c>
      <c r="AJ16" s="11"/>
    </row>
    <row r="17" spans="1:36">
      <c r="A17" s="764">
        <v>46197.625</v>
      </c>
      <c r="B17" s="11"/>
      <c r="C17" s="764">
        <f t="shared" ca="1" si="9"/>
        <v>46197.625</v>
      </c>
      <c r="D17" s="764"/>
      <c r="E17" s="764"/>
      <c r="F17" s="11"/>
      <c r="G17" s="11"/>
      <c r="H17" s="11"/>
      <c r="I17" s="11"/>
      <c r="J17" s="11"/>
      <c r="K17" s="11"/>
      <c r="L17" s="11"/>
      <c r="M17" s="11"/>
      <c r="N17" s="11"/>
      <c r="O17" s="11"/>
      <c r="P17" s="11">
        <v>15</v>
      </c>
      <c r="Q17" s="11" t="str">
        <f t="shared" ca="1" si="3"/>
        <v>Costa de Marfil</v>
      </c>
      <c r="R17" s="11">
        <f t="shared" ca="1" si="10"/>
        <v>0</v>
      </c>
      <c r="S17" s="769">
        <f t="shared" ca="1" si="10"/>
        <v>0</v>
      </c>
      <c r="T17" s="11">
        <f t="shared" ca="1" si="10"/>
        <v>0</v>
      </c>
      <c r="U17" s="11">
        <f t="shared" ca="1" si="10"/>
        <v>4</v>
      </c>
      <c r="V17" s="769">
        <f t="shared" ca="1" si="10"/>
        <v>0.16666666666666666</v>
      </c>
      <c r="W17" s="11">
        <f t="shared" ca="1" si="10"/>
        <v>1</v>
      </c>
      <c r="X17" s="11">
        <f t="shared" ca="1" si="1"/>
        <v>0</v>
      </c>
      <c r="Y17" s="11"/>
      <c r="Z17" s="11"/>
      <c r="AA17" s="11">
        <v>15</v>
      </c>
      <c r="AB17" s="11" t="str">
        <f ca="1">Idiomas!D226</f>
        <v>Croacia</v>
      </c>
      <c r="AC17" s="11">
        <v>2</v>
      </c>
      <c r="AD17" s="769">
        <f t="shared" si="4"/>
        <v>8.3333333333333329E-2</v>
      </c>
      <c r="AE17" s="11">
        <v>0</v>
      </c>
      <c r="AF17" s="11">
        <f t="shared" ca="1" si="5"/>
        <v>6</v>
      </c>
      <c r="AG17" s="769">
        <f t="shared" ca="1" si="6"/>
        <v>0.25</v>
      </c>
      <c r="AH17" s="11">
        <f t="shared" ca="1" si="7"/>
        <v>1</v>
      </c>
      <c r="AI17" s="11">
        <f t="shared" ca="1" si="8"/>
        <v>16</v>
      </c>
      <c r="AJ17" s="11"/>
    </row>
    <row r="18" spans="1:36">
      <c r="A18" s="11"/>
      <c r="B18" s="11"/>
      <c r="C18" s="764"/>
      <c r="D18" s="11"/>
      <c r="E18" s="764"/>
      <c r="F18" s="11"/>
      <c r="G18" s="11"/>
      <c r="H18" s="11"/>
      <c r="I18" s="11"/>
      <c r="J18" s="11"/>
      <c r="K18" s="11"/>
      <c r="L18" s="11"/>
      <c r="M18" s="11"/>
      <c r="N18" s="11"/>
      <c r="O18" s="11"/>
      <c r="P18" s="11">
        <v>16</v>
      </c>
      <c r="Q18" s="11" t="str">
        <f t="shared" ca="1" si="3"/>
        <v>Croacia</v>
      </c>
      <c r="R18" s="11">
        <f t="shared" ca="1" si="10"/>
        <v>2</v>
      </c>
      <c r="S18" s="769">
        <f t="shared" ca="1" si="10"/>
        <v>8.3333333333333329E-2</v>
      </c>
      <c r="T18" s="11">
        <f t="shared" ca="1" si="10"/>
        <v>0</v>
      </c>
      <c r="U18" s="11">
        <f t="shared" ca="1" si="10"/>
        <v>6</v>
      </c>
      <c r="V18" s="769">
        <f t="shared" ca="1" si="10"/>
        <v>0.25</v>
      </c>
      <c r="W18" s="11">
        <f t="shared" ca="1" si="10"/>
        <v>1</v>
      </c>
      <c r="X18" s="11">
        <f t="shared" ca="1" si="1"/>
        <v>0</v>
      </c>
      <c r="Y18" s="11"/>
      <c r="Z18" s="11"/>
      <c r="AA18" s="11">
        <v>16</v>
      </c>
      <c r="AB18" s="11" t="str">
        <f ca="1">Idiomas!D227</f>
        <v>Curazao</v>
      </c>
      <c r="AC18" s="11">
        <v>-4</v>
      </c>
      <c r="AD18" s="769">
        <f t="shared" si="4"/>
        <v>0.16666666666666666</v>
      </c>
      <c r="AE18" s="11">
        <v>0</v>
      </c>
      <c r="AF18" s="11">
        <f t="shared" ca="1" si="5"/>
        <v>0</v>
      </c>
      <c r="AG18" s="769">
        <f t="shared" ca="1" si="6"/>
        <v>0</v>
      </c>
      <c r="AH18" s="11">
        <f t="shared" ca="1" si="7"/>
        <v>0</v>
      </c>
      <c r="AI18" s="11">
        <f t="shared" ca="1" si="8"/>
        <v>17</v>
      </c>
      <c r="AJ18" s="11"/>
    </row>
    <row r="19" spans="1:36">
      <c r="A19" s="8" t="s">
        <v>9</v>
      </c>
      <c r="B19" s="11"/>
      <c r="C19" s="764"/>
      <c r="D19" s="11"/>
      <c r="E19" s="764"/>
      <c r="F19" s="11"/>
      <c r="G19" s="11"/>
      <c r="H19" s="11"/>
      <c r="I19" s="11"/>
      <c r="J19" s="11"/>
      <c r="K19" s="11"/>
      <c r="L19" s="11"/>
      <c r="M19" s="11"/>
      <c r="N19" s="11"/>
      <c r="O19" s="11"/>
      <c r="P19" s="11">
        <v>17</v>
      </c>
      <c r="Q19" s="11" t="str">
        <f t="shared" ca="1" si="3"/>
        <v>Curazao</v>
      </c>
      <c r="R19" s="11">
        <f t="shared" ca="1" si="10"/>
        <v>-4</v>
      </c>
      <c r="S19" s="769">
        <f t="shared" ca="1" si="10"/>
        <v>0.16666666666666666</v>
      </c>
      <c r="T19" s="11">
        <f t="shared" ca="1" si="10"/>
        <v>0</v>
      </c>
      <c r="U19" s="11">
        <f t="shared" ca="1" si="10"/>
        <v>0</v>
      </c>
      <c r="V19" s="769">
        <f t="shared" ca="1" si="10"/>
        <v>0</v>
      </c>
      <c r="W19" s="11">
        <f t="shared" ca="1" si="10"/>
        <v>0</v>
      </c>
      <c r="X19" s="11">
        <f t="shared" ca="1" si="1"/>
        <v>0</v>
      </c>
      <c r="Y19" s="11"/>
      <c r="Z19" s="11"/>
      <c r="AA19" s="11">
        <v>17</v>
      </c>
      <c r="AB19" s="11" t="str">
        <f ca="1">Idiomas!D228</f>
        <v>Ecuador</v>
      </c>
      <c r="AC19" s="11">
        <v>-5</v>
      </c>
      <c r="AD19" s="769">
        <f t="shared" si="4"/>
        <v>0.20833333333333334</v>
      </c>
      <c r="AE19" s="11">
        <v>0</v>
      </c>
      <c r="AF19" s="11">
        <f t="shared" ca="1" si="5"/>
        <v>-1</v>
      </c>
      <c r="AG19" s="769">
        <f t="shared" ca="1" si="6"/>
        <v>4.1666666666666664E-2</v>
      </c>
      <c r="AH19" s="11">
        <f t="shared" ca="1" si="7"/>
        <v>-1</v>
      </c>
      <c r="AI19" s="11">
        <f t="shared" ca="1" si="8"/>
        <v>18</v>
      </c>
      <c r="AJ19" s="11"/>
    </row>
    <row r="20" spans="1:36">
      <c r="A20" s="764">
        <v>46186.75</v>
      </c>
      <c r="B20" s="11"/>
      <c r="C20" s="764">
        <f t="shared" ref="C20:C25" ca="1" si="11">A20+INDEX($V$3:$V$86,MATCH($C$3,$P$3:$P$86,0))*INDEX($W$3:$W$86,MATCH($C$3,$P$3:$P$86,0))</f>
        <v>46186.75</v>
      </c>
      <c r="D20" s="764"/>
      <c r="E20" s="764"/>
      <c r="F20" s="11"/>
      <c r="G20" s="11"/>
      <c r="H20" s="11"/>
      <c r="I20" s="11"/>
      <c r="J20" s="11"/>
      <c r="K20" s="11"/>
      <c r="L20" s="11"/>
      <c r="M20" s="11"/>
      <c r="N20" s="11"/>
      <c r="O20" s="11"/>
      <c r="P20" s="11">
        <v>18</v>
      </c>
      <c r="Q20" s="11" t="str">
        <f t="shared" ca="1" si="3"/>
        <v>Ecuador</v>
      </c>
      <c r="R20" s="11">
        <f t="shared" ca="1" si="10"/>
        <v>-5</v>
      </c>
      <c r="S20" s="769">
        <f t="shared" ca="1" si="10"/>
        <v>0.20833333333333334</v>
      </c>
      <c r="T20" s="11">
        <f t="shared" ca="1" si="10"/>
        <v>0</v>
      </c>
      <c r="U20" s="11">
        <f t="shared" ca="1" si="10"/>
        <v>-1</v>
      </c>
      <c r="V20" s="769">
        <f t="shared" ca="1" si="10"/>
        <v>4.1666666666666664E-2</v>
      </c>
      <c r="W20" s="11">
        <f t="shared" ca="1" si="10"/>
        <v>-1</v>
      </c>
      <c r="X20" s="11">
        <f t="shared" ca="1" si="1"/>
        <v>0</v>
      </c>
      <c r="Y20" s="11"/>
      <c r="Z20" s="11"/>
      <c r="AA20" s="11">
        <v>18</v>
      </c>
      <c r="AB20" s="11" t="str">
        <f ca="1">Idiomas!D229</f>
        <v>Egipto</v>
      </c>
      <c r="AC20" s="11">
        <v>3</v>
      </c>
      <c r="AD20" s="769">
        <f t="shared" si="4"/>
        <v>0.125</v>
      </c>
      <c r="AE20" s="11">
        <v>0</v>
      </c>
      <c r="AF20" s="11">
        <f t="shared" ca="1" si="5"/>
        <v>7</v>
      </c>
      <c r="AG20" s="769">
        <f t="shared" ca="1" si="6"/>
        <v>0.29166666666666669</v>
      </c>
      <c r="AH20" s="11">
        <f t="shared" ca="1" si="7"/>
        <v>1</v>
      </c>
      <c r="AI20" s="11">
        <f t="shared" ca="1" si="8"/>
        <v>19</v>
      </c>
      <c r="AJ20" s="11"/>
    </row>
    <row r="21" spans="1:36">
      <c r="A21" s="764">
        <v>46186.875</v>
      </c>
      <c r="B21" s="11"/>
      <c r="C21" s="764">
        <f t="shared" ca="1" si="11"/>
        <v>46186.875</v>
      </c>
      <c r="D21" s="764"/>
      <c r="E21" s="764"/>
      <c r="F21" s="11"/>
      <c r="G21" s="11"/>
      <c r="H21" s="11"/>
      <c r="I21" s="11"/>
      <c r="J21" s="11"/>
      <c r="K21" s="11"/>
      <c r="L21" s="11"/>
      <c r="M21" s="11"/>
      <c r="N21" s="11"/>
      <c r="O21" s="11"/>
      <c r="P21" s="11">
        <v>19</v>
      </c>
      <c r="Q21" s="11" t="str">
        <f t="shared" ca="1" si="3"/>
        <v>Egipto</v>
      </c>
      <c r="R21" s="11">
        <f t="shared" ca="1" si="10"/>
        <v>3</v>
      </c>
      <c r="S21" s="769">
        <f t="shared" ca="1" si="10"/>
        <v>0.125</v>
      </c>
      <c r="T21" s="11">
        <f t="shared" ca="1" si="10"/>
        <v>0</v>
      </c>
      <c r="U21" s="11">
        <f t="shared" ca="1" si="10"/>
        <v>7</v>
      </c>
      <c r="V21" s="769">
        <f t="shared" ca="1" si="10"/>
        <v>0.29166666666666669</v>
      </c>
      <c r="W21" s="11">
        <f t="shared" ca="1" si="10"/>
        <v>1</v>
      </c>
      <c r="X21" s="11">
        <f t="shared" ca="1" si="1"/>
        <v>0</v>
      </c>
      <c r="Y21" s="11"/>
      <c r="Z21" s="11"/>
      <c r="AA21" s="11">
        <v>19</v>
      </c>
      <c r="AB21" s="11" t="str">
        <f ca="1">Idiomas!D230</f>
        <v>Escocia</v>
      </c>
      <c r="AC21" s="11">
        <v>1</v>
      </c>
      <c r="AD21" s="769">
        <f t="shared" si="4"/>
        <v>4.1666666666666664E-2</v>
      </c>
      <c r="AE21" s="11">
        <v>0</v>
      </c>
      <c r="AF21" s="11">
        <f t="shared" ca="1" si="5"/>
        <v>5</v>
      </c>
      <c r="AG21" s="769">
        <f t="shared" ca="1" si="6"/>
        <v>0.20833333333333334</v>
      </c>
      <c r="AH21" s="11">
        <f t="shared" ca="1" si="7"/>
        <v>1</v>
      </c>
      <c r="AI21" s="11">
        <f t="shared" ca="1" si="8"/>
        <v>20</v>
      </c>
      <c r="AJ21" s="11"/>
    </row>
    <row r="22" spans="1:36">
      <c r="A22" s="764">
        <v>46192.75</v>
      </c>
      <c r="B22" s="11"/>
      <c r="C22" s="764">
        <f t="shared" ca="1" si="11"/>
        <v>46192.75</v>
      </c>
      <c r="D22" s="764"/>
      <c r="E22" s="764"/>
      <c r="F22" s="11"/>
      <c r="G22" s="11"/>
      <c r="H22" s="11"/>
      <c r="I22" s="11"/>
      <c r="J22" s="11"/>
      <c r="K22" s="11"/>
      <c r="L22" s="11"/>
      <c r="M22" s="11"/>
      <c r="N22" s="11"/>
      <c r="O22" s="11"/>
      <c r="P22" s="11">
        <v>20</v>
      </c>
      <c r="Q22" s="11" t="str">
        <f t="shared" ca="1" si="3"/>
        <v>Escocia</v>
      </c>
      <c r="R22" s="11">
        <f t="shared" ca="1" si="10"/>
        <v>1</v>
      </c>
      <c r="S22" s="769">
        <f t="shared" ca="1" si="10"/>
        <v>4.1666666666666664E-2</v>
      </c>
      <c r="T22" s="11">
        <f t="shared" ca="1" si="10"/>
        <v>0</v>
      </c>
      <c r="U22" s="11">
        <f t="shared" ca="1" si="10"/>
        <v>5</v>
      </c>
      <c r="V22" s="769">
        <f t="shared" ca="1" si="10"/>
        <v>0.20833333333333334</v>
      </c>
      <c r="W22" s="11">
        <f t="shared" ca="1" si="10"/>
        <v>1</v>
      </c>
      <c r="X22" s="11">
        <f t="shared" ca="1" si="1"/>
        <v>0</v>
      </c>
      <c r="Y22" s="11"/>
      <c r="Z22" s="11"/>
      <c r="AA22" s="11">
        <v>20</v>
      </c>
      <c r="AB22" s="11" t="str">
        <f ca="1">Idiomas!D231</f>
        <v>España</v>
      </c>
      <c r="AC22" s="11">
        <v>2</v>
      </c>
      <c r="AD22" s="769">
        <f t="shared" si="4"/>
        <v>8.3333333333333329E-2</v>
      </c>
      <c r="AE22" s="11">
        <v>0</v>
      </c>
      <c r="AF22" s="11">
        <f t="shared" ca="1" si="5"/>
        <v>6</v>
      </c>
      <c r="AG22" s="769">
        <f t="shared" ca="1" si="6"/>
        <v>0.25</v>
      </c>
      <c r="AH22" s="11">
        <f t="shared" ca="1" si="7"/>
        <v>1</v>
      </c>
      <c r="AI22" s="11">
        <f t="shared" ca="1" si="8"/>
        <v>21</v>
      </c>
      <c r="AJ22" s="11"/>
    </row>
    <row r="23" spans="1:36">
      <c r="A23" s="764">
        <v>46192.854166666664</v>
      </c>
      <c r="B23" s="11"/>
      <c r="C23" s="764">
        <f t="shared" ca="1" si="11"/>
        <v>46192.854166666664</v>
      </c>
      <c r="D23" s="764"/>
      <c r="E23" s="764"/>
      <c r="F23" s="11"/>
      <c r="G23" s="11"/>
      <c r="H23" s="11"/>
      <c r="I23" s="11"/>
      <c r="J23" s="11"/>
      <c r="K23" s="11"/>
      <c r="L23" s="11"/>
      <c r="M23" s="11"/>
      <c r="N23" s="11"/>
      <c r="O23" s="11"/>
      <c r="P23" s="11">
        <v>21</v>
      </c>
      <c r="Q23" s="11" t="str">
        <f t="shared" ca="1" si="3"/>
        <v>España</v>
      </c>
      <c r="R23" s="11">
        <f t="shared" ref="R23:W32" ca="1" si="12">+INDEX($AC$3:$AH$86,MATCH($Q23,$AB$3:$AB$86,0),MATCH(R$2,$AC$2:$AH$2,0))</f>
        <v>2</v>
      </c>
      <c r="S23" s="769">
        <f t="shared" ca="1" si="12"/>
        <v>8.3333333333333329E-2</v>
      </c>
      <c r="T23" s="11">
        <f t="shared" ca="1" si="12"/>
        <v>0</v>
      </c>
      <c r="U23" s="11">
        <f t="shared" ca="1" si="12"/>
        <v>6</v>
      </c>
      <c r="V23" s="769">
        <f t="shared" ca="1" si="12"/>
        <v>0.25</v>
      </c>
      <c r="W23" s="11">
        <f t="shared" ca="1" si="12"/>
        <v>1</v>
      </c>
      <c r="X23" s="11">
        <f t="shared" ca="1" si="1"/>
        <v>0</v>
      </c>
      <c r="Y23" s="11"/>
      <c r="Z23" s="11"/>
      <c r="AA23" s="11">
        <v>21</v>
      </c>
      <c r="AB23" s="11" t="str">
        <f ca="1">Idiomas!D232</f>
        <v>Estados Unidos</v>
      </c>
      <c r="AC23" s="11">
        <v>-4</v>
      </c>
      <c r="AD23" s="769">
        <f t="shared" si="4"/>
        <v>0.16666666666666666</v>
      </c>
      <c r="AE23" s="11">
        <v>1</v>
      </c>
      <c r="AF23" s="11">
        <f t="shared" ca="1" si="5"/>
        <v>0</v>
      </c>
      <c r="AG23" s="769">
        <f t="shared" ca="1" si="6"/>
        <v>0</v>
      </c>
      <c r="AH23" s="11">
        <f t="shared" ca="1" si="7"/>
        <v>0</v>
      </c>
      <c r="AI23" s="11">
        <f t="shared" ca="1" si="8"/>
        <v>22</v>
      </c>
      <c r="AJ23" s="11"/>
    </row>
    <row r="24" spans="1:36">
      <c r="A24" s="764">
        <v>46197.75</v>
      </c>
      <c r="B24" s="11"/>
      <c r="C24" s="764">
        <f t="shared" ca="1" si="11"/>
        <v>46197.75</v>
      </c>
      <c r="D24" s="764"/>
      <c r="E24" s="764"/>
      <c r="F24" s="11"/>
      <c r="G24" s="11"/>
      <c r="H24" s="11"/>
      <c r="I24" s="11"/>
      <c r="J24" s="11"/>
      <c r="K24" s="11"/>
      <c r="L24" s="11"/>
      <c r="M24" s="11"/>
      <c r="N24" s="11"/>
      <c r="O24" s="11"/>
      <c r="P24" s="11">
        <v>22</v>
      </c>
      <c r="Q24" s="11" t="str">
        <f t="shared" ca="1" si="3"/>
        <v>Estados Unidos</v>
      </c>
      <c r="R24" s="11">
        <f t="shared" ca="1" si="12"/>
        <v>-4</v>
      </c>
      <c r="S24" s="769">
        <f t="shared" ca="1" si="12"/>
        <v>0.16666666666666666</v>
      </c>
      <c r="T24" s="11">
        <f t="shared" ca="1" si="12"/>
        <v>1</v>
      </c>
      <c r="U24" s="11">
        <f t="shared" ca="1" si="12"/>
        <v>0</v>
      </c>
      <c r="V24" s="769">
        <f t="shared" ca="1" si="12"/>
        <v>0</v>
      </c>
      <c r="W24" s="11">
        <f t="shared" ca="1" si="12"/>
        <v>0</v>
      </c>
      <c r="X24" s="11">
        <f t="shared" ca="1" si="1"/>
        <v>1</v>
      </c>
      <c r="Y24" s="11"/>
      <c r="Z24" s="11"/>
      <c r="AA24" s="11">
        <v>22</v>
      </c>
      <c r="AB24" s="11" t="str">
        <f ca="1">Idiomas!D233</f>
        <v>Francia</v>
      </c>
      <c r="AC24" s="11">
        <v>2</v>
      </c>
      <c r="AD24" s="769">
        <f t="shared" si="4"/>
        <v>8.3333333333333329E-2</v>
      </c>
      <c r="AE24" s="11">
        <v>0</v>
      </c>
      <c r="AF24" s="11">
        <f t="shared" ca="1" si="5"/>
        <v>6</v>
      </c>
      <c r="AG24" s="769">
        <f t="shared" ca="1" si="6"/>
        <v>0.25</v>
      </c>
      <c r="AH24" s="11">
        <f t="shared" ca="1" si="7"/>
        <v>1</v>
      </c>
      <c r="AI24" s="11">
        <f t="shared" ca="1" si="8"/>
        <v>23</v>
      </c>
      <c r="AJ24" s="11"/>
    </row>
    <row r="25" spans="1:36">
      <c r="A25" s="764">
        <v>46197.75</v>
      </c>
      <c r="B25" s="11"/>
      <c r="C25" s="764">
        <f t="shared" ca="1" si="11"/>
        <v>46197.75</v>
      </c>
      <c r="D25" s="764"/>
      <c r="E25" s="764"/>
      <c r="F25" s="11"/>
      <c r="G25" s="11"/>
      <c r="H25" s="11"/>
      <c r="I25" s="11"/>
      <c r="J25" s="11"/>
      <c r="K25" s="11"/>
      <c r="L25" s="11"/>
      <c r="M25" s="11"/>
      <c r="N25" s="11"/>
      <c r="O25" s="11"/>
      <c r="P25" s="11">
        <v>23</v>
      </c>
      <c r="Q25" s="11" t="str">
        <f t="shared" ca="1" si="3"/>
        <v>Francia</v>
      </c>
      <c r="R25" s="11">
        <f t="shared" ca="1" si="12"/>
        <v>2</v>
      </c>
      <c r="S25" s="769">
        <f t="shared" ca="1" si="12"/>
        <v>8.3333333333333329E-2</v>
      </c>
      <c r="T25" s="11">
        <f t="shared" ca="1" si="12"/>
        <v>0</v>
      </c>
      <c r="U25" s="11">
        <f t="shared" ca="1" si="12"/>
        <v>6</v>
      </c>
      <c r="V25" s="769">
        <f t="shared" ca="1" si="12"/>
        <v>0.25</v>
      </c>
      <c r="W25" s="11">
        <f t="shared" ca="1" si="12"/>
        <v>1</v>
      </c>
      <c r="X25" s="11">
        <f t="shared" ca="1" si="1"/>
        <v>0</v>
      </c>
      <c r="Y25" s="11"/>
      <c r="Z25" s="11"/>
      <c r="AA25" s="11">
        <v>23</v>
      </c>
      <c r="AB25" s="11" t="str">
        <f ca="1">Idiomas!D234</f>
        <v>Ghana</v>
      </c>
      <c r="AC25" s="11">
        <v>0</v>
      </c>
      <c r="AD25" s="769">
        <f t="shared" si="4"/>
        <v>0</v>
      </c>
      <c r="AE25" s="11">
        <v>0</v>
      </c>
      <c r="AF25" s="11">
        <f t="shared" ca="1" si="5"/>
        <v>4</v>
      </c>
      <c r="AG25" s="769">
        <f t="shared" ca="1" si="6"/>
        <v>0.16666666666666666</v>
      </c>
      <c r="AH25" s="11">
        <f t="shared" ca="1" si="7"/>
        <v>1</v>
      </c>
      <c r="AI25" s="11">
        <f t="shared" ca="1" si="8"/>
        <v>24</v>
      </c>
      <c r="AJ25" s="11"/>
    </row>
    <row r="26" spans="1:36">
      <c r="A26" s="11"/>
      <c r="B26" s="11"/>
      <c r="C26" s="764"/>
      <c r="D26" s="11"/>
      <c r="E26" s="764"/>
      <c r="F26" s="11"/>
      <c r="G26" s="11"/>
      <c r="H26" s="11"/>
      <c r="I26" s="11"/>
      <c r="J26" s="11"/>
      <c r="K26" s="11"/>
      <c r="L26" s="11"/>
      <c r="M26" s="11"/>
      <c r="N26" s="11"/>
      <c r="O26" s="11"/>
      <c r="P26" s="11">
        <v>24</v>
      </c>
      <c r="Q26" s="11" t="str">
        <f t="shared" ca="1" si="3"/>
        <v>Ghana</v>
      </c>
      <c r="R26" s="11">
        <f t="shared" ca="1" si="12"/>
        <v>0</v>
      </c>
      <c r="S26" s="769">
        <f t="shared" ca="1" si="12"/>
        <v>0</v>
      </c>
      <c r="T26" s="11">
        <f t="shared" ca="1" si="12"/>
        <v>0</v>
      </c>
      <c r="U26" s="11">
        <f t="shared" ca="1" si="12"/>
        <v>4</v>
      </c>
      <c r="V26" s="769">
        <f t="shared" ca="1" si="12"/>
        <v>0.16666666666666666</v>
      </c>
      <c r="W26" s="11">
        <f t="shared" ca="1" si="12"/>
        <v>1</v>
      </c>
      <c r="X26" s="11">
        <f t="shared" ca="1" si="1"/>
        <v>0</v>
      </c>
      <c r="Y26" s="11"/>
      <c r="Z26" s="11"/>
      <c r="AA26" s="11">
        <v>24</v>
      </c>
      <c r="AB26" s="11" t="str">
        <f ca="1">Idiomas!D235</f>
        <v>Haití</v>
      </c>
      <c r="AC26" s="11">
        <v>-4</v>
      </c>
      <c r="AD26" s="769">
        <f t="shared" si="4"/>
        <v>0.16666666666666666</v>
      </c>
      <c r="AE26" s="11">
        <v>0</v>
      </c>
      <c r="AF26" s="11">
        <f t="shared" ca="1" si="5"/>
        <v>0</v>
      </c>
      <c r="AG26" s="769">
        <f t="shared" ca="1" si="6"/>
        <v>0</v>
      </c>
      <c r="AH26" s="11">
        <f t="shared" ca="1" si="7"/>
        <v>0</v>
      </c>
      <c r="AI26" s="11">
        <f t="shared" ca="1" si="8"/>
        <v>25</v>
      </c>
      <c r="AJ26" s="11"/>
    </row>
    <row r="27" spans="1:36">
      <c r="A27" s="8" t="s">
        <v>81</v>
      </c>
      <c r="B27" s="11"/>
      <c r="C27" s="764"/>
      <c r="D27" s="11"/>
      <c r="E27" s="764"/>
      <c r="F27" s="11"/>
      <c r="G27" s="11"/>
      <c r="H27" s="11"/>
      <c r="I27" s="11"/>
      <c r="J27" s="11"/>
      <c r="K27" s="11"/>
      <c r="L27" s="11"/>
      <c r="M27" s="11"/>
      <c r="N27" s="11"/>
      <c r="O27" s="11"/>
      <c r="P27" s="11">
        <v>25</v>
      </c>
      <c r="Q27" s="11" t="str">
        <f t="shared" ca="1" si="3"/>
        <v>Haití</v>
      </c>
      <c r="R27" s="11">
        <f t="shared" ca="1" si="12"/>
        <v>-4</v>
      </c>
      <c r="S27" s="769">
        <f t="shared" ca="1" si="12"/>
        <v>0.16666666666666666</v>
      </c>
      <c r="T27" s="11">
        <f t="shared" ca="1" si="12"/>
        <v>0</v>
      </c>
      <c r="U27" s="11">
        <f t="shared" ca="1" si="12"/>
        <v>0</v>
      </c>
      <c r="V27" s="769">
        <f t="shared" ca="1" si="12"/>
        <v>0</v>
      </c>
      <c r="W27" s="11">
        <f t="shared" ca="1" si="12"/>
        <v>0</v>
      </c>
      <c r="X27" s="11">
        <f t="shared" ca="1" si="1"/>
        <v>0</v>
      </c>
      <c r="Y27" s="11"/>
      <c r="Z27" s="11"/>
      <c r="AA27" s="11">
        <v>25</v>
      </c>
      <c r="AB27" s="11" t="str">
        <f ca="1">Idiomas!D236</f>
        <v>Inglaterra</v>
      </c>
      <c r="AC27" s="11">
        <v>1</v>
      </c>
      <c r="AD27" s="769">
        <f t="shared" si="4"/>
        <v>4.1666666666666664E-2</v>
      </c>
      <c r="AE27" s="11">
        <v>0</v>
      </c>
      <c r="AF27" s="11">
        <f t="shared" ca="1" si="5"/>
        <v>5</v>
      </c>
      <c r="AG27" s="769">
        <f t="shared" ca="1" si="6"/>
        <v>0.20833333333333334</v>
      </c>
      <c r="AH27" s="11">
        <f t="shared" ca="1" si="7"/>
        <v>1</v>
      </c>
      <c r="AI27" s="11">
        <f t="shared" ca="1" si="8"/>
        <v>26</v>
      </c>
      <c r="AJ27" s="11"/>
    </row>
    <row r="28" spans="1:36">
      <c r="A28" s="764">
        <v>46185.875</v>
      </c>
      <c r="B28" s="11"/>
      <c r="C28" s="764">
        <f t="shared" ref="C28:C33" ca="1" si="13">A28+INDEX($V$3:$V$86,MATCH($C$3,$P$3:$P$86,0))*INDEX($W$3:$W$86,MATCH($C$3,$P$3:$P$86,0))</f>
        <v>46185.875</v>
      </c>
      <c r="D28" s="764"/>
      <c r="E28" s="764"/>
      <c r="F28" s="11"/>
      <c r="G28" s="11"/>
      <c r="H28" s="11"/>
      <c r="I28" s="11"/>
      <c r="J28" s="11"/>
      <c r="K28" s="11"/>
      <c r="L28" s="11"/>
      <c r="M28" s="11"/>
      <c r="N28" s="11"/>
      <c r="O28" s="11"/>
      <c r="P28" s="11">
        <v>26</v>
      </c>
      <c r="Q28" s="11" t="str">
        <f t="shared" ca="1" si="3"/>
        <v>Inglaterra</v>
      </c>
      <c r="R28" s="11">
        <f t="shared" ca="1" si="12"/>
        <v>1</v>
      </c>
      <c r="S28" s="769">
        <f t="shared" ca="1" si="12"/>
        <v>4.1666666666666664E-2</v>
      </c>
      <c r="T28" s="11">
        <f t="shared" ca="1" si="12"/>
        <v>0</v>
      </c>
      <c r="U28" s="11">
        <f t="shared" ca="1" si="12"/>
        <v>5</v>
      </c>
      <c r="V28" s="769">
        <f t="shared" ca="1" si="12"/>
        <v>0.20833333333333334</v>
      </c>
      <c r="W28" s="11">
        <f t="shared" ca="1" si="12"/>
        <v>1</v>
      </c>
      <c r="X28" s="11">
        <f t="shared" ca="1" si="1"/>
        <v>0</v>
      </c>
      <c r="Y28" s="11"/>
      <c r="Z28" s="11"/>
      <c r="AA28" s="11">
        <v>26</v>
      </c>
      <c r="AB28" s="11" t="str">
        <f ca="1">Idiomas!D237</f>
        <v>Irán</v>
      </c>
      <c r="AC28" s="11">
        <f>+INDEX(Credits!$Y$87:$Y$91,MATCH(Credits!$N$87,Credits!$U$87:$U$91,0))</f>
        <v>3.5</v>
      </c>
      <c r="AD28" s="769">
        <f t="shared" si="4"/>
        <v>0.14583333333333334</v>
      </c>
      <c r="AE28" s="11">
        <v>0</v>
      </c>
      <c r="AF28" s="11">
        <f t="shared" ca="1" si="5"/>
        <v>7.5</v>
      </c>
      <c r="AG28" s="769">
        <f t="shared" ca="1" si="6"/>
        <v>0.3125</v>
      </c>
      <c r="AH28" s="11">
        <f t="shared" ca="1" si="7"/>
        <v>1</v>
      </c>
      <c r="AI28" s="11">
        <f t="shared" ca="1" si="8"/>
        <v>28</v>
      </c>
      <c r="AJ28" s="11"/>
    </row>
    <row r="29" spans="1:36">
      <c r="A29" s="764">
        <v>46187</v>
      </c>
      <c r="B29" s="11"/>
      <c r="C29" s="764">
        <f t="shared" ca="1" si="13"/>
        <v>46187</v>
      </c>
      <c r="D29" s="764"/>
      <c r="E29" s="764"/>
      <c r="F29" s="11"/>
      <c r="G29" s="11"/>
      <c r="H29" s="11"/>
      <c r="I29" s="11"/>
      <c r="J29" s="11"/>
      <c r="K29" s="11"/>
      <c r="L29" s="11"/>
      <c r="M29" s="11"/>
      <c r="N29" s="11"/>
      <c r="O29" s="11"/>
      <c r="P29" s="11">
        <v>27</v>
      </c>
      <c r="Q29" s="11" t="str">
        <f t="shared" ca="1" si="3"/>
        <v>Irak</v>
      </c>
      <c r="R29" s="11">
        <f t="shared" ca="1" si="12"/>
        <v>3</v>
      </c>
      <c r="S29" s="769">
        <f t="shared" ca="1" si="12"/>
        <v>0.125</v>
      </c>
      <c r="T29" s="11">
        <f t="shared" ca="1" si="12"/>
        <v>0</v>
      </c>
      <c r="U29" s="11">
        <f t="shared" ca="1" si="12"/>
        <v>7</v>
      </c>
      <c r="V29" s="769">
        <f t="shared" ca="1" si="12"/>
        <v>0.29166666666666669</v>
      </c>
      <c r="W29" s="11">
        <f t="shared" ca="1" si="12"/>
        <v>1</v>
      </c>
      <c r="X29" s="11">
        <f t="shared" ca="1" si="1"/>
        <v>0</v>
      </c>
      <c r="Y29" s="11"/>
      <c r="Z29" s="11"/>
      <c r="AA29" s="11">
        <v>27</v>
      </c>
      <c r="AB29" s="11" t="str">
        <f ca="1">Idiomas!D238</f>
        <v>Japón</v>
      </c>
      <c r="AC29" s="11">
        <v>9</v>
      </c>
      <c r="AD29" s="769">
        <f t="shared" si="4"/>
        <v>0.375</v>
      </c>
      <c r="AE29" s="11">
        <v>0</v>
      </c>
      <c r="AF29" s="11">
        <f t="shared" ca="1" si="5"/>
        <v>13</v>
      </c>
      <c r="AG29" s="769">
        <f t="shared" ca="1" si="6"/>
        <v>0.54166666666666663</v>
      </c>
      <c r="AH29" s="11">
        <f t="shared" ca="1" si="7"/>
        <v>1</v>
      </c>
      <c r="AI29" s="11">
        <f t="shared" ca="1" si="8"/>
        <v>29</v>
      </c>
      <c r="AJ29" s="11"/>
    </row>
    <row r="30" spans="1:36">
      <c r="A30" s="764">
        <v>46192.625</v>
      </c>
      <c r="B30" s="11"/>
      <c r="C30" s="764">
        <f ca="1">A30+INDEX($V$3:$V$86,MATCH($C$3,$P$3:$P$86,0))*INDEX($W$3:$W$86,MATCH($C$3,$P$3:$P$86,0))</f>
        <v>46192.625</v>
      </c>
      <c r="D30" s="764"/>
      <c r="E30" s="764"/>
      <c r="F30" s="11"/>
      <c r="G30" s="11"/>
      <c r="H30" s="11"/>
      <c r="I30" s="11"/>
      <c r="J30" s="11"/>
      <c r="K30" s="11"/>
      <c r="L30" s="11"/>
      <c r="M30" s="11"/>
      <c r="N30" s="11"/>
      <c r="O30" s="11"/>
      <c r="P30" s="11">
        <v>28</v>
      </c>
      <c r="Q30" s="11" t="str">
        <f t="shared" ca="1" si="3"/>
        <v>Irán</v>
      </c>
      <c r="R30" s="11">
        <f t="shared" ca="1" si="12"/>
        <v>3.5</v>
      </c>
      <c r="S30" s="769">
        <f t="shared" ca="1" si="12"/>
        <v>0.14583333333333334</v>
      </c>
      <c r="T30" s="11">
        <f t="shared" ca="1" si="12"/>
        <v>0</v>
      </c>
      <c r="U30" s="11">
        <f t="shared" ca="1" si="12"/>
        <v>7.5</v>
      </c>
      <c r="V30" s="769">
        <f t="shared" ca="1" si="12"/>
        <v>0.3125</v>
      </c>
      <c r="W30" s="11">
        <f t="shared" ca="1" si="12"/>
        <v>1</v>
      </c>
      <c r="X30" s="11">
        <f t="shared" ca="1" si="1"/>
        <v>0</v>
      </c>
      <c r="Y30" s="11"/>
      <c r="Z30" s="11"/>
      <c r="AA30" s="11">
        <v>28</v>
      </c>
      <c r="AB30" s="11" t="str">
        <f ca="1">Idiomas!D239</f>
        <v>Jordania</v>
      </c>
      <c r="AC30" s="11">
        <v>3</v>
      </c>
      <c r="AD30" s="769">
        <f t="shared" si="4"/>
        <v>0.125</v>
      </c>
      <c r="AE30" s="11">
        <v>0</v>
      </c>
      <c r="AF30" s="11">
        <f t="shared" ca="1" si="5"/>
        <v>7</v>
      </c>
      <c r="AG30" s="769">
        <f t="shared" ca="1" si="6"/>
        <v>0.29166666666666669</v>
      </c>
      <c r="AH30" s="11">
        <f t="shared" ca="1" si="7"/>
        <v>1</v>
      </c>
      <c r="AI30" s="11">
        <f t="shared" ca="1" si="8"/>
        <v>30</v>
      </c>
      <c r="AJ30" s="11"/>
    </row>
    <row r="31" spans="1:36">
      <c r="A31" s="764">
        <v>46192.958333333336</v>
      </c>
      <c r="B31" s="11"/>
      <c r="C31" s="764">
        <f ca="1">A31+INDEX($V$3:$V$86,MATCH($C$3,$P$3:$P$86,0))*INDEX($W$3:$W$86,MATCH($C$3,$P$3:$P$86,0))</f>
        <v>46192.958333333336</v>
      </c>
      <c r="D31" s="764"/>
      <c r="E31" s="764"/>
      <c r="F31" s="11"/>
      <c r="G31" s="11"/>
      <c r="H31" s="11"/>
      <c r="I31" s="11"/>
      <c r="J31" s="11"/>
      <c r="K31" s="11"/>
      <c r="L31" s="11"/>
      <c r="M31" s="11"/>
      <c r="N31" s="11"/>
      <c r="O31" s="11"/>
      <c r="P31" s="11">
        <v>29</v>
      </c>
      <c r="Q31" s="11" t="str">
        <f t="shared" ca="1" si="3"/>
        <v>Japón</v>
      </c>
      <c r="R31" s="11">
        <f t="shared" ca="1" si="12"/>
        <v>9</v>
      </c>
      <c r="S31" s="769">
        <f t="shared" ca="1" si="12"/>
        <v>0.375</v>
      </c>
      <c r="T31" s="11">
        <f t="shared" ca="1" si="12"/>
        <v>0</v>
      </c>
      <c r="U31" s="11">
        <f t="shared" ca="1" si="12"/>
        <v>13</v>
      </c>
      <c r="V31" s="769">
        <f t="shared" ca="1" si="12"/>
        <v>0.54166666666666663</v>
      </c>
      <c r="W31" s="11">
        <f t="shared" ca="1" si="12"/>
        <v>1</v>
      </c>
      <c r="X31" s="11">
        <f t="shared" ca="1" si="1"/>
        <v>0</v>
      </c>
      <c r="Y31" s="11"/>
      <c r="Z31" s="11"/>
      <c r="AA31" s="11">
        <v>29</v>
      </c>
      <c r="AB31" s="11" t="str">
        <f ca="1">Idiomas!D240</f>
        <v>Marruecos</v>
      </c>
      <c r="AC31" s="11">
        <v>1</v>
      </c>
      <c r="AD31" s="769">
        <f t="shared" si="4"/>
        <v>4.1666666666666664E-2</v>
      </c>
      <c r="AE31" s="11">
        <v>0</v>
      </c>
      <c r="AF31" s="11">
        <f t="shared" ca="1" si="5"/>
        <v>5</v>
      </c>
      <c r="AG31" s="769">
        <f t="shared" ca="1" si="6"/>
        <v>0.20833333333333334</v>
      </c>
      <c r="AH31" s="11">
        <f t="shared" ca="1" si="7"/>
        <v>1</v>
      </c>
      <c r="AI31" s="11">
        <f t="shared" ca="1" si="8"/>
        <v>31</v>
      </c>
      <c r="AJ31" s="11"/>
    </row>
    <row r="32" spans="1:36">
      <c r="A32" s="764">
        <v>46198.916666666664</v>
      </c>
      <c r="B32" s="11"/>
      <c r="C32" s="764">
        <f t="shared" ca="1" si="13"/>
        <v>46198.916666666664</v>
      </c>
      <c r="D32" s="764"/>
      <c r="E32" s="764"/>
      <c r="F32" s="11"/>
      <c r="G32" s="11"/>
      <c r="H32" s="11"/>
      <c r="I32" s="11"/>
      <c r="J32" s="11"/>
      <c r="K32" s="11"/>
      <c r="L32" s="11"/>
      <c r="M32" s="11"/>
      <c r="N32" s="11"/>
      <c r="O32" s="11"/>
      <c r="P32" s="11">
        <v>30</v>
      </c>
      <c r="Q32" s="11" t="str">
        <f t="shared" ca="1" si="3"/>
        <v>Jordania</v>
      </c>
      <c r="R32" s="11">
        <f t="shared" ca="1" si="12"/>
        <v>3</v>
      </c>
      <c r="S32" s="769">
        <f t="shared" ca="1" si="12"/>
        <v>0.125</v>
      </c>
      <c r="T32" s="11">
        <f t="shared" ca="1" si="12"/>
        <v>0</v>
      </c>
      <c r="U32" s="11">
        <f t="shared" ca="1" si="12"/>
        <v>7</v>
      </c>
      <c r="V32" s="769">
        <f t="shared" ca="1" si="12"/>
        <v>0.29166666666666669</v>
      </c>
      <c r="W32" s="11">
        <f t="shared" ca="1" si="12"/>
        <v>1</v>
      </c>
      <c r="X32" s="11">
        <f t="shared" ca="1" si="1"/>
        <v>0</v>
      </c>
      <c r="Y32" s="11"/>
      <c r="Z32" s="11"/>
      <c r="AA32" s="11">
        <v>30</v>
      </c>
      <c r="AB32" s="11" t="str">
        <f ca="1">Idiomas!D241</f>
        <v>México</v>
      </c>
      <c r="AC32" s="11">
        <v>-6</v>
      </c>
      <c r="AD32" s="769">
        <f t="shared" si="4"/>
        <v>0.25</v>
      </c>
      <c r="AE32" s="11">
        <v>0</v>
      </c>
      <c r="AF32" s="11">
        <f t="shared" ca="1" si="5"/>
        <v>-2</v>
      </c>
      <c r="AG32" s="769">
        <f t="shared" ca="1" si="6"/>
        <v>8.3333333333333329E-2</v>
      </c>
      <c r="AH32" s="11">
        <f t="shared" ca="1" si="7"/>
        <v>-1</v>
      </c>
      <c r="AI32" s="11">
        <f t="shared" ca="1" si="8"/>
        <v>32</v>
      </c>
      <c r="AJ32" s="11"/>
    </row>
    <row r="33" spans="1:36">
      <c r="A33" s="764">
        <v>46198.916666666664</v>
      </c>
      <c r="B33" s="11"/>
      <c r="C33" s="764">
        <f t="shared" ca="1" si="13"/>
        <v>46198.916666666664</v>
      </c>
      <c r="D33" s="764"/>
      <c r="E33" s="764"/>
      <c r="F33" s="11"/>
      <c r="G33" s="11"/>
      <c r="H33" s="11"/>
      <c r="I33" s="11"/>
      <c r="J33" s="11"/>
      <c r="K33" s="11"/>
      <c r="L33" s="11"/>
      <c r="M33" s="11"/>
      <c r="N33" s="11"/>
      <c r="O33" s="11"/>
      <c r="P33" s="11">
        <v>31</v>
      </c>
      <c r="Q33" s="11" t="str">
        <f t="shared" ca="1" si="3"/>
        <v>Marruecos</v>
      </c>
      <c r="R33" s="11">
        <f t="shared" ref="R33:W48" ca="1" si="14">+INDEX($AC$3:$AH$86,MATCH($Q33,$AB$3:$AB$86,0),MATCH(R$2,$AC$2:$AH$2,0))</f>
        <v>1</v>
      </c>
      <c r="S33" s="769">
        <f t="shared" ca="1" si="14"/>
        <v>4.1666666666666664E-2</v>
      </c>
      <c r="T33" s="11">
        <f t="shared" ca="1" si="14"/>
        <v>0</v>
      </c>
      <c r="U33" s="11">
        <f t="shared" ca="1" si="14"/>
        <v>5</v>
      </c>
      <c r="V33" s="769">
        <f t="shared" ca="1" si="14"/>
        <v>0.20833333333333334</v>
      </c>
      <c r="W33" s="11">
        <f t="shared" ca="1" si="14"/>
        <v>1</v>
      </c>
      <c r="X33" s="11">
        <f t="shared" ca="1" si="1"/>
        <v>0</v>
      </c>
      <c r="Y33" s="11"/>
      <c r="Z33" s="11"/>
      <c r="AA33" s="11">
        <v>31</v>
      </c>
      <c r="AB33" s="11" t="str">
        <f ca="1">Idiomas!D242</f>
        <v>Noruega</v>
      </c>
      <c r="AC33" s="11">
        <v>2</v>
      </c>
      <c r="AD33" s="769">
        <f t="shared" si="4"/>
        <v>8.3333333333333329E-2</v>
      </c>
      <c r="AE33" s="11">
        <v>0</v>
      </c>
      <c r="AF33" s="11">
        <f t="shared" ca="1" si="5"/>
        <v>6</v>
      </c>
      <c r="AG33" s="769">
        <f t="shared" ca="1" si="6"/>
        <v>0.25</v>
      </c>
      <c r="AH33" s="11">
        <f t="shared" ca="1" si="7"/>
        <v>1</v>
      </c>
      <c r="AI33" s="11">
        <f t="shared" ca="1" si="8"/>
        <v>33</v>
      </c>
      <c r="AJ33" s="11"/>
    </row>
    <row r="34" spans="1:36">
      <c r="A34" s="11"/>
      <c r="B34" s="11"/>
      <c r="C34" s="764"/>
      <c r="D34" s="11"/>
      <c r="E34" s="764"/>
      <c r="F34" s="11"/>
      <c r="G34" s="11"/>
      <c r="H34" s="11"/>
      <c r="I34" s="11"/>
      <c r="J34" s="11"/>
      <c r="K34" s="11"/>
      <c r="L34" s="11"/>
      <c r="M34" s="11"/>
      <c r="N34" s="11"/>
      <c r="O34" s="11"/>
      <c r="P34" s="11">
        <v>32</v>
      </c>
      <c r="Q34" s="11" t="str">
        <f t="shared" ca="1" si="3"/>
        <v>México</v>
      </c>
      <c r="R34" s="11">
        <f t="shared" ca="1" si="14"/>
        <v>-6</v>
      </c>
      <c r="S34" s="769">
        <f t="shared" ca="1" si="14"/>
        <v>0.25</v>
      </c>
      <c r="T34" s="11">
        <f t="shared" ca="1" si="14"/>
        <v>0</v>
      </c>
      <c r="U34" s="11">
        <f t="shared" ca="1" si="14"/>
        <v>-2</v>
      </c>
      <c r="V34" s="769">
        <f t="shared" ca="1" si="14"/>
        <v>8.3333333333333329E-2</v>
      </c>
      <c r="W34" s="11">
        <f t="shared" ca="1" si="14"/>
        <v>-1</v>
      </c>
      <c r="X34" s="11">
        <f t="shared" ca="1" si="1"/>
        <v>0</v>
      </c>
      <c r="Y34" s="11"/>
      <c r="Z34" s="11"/>
      <c r="AA34" s="11">
        <v>32</v>
      </c>
      <c r="AB34" s="11" t="str">
        <f ca="1">Idiomas!D243</f>
        <v>Nueva Zelanda</v>
      </c>
      <c r="AC34" s="11">
        <v>12</v>
      </c>
      <c r="AD34" s="769">
        <f t="shared" si="4"/>
        <v>0.5</v>
      </c>
      <c r="AE34" s="11">
        <v>0</v>
      </c>
      <c r="AF34" s="11">
        <f t="shared" ca="1" si="5"/>
        <v>16</v>
      </c>
      <c r="AG34" s="769">
        <f t="shared" ca="1" si="6"/>
        <v>0.66666666666666663</v>
      </c>
      <c r="AH34" s="11">
        <f t="shared" ca="1" si="7"/>
        <v>1</v>
      </c>
      <c r="AI34" s="11">
        <f t="shared" ca="1" si="8"/>
        <v>34</v>
      </c>
      <c r="AJ34" s="11"/>
    </row>
    <row r="35" spans="1:36">
      <c r="A35" s="8" t="s">
        <v>82</v>
      </c>
      <c r="B35" s="11"/>
      <c r="C35" s="764"/>
      <c r="D35" s="11"/>
      <c r="E35" s="764"/>
      <c r="F35" s="11"/>
      <c r="G35" s="11"/>
      <c r="H35" s="11"/>
      <c r="I35" s="11"/>
      <c r="J35" s="11"/>
      <c r="K35" s="11"/>
      <c r="L35" s="11"/>
      <c r="M35" s="11"/>
      <c r="N35" s="11"/>
      <c r="O35" s="11"/>
      <c r="P35" s="11">
        <v>33</v>
      </c>
      <c r="Q35" s="11" t="str">
        <f t="shared" ca="1" si="3"/>
        <v>Noruega</v>
      </c>
      <c r="R35" s="11">
        <f t="shared" ca="1" si="14"/>
        <v>2</v>
      </c>
      <c r="S35" s="769">
        <f t="shared" ca="1" si="14"/>
        <v>8.3333333333333329E-2</v>
      </c>
      <c r="T35" s="11">
        <f t="shared" ca="1" si="14"/>
        <v>0</v>
      </c>
      <c r="U35" s="11">
        <f t="shared" ca="1" si="14"/>
        <v>6</v>
      </c>
      <c r="V35" s="769">
        <f t="shared" ca="1" si="14"/>
        <v>0.25</v>
      </c>
      <c r="W35" s="11">
        <f t="shared" ca="1" si="14"/>
        <v>1</v>
      </c>
      <c r="X35" s="11">
        <f t="shared" ca="1" si="1"/>
        <v>0</v>
      </c>
      <c r="Y35" s="11"/>
      <c r="Z35" s="11"/>
      <c r="AA35" s="11">
        <v>33</v>
      </c>
      <c r="AB35" s="11" t="str">
        <f ca="1">Idiomas!D244</f>
        <v>Países Bajos</v>
      </c>
      <c r="AC35" s="11">
        <v>2</v>
      </c>
      <c r="AD35" s="769">
        <f t="shared" si="4"/>
        <v>8.3333333333333329E-2</v>
      </c>
      <c r="AE35" s="11">
        <v>0</v>
      </c>
      <c r="AF35" s="11">
        <f t="shared" ca="1" si="5"/>
        <v>6</v>
      </c>
      <c r="AG35" s="769">
        <f t="shared" ca="1" si="6"/>
        <v>0.25</v>
      </c>
      <c r="AH35" s="11">
        <f t="shared" ca="1" si="7"/>
        <v>1</v>
      </c>
      <c r="AI35" s="11">
        <f t="shared" ca="1" si="8"/>
        <v>35</v>
      </c>
      <c r="AJ35" s="11"/>
    </row>
    <row r="36" spans="1:36">
      <c r="A36" s="764">
        <v>46187.541666666664</v>
      </c>
      <c r="B36" s="11"/>
      <c r="C36" s="764">
        <f t="shared" ref="C36:C41" ca="1" si="15">A36+INDEX($V$3:$V$86,MATCH($C$3,$P$3:$P$86,0))*INDEX($W$3:$W$86,MATCH($C$3,$P$3:$P$86,0))</f>
        <v>46187.541666666664</v>
      </c>
      <c r="D36" s="764"/>
      <c r="E36" s="764"/>
      <c r="F36" s="11"/>
      <c r="G36" s="11"/>
      <c r="H36" s="11"/>
      <c r="I36" s="11"/>
      <c r="J36" s="11"/>
      <c r="K36" s="11"/>
      <c r="L36" s="11"/>
      <c r="M36" s="11"/>
      <c r="N36" s="11"/>
      <c r="O36" s="11"/>
      <c r="P36" s="11">
        <v>34</v>
      </c>
      <c r="Q36" s="11" t="str">
        <f t="shared" ca="1" si="3"/>
        <v>Nueva Zelanda</v>
      </c>
      <c r="R36" s="11">
        <f t="shared" ca="1" si="14"/>
        <v>12</v>
      </c>
      <c r="S36" s="769">
        <f t="shared" ca="1" si="14"/>
        <v>0.5</v>
      </c>
      <c r="T36" s="11">
        <f t="shared" ca="1" si="14"/>
        <v>0</v>
      </c>
      <c r="U36" s="11">
        <f t="shared" ca="1" si="14"/>
        <v>16</v>
      </c>
      <c r="V36" s="769">
        <f t="shared" ca="1" si="14"/>
        <v>0.66666666666666663</v>
      </c>
      <c r="W36" s="11">
        <f t="shared" ca="1" si="14"/>
        <v>1</v>
      </c>
      <c r="X36" s="11">
        <f t="shared" ca="1" si="1"/>
        <v>0</v>
      </c>
      <c r="Y36" s="11"/>
      <c r="Z36" s="11"/>
      <c r="AA36" s="11">
        <v>34</v>
      </c>
      <c r="AB36" s="11" t="str">
        <f ca="1">Idiomas!D245</f>
        <v>Panamá</v>
      </c>
      <c r="AC36" s="11">
        <v>-5</v>
      </c>
      <c r="AD36" s="769">
        <f t="shared" si="4"/>
        <v>0.20833333333333334</v>
      </c>
      <c r="AE36" s="11">
        <v>0</v>
      </c>
      <c r="AF36" s="11">
        <f t="shared" ca="1" si="5"/>
        <v>-1</v>
      </c>
      <c r="AG36" s="769">
        <f t="shared" ca="1" si="6"/>
        <v>4.1666666666666664E-2</v>
      </c>
      <c r="AH36" s="11">
        <f t="shared" ca="1" si="7"/>
        <v>-1</v>
      </c>
      <c r="AI36" s="11">
        <f t="shared" ca="1" si="8"/>
        <v>36</v>
      </c>
      <c r="AJ36" s="11"/>
    </row>
    <row r="37" spans="1:36">
      <c r="A37" s="764">
        <v>46187.791666666664</v>
      </c>
      <c r="B37" s="11"/>
      <c r="C37" s="764">
        <f t="shared" ca="1" si="15"/>
        <v>46187.791666666664</v>
      </c>
      <c r="D37" s="764"/>
      <c r="E37" s="764"/>
      <c r="F37" s="11"/>
      <c r="G37" s="11"/>
      <c r="H37" s="11"/>
      <c r="I37" s="11"/>
      <c r="J37" s="11"/>
      <c r="K37" s="11"/>
      <c r="L37" s="11"/>
      <c r="M37" s="11"/>
      <c r="N37" s="11"/>
      <c r="O37" s="11"/>
      <c r="P37" s="11">
        <v>35</v>
      </c>
      <c r="Q37" s="11" t="str">
        <f t="shared" ca="1" si="3"/>
        <v>Países Bajos</v>
      </c>
      <c r="R37" s="11">
        <f t="shared" ca="1" si="14"/>
        <v>2</v>
      </c>
      <c r="S37" s="769">
        <f t="shared" ca="1" si="14"/>
        <v>8.3333333333333329E-2</v>
      </c>
      <c r="T37" s="11">
        <f t="shared" ca="1" si="14"/>
        <v>0</v>
      </c>
      <c r="U37" s="11">
        <f t="shared" ca="1" si="14"/>
        <v>6</v>
      </c>
      <c r="V37" s="769">
        <f t="shared" ca="1" si="14"/>
        <v>0.25</v>
      </c>
      <c r="W37" s="11">
        <f t="shared" ca="1" si="14"/>
        <v>1</v>
      </c>
      <c r="X37" s="11">
        <f t="shared" ca="1" si="1"/>
        <v>0</v>
      </c>
      <c r="Y37" s="11"/>
      <c r="Z37" s="11"/>
      <c r="AA37" s="11">
        <v>35</v>
      </c>
      <c r="AB37" s="11" t="str">
        <f ca="1">Idiomas!D246</f>
        <v>Paraguay</v>
      </c>
      <c r="AC37" s="11">
        <v>-4</v>
      </c>
      <c r="AD37" s="769">
        <f t="shared" si="4"/>
        <v>0.16666666666666666</v>
      </c>
      <c r="AE37" s="11">
        <v>0</v>
      </c>
      <c r="AF37" s="11">
        <f t="shared" ca="1" si="5"/>
        <v>0</v>
      </c>
      <c r="AG37" s="769">
        <f t="shared" ca="1" si="6"/>
        <v>0</v>
      </c>
      <c r="AH37" s="11">
        <f t="shared" ca="1" si="7"/>
        <v>0</v>
      </c>
      <c r="AI37" s="11">
        <f t="shared" ca="1" si="8"/>
        <v>37</v>
      </c>
      <c r="AJ37" s="11"/>
    </row>
    <row r="38" spans="1:36">
      <c r="A38" s="764">
        <v>46193.666666666664</v>
      </c>
      <c r="B38" s="11"/>
      <c r="C38" s="764">
        <f t="shared" ca="1" si="15"/>
        <v>46193.666666666664</v>
      </c>
      <c r="D38" s="764"/>
      <c r="E38" s="764"/>
      <c r="F38" s="11"/>
      <c r="G38" s="11"/>
      <c r="H38" s="11"/>
      <c r="I38" s="11"/>
      <c r="J38" s="11"/>
      <c r="K38" s="11"/>
      <c r="L38" s="11"/>
      <c r="M38" s="11"/>
      <c r="N38" s="11"/>
      <c r="O38" s="11"/>
      <c r="P38" s="11">
        <v>36</v>
      </c>
      <c r="Q38" s="11" t="str">
        <f t="shared" ca="1" si="3"/>
        <v>Panamá</v>
      </c>
      <c r="R38" s="11">
        <f t="shared" ca="1" si="14"/>
        <v>-5</v>
      </c>
      <c r="S38" s="769">
        <f t="shared" ca="1" si="14"/>
        <v>0.20833333333333334</v>
      </c>
      <c r="T38" s="11">
        <f t="shared" ca="1" si="14"/>
        <v>0</v>
      </c>
      <c r="U38" s="11">
        <f t="shared" ca="1" si="14"/>
        <v>-1</v>
      </c>
      <c r="V38" s="769">
        <f t="shared" ca="1" si="14"/>
        <v>4.1666666666666664E-2</v>
      </c>
      <c r="W38" s="11">
        <f t="shared" ca="1" si="14"/>
        <v>-1</v>
      </c>
      <c r="X38" s="11">
        <f t="shared" ca="1" si="1"/>
        <v>0</v>
      </c>
      <c r="Y38" s="11"/>
      <c r="Z38" s="11"/>
      <c r="AA38" s="11">
        <v>36</v>
      </c>
      <c r="AB38" s="11" t="str">
        <f ca="1">Idiomas!D247</f>
        <v>Portugal</v>
      </c>
      <c r="AC38" s="11">
        <v>1</v>
      </c>
      <c r="AD38" s="769">
        <f t="shared" si="4"/>
        <v>4.1666666666666664E-2</v>
      </c>
      <c r="AE38" s="11">
        <v>0</v>
      </c>
      <c r="AF38" s="11">
        <f t="shared" ca="1" si="5"/>
        <v>5</v>
      </c>
      <c r="AG38" s="769">
        <f t="shared" ca="1" si="6"/>
        <v>0.20833333333333334</v>
      </c>
      <c r="AH38" s="11">
        <f t="shared" ca="1" si="7"/>
        <v>1</v>
      </c>
      <c r="AI38" s="11">
        <f t="shared" ca="1" si="8"/>
        <v>38</v>
      </c>
      <c r="AJ38" s="11"/>
    </row>
    <row r="39" spans="1:36">
      <c r="A39" s="764">
        <v>46193.833333333336</v>
      </c>
      <c r="B39" s="11"/>
      <c r="C39" s="764">
        <f t="shared" ca="1" si="15"/>
        <v>46193.833333333336</v>
      </c>
      <c r="D39" s="764"/>
      <c r="E39" s="764"/>
      <c r="F39" s="11"/>
      <c r="G39" s="11"/>
      <c r="H39" s="11"/>
      <c r="I39" s="11"/>
      <c r="J39" s="11"/>
      <c r="K39" s="11"/>
      <c r="L39" s="11"/>
      <c r="M39" s="11"/>
      <c r="N39" s="11"/>
      <c r="O39" s="11"/>
      <c r="P39" s="11">
        <v>37</v>
      </c>
      <c r="Q39" s="11" t="str">
        <f t="shared" ca="1" si="3"/>
        <v>Paraguay</v>
      </c>
      <c r="R39" s="11">
        <f t="shared" ca="1" si="14"/>
        <v>-4</v>
      </c>
      <c r="S39" s="769">
        <f t="shared" ca="1" si="14"/>
        <v>0.16666666666666666</v>
      </c>
      <c r="T39" s="11">
        <f t="shared" ca="1" si="14"/>
        <v>0</v>
      </c>
      <c r="U39" s="11">
        <f t="shared" ca="1" si="14"/>
        <v>0</v>
      </c>
      <c r="V39" s="769">
        <f t="shared" ca="1" si="14"/>
        <v>0</v>
      </c>
      <c r="W39" s="11">
        <f t="shared" ca="1" si="14"/>
        <v>0</v>
      </c>
      <c r="X39" s="11">
        <f t="shared" ca="1" si="1"/>
        <v>0</v>
      </c>
      <c r="Y39" s="11"/>
      <c r="Z39" s="11"/>
      <c r="AA39" s="11">
        <v>37</v>
      </c>
      <c r="AB39" s="11" t="str">
        <f ca="1">Idiomas!D248</f>
        <v>Senegal</v>
      </c>
      <c r="AC39" s="11">
        <v>0</v>
      </c>
      <c r="AD39" s="769">
        <f t="shared" si="4"/>
        <v>0</v>
      </c>
      <c r="AE39" s="11">
        <v>0</v>
      </c>
      <c r="AF39" s="11">
        <f t="shared" ca="1" si="5"/>
        <v>4</v>
      </c>
      <c r="AG39" s="769">
        <f t="shared" ca="1" si="6"/>
        <v>0.16666666666666666</v>
      </c>
      <c r="AH39" s="11">
        <f t="shared" ca="1" si="7"/>
        <v>1</v>
      </c>
      <c r="AI39" s="11">
        <f t="shared" ca="1" si="8"/>
        <v>41</v>
      </c>
      <c r="AJ39" s="11"/>
    </row>
    <row r="40" spans="1:36">
      <c r="A40" s="764">
        <v>46198.666666666664</v>
      </c>
      <c r="B40" s="11"/>
      <c r="C40" s="764">
        <f t="shared" ca="1" si="15"/>
        <v>46198.666666666664</v>
      </c>
      <c r="D40" s="764"/>
      <c r="E40" s="764"/>
      <c r="F40" s="11"/>
      <c r="G40" s="11"/>
      <c r="H40" s="11"/>
      <c r="I40" s="11"/>
      <c r="J40" s="11"/>
      <c r="K40" s="11"/>
      <c r="L40" s="11"/>
      <c r="M40" s="11"/>
      <c r="N40" s="11"/>
      <c r="O40" s="11"/>
      <c r="P40" s="11">
        <v>38</v>
      </c>
      <c r="Q40" s="11" t="str">
        <f t="shared" ca="1" si="3"/>
        <v>Portugal</v>
      </c>
      <c r="R40" s="11">
        <f t="shared" ca="1" si="14"/>
        <v>1</v>
      </c>
      <c r="S40" s="769">
        <f t="shared" ca="1" si="14"/>
        <v>4.1666666666666664E-2</v>
      </c>
      <c r="T40" s="11">
        <f t="shared" ca="1" si="14"/>
        <v>0</v>
      </c>
      <c r="U40" s="11">
        <f t="shared" ca="1" si="14"/>
        <v>5</v>
      </c>
      <c r="V40" s="769">
        <f t="shared" ca="1" si="14"/>
        <v>0.20833333333333334</v>
      </c>
      <c r="W40" s="11">
        <f t="shared" ca="1" si="14"/>
        <v>1</v>
      </c>
      <c r="X40" s="11">
        <f t="shared" ca="1" si="1"/>
        <v>0</v>
      </c>
      <c r="Y40" s="11"/>
      <c r="Z40" s="11"/>
      <c r="AA40" s="11">
        <v>38</v>
      </c>
      <c r="AB40" s="11" t="str">
        <f ca="1">Idiomas!D249</f>
        <v>Sudáfrica</v>
      </c>
      <c r="AC40" s="11">
        <v>2</v>
      </c>
      <c r="AD40" s="769">
        <f t="shared" si="4"/>
        <v>8.3333333333333329E-2</v>
      </c>
      <c r="AE40" s="11">
        <v>0</v>
      </c>
      <c r="AF40" s="11">
        <f t="shared" ca="1" si="5"/>
        <v>6</v>
      </c>
      <c r="AG40" s="769">
        <f t="shared" ca="1" si="6"/>
        <v>0.25</v>
      </c>
      <c r="AH40" s="11">
        <f t="shared" ca="1" si="7"/>
        <v>1</v>
      </c>
      <c r="AI40" s="11">
        <f t="shared" ca="1" si="8"/>
        <v>42</v>
      </c>
      <c r="AJ40" s="11"/>
    </row>
    <row r="41" spans="1:36">
      <c r="A41" s="764">
        <v>46198.666666666664</v>
      </c>
      <c r="B41" s="11"/>
      <c r="C41" s="764">
        <f t="shared" ca="1" si="15"/>
        <v>46198.666666666664</v>
      </c>
      <c r="D41" s="764"/>
      <c r="E41" s="764"/>
      <c r="F41" s="11"/>
      <c r="G41" s="11"/>
      <c r="H41" s="11"/>
      <c r="I41" s="11"/>
      <c r="J41" s="11"/>
      <c r="K41" s="11"/>
      <c r="L41" s="11"/>
      <c r="M41" s="11"/>
      <c r="N41" s="11"/>
      <c r="O41" s="11"/>
      <c r="P41" s="11">
        <v>39</v>
      </c>
      <c r="Q41" s="11" t="str">
        <f t="shared" ca="1" si="3"/>
        <v>RD Congo</v>
      </c>
      <c r="R41" s="11">
        <f t="shared" ca="1" si="14"/>
        <v>1</v>
      </c>
      <c r="S41" s="769">
        <f t="shared" ca="1" si="14"/>
        <v>4.1666666666666664E-2</v>
      </c>
      <c r="T41" s="11">
        <f t="shared" ca="1" si="14"/>
        <v>0</v>
      </c>
      <c r="U41" s="11">
        <f t="shared" ca="1" si="14"/>
        <v>5</v>
      </c>
      <c r="V41" s="769">
        <f t="shared" ca="1" si="14"/>
        <v>0.20833333333333334</v>
      </c>
      <c r="W41" s="11">
        <f t="shared" ca="1" si="14"/>
        <v>1</v>
      </c>
      <c r="X41" s="11">
        <f t="shared" ca="1" si="1"/>
        <v>0</v>
      </c>
      <c r="Y41" s="11"/>
      <c r="Z41" s="11"/>
      <c r="AA41" s="11">
        <v>39</v>
      </c>
      <c r="AB41" s="11" t="str">
        <f ca="1">Idiomas!D250</f>
        <v>Suiza</v>
      </c>
      <c r="AC41" s="11">
        <v>2</v>
      </c>
      <c r="AD41" s="769">
        <f t="shared" si="4"/>
        <v>8.3333333333333329E-2</v>
      </c>
      <c r="AE41" s="11">
        <v>0</v>
      </c>
      <c r="AF41" s="11">
        <f t="shared" ca="1" si="5"/>
        <v>6</v>
      </c>
      <c r="AG41" s="769">
        <f t="shared" ca="1" si="6"/>
        <v>0.25</v>
      </c>
      <c r="AH41" s="11">
        <f t="shared" ca="1" si="7"/>
        <v>1</v>
      </c>
      <c r="AI41" s="11">
        <f t="shared" ca="1" si="8"/>
        <v>44</v>
      </c>
      <c r="AJ41" s="11"/>
    </row>
    <row r="42" spans="1:36">
      <c r="A42" s="11"/>
      <c r="B42" s="11"/>
      <c r="C42" s="764"/>
      <c r="D42" s="11"/>
      <c r="E42" s="764"/>
      <c r="F42" s="11"/>
      <c r="G42" s="11"/>
      <c r="H42" s="11"/>
      <c r="I42" s="11"/>
      <c r="J42" s="11"/>
      <c r="K42" s="11"/>
      <c r="L42" s="11"/>
      <c r="M42" s="11"/>
      <c r="N42" s="11"/>
      <c r="O42" s="11"/>
      <c r="P42" s="11">
        <v>40</v>
      </c>
      <c r="Q42" s="11" t="str">
        <f t="shared" ca="1" si="3"/>
        <v>República Checa</v>
      </c>
      <c r="R42" s="11">
        <f t="shared" ca="1" si="14"/>
        <v>2</v>
      </c>
      <c r="S42" s="769">
        <f t="shared" ca="1" si="14"/>
        <v>8.3333333333333329E-2</v>
      </c>
      <c r="T42" s="11">
        <f t="shared" ca="1" si="14"/>
        <v>0</v>
      </c>
      <c r="U42" s="11">
        <f t="shared" ca="1" si="14"/>
        <v>6</v>
      </c>
      <c r="V42" s="769">
        <f t="shared" ca="1" si="14"/>
        <v>0.25</v>
      </c>
      <c r="W42" s="11">
        <f t="shared" ca="1" si="14"/>
        <v>1</v>
      </c>
      <c r="X42" s="11">
        <f t="shared" ca="1" si="1"/>
        <v>0</v>
      </c>
      <c r="Y42" s="11"/>
      <c r="Z42" s="11"/>
      <c r="AA42" s="11">
        <v>40</v>
      </c>
      <c r="AB42" s="11" t="str">
        <f ca="1">Idiomas!D251</f>
        <v>Túnez</v>
      </c>
      <c r="AC42" s="11">
        <v>1</v>
      </c>
      <c r="AD42" s="769">
        <f t="shared" si="4"/>
        <v>4.1666666666666664E-2</v>
      </c>
      <c r="AE42" s="11">
        <v>0</v>
      </c>
      <c r="AF42" s="11">
        <f t="shared" ca="1" si="5"/>
        <v>5</v>
      </c>
      <c r="AG42" s="769">
        <f t="shared" ca="1" si="6"/>
        <v>0.20833333333333334</v>
      </c>
      <c r="AH42" s="11">
        <f t="shared" ca="1" si="7"/>
        <v>1</v>
      </c>
      <c r="AI42" s="11">
        <f t="shared" ca="1" si="8"/>
        <v>45</v>
      </c>
      <c r="AJ42" s="11"/>
    </row>
    <row r="43" spans="1:36">
      <c r="A43" s="8" t="s">
        <v>8</v>
      </c>
      <c r="B43" s="11"/>
      <c r="C43" s="764"/>
      <c r="D43" s="11"/>
      <c r="E43" s="764"/>
      <c r="F43" s="11"/>
      <c r="G43" s="11"/>
      <c r="H43" s="11"/>
      <c r="I43" s="11"/>
      <c r="J43" s="11"/>
      <c r="K43" s="11"/>
      <c r="L43" s="11"/>
      <c r="M43" s="11"/>
      <c r="N43" s="11"/>
      <c r="O43" s="11"/>
      <c r="P43" s="11">
        <v>41</v>
      </c>
      <c r="Q43" s="11" t="str">
        <f t="shared" ca="1" si="3"/>
        <v>Senegal</v>
      </c>
      <c r="R43" s="11">
        <f t="shared" ref="R43:W58" ca="1" si="16">+INDEX($AC$3:$AH$86,MATCH($Q43,$AB$3:$AB$86,0),MATCH(R$2,$AC$2:$AH$2,0))</f>
        <v>0</v>
      </c>
      <c r="S43" s="769">
        <f t="shared" ca="1" si="16"/>
        <v>0</v>
      </c>
      <c r="T43" s="11">
        <f t="shared" ca="1" si="16"/>
        <v>0</v>
      </c>
      <c r="U43" s="11">
        <f t="shared" ca="1" si="16"/>
        <v>4</v>
      </c>
      <c r="V43" s="769">
        <f t="shared" ca="1" si="14"/>
        <v>0.16666666666666666</v>
      </c>
      <c r="W43" s="11">
        <f t="shared" ca="1" si="16"/>
        <v>1</v>
      </c>
      <c r="X43" s="11">
        <f t="shared" ca="1" si="1"/>
        <v>0</v>
      </c>
      <c r="Y43" s="11"/>
      <c r="Z43" s="11"/>
      <c r="AA43" s="11">
        <v>41</v>
      </c>
      <c r="AB43" s="11" t="str">
        <f ca="1">Idiomas!D252</f>
        <v>Uruguay</v>
      </c>
      <c r="AC43" s="11">
        <v>-3</v>
      </c>
      <c r="AD43" s="769">
        <f t="shared" si="4"/>
        <v>0.125</v>
      </c>
      <c r="AE43" s="11">
        <v>0</v>
      </c>
      <c r="AF43" s="11">
        <f t="shared" ca="1" si="5"/>
        <v>1</v>
      </c>
      <c r="AG43" s="769">
        <f t="shared" ca="1" si="6"/>
        <v>4.1666666666666664E-2</v>
      </c>
      <c r="AH43" s="11">
        <f t="shared" ca="1" si="7"/>
        <v>1</v>
      </c>
      <c r="AI43" s="11">
        <f t="shared" ca="1" si="8"/>
        <v>47</v>
      </c>
      <c r="AJ43" s="11"/>
    </row>
    <row r="44" spans="1:36">
      <c r="A44" s="764">
        <v>46187.666666666664</v>
      </c>
      <c r="B44" s="11"/>
      <c r="C44" s="764">
        <f t="shared" ref="C44:C49" ca="1" si="17">A44+INDEX($V$3:$V$86,MATCH($C$3,$P$3:$P$86,0))*INDEX($W$3:$W$86,MATCH($C$3,$P$3:$P$86,0))</f>
        <v>46187.666666666664</v>
      </c>
      <c r="D44" s="764"/>
      <c r="E44" s="764"/>
      <c r="F44" s="11"/>
      <c r="G44" s="11"/>
      <c r="H44" s="11"/>
      <c r="I44" s="11"/>
      <c r="J44" s="11"/>
      <c r="K44" s="11"/>
      <c r="L44" s="11"/>
      <c r="M44" s="11"/>
      <c r="N44" s="11"/>
      <c r="O44" s="11"/>
      <c r="P44" s="11">
        <v>42</v>
      </c>
      <c r="Q44" s="11" t="str">
        <f t="shared" ca="1" si="3"/>
        <v>Sudáfrica</v>
      </c>
      <c r="R44" s="11">
        <f t="shared" ca="1" si="16"/>
        <v>2</v>
      </c>
      <c r="S44" s="769">
        <f t="shared" ca="1" si="16"/>
        <v>8.3333333333333329E-2</v>
      </c>
      <c r="T44" s="11">
        <f t="shared" ca="1" si="16"/>
        <v>0</v>
      </c>
      <c r="U44" s="11">
        <f t="shared" ca="1" si="16"/>
        <v>6</v>
      </c>
      <c r="V44" s="769">
        <f t="shared" ca="1" si="14"/>
        <v>0.25</v>
      </c>
      <c r="W44" s="11">
        <f t="shared" ca="1" si="16"/>
        <v>1</v>
      </c>
      <c r="X44" s="11">
        <f t="shared" ca="1" si="1"/>
        <v>0</v>
      </c>
      <c r="Y44" s="11"/>
      <c r="Z44" s="11"/>
      <c r="AA44" s="11">
        <v>42</v>
      </c>
      <c r="AB44" s="11" t="str">
        <f ca="1">Idiomas!D253</f>
        <v>Uzbekistán</v>
      </c>
      <c r="AC44" s="11">
        <v>5</v>
      </c>
      <c r="AD44" s="769">
        <f t="shared" si="4"/>
        <v>0.20833333333333334</v>
      </c>
      <c r="AE44" s="11">
        <v>0</v>
      </c>
      <c r="AF44" s="11">
        <f t="shared" ca="1" si="5"/>
        <v>9</v>
      </c>
      <c r="AG44" s="769">
        <f t="shared" ca="1" si="6"/>
        <v>0.375</v>
      </c>
      <c r="AH44" s="11">
        <f t="shared" ca="1" si="7"/>
        <v>1</v>
      </c>
      <c r="AI44" s="11">
        <f t="shared" ca="1" si="8"/>
        <v>48</v>
      </c>
      <c r="AJ44" s="11"/>
    </row>
    <row r="45" spans="1:36">
      <c r="A45" s="764">
        <v>46187.916666666664</v>
      </c>
      <c r="B45" s="11"/>
      <c r="C45" s="764">
        <f t="shared" ca="1" si="17"/>
        <v>46187.916666666664</v>
      </c>
      <c r="D45" s="764"/>
      <c r="E45" s="764"/>
      <c r="F45" s="11"/>
      <c r="G45" s="11"/>
      <c r="H45" s="11"/>
      <c r="I45" s="11"/>
      <c r="J45" s="11"/>
      <c r="K45" s="11"/>
      <c r="L45" s="11"/>
      <c r="M45" s="11"/>
      <c r="N45" s="11"/>
      <c r="O45" s="11"/>
      <c r="P45" s="11">
        <v>43</v>
      </c>
      <c r="Q45" s="11" t="str">
        <f t="shared" ca="1" si="3"/>
        <v>Suecia</v>
      </c>
      <c r="R45" s="11">
        <f t="shared" ca="1" si="16"/>
        <v>2</v>
      </c>
      <c r="S45" s="769">
        <f t="shared" ca="1" si="16"/>
        <v>8.3333333333333329E-2</v>
      </c>
      <c r="T45" s="11">
        <f t="shared" ca="1" si="16"/>
        <v>0</v>
      </c>
      <c r="U45" s="11">
        <f t="shared" ca="1" si="16"/>
        <v>6</v>
      </c>
      <c r="V45" s="769">
        <f t="shared" ca="1" si="14"/>
        <v>0.25</v>
      </c>
      <c r="W45" s="11">
        <f t="shared" ca="1" si="16"/>
        <v>1</v>
      </c>
      <c r="X45" s="11">
        <f t="shared" ca="1" si="1"/>
        <v>0</v>
      </c>
      <c r="Y45" s="11"/>
      <c r="Z45" s="11"/>
      <c r="AA45" s="11">
        <v>43</v>
      </c>
      <c r="AB45" s="11" t="str">
        <f ca="1">Idiomas!D254</f>
        <v>RD Congo</v>
      </c>
      <c r="AC45" s="11">
        <v>1</v>
      </c>
      <c r="AD45" s="769">
        <f t="shared" si="4"/>
        <v>4.1666666666666664E-2</v>
      </c>
      <c r="AE45" s="11">
        <v>0</v>
      </c>
      <c r="AF45" s="11">
        <f t="shared" ca="1" si="5"/>
        <v>5</v>
      </c>
      <c r="AG45" s="769">
        <f t="shared" ca="1" si="6"/>
        <v>0.20833333333333334</v>
      </c>
      <c r="AH45" s="11">
        <f t="shared" ca="1" si="7"/>
        <v>1</v>
      </c>
      <c r="AI45" s="11">
        <f t="shared" ca="1" si="8"/>
        <v>39</v>
      </c>
      <c r="AJ45" s="11"/>
    </row>
    <row r="46" spans="1:36">
      <c r="A46" s="764">
        <v>46193.541666666664</v>
      </c>
      <c r="B46" s="11"/>
      <c r="C46" s="764">
        <f t="shared" ca="1" si="17"/>
        <v>46193.541666666664</v>
      </c>
      <c r="D46" s="764"/>
      <c r="E46" s="764"/>
      <c r="F46" s="11"/>
      <c r="G46" s="11"/>
      <c r="H46" s="11"/>
      <c r="I46" s="11"/>
      <c r="J46" s="11"/>
      <c r="K46" s="11"/>
      <c r="L46" s="11"/>
      <c r="M46" s="11"/>
      <c r="N46" s="11"/>
      <c r="O46" s="11"/>
      <c r="P46" s="11">
        <v>44</v>
      </c>
      <c r="Q46" s="11" t="str">
        <f t="shared" ca="1" si="3"/>
        <v>Suiza</v>
      </c>
      <c r="R46" s="11">
        <f t="shared" ca="1" si="16"/>
        <v>2</v>
      </c>
      <c r="S46" s="769">
        <f t="shared" ca="1" si="16"/>
        <v>8.3333333333333329E-2</v>
      </c>
      <c r="T46" s="11">
        <f t="shared" ca="1" si="16"/>
        <v>0</v>
      </c>
      <c r="U46" s="11">
        <f t="shared" ca="1" si="16"/>
        <v>6</v>
      </c>
      <c r="V46" s="769">
        <f t="shared" ca="1" si="14"/>
        <v>0.25</v>
      </c>
      <c r="W46" s="11">
        <f t="shared" ca="1" si="16"/>
        <v>1</v>
      </c>
      <c r="X46" s="11">
        <f t="shared" ca="1" si="1"/>
        <v>0</v>
      </c>
      <c r="Y46" s="11"/>
      <c r="Z46" s="11"/>
      <c r="AA46" s="11">
        <v>44</v>
      </c>
      <c r="AB46" s="11" t="str">
        <f ca="1">Idiomas!D255</f>
        <v>Irak</v>
      </c>
      <c r="AC46" s="11">
        <v>3</v>
      </c>
      <c r="AD46" s="769">
        <f t="shared" si="4"/>
        <v>0.125</v>
      </c>
      <c r="AE46" s="11">
        <v>0</v>
      </c>
      <c r="AF46" s="11">
        <f t="shared" ca="1" si="5"/>
        <v>7</v>
      </c>
      <c r="AG46" s="769">
        <f t="shared" ca="1" si="6"/>
        <v>0.29166666666666669</v>
      </c>
      <c r="AH46" s="11">
        <f t="shared" ca="1" si="7"/>
        <v>1</v>
      </c>
      <c r="AI46" s="11">
        <f t="shared" ca="1" si="8"/>
        <v>27</v>
      </c>
      <c r="AJ46" s="11"/>
    </row>
    <row r="47" spans="1:36">
      <c r="A47" s="764">
        <v>46194</v>
      </c>
      <c r="B47" s="11"/>
      <c r="C47" s="764">
        <f t="shared" ca="1" si="17"/>
        <v>46194</v>
      </c>
      <c r="D47" s="764"/>
      <c r="E47" s="764"/>
      <c r="F47" s="11"/>
      <c r="G47" s="11"/>
      <c r="H47" s="11"/>
      <c r="I47" s="11"/>
      <c r="J47" s="11"/>
      <c r="K47" s="11"/>
      <c r="L47" s="11"/>
      <c r="M47" s="11"/>
      <c r="N47" s="11"/>
      <c r="O47" s="11"/>
      <c r="P47" s="11">
        <v>45</v>
      </c>
      <c r="Q47" s="11" t="str">
        <f t="shared" ca="1" si="3"/>
        <v>Túnez</v>
      </c>
      <c r="R47" s="11">
        <f t="shared" ca="1" si="16"/>
        <v>1</v>
      </c>
      <c r="S47" s="769">
        <f t="shared" ca="1" si="16"/>
        <v>4.1666666666666664E-2</v>
      </c>
      <c r="T47" s="11">
        <f t="shared" ca="1" si="16"/>
        <v>0</v>
      </c>
      <c r="U47" s="11">
        <f t="shared" ca="1" si="16"/>
        <v>5</v>
      </c>
      <c r="V47" s="769">
        <f t="shared" ca="1" si="14"/>
        <v>0.20833333333333334</v>
      </c>
      <c r="W47" s="11">
        <f t="shared" ca="1" si="16"/>
        <v>1</v>
      </c>
      <c r="X47" s="11">
        <f t="shared" ca="1" si="1"/>
        <v>0</v>
      </c>
      <c r="Y47" s="11"/>
      <c r="Z47" s="11"/>
      <c r="AA47" s="11">
        <v>45</v>
      </c>
      <c r="AB47" s="11" t="str">
        <f ca="1">Idiomas!D256</f>
        <v>Bosnia y Herzegovina</v>
      </c>
      <c r="AC47" s="11">
        <v>2</v>
      </c>
      <c r="AD47" s="769">
        <f t="shared" si="4"/>
        <v>8.3333333333333329E-2</v>
      </c>
      <c r="AE47" s="11">
        <v>0</v>
      </c>
      <c r="AF47" s="11">
        <f t="shared" ca="1" si="5"/>
        <v>6</v>
      </c>
      <c r="AG47" s="769">
        <f t="shared" ca="1" si="6"/>
        <v>0.25</v>
      </c>
      <c r="AH47" s="11">
        <f t="shared" ca="1" si="7"/>
        <v>1</v>
      </c>
      <c r="AI47" s="11">
        <f t="shared" ca="1" si="8"/>
        <v>8</v>
      </c>
      <c r="AJ47" s="11"/>
    </row>
    <row r="48" spans="1:36">
      <c r="A48" s="764">
        <v>46198.791666666664</v>
      </c>
      <c r="B48" s="11"/>
      <c r="C48" s="764">
        <f t="shared" ca="1" si="17"/>
        <v>46198.791666666664</v>
      </c>
      <c r="D48" s="764"/>
      <c r="E48" s="764"/>
      <c r="F48" s="11"/>
      <c r="G48" s="11"/>
      <c r="H48" s="11"/>
      <c r="I48" s="11"/>
      <c r="J48" s="11"/>
      <c r="K48" s="11"/>
      <c r="L48" s="11"/>
      <c r="M48" s="11"/>
      <c r="N48" s="11"/>
      <c r="O48" s="11"/>
      <c r="P48" s="11">
        <v>46</v>
      </c>
      <c r="Q48" s="11" t="str">
        <f t="shared" ca="1" si="3"/>
        <v>Turquía</v>
      </c>
      <c r="R48" s="11">
        <f t="shared" ca="1" si="16"/>
        <v>3</v>
      </c>
      <c r="S48" s="769">
        <f t="shared" ca="1" si="16"/>
        <v>0.125</v>
      </c>
      <c r="T48" s="11">
        <f t="shared" ca="1" si="16"/>
        <v>0</v>
      </c>
      <c r="U48" s="11">
        <f t="shared" ca="1" si="16"/>
        <v>7</v>
      </c>
      <c r="V48" s="769">
        <f t="shared" ca="1" si="14"/>
        <v>0.29166666666666669</v>
      </c>
      <c r="W48" s="11">
        <f t="shared" ca="1" si="16"/>
        <v>1</v>
      </c>
      <c r="X48" s="11">
        <f t="shared" ca="1" si="1"/>
        <v>0</v>
      </c>
      <c r="Y48" s="11"/>
      <c r="Z48" s="11"/>
      <c r="AA48" s="11">
        <v>46</v>
      </c>
      <c r="AB48" s="11" t="str">
        <f ca="1">Idiomas!D257</f>
        <v>Suecia</v>
      </c>
      <c r="AC48" s="11">
        <v>2</v>
      </c>
      <c r="AD48" s="769">
        <f t="shared" si="4"/>
        <v>8.3333333333333329E-2</v>
      </c>
      <c r="AE48" s="11">
        <v>0</v>
      </c>
      <c r="AF48" s="11">
        <f t="shared" ca="1" si="5"/>
        <v>6</v>
      </c>
      <c r="AG48" s="769">
        <f t="shared" ca="1" si="6"/>
        <v>0.25</v>
      </c>
      <c r="AH48" s="11">
        <f t="shared" ca="1" si="7"/>
        <v>1</v>
      </c>
      <c r="AI48" s="11">
        <f t="shared" ca="1" si="8"/>
        <v>43</v>
      </c>
      <c r="AJ48" s="11"/>
    </row>
    <row r="49" spans="1:36">
      <c r="A49" s="764">
        <v>46198.791666666664</v>
      </c>
      <c r="B49" s="11"/>
      <c r="C49" s="764">
        <f t="shared" ca="1" si="17"/>
        <v>46198.791666666664</v>
      </c>
      <c r="D49" s="764"/>
      <c r="E49" s="764"/>
      <c r="F49" s="11"/>
      <c r="G49" s="11"/>
      <c r="H49" s="11"/>
      <c r="I49" s="11"/>
      <c r="J49" s="11"/>
      <c r="K49" s="11"/>
      <c r="L49" s="11"/>
      <c r="M49" s="11"/>
      <c r="N49" s="11"/>
      <c r="O49" s="11"/>
      <c r="P49" s="11">
        <v>47</v>
      </c>
      <c r="Q49" s="11" t="str">
        <f t="shared" ca="1" si="3"/>
        <v>Uruguay</v>
      </c>
      <c r="R49" s="11">
        <f t="shared" ca="1" si="16"/>
        <v>-3</v>
      </c>
      <c r="S49" s="769">
        <f t="shared" ca="1" si="16"/>
        <v>0.125</v>
      </c>
      <c r="T49" s="11">
        <f t="shared" ca="1" si="16"/>
        <v>0</v>
      </c>
      <c r="U49" s="11">
        <f t="shared" ca="1" si="16"/>
        <v>1</v>
      </c>
      <c r="V49" s="769">
        <f t="shared" ca="1" si="16"/>
        <v>4.1666666666666664E-2</v>
      </c>
      <c r="W49" s="11">
        <f t="shared" ca="1" si="16"/>
        <v>1</v>
      </c>
      <c r="X49" s="11">
        <f t="shared" ca="1" si="1"/>
        <v>0</v>
      </c>
      <c r="Y49" s="11"/>
      <c r="Z49" s="11"/>
      <c r="AA49" s="11">
        <v>47</v>
      </c>
      <c r="AB49" s="11" t="str">
        <f ca="1">Idiomas!D258</f>
        <v>Turquía</v>
      </c>
      <c r="AC49" s="11">
        <v>3</v>
      </c>
      <c r="AD49" s="769">
        <f t="shared" si="4"/>
        <v>0.125</v>
      </c>
      <c r="AE49" s="11">
        <v>0</v>
      </c>
      <c r="AF49" s="11">
        <f t="shared" ca="1" si="5"/>
        <v>7</v>
      </c>
      <c r="AG49" s="769">
        <f t="shared" ca="1" si="6"/>
        <v>0.29166666666666669</v>
      </c>
      <c r="AH49" s="11">
        <f t="shared" ca="1" si="7"/>
        <v>1</v>
      </c>
      <c r="AI49" s="11">
        <f t="shared" ca="1" si="8"/>
        <v>46</v>
      </c>
      <c r="AJ49" s="11"/>
    </row>
    <row r="50" spans="1:36">
      <c r="A50" s="11"/>
      <c r="B50" s="11"/>
      <c r="C50" s="764"/>
      <c r="D50" s="11"/>
      <c r="E50" s="764"/>
      <c r="F50" s="11"/>
      <c r="G50" s="11"/>
      <c r="H50" s="11"/>
      <c r="I50" s="11"/>
      <c r="J50" s="11"/>
      <c r="K50" s="11"/>
      <c r="L50" s="11"/>
      <c r="M50" s="11"/>
      <c r="N50" s="11"/>
      <c r="O50" s="11"/>
      <c r="P50" s="11">
        <v>48</v>
      </c>
      <c r="Q50" s="11" t="str">
        <f t="shared" ca="1" si="3"/>
        <v>Uzbekistán</v>
      </c>
      <c r="R50" s="11">
        <f t="shared" ca="1" si="16"/>
        <v>5</v>
      </c>
      <c r="S50" s="769">
        <f t="shared" ca="1" si="16"/>
        <v>0.20833333333333334</v>
      </c>
      <c r="T50" s="11">
        <f t="shared" ca="1" si="16"/>
        <v>0</v>
      </c>
      <c r="U50" s="11">
        <f t="shared" ca="1" si="16"/>
        <v>9</v>
      </c>
      <c r="V50" s="769">
        <f t="shared" ca="1" si="16"/>
        <v>0.375</v>
      </c>
      <c r="W50" s="11">
        <f t="shared" ca="1" si="16"/>
        <v>1</v>
      </c>
      <c r="X50" s="11">
        <f t="shared" ca="1" si="1"/>
        <v>0</v>
      </c>
      <c r="Y50" s="11"/>
      <c r="Z50" s="11"/>
      <c r="AA50" s="11">
        <v>48</v>
      </c>
      <c r="AB50" s="11" t="str">
        <f ca="1">Idiomas!D259</f>
        <v>República Checa</v>
      </c>
      <c r="AC50" s="11">
        <v>2</v>
      </c>
      <c r="AD50" s="769">
        <f t="shared" si="4"/>
        <v>8.3333333333333329E-2</v>
      </c>
      <c r="AE50" s="11">
        <v>0</v>
      </c>
      <c r="AF50" s="11">
        <f t="shared" ca="1" si="5"/>
        <v>6</v>
      </c>
      <c r="AG50" s="769">
        <f t="shared" ca="1" si="6"/>
        <v>0.25</v>
      </c>
      <c r="AH50" s="11">
        <f t="shared" ca="1" si="7"/>
        <v>1</v>
      </c>
      <c r="AI50" s="11">
        <f t="shared" ca="1" si="8"/>
        <v>40</v>
      </c>
      <c r="AJ50" s="11"/>
    </row>
    <row r="51" spans="1:36">
      <c r="A51" s="8" t="s">
        <v>484</v>
      </c>
      <c r="B51" s="11"/>
      <c r="C51" s="764"/>
      <c r="D51" s="11"/>
      <c r="E51" s="764"/>
      <c r="F51" s="11"/>
      <c r="G51" s="11"/>
      <c r="H51" s="11"/>
      <c r="I51" s="11"/>
      <c r="J51" s="11"/>
      <c r="K51" s="11"/>
      <c r="L51" s="11"/>
      <c r="M51" s="11"/>
      <c r="N51" s="11"/>
      <c r="O51" s="11"/>
      <c r="P51" s="11">
        <v>49</v>
      </c>
      <c r="Q51" s="11" t="s">
        <v>150</v>
      </c>
      <c r="R51" s="11">
        <f t="shared" ca="1" si="16"/>
        <v>-12</v>
      </c>
      <c r="S51" s="769">
        <f t="shared" ca="1" si="16"/>
        <v>0.5</v>
      </c>
      <c r="T51" s="11">
        <f t="shared" ca="1" si="16"/>
        <v>0</v>
      </c>
      <c r="U51" s="11">
        <f t="shared" ca="1" si="16"/>
        <v>-8</v>
      </c>
      <c r="V51" s="769">
        <f t="shared" ca="1" si="16"/>
        <v>0.33333333333333331</v>
      </c>
      <c r="W51" s="11">
        <f t="shared" ref="W51:W60" ca="1" si="18">IF(R51&gt;$M$2,1,IF(R51=$M$2,0,-1))</f>
        <v>-1</v>
      </c>
      <c r="X51" s="11"/>
      <c r="Y51" s="11"/>
      <c r="Z51" s="11"/>
      <c r="AA51" s="11">
        <v>49</v>
      </c>
      <c r="AB51" s="11" t="s">
        <v>150</v>
      </c>
      <c r="AC51" s="11">
        <v>-12</v>
      </c>
      <c r="AD51" s="769">
        <f t="shared" si="4"/>
        <v>0.5</v>
      </c>
      <c r="AE51" s="11">
        <v>0</v>
      </c>
      <c r="AF51" s="11">
        <f t="shared" ref="AF51:AF60" ca="1" si="19">AC51-$M$2</f>
        <v>-8</v>
      </c>
      <c r="AG51" s="769">
        <f t="shared" ca="1" si="6"/>
        <v>0.33333333333333331</v>
      </c>
      <c r="AH51" s="11">
        <f t="shared" ref="AH51:AH60" ca="1" si="20">IF(AC51&gt;$M$2,1,IF(AC51=$M$2,0,-1))</f>
        <v>-1</v>
      </c>
      <c r="AI51" s="11"/>
      <c r="AJ51" s="11"/>
    </row>
    <row r="52" spans="1:36">
      <c r="A52" s="764">
        <v>46188.625</v>
      </c>
      <c r="B52" s="11"/>
      <c r="C52" s="764">
        <f t="shared" ref="C52:C57" ca="1" si="21">A52+INDEX($V$3:$V$86,MATCH($C$3,$P$3:$P$86,0))*INDEX($W$3:$W$86,MATCH($C$3,$P$3:$P$86,0))</f>
        <v>46188.625</v>
      </c>
      <c r="D52" s="764"/>
      <c r="E52" s="764"/>
      <c r="F52" s="11"/>
      <c r="G52" s="11"/>
      <c r="H52" s="11"/>
      <c r="I52" s="11"/>
      <c r="J52" s="11"/>
      <c r="K52" s="11"/>
      <c r="L52" s="11"/>
      <c r="M52" s="11"/>
      <c r="N52" s="11"/>
      <c r="O52" s="11"/>
      <c r="P52" s="11">
        <v>50</v>
      </c>
      <c r="Q52" s="11" t="s">
        <v>151</v>
      </c>
      <c r="R52" s="11">
        <f t="shared" ca="1" si="16"/>
        <v>-11</v>
      </c>
      <c r="S52" s="769">
        <f t="shared" ca="1" si="16"/>
        <v>0.45833333333333331</v>
      </c>
      <c r="T52" s="11">
        <f t="shared" ca="1" si="16"/>
        <v>0</v>
      </c>
      <c r="U52" s="11">
        <f t="shared" ca="1" si="16"/>
        <v>-7</v>
      </c>
      <c r="V52" s="769">
        <f t="shared" ca="1" si="16"/>
        <v>0.29166666666666669</v>
      </c>
      <c r="W52" s="11">
        <f t="shared" ca="1" si="18"/>
        <v>-1</v>
      </c>
      <c r="X52" s="11"/>
      <c r="Y52" s="11"/>
      <c r="Z52" s="11"/>
      <c r="AA52" s="11">
        <v>50</v>
      </c>
      <c r="AB52" s="11" t="s">
        <v>151</v>
      </c>
      <c r="AC52" s="11">
        <v>-11</v>
      </c>
      <c r="AD52" s="769">
        <f t="shared" si="4"/>
        <v>0.45833333333333331</v>
      </c>
      <c r="AE52" s="11">
        <v>0</v>
      </c>
      <c r="AF52" s="11">
        <f t="shared" ca="1" si="19"/>
        <v>-7</v>
      </c>
      <c r="AG52" s="769">
        <f t="shared" ca="1" si="6"/>
        <v>0.29166666666666669</v>
      </c>
      <c r="AH52" s="11">
        <f t="shared" ca="1" si="20"/>
        <v>-1</v>
      </c>
      <c r="AI52" s="11"/>
      <c r="AJ52" s="11"/>
    </row>
    <row r="53" spans="1:36">
      <c r="A53" s="764">
        <v>46188.875</v>
      </c>
      <c r="B53" s="11"/>
      <c r="C53" s="764">
        <f t="shared" ca="1" si="21"/>
        <v>46188.875</v>
      </c>
      <c r="D53" s="764"/>
      <c r="E53" s="764"/>
      <c r="F53" s="11"/>
      <c r="G53" s="11"/>
      <c r="H53" s="11"/>
      <c r="I53" s="11"/>
      <c r="J53" s="11"/>
      <c r="K53" s="11"/>
      <c r="L53" s="11"/>
      <c r="M53" s="11"/>
      <c r="N53" s="11"/>
      <c r="O53" s="11"/>
      <c r="P53" s="11">
        <v>51</v>
      </c>
      <c r="Q53" s="11" t="s">
        <v>152</v>
      </c>
      <c r="R53" s="11">
        <f t="shared" ca="1" si="16"/>
        <v>-10</v>
      </c>
      <c r="S53" s="769">
        <f t="shared" ca="1" si="16"/>
        <v>0.41666666666666669</v>
      </c>
      <c r="T53" s="11">
        <f t="shared" ca="1" si="16"/>
        <v>0</v>
      </c>
      <c r="U53" s="11">
        <f t="shared" ca="1" si="16"/>
        <v>-6</v>
      </c>
      <c r="V53" s="769">
        <f t="shared" ca="1" si="16"/>
        <v>0.25</v>
      </c>
      <c r="W53" s="11">
        <f t="shared" ca="1" si="18"/>
        <v>-1</v>
      </c>
      <c r="X53" s="11"/>
      <c r="Y53" s="11"/>
      <c r="Z53" s="11"/>
      <c r="AA53" s="11">
        <v>51</v>
      </c>
      <c r="AB53" s="11" t="s">
        <v>152</v>
      </c>
      <c r="AC53" s="11">
        <v>-10</v>
      </c>
      <c r="AD53" s="769">
        <f t="shared" si="4"/>
        <v>0.41666666666666669</v>
      </c>
      <c r="AE53" s="11">
        <v>0</v>
      </c>
      <c r="AF53" s="11">
        <f t="shared" ca="1" si="19"/>
        <v>-6</v>
      </c>
      <c r="AG53" s="769">
        <f t="shared" ca="1" si="6"/>
        <v>0.25</v>
      </c>
      <c r="AH53" s="11">
        <f t="shared" ca="1" si="20"/>
        <v>-1</v>
      </c>
      <c r="AI53" s="11"/>
      <c r="AJ53" s="11"/>
    </row>
    <row r="54" spans="1:36">
      <c r="A54" s="764">
        <v>46194.625</v>
      </c>
      <c r="B54" s="11"/>
      <c r="C54" s="764">
        <f t="shared" ca="1" si="21"/>
        <v>46194.625</v>
      </c>
      <c r="D54" s="764"/>
      <c r="E54" s="764"/>
      <c r="F54" s="11"/>
      <c r="G54" s="11"/>
      <c r="H54" s="11"/>
      <c r="I54" s="11"/>
      <c r="J54" s="11"/>
      <c r="K54" s="11"/>
      <c r="L54" s="11"/>
      <c r="M54" s="11"/>
      <c r="N54" s="11"/>
      <c r="O54" s="11"/>
      <c r="P54" s="11">
        <v>52</v>
      </c>
      <c r="Q54" s="11" t="s">
        <v>153</v>
      </c>
      <c r="R54" s="11">
        <f t="shared" ca="1" si="16"/>
        <v>-9</v>
      </c>
      <c r="S54" s="769">
        <f t="shared" ca="1" si="16"/>
        <v>0.375</v>
      </c>
      <c r="T54" s="11">
        <f t="shared" ca="1" si="16"/>
        <v>0</v>
      </c>
      <c r="U54" s="11">
        <f t="shared" ca="1" si="16"/>
        <v>-5</v>
      </c>
      <c r="V54" s="769">
        <f t="shared" ca="1" si="16"/>
        <v>0.20833333333333334</v>
      </c>
      <c r="W54" s="11">
        <f t="shared" ca="1" si="18"/>
        <v>-1</v>
      </c>
      <c r="X54" s="11"/>
      <c r="Y54" s="11"/>
      <c r="Z54" s="11"/>
      <c r="AA54" s="11">
        <v>52</v>
      </c>
      <c r="AB54" s="11" t="s">
        <v>153</v>
      </c>
      <c r="AC54" s="11">
        <v>-9</v>
      </c>
      <c r="AD54" s="769">
        <f t="shared" si="4"/>
        <v>0.375</v>
      </c>
      <c r="AE54" s="11">
        <v>0</v>
      </c>
      <c r="AF54" s="11">
        <f t="shared" ca="1" si="19"/>
        <v>-5</v>
      </c>
      <c r="AG54" s="769">
        <f t="shared" ca="1" si="6"/>
        <v>0.20833333333333334</v>
      </c>
      <c r="AH54" s="11">
        <f t="shared" ca="1" si="20"/>
        <v>-1</v>
      </c>
      <c r="AI54" s="11"/>
      <c r="AJ54" s="11"/>
    </row>
    <row r="55" spans="1:36">
      <c r="A55" s="764">
        <v>46194.875</v>
      </c>
      <c r="B55" s="11"/>
      <c r="C55" s="764">
        <f t="shared" ca="1" si="21"/>
        <v>46194.875</v>
      </c>
      <c r="D55" s="764"/>
      <c r="E55" s="764"/>
      <c r="F55" s="11"/>
      <c r="G55" s="11"/>
      <c r="H55" s="11"/>
      <c r="I55" s="11"/>
      <c r="J55" s="11"/>
      <c r="K55" s="11"/>
      <c r="L55" s="11"/>
      <c r="M55" s="11"/>
      <c r="N55" s="11"/>
      <c r="O55" s="11"/>
      <c r="P55" s="11">
        <v>53</v>
      </c>
      <c r="Q55" s="11" t="s">
        <v>154</v>
      </c>
      <c r="R55" s="11">
        <f t="shared" ca="1" si="16"/>
        <v>-8</v>
      </c>
      <c r="S55" s="769">
        <f t="shared" ca="1" si="16"/>
        <v>0.33333333333333331</v>
      </c>
      <c r="T55" s="11">
        <f t="shared" ca="1" si="16"/>
        <v>0</v>
      </c>
      <c r="U55" s="11">
        <f t="shared" ca="1" si="16"/>
        <v>-4</v>
      </c>
      <c r="V55" s="769">
        <f t="shared" ca="1" si="16"/>
        <v>0.16666666666666666</v>
      </c>
      <c r="W55" s="11">
        <f t="shared" ca="1" si="18"/>
        <v>-1</v>
      </c>
      <c r="X55" s="11"/>
      <c r="Y55" s="11"/>
      <c r="Z55" s="11"/>
      <c r="AA55" s="11">
        <v>53</v>
      </c>
      <c r="AB55" s="11" t="s">
        <v>154</v>
      </c>
      <c r="AC55" s="11">
        <v>-8</v>
      </c>
      <c r="AD55" s="769">
        <f t="shared" si="4"/>
        <v>0.33333333333333331</v>
      </c>
      <c r="AE55" s="11">
        <v>0</v>
      </c>
      <c r="AF55" s="11">
        <f t="shared" ca="1" si="19"/>
        <v>-4</v>
      </c>
      <c r="AG55" s="769">
        <f t="shared" ca="1" si="6"/>
        <v>0.16666666666666666</v>
      </c>
      <c r="AH55" s="11">
        <f t="shared" ca="1" si="20"/>
        <v>-1</v>
      </c>
      <c r="AI55" s="11"/>
      <c r="AJ55" s="11"/>
    </row>
    <row r="56" spans="1:36">
      <c r="A56" s="764">
        <v>46199.958333333336</v>
      </c>
      <c r="B56" s="11"/>
      <c r="C56" s="764">
        <f t="shared" ca="1" si="21"/>
        <v>46199.958333333336</v>
      </c>
      <c r="D56" s="764"/>
      <c r="E56" s="764"/>
      <c r="F56" s="11"/>
      <c r="G56" s="11"/>
      <c r="H56" s="11"/>
      <c r="I56" s="11"/>
      <c r="J56" s="11"/>
      <c r="K56" s="11"/>
      <c r="L56" s="11"/>
      <c r="M56" s="11"/>
      <c r="N56" s="11"/>
      <c r="O56" s="11"/>
      <c r="P56" s="11">
        <v>54</v>
      </c>
      <c r="Q56" s="11" t="s">
        <v>155</v>
      </c>
      <c r="R56" s="11">
        <f t="shared" ca="1" si="16"/>
        <v>-7</v>
      </c>
      <c r="S56" s="769">
        <f t="shared" ca="1" si="16"/>
        <v>0.29166666666666669</v>
      </c>
      <c r="T56" s="11">
        <f t="shared" ca="1" si="16"/>
        <v>0</v>
      </c>
      <c r="U56" s="11">
        <f t="shared" ca="1" si="16"/>
        <v>-3</v>
      </c>
      <c r="V56" s="769">
        <f t="shared" ca="1" si="16"/>
        <v>0.125</v>
      </c>
      <c r="W56" s="11">
        <f t="shared" ca="1" si="18"/>
        <v>-1</v>
      </c>
      <c r="X56" s="11"/>
      <c r="Y56" s="11"/>
      <c r="Z56" s="11"/>
      <c r="AA56" s="11">
        <v>54</v>
      </c>
      <c r="AB56" s="11" t="s">
        <v>155</v>
      </c>
      <c r="AC56" s="11">
        <v>-7</v>
      </c>
      <c r="AD56" s="769">
        <f t="shared" si="4"/>
        <v>0.29166666666666669</v>
      </c>
      <c r="AE56" s="11">
        <v>0</v>
      </c>
      <c r="AF56" s="11">
        <f t="shared" ca="1" si="19"/>
        <v>-3</v>
      </c>
      <c r="AG56" s="769">
        <f t="shared" ca="1" si="6"/>
        <v>0.125</v>
      </c>
      <c r="AH56" s="11">
        <f t="shared" ca="1" si="20"/>
        <v>-1</v>
      </c>
      <c r="AI56" s="11"/>
      <c r="AJ56" s="11"/>
    </row>
    <row r="57" spans="1:36">
      <c r="A57" s="764">
        <v>46199.958333333336</v>
      </c>
      <c r="B57" s="11"/>
      <c r="C57" s="764">
        <f t="shared" ca="1" si="21"/>
        <v>46199.958333333336</v>
      </c>
      <c r="D57" s="764"/>
      <c r="E57" s="764"/>
      <c r="F57" s="11"/>
      <c r="G57" s="11"/>
      <c r="H57" s="11"/>
      <c r="I57" s="11"/>
      <c r="J57" s="11"/>
      <c r="K57" s="11"/>
      <c r="L57" s="11"/>
      <c r="M57" s="11"/>
      <c r="N57" s="11"/>
      <c r="O57" s="11"/>
      <c r="P57" s="11">
        <v>55</v>
      </c>
      <c r="Q57" s="11" t="s">
        <v>156</v>
      </c>
      <c r="R57" s="11">
        <f t="shared" ca="1" si="16"/>
        <v>-6</v>
      </c>
      <c r="S57" s="769">
        <f t="shared" ca="1" si="16"/>
        <v>0.25</v>
      </c>
      <c r="T57" s="11">
        <f t="shared" ca="1" si="16"/>
        <v>0</v>
      </c>
      <c r="U57" s="11">
        <f t="shared" ca="1" si="16"/>
        <v>-2</v>
      </c>
      <c r="V57" s="769">
        <f t="shared" ca="1" si="16"/>
        <v>8.3333333333333329E-2</v>
      </c>
      <c r="W57" s="11">
        <f t="shared" ca="1" si="18"/>
        <v>-1</v>
      </c>
      <c r="X57" s="11"/>
      <c r="Y57" s="11"/>
      <c r="Z57" s="11"/>
      <c r="AA57" s="11">
        <v>55</v>
      </c>
      <c r="AB57" s="11" t="s">
        <v>156</v>
      </c>
      <c r="AC57" s="11">
        <v>-6</v>
      </c>
      <c r="AD57" s="769">
        <f t="shared" si="4"/>
        <v>0.25</v>
      </c>
      <c r="AE57" s="11">
        <v>0</v>
      </c>
      <c r="AF57" s="11">
        <f t="shared" ca="1" si="19"/>
        <v>-2</v>
      </c>
      <c r="AG57" s="769">
        <f t="shared" ca="1" si="6"/>
        <v>8.3333333333333329E-2</v>
      </c>
      <c r="AH57" s="11">
        <f t="shared" ca="1" si="20"/>
        <v>-1</v>
      </c>
      <c r="AI57" s="11"/>
      <c r="AJ57" s="11"/>
    </row>
    <row r="58" spans="1:36">
      <c r="A58" s="11"/>
      <c r="B58" s="11"/>
      <c r="C58" s="764"/>
      <c r="D58" s="11"/>
      <c r="E58" s="764"/>
      <c r="F58" s="11"/>
      <c r="G58" s="11"/>
      <c r="H58" s="11"/>
      <c r="I58" s="11"/>
      <c r="J58" s="11"/>
      <c r="K58" s="11"/>
      <c r="L58" s="11"/>
      <c r="M58" s="11"/>
      <c r="N58" s="11"/>
      <c r="O58" s="11"/>
      <c r="P58" s="11">
        <v>56</v>
      </c>
      <c r="Q58" s="11" t="s">
        <v>157</v>
      </c>
      <c r="R58" s="11">
        <f t="shared" ca="1" si="16"/>
        <v>-5</v>
      </c>
      <c r="S58" s="769">
        <f t="shared" ca="1" si="16"/>
        <v>0.20833333333333334</v>
      </c>
      <c r="T58" s="11">
        <f t="shared" ca="1" si="16"/>
        <v>0</v>
      </c>
      <c r="U58" s="11">
        <f t="shared" ca="1" si="16"/>
        <v>-1</v>
      </c>
      <c r="V58" s="769">
        <f t="shared" ca="1" si="16"/>
        <v>4.1666666666666664E-2</v>
      </c>
      <c r="W58" s="11">
        <f t="shared" ca="1" si="18"/>
        <v>-1</v>
      </c>
      <c r="X58" s="11"/>
      <c r="Y58" s="11"/>
      <c r="Z58" s="11"/>
      <c r="AA58" s="11">
        <v>56</v>
      </c>
      <c r="AB58" s="11" t="s">
        <v>157</v>
      </c>
      <c r="AC58" s="11">
        <v>-5</v>
      </c>
      <c r="AD58" s="769">
        <f t="shared" si="4"/>
        <v>0.20833333333333334</v>
      </c>
      <c r="AE58" s="11">
        <v>0</v>
      </c>
      <c r="AF58" s="11">
        <f t="shared" ca="1" si="19"/>
        <v>-1</v>
      </c>
      <c r="AG58" s="769">
        <f t="shared" ca="1" si="6"/>
        <v>4.1666666666666664E-2</v>
      </c>
      <c r="AH58" s="11">
        <f t="shared" ca="1" si="20"/>
        <v>-1</v>
      </c>
      <c r="AI58" s="11"/>
      <c r="AJ58" s="11"/>
    </row>
    <row r="59" spans="1:36">
      <c r="A59" s="8" t="s">
        <v>485</v>
      </c>
      <c r="B59" s="11"/>
      <c r="C59" s="764"/>
      <c r="D59" s="11"/>
      <c r="E59" s="764"/>
      <c r="F59" s="11"/>
      <c r="G59" s="11"/>
      <c r="H59" s="11"/>
      <c r="I59" s="11"/>
      <c r="J59" s="11"/>
      <c r="K59" s="11"/>
      <c r="L59" s="11"/>
      <c r="M59" s="11"/>
      <c r="N59" s="11"/>
      <c r="O59" s="11"/>
      <c r="P59" s="11">
        <v>57</v>
      </c>
      <c r="Q59" s="11" t="s">
        <v>158</v>
      </c>
      <c r="R59" s="11">
        <f t="shared" ref="R59:S86" ca="1" si="22">+INDEX($AC$3:$AH$86,MATCH($Q59,$AB$3:$AB$86,0),MATCH(R$2,$AC$2:$AH$2,0))</f>
        <v>-4</v>
      </c>
      <c r="S59" s="769">
        <f t="shared" ca="1" si="22"/>
        <v>0.16666666666666666</v>
      </c>
      <c r="T59" s="11">
        <f t="shared" ref="T59:T86" ca="1" si="23">+INDEX($AC$3:$AH$86,MATCH($Q59,$AB$3:$AB$86,0),MATCH(T$2,$AC$2:$AH$2,0))</f>
        <v>0</v>
      </c>
      <c r="U59" s="11">
        <f t="shared" ref="U59:U86" ca="1" si="24">+INDEX($AC$3:$AH$86,MATCH($Q59,$AB$3:$AB$86,0),MATCH(U$2,$AC$2:$AH$2,0))</f>
        <v>0</v>
      </c>
      <c r="V59" s="769">
        <f t="shared" ref="V59:V86" ca="1" si="25">+INDEX($AC$3:$AH$86,MATCH($Q59,$AB$3:$AB$86,0),MATCH(V$2,$AC$2:$AH$2,0))</f>
        <v>0</v>
      </c>
      <c r="W59" s="11">
        <f t="shared" ca="1" si="18"/>
        <v>0</v>
      </c>
      <c r="X59" s="11"/>
      <c r="Y59" s="11"/>
      <c r="Z59" s="11"/>
      <c r="AA59" s="11">
        <v>57</v>
      </c>
      <c r="AB59" s="11" t="s">
        <v>158</v>
      </c>
      <c r="AC59" s="11">
        <v>-4</v>
      </c>
      <c r="AD59" s="769">
        <f t="shared" si="4"/>
        <v>0.16666666666666666</v>
      </c>
      <c r="AE59" s="11">
        <v>0</v>
      </c>
      <c r="AF59" s="11">
        <f t="shared" ca="1" si="19"/>
        <v>0</v>
      </c>
      <c r="AG59" s="769">
        <f t="shared" ca="1" si="6"/>
        <v>0</v>
      </c>
      <c r="AH59" s="11">
        <f t="shared" ca="1" si="20"/>
        <v>0</v>
      </c>
      <c r="AI59" s="11"/>
      <c r="AJ59" s="11"/>
    </row>
    <row r="60" spans="1:36">
      <c r="A60" s="764">
        <v>46188.5</v>
      </c>
      <c r="B60" s="11"/>
      <c r="C60" s="764">
        <f t="shared" ref="C60:C65" ca="1" si="26">A60+INDEX($V$3:$V$86,MATCH($C$3,$P$3:$P$86,0))*INDEX($W$3:$W$86,MATCH($C$3,$P$3:$P$86,0))</f>
        <v>46188.5</v>
      </c>
      <c r="D60" s="764"/>
      <c r="E60" s="764"/>
      <c r="F60" s="11"/>
      <c r="G60" s="11"/>
      <c r="H60" s="11"/>
      <c r="I60" s="11"/>
      <c r="J60" s="11"/>
      <c r="K60" s="11"/>
      <c r="L60" s="11"/>
      <c r="M60" s="11"/>
      <c r="N60" s="11"/>
      <c r="O60" s="11"/>
      <c r="P60" s="11">
        <v>58</v>
      </c>
      <c r="Q60" s="11" t="s">
        <v>365</v>
      </c>
      <c r="R60" s="11">
        <f t="shared" ca="1" si="22"/>
        <v>-3.5</v>
      </c>
      <c r="S60" s="769">
        <f t="shared" ca="1" si="22"/>
        <v>0.14583333333333334</v>
      </c>
      <c r="T60" s="11">
        <f t="shared" ca="1" si="23"/>
        <v>0</v>
      </c>
      <c r="U60" s="11">
        <f t="shared" ca="1" si="24"/>
        <v>0.5</v>
      </c>
      <c r="V60" s="769">
        <f t="shared" ca="1" si="25"/>
        <v>2.0833333333333332E-2</v>
      </c>
      <c r="W60" s="11">
        <f t="shared" ca="1" si="18"/>
        <v>1</v>
      </c>
      <c r="X60" s="11"/>
      <c r="Y60" s="11"/>
      <c r="Z60" s="11"/>
      <c r="AA60" s="11">
        <v>58</v>
      </c>
      <c r="AB60" s="11" t="s">
        <v>365</v>
      </c>
      <c r="AC60" s="11">
        <v>-3.5</v>
      </c>
      <c r="AD60" s="769">
        <f t="shared" si="4"/>
        <v>0.14583333333333334</v>
      </c>
      <c r="AE60" s="11">
        <v>0</v>
      </c>
      <c r="AF60" s="11">
        <f t="shared" ca="1" si="19"/>
        <v>0.5</v>
      </c>
      <c r="AG60" s="769">
        <f t="shared" ca="1" si="6"/>
        <v>2.0833333333333332E-2</v>
      </c>
      <c r="AH60" s="11">
        <f t="shared" ca="1" si="20"/>
        <v>1</v>
      </c>
      <c r="AI60" s="11"/>
      <c r="AJ60" s="11"/>
    </row>
    <row r="61" spans="1:36">
      <c r="A61" s="764">
        <v>46188.75</v>
      </c>
      <c r="B61" s="11"/>
      <c r="C61" s="764">
        <f t="shared" ca="1" si="26"/>
        <v>46188.75</v>
      </c>
      <c r="D61" s="764"/>
      <c r="E61" s="764"/>
      <c r="F61" s="11"/>
      <c r="G61" s="11"/>
      <c r="H61" s="11"/>
      <c r="I61" s="11"/>
      <c r="J61" s="11"/>
      <c r="K61" s="11"/>
      <c r="L61" s="11"/>
      <c r="M61" s="11"/>
      <c r="N61" s="11"/>
      <c r="O61" s="11"/>
      <c r="P61" s="11">
        <v>59</v>
      </c>
      <c r="Q61" s="11" t="s">
        <v>159</v>
      </c>
      <c r="R61" s="11">
        <f t="shared" ca="1" si="22"/>
        <v>-3</v>
      </c>
      <c r="S61" s="769">
        <f t="shared" ca="1" si="22"/>
        <v>0.125</v>
      </c>
      <c r="T61" s="11">
        <f t="shared" ca="1" si="23"/>
        <v>0</v>
      </c>
      <c r="U61" s="11">
        <f t="shared" ca="1" si="24"/>
        <v>1</v>
      </c>
      <c r="V61" s="769">
        <f t="shared" ca="1" si="25"/>
        <v>4.1666666666666664E-2</v>
      </c>
      <c r="W61" s="11">
        <f t="shared" ref="W61:W86" ca="1" si="27">IF(R61&gt;$M$2,1,IF(R61=$M$2,0,-1))</f>
        <v>1</v>
      </c>
      <c r="X61" s="11"/>
      <c r="Y61" s="11"/>
      <c r="Z61" s="11"/>
      <c r="AA61" s="11">
        <v>59</v>
      </c>
      <c r="AB61" s="11" t="s">
        <v>159</v>
      </c>
      <c r="AC61" s="11">
        <v>-3</v>
      </c>
      <c r="AD61" s="769">
        <f t="shared" si="4"/>
        <v>0.125</v>
      </c>
      <c r="AE61" s="11">
        <v>0</v>
      </c>
      <c r="AF61" s="11">
        <f t="shared" ref="AF61:AF86" ca="1" si="28">AC61-$M$2</f>
        <v>1</v>
      </c>
      <c r="AG61" s="769">
        <f t="shared" ca="1" si="6"/>
        <v>4.1666666666666664E-2</v>
      </c>
      <c r="AH61" s="11">
        <f t="shared" ref="AH61:AH86" ca="1" si="29">IF(AC61&gt;$M$2,1,IF(AC61=$M$2,0,-1))</f>
        <v>1</v>
      </c>
      <c r="AI61" s="11"/>
      <c r="AJ61" s="11"/>
    </row>
    <row r="62" spans="1:36">
      <c r="A62" s="764">
        <v>46194.5</v>
      </c>
      <c r="B62" s="11"/>
      <c r="C62" s="764">
        <f t="shared" ca="1" si="26"/>
        <v>46194.5</v>
      </c>
      <c r="D62" s="764"/>
      <c r="E62" s="764"/>
      <c r="F62" s="11"/>
      <c r="G62" s="11"/>
      <c r="H62" s="11"/>
      <c r="I62" s="11"/>
      <c r="J62" s="11"/>
      <c r="K62" s="11"/>
      <c r="L62" s="11"/>
      <c r="M62" s="11"/>
      <c r="N62" s="11"/>
      <c r="O62" s="11"/>
      <c r="P62" s="11">
        <v>60</v>
      </c>
      <c r="Q62" s="11" t="s">
        <v>160</v>
      </c>
      <c r="R62" s="11">
        <f t="shared" ca="1" si="22"/>
        <v>-2</v>
      </c>
      <c r="S62" s="769">
        <f t="shared" ca="1" si="22"/>
        <v>8.3333333333333329E-2</v>
      </c>
      <c r="T62" s="11">
        <f t="shared" ca="1" si="23"/>
        <v>0</v>
      </c>
      <c r="U62" s="11">
        <f t="shared" ca="1" si="24"/>
        <v>2</v>
      </c>
      <c r="V62" s="769">
        <f t="shared" ca="1" si="25"/>
        <v>8.3333333333333329E-2</v>
      </c>
      <c r="W62" s="11">
        <f t="shared" ca="1" si="27"/>
        <v>1</v>
      </c>
      <c r="X62" s="11"/>
      <c r="Y62" s="11"/>
      <c r="Z62" s="11"/>
      <c r="AA62" s="11">
        <v>60</v>
      </c>
      <c r="AB62" s="11" t="s">
        <v>160</v>
      </c>
      <c r="AC62" s="11">
        <v>-2</v>
      </c>
      <c r="AD62" s="769">
        <f t="shared" si="4"/>
        <v>8.3333333333333329E-2</v>
      </c>
      <c r="AE62" s="11">
        <v>0</v>
      </c>
      <c r="AF62" s="11">
        <f t="shared" ca="1" si="28"/>
        <v>2</v>
      </c>
      <c r="AG62" s="769">
        <f t="shared" ca="1" si="6"/>
        <v>8.3333333333333329E-2</v>
      </c>
      <c r="AH62" s="11">
        <f t="shared" ca="1" si="29"/>
        <v>1</v>
      </c>
      <c r="AI62" s="11"/>
      <c r="AJ62" s="11"/>
    </row>
    <row r="63" spans="1:36">
      <c r="A63" s="764">
        <v>46194.75</v>
      </c>
      <c r="B63" s="11"/>
      <c r="C63" s="764">
        <f t="shared" ca="1" si="26"/>
        <v>46194.75</v>
      </c>
      <c r="D63" s="764"/>
      <c r="E63" s="764"/>
      <c r="F63" s="11"/>
      <c r="G63" s="11"/>
      <c r="H63" s="11"/>
      <c r="I63" s="11"/>
      <c r="J63" s="11"/>
      <c r="K63" s="11"/>
      <c r="L63" s="11"/>
      <c r="M63" s="11"/>
      <c r="N63" s="11"/>
      <c r="O63" s="11"/>
      <c r="P63" s="11">
        <v>61</v>
      </c>
      <c r="Q63" s="11" t="s">
        <v>161</v>
      </c>
      <c r="R63" s="11">
        <f t="shared" ca="1" si="22"/>
        <v>-1</v>
      </c>
      <c r="S63" s="769">
        <f t="shared" ca="1" si="22"/>
        <v>4.1666666666666664E-2</v>
      </c>
      <c r="T63" s="11">
        <f t="shared" ca="1" si="23"/>
        <v>0</v>
      </c>
      <c r="U63" s="11">
        <f t="shared" ca="1" si="24"/>
        <v>3</v>
      </c>
      <c r="V63" s="769">
        <f t="shared" ca="1" si="25"/>
        <v>0.125</v>
      </c>
      <c r="W63" s="11">
        <f t="shared" ca="1" si="27"/>
        <v>1</v>
      </c>
      <c r="X63" s="11"/>
      <c r="Y63" s="11"/>
      <c r="Z63" s="11"/>
      <c r="AA63" s="11">
        <v>61</v>
      </c>
      <c r="AB63" s="11" t="s">
        <v>161</v>
      </c>
      <c r="AC63" s="11">
        <v>-1</v>
      </c>
      <c r="AD63" s="769">
        <f t="shared" si="4"/>
        <v>4.1666666666666664E-2</v>
      </c>
      <c r="AE63" s="11">
        <v>0</v>
      </c>
      <c r="AF63" s="11">
        <f t="shared" ca="1" si="28"/>
        <v>3</v>
      </c>
      <c r="AG63" s="769">
        <f t="shared" ca="1" si="6"/>
        <v>0.125</v>
      </c>
      <c r="AH63" s="11">
        <f t="shared" ca="1" si="29"/>
        <v>1</v>
      </c>
      <c r="AI63" s="11"/>
      <c r="AJ63" s="11"/>
    </row>
    <row r="64" spans="1:36">
      <c r="A64" s="764">
        <v>46199.833333333336</v>
      </c>
      <c r="B64" s="11"/>
      <c r="C64" s="764">
        <f t="shared" ca="1" si="26"/>
        <v>46199.833333333336</v>
      </c>
      <c r="D64" s="764"/>
      <c r="E64" s="764"/>
      <c r="F64" s="11"/>
      <c r="G64" s="11"/>
      <c r="H64" s="11"/>
      <c r="I64" s="11"/>
      <c r="J64" s="11"/>
      <c r="K64" s="11"/>
      <c r="L64" s="11"/>
      <c r="M64" s="11"/>
      <c r="N64" s="11"/>
      <c r="O64" s="11"/>
      <c r="P64" s="11">
        <v>62</v>
      </c>
      <c r="Q64" s="11" t="s">
        <v>149</v>
      </c>
      <c r="R64" s="11">
        <f t="shared" ca="1" si="22"/>
        <v>0</v>
      </c>
      <c r="S64" s="769">
        <f t="shared" ca="1" si="22"/>
        <v>0</v>
      </c>
      <c r="T64" s="11">
        <f t="shared" ca="1" si="23"/>
        <v>0</v>
      </c>
      <c r="U64" s="11">
        <f t="shared" ca="1" si="24"/>
        <v>4</v>
      </c>
      <c r="V64" s="769">
        <f t="shared" ca="1" si="25"/>
        <v>0.16666666666666666</v>
      </c>
      <c r="W64" s="11">
        <f t="shared" ca="1" si="27"/>
        <v>1</v>
      </c>
      <c r="X64" s="11"/>
      <c r="Y64" s="11"/>
      <c r="Z64" s="11"/>
      <c r="AA64" s="11">
        <v>62</v>
      </c>
      <c r="AB64" s="11" t="s">
        <v>149</v>
      </c>
      <c r="AC64" s="11">
        <v>0</v>
      </c>
      <c r="AD64" s="769">
        <f t="shared" si="4"/>
        <v>0</v>
      </c>
      <c r="AE64" s="11">
        <v>0</v>
      </c>
      <c r="AF64" s="11">
        <f t="shared" ca="1" si="28"/>
        <v>4</v>
      </c>
      <c r="AG64" s="769">
        <f t="shared" ca="1" si="6"/>
        <v>0.16666666666666666</v>
      </c>
      <c r="AH64" s="11">
        <f t="shared" ca="1" si="29"/>
        <v>1</v>
      </c>
      <c r="AI64" s="11"/>
      <c r="AJ64" s="11"/>
    </row>
    <row r="65" spans="1:36">
      <c r="A65" s="764">
        <v>46199.833333333336</v>
      </c>
      <c r="B65" s="11"/>
      <c r="C65" s="764">
        <f t="shared" ca="1" si="26"/>
        <v>46199.833333333336</v>
      </c>
      <c r="D65" s="764"/>
      <c r="E65" s="764"/>
      <c r="F65" s="11"/>
      <c r="G65" s="11"/>
      <c r="H65" s="11"/>
      <c r="I65" s="11"/>
      <c r="J65" s="11"/>
      <c r="K65" s="11"/>
      <c r="L65" s="11"/>
      <c r="M65" s="11"/>
      <c r="N65" s="11"/>
      <c r="O65" s="11"/>
      <c r="P65" s="11">
        <v>63</v>
      </c>
      <c r="Q65" s="11" t="s">
        <v>162</v>
      </c>
      <c r="R65" s="11">
        <f t="shared" ca="1" si="22"/>
        <v>1</v>
      </c>
      <c r="S65" s="769">
        <f t="shared" ca="1" si="22"/>
        <v>4.1666666666666664E-2</v>
      </c>
      <c r="T65" s="11">
        <f t="shared" ca="1" si="23"/>
        <v>0</v>
      </c>
      <c r="U65" s="11">
        <f t="shared" ca="1" si="24"/>
        <v>5</v>
      </c>
      <c r="V65" s="769">
        <f t="shared" ca="1" si="25"/>
        <v>0.20833333333333334</v>
      </c>
      <c r="W65" s="11">
        <f t="shared" ca="1" si="27"/>
        <v>1</v>
      </c>
      <c r="X65" s="11"/>
      <c r="Y65" s="11"/>
      <c r="Z65" s="11"/>
      <c r="AA65" s="11">
        <v>63</v>
      </c>
      <c r="AB65" s="11" t="s">
        <v>162</v>
      </c>
      <c r="AC65" s="11">
        <v>1</v>
      </c>
      <c r="AD65" s="769">
        <f t="shared" si="4"/>
        <v>4.1666666666666664E-2</v>
      </c>
      <c r="AE65" s="11">
        <v>0</v>
      </c>
      <c r="AF65" s="11">
        <f t="shared" ca="1" si="28"/>
        <v>5</v>
      </c>
      <c r="AG65" s="769">
        <f t="shared" ca="1" si="6"/>
        <v>0.20833333333333334</v>
      </c>
      <c r="AH65" s="11">
        <f t="shared" ca="1" si="29"/>
        <v>1</v>
      </c>
      <c r="AI65" s="11"/>
      <c r="AJ65" s="11"/>
    </row>
    <row r="66" spans="1:36">
      <c r="A66" s="11"/>
      <c r="B66" s="11"/>
      <c r="C66" s="764"/>
      <c r="D66" s="11"/>
      <c r="E66" s="764"/>
      <c r="F66" s="11"/>
      <c r="G66" s="11"/>
      <c r="H66" s="11"/>
      <c r="I66" s="11"/>
      <c r="J66" s="11"/>
      <c r="K66" s="11"/>
      <c r="L66" s="11"/>
      <c r="M66" s="11"/>
      <c r="N66" s="11"/>
      <c r="O66" s="11"/>
      <c r="P66" s="11">
        <v>64</v>
      </c>
      <c r="Q66" s="11" t="s">
        <v>163</v>
      </c>
      <c r="R66" s="11">
        <f t="shared" ca="1" si="22"/>
        <v>2</v>
      </c>
      <c r="S66" s="769">
        <f t="shared" ca="1" si="22"/>
        <v>8.3333333333333329E-2</v>
      </c>
      <c r="T66" s="11">
        <f t="shared" ca="1" si="23"/>
        <v>0</v>
      </c>
      <c r="U66" s="11">
        <f t="shared" ca="1" si="24"/>
        <v>6</v>
      </c>
      <c r="V66" s="769">
        <f t="shared" ca="1" si="25"/>
        <v>0.25</v>
      </c>
      <c r="W66" s="11">
        <f t="shared" ca="1" si="27"/>
        <v>1</v>
      </c>
      <c r="X66" s="11"/>
      <c r="Y66" s="11"/>
      <c r="Z66" s="11"/>
      <c r="AA66" s="11">
        <v>64</v>
      </c>
      <c r="AB66" s="11" t="s">
        <v>163</v>
      </c>
      <c r="AC66" s="11">
        <v>2</v>
      </c>
      <c r="AD66" s="769">
        <f t="shared" si="4"/>
        <v>8.3333333333333329E-2</v>
      </c>
      <c r="AE66" s="11">
        <v>0</v>
      </c>
      <c r="AF66" s="11">
        <f t="shared" ca="1" si="28"/>
        <v>6</v>
      </c>
      <c r="AG66" s="769">
        <f t="shared" ca="1" si="6"/>
        <v>0.25</v>
      </c>
      <c r="AH66" s="11">
        <f t="shared" ca="1" si="29"/>
        <v>1</v>
      </c>
      <c r="AI66" s="11"/>
      <c r="AJ66" s="11"/>
    </row>
    <row r="67" spans="1:36">
      <c r="A67" s="8" t="s">
        <v>486</v>
      </c>
      <c r="B67" s="11"/>
      <c r="C67" s="764"/>
      <c r="D67" s="11"/>
      <c r="E67" s="764"/>
      <c r="F67" s="11"/>
      <c r="G67" s="11"/>
      <c r="H67" s="11"/>
      <c r="I67" s="11"/>
      <c r="J67" s="11"/>
      <c r="K67" s="11"/>
      <c r="L67" s="11"/>
      <c r="M67" s="11"/>
      <c r="N67" s="11"/>
      <c r="O67" s="11"/>
      <c r="P67" s="11">
        <v>65</v>
      </c>
      <c r="Q67" s="11" t="s">
        <v>164</v>
      </c>
      <c r="R67" s="11">
        <f t="shared" ca="1" si="22"/>
        <v>3</v>
      </c>
      <c r="S67" s="769">
        <f t="shared" ca="1" si="22"/>
        <v>0.125</v>
      </c>
      <c r="T67" s="11">
        <f t="shared" ca="1" si="23"/>
        <v>0</v>
      </c>
      <c r="U67" s="11">
        <f t="shared" ca="1" si="24"/>
        <v>7</v>
      </c>
      <c r="V67" s="769">
        <f t="shared" ca="1" si="25"/>
        <v>0.29166666666666669</v>
      </c>
      <c r="W67" s="11">
        <f t="shared" ca="1" si="27"/>
        <v>1</v>
      </c>
      <c r="X67" s="11"/>
      <c r="Y67" s="11"/>
      <c r="Z67" s="11"/>
      <c r="AA67" s="11">
        <v>65</v>
      </c>
      <c r="AB67" s="11" t="s">
        <v>164</v>
      </c>
      <c r="AC67" s="11">
        <v>3</v>
      </c>
      <c r="AD67" s="769">
        <f t="shared" si="4"/>
        <v>0.125</v>
      </c>
      <c r="AE67" s="11">
        <v>0</v>
      </c>
      <c r="AF67" s="11">
        <f t="shared" ca="1" si="28"/>
        <v>7</v>
      </c>
      <c r="AG67" s="769">
        <f t="shared" ca="1" si="6"/>
        <v>0.29166666666666669</v>
      </c>
      <c r="AH67" s="11">
        <f t="shared" ca="1" si="29"/>
        <v>1</v>
      </c>
      <c r="AI67" s="11"/>
      <c r="AJ67" s="11"/>
    </row>
    <row r="68" spans="1:36">
      <c r="A68" s="764">
        <v>46189.625</v>
      </c>
      <c r="B68" s="11"/>
      <c r="C68" s="764">
        <f t="shared" ref="C68:C73" ca="1" si="30">A68+INDEX($V$3:$V$86,MATCH($C$3,$P$3:$P$86,0))*INDEX($W$3:$W$86,MATCH($C$3,$P$3:$P$86,0))</f>
        <v>46189.625</v>
      </c>
      <c r="D68" s="764"/>
      <c r="E68" s="764"/>
      <c r="F68" s="11"/>
      <c r="G68" s="11"/>
      <c r="H68" s="11"/>
      <c r="I68" s="11"/>
      <c r="J68" s="11"/>
      <c r="K68" s="11"/>
      <c r="L68" s="11"/>
      <c r="M68" s="11"/>
      <c r="N68" s="11"/>
      <c r="O68" s="11"/>
      <c r="P68" s="11">
        <v>66</v>
      </c>
      <c r="Q68" s="11" t="s">
        <v>355</v>
      </c>
      <c r="R68" s="11">
        <f t="shared" ca="1" si="22"/>
        <v>3.5</v>
      </c>
      <c r="S68" s="769">
        <f t="shared" ca="1" si="22"/>
        <v>0.14583333333333334</v>
      </c>
      <c r="T68" s="11">
        <f t="shared" ca="1" si="23"/>
        <v>0</v>
      </c>
      <c r="U68" s="11">
        <f t="shared" ca="1" si="24"/>
        <v>7.5</v>
      </c>
      <c r="V68" s="769">
        <f t="shared" ca="1" si="25"/>
        <v>0.3125</v>
      </c>
      <c r="W68" s="11">
        <f t="shared" ca="1" si="27"/>
        <v>1</v>
      </c>
      <c r="X68" s="11"/>
      <c r="Y68" s="11"/>
      <c r="Z68" s="11"/>
      <c r="AA68" s="11">
        <v>66</v>
      </c>
      <c r="AB68" s="11" t="s">
        <v>355</v>
      </c>
      <c r="AC68" s="11">
        <v>3.5</v>
      </c>
      <c r="AD68" s="769">
        <f t="shared" ref="AD68:AD86" si="31">ABS(AC68/24)</f>
        <v>0.14583333333333334</v>
      </c>
      <c r="AE68" s="11">
        <v>0</v>
      </c>
      <c r="AF68" s="11">
        <f t="shared" ca="1" si="28"/>
        <v>7.5</v>
      </c>
      <c r="AG68" s="769">
        <f t="shared" ref="AG68:AG86" ca="1" si="32">ABS(AF68/24)</f>
        <v>0.3125</v>
      </c>
      <c r="AH68" s="11">
        <f t="shared" ca="1" si="29"/>
        <v>1</v>
      </c>
      <c r="AI68" s="11"/>
      <c r="AJ68" s="11"/>
    </row>
    <row r="69" spans="1:36">
      <c r="A69" s="764">
        <v>46189.75</v>
      </c>
      <c r="B69" s="11"/>
      <c r="C69" s="764">
        <f t="shared" ca="1" si="30"/>
        <v>46189.75</v>
      </c>
      <c r="D69" s="764"/>
      <c r="E69" s="764"/>
      <c r="F69" s="11"/>
      <c r="G69" s="11"/>
      <c r="H69" s="11"/>
      <c r="I69" s="11"/>
      <c r="J69" s="11"/>
      <c r="K69" s="11"/>
      <c r="L69" s="11"/>
      <c r="M69" s="11"/>
      <c r="N69" s="11"/>
      <c r="O69" s="11"/>
      <c r="P69" s="11">
        <v>67</v>
      </c>
      <c r="Q69" s="11" t="s">
        <v>165</v>
      </c>
      <c r="R69" s="11">
        <f t="shared" ca="1" si="22"/>
        <v>4</v>
      </c>
      <c r="S69" s="769">
        <f t="shared" ca="1" si="22"/>
        <v>0.16666666666666666</v>
      </c>
      <c r="T69" s="11">
        <f t="shared" ca="1" si="23"/>
        <v>0</v>
      </c>
      <c r="U69" s="11">
        <f t="shared" ca="1" si="24"/>
        <v>8</v>
      </c>
      <c r="V69" s="769">
        <f t="shared" ca="1" si="25"/>
        <v>0.33333333333333331</v>
      </c>
      <c r="W69" s="11">
        <f t="shared" ca="1" si="27"/>
        <v>1</v>
      </c>
      <c r="X69" s="11"/>
      <c r="Y69" s="11"/>
      <c r="Z69" s="11"/>
      <c r="AA69" s="11">
        <v>67</v>
      </c>
      <c r="AB69" s="11" t="s">
        <v>165</v>
      </c>
      <c r="AC69" s="11">
        <v>4</v>
      </c>
      <c r="AD69" s="769">
        <f t="shared" si="31"/>
        <v>0.16666666666666666</v>
      </c>
      <c r="AE69" s="11">
        <v>0</v>
      </c>
      <c r="AF69" s="11">
        <f t="shared" ca="1" si="28"/>
        <v>8</v>
      </c>
      <c r="AG69" s="769">
        <f t="shared" ca="1" si="32"/>
        <v>0.33333333333333331</v>
      </c>
      <c r="AH69" s="11">
        <f t="shared" ca="1" si="29"/>
        <v>1</v>
      </c>
      <c r="AI69" s="11"/>
      <c r="AJ69" s="11"/>
    </row>
    <row r="70" spans="1:36">
      <c r="A70" s="764">
        <v>46195.708333333336</v>
      </c>
      <c r="B70" s="11"/>
      <c r="C70" s="764">
        <f t="shared" ca="1" si="30"/>
        <v>46195.708333333336</v>
      </c>
      <c r="D70" s="764"/>
      <c r="E70" s="764"/>
      <c r="F70" s="11"/>
      <c r="G70" s="11"/>
      <c r="H70" s="11"/>
      <c r="I70" s="11"/>
      <c r="J70" s="11"/>
      <c r="K70" s="11"/>
      <c r="L70" s="11"/>
      <c r="M70" s="11"/>
      <c r="N70" s="11"/>
      <c r="O70" s="11"/>
      <c r="P70" s="11">
        <v>68</v>
      </c>
      <c r="Q70" s="11" t="s">
        <v>356</v>
      </c>
      <c r="R70" s="11">
        <f t="shared" ca="1" si="22"/>
        <v>4.5</v>
      </c>
      <c r="S70" s="769">
        <f t="shared" ca="1" si="22"/>
        <v>0.1875</v>
      </c>
      <c r="T70" s="11">
        <f t="shared" ca="1" si="23"/>
        <v>0</v>
      </c>
      <c r="U70" s="11">
        <f t="shared" ca="1" si="24"/>
        <v>8.5</v>
      </c>
      <c r="V70" s="769">
        <f t="shared" ca="1" si="25"/>
        <v>0.35416666666666669</v>
      </c>
      <c r="W70" s="11">
        <f t="shared" ca="1" si="27"/>
        <v>1</v>
      </c>
      <c r="X70" s="11"/>
      <c r="Y70" s="11"/>
      <c r="Z70" s="11"/>
      <c r="AA70" s="11">
        <v>68</v>
      </c>
      <c r="AB70" s="11" t="s">
        <v>356</v>
      </c>
      <c r="AC70" s="11">
        <v>4.5</v>
      </c>
      <c r="AD70" s="769">
        <f t="shared" si="31"/>
        <v>0.1875</v>
      </c>
      <c r="AE70" s="11">
        <v>0</v>
      </c>
      <c r="AF70" s="11">
        <f t="shared" ca="1" si="28"/>
        <v>8.5</v>
      </c>
      <c r="AG70" s="769">
        <f t="shared" ca="1" si="32"/>
        <v>0.35416666666666669</v>
      </c>
      <c r="AH70" s="11">
        <f t="shared" ca="1" si="29"/>
        <v>1</v>
      </c>
      <c r="AI70" s="11"/>
      <c r="AJ70" s="11"/>
    </row>
    <row r="71" spans="1:36">
      <c r="A71" s="764">
        <v>46195.833333333336</v>
      </c>
      <c r="B71" s="11"/>
      <c r="C71" s="764">
        <f t="shared" ca="1" si="30"/>
        <v>46195.833333333336</v>
      </c>
      <c r="D71" s="764"/>
      <c r="E71" s="764"/>
      <c r="F71" s="11"/>
      <c r="G71" s="11"/>
      <c r="H71" s="11"/>
      <c r="I71" s="11"/>
      <c r="J71" s="11"/>
      <c r="K71" s="11"/>
      <c r="L71" s="11"/>
      <c r="M71" s="11"/>
      <c r="N71" s="11"/>
      <c r="O71" s="11"/>
      <c r="P71" s="11">
        <v>69</v>
      </c>
      <c r="Q71" s="11" t="s">
        <v>166</v>
      </c>
      <c r="R71" s="11">
        <f t="shared" ca="1" si="22"/>
        <v>5</v>
      </c>
      <c r="S71" s="769">
        <f t="shared" ca="1" si="22"/>
        <v>0.20833333333333334</v>
      </c>
      <c r="T71" s="11">
        <f t="shared" ca="1" si="23"/>
        <v>0</v>
      </c>
      <c r="U71" s="11">
        <f t="shared" ca="1" si="24"/>
        <v>9</v>
      </c>
      <c r="V71" s="769">
        <f t="shared" ca="1" si="25"/>
        <v>0.375</v>
      </c>
      <c r="W71" s="11">
        <f t="shared" ca="1" si="27"/>
        <v>1</v>
      </c>
      <c r="X71" s="11"/>
      <c r="Y71" s="11"/>
      <c r="Z71" s="11"/>
      <c r="AA71" s="11">
        <v>69</v>
      </c>
      <c r="AB71" s="11" t="s">
        <v>166</v>
      </c>
      <c r="AC71" s="11">
        <v>5</v>
      </c>
      <c r="AD71" s="769">
        <f t="shared" si="31"/>
        <v>0.20833333333333334</v>
      </c>
      <c r="AE71" s="11">
        <v>0</v>
      </c>
      <c r="AF71" s="11">
        <f t="shared" ca="1" si="28"/>
        <v>9</v>
      </c>
      <c r="AG71" s="769">
        <f t="shared" ca="1" si="32"/>
        <v>0.375</v>
      </c>
      <c r="AH71" s="11">
        <f t="shared" ca="1" si="29"/>
        <v>1</v>
      </c>
      <c r="AI71" s="11"/>
      <c r="AJ71" s="11"/>
    </row>
    <row r="72" spans="1:36">
      <c r="A72" s="764">
        <v>46199.625</v>
      </c>
      <c r="B72" s="11"/>
      <c r="C72" s="764">
        <f t="shared" ca="1" si="30"/>
        <v>46199.625</v>
      </c>
      <c r="D72" s="764"/>
      <c r="E72" s="764"/>
      <c r="F72" s="11"/>
      <c r="G72" s="11"/>
      <c r="H72" s="11"/>
      <c r="I72" s="11"/>
      <c r="J72" s="11"/>
      <c r="K72" s="11"/>
      <c r="L72" s="11"/>
      <c r="M72" s="11"/>
      <c r="N72" s="11"/>
      <c r="O72" s="11"/>
      <c r="P72" s="11">
        <v>70</v>
      </c>
      <c r="Q72" s="11" t="s">
        <v>357</v>
      </c>
      <c r="R72" s="11">
        <f t="shared" ca="1" si="22"/>
        <v>5.5</v>
      </c>
      <c r="S72" s="769">
        <f t="shared" ca="1" si="22"/>
        <v>0.22916666666666666</v>
      </c>
      <c r="T72" s="11">
        <f t="shared" ca="1" si="23"/>
        <v>0</v>
      </c>
      <c r="U72" s="11">
        <f t="shared" ca="1" si="24"/>
        <v>9.5</v>
      </c>
      <c r="V72" s="769">
        <f t="shared" ca="1" si="25"/>
        <v>0.39583333333333331</v>
      </c>
      <c r="W72" s="11">
        <f t="shared" ca="1" si="27"/>
        <v>1</v>
      </c>
      <c r="X72" s="11"/>
      <c r="Y72" s="11"/>
      <c r="Z72" s="11"/>
      <c r="AA72" s="11">
        <v>70</v>
      </c>
      <c r="AB72" s="11" t="s">
        <v>357</v>
      </c>
      <c r="AC72" s="11">
        <v>5.5</v>
      </c>
      <c r="AD72" s="769">
        <f t="shared" si="31"/>
        <v>0.22916666666666666</v>
      </c>
      <c r="AE72" s="11">
        <v>0</v>
      </c>
      <c r="AF72" s="11">
        <f t="shared" ca="1" si="28"/>
        <v>9.5</v>
      </c>
      <c r="AG72" s="769">
        <f t="shared" ca="1" si="32"/>
        <v>0.39583333333333331</v>
      </c>
      <c r="AH72" s="11">
        <f t="shared" ca="1" si="29"/>
        <v>1</v>
      </c>
      <c r="AI72" s="11"/>
      <c r="AJ72" s="11"/>
    </row>
    <row r="73" spans="1:36">
      <c r="A73" s="764">
        <v>46199.625</v>
      </c>
      <c r="B73" s="11"/>
      <c r="C73" s="764">
        <f t="shared" ca="1" si="30"/>
        <v>46199.625</v>
      </c>
      <c r="D73" s="764"/>
      <c r="E73" s="764"/>
      <c r="F73" s="11"/>
      <c r="G73" s="11"/>
      <c r="H73" s="11"/>
      <c r="I73" s="11"/>
      <c r="J73" s="11"/>
      <c r="K73" s="11"/>
      <c r="L73" s="11"/>
      <c r="M73" s="11"/>
      <c r="N73" s="11"/>
      <c r="O73" s="11"/>
      <c r="P73" s="11">
        <v>71</v>
      </c>
      <c r="Q73" s="11" t="s">
        <v>358</v>
      </c>
      <c r="R73" s="11">
        <f t="shared" ca="1" si="22"/>
        <v>5.75</v>
      </c>
      <c r="S73" s="769">
        <f t="shared" ca="1" si="22"/>
        <v>0.23958333333333334</v>
      </c>
      <c r="T73" s="11">
        <f t="shared" ca="1" si="23"/>
        <v>0</v>
      </c>
      <c r="U73" s="11">
        <f t="shared" ca="1" si="24"/>
        <v>9.75</v>
      </c>
      <c r="V73" s="769">
        <f t="shared" ca="1" si="25"/>
        <v>0.40625</v>
      </c>
      <c r="W73" s="11">
        <f t="shared" ca="1" si="27"/>
        <v>1</v>
      </c>
      <c r="X73" s="11"/>
      <c r="Y73" s="11"/>
      <c r="Z73" s="11"/>
      <c r="AA73" s="11">
        <v>71</v>
      </c>
      <c r="AB73" s="11" t="s">
        <v>358</v>
      </c>
      <c r="AC73" s="11">
        <v>5.75</v>
      </c>
      <c r="AD73" s="769">
        <f t="shared" si="31"/>
        <v>0.23958333333333334</v>
      </c>
      <c r="AE73" s="11">
        <v>0</v>
      </c>
      <c r="AF73" s="11">
        <f t="shared" ca="1" si="28"/>
        <v>9.75</v>
      </c>
      <c r="AG73" s="769">
        <f t="shared" ca="1" si="32"/>
        <v>0.40625</v>
      </c>
      <c r="AH73" s="11">
        <f t="shared" ca="1" si="29"/>
        <v>1</v>
      </c>
      <c r="AI73" s="11"/>
      <c r="AJ73" s="11"/>
    </row>
    <row r="74" spans="1:36">
      <c r="A74" s="11"/>
      <c r="B74" s="11"/>
      <c r="C74" s="764"/>
      <c r="D74" s="11"/>
      <c r="E74" s="764"/>
      <c r="F74" s="11"/>
      <c r="G74" s="11"/>
      <c r="H74" s="11"/>
      <c r="I74" s="11"/>
      <c r="J74" s="11"/>
      <c r="K74" s="11"/>
      <c r="L74" s="11"/>
      <c r="M74" s="11"/>
      <c r="N74" s="11"/>
      <c r="O74" s="11"/>
      <c r="P74" s="11">
        <v>72</v>
      </c>
      <c r="Q74" s="11" t="s">
        <v>167</v>
      </c>
      <c r="R74" s="11">
        <f t="shared" ca="1" si="22"/>
        <v>6</v>
      </c>
      <c r="S74" s="769">
        <f t="shared" ca="1" si="22"/>
        <v>0.25</v>
      </c>
      <c r="T74" s="11">
        <f t="shared" ca="1" si="23"/>
        <v>0</v>
      </c>
      <c r="U74" s="11">
        <f t="shared" ca="1" si="24"/>
        <v>10</v>
      </c>
      <c r="V74" s="769">
        <f t="shared" ca="1" si="25"/>
        <v>0.41666666666666669</v>
      </c>
      <c r="W74" s="11">
        <f t="shared" ca="1" si="27"/>
        <v>1</v>
      </c>
      <c r="X74" s="11"/>
      <c r="Y74" s="11"/>
      <c r="Z74" s="11"/>
      <c r="AA74" s="11">
        <v>72</v>
      </c>
      <c r="AB74" s="11" t="s">
        <v>167</v>
      </c>
      <c r="AC74" s="11">
        <v>6</v>
      </c>
      <c r="AD74" s="769">
        <f t="shared" si="31"/>
        <v>0.25</v>
      </c>
      <c r="AE74" s="11">
        <v>0</v>
      </c>
      <c r="AF74" s="11">
        <f t="shared" ca="1" si="28"/>
        <v>10</v>
      </c>
      <c r="AG74" s="769">
        <f t="shared" ca="1" si="32"/>
        <v>0.41666666666666669</v>
      </c>
      <c r="AH74" s="11">
        <f t="shared" ca="1" si="29"/>
        <v>1</v>
      </c>
      <c r="AI74" s="11"/>
      <c r="AJ74" s="11"/>
    </row>
    <row r="75" spans="1:36">
      <c r="A75" s="8" t="s">
        <v>487</v>
      </c>
      <c r="B75" s="11"/>
      <c r="C75" s="764"/>
      <c r="D75" s="11"/>
      <c r="E75" s="764"/>
      <c r="F75" s="11"/>
      <c r="G75" s="11"/>
      <c r="H75" s="11"/>
      <c r="I75" s="11"/>
      <c r="J75" s="11"/>
      <c r="K75" s="11"/>
      <c r="L75" s="11"/>
      <c r="M75" s="11"/>
      <c r="N75" s="11"/>
      <c r="O75" s="11"/>
      <c r="P75" s="11">
        <v>73</v>
      </c>
      <c r="Q75" s="11" t="s">
        <v>359</v>
      </c>
      <c r="R75" s="11">
        <f t="shared" ca="1" si="22"/>
        <v>6.5</v>
      </c>
      <c r="S75" s="769">
        <f t="shared" ca="1" si="22"/>
        <v>0.27083333333333331</v>
      </c>
      <c r="T75" s="11">
        <f t="shared" ca="1" si="23"/>
        <v>0</v>
      </c>
      <c r="U75" s="11">
        <f t="shared" ca="1" si="24"/>
        <v>10.5</v>
      </c>
      <c r="V75" s="769">
        <f t="shared" ca="1" si="25"/>
        <v>0.4375</v>
      </c>
      <c r="W75" s="11">
        <f t="shared" ca="1" si="27"/>
        <v>1</v>
      </c>
      <c r="X75" s="11"/>
      <c r="Y75" s="11"/>
      <c r="Z75" s="11"/>
      <c r="AA75" s="11">
        <v>73</v>
      </c>
      <c r="AB75" s="11" t="s">
        <v>359</v>
      </c>
      <c r="AC75" s="11">
        <v>6.5</v>
      </c>
      <c r="AD75" s="769">
        <f t="shared" si="31"/>
        <v>0.27083333333333331</v>
      </c>
      <c r="AE75" s="11">
        <v>0</v>
      </c>
      <c r="AF75" s="11">
        <f t="shared" ca="1" si="28"/>
        <v>10.5</v>
      </c>
      <c r="AG75" s="769">
        <f t="shared" ca="1" si="32"/>
        <v>0.4375</v>
      </c>
      <c r="AH75" s="11">
        <f t="shared" ca="1" si="29"/>
        <v>1</v>
      </c>
      <c r="AI75" s="11"/>
      <c r="AJ75" s="11"/>
    </row>
    <row r="76" spans="1:36">
      <c r="A76" s="764">
        <v>46189.875</v>
      </c>
      <c r="B76" s="11"/>
      <c r="C76" s="764">
        <f t="shared" ref="C76:C81" ca="1" si="33">A76+INDEX($V$3:$V$86,MATCH($C$3,$P$3:$P$86,0))*INDEX($W$3:$W$86,MATCH($C$3,$P$3:$P$86,0))</f>
        <v>46189.875</v>
      </c>
      <c r="D76" s="764"/>
      <c r="E76" s="764"/>
      <c r="F76" s="11"/>
      <c r="G76" s="11"/>
      <c r="H76" s="11"/>
      <c r="I76" s="11"/>
      <c r="J76" s="11"/>
      <c r="K76" s="11"/>
      <c r="L76" s="11"/>
      <c r="M76" s="11"/>
      <c r="N76" s="11"/>
      <c r="O76" s="11"/>
      <c r="P76" s="11">
        <v>74</v>
      </c>
      <c r="Q76" s="11" t="s">
        <v>168</v>
      </c>
      <c r="R76" s="11">
        <f t="shared" ca="1" si="22"/>
        <v>7</v>
      </c>
      <c r="S76" s="769">
        <f t="shared" ca="1" si="22"/>
        <v>0.29166666666666669</v>
      </c>
      <c r="T76" s="11">
        <f t="shared" ca="1" si="23"/>
        <v>0</v>
      </c>
      <c r="U76" s="11">
        <f t="shared" ca="1" si="24"/>
        <v>11</v>
      </c>
      <c r="V76" s="769">
        <f t="shared" ca="1" si="25"/>
        <v>0.45833333333333331</v>
      </c>
      <c r="W76" s="11">
        <f t="shared" ca="1" si="27"/>
        <v>1</v>
      </c>
      <c r="X76" s="11"/>
      <c r="Y76" s="11"/>
      <c r="Z76" s="11"/>
      <c r="AA76" s="11">
        <v>74</v>
      </c>
      <c r="AB76" s="11" t="s">
        <v>168</v>
      </c>
      <c r="AC76" s="11">
        <v>7</v>
      </c>
      <c r="AD76" s="769">
        <f t="shared" si="31"/>
        <v>0.29166666666666669</v>
      </c>
      <c r="AE76" s="11">
        <v>0</v>
      </c>
      <c r="AF76" s="11">
        <f t="shared" ca="1" si="28"/>
        <v>11</v>
      </c>
      <c r="AG76" s="769">
        <f t="shared" ca="1" si="32"/>
        <v>0.45833333333333331</v>
      </c>
      <c r="AH76" s="11">
        <f t="shared" ca="1" si="29"/>
        <v>1</v>
      </c>
      <c r="AI76" s="11"/>
      <c r="AJ76" s="11"/>
    </row>
    <row r="77" spans="1:36">
      <c r="A77" s="764">
        <v>46190</v>
      </c>
      <c r="B77" s="11"/>
      <c r="C77" s="764">
        <f t="shared" ca="1" si="33"/>
        <v>46190</v>
      </c>
      <c r="D77" s="764"/>
      <c r="E77" s="764"/>
      <c r="F77" s="11"/>
      <c r="G77" s="11"/>
      <c r="H77" s="11"/>
      <c r="I77" s="11"/>
      <c r="J77" s="11"/>
      <c r="K77" s="11"/>
      <c r="L77" s="11"/>
      <c r="M77" s="11"/>
      <c r="N77" s="11"/>
      <c r="O77" s="11"/>
      <c r="P77" s="11">
        <v>75</v>
      </c>
      <c r="Q77" s="11" t="s">
        <v>169</v>
      </c>
      <c r="R77" s="11">
        <f t="shared" ca="1" si="22"/>
        <v>8</v>
      </c>
      <c r="S77" s="769">
        <f t="shared" ca="1" si="22"/>
        <v>0.33333333333333331</v>
      </c>
      <c r="T77" s="11">
        <f t="shared" ca="1" si="23"/>
        <v>0</v>
      </c>
      <c r="U77" s="11">
        <f t="shared" ca="1" si="24"/>
        <v>12</v>
      </c>
      <c r="V77" s="769">
        <f t="shared" ca="1" si="25"/>
        <v>0.5</v>
      </c>
      <c r="W77" s="11">
        <f t="shared" ca="1" si="27"/>
        <v>1</v>
      </c>
      <c r="X77" s="11"/>
      <c r="Y77" s="11"/>
      <c r="Z77" s="11"/>
      <c r="AA77" s="11">
        <v>75</v>
      </c>
      <c r="AB77" s="11" t="s">
        <v>169</v>
      </c>
      <c r="AC77" s="11">
        <v>8</v>
      </c>
      <c r="AD77" s="769">
        <f t="shared" si="31"/>
        <v>0.33333333333333331</v>
      </c>
      <c r="AE77" s="11">
        <v>0</v>
      </c>
      <c r="AF77" s="11">
        <f t="shared" ca="1" si="28"/>
        <v>12</v>
      </c>
      <c r="AG77" s="769">
        <f t="shared" ca="1" si="32"/>
        <v>0.5</v>
      </c>
      <c r="AH77" s="11">
        <f t="shared" ca="1" si="29"/>
        <v>1</v>
      </c>
      <c r="AI77" s="11"/>
      <c r="AJ77" s="11"/>
    </row>
    <row r="78" spans="1:36">
      <c r="A78" s="764">
        <v>46195.541666666664</v>
      </c>
      <c r="B78" s="11"/>
      <c r="C78" s="764">
        <f t="shared" ca="1" si="33"/>
        <v>46195.541666666664</v>
      </c>
      <c r="D78" s="764"/>
      <c r="E78" s="764"/>
      <c r="F78" s="11"/>
      <c r="G78" s="11"/>
      <c r="H78" s="11"/>
      <c r="I78" s="11"/>
      <c r="J78" s="11"/>
      <c r="K78" s="11"/>
      <c r="L78" s="11"/>
      <c r="M78" s="11"/>
      <c r="N78" s="11"/>
      <c r="O78" s="11"/>
      <c r="P78" s="11">
        <v>76</v>
      </c>
      <c r="Q78" s="11" t="s">
        <v>170</v>
      </c>
      <c r="R78" s="11">
        <f t="shared" ca="1" si="22"/>
        <v>9</v>
      </c>
      <c r="S78" s="769">
        <f t="shared" ca="1" si="22"/>
        <v>0.375</v>
      </c>
      <c r="T78" s="11">
        <f t="shared" ca="1" si="23"/>
        <v>0</v>
      </c>
      <c r="U78" s="11">
        <f t="shared" ca="1" si="24"/>
        <v>13</v>
      </c>
      <c r="V78" s="769">
        <f t="shared" ca="1" si="25"/>
        <v>0.54166666666666663</v>
      </c>
      <c r="W78" s="11">
        <f t="shared" ca="1" si="27"/>
        <v>1</v>
      </c>
      <c r="X78" s="11"/>
      <c r="Y78" s="11"/>
      <c r="Z78" s="11"/>
      <c r="AA78" s="11">
        <v>76</v>
      </c>
      <c r="AB78" s="11" t="s">
        <v>170</v>
      </c>
      <c r="AC78" s="11">
        <v>9</v>
      </c>
      <c r="AD78" s="769">
        <f t="shared" si="31"/>
        <v>0.375</v>
      </c>
      <c r="AE78" s="11">
        <v>0</v>
      </c>
      <c r="AF78" s="11">
        <f t="shared" ca="1" si="28"/>
        <v>13</v>
      </c>
      <c r="AG78" s="769">
        <f t="shared" ca="1" si="32"/>
        <v>0.54166666666666663</v>
      </c>
      <c r="AH78" s="11">
        <f t="shared" ca="1" si="29"/>
        <v>1</v>
      </c>
      <c r="AI78" s="11"/>
      <c r="AJ78" s="11"/>
    </row>
    <row r="79" spans="1:36">
      <c r="A79" s="764">
        <v>46195.958333333336</v>
      </c>
      <c r="B79" s="11"/>
      <c r="C79" s="764">
        <f t="shared" ca="1" si="33"/>
        <v>46195.958333333336</v>
      </c>
      <c r="D79" s="764"/>
      <c r="E79" s="764"/>
      <c r="F79" s="11"/>
      <c r="G79" s="11"/>
      <c r="H79" s="11"/>
      <c r="I79" s="11"/>
      <c r="J79" s="11"/>
      <c r="K79" s="11"/>
      <c r="L79" s="11"/>
      <c r="M79" s="11"/>
      <c r="N79" s="11"/>
      <c r="O79" s="11"/>
      <c r="P79" s="11">
        <v>77</v>
      </c>
      <c r="Q79" s="11" t="s">
        <v>360</v>
      </c>
      <c r="R79" s="11">
        <f t="shared" ca="1" si="22"/>
        <v>9.5</v>
      </c>
      <c r="S79" s="769">
        <f t="shared" ca="1" si="22"/>
        <v>0.39583333333333331</v>
      </c>
      <c r="T79" s="11">
        <f t="shared" ca="1" si="23"/>
        <v>0</v>
      </c>
      <c r="U79" s="11">
        <f t="shared" ca="1" si="24"/>
        <v>13.5</v>
      </c>
      <c r="V79" s="769">
        <f t="shared" ca="1" si="25"/>
        <v>0.5625</v>
      </c>
      <c r="W79" s="11">
        <f t="shared" ca="1" si="27"/>
        <v>1</v>
      </c>
      <c r="X79" s="11"/>
      <c r="Y79" s="11"/>
      <c r="Z79" s="11"/>
      <c r="AA79" s="11">
        <v>77</v>
      </c>
      <c r="AB79" s="11" t="s">
        <v>360</v>
      </c>
      <c r="AC79" s="11">
        <v>9.5</v>
      </c>
      <c r="AD79" s="769">
        <f t="shared" si="31"/>
        <v>0.39583333333333331</v>
      </c>
      <c r="AE79" s="11">
        <v>0</v>
      </c>
      <c r="AF79" s="11">
        <f t="shared" ca="1" si="28"/>
        <v>13.5</v>
      </c>
      <c r="AG79" s="769">
        <f t="shared" ca="1" si="32"/>
        <v>0.5625</v>
      </c>
      <c r="AH79" s="11">
        <f t="shared" ca="1" si="29"/>
        <v>1</v>
      </c>
      <c r="AI79" s="11"/>
      <c r="AJ79" s="11"/>
    </row>
    <row r="80" spans="1:36">
      <c r="A80" s="764">
        <v>46200.916666666664</v>
      </c>
      <c r="B80" s="11"/>
      <c r="C80" s="764">
        <f t="shared" ca="1" si="33"/>
        <v>46200.916666666664</v>
      </c>
      <c r="D80" s="764"/>
      <c r="E80" s="764"/>
      <c r="F80" s="11"/>
      <c r="G80" s="11"/>
      <c r="H80" s="11"/>
      <c r="I80" s="11"/>
      <c r="J80" s="11"/>
      <c r="K80" s="11"/>
      <c r="L80" s="11"/>
      <c r="M80" s="11"/>
      <c r="N80" s="11"/>
      <c r="O80" s="11"/>
      <c r="P80" s="11">
        <v>78</v>
      </c>
      <c r="Q80" s="11" t="s">
        <v>171</v>
      </c>
      <c r="R80" s="11">
        <f t="shared" ca="1" si="22"/>
        <v>10</v>
      </c>
      <c r="S80" s="769">
        <f t="shared" ca="1" si="22"/>
        <v>0.41666666666666669</v>
      </c>
      <c r="T80" s="11">
        <f t="shared" ca="1" si="23"/>
        <v>0</v>
      </c>
      <c r="U80" s="11">
        <f t="shared" ca="1" si="24"/>
        <v>14</v>
      </c>
      <c r="V80" s="769">
        <f t="shared" ca="1" si="25"/>
        <v>0.58333333333333337</v>
      </c>
      <c r="W80" s="11">
        <f t="shared" ca="1" si="27"/>
        <v>1</v>
      </c>
      <c r="X80" s="11"/>
      <c r="Y80" s="11"/>
      <c r="Z80" s="11"/>
      <c r="AA80" s="11">
        <v>78</v>
      </c>
      <c r="AB80" s="11" t="s">
        <v>171</v>
      </c>
      <c r="AC80" s="11">
        <v>10</v>
      </c>
      <c r="AD80" s="769">
        <f t="shared" si="31"/>
        <v>0.41666666666666669</v>
      </c>
      <c r="AE80" s="11">
        <v>0</v>
      </c>
      <c r="AF80" s="11">
        <f t="shared" ca="1" si="28"/>
        <v>14</v>
      </c>
      <c r="AG80" s="769">
        <f t="shared" ca="1" si="32"/>
        <v>0.58333333333333337</v>
      </c>
      <c r="AH80" s="11">
        <f t="shared" ca="1" si="29"/>
        <v>1</v>
      </c>
      <c r="AI80" s="11"/>
      <c r="AJ80" s="11"/>
    </row>
    <row r="81" spans="1:36">
      <c r="A81" s="764">
        <v>46200.916666666664</v>
      </c>
      <c r="B81" s="11"/>
      <c r="C81" s="764">
        <f t="shared" ca="1" si="33"/>
        <v>46200.916666666664</v>
      </c>
      <c r="D81" s="764"/>
      <c r="E81" s="764"/>
      <c r="F81" s="11"/>
      <c r="G81" s="11"/>
      <c r="H81" s="11"/>
      <c r="I81" s="11"/>
      <c r="J81" s="11"/>
      <c r="K81" s="11"/>
      <c r="L81" s="11"/>
      <c r="M81" s="11"/>
      <c r="N81" s="11"/>
      <c r="O81" s="11"/>
      <c r="P81" s="11">
        <v>79</v>
      </c>
      <c r="Q81" s="11" t="s">
        <v>361</v>
      </c>
      <c r="R81" s="11">
        <f t="shared" ca="1" si="22"/>
        <v>10.5</v>
      </c>
      <c r="S81" s="769">
        <f t="shared" ca="1" si="22"/>
        <v>0.4375</v>
      </c>
      <c r="T81" s="11">
        <f t="shared" ca="1" si="23"/>
        <v>0</v>
      </c>
      <c r="U81" s="11">
        <f t="shared" ca="1" si="24"/>
        <v>14.5</v>
      </c>
      <c r="V81" s="769">
        <f t="shared" ca="1" si="25"/>
        <v>0.60416666666666663</v>
      </c>
      <c r="W81" s="11">
        <f t="shared" ca="1" si="27"/>
        <v>1</v>
      </c>
      <c r="X81" s="11"/>
      <c r="Y81" s="11"/>
      <c r="Z81" s="11"/>
      <c r="AA81" s="11">
        <v>79</v>
      </c>
      <c r="AB81" s="11" t="s">
        <v>361</v>
      </c>
      <c r="AC81" s="11">
        <v>10.5</v>
      </c>
      <c r="AD81" s="769">
        <f t="shared" si="31"/>
        <v>0.4375</v>
      </c>
      <c r="AE81" s="11">
        <v>0</v>
      </c>
      <c r="AF81" s="11">
        <f t="shared" ca="1" si="28"/>
        <v>14.5</v>
      </c>
      <c r="AG81" s="769">
        <f t="shared" ca="1" si="32"/>
        <v>0.60416666666666663</v>
      </c>
      <c r="AH81" s="11">
        <f t="shared" ca="1" si="29"/>
        <v>1</v>
      </c>
      <c r="AI81" s="11"/>
      <c r="AJ81" s="11"/>
    </row>
    <row r="82" spans="1:36">
      <c r="A82" s="11"/>
      <c r="B82" s="11"/>
      <c r="C82" s="764"/>
      <c r="D82" s="11"/>
      <c r="E82" s="764"/>
      <c r="F82" s="11"/>
      <c r="G82" s="11"/>
      <c r="H82" s="11"/>
      <c r="I82" s="11"/>
      <c r="J82" s="11"/>
      <c r="K82" s="11"/>
      <c r="L82" s="11"/>
      <c r="M82" s="11"/>
      <c r="N82" s="11"/>
      <c r="O82" s="11"/>
      <c r="P82" s="11">
        <v>80</v>
      </c>
      <c r="Q82" s="11" t="s">
        <v>172</v>
      </c>
      <c r="R82" s="11">
        <f t="shared" ca="1" si="22"/>
        <v>11</v>
      </c>
      <c r="S82" s="769">
        <f t="shared" ca="1" si="22"/>
        <v>0.45833333333333331</v>
      </c>
      <c r="T82" s="11">
        <f t="shared" ca="1" si="23"/>
        <v>0</v>
      </c>
      <c r="U82" s="11">
        <f t="shared" ca="1" si="24"/>
        <v>15</v>
      </c>
      <c r="V82" s="769">
        <f t="shared" ca="1" si="25"/>
        <v>0.625</v>
      </c>
      <c r="W82" s="11">
        <f t="shared" ca="1" si="27"/>
        <v>1</v>
      </c>
      <c r="X82" s="11"/>
      <c r="Y82" s="11"/>
      <c r="Z82" s="11"/>
      <c r="AA82" s="11">
        <v>80</v>
      </c>
      <c r="AB82" s="11" t="s">
        <v>172</v>
      </c>
      <c r="AC82" s="11">
        <v>11</v>
      </c>
      <c r="AD82" s="769">
        <f t="shared" si="31"/>
        <v>0.45833333333333331</v>
      </c>
      <c r="AE82" s="11">
        <v>0</v>
      </c>
      <c r="AF82" s="11">
        <f t="shared" ca="1" si="28"/>
        <v>15</v>
      </c>
      <c r="AG82" s="769">
        <f t="shared" ca="1" si="32"/>
        <v>0.625</v>
      </c>
      <c r="AH82" s="11">
        <f t="shared" ca="1" si="29"/>
        <v>1</v>
      </c>
      <c r="AI82" s="11"/>
      <c r="AJ82" s="11"/>
    </row>
    <row r="83" spans="1:36">
      <c r="A83" s="8" t="s">
        <v>488</v>
      </c>
      <c r="B83" s="11"/>
      <c r="C83" s="764"/>
      <c r="D83" s="11"/>
      <c r="E83" s="764"/>
      <c r="F83" s="11"/>
      <c r="G83" s="11"/>
      <c r="H83" s="11"/>
      <c r="I83" s="11"/>
      <c r="J83" s="11"/>
      <c r="K83" s="11"/>
      <c r="L83" s="11"/>
      <c r="M83" s="11"/>
      <c r="N83" s="11"/>
      <c r="O83" s="11"/>
      <c r="P83" s="11">
        <v>81</v>
      </c>
      <c r="Q83" s="11" t="s">
        <v>173</v>
      </c>
      <c r="R83" s="11">
        <f t="shared" ca="1" si="22"/>
        <v>12</v>
      </c>
      <c r="S83" s="769">
        <f t="shared" ca="1" si="22"/>
        <v>0.5</v>
      </c>
      <c r="T83" s="11">
        <f t="shared" ca="1" si="23"/>
        <v>0</v>
      </c>
      <c r="U83" s="11">
        <f t="shared" ca="1" si="24"/>
        <v>16</v>
      </c>
      <c r="V83" s="769">
        <f t="shared" ca="1" si="25"/>
        <v>0.66666666666666663</v>
      </c>
      <c r="W83" s="11">
        <f t="shared" ca="1" si="27"/>
        <v>1</v>
      </c>
      <c r="X83" s="11"/>
      <c r="Y83" s="11"/>
      <c r="Z83" s="11"/>
      <c r="AA83" s="11">
        <v>81</v>
      </c>
      <c r="AB83" s="11" t="s">
        <v>173</v>
      </c>
      <c r="AC83" s="11">
        <v>12</v>
      </c>
      <c r="AD83" s="769">
        <f t="shared" si="31"/>
        <v>0.5</v>
      </c>
      <c r="AE83" s="11">
        <v>0</v>
      </c>
      <c r="AF83" s="11">
        <f t="shared" ca="1" si="28"/>
        <v>16</v>
      </c>
      <c r="AG83" s="769">
        <f t="shared" ca="1" si="32"/>
        <v>0.66666666666666663</v>
      </c>
      <c r="AH83" s="11">
        <f t="shared" ca="1" si="29"/>
        <v>1</v>
      </c>
      <c r="AI83" s="11"/>
      <c r="AJ83" s="11"/>
    </row>
    <row r="84" spans="1:36">
      <c r="A84" s="764">
        <v>46190.541666666664</v>
      </c>
      <c r="B84" s="11"/>
      <c r="C84" s="764">
        <f t="shared" ref="C84:C89" ca="1" si="34">A84+INDEX($V$3:$V$86,MATCH($C$3,$P$3:$P$86,0))*INDEX($W$3:$W$86,MATCH($C$3,$P$3:$P$86,0))</f>
        <v>46190.541666666664</v>
      </c>
      <c r="D84" s="764"/>
      <c r="E84" s="764"/>
      <c r="F84" s="11"/>
      <c r="G84" s="11"/>
      <c r="H84" s="11"/>
      <c r="I84" s="11"/>
      <c r="J84" s="11"/>
      <c r="K84" s="11"/>
      <c r="L84" s="11"/>
      <c r="M84" s="11"/>
      <c r="N84" s="11"/>
      <c r="O84" s="11"/>
      <c r="P84" s="11">
        <v>82</v>
      </c>
      <c r="Q84" s="11" t="s">
        <v>362</v>
      </c>
      <c r="R84" s="11">
        <f t="shared" ca="1" si="22"/>
        <v>12.75</v>
      </c>
      <c r="S84" s="769">
        <f t="shared" ca="1" si="22"/>
        <v>0.53125</v>
      </c>
      <c r="T84" s="11">
        <f t="shared" ca="1" si="23"/>
        <v>0</v>
      </c>
      <c r="U84" s="11">
        <f t="shared" ca="1" si="24"/>
        <v>16.75</v>
      </c>
      <c r="V84" s="769">
        <f t="shared" ca="1" si="25"/>
        <v>0.69791666666666663</v>
      </c>
      <c r="W84" s="11">
        <f t="shared" ca="1" si="27"/>
        <v>1</v>
      </c>
      <c r="X84" s="11"/>
      <c r="Y84" s="11"/>
      <c r="Z84" s="11"/>
      <c r="AA84" s="11">
        <v>82</v>
      </c>
      <c r="AB84" s="11" t="s">
        <v>362</v>
      </c>
      <c r="AC84" s="11">
        <v>12.75</v>
      </c>
      <c r="AD84" s="769">
        <f t="shared" si="31"/>
        <v>0.53125</v>
      </c>
      <c r="AE84" s="11">
        <v>0</v>
      </c>
      <c r="AF84" s="11">
        <f t="shared" ca="1" si="28"/>
        <v>16.75</v>
      </c>
      <c r="AG84" s="769">
        <f t="shared" ca="1" si="32"/>
        <v>0.69791666666666663</v>
      </c>
      <c r="AH84" s="11">
        <f t="shared" ca="1" si="29"/>
        <v>1</v>
      </c>
      <c r="AI84" s="11"/>
      <c r="AJ84" s="11"/>
    </row>
    <row r="85" spans="1:36">
      <c r="A85" s="764">
        <v>46190.916666666664</v>
      </c>
      <c r="B85" s="11"/>
      <c r="C85" s="764">
        <f t="shared" ca="1" si="34"/>
        <v>46190.916666666664</v>
      </c>
      <c r="D85" s="764"/>
      <c r="E85" s="764"/>
      <c r="F85" s="11"/>
      <c r="G85" s="11"/>
      <c r="H85" s="11"/>
      <c r="I85" s="11"/>
      <c r="J85" s="11"/>
      <c r="K85" s="11"/>
      <c r="L85" s="11"/>
      <c r="M85" s="11"/>
      <c r="N85" s="11"/>
      <c r="O85" s="11"/>
      <c r="P85" s="11">
        <v>83</v>
      </c>
      <c r="Q85" s="11" t="s">
        <v>363</v>
      </c>
      <c r="R85" s="11">
        <f t="shared" ca="1" si="22"/>
        <v>13</v>
      </c>
      <c r="S85" s="769">
        <f t="shared" ca="1" si="22"/>
        <v>0.54166666666666663</v>
      </c>
      <c r="T85" s="11">
        <f t="shared" ca="1" si="23"/>
        <v>0</v>
      </c>
      <c r="U85" s="11">
        <f t="shared" ca="1" si="24"/>
        <v>17</v>
      </c>
      <c r="V85" s="769">
        <f t="shared" ca="1" si="25"/>
        <v>0.70833333333333337</v>
      </c>
      <c r="W85" s="11">
        <f t="shared" ca="1" si="27"/>
        <v>1</v>
      </c>
      <c r="X85" s="11"/>
      <c r="Y85" s="11"/>
      <c r="Z85" s="11"/>
      <c r="AA85" s="11">
        <v>83</v>
      </c>
      <c r="AB85" s="11" t="s">
        <v>363</v>
      </c>
      <c r="AC85" s="11">
        <v>13</v>
      </c>
      <c r="AD85" s="769">
        <f t="shared" si="31"/>
        <v>0.54166666666666663</v>
      </c>
      <c r="AE85" s="11">
        <v>0</v>
      </c>
      <c r="AF85" s="11">
        <f t="shared" ca="1" si="28"/>
        <v>17</v>
      </c>
      <c r="AG85" s="769">
        <f t="shared" ca="1" si="32"/>
        <v>0.70833333333333337</v>
      </c>
      <c r="AH85" s="11">
        <f t="shared" ca="1" si="29"/>
        <v>1</v>
      </c>
      <c r="AI85" s="11"/>
      <c r="AJ85" s="11"/>
    </row>
    <row r="86" spans="1:36">
      <c r="A86" s="764">
        <v>46196.541666666664</v>
      </c>
      <c r="B86" s="11"/>
      <c r="C86" s="764">
        <f t="shared" ca="1" si="34"/>
        <v>46196.541666666664</v>
      </c>
      <c r="D86" s="764"/>
      <c r="E86" s="764"/>
      <c r="F86" s="11"/>
      <c r="G86" s="11"/>
      <c r="H86" s="11"/>
      <c r="I86" s="11"/>
      <c r="J86" s="11"/>
      <c r="K86" s="11"/>
      <c r="L86" s="11"/>
      <c r="M86" s="11"/>
      <c r="N86" s="11"/>
      <c r="O86" s="11"/>
      <c r="P86" s="11">
        <v>84</v>
      </c>
      <c r="Q86" s="11" t="s">
        <v>364</v>
      </c>
      <c r="R86" s="11">
        <f t="shared" ca="1" si="22"/>
        <v>14</v>
      </c>
      <c r="S86" s="769">
        <f t="shared" ca="1" si="22"/>
        <v>0.58333333333333337</v>
      </c>
      <c r="T86" s="11">
        <f t="shared" ca="1" si="23"/>
        <v>0</v>
      </c>
      <c r="U86" s="11">
        <f t="shared" ca="1" si="24"/>
        <v>18</v>
      </c>
      <c r="V86" s="769">
        <f t="shared" ca="1" si="25"/>
        <v>0.75</v>
      </c>
      <c r="W86" s="11">
        <f t="shared" ca="1" si="27"/>
        <v>1</v>
      </c>
      <c r="X86" s="11"/>
      <c r="Y86" s="11"/>
      <c r="Z86" s="11"/>
      <c r="AA86" s="11">
        <v>84</v>
      </c>
      <c r="AB86" s="11" t="s">
        <v>364</v>
      </c>
      <c r="AC86" s="11">
        <v>14</v>
      </c>
      <c r="AD86" s="769">
        <f t="shared" si="31"/>
        <v>0.58333333333333337</v>
      </c>
      <c r="AE86" s="11">
        <v>0</v>
      </c>
      <c r="AF86" s="11">
        <f t="shared" ca="1" si="28"/>
        <v>18</v>
      </c>
      <c r="AG86" s="769">
        <f t="shared" ca="1" si="32"/>
        <v>0.75</v>
      </c>
      <c r="AH86" s="11">
        <f t="shared" ca="1" si="29"/>
        <v>1</v>
      </c>
      <c r="AI86" s="11"/>
      <c r="AJ86" s="11"/>
    </row>
    <row r="87" spans="1:36">
      <c r="A87" s="708">
        <v>46196.916666666664</v>
      </c>
      <c r="C87" s="708">
        <f t="shared" ca="1" si="34"/>
        <v>46196.916666666664</v>
      </c>
    </row>
    <row r="88" spans="1:36">
      <c r="A88" s="708">
        <v>46200.8125</v>
      </c>
      <c r="C88" s="708">
        <f t="shared" ca="1" si="34"/>
        <v>46200.8125</v>
      </c>
    </row>
    <row r="89" spans="1:36">
      <c r="A89" s="708">
        <v>46200.8125</v>
      </c>
      <c r="C89" s="708">
        <f t="shared" ca="1" si="34"/>
        <v>46200.8125</v>
      </c>
    </row>
    <row r="90" spans="1:36">
      <c r="C90" s="708"/>
    </row>
    <row r="91" spans="1:36">
      <c r="A91" s="5" t="s">
        <v>489</v>
      </c>
      <c r="C91" s="708"/>
    </row>
    <row r="92" spans="1:36">
      <c r="A92" s="708">
        <v>46190.666666666664</v>
      </c>
      <c r="C92" s="708">
        <f t="shared" ref="C92:C97" ca="1" si="35">A92+INDEX($V$3:$V$86,MATCH($C$3,$P$3:$P$86,0))*INDEX($W$3:$W$86,MATCH($C$3,$P$3:$P$86,0))</f>
        <v>46190.666666666664</v>
      </c>
    </row>
    <row r="93" spans="1:36">
      <c r="A93" s="708">
        <v>46190.791666666664</v>
      </c>
      <c r="C93" s="708">
        <f t="shared" ca="1" si="35"/>
        <v>46190.791666666664</v>
      </c>
    </row>
    <row r="94" spans="1:36">
      <c r="A94" s="708">
        <v>46196.666666666664</v>
      </c>
      <c r="C94" s="708">
        <f t="shared" ca="1" si="35"/>
        <v>46196.666666666664</v>
      </c>
    </row>
    <row r="95" spans="1:36">
      <c r="A95" s="708">
        <v>46196.791666666664</v>
      </c>
      <c r="C95" s="708">
        <f t="shared" ca="1" si="35"/>
        <v>46196.791666666664</v>
      </c>
    </row>
    <row r="96" spans="1:36">
      <c r="A96" s="708">
        <v>46200.708333333336</v>
      </c>
      <c r="C96" s="708">
        <f t="shared" ca="1" si="35"/>
        <v>46200.708333333336</v>
      </c>
    </row>
    <row r="97" spans="1:3">
      <c r="A97" s="708">
        <v>46200.708333333336</v>
      </c>
      <c r="C97" s="708">
        <f t="shared" ca="1" si="35"/>
        <v>46200.708333333336</v>
      </c>
    </row>
    <row r="100" spans="1:3">
      <c r="A100" s="712" t="s">
        <v>490</v>
      </c>
      <c r="C100" s="708"/>
    </row>
    <row r="101" spans="1:3">
      <c r="A101" s="708">
        <v>46201.625</v>
      </c>
      <c r="C101" s="708">
        <f t="shared" ref="C101:C116" ca="1" si="36">A101+INDEX($V$3:$V$86,MATCH($C$3,$P$3:$P$86,0))*INDEX($W$3:$W$86,MATCH($C$3,$P$3:$P$86,0))</f>
        <v>46201.625</v>
      </c>
    </row>
    <row r="102" spans="1:3">
      <c r="A102" s="708">
        <v>46202.541666666664</v>
      </c>
      <c r="C102" s="708">
        <f t="shared" ca="1" si="36"/>
        <v>46202.541666666664</v>
      </c>
    </row>
    <row r="103" spans="1:3">
      <c r="A103" s="708">
        <v>46202.6875</v>
      </c>
      <c r="C103" s="708">
        <f t="shared" ca="1" si="36"/>
        <v>46202.6875</v>
      </c>
    </row>
    <row r="104" spans="1:3">
      <c r="A104" s="708">
        <v>46202.875</v>
      </c>
      <c r="C104" s="708">
        <f t="shared" ca="1" si="36"/>
        <v>46202.875</v>
      </c>
    </row>
    <row r="105" spans="1:3">
      <c r="A105" s="708">
        <v>46203.541666666664</v>
      </c>
      <c r="C105" s="708">
        <f t="shared" ca="1" si="36"/>
        <v>46203.541666666664</v>
      </c>
    </row>
    <row r="106" spans="1:3">
      <c r="A106" s="708">
        <v>46203.708333333336</v>
      </c>
      <c r="C106" s="708">
        <f t="shared" ca="1" si="36"/>
        <v>46203.708333333336</v>
      </c>
    </row>
    <row r="107" spans="1:3">
      <c r="A107" s="708">
        <v>46203.875</v>
      </c>
      <c r="C107" s="708">
        <f t="shared" ca="1" si="36"/>
        <v>46203.875</v>
      </c>
    </row>
    <row r="108" spans="1:3">
      <c r="A108" s="708">
        <v>46204.5</v>
      </c>
      <c r="C108" s="708">
        <f t="shared" ca="1" si="36"/>
        <v>46204.5</v>
      </c>
    </row>
    <row r="109" spans="1:3">
      <c r="A109" s="708">
        <v>46204.666666666664</v>
      </c>
      <c r="C109" s="708">
        <f t="shared" ca="1" si="36"/>
        <v>46204.666666666664</v>
      </c>
    </row>
    <row r="110" spans="1:3">
      <c r="A110" s="708">
        <v>46204.833333333336</v>
      </c>
      <c r="C110" s="708">
        <f t="shared" ca="1" si="36"/>
        <v>46204.833333333336</v>
      </c>
    </row>
    <row r="111" spans="1:3">
      <c r="A111" s="708">
        <v>46205.625</v>
      </c>
      <c r="C111" s="708">
        <f t="shared" ca="1" si="36"/>
        <v>46205.625</v>
      </c>
    </row>
    <row r="112" spans="1:3">
      <c r="A112" s="708">
        <v>46205.791666666664</v>
      </c>
      <c r="C112" s="708">
        <f t="shared" ca="1" si="36"/>
        <v>46205.791666666664</v>
      </c>
    </row>
    <row r="113" spans="1:3">
      <c r="A113" s="708">
        <v>46205.958333333336</v>
      </c>
      <c r="C113" s="708">
        <f t="shared" ca="1" si="36"/>
        <v>46205.958333333336</v>
      </c>
    </row>
    <row r="114" spans="1:3">
      <c r="A114" s="708">
        <v>46206.583333333336</v>
      </c>
      <c r="C114" s="708">
        <f t="shared" ca="1" si="36"/>
        <v>46206.583333333336</v>
      </c>
    </row>
    <row r="115" spans="1:3">
      <c r="A115" s="708">
        <v>46206.75</v>
      </c>
      <c r="C115" s="708">
        <f t="shared" ca="1" si="36"/>
        <v>46206.75</v>
      </c>
    </row>
    <row r="116" spans="1:3">
      <c r="A116" s="708">
        <v>46206.895833333336</v>
      </c>
      <c r="C116" s="708">
        <f t="shared" ca="1" si="36"/>
        <v>46206.895833333336</v>
      </c>
    </row>
    <row r="117" spans="1:3">
      <c r="C117" s="708"/>
    </row>
    <row r="118" spans="1:3">
      <c r="C118" s="708"/>
    </row>
    <row r="119" spans="1:3">
      <c r="A119" s="712" t="s">
        <v>718</v>
      </c>
    </row>
    <row r="120" spans="1:3">
      <c r="A120" s="708">
        <v>46207.541666666664</v>
      </c>
      <c r="C120" s="708">
        <f t="shared" ref="C120:C127" ca="1" si="37">A120+INDEX($V$3:$V$86,MATCH($C$3,$P$3:$P$86,0))*INDEX($W$3:$W$86,MATCH($C$3,$P$3:$P$86,0))</f>
        <v>46207.541666666664</v>
      </c>
    </row>
    <row r="121" spans="1:3">
      <c r="A121" s="708">
        <v>46207.708333333336</v>
      </c>
      <c r="C121" s="708">
        <f t="shared" ca="1" si="37"/>
        <v>46207.708333333336</v>
      </c>
    </row>
    <row r="122" spans="1:3">
      <c r="A122" s="708">
        <v>46208.666666666664</v>
      </c>
      <c r="C122" s="708">
        <f t="shared" ca="1" si="37"/>
        <v>46208.666666666664</v>
      </c>
    </row>
    <row r="123" spans="1:3">
      <c r="A123" s="708">
        <v>46208.833333333336</v>
      </c>
      <c r="C123" s="708">
        <f t="shared" ca="1" si="37"/>
        <v>46208.833333333336</v>
      </c>
    </row>
    <row r="124" spans="1:3">
      <c r="A124" s="708">
        <v>46209.625</v>
      </c>
      <c r="C124" s="708">
        <f t="shared" ca="1" si="37"/>
        <v>46209.625</v>
      </c>
    </row>
    <row r="125" spans="1:3">
      <c r="A125" s="708">
        <v>46209.833333333336</v>
      </c>
      <c r="C125" s="708">
        <f t="shared" ca="1" si="37"/>
        <v>46209.833333333336</v>
      </c>
    </row>
    <row r="126" spans="1:3">
      <c r="A126" s="708">
        <v>46210.5</v>
      </c>
      <c r="C126" s="708">
        <f t="shared" ca="1" si="37"/>
        <v>46210.5</v>
      </c>
    </row>
    <row r="127" spans="1:3">
      <c r="A127" s="708">
        <v>46210.666666666664</v>
      </c>
      <c r="C127" s="708">
        <f t="shared" ca="1" si="37"/>
        <v>46210.666666666664</v>
      </c>
    </row>
    <row r="130" spans="1:3">
      <c r="A130" s="712" t="s">
        <v>95</v>
      </c>
      <c r="C130" s="708"/>
    </row>
    <row r="131" spans="1:3">
      <c r="A131" s="708">
        <v>46212.666666666664</v>
      </c>
      <c r="C131" s="708">
        <f ca="1">A131+INDEX($V$3:$V$86,MATCH($C$3,$P$3:$P$86,0))*INDEX($W$3:$W$86,MATCH($C$3,$P$3:$P$86,0))</f>
        <v>46212.666666666664</v>
      </c>
    </row>
    <row r="132" spans="1:3">
      <c r="A132" s="708">
        <v>46213.625</v>
      </c>
      <c r="C132" s="708">
        <f ca="1">A132+INDEX($V$3:$V$86,MATCH($C$3,$P$3:$P$86,0))*INDEX($W$3:$W$86,MATCH($C$3,$P$3:$P$86,0))</f>
        <v>46213.625</v>
      </c>
    </row>
    <row r="133" spans="1:3">
      <c r="A133" s="708">
        <v>46214.708333333336</v>
      </c>
      <c r="C133" s="708">
        <f ca="1">A133+INDEX($V$3:$V$86,MATCH($C$3,$P$3:$P$86,0))*INDEX($W$3:$W$86,MATCH($C$3,$P$3:$P$86,0))</f>
        <v>46214.708333333336</v>
      </c>
    </row>
    <row r="134" spans="1:3">
      <c r="A134" s="708">
        <v>46214.875</v>
      </c>
      <c r="C134" s="708">
        <f ca="1">A134+INDEX($V$3:$V$86,MATCH($C$3,$P$3:$P$86,0))*INDEX($W$3:$W$86,MATCH($C$3,$P$3:$P$86,0))</f>
        <v>46214.875</v>
      </c>
    </row>
    <row r="135" spans="1:3">
      <c r="C135" s="708"/>
    </row>
    <row r="137" spans="1:3">
      <c r="A137" s="713" t="s">
        <v>41</v>
      </c>
      <c r="C137" s="708"/>
    </row>
    <row r="138" spans="1:3">
      <c r="A138" s="708">
        <v>46217.625</v>
      </c>
      <c r="C138" s="708">
        <f ca="1">A138+INDEX($V$3:$V$86,MATCH($C$3,$P$3:$P$86,0))*INDEX($W$3:$W$86,MATCH($C$3,$P$3:$P$86,0))</f>
        <v>46217.625</v>
      </c>
    </row>
    <row r="139" spans="1:3">
      <c r="A139" s="708">
        <v>46218.625</v>
      </c>
      <c r="C139" s="708">
        <f ca="1">A139+INDEX($V$3:$V$86,MATCH($C$3,$P$3:$P$86,0))*INDEX($W$3:$W$86,MATCH($C$3,$P$3:$P$86,0))</f>
        <v>46218.625</v>
      </c>
    </row>
    <row r="140" spans="1:3">
      <c r="C140" s="708"/>
    </row>
    <row r="142" spans="1:3">
      <c r="A142" s="714" t="s">
        <v>493</v>
      </c>
    </row>
    <row r="143" spans="1:3">
      <c r="A143" s="708">
        <v>46221.708333333336</v>
      </c>
      <c r="C143" s="708">
        <f ca="1">A143+INDEX($V$3:$V$86,MATCH($C$3,$P$3:$P$86,0))*INDEX($W$3:$W$86,MATCH($C$3,$P$3:$P$86,0))</f>
        <v>46221.708333333336</v>
      </c>
    </row>
    <row r="146" spans="1:3">
      <c r="A146" s="715" t="s">
        <v>4</v>
      </c>
      <c r="C146" s="708"/>
    </row>
    <row r="147" spans="1:3">
      <c r="A147" s="708">
        <v>46222.625</v>
      </c>
      <c r="C147" s="708">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Miguel Perez Cordero</cp:lastModifiedBy>
  <cp:lastPrinted>2018-12-06T18:06:35Z</cp:lastPrinted>
  <dcterms:created xsi:type="dcterms:W3CDTF">2015-10-31T09:41:54Z</dcterms:created>
  <dcterms:modified xsi:type="dcterms:W3CDTF">2026-06-09T01:40:21Z</dcterms:modified>
  <cp:category/>
</cp:coreProperties>
</file>