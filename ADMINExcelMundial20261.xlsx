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A370C509-36D5-4146-A64E-2A10A3E9A9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D444" i="36"/>
  <c r="D302" i="36"/>
  <c r="M66" i="46"/>
  <c r="E222" i="46"/>
  <c r="E207" i="46"/>
  <c r="M207" i="46"/>
  <c r="K94" i="46"/>
  <c r="K181"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04" i="46"/>
  <c r="H205" i="46"/>
  <c r="H207" i="46"/>
  <c r="Q22" i="6"/>
  <c r="H210"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84" i="3"/>
  <c r="M84" i="34"/>
  <c r="AC3" i="3"/>
  <c r="AC130" i="3" s="1"/>
  <c r="AJ36" i="3" l="1"/>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CM244" i="46"/>
  <c r="CM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CM232" i="46"/>
  <c r="CM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CM54" i="46"/>
  <c r="D367" i="36"/>
  <c r="AF91" i="3"/>
  <c r="AF67" i="3"/>
  <c r="AL85" i="3"/>
  <c r="AY85" i="3" s="1"/>
  <c r="AJ28" i="3"/>
  <c r="H244" i="46"/>
  <c r="H201" i="46"/>
  <c r="H214" i="46"/>
  <c r="H155" i="46"/>
  <c r="H140" i="46"/>
  <c r="H138" i="46"/>
  <c r="AL253" i="46"/>
  <c r="Z253" i="46"/>
  <c r="BA253" i="46"/>
  <c r="AR253" i="46"/>
  <c r="BJ253" i="46"/>
  <c r="BY253" i="46"/>
  <c r="AC253" i="46"/>
  <c r="AU253" i="46"/>
  <c r="CM253" i="46"/>
  <c r="CN253" i="46" s="1"/>
  <c r="BM253" i="46"/>
  <c r="CB253" i="46"/>
  <c r="AF253" i="46"/>
  <c r="AX253" i="46"/>
  <c r="BP253" i="46"/>
  <c r="CE253" i="46"/>
  <c r="AI253" i="46"/>
  <c r="BS253" i="46"/>
  <c r="BD253" i="46"/>
  <c r="CH253" i="46"/>
  <c r="W253" i="46"/>
  <c r="CK253" i="46"/>
  <c r="AO253" i="46"/>
  <c r="BG253" i="46"/>
  <c r="BV253" i="46"/>
  <c r="K193" i="46"/>
  <c r="K183" i="46"/>
  <c r="CM220" i="46"/>
  <c r="H213" i="46"/>
  <c r="H156" i="46"/>
  <c r="H134" i="46"/>
  <c r="H253" i="46"/>
  <c r="H254" i="46"/>
  <c r="H141" i="46"/>
  <c r="H133"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AU53" i="46" l="1"/>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CM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9" i="3" l="1"/>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CF33" i="3" s="1"/>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32" i="3"/>
  <c r="CF46" i="3"/>
  <c r="CF53" i="3"/>
  <c r="E9" i="51"/>
  <c r="CF22" i="3"/>
  <c r="CF8" i="3"/>
  <c r="CF26" i="3"/>
  <c r="B46" i="51"/>
  <c r="B47" i="51" s="1"/>
  <c r="E10" i="51"/>
  <c r="E28" i="48"/>
  <c r="F27" i="48" a="1"/>
  <c r="F27" i="48" s="1"/>
  <c r="E12" i="51"/>
  <c r="E11" i="51"/>
  <c r="CF6" i="3" l="1"/>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<sst xmlns="http://schemas.openxmlformats.org/spreadsheetml/2006/main" count="13030" uniqueCount="2586">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</sst>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9"/>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tabSelected="1"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Faltan 1 días para que empiece 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4" sqref="AC4"/>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798" t="s">
        <v>0</v>
      </c>
      <c r="X4" s="189">
        <f ca="1">Horarios!C4</f>
        <v>46184.625</v>
      </c>
      <c r="Y4" s="190">
        <f ca="1">Horarios!C4</f>
        <v>46184.625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798"/>
      <c r="X5" s="189">
        <f ca="1">Horarios!C5</f>
        <v>46184.916666666664</v>
      </c>
      <c r="Y5" s="190">
        <f ca="1">Horarios!C5</f>
        <v>46184.916666666664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J9" sqref="CJ9"/>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1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Pegar Valores Nombre J25</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Pegar Valores Nombre J25</v>
      </c>
      <c r="G28" s="429" t="str">
        <f ca="1">IFERROR(VLOOKUP(G$2,Rango_Admin_DailyPred,MATCH($F28,Rango_Admin_DailyPred_Primera,0),0),"-")</f>
        <v>Pegar Valores (J1)</v>
      </c>
      <c r="H28" s="429">
        <f ca="1">IFERROR(VLOOKUP(H$2,Rango_Admin_DailyPred,MATCH($F28,Rango_Admin_DailyPred_Primera,0),0),"-")</f>
        <v>0</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Pegar Valores Nombre J25</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v>
      </c>
      <c r="N8" s="469">
        <f ca="1">IFERROR(COUNTIF(ADMIN!$S$130:INDEX(ADMIN!$S$130:$HL$161,32,ADMIN!$D$5*3-1),Stats!$L8)-SUM(O8:T8),0)</f>
        <v>2</v>
      </c>
      <c r="O8" s="469">
        <f ca="1">COUNTIF(ADMIN!$S$182:INDEX(ADMIN!$S$182:$HL$197,16,ADMIN!$D$5*3-1),Stats!$L8)-SUM(P8:T8)</f>
        <v>20</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10</v>
      </c>
      <c r="N10" s="469">
        <f ca="1">IFERROR(COUNTIF(ADMIN!$S$130:INDEX(ADMIN!$S$130:$HL$161,32,ADMIN!$D$5*3-1),Stats!$L10)-SUM(O10:T10),0)</f>
        <v>13</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1</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2</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2</v>
      </c>
      <c r="N13" s="471">
        <f ca="1">IFERROR(COUNTIF(ADMIN!$S$130:INDEX(ADMIN!$S$130:$HL$161,32,ADMIN!$D$5*3-1),Stats!$L13)-SUM(O13:T13),0)</f>
        <v>23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1</v>
      </c>
      <c r="N14" s="469">
        <f ca="1">IFERROR(COUNTIF(ADMIN!$S$130:INDEX(ADMIN!$S$130:$HL$161,32,ADMIN!$D$5*3-1),Stats!$L14)-SUM(O14:T14),0)</f>
        <v>2</v>
      </c>
      <c r="O14" s="469">
        <f ca="1">COUNTIF(ADMIN!$S$182:INDEX(ADMIN!$S$182:$HL$197,16,ADMIN!$D$5*3-1),Stats!$L14)-SUM(P14:T14)</f>
        <v>9</v>
      </c>
      <c r="P14" s="469">
        <f ca="1">COUNTIF(ADMIN!$S$210:INDEX(ADMIN!$S$210:$HL$217,8,ADMIN!$D$5*3-1),Stats!$L14)-SUM(Q14:T14)</f>
        <v>13</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8</v>
      </c>
      <c r="N15" s="471">
        <f ca="1">IFERROR(COUNTIF(ADMIN!$S$130:INDEX(ADMIN!$S$130:$HL$161,32,ADMIN!$D$5*3-1),Stats!$L15)-SUM(O15:T15),0)</f>
        <v>16</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1</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3</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3</v>
      </c>
      <c r="N18" s="469">
        <f ca="1">IFERROR(COUNTIF(ADMIN!$S$130:INDEX(ADMIN!$S$130:$HL$161,32,ADMIN!$D$5*3-1),Stats!$L18)-SUM(O18:T18),0)</f>
        <v>9</v>
      </c>
      <c r="O18" s="469">
        <f ca="1">COUNTIF(ADMIN!$S$182:INDEX(ADMIN!$S$182:$HL$197,16,ADMIN!$D$5*3-1),Stats!$L18)-SUM(P18:T18)</f>
        <v>13</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v>
      </c>
      <c r="N20" s="469">
        <f ca="1">IFERROR(COUNTIF(ADMIN!$S$130:INDEX(ADMIN!$S$130:$HL$161,32,ADMIN!$D$5*3-1),Stats!$L20)-SUM(O20:T20),0)</f>
        <v>6</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5</v>
      </c>
      <c r="N21" s="471">
        <f ca="1">IFERROR(COUNTIF(ADMIN!$S$130:INDEX(ADMIN!$S$130:$HL$161,32,ADMIN!$D$5*3-1),Stats!$L21)-SUM(O21:T21),0)</f>
        <v>11</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6</v>
      </c>
      <c r="N22" s="469">
        <f ca="1">IFERROR(COUNTIF(ADMIN!$S$130:INDEX(ADMIN!$S$130:$HL$161,32,ADMIN!$D$5*3-1),Stats!$L22)-SUM(O22:T22),0)</f>
        <v>16</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1</v>
      </c>
      <c r="N23" s="471">
        <f ca="1">IFERROR(COUNTIF(ADMIN!$S$130:INDEX(ADMIN!$S$130:$HL$161,32,ADMIN!$D$5*3-1),Stats!$L23)-SUM(O23:T23),0)</f>
        <v>19</v>
      </c>
      <c r="O23" s="471">
        <f ca="1">COUNTIF(ADMIN!$S$182:INDEX(ADMIN!$S$182:$HL$197,16,ADMIN!$D$5*3-1),Stats!$L23)-SUM(P23:T23)</f>
        <v>4</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11</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7</v>
      </c>
      <c r="N26" s="469">
        <f ca="1">IFERROR(COUNTIF(ADMIN!$S$130:INDEX(ADMIN!$S$130:$HL$161,32,ADMIN!$D$5*3-1),Stats!$L26)-SUM(O26:T26),0)</f>
        <v>14</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10</v>
      </c>
      <c r="N27" s="471">
        <f ca="1">IFERROR(COUNTIF(ADMIN!$S$130:INDEX(ADMIN!$S$130:$HL$161,32,ADMIN!$D$5*3-1),Stats!$L27)-SUM(O27:T27),0)</f>
        <v>15</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1</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1</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3</v>
      </c>
      <c r="N29" s="471">
        <f ca="1">IFERROR(COUNTIF(ADMIN!$S$130:INDEX(ADMIN!$S$130:$HL$161,32,ADMIN!$D$5*3-1),Stats!$L29)-SUM(O29:T29),0)</f>
        <v>11</v>
      </c>
      <c r="O29" s="471">
        <f ca="1">COUNTIF(ADMIN!$S$182:INDEX(ADMIN!$S$182:$HL$197,16,ADMIN!$D$5*3-1),Stats!$L29)-SUM(P29:T29)</f>
        <v>10</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1</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4</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10</v>
      </c>
      <c r="N31" s="471">
        <f ca="1">IFERROR(COUNTIF(ADMIN!$S$130:INDEX(ADMIN!$S$130:$HL$161,32,ADMIN!$D$5*3-1),Stats!$L31)-SUM(O31:T31),0)</f>
        <v>14</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1</v>
      </c>
      <c r="N33" s="471">
        <f ca="1">IFERROR(COUNTIF(ADMIN!$S$130:INDEX(ADMIN!$S$130:$HL$161,32,ADMIN!$D$5*3-1),Stats!$L33)-SUM(O33:T33),0)</f>
        <v>1</v>
      </c>
      <c r="O33" s="471">
        <f ca="1">COUNTIF(ADMIN!$S$182:INDEX(ADMIN!$S$182:$HL$197,16,ADMIN!$D$5*3-1),Stats!$L33)-SUM(P33:T33)</f>
        <v>1</v>
      </c>
      <c r="P33" s="471">
        <f ca="1">COUNTIF(ADMIN!$S$210:INDEX(ADMIN!$S$210:$HL$217,8,ADMIN!$D$5*3-1),Stats!$L33)-SUM(Q33:T33)</f>
        <v>13</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2</v>
      </c>
      <c r="N36" s="469">
        <f ca="1">IFERROR(COUNTIF(ADMIN!$S$130:INDEX(ADMIN!$S$130:$HL$161,32,ADMIN!$D$5*3-1),Stats!$L36)-SUM(O36:T36),0)</f>
        <v>20</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4</v>
      </c>
      <c r="N38" s="469">
        <f ca="1">IFERROR(COUNTIF(ADMIN!$S$130:INDEX(ADMIN!$S$130:$HL$161,32,ADMIN!$D$5*3-1),Stats!$L38)-SUM(O38:T38),0)</f>
        <v>15</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2</v>
      </c>
      <c r="N39" s="471">
        <f ca="1">IFERROR(COUNTIF(ADMIN!$S$130:INDEX(ADMIN!$S$130:$HL$161,32,ADMIN!$D$5*3-1),Stats!$L39)-SUM(O39:T39),0)</f>
        <v>7</v>
      </c>
      <c r="O39" s="471">
        <f ca="1">COUNTIF(ADMIN!$S$182:INDEX(ADMIN!$S$182:$HL$197,16,ADMIN!$D$5*3-1),Stats!$L39)-SUM(P39:T39)</f>
        <v>16</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2</v>
      </c>
      <c r="N40" s="469">
        <f ca="1">IFERROR(COUNTIF(ADMIN!$S$130:INDEX(ADMIN!$S$130:$HL$161,32,ADMIN!$D$5*3-1),Stats!$L40)-SUM(O40:T40),0)</f>
        <v>12</v>
      </c>
      <c r="O40" s="469">
        <f ca="1">COUNTIF(ADMIN!$S$182:INDEX(ADMIN!$S$182:$HL$197,16,ADMIN!$D$5*3-1),Stats!$L40)-SUM(P40:T40)</f>
        <v>7</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1</v>
      </c>
      <c r="N42" s="469">
        <f ca="1">IFERROR(COUNTIF(ADMIN!$S$130:INDEX(ADMIN!$S$130:$HL$161,32,ADMIN!$D$5*3-1),Stats!$L42)-SUM(O42:T42),0)</f>
        <v>8</v>
      </c>
      <c r="O42" s="469">
        <f ca="1">COUNTIF(ADMIN!$S$182:INDEX(ADMIN!$S$182:$HL$197,16,ADMIN!$D$5*3-1),Stats!$L42)-SUM(P42:T42)</f>
        <v>0</v>
      </c>
      <c r="P42" s="469">
        <f ca="1">COUNTIF(ADMIN!$S$210:INDEX(ADMIN!$S$210:$HL$217,8,ADMIN!$D$5*3-1),Stats!$L42)-SUM(Q42:T42)</f>
        <v>14</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7</v>
      </c>
      <c r="N44" s="469">
        <f ca="1">IFERROR(COUNTIF(ADMIN!$S$130:INDEX(ADMIN!$S$130:$HL$161,32,ADMIN!$D$5*3-1),Stats!$L44)-SUM(O44:T44),0)</f>
        <v>6</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
      </c>
      <c r="F45" s="453"/>
      <c r="G45" s="17"/>
      <c r="H45" s="17"/>
      <c r="I45" s="17"/>
      <c r="J45" s="25"/>
      <c r="K45" s="25"/>
      <c r="L45" s="132" t="str">
        <f ca="1">Horarios!Q40</f>
        <v>Portugal</v>
      </c>
      <c r="M45" s="471">
        <f ca="1">ADMIN!$D$5-SUM(N45:T45)</f>
        <v>1</v>
      </c>
      <c r="N45" s="471">
        <f ca="1">IFERROR(COUNTIF(ADMIN!$S$130:INDEX(ADMIN!$S$130:$HL$161,32,ADMIN!$D$5*3-1),Stats!$L45)-SUM(O45:T45),0)</f>
        <v>0</v>
      </c>
      <c r="O45" s="471">
        <f ca="1">COUNTIF(ADMIN!$S$182:INDEX(ADMIN!$S$182:$HL$197,16,ADMIN!$D$5*3-1),Stats!$L45)-SUM(P45:T45)</f>
        <v>1</v>
      </c>
      <c r="P45" s="471">
        <f ca="1">COUNTIF(ADMIN!$S$210:INDEX(ADMIN!$S$210:$HL$217,8,ADMIN!$D$5*3-1),Stats!$L45)-SUM(Q45:T45)</f>
        <v>8</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8</v>
      </c>
      <c r="N47" s="471">
        <f ca="1">IFERROR(COUNTIF(ADMIN!$S$130:INDEX(ADMIN!$S$130:$HL$161,32,ADMIN!$D$5*3-1),Stats!$L47)-SUM(O47:T47),0)</f>
        <v>11</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6</v>
      </c>
      <c r="N48" s="469">
        <f ca="1">IFERROR(COUNTIF(ADMIN!$S$130:INDEX(ADMIN!$S$130:$HL$161,32,ADMIN!$D$5*3-1),Stats!$L48)-SUM(O48:T48),0)</f>
        <v>16</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2</v>
      </c>
      <c r="N51" s="471">
        <f ca="1">IFERROR(COUNTIF(ADMIN!$S$130:INDEX(ADMIN!$S$130:$HL$161,32,ADMIN!$D$5*3-1),Stats!$L51)-SUM(O51:T51),0)</f>
        <v>3</v>
      </c>
      <c r="O51" s="471">
        <f ca="1">COUNTIF(ADMIN!$S$182:INDEX(ADMIN!$S$182:$HL$197,16,ADMIN!$D$5*3-1),Stats!$L51)-SUM(P51:T51)</f>
        <v>20</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4</v>
      </c>
      <c r="N53" s="471">
        <f ca="1">IFERROR(COUNTIF(ADMIN!$S$130:INDEX(ADMIN!$S$130:$HL$161,32,ADMIN!$D$5*3-1),Stats!$L53)-SUM(O53:T53),0)</f>
        <v>2</v>
      </c>
      <c r="O53" s="471">
        <f ca="1">COUNTIF(ADMIN!$S$182:INDEX(ADMIN!$S$182:$HL$197,16,ADMIN!$D$5*3-1),Stats!$L53)-SUM(P53:T53)</f>
        <v>14</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v>
      </c>
      <c r="N54" s="469">
        <f ca="1">IFERROR(COUNTIF(ADMIN!$S$130:INDEX(ADMIN!$S$130:$HL$161,32,ADMIN!$D$5*3-1),Stats!$L54)-SUM(O54:T54),0)</f>
        <v>19</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2026-06-10T19:58:28Z</dcterms:modified>
  <cp:category/>
</cp:coreProperties>
</file>