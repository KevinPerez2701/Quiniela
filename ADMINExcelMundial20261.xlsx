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Test\"/>
    </mc:Choice>
  </mc:AlternateContent>
  <xr:revisionPtr revIDLastSave="0" documentId="13_ncr:1_{5950D065-9E1F-492A-8CAC-82C51491000A}"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7020" yWindow="321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Q45" i="46" s="1"/>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B3" i="30"/>
  <c r="AX18" i="45"/>
  <c r="S267" i="46"/>
  <c r="K128" i="46"/>
  <c r="H257" i="46"/>
  <c r="AZ37" i="3"/>
  <c r="AZ21" i="3"/>
  <c r="AZ13" i="3"/>
  <c r="AZ29" i="3"/>
  <c r="R7" i="51"/>
  <c r="AZ53" i="3"/>
  <c r="AZ77" i="3"/>
  <c r="AZ45" i="3"/>
  <c r="AZ69" i="3"/>
  <c r="AJ3" i="3"/>
  <c r="AJ60" i="3" s="1"/>
  <c r="AZ93" i="3"/>
  <c r="AZ85" i="3"/>
  <c r="H241" i="46"/>
  <c r="K224" i="46"/>
  <c r="K139" i="46"/>
  <c r="K153" i="46"/>
  <c r="K136" i="46"/>
  <c r="K138" i="46"/>
  <c r="K132" i="46"/>
  <c r="K134" i="46"/>
  <c r="K144" i="46"/>
  <c r="K142" i="46"/>
  <c r="K152" i="46"/>
  <c r="K154" i="46"/>
  <c r="K148" i="46"/>
  <c r="K150" i="46"/>
  <c r="K160" i="46"/>
  <c r="K158" i="46"/>
  <c r="K137" i="46"/>
  <c r="H202" i="46"/>
  <c r="H204" i="46"/>
  <c r="H205" i="46"/>
  <c r="H207" i="46"/>
  <c r="Q22" i="6"/>
  <c r="H210" i="46"/>
  <c r="H229" i="46"/>
  <c r="H220" i="46"/>
  <c r="D21" i="36"/>
  <c r="AF3" i="3" s="1"/>
  <c r="AF51" i="3" s="1"/>
  <c r="D507" i="36"/>
  <c r="D20" i="36"/>
  <c r="AD3" i="3" s="1"/>
  <c r="D506" i="36"/>
  <c r="H233" i="46"/>
  <c r="H236" i="46"/>
  <c r="H237" i="46"/>
  <c r="C61" i="46"/>
  <c r="AM21" i="3"/>
  <c r="AA160" i="3"/>
  <c r="M258" i="46" s="1"/>
  <c r="AL5" i="3"/>
  <c r="AY5" i="3" s="1"/>
  <c r="AR61" i="3"/>
  <c r="H232" i="46"/>
  <c r="AA158" i="3"/>
  <c r="M256" i="46" s="1"/>
  <c r="AH158" i="3"/>
  <c r="H216" i="46"/>
  <c r="AH154" i="3"/>
  <c r="AN45" i="3"/>
  <c r="M84" i="34"/>
  <c r="AC3" i="3"/>
  <c r="AC130" i="3" s="1"/>
  <c r="H228" i="46" l="1"/>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CB31" i="3" s="1"/>
  <c r="H28" i="3"/>
  <c r="CA19" i="3" s="1"/>
  <c r="I93" i="3"/>
  <c r="CA52" i="3" s="1"/>
  <c r="H52" i="3"/>
  <c r="I28" i="3"/>
  <c r="CA18" i="3" s="1"/>
  <c r="H54" i="3"/>
  <c r="I40" i="3"/>
  <c r="CB23" i="3" s="1"/>
  <c r="I71" i="3"/>
  <c r="I76" i="3"/>
  <c r="CB42" i="3" s="1"/>
  <c r="H96" i="3"/>
  <c r="CA50" i="3" s="1"/>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A11" i="3" l="1"/>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C11" i="3" s="1"/>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9" i="3" l="1"/>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K87" i="3"/>
  <c r="CF47" i="3" s="1"/>
  <c r="K61" i="3"/>
  <c r="CF37" i="3" s="1"/>
  <c r="L47" i="3"/>
  <c r="CF29" i="3" s="1"/>
  <c r="CF49" i="3"/>
  <c r="CF45" i="3"/>
  <c r="CF50" i="3"/>
  <c r="CF16" i="3"/>
  <c r="CF46" i="3"/>
  <c r="CF53" i="3"/>
  <c r="E9" i="51"/>
  <c r="CF22" i="3"/>
  <c r="CF8" i="3"/>
  <c r="CF26" i="3"/>
  <c r="B46" i="51"/>
  <c r="B47" i="51" s="1"/>
  <c r="E10" i="51"/>
  <c r="E28" i="48"/>
  <c r="F27" i="48" a="1"/>
  <c r="F27" i="48" s="1"/>
  <c r="E12" i="51"/>
  <c r="E11" i="51"/>
  <c r="CF27" i="3" l="1"/>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<sst xmlns="http://schemas.openxmlformats.org/spreadsheetml/2006/main" count="13256" uniqueCount="2599">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</sst>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1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38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46184</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Pendiente</v>
      </c>
      <c r="E4" s="742" t="str">
        <f t="shared" ref="E4:E9" si="1">IF(D4="Pendiente","-",INDEX($BT$6:$BT$53,MATCH($AA4,$BD$6:$BD$53,0)))</f>
        <v>-</v>
      </c>
      <c r="F4" s="742" t="str">
        <f t="shared" ref="F4:F9" si="2">IF(D4="Pendiente","-",INDEX($BT$6:$BT$53,MATCH($AF4,$BD$6:$BD$53,0)))</f>
        <v>-</v>
      </c>
      <c r="G4" s="742"/>
      <c r="H4" s="742" t="str">
        <f t="shared" ref="H4:H9" si="3">IF(D4="Pendiente","-",INDEX($BZ$6:$BZ$53,MATCH($AA4,$BD$6:$BD$53,0)))</f>
        <v>-</v>
      </c>
      <c r="I4" s="742" t="str">
        <f t="shared" ref="I4:I9" si="4">IF(D4="Pendiente","-",INDEX($BZ$6:$BZ$53,MATCH($AF4,$BD$6:$BD$53,0)))</f>
        <v>-</v>
      </c>
      <c r="J4" s="742"/>
      <c r="K4" s="742" t="str">
        <f t="shared" ref="K4:K9" si="5">IF(D4="Pendiente","-",INDEX($CE$6:$CE$53,MATCH($AA4,$BD$6:$BD$53,0)))</f>
        <v>-</v>
      </c>
      <c r="L4" s="742" t="str">
        <f t="shared" ref="L4:L9" si="6">IF(D4="Pendiente","-",INDEX($CE$6:$CE$53,MATCH($AF4,$BD$6:$BD$53,0)))</f>
        <v>-</v>
      </c>
      <c r="M4" s="742"/>
      <c r="N4" s="742" t="str">
        <f t="shared" ref="N4:N9" si="7">IF(D4="Pendiente","-",INDEX($CH$6:$CH$53,MATCH($AA4,$BD$6:$BD$53,0)))</f>
        <v>-</v>
      </c>
      <c r="O4" s="742" t="str">
        <f t="shared" ref="O4:O9" si="8">IF(D4="Pendiente","-",INDEX($CH$6:$CH$53,MATCH($AF4,$BD$6:$BD$53,0)))</f>
        <v>-</v>
      </c>
      <c r="P4" s="742"/>
      <c r="Q4" s="742" t="str">
        <f t="shared" ref="Q4:Q9" si="9">IF(D4="Pendiente","-",INDEX($CN$6:$CN$53,MATCH($AA4,$BD$6:$BD$53,0)))</f>
        <v>-</v>
      </c>
      <c r="R4" s="742" t="str">
        <f t="shared" ref="R4:R9" si="10">IF(D4="Pendiente","-",INDEX($CN$6:$CN$53,MATCH($AF4,$BD$6:$BD$53,0)))</f>
        <v>-</v>
      </c>
      <c r="S4" s="742"/>
      <c r="T4" s="742" t="str">
        <f t="shared" ref="T4:T9" si="11">IF(D4="Pendiente","-",INDEX($CS$6:$CS$53,MATCH($AA4,$BD$6:$BD$53,0)))</f>
        <v>-</v>
      </c>
      <c r="U4" s="742" t="str">
        <f t="shared" ref="U4:U9" si="12">IF(D4="Pendiente","-",INDEX($CS$6:$CS$53,MATCH($AF4,$BD$6:$BD$53,0)))</f>
        <v>-</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0</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Pendiente</v>
      </c>
      <c r="E5" s="742" t="str">
        <f t="shared" si="1"/>
        <v>-</v>
      </c>
      <c r="F5" s="742" t="str">
        <f t="shared" si="2"/>
        <v>-</v>
      </c>
      <c r="G5" s="742"/>
      <c r="H5" s="742" t="str">
        <f t="shared" si="3"/>
        <v>-</v>
      </c>
      <c r="I5" s="742" t="str">
        <f t="shared" si="4"/>
        <v>-</v>
      </c>
      <c r="J5" s="742"/>
      <c r="K5" s="742" t="str">
        <f t="shared" si="5"/>
        <v>-</v>
      </c>
      <c r="L5" s="742" t="str">
        <f t="shared" si="6"/>
        <v>-</v>
      </c>
      <c r="M5" s="742"/>
      <c r="N5" s="742" t="str">
        <f t="shared" si="7"/>
        <v>-</v>
      </c>
      <c r="O5" s="742" t="str">
        <f t="shared" si="8"/>
        <v>-</v>
      </c>
      <c r="P5" s="742"/>
      <c r="Q5" s="742" t="str">
        <f t="shared" si="9"/>
        <v>-</v>
      </c>
      <c r="R5" s="742" t="str">
        <f t="shared" si="10"/>
        <v>-</v>
      </c>
      <c r="S5" s="742"/>
      <c r="T5" s="742" t="str">
        <f t="shared" si="11"/>
        <v>-</v>
      </c>
      <c r="U5" s="742" t="str">
        <f t="shared" si="12"/>
        <v>-</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0</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826"/>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0</v>
      </c>
      <c r="AN6" s="214">
        <f t="shared" ca="1" si="16"/>
        <v>0</v>
      </c>
      <c r="AO6" s="214">
        <f t="shared" ca="1" si="16"/>
        <v>0</v>
      </c>
      <c r="AP6" s="214">
        <f t="shared" ca="1" si="16"/>
        <v>0</v>
      </c>
      <c r="AQ6" s="214">
        <f t="shared" ca="1" si="16"/>
        <v>0</v>
      </c>
      <c r="AR6" s="214">
        <f t="shared" ca="1" si="16"/>
        <v>0</v>
      </c>
      <c r="AS6" s="214">
        <f t="shared" ca="1" si="16"/>
        <v>0</v>
      </c>
      <c r="AT6" s="215">
        <f t="shared" ca="1" si="16"/>
        <v>0</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0</v>
      </c>
      <c r="BF6" s="746">
        <f ca="1">+BG6+BH6+BI6</f>
        <v>0</v>
      </c>
      <c r="BG6" s="746">
        <f t="shared" ref="BG6:BG53" ca="1" si="17">+COUNTIFS(FGLocal,BD6,Ganador,"Local")+COUNTIFS(FGVisitante,BD6,Ganador,"Visitante")</f>
        <v>0</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0</v>
      </c>
      <c r="BK6" s="746">
        <f t="shared" ref="BK6:BK53" ca="1" si="21">+SUMIFS(FG_GolesLocal,FGVisitante,BD6,Ganador,"&lt;&gt;"&amp;"Pendiente",FG_GolesLocal,"&lt;&gt;"&amp;"",FG_GolesVisitante,"&lt;&gt;"&amp;"")+SUMIFS(FG_GolesVisitante,FGLocal,BD6,Ganador,"&lt;&gt;"&amp;"Pendiente",FG_GolesLocal,"&lt;&gt;"&amp;"",FG_GolesVisitante,"&lt;&gt;"&amp;"")</f>
        <v>0</v>
      </c>
      <c r="BL6" s="746">
        <f ca="1">+BJ6-BK6</f>
        <v>0</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0</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(4)</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(4)</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(4)</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(4)</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(4)</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(4)</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(4)</v>
      </c>
      <c r="CW6" s="755">
        <f ca="1">IF(CV6="-","-",BL6)</f>
        <v>0</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P.1 (4)</v>
      </c>
      <c r="CZ6" s="755">
        <f ca="1">IF(CY6="-","-",BJ6)</f>
        <v>0</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P.1 (4)</v>
      </c>
      <c r="DC6" s="754">
        <f ca="1">IF(DB6="-","-",COUNTIFS(T_Equipos[Rank],"&lt;"&amp;INDEX(T_Equipos[Rank],MATCH(BD6,T_Equipos[NombreEquipo],0)),$BC$6:$BC$53,INDEX(T_Equipos[Grupo],MATCH(BD6,T_Equipos[NombreEquipo],0)))+1)</f>
        <v>1</v>
      </c>
      <c r="DD6" s="754">
        <f ca="1">DA6+COUNTIFS($DB$6:$DB$53,DB6,$DC$6:DC$53,"&lt;"&amp;DC6,$BC$6:$BC$53,INDEX(T_Equipos[Grupo],MATCH(BD6,T_Equipos[NombreEquipo],0)))</f>
        <v>1</v>
      </c>
      <c r="DE6" s="754"/>
      <c r="DF6" s="754">
        <f ca="1">IF(OR(INDEX($AW$6:$AW$97,MATCH($BD6,$AV$6:$AV$97,0))="",DB6="-"),DD6,INDEX($AW$6:$AW$97,MATCH($BD6,$AV$6:$AV$97,0))+DD6/1000)</f>
        <v>1</v>
      </c>
      <c r="DG6" s="754">
        <f ca="1">IF(DB6="-","-",COUNTIFS(DF$6:DF$53,"&lt;"&amp;DF6,$BC$6:$BC$53,INDEX(T_Equipos[Grupo],MATCH(BD6,T_Equipos[NombreEquipo],0))))</f>
        <v>0</v>
      </c>
      <c r="DH6" s="754">
        <f ca="1">DA6+COUNTIFS(DB$6:DB$53,DB6,DG$6:DG$53,"&lt;"&amp;DG6,$BC$6:$BC$53,INDEX(T_Equipos[Grupo],MATCH(BD6,T_Equipos[NombreEquipo],0)))</f>
        <v>1</v>
      </c>
      <c r="DI6" s="742"/>
      <c r="DJ6" s="742">
        <f ca="1">INDEX($DA$6:$DA$53,MATCH($DQ6,$BD$6:$BD$53,0))</f>
        <v>1</v>
      </c>
      <c r="DK6" s="742">
        <f t="shared" ref="DK6:DK53" ca="1" si="24">+SUMIF($BC$6:$BC$53,BC6,$BF$6:$BF$53)</f>
        <v>0</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Sudáfrica</v>
      </c>
      <c r="AM7" s="223">
        <f t="shared" ca="1" si="16"/>
        <v>0</v>
      </c>
      <c r="AN7" s="224">
        <f t="shared" ca="1" si="16"/>
        <v>0</v>
      </c>
      <c r="AO7" s="224">
        <f t="shared" ca="1" si="16"/>
        <v>0</v>
      </c>
      <c r="AP7" s="224">
        <f t="shared" ca="1" si="16"/>
        <v>0</v>
      </c>
      <c r="AQ7" s="224">
        <f t="shared" ca="1" si="16"/>
        <v>0</v>
      </c>
      <c r="AR7" s="224">
        <f t="shared" ca="1" si="16"/>
        <v>0</v>
      </c>
      <c r="AS7" s="224">
        <f t="shared" ca="1" si="16"/>
        <v>0</v>
      </c>
      <c r="AT7" s="225">
        <f t="shared" ca="1" si="16"/>
        <v>0</v>
      </c>
      <c r="AU7" s="420">
        <f ca="1">INDEX($DL$6:$DL$53,MATCH(AI7,$DP$6:$DP$53,0))</f>
        <v>1</v>
      </c>
      <c r="AV7" s="217" t="str">
        <f ca="1">INDEX($BD$6:$BD$53,MATCH(AI7,$BM$6:$BM$53,0))</f>
        <v>Sudáfrica</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0</v>
      </c>
      <c r="BG7" s="746">
        <f t="shared" ca="1" si="17"/>
        <v>0</v>
      </c>
      <c r="BH7" s="746">
        <f t="shared" ca="1" si="18"/>
        <v>0</v>
      </c>
      <c r="BI7" s="746">
        <f t="shared" ca="1" si="19"/>
        <v>0</v>
      </c>
      <c r="BJ7" s="746">
        <f t="shared" ca="1" si="20"/>
        <v>0</v>
      </c>
      <c r="BK7" s="746">
        <f t="shared" ca="1" si="21"/>
        <v>0</v>
      </c>
      <c r="BL7" s="746">
        <f t="shared" ref="BL7:BL53" ca="1" si="27">+BJ7-BK7</f>
        <v>0</v>
      </c>
      <c r="BM7" s="746" t="str">
        <f t="shared" ca="1" si="22"/>
        <v>2A</v>
      </c>
      <c r="BN7" s="746" t="str">
        <f t="shared" ca="1" si="23"/>
        <v>2A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1</v>
      </c>
      <c r="BT7" s="755" t="str">
        <f ca="1">IF(COUNTIFS($BS$6:$BS$53,BS7,$BC$6:$BC$53,INDEX(T_Equipos[Grupo],MATCH(BD7,T_Equipos[NombreEquipo],0)))=1,"-","P."&amp;BS7&amp;" ("&amp;COUNTIFS($BS$6:$BS$53,BS7,$BC$6:$BC$53,INDEX(T_Equipos[Grupo],MATCH(BD7,T_Equipos[NombreEquipo],0)))&amp;")")</f>
        <v>P.1 (4)</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1</v>
      </c>
      <c r="BZ7" s="755" t="str">
        <f ca="1">IF(COUNTIFS($BY$6:$BY$53,BY7,$BC$6:$BC$53,INDEX(T_Equipos[Grupo],MATCH(BD7,T_Equipos[NombreEquipo],0)))=1,"-","P."&amp;BY7&amp;" ("&amp;COUNTIFS($BY$6:$BY$53,BY7,$BC$6:$BC$53,INDEX(T_Equipos[Grupo],MATCH(BD7,T_Equipos[NombreEquipo],0)))&amp;")")</f>
        <v>P.1 (4)</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1</v>
      </c>
      <c r="CE7" s="755" t="str">
        <f ca="1">IF(COUNTIFS($CD$6:$CD$53,CD7,$BC$6:$BC$53,INDEX(T_Equipos[Grupo],MATCH(BD7,T_Equipos[NombreEquipo],0)))=1,"-","P."&amp;CD7&amp;" ("&amp;COUNTIFS($CD$6:$CD$53,CD7,$BC$6:$BC$53,INDEX(T_Equipos[Grupo],MATCH(BD7,T_Equipos[NombreEquipo],0)))&amp;")")</f>
        <v>P.1 (4)</v>
      </c>
      <c r="CF7" s="756">
        <f ca="1">IF($CE7="-","-",SUMIFS(FG_GolesLocal,FGLocal,$BD7,Part1Empate3V,$CE7)+SUMIFS(FG_GolesVisitante,FGVisitante,$BD7,Part1Empate3L,$CE7))</f>
        <v>0</v>
      </c>
      <c r="CG7" s="756">
        <f ca="1">CD7+COUNTIFS($CE$6:$CE$53,CE7,$CF$6:CF$53,"&gt;"&amp;CF7,$BC$6:$BC$53,INDEX(T_Equipos[Grupo],MATCH(BD7,T_Equipos[NombreEquipo],0)))</f>
        <v>1</v>
      </c>
      <c r="CH7" s="755" t="str">
        <f ca="1">IF(COUNTIFS($CG$6:$CG$53,CG7,$BC$6:$BC$53,INDEX(T_Equipos[Grupo],MATCH(BD7,T_Equipos[NombreEquipo],0)))=1,"-","P."&amp;CG7&amp;" ("&amp;COUNTIFS($CG$6:$CG$53,CG7,$BC$6:$BC$53,INDEX(T_Equipos[Grupo],MATCH(BD7,T_Equipos[NombreEquipo],0)))&amp;")")</f>
        <v>P.1 (4)</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1</v>
      </c>
      <c r="CN7" s="755" t="str">
        <f ca="1">IF(COUNTIFS($CM$6:$CM$53,CM7,$BC$6:$BC$53,INDEX(T_Equipos[Grupo],MATCH(BD7,T_Equipos[NombreEquipo],0)))=1,"-","P."&amp;CM7&amp;" ("&amp;COUNTIFS($CM$6:$CM$53,CM7,$BC$6:$BC$53,INDEX(T_Equipos[Grupo],MATCH(BD7,T_Equipos[NombreEquipo],0)))&amp;")")</f>
        <v>P.1 (4)</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1</v>
      </c>
      <c r="CS7" s="755" t="str">
        <f ca="1">IF(COUNTIFS($CR$6:$CR$53,CR7,$BC$6:$BC$53,INDEX(T_Equipos[Grupo],MATCH(BD7,T_Equipos[NombreEquipo],0)))=1,"-","P."&amp;CR7&amp;" ("&amp;COUNTIFS($CR$6:$CR$53,CR7,$BC$6:$BC$53,INDEX(T_Equipos[Grupo],MATCH(BD7,T_Equipos[NombreEquipo],0)))&amp;")")</f>
        <v>P.1 (4)</v>
      </c>
      <c r="CT7" s="756">
        <f ca="1">IF($CS7="-","-",SUMIFS(FG_GolesLocal,FGLocal,$BD7,Part2Empate6V,$CS7)+SUMIFS(FG_GolesVisitante,FGVisitante,$BD7,Part2Empate6L,$CS7))</f>
        <v>0</v>
      </c>
      <c r="CU7" s="756">
        <f ca="1">CR7+COUNTIFS($CS$6:$CS$53,CS7,$CT$6:CT$53,"&gt;"&amp;CT7,$BC$6:$BC$53,INDEX(T_Equipos[Grupo],MATCH(BD7,T_Equipos[NombreEquipo],0)))</f>
        <v>1</v>
      </c>
      <c r="CV7" s="755" t="str">
        <f ca="1">IF(COUNTIFS($CU$6:$CU$53,CU7,$BC$6:$BC$53,INDEX(T_Equipos[Grupo],MATCH(BD7,T_Equipos[NombreEquipo],0)))=1,"-","P."&amp;CU7&amp;" ("&amp;COUNTIFS($CU$6:$CU$53,CU7,$BC$6:$BC$53,INDEX(T_Equipos[Grupo],MATCH(BD7,T_Equipos[NombreEquipo],0)))&amp;")")</f>
        <v>P.1 (4)</v>
      </c>
      <c r="CW7" s="755">
        <f t="shared" ref="CW7:CW53" ca="1" si="30">IF(CV7="-","-",BL7)</f>
        <v>0</v>
      </c>
      <c r="CX7" s="755">
        <f ca="1">CU7+COUNTIFS($CV$6:$CV$53,CV7,$CW$6:CW$53,"&gt;"&amp;CW7,$BC$6:$BC$53,INDEX(T_Equipos[Grupo],MATCH(BD7,T_Equipos[NombreEquipo],0)))</f>
        <v>1</v>
      </c>
      <c r="CY7" s="755" t="str">
        <f ca="1">IF(COUNTIFS($CX$6:$CX$53,CX7,$BC$6:$BC$53,INDEX(T_Equipos[Grupo],MATCH(BD7,T_Equipos[NombreEquipo],0)))=1,"-","P."&amp;CX7&amp;" ("&amp;COUNTIFS($CX$6:$CX$53,CX7,$BC$6:$BC$53,INDEX(T_Equipos[Grupo],MATCH(BD7,T_Equipos[NombreEquipo],0)))&amp;")")</f>
        <v>P.1 (4)</v>
      </c>
      <c r="CZ7" s="755">
        <f t="shared" ref="CZ7:CZ53" ca="1" si="31">IF(CY7="-","-",BJ7)</f>
        <v>0</v>
      </c>
      <c r="DA7" s="756">
        <f ca="1">CX7+COUNTIFS($CY$6:$CY$53,CY7,$CZ$6:CZ$53,"&gt;"&amp;CZ7,$BC$6:$BC$53,INDEX(T_Equipos[Grupo],MATCH(BD7,T_Equipos[NombreEquipo],0)))</f>
        <v>1</v>
      </c>
      <c r="DB7" s="755" t="str">
        <f ca="1">IF(COUNTIFS($DA$6:$DA$53,DA7,$BC$6:$BC$53,INDEX(T_Equipos[Grupo],MATCH(BD7,T_Equipos[NombreEquipo],0)))=1,"-","P."&amp;DA7&amp;" ("&amp;COUNTIFS($DA$6:$DA$53,DA7,$BC$6:$BC$53,INDEX(T_Equipos[Grupo],MATCH(BD7,T_Equipos[NombreEquipo],0)))&amp;")")</f>
        <v>P.1 (4)</v>
      </c>
      <c r="DC7" s="754">
        <f ca="1">IF(DB7="-","-",COUNTIFS(T_Equipos[Rank],"&lt;"&amp;INDEX(T_Equipos[Rank],MATCH(BD7,T_Equipos[NombreEquipo],0)),$BC$6:$BC$53,INDEX(T_Equipos[Grupo],MATCH(BD7,T_Equipos[NombreEquipo],0)))+1)</f>
        <v>2</v>
      </c>
      <c r="DD7" s="754">
        <f ca="1">DA7+COUNTIFS($DB$6:$DB$53,DB7,$DC$6:DC$53,"&lt;"&amp;DC7,$BC$6:$BC$53,INDEX(T_Equipos[Grupo],MATCH(BD7,T_Equipos[NombreEquipo],0)))</f>
        <v>2</v>
      </c>
      <c r="DE7" s="754"/>
      <c r="DF7" s="754">
        <f t="shared" ref="DF7:DF9" ca="1" si="32">IF(OR(INDEX($AW$6:$AW$97,MATCH($BD7,$AV$6:$AV$97,0))="",DB7="-"),DD7,INDEX($AW$6:$AW$97,MATCH($BD7,$AV$6:$AV$97,0))+DD7/1000)</f>
        <v>2</v>
      </c>
      <c r="DG7" s="754">
        <f ca="1">IF(DB7="-","-",COUNTIFS(DF$6:DF$53,"&lt;"&amp;DF7,$BC$6:$BC$53,INDEX(T_Equipos[Grupo],MATCH(BD7,T_Equipos[NombreEquipo],0))))</f>
        <v>1</v>
      </c>
      <c r="DH7" s="754">
        <f ca="1">DA7+COUNTIFS(DB$6:DB$53,DB7,DG$6:DG$53,"&lt;"&amp;DG7,$BC$6:$BC$53,INDEX(T_Equipos[Grupo],MATCH(BD7,T_Equipos[NombreEquipo],0)))</f>
        <v>2</v>
      </c>
      <c r="DI7" s="742"/>
      <c r="DJ7" s="742">
        <f ca="1">INDEX($DA$6:$DA$53,MATCH($DQ7,$BD$6:$BD$53,0))</f>
        <v>1</v>
      </c>
      <c r="DK7" s="742">
        <f t="shared" ca="1" si="24"/>
        <v>0</v>
      </c>
      <c r="DL7" s="742">
        <f t="shared" ref="DL7:DL53" ca="1" si="33">IF(OR(DK7=12,$AJ$99=144),COUNTIFS($DJ$6:$DJ$53,DJ7,$BC$6:$BC$53,BC7),1)</f>
        <v>1</v>
      </c>
      <c r="DM7" s="736" t="str">
        <f t="shared" ref="DM7:DM53" ca="1" si="34">DJ7&amp;"."&amp;DL7</f>
        <v>1.1</v>
      </c>
      <c r="DN7" s="742" cm="1">
        <f t="array" aca="1" ref="DN7" ca="1">OFFSET(Horarios!$P$3,DJ7-1,0,DL7,1)</f>
        <v>1</v>
      </c>
      <c r="DO7" s="742"/>
      <c r="DP7" s="742" t="s">
        <v>646</v>
      </c>
      <c r="DQ7" s="742" t="str">
        <f t="shared" ref="DQ7:DQ53" ca="1" si="35">INDEX($BD$6:$BD$53,MATCH(DP7,$BM$6:$BM$53,0))</f>
        <v>Sudáfrica</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Corea del Sur</v>
      </c>
      <c r="AM8" s="223">
        <f t="shared" ca="1" si="16"/>
        <v>0</v>
      </c>
      <c r="AN8" s="224">
        <f t="shared" ca="1" si="16"/>
        <v>0</v>
      </c>
      <c r="AO8" s="224">
        <f t="shared" ca="1" si="16"/>
        <v>0</v>
      </c>
      <c r="AP8" s="224">
        <f t="shared" ca="1" si="16"/>
        <v>0</v>
      </c>
      <c r="AQ8" s="224">
        <f t="shared" ca="1" si="16"/>
        <v>0</v>
      </c>
      <c r="AR8" s="224">
        <f t="shared" ca="1" si="16"/>
        <v>0</v>
      </c>
      <c r="AS8" s="224">
        <f t="shared" ca="1" si="16"/>
        <v>0</v>
      </c>
      <c r="AT8" s="225">
        <f t="shared" ca="1" si="16"/>
        <v>0</v>
      </c>
      <c r="AU8" s="420">
        <f ca="1">INDEX($DL$6:$DL$53,MATCH(AI8,$DP$6:$DP$53,0))</f>
        <v>1</v>
      </c>
      <c r="AV8" s="217" t="str">
        <f ca="1">INDEX($BD$6:$BD$53,MATCH(AI8,$BM$6:$BM$53,0))</f>
        <v>Corea del Sur</v>
      </c>
      <c r="AW8" s="427"/>
      <c r="AX8" s="218"/>
      <c r="AY8" s="219" t="str">
        <f ca="1">+A7</f>
        <v>Corea del Sur</v>
      </c>
      <c r="AZ8" s="220"/>
      <c r="BA8" s="175"/>
      <c r="BB8" s="742"/>
      <c r="BC8" s="754" t="str">
        <f ca="1">+INDEX(T_Equipos[Grupo],MATCH(WORLDCUP!BD8,T_Equipos[NombreEquipo],0))</f>
        <v>A</v>
      </c>
      <c r="BD8" s="742" t="str">
        <f ca="1">+Equipos!B4</f>
        <v>Corea del Sur</v>
      </c>
      <c r="BE8" s="746">
        <f t="shared" ca="1" si="25"/>
        <v>0</v>
      </c>
      <c r="BF8" s="746">
        <f t="shared" ca="1" si="26"/>
        <v>0</v>
      </c>
      <c r="BG8" s="746">
        <f t="shared" ca="1" si="17"/>
        <v>0</v>
      </c>
      <c r="BH8" s="746">
        <f t="shared" ca="1" si="18"/>
        <v>0</v>
      </c>
      <c r="BI8" s="746">
        <f t="shared" ca="1" si="19"/>
        <v>0</v>
      </c>
      <c r="BJ8" s="746">
        <f t="shared" ca="1" si="20"/>
        <v>0</v>
      </c>
      <c r="BK8" s="746">
        <f t="shared" ca="1" si="21"/>
        <v>0</v>
      </c>
      <c r="BL8" s="746">
        <f t="shared" ca="1" si="27"/>
        <v>0</v>
      </c>
      <c r="BM8" s="746" t="str">
        <f t="shared" ca="1" si="22"/>
        <v>3A</v>
      </c>
      <c r="BN8" s="746" t="str">
        <f t="shared" ca="1" si="23"/>
        <v>3A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0</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(4)</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(4)</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(4)</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(4)</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(4)</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(4)</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(4)</v>
      </c>
      <c r="CW8" s="755">
        <f t="shared" ca="1" si="30"/>
        <v>0</v>
      </c>
      <c r="CX8" s="755">
        <f ca="1">CU8+COUNTIFS($CV$6:$CV$53,CV8,$CW$6:CW$53,"&gt;"&amp;CW8,$BC$6:$BC$53,INDEX(T_Equipos[Grupo],MATCH(BD8,T_Equipos[NombreEquipo],0)))</f>
        <v>1</v>
      </c>
      <c r="CY8" s="755" t="str">
        <f ca="1">IF(COUNTIFS($CX$6:$CX$53,CX8,$BC$6:$BC$53,INDEX(T_Equipos[Grupo],MATCH(BD8,T_Equipos[NombreEquipo],0)))=1,"-","P."&amp;CX8&amp;" ("&amp;COUNTIFS($CX$6:$CX$53,CX8,$BC$6:$BC$53,INDEX(T_Equipos[Grupo],MATCH(BD8,T_Equipos[NombreEquipo],0)))&amp;")")</f>
        <v>P.1 (4)</v>
      </c>
      <c r="CZ8" s="755">
        <f t="shared" ca="1" si="31"/>
        <v>0</v>
      </c>
      <c r="DA8" s="756">
        <f ca="1">CX8+COUNTIFS($CY$6:$CY$53,CY8,$CZ$6:CZ$53,"&gt;"&amp;CZ8,$BC$6:$BC$53,INDEX(T_Equipos[Grupo],MATCH(BD8,T_Equipos[NombreEquipo],0)))</f>
        <v>1</v>
      </c>
      <c r="DB8" s="755" t="str">
        <f ca="1">IF(COUNTIFS($DA$6:$DA$53,DA8,$BC$6:$BC$53,INDEX(T_Equipos[Grupo],MATCH(BD8,T_Equipos[NombreEquipo],0)))=1,"-","P."&amp;DA8&amp;" ("&amp;COUNTIFS($DA$6:$DA$53,DA8,$BC$6:$BC$53,INDEX(T_Equipos[Grupo],MATCH(BD8,T_Equipos[NombreEquipo],0)))&amp;")")</f>
        <v>P.1 (4)</v>
      </c>
      <c r="DC8" s="754">
        <f ca="1">IF(DB8="-","-",COUNTIFS(T_Equipos[Rank],"&lt;"&amp;INDEX(T_Equipos[Rank],MATCH(BD8,T_Equipos[NombreEquipo],0)),$BC$6:$BC$53,INDEX(T_Equipos[Grupo],MATCH(BD8,T_Equipos[NombreEquipo],0)))+1)</f>
        <v>3</v>
      </c>
      <c r="DD8" s="754">
        <f ca="1">DA8+COUNTIFS($DB$6:$DB$53,DB8,$DC$6:DC$53,"&lt;"&amp;DC8,$BC$6:$BC$53,INDEX(T_Equipos[Grupo],MATCH(BD8,T_Equipos[NombreEquipo],0)))</f>
        <v>3</v>
      </c>
      <c r="DE8" s="754"/>
      <c r="DF8" s="754">
        <f t="shared" ca="1" si="32"/>
        <v>3</v>
      </c>
      <c r="DG8" s="754">
        <f ca="1">IF(DB8="-","-",COUNTIFS(DF$6:DF$53,"&lt;"&amp;DF8,$BC$6:$BC$53,INDEX(T_Equipos[Grupo],MATCH(BD8,T_Equipos[NombreEquipo],0))))</f>
        <v>2</v>
      </c>
      <c r="DH8" s="754">
        <f ca="1">DA8+COUNTIFS(DB$6:DB$53,DB8,DG$6:DG$53,"&lt;"&amp;DG8,$BC$6:$BC$53,INDEX(T_Equipos[Grupo],MATCH(BD8,T_Equipos[NombreEquipo],0)))</f>
        <v>3</v>
      </c>
      <c r="DI8" s="742"/>
      <c r="DJ8" s="742">
        <f ca="1">INDEX($DA$6:$DA$53,MATCH($DQ8,$BD$6:$BD$53,0))</f>
        <v>1</v>
      </c>
      <c r="DK8" s="742">
        <f t="shared" ca="1" si="24"/>
        <v>0</v>
      </c>
      <c r="DL8" s="742">
        <f t="shared" ca="1" si="33"/>
        <v>1</v>
      </c>
      <c r="DM8" s="736" t="str">
        <f t="shared" ca="1" si="34"/>
        <v>1.1</v>
      </c>
      <c r="DN8" s="742" cm="1">
        <f t="array" aca="1" ref="DN8" ca="1">OFFSET(Horarios!$P$3,DJ8-1,0,DL8,1)</f>
        <v>1</v>
      </c>
      <c r="DO8" s="742"/>
      <c r="DP8" s="742" t="s">
        <v>89</v>
      </c>
      <c r="DQ8" s="742" t="str">
        <f t="shared" ca="1" si="35"/>
        <v>Corea del Sur</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República Checa</v>
      </c>
      <c r="AM9" s="237">
        <f t="shared" ca="1" si="16"/>
        <v>0</v>
      </c>
      <c r="AN9" s="238">
        <f t="shared" ca="1" si="16"/>
        <v>0</v>
      </c>
      <c r="AO9" s="238">
        <f t="shared" ca="1" si="16"/>
        <v>0</v>
      </c>
      <c r="AP9" s="238">
        <f t="shared" ca="1" si="16"/>
        <v>0</v>
      </c>
      <c r="AQ9" s="238">
        <f t="shared" ca="1" si="16"/>
        <v>0</v>
      </c>
      <c r="AR9" s="238">
        <f t="shared" ca="1" si="16"/>
        <v>0</v>
      </c>
      <c r="AS9" s="238">
        <f t="shared" ca="1" si="16"/>
        <v>0</v>
      </c>
      <c r="AT9" s="239">
        <f t="shared" ca="1" si="16"/>
        <v>0</v>
      </c>
      <c r="AU9" s="420">
        <f ca="1">INDEX($DL$6:$DL$53,MATCH(AI9,$DP$6:$DP$53,0))</f>
        <v>1</v>
      </c>
      <c r="AV9" s="217" t="str">
        <f ca="1">INDEX($BD$6:$BD$53,MATCH(AI9,$BM$6:$BM$53,0))</f>
        <v>República Checa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0</v>
      </c>
      <c r="BG9" s="746">
        <f t="shared" ca="1" si="17"/>
        <v>0</v>
      </c>
      <c r="BH9" s="746">
        <f t="shared" ca="1" si="18"/>
        <v>0</v>
      </c>
      <c r="BI9" s="746">
        <f t="shared" ca="1" si="19"/>
        <v>0</v>
      </c>
      <c r="BJ9" s="746">
        <f t="shared" ca="1" si="20"/>
        <v>0</v>
      </c>
      <c r="BK9" s="746">
        <f t="shared" ca="1" si="21"/>
        <v>0</v>
      </c>
      <c r="BL9" s="746">
        <f t="shared" ca="1" si="27"/>
        <v>0</v>
      </c>
      <c r="BM9" s="746" t="str">
        <f t="shared" ca="1" si="22"/>
        <v>4A</v>
      </c>
      <c r="BN9" s="746" t="str">
        <f t="shared" ca="1" si="23"/>
        <v>4A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1</v>
      </c>
      <c r="BT9" s="755" t="str">
        <f ca="1">IF(COUNTIFS($BS$6:$BS$53,BS9,$BC$6:$BC$53,INDEX(T_Equipos[Grupo],MATCH(BD9,T_Equipos[NombreEquipo],0)))=1,"-","P."&amp;BS9&amp;" ("&amp;COUNTIFS($BS$6:$BS$53,BS9,$BC$6:$BC$53,INDEX(T_Equipos[Grupo],MATCH(BD9,T_Equipos[NombreEquipo],0)))&amp;")")</f>
        <v>P.1 (4)</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1</v>
      </c>
      <c r="BZ9" s="755" t="str">
        <f ca="1">IF(COUNTIFS($BY$6:$BY$53,BY9,$BC$6:$BC$53,INDEX(T_Equipos[Grupo],MATCH(BD9,T_Equipos[NombreEquipo],0)))=1,"-","P."&amp;BY9&amp;" ("&amp;COUNTIFS($BY$6:$BY$53,BY9,$BC$6:$BC$53,INDEX(T_Equipos[Grupo],MATCH(BD9,T_Equipos[NombreEquipo],0)))&amp;")")</f>
        <v>P.1 (4)</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1</v>
      </c>
      <c r="CE9" s="755" t="str">
        <f ca="1">IF(COUNTIFS($CD$6:$CD$53,CD9,$BC$6:$BC$53,INDEX(T_Equipos[Grupo],MATCH(BD9,T_Equipos[NombreEquipo],0)))=1,"-","P."&amp;CD9&amp;" ("&amp;COUNTIFS($CD$6:$CD$53,CD9,$BC$6:$BC$53,INDEX(T_Equipos[Grupo],MATCH(BD9,T_Equipos[NombreEquipo],0)))&amp;")")</f>
        <v>P.1 (4)</v>
      </c>
      <c r="CF9" s="756">
        <f ca="1">IF($CE9="-","-",SUMIFS(FG_GolesLocal,FGLocal,$BD9,Part1Empate3V,$CE9)+SUMIFS(FG_GolesVisitante,FGVisitante,$BD9,Part1Empate3L,$CE9))</f>
        <v>0</v>
      </c>
      <c r="CG9" s="756">
        <f ca="1">CD9+COUNTIFS($CE$6:$CE$53,CE9,$CF$6:CF$53,"&gt;"&amp;CF9,$BC$6:$BC$53,INDEX(T_Equipos[Grupo],MATCH(BD9,T_Equipos[NombreEquipo],0)))</f>
        <v>1</v>
      </c>
      <c r="CH9" s="755" t="str">
        <f ca="1">IF(COUNTIFS($CG$6:$CG$53,CG9,$BC$6:$BC$53,INDEX(T_Equipos[Grupo],MATCH(BD9,T_Equipos[NombreEquipo],0)))=1,"-","P."&amp;CG9&amp;" ("&amp;COUNTIFS($CG$6:$CG$53,CG9,$BC$6:$BC$53,INDEX(T_Equipos[Grupo],MATCH(BD9,T_Equipos[NombreEquipo],0)))&amp;")")</f>
        <v>P.1 (4)</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1</v>
      </c>
      <c r="CN9" s="755" t="str">
        <f ca="1">IF(COUNTIFS($CM$6:$CM$53,CM9,$BC$6:$BC$53,INDEX(T_Equipos[Grupo],MATCH(BD9,T_Equipos[NombreEquipo],0)))=1,"-","P."&amp;CM9&amp;" ("&amp;COUNTIFS($CM$6:$CM$53,CM9,$BC$6:$BC$53,INDEX(T_Equipos[Grupo],MATCH(BD9,T_Equipos[NombreEquipo],0)))&amp;")")</f>
        <v>P.1 (4)</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1</v>
      </c>
      <c r="CS9" s="755" t="str">
        <f ca="1">IF(COUNTIFS($CR$6:$CR$53,CR9,$BC$6:$BC$53,INDEX(T_Equipos[Grupo],MATCH(BD9,T_Equipos[NombreEquipo],0)))=1,"-","P."&amp;CR9&amp;" ("&amp;COUNTIFS($CR$6:$CR$53,CR9,$BC$6:$BC$53,INDEX(T_Equipos[Grupo],MATCH(BD9,T_Equipos[NombreEquipo],0)))&amp;")")</f>
        <v>P.1 (4)</v>
      </c>
      <c r="CT9" s="756">
        <f ca="1">IF($CS9="-","-",SUMIFS(FG_GolesLocal,FGLocal,$BD9,Part2Empate6V,$CS9)+SUMIFS(FG_GolesVisitante,FGVisitante,$BD9,Part2Empate6L,$CS9))</f>
        <v>0</v>
      </c>
      <c r="CU9" s="756">
        <f ca="1">CR9+COUNTIFS($CS$6:$CS$53,CS9,$CT$6:CT$53,"&gt;"&amp;CT9,$BC$6:$BC$53,INDEX(T_Equipos[Grupo],MATCH(BD9,T_Equipos[NombreEquipo],0)))</f>
        <v>1</v>
      </c>
      <c r="CV9" s="755" t="str">
        <f ca="1">IF(COUNTIFS($CU$6:$CU$53,CU9,$BC$6:$BC$53,INDEX(T_Equipos[Grupo],MATCH(BD9,T_Equipos[NombreEquipo],0)))=1,"-","P."&amp;CU9&amp;" ("&amp;COUNTIFS($CU$6:$CU$53,CU9,$BC$6:$BC$53,INDEX(T_Equipos[Grupo],MATCH(BD9,T_Equipos[NombreEquipo],0)))&amp;")")</f>
        <v>P.1 (4)</v>
      </c>
      <c r="CW9" s="755">
        <f t="shared" ca="1" si="30"/>
        <v>0</v>
      </c>
      <c r="CX9" s="755">
        <f ca="1">CU9+COUNTIFS($CV$6:$CV$53,CV9,$CW$6:CW$53,"&gt;"&amp;CW9,$BC$6:$BC$53,INDEX(T_Equipos[Grupo],MATCH(BD9,T_Equipos[NombreEquipo],0)))</f>
        <v>1</v>
      </c>
      <c r="CY9" s="755" t="str">
        <f ca="1">IF(COUNTIFS($CX$6:$CX$53,CX9,$BC$6:$BC$53,INDEX(T_Equipos[Grupo],MATCH(BD9,T_Equipos[NombreEquipo],0)))=1,"-","P."&amp;CX9&amp;" ("&amp;COUNTIFS($CX$6:$CX$53,CX9,$BC$6:$BC$53,INDEX(T_Equipos[Grupo],MATCH(BD9,T_Equipos[NombreEquipo],0)))&amp;")")</f>
        <v>P.1 (4)</v>
      </c>
      <c r="CZ9" s="755">
        <f t="shared" ca="1" si="31"/>
        <v>0</v>
      </c>
      <c r="DA9" s="756">
        <f ca="1">CX9+COUNTIFS($CY$6:$CY$53,CY9,$CZ$6:CZ$53,"&gt;"&amp;CZ9,$BC$6:$BC$53,INDEX(T_Equipos[Grupo],MATCH(BD9,T_Equipos[NombreEquipo],0)))</f>
        <v>1</v>
      </c>
      <c r="DB9" s="755" t="str">
        <f ca="1">IF(COUNTIFS($DA$6:$DA$53,DA9,$BC$6:$BC$53,INDEX(T_Equipos[Grupo],MATCH(BD9,T_Equipos[NombreEquipo],0)))=1,"-","P."&amp;DA9&amp;" ("&amp;COUNTIFS($DA$6:$DA$53,DA9,$BC$6:$BC$53,INDEX(T_Equipos[Grupo],MATCH(BD9,T_Equipos[NombreEquipo],0)))&amp;")")</f>
        <v>P.1 (4)</v>
      </c>
      <c r="DC9" s="754">
        <f ca="1">IF(DB9="-","-",COUNTIFS(T_Equipos[Rank],"&lt;"&amp;INDEX(T_Equipos[Rank],MATCH(BD9,T_Equipos[NombreEquipo],0)),$BC$6:$BC$53,INDEX(T_Equipos[Grupo],MATCH(BD9,T_Equipos[NombreEquipo],0)))+1)</f>
        <v>4</v>
      </c>
      <c r="DD9" s="754">
        <f ca="1">DA9+COUNTIFS($DB$6:$DB$53,DB9,$DC$6:DC$53,"&lt;"&amp;DC9,$BC$6:$BC$53,INDEX(T_Equipos[Grupo],MATCH(BD9,T_Equipos[NombreEquipo],0)))</f>
        <v>4</v>
      </c>
      <c r="DE9" s="754"/>
      <c r="DF9" s="754">
        <f t="shared" ca="1" si="32"/>
        <v>4</v>
      </c>
      <c r="DG9" s="754">
        <f ca="1">IF(DB9="-","-",COUNTIFS(DF$6:DF$53,"&lt;"&amp;DF9,$BC$6:$BC$53,INDEX(T_Equipos[Grupo],MATCH(BD9,T_Equipos[NombreEquipo],0))))</f>
        <v>3</v>
      </c>
      <c r="DH9" s="754">
        <f ca="1">DA9+COUNTIFS(DB$6:DB$53,DB9,DG$6:DG$53,"&lt;"&amp;DG9,$BC$6:$BC$53,INDEX(T_Equipos[Grupo],MATCH(BD9,T_Equipos[NombreEquipo],0)))</f>
        <v>4</v>
      </c>
      <c r="DI9" s="742"/>
      <c r="DJ9" s="742">
        <f ca="1">INDEX($DA$6:$DA$53,MATCH($DQ9,$BD$6:$BD$53,0))</f>
        <v>1</v>
      </c>
      <c r="DK9" s="742">
        <f t="shared" ca="1" si="24"/>
        <v>0</v>
      </c>
      <c r="DL9" s="742">
        <f t="shared" ca="1" si="33"/>
        <v>1</v>
      </c>
      <c r="DM9" s="736" t="str">
        <f t="shared" ca="1" si="34"/>
        <v>1.1</v>
      </c>
      <c r="DN9" s="742" cm="1">
        <f t="array" aca="1" ref="DN9" ca="1">OFFSET(Horarios!$P$3,DJ9-1,0,DL9,1)</f>
        <v>1</v>
      </c>
      <c r="DO9" s="742"/>
      <c r="DP9" s="742" t="s">
        <v>647</v>
      </c>
      <c r="DQ9" s="742" t="str">
        <f t="shared" ca="1" si="35"/>
        <v>República Checa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c r="AD36" s="194"/>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c r="AD37" s="194"/>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c r="AD44" s="194"/>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c r="AD45" s="194"/>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24" t="s">
        <v>6</v>
      </c>
      <c r="X52" s="189">
        <f ca="1">Horarios!C52</f>
        <v>46188.625</v>
      </c>
      <c r="Y52" s="190">
        <f ca="1">Horarios!C52</f>
        <v>46188.625</v>
      </c>
      <c r="Z52" s="191" t="str">
        <f>$Z$4</f>
        <v>J1</v>
      </c>
      <c r="AA52" s="192" t="str">
        <f ca="1">A53</f>
        <v>Bélgica</v>
      </c>
      <c r="AB52" s="478" t="str" cm="1">
        <f t="array" aca="1" ref="AB52" ca="1">Ver_flag_local</f>
        <v/>
      </c>
      <c r="AC52" s="193"/>
      <c r="AD52" s="194"/>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24"/>
      <c r="X53" s="189">
        <f ca="1">Horarios!C53</f>
        <v>46188.875</v>
      </c>
      <c r="Y53" s="190">
        <f ca="1">Horarios!C53</f>
        <v>46188.875</v>
      </c>
      <c r="Z53" s="191" t="str">
        <f>$Z$4</f>
        <v>J1</v>
      </c>
      <c r="AA53" s="192" t="str">
        <f ca="1">A55</f>
        <v>Irán</v>
      </c>
      <c r="AB53" s="478" t="str" cm="1">
        <f t="array" aca="1" ref="AB53" ca="1">Ver_flag_local</f>
        <v/>
      </c>
      <c r="AC53" s="193"/>
      <c r="AD53" s="194"/>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Corea del Sur</v>
      </c>
      <c r="BE58" s="746">
        <f ca="1">CHOOSE($BB$57,
  (BG58*3 + BH58)+IF($AZ$3="No",0,INDEX($AZ$6:$AZ$97,MATCH(BD58,$AY$6:$AY$97,0))),
  (BG58*3 + BH58)+IF($AZ$3="No",0,INDEX($AZ$6:$AZ$97,MATCH(BD58,$AY$6:$AY$97,0))),
  IFERROR((BG58*3 + BH58+IF($AZ$3="No",0,INDEX($AZ$6:$AZ$97,MATCH(BD58,$AY$6:$AY$97,0)))) / BF58, 0)
)</f>
        <v>0</v>
      </c>
      <c r="BF58" s="746">
        <f ca="1">+BG58+BH58+BI58</f>
        <v>0</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0</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0</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0</v>
      </c>
      <c r="BL58" s="746">
        <f ca="1">BJ58-BK58</f>
        <v>0</v>
      </c>
      <c r="BM58" s="746">
        <f ca="1">CB58</f>
        <v>5</v>
      </c>
      <c r="BN58" s="746">
        <f ca="1">CF58</f>
        <v>5</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0</v>
      </c>
      <c r="BV58" s="746">
        <f t="shared" ref="BV58:BV69" ca="1" si="181">BS58+COUNTIFS(BT$58:BT$69,BT58,BU$58:BU$69,"&gt;"&amp;BU58)</f>
        <v>1</v>
      </c>
      <c r="BW58" s="746" t="str">
        <f t="shared" ref="BW58:BW69" ca="1" si="182">IF(COUNTIF(BV$58:BV$69,BV58)=1,"-","Pos. "&amp;BV58&amp;" ("&amp;COUNTIF(BV$58:BV$69,BV58)&amp;")")</f>
        <v>Pos. 1 (12)</v>
      </c>
      <c r="BX58" s="746">
        <f t="shared" ref="BX58:BX69" ca="1" si="183">IF(BW58="-","-",BJ58)</f>
        <v>0</v>
      </c>
      <c r="BY58" s="746">
        <f t="shared" ref="BY58:BY69" ca="1" si="184">BV58+COUNTIFS(BW$58:BW$69,BW58,BX$58:BX$69,"&gt;"&amp;BX58)</f>
        <v>1</v>
      </c>
      <c r="BZ58" s="746" t="str">
        <f t="shared" ref="BZ58:BZ69" ca="1" si="185">IF(COUNTIF(BY$58:BY$69,BY58)=1,"-","Pos. "&amp;BY58&amp;" ("&amp;COUNTIF(BY$58:BY$69,BY58)&amp;")")</f>
        <v>Pos. 1 (12)</v>
      </c>
      <c r="CA58" s="746">
        <f ca="1">IF(BZ58="-","-",COUNTIF($BD$58:$BD$69,"&gt;"&amp;BD58))</f>
        <v>7</v>
      </c>
      <c r="CB58" s="746">
        <f ca="1">BY58+COUNTIFS(BZ$58:BZ$69,BZ58,CA$58:CA$69,"&gt;"&amp;CA58)</f>
        <v>5</v>
      </c>
      <c r="CC58" s="746"/>
      <c r="CD58" s="746">
        <f ca="1">IF(OR(INDEX($AW$102:$AW$113,MATCH($BD58,$AV$102:$AV$113,0))="",BZ58="-"),CB58,INDEX($AW$102:$AW$113,MATCH($BD58,$AV$102:$AV$113,0))+CB58/1000)</f>
        <v>5</v>
      </c>
      <c r="CE58" s="746">
        <f ca="1">IF(BZ58="-","-",COUNTIF(CD$58:CD$69,"&lt;"&amp;CD58))</f>
        <v>4</v>
      </c>
      <c r="CF58" s="746">
        <f ca="1">BY58+COUNTIFS(BZ$58:BZ$69,BZ58,CE$58:CE$69,"&lt;"&amp;CE58)</f>
        <v>5</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(12)</v>
      </c>
      <c r="BX59" s="746">
        <f t="shared" ca="1" si="183"/>
        <v>0</v>
      </c>
      <c r="BY59" s="746">
        <f t="shared" ca="1" si="184"/>
        <v>1</v>
      </c>
      <c r="BZ59" s="746" t="str">
        <f t="shared" ca="1" si="185"/>
        <v>Pos. 1 (12)</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06" t="s">
        <v>437</v>
      </c>
      <c r="X60" s="189">
        <f ca="1">Horarios!C60</f>
        <v>46188.5</v>
      </c>
      <c r="Y60" s="190">
        <f ca="1">Horarios!C60</f>
        <v>46188.5</v>
      </c>
      <c r="Z60" s="191" t="str">
        <f>$Z$4</f>
        <v>J1</v>
      </c>
      <c r="AA60" s="192" t="str">
        <f ca="1">A61</f>
        <v>España</v>
      </c>
      <c r="AB60" s="478" t="str" cm="1">
        <f t="array" aca="1" ref="AB60" ca="1">Ver_flag_local</f>
        <v/>
      </c>
      <c r="AC60" s="193"/>
      <c r="AD60" s="194"/>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8</v>
      </c>
      <c r="BN60" s="746">
        <f t="shared" ca="1" si="195"/>
        <v>8</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(12)</v>
      </c>
      <c r="BX60" s="746">
        <f t="shared" ca="1" si="183"/>
        <v>0</v>
      </c>
      <c r="BY60" s="746">
        <f t="shared" ca="1" si="184"/>
        <v>1</v>
      </c>
      <c r="BZ60" s="746" t="str">
        <f t="shared" ca="1" si="185"/>
        <v>Pos. 1 (12)</v>
      </c>
      <c r="CA60" s="746">
        <f t="shared" ca="1" si="199"/>
        <v>4</v>
      </c>
      <c r="CB60" s="746">
        <f t="shared" ca="1" si="200"/>
        <v>8</v>
      </c>
      <c r="CC60" s="746"/>
      <c r="CD60" s="746">
        <f t="shared" ca="1" si="201"/>
        <v>8</v>
      </c>
      <c r="CE60" s="746">
        <f t="shared" ca="1" si="202"/>
        <v>7</v>
      </c>
      <c r="CF60" s="746">
        <f t="shared" ca="1" si="203"/>
        <v>8</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06"/>
      <c r="X61" s="189">
        <f ca="1">Horarios!C61</f>
        <v>46188.75</v>
      </c>
      <c r="Y61" s="190">
        <f ca="1">Horarios!C61</f>
        <v>46188.75</v>
      </c>
      <c r="Z61" s="191" t="str">
        <f>$Z$4</f>
        <v>J1</v>
      </c>
      <c r="AA61" s="192" t="str">
        <f ca="1">A63</f>
        <v>Arabia Saudita</v>
      </c>
      <c r="AB61" s="478" t="str" cm="1">
        <f t="array" aca="1" ref="AB61" ca="1">Ver_flag_local</f>
        <v/>
      </c>
      <c r="AC61" s="193"/>
      <c r="AD61" s="194"/>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(12)</v>
      </c>
      <c r="BX61" s="746">
        <f t="shared" ca="1" si="183"/>
        <v>0</v>
      </c>
      <c r="BY61" s="746">
        <f t="shared" ca="1" si="184"/>
        <v>1</v>
      </c>
      <c r="BZ61" s="746" t="str">
        <f t="shared" ca="1" si="185"/>
        <v>Pos. 1 (12)</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6</v>
      </c>
      <c r="BN62" s="746">
        <f t="shared" ca="1" si="195"/>
        <v>6</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(12)</v>
      </c>
      <c r="BX62" s="746">
        <f t="shared" ca="1" si="183"/>
        <v>0</v>
      </c>
      <c r="BY62" s="746">
        <f t="shared" ca="1" si="184"/>
        <v>1</v>
      </c>
      <c r="BZ62" s="746" t="str">
        <f t="shared" ca="1" si="185"/>
        <v>Pos. 1 (12)</v>
      </c>
      <c r="CA62" s="746">
        <f t="shared" ca="1" si="199"/>
        <v>6</v>
      </c>
      <c r="CB62" s="746">
        <f t="shared" ca="1" si="200"/>
        <v>6</v>
      </c>
      <c r="CC62" s="746"/>
      <c r="CD62" s="746">
        <f t="shared" ca="1" si="201"/>
        <v>6</v>
      </c>
      <c r="CE62" s="746">
        <f t="shared" ca="1" si="202"/>
        <v>5</v>
      </c>
      <c r="CF62" s="746">
        <f t="shared" ca="1" si="203"/>
        <v>6</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Corea del Sur</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11</v>
      </c>
      <c r="BN63" s="746">
        <f t="shared" ca="1" si="195"/>
        <v>11</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(12)</v>
      </c>
      <c r="BX63" s="746">
        <f t="shared" ca="1" si="183"/>
        <v>0</v>
      </c>
      <c r="BY63" s="746">
        <f t="shared" ca="1" si="184"/>
        <v>1</v>
      </c>
      <c r="BZ63" s="746" t="str">
        <f t="shared" ca="1" si="185"/>
        <v>Pos. 1 (12)</v>
      </c>
      <c r="CA63" s="746">
        <f t="shared" ca="1" si="199"/>
        <v>1</v>
      </c>
      <c r="CB63" s="746">
        <f t="shared" ca="1" si="200"/>
        <v>11</v>
      </c>
      <c r="CC63" s="746"/>
      <c r="CD63" s="746">
        <f t="shared" ca="1" si="201"/>
        <v>11</v>
      </c>
      <c r="CE63" s="746">
        <f t="shared" ca="1" si="202"/>
        <v>10</v>
      </c>
      <c r="CF63" s="746">
        <f t="shared" ca="1" si="203"/>
        <v>11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Costa de Marfil</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10</v>
      </c>
      <c r="BN64" s="746">
        <f t="shared" ca="1" si="195"/>
        <v>10</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(12)</v>
      </c>
      <c r="BX64" s="746">
        <f t="shared" ca="1" si="183"/>
        <v>0</v>
      </c>
      <c r="BY64" s="746">
        <f t="shared" ca="1" si="184"/>
        <v>1</v>
      </c>
      <c r="BZ64" s="746" t="str">
        <f t="shared" ca="1" si="185"/>
        <v>Pos. 1 (12)</v>
      </c>
      <c r="CA64" s="746">
        <f t="shared" ca="1" si="199"/>
        <v>2</v>
      </c>
      <c r="CB64" s="746">
        <f t="shared" ca="1" si="200"/>
        <v>10</v>
      </c>
      <c r="CC64" s="746"/>
      <c r="CD64" s="746">
        <f t="shared" ca="1" si="201"/>
        <v>10</v>
      </c>
      <c r="CE64" s="746">
        <f t="shared" ca="1" si="202"/>
        <v>9</v>
      </c>
      <c r="CF64" s="746">
        <f t="shared" ca="1" si="203"/>
        <v>10</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Ghana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(12)</v>
      </c>
      <c r="BX65" s="746">
        <f t="shared" ca="1" si="183"/>
        <v>0</v>
      </c>
      <c r="BY65" s="746">
        <f t="shared" ca="1" si="184"/>
        <v>1</v>
      </c>
      <c r="BZ65" s="746" t="str">
        <f t="shared" ca="1" si="185"/>
        <v>Pos. 1 (12)</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Haití</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9</v>
      </c>
      <c r="BN66" s="746">
        <f t="shared" ca="1" si="195"/>
        <v>9</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(12)</v>
      </c>
      <c r="BX66" s="746">
        <f t="shared" ca="1" si="183"/>
        <v>0</v>
      </c>
      <c r="BY66" s="746">
        <f t="shared" ca="1" si="184"/>
        <v>1</v>
      </c>
      <c r="BZ66" s="746" t="str">
        <f t="shared" ca="1" si="185"/>
        <v>Pos. 1 (12)</v>
      </c>
      <c r="CA66" s="746">
        <f t="shared" ca="1" si="199"/>
        <v>3</v>
      </c>
      <c r="CB66" s="746">
        <f t="shared" ca="1" si="200"/>
        <v>9</v>
      </c>
      <c r="CC66" s="746"/>
      <c r="CD66" s="746">
        <f t="shared" ca="1" si="201"/>
        <v>9</v>
      </c>
      <c r="CE66" s="746">
        <f t="shared" ca="1" si="202"/>
        <v>8</v>
      </c>
      <c r="CF66" s="746">
        <f t="shared" ca="1" si="203"/>
        <v>9</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Irak</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(12)</v>
      </c>
      <c r="BX67" s="746">
        <f t="shared" ca="1" si="183"/>
        <v>0</v>
      </c>
      <c r="BY67" s="746">
        <f t="shared" ca="1" si="184"/>
        <v>1</v>
      </c>
      <c r="BZ67" s="746" t="str">
        <f t="shared" ca="1" si="185"/>
        <v>Pos. 1 (12)</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Irán</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12" t="s">
        <v>438</v>
      </c>
      <c r="X68" s="189">
        <f ca="1">Horarios!C68</f>
        <v>46189.625</v>
      </c>
      <c r="Y68" s="190">
        <f ca="1">Horarios!C68</f>
        <v>46189.625</v>
      </c>
      <c r="Z68" s="191" t="str">
        <f>$Z$4</f>
        <v>J1</v>
      </c>
      <c r="AA68" s="192" t="str">
        <f ca="1">A69</f>
        <v>Francia</v>
      </c>
      <c r="AB68" s="478" t="str" cm="1">
        <f t="array" aca="1" ref="AB68" ca="1">Ver_flag_local</f>
        <v/>
      </c>
      <c r="AC68" s="193"/>
      <c r="AD68" s="194"/>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12</v>
      </c>
      <c r="BN68" s="746">
        <f t="shared" ca="1" si="195"/>
        <v>12</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(12)</v>
      </c>
      <c r="BX68" s="746">
        <f t="shared" ca="1" si="183"/>
        <v>0</v>
      </c>
      <c r="BY68" s="746">
        <f t="shared" ca="1" si="184"/>
        <v>1</v>
      </c>
      <c r="BZ68" s="746" t="str">
        <f t="shared" ca="1" si="185"/>
        <v>Pos. 1 (12)</v>
      </c>
      <c r="CA68" s="746">
        <f t="shared" ca="1" si="199"/>
        <v>0</v>
      </c>
      <c r="CB68" s="746">
        <f t="shared" ca="1" si="200"/>
        <v>12</v>
      </c>
      <c r="CC68" s="746"/>
      <c r="CD68" s="746">
        <f t="shared" ca="1" si="201"/>
        <v>12</v>
      </c>
      <c r="CE68" s="746">
        <f t="shared" ca="1" si="202"/>
        <v>11</v>
      </c>
      <c r="CF68" s="746">
        <f t="shared" ca="1" si="203"/>
        <v>12</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Suecia</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12"/>
      <c r="X69" s="189">
        <f ca="1">Horarios!C69</f>
        <v>46189.75</v>
      </c>
      <c r="Y69" s="190">
        <f ca="1">Horarios!C69</f>
        <v>46189.75</v>
      </c>
      <c r="Z69" s="191" t="str">
        <f>$Z$4</f>
        <v>J1</v>
      </c>
      <c r="AA69" s="192" t="str">
        <f ca="1">A71</f>
        <v>Irak</v>
      </c>
      <c r="AB69" s="478" t="str" cm="1">
        <f t="array" aca="1" ref="AB69" ca="1">Ver_flag_local</f>
        <v/>
      </c>
      <c r="AC69" s="193"/>
      <c r="AD69" s="194"/>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7</v>
      </c>
      <c r="BN69" s="746">
        <f t="shared" ca="1" si="195"/>
        <v>7</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(12)</v>
      </c>
      <c r="BX69" s="746">
        <f t="shared" ca="1" si="183"/>
        <v>0</v>
      </c>
      <c r="BY69" s="746">
        <f t="shared" ca="1" si="184"/>
        <v>1</v>
      </c>
      <c r="BZ69" s="746" t="str">
        <f t="shared" ca="1" si="185"/>
        <v>Pos. 1 (12)</v>
      </c>
      <c r="CA69" s="746">
        <f t="shared" ca="1" si="199"/>
        <v>5</v>
      </c>
      <c r="CB69" s="746">
        <f ca="1">BY69+COUNTIFS(BZ$58:BZ$69,BZ69,CA$58:CA$69,"&gt;"&amp;CA69)</f>
        <v>7</v>
      </c>
      <c r="CC69" s="746"/>
      <c r="CD69" s="746">
        <f t="shared" ca="1" si="201"/>
        <v>7</v>
      </c>
      <c r="CE69" s="746">
        <f t="shared" ca="1" si="202"/>
        <v>6</v>
      </c>
      <c r="CF69" s="746">
        <f t="shared" ca="1" si="203"/>
        <v>7</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v>
      </c>
      <c r="DK69" s="742"/>
      <c r="DL69" s="742">
        <f t="shared" ca="1" si="204"/>
        <v>1</v>
      </c>
      <c r="DM69" s="736" t="str">
        <f t="shared" ca="1" si="187"/>
        <v>1.1</v>
      </c>
      <c r="DN69" s="742" cm="1">
        <f t="array" aca="1" ref="DN69" ca="1">OFFSET(Horarios!$P$3,DJ69-1,0,DL69,1)</f>
        <v>1</v>
      </c>
      <c r="DO69" s="742"/>
      <c r="DP69" s="742">
        <v>12</v>
      </c>
      <c r="DQ69" s="742" t="str">
        <f t="shared" ca="1" si="205"/>
        <v>Uzbekistán</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08" t="s">
        <v>5</v>
      </c>
      <c r="X76" s="189">
        <f ca="1">Horarios!C76</f>
        <v>46189.875</v>
      </c>
      <c r="Y76" s="190">
        <f ca="1">Horarios!C76</f>
        <v>46189.875</v>
      </c>
      <c r="Z76" s="191" t="str">
        <f>$Z$4</f>
        <v>J1</v>
      </c>
      <c r="AA76" s="192" t="str">
        <f ca="1">A77</f>
        <v>Argentina</v>
      </c>
      <c r="AB76" s="478" t="str" cm="1">
        <f t="array" aca="1" ref="AB76" ca="1">Ver_flag_local</f>
        <v/>
      </c>
      <c r="AC76" s="193"/>
      <c r="AD76" s="194"/>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08"/>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10"/>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0</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Corea del Sur</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Costa de Marfil</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Ghana</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Haití</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Irak</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Irán</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Suecia</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Uzbekistán</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f ca="1">+IFERROR(RANK(AB2,OFFSET($S$2,0,0,1,$D$5*3),0),"-")</f>
        <v>4</v>
      </c>
      <c r="AC1" s="87"/>
      <c r="AD1" s="65"/>
      <c r="AE1" s="87">
        <f ca="1">+IFERROR(RANK(AE2,OFFSET($S$2,0,0,1,$D$5*3),0),"-")</f>
        <v>5</v>
      </c>
      <c r="AF1" s="87"/>
      <c r="AG1" s="65"/>
      <c r="AH1" s="87">
        <f ca="1">+IFERROR(RANK(AH2,OFFSET($S$2,0,0,1,$D$5*3),0),"-")</f>
        <v>6</v>
      </c>
      <c r="AI1" s="87"/>
      <c r="AJ1" s="65"/>
      <c r="AK1" s="87">
        <f ca="1">+IFERROR(RANK(AK2,OFFSET($S$2,0,0,1,$D$5*3),0),"-")</f>
        <v>7</v>
      </c>
      <c r="AL1" s="87"/>
      <c r="AM1" s="65"/>
      <c r="AN1" s="87">
        <f ca="1">+IFERROR(RANK(AN2,OFFSET($S$2,0,0,1,$D$5*3),0),"-")</f>
        <v>8</v>
      </c>
      <c r="AO1" s="87"/>
      <c r="AP1" s="65"/>
      <c r="AQ1" s="87">
        <f ca="1">+IFERROR(RANK(AQ2,OFFSET($S$2,0,0,1,$D$5*3),0),"-")</f>
        <v>9</v>
      </c>
      <c r="AR1" s="87"/>
      <c r="AS1" s="65"/>
      <c r="AT1" s="87">
        <f ca="1">+IFERROR(RANK(AT2,OFFSET($S$2,0,0,1,$D$5*3),0),"-")</f>
        <v>10</v>
      </c>
      <c r="AU1" s="87"/>
      <c r="AV1" s="65"/>
      <c r="AW1" s="87">
        <f ca="1">+IFERROR(RANK(AW2,OFFSET($S$2,0,0,1,$D$5*3),0),"-")</f>
        <v>11</v>
      </c>
      <c r="AX1" s="87"/>
      <c r="AY1" s="65"/>
      <c r="AZ1" s="87">
        <f ca="1">+IFERROR(RANK(AZ2,OFFSET($S$2,0,0,1,$D$5*3),0),"-")</f>
        <v>12</v>
      </c>
      <c r="BA1" s="87"/>
      <c r="BB1" s="65"/>
      <c r="BC1" s="87">
        <f ca="1">+IFERROR(RANK(BC2,OFFSET($S$2,0,0,1,$D$5*3),0),"-")</f>
        <v>13</v>
      </c>
      <c r="BD1" s="87"/>
      <c r="BE1" s="65"/>
      <c r="BF1" s="87">
        <f ca="1">+IFERROR(RANK(BF2,OFFSET($S$2,0,0,1,$D$5*3),0),"-")</f>
        <v>14</v>
      </c>
      <c r="BG1" s="87"/>
      <c r="BH1" s="65"/>
      <c r="BI1" s="87">
        <f ca="1">+IFERROR(RANK(BI2,OFFSET($S$2,0,0,1,$D$5*3),0),"-")</f>
        <v>15</v>
      </c>
      <c r="BJ1" s="87"/>
      <c r="BK1" s="65"/>
      <c r="BL1" s="87">
        <f ca="1">+IFERROR(RANK(BL2,OFFSET($S$2,0,0,1,$D$5*3),0),"-")</f>
        <v>16</v>
      </c>
      <c r="BM1" s="87"/>
      <c r="BN1" s="65"/>
      <c r="BO1" s="87">
        <f ca="1">+IFERROR(RANK(BO2,OFFSET($S$2,0,0,1,$D$5*3),0),"-")</f>
        <v>17</v>
      </c>
      <c r="BP1" s="87"/>
      <c r="BQ1" s="65"/>
      <c r="BR1" s="87">
        <f ca="1">+IFERROR(RANK(BR2,OFFSET($S$2,0,0,1,$D$5*3),0),"-")</f>
        <v>18</v>
      </c>
      <c r="BS1" s="87"/>
      <c r="BT1" s="65"/>
      <c r="BU1" s="87">
        <f ca="1">+IFERROR(RANK(BU2,OFFSET($S$2,0,0,1,$D$5*3),0),"-")</f>
        <v>19</v>
      </c>
      <c r="BV1" s="87"/>
      <c r="BW1" s="65"/>
      <c r="BX1" s="87">
        <f ca="1">+IFERROR(RANK(BX2,OFFSET($S$2,0,0,1,$D$5*3),0),"-")</f>
        <v>20</v>
      </c>
      <c r="BY1" s="87"/>
      <c r="BZ1" s="65"/>
      <c r="CA1" s="87">
        <f ca="1">+IFERROR(RANK(CA2,OFFSET($S$2,0,0,1,$D$5*3),0),"-")</f>
        <v>21</v>
      </c>
      <c r="CB1" s="87"/>
      <c r="CC1" s="65"/>
      <c r="CD1" s="87">
        <f ca="1">+IFERROR(RANK(CD2,OFFSET($S$2,0,0,1,$D$5*3),0),"-")</f>
        <v>22</v>
      </c>
      <c r="CE1" s="87"/>
      <c r="CF1" s="65"/>
      <c r="CG1" s="87">
        <f ca="1">+IFERROR(RANK(CG2,OFFSET($S$2,0,0,1,$D$5*3),0),"-")</f>
        <v>23</v>
      </c>
      <c r="CH1" s="87"/>
      <c r="CI1" s="65"/>
      <c r="CJ1" s="87">
        <f ca="1">+IFERROR(RANK(CJ2,OFFSET($S$2,0,0,1,$D$5*3),0),"-")</f>
        <v>24</v>
      </c>
      <c r="CK1" s="87"/>
      <c r="CL1" s="65"/>
      <c r="CM1" s="87">
        <f ca="1">+IFERROR(RANK(CM2,OFFSET($S$2,0,0,1,$D$5*3),0),"-")</f>
        <v>25</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-1.9E-3</v>
      </c>
      <c r="T2" s="87"/>
      <c r="U2" s="65"/>
      <c r="V2" s="87">
        <f t="shared" ref="V2" ca="1" si="0">V4-(COLUMN()/10000)</f>
        <v>-2.2000000000000001E-3</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1</v>
      </c>
      <c r="Z3" s="87"/>
      <c r="AA3" s="65"/>
      <c r="AB3" s="87">
        <f ca="1">RANK(AB4,OFFSET($S$4,0,0,1,$D$5*3),0)</f>
        <v>1</v>
      </c>
      <c r="AC3" s="87"/>
      <c r="AD3" s="65"/>
      <c r="AE3" s="87">
        <f ca="1">RANK(AE4,OFFSET($S$4,0,0,1,$D$5*3),0)</f>
        <v>1</v>
      </c>
      <c r="AF3" s="87"/>
      <c r="AG3" s="65"/>
      <c r="AH3" s="87">
        <f ca="1">RANK(AH4,OFFSET($S$4,0,0,1,$D$5*3),0)</f>
        <v>1</v>
      </c>
      <c r="AI3" s="87"/>
      <c r="AJ3" s="65"/>
      <c r="AK3" s="87">
        <f ca="1">RANK(AK4,OFFSET($S$4,0,0,1,$D$5*3),0)</f>
        <v>1</v>
      </c>
      <c r="AL3" s="87"/>
      <c r="AM3" s="65"/>
      <c r="AN3" s="87">
        <f ca="1">RANK(AN4,OFFSET($S$4,0,0,1,$D$5*3),0)</f>
        <v>1</v>
      </c>
      <c r="AO3" s="87"/>
      <c r="AP3" s="65"/>
      <c r="AQ3" s="87">
        <f ca="1">RANK(AQ4,OFFSET($S$4,0,0,1,$D$5*3),0)</f>
        <v>1</v>
      </c>
      <c r="AR3" s="87"/>
      <c r="AS3" s="65"/>
      <c r="AT3" s="87">
        <f ca="1">RANK(AT4,OFFSET($S$4,0,0,1,$D$5*3),0)</f>
        <v>1</v>
      </c>
      <c r="AU3" s="87"/>
      <c r="AV3" s="65"/>
      <c r="AW3" s="87">
        <f ca="1">RANK(AW4,OFFSET($S$4,0,0,1,$D$5*3),0)</f>
        <v>1</v>
      </c>
      <c r="AX3" s="87"/>
      <c r="AY3" s="65"/>
      <c r="AZ3" s="87">
        <f ca="1">RANK(AZ4,OFFSET($S$4,0,0,1,$D$5*3),0)</f>
        <v>1</v>
      </c>
      <c r="BA3" s="87"/>
      <c r="BB3" s="65"/>
      <c r="BC3" s="87">
        <f ca="1">RANK(BC4,OFFSET($S$4,0,0,1,$D$5*3),0)</f>
        <v>1</v>
      </c>
      <c r="BD3" s="87"/>
      <c r="BE3" s="65"/>
      <c r="BF3" s="87">
        <f ca="1">RANK(BF4,OFFSET($S$4,0,0,1,$D$5*3),0)</f>
        <v>1</v>
      </c>
      <c r="BG3" s="87"/>
      <c r="BH3" s="65"/>
      <c r="BI3" s="87">
        <f ca="1">RANK(BI4,OFFSET($S$4,0,0,1,$D$5*3),0)</f>
        <v>1</v>
      </c>
      <c r="BJ3" s="87"/>
      <c r="BK3" s="65"/>
      <c r="BL3" s="87">
        <f ca="1">RANK(BL4,OFFSET($S$4,0,0,1,$D$5*3),0)</f>
        <v>1</v>
      </c>
      <c r="BM3" s="87"/>
      <c r="BN3" s="65"/>
      <c r="BO3" s="87">
        <f ca="1">RANK(BO4,OFFSET($S$4,0,0,1,$D$5*3),0)</f>
        <v>1</v>
      </c>
      <c r="BP3" s="87"/>
      <c r="BQ3" s="65"/>
      <c r="BR3" s="87">
        <f ca="1">RANK(BR4,OFFSET($S$4,0,0,1,$D$5*3),0)</f>
        <v>1</v>
      </c>
      <c r="BS3" s="87"/>
      <c r="BT3" s="65"/>
      <c r="BU3" s="87">
        <f ca="1">RANK(BU4,OFFSET($S$4,0,0,1,$D$5*3),0)</f>
        <v>1</v>
      </c>
      <c r="BV3" s="87"/>
      <c r="BW3" s="65"/>
      <c r="BX3" s="87">
        <f ca="1">RANK(BX4,OFFSET($S$4,0,0,1,$D$5*3),0)</f>
        <v>1</v>
      </c>
      <c r="BY3" s="87"/>
      <c r="BZ3" s="65"/>
      <c r="CA3" s="87">
        <f ca="1">RANK(CA4,OFFSET($S$4,0,0,1,$D$5*3),0)</f>
        <v>1</v>
      </c>
      <c r="CB3" s="87"/>
      <c r="CC3" s="65"/>
      <c r="CD3" s="87">
        <f ca="1">RANK(CD4,OFFSET($S$4,0,0,1,$D$5*3),0)</f>
        <v>1</v>
      </c>
      <c r="CE3" s="87"/>
      <c r="CF3" s="65"/>
      <c r="CG3" s="87">
        <f ca="1">RANK(CG4,OFFSET($S$4,0,0,1,$D$5*3),0)</f>
        <v>1</v>
      </c>
      <c r="CH3" s="87"/>
      <c r="CI3" s="65"/>
      <c r="CJ3" s="87">
        <f ca="1">RANK(CJ4,OFFSET($S$4,0,0,1,$D$5*3),0)</f>
        <v>1</v>
      </c>
      <c r="CK3" s="87"/>
      <c r="CL3" s="65"/>
      <c r="CM3" s="87">
        <f ca="1">RANK(CM4,OFFSET($S$4,0,0,1,$D$5*3),0)</f>
        <v>1</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0</v>
      </c>
      <c r="T4" s="68"/>
      <c r="U4" s="65"/>
      <c r="V4" s="67">
        <f ca="1">SUM(W6:W259)/2</f>
        <v>0</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v>
      </c>
      <c r="N6" s="25" t="str">
        <f>IF(OR(WORLDCUP!AC4="",WORLDCUP!AD4=""),"",IF(WORLDCUP!AC4&gt;WORLDCUP!AD4,"1",IF(WORLDCUP!AC4&lt;WORLDCUP!AD4,"2","X")))</f>
        <v/>
      </c>
      <c r="O6" s="25">
        <f>WORLDCUP!AC4</f>
        <v>0</v>
      </c>
      <c r="P6" s="25">
        <f>WORLDCUP!AD4</f>
        <v>0</v>
      </c>
      <c r="Q6" s="25">
        <f>ABS(O6-P6)</f>
        <v>0</v>
      </c>
      <c r="R6" s="49"/>
      <c r="S6" s="72" t="s">
        <v>1941</v>
      </c>
      <c r="T6" s="73">
        <f>IFERROR(IF($M6=S6,($D$8+$D$9+$D$10)*$I6,IF($N6=LEFT(S6,1),($D$8+MAX(0,IF($D$50=1,$D$9*(1-(ABS($Q6-ABS(VALUE(MID(S6,FIND("|",S6)+1,FIND("-",S6)-FIND("|",S6)-1))-VALUE(MID(S6,FIND("-",S6)+1,10)))))*$D$50),$D$9*(1-(IF($N6="X",ABS($O6-VALUE(MID(S6,FIND("|",S6)+1,FIND("-",S6)-FIND("|",S6)-1))),ABS($Q6-ABS(VALUE(MID(S6,FIND("|",S6)+1,FIND("-",S6)-FIND("|",S6)-1))-VALUE(MID(S6,FIND("-",S6)+1,10)))))*$D$50)))))*$I6,0)),0)</f>
        <v>0</v>
      </c>
      <c r="U6" s="111"/>
      <c r="V6" s="72" t="s">
        <v>1950</v>
      </c>
      <c r="W6" s="73">
        <f>IFERROR(IF($M6=V6,($D$8+$D$9+$D$10)*$I6,IF($N6=LEFT(V6,1),($D$8+MAX(0,IF($D$50=1,$D$9*(1-(ABS($Q6-ABS(VALUE(MID(V6,FIND("|",V6)+1,FIND("-",V6)-FIND("|",V6)-1))-VALUE(MID(V6,FIND("-",V6)+1,10)))))*$D$50),$D$9*(1-(IF($N6="X",ABS($O6-VALUE(MID(V6,FIND("|",V6)+1,FIND("-",V6)-FIND("|",V6)-1))),ABS($Q6-ABS(VALUE(MID(V6,FIND("|",V6)+1,FIND("-",V6)-FIND("|",V6)-1))-VALUE(MID(V6,FIND("-",V6)+1,10)))))*$D$50)))))*$I6,0)),0)</f>
        <v>0</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v>
      </c>
      <c r="N7" s="25" t="str">
        <f>IF(OR(WORLDCUP!AC5="",WORLDCUP!AD5=""),"",IF(WORLDCUP!AC5&gt;WORLDCUP!AD5,"1",IF(WORLDCUP!AC5&lt;WORLDCUP!AD5,"2","X")))</f>
        <v/>
      </c>
      <c r="O7" s="25">
        <f>WORLDCUP!AC5</f>
        <v>0</v>
      </c>
      <c r="P7" s="25">
        <f>WORLDCUP!AD5</f>
        <v>0</v>
      </c>
      <c r="Q7" s="25">
        <f>ABS(O7-P7)</f>
        <v>0</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0</v>
      </c>
      <c r="AP7" s="111"/>
      <c r="AQ7" s="72" t="s">
        <v>1944</v>
      </c>
      <c r="AR7" s="73">
        <f t="shared" si="50"/>
        <v>0</v>
      </c>
      <c r="AS7" s="111"/>
      <c r="AT7" s="72" t="s">
        <v>1942</v>
      </c>
      <c r="AU7" s="73">
        <f t="shared" si="50"/>
        <v>0</v>
      </c>
      <c r="AV7" s="111"/>
      <c r="AW7" s="72" t="s">
        <v>1945</v>
      </c>
      <c r="AX7" s="73">
        <f t="shared" si="50"/>
        <v>0</v>
      </c>
      <c r="AY7" s="111"/>
      <c r="AZ7" s="72" t="s">
        <v>1943</v>
      </c>
      <c r="BA7" s="73">
        <f t="shared" si="50"/>
        <v>0</v>
      </c>
      <c r="BB7" s="111"/>
      <c r="BC7" s="72" t="s">
        <v>1954</v>
      </c>
      <c r="BD7" s="73">
        <f t="shared" si="50"/>
        <v>0</v>
      </c>
      <c r="BE7" s="111"/>
      <c r="BF7" s="72" t="s">
        <v>1941</v>
      </c>
      <c r="BG7" s="73">
        <f t="shared" si="50"/>
        <v>0</v>
      </c>
      <c r="BH7" s="111"/>
      <c r="BI7" s="72" t="s">
        <v>1943</v>
      </c>
      <c r="BJ7" s="73">
        <f t="shared" si="50"/>
        <v>0</v>
      </c>
      <c r="BK7" s="111"/>
      <c r="BL7" s="72" t="s">
        <v>1941</v>
      </c>
      <c r="BM7" s="73">
        <f t="shared" si="50"/>
        <v>0</v>
      </c>
      <c r="BN7" s="111"/>
      <c r="BO7" s="72" t="s">
        <v>1948</v>
      </c>
      <c r="BP7" s="73">
        <f t="shared" si="50"/>
        <v>0</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0</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0</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0</v>
      </c>
      <c r="BK8" s="65"/>
      <c r="BL8" s="74" t="s">
        <v>1942</v>
      </c>
      <c r="BM8" s="73">
        <f t="shared" si="50"/>
        <v>0</v>
      </c>
      <c r="BN8" s="65"/>
      <c r="BO8" s="74" t="s">
        <v>1941</v>
      </c>
      <c r="BP8" s="73">
        <f t="shared" si="50"/>
        <v>0</v>
      </c>
      <c r="BQ8" s="65"/>
      <c r="BR8" s="74" t="s">
        <v>1948</v>
      </c>
      <c r="BS8" s="73">
        <f t="shared" si="50"/>
        <v>0</v>
      </c>
      <c r="BT8" s="65"/>
      <c r="BU8" s="74" t="s">
        <v>1942</v>
      </c>
      <c r="BV8" s="73">
        <f t="shared" si="50"/>
        <v>0</v>
      </c>
      <c r="BW8" s="65"/>
      <c r="BX8" s="74" t="s">
        <v>1941</v>
      </c>
      <c r="BY8" s="73">
        <f t="shared" si="50"/>
        <v>0</v>
      </c>
      <c r="BZ8" s="65"/>
      <c r="CA8" s="74" t="s">
        <v>1941</v>
      </c>
      <c r="CB8" s="73">
        <f t="shared" si="50"/>
        <v>0</v>
      </c>
      <c r="CC8" s="65"/>
      <c r="CD8" s="74" t="s">
        <v>1942</v>
      </c>
      <c r="CE8" s="73">
        <f t="shared" si="50"/>
        <v>0</v>
      </c>
      <c r="CF8" s="65"/>
      <c r="CG8" s="74" t="s">
        <v>1941</v>
      </c>
      <c r="CH8" s="73">
        <f t="shared" si="50"/>
        <v>0</v>
      </c>
      <c r="CI8" s="65"/>
      <c r="CJ8" s="74" t="s">
        <v>1942</v>
      </c>
      <c r="CK8" s="73">
        <f t="shared" si="45"/>
        <v>0</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0</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0</v>
      </c>
      <c r="BQ9" s="65"/>
      <c r="BR9" s="75" t="s">
        <v>1953</v>
      </c>
      <c r="BS9" s="73">
        <f t="shared" si="50"/>
        <v>0</v>
      </c>
      <c r="BT9" s="65"/>
      <c r="BU9" s="75" t="s">
        <v>1952</v>
      </c>
      <c r="BV9" s="73">
        <f t="shared" si="50"/>
        <v>0</v>
      </c>
      <c r="BW9" s="65"/>
      <c r="BX9" s="75" t="s">
        <v>1952</v>
      </c>
      <c r="BY9" s="73">
        <f t="shared" si="50"/>
        <v>0</v>
      </c>
      <c r="BZ9" s="65"/>
      <c r="CA9" s="75" t="s">
        <v>1942</v>
      </c>
      <c r="CB9" s="73">
        <f t="shared" si="50"/>
        <v>0</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1943</v>
      </c>
      <c r="T10" s="73">
        <f t="shared" si="48"/>
        <v>0</v>
      </c>
      <c r="U10" s="65"/>
      <c r="V10" s="74" t="s">
        <v>1947</v>
      </c>
      <c r="W10" s="73">
        <f t="shared" si="49"/>
        <v>0</v>
      </c>
      <c r="X10" s="65"/>
      <c r="Y10" s="74" t="s">
        <v>1942</v>
      </c>
      <c r="Z10" s="73">
        <f t="shared" si="50"/>
        <v>0</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0</v>
      </c>
      <c r="BB10" s="65"/>
      <c r="BC10" s="74" t="s">
        <v>1941</v>
      </c>
      <c r="BD10" s="73">
        <f t="shared" si="50"/>
        <v>0</v>
      </c>
      <c r="BE10" s="65"/>
      <c r="BF10" s="74" t="s">
        <v>1954</v>
      </c>
      <c r="BG10" s="73">
        <f t="shared" si="50"/>
        <v>0</v>
      </c>
      <c r="BH10" s="65"/>
      <c r="BI10" s="74" t="s">
        <v>1942</v>
      </c>
      <c r="BJ10" s="73">
        <f t="shared" si="50"/>
        <v>0</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0</v>
      </c>
      <c r="CF10" s="65"/>
      <c r="CG10" s="74" t="s">
        <v>2522</v>
      </c>
      <c r="CH10" s="73">
        <f t="shared" si="50"/>
        <v>0</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1945</v>
      </c>
      <c r="W11" s="73">
        <f t="shared" si="49"/>
        <v>0</v>
      </c>
      <c r="X11" s="65"/>
      <c r="Y11" s="74" t="s">
        <v>1944</v>
      </c>
      <c r="Z11" s="73">
        <f t="shared" si="50"/>
        <v>0</v>
      </c>
      <c r="AA11" s="65"/>
      <c r="AB11" s="74" t="s">
        <v>1954</v>
      </c>
      <c r="AC11" s="73">
        <f t="shared" si="50"/>
        <v>0</v>
      </c>
      <c r="AD11" s="65"/>
      <c r="AE11" s="74" t="s">
        <v>1945</v>
      </c>
      <c r="AF11" s="73">
        <f t="shared" si="50"/>
        <v>0</v>
      </c>
      <c r="AG11" s="65"/>
      <c r="AH11" s="74" t="s">
        <v>1945</v>
      </c>
      <c r="AI11" s="73">
        <f t="shared" si="50"/>
        <v>0</v>
      </c>
      <c r="AJ11" s="65"/>
      <c r="AK11" s="74" t="s">
        <v>1945</v>
      </c>
      <c r="AL11" s="73">
        <f t="shared" si="50"/>
        <v>0</v>
      </c>
      <c r="AM11" s="65"/>
      <c r="AN11" s="74" t="s">
        <v>2071</v>
      </c>
      <c r="AO11" s="73">
        <f t="shared" si="50"/>
        <v>0</v>
      </c>
      <c r="AP11" s="65"/>
      <c r="AQ11" s="74" t="s">
        <v>1953</v>
      </c>
      <c r="AR11" s="73">
        <f t="shared" si="50"/>
        <v>0</v>
      </c>
      <c r="AS11" s="65"/>
      <c r="AT11" s="74" t="s">
        <v>1945</v>
      </c>
      <c r="AU11" s="73">
        <f t="shared" si="50"/>
        <v>0</v>
      </c>
      <c r="AV11" s="65"/>
      <c r="AW11" s="74" t="s">
        <v>1942</v>
      </c>
      <c r="AX11" s="73">
        <f t="shared" si="50"/>
        <v>0</v>
      </c>
      <c r="AY11" s="65"/>
      <c r="AZ11" s="74" t="s">
        <v>1946</v>
      </c>
      <c r="BA11" s="73">
        <f t="shared" si="50"/>
        <v>0</v>
      </c>
      <c r="BB11" s="65"/>
      <c r="BC11" s="74" t="s">
        <v>1953</v>
      </c>
      <c r="BD11" s="73">
        <f t="shared" si="50"/>
        <v>0</v>
      </c>
      <c r="BE11" s="65"/>
      <c r="BF11" s="74" t="s">
        <v>1945</v>
      </c>
      <c r="BG11" s="73">
        <f t="shared" si="50"/>
        <v>0</v>
      </c>
      <c r="BH11" s="65"/>
      <c r="BI11" s="74" t="s">
        <v>1945</v>
      </c>
      <c r="BJ11" s="73">
        <f t="shared" si="50"/>
        <v>0</v>
      </c>
      <c r="BK11" s="65"/>
      <c r="BL11" s="74" t="s">
        <v>1945</v>
      </c>
      <c r="BM11" s="73">
        <f t="shared" si="50"/>
        <v>0</v>
      </c>
      <c r="BN11" s="65"/>
      <c r="BO11" s="74" t="s">
        <v>1944</v>
      </c>
      <c r="BP11" s="73">
        <f t="shared" si="50"/>
        <v>0</v>
      </c>
      <c r="BQ11" s="65"/>
      <c r="BR11" s="74" t="s">
        <v>1953</v>
      </c>
      <c r="BS11" s="73">
        <f t="shared" si="50"/>
        <v>0</v>
      </c>
      <c r="BT11" s="65"/>
      <c r="BU11" s="74" t="s">
        <v>1945</v>
      </c>
      <c r="BV11" s="73">
        <f t="shared" si="50"/>
        <v>0</v>
      </c>
      <c r="BW11" s="65"/>
      <c r="BX11" s="74" t="s">
        <v>1953</v>
      </c>
      <c r="BY11" s="73">
        <f t="shared" si="50"/>
        <v>0</v>
      </c>
      <c r="BZ11" s="65"/>
      <c r="CA11" s="74" t="s">
        <v>1954</v>
      </c>
      <c r="CB11" s="73">
        <f t="shared" si="50"/>
        <v>0</v>
      </c>
      <c r="CC11" s="65"/>
      <c r="CD11" s="74" t="s">
        <v>1952</v>
      </c>
      <c r="CE11" s="73">
        <f t="shared" si="50"/>
        <v>0</v>
      </c>
      <c r="CF11" s="65"/>
      <c r="CG11" s="74" t="s">
        <v>1943</v>
      </c>
      <c r="CH11" s="73">
        <f t="shared" si="50"/>
        <v>0</v>
      </c>
      <c r="CI11" s="65"/>
      <c r="CJ11" s="74" t="s">
        <v>1942</v>
      </c>
      <c r="CK11" s="73">
        <f t="shared" si="45"/>
        <v>0</v>
      </c>
      <c r="CL11" s="65"/>
      <c r="CM11" s="74" t="s">
        <v>1945</v>
      </c>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1992</v>
      </c>
      <c r="W12" s="73">
        <f t="shared" si="49"/>
        <v>0</v>
      </c>
      <c r="X12" s="65"/>
      <c r="Y12" s="74" t="s">
        <v>1943</v>
      </c>
      <c r="Z12" s="73">
        <f t="shared" si="50"/>
        <v>0</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0</v>
      </c>
      <c r="AV12" s="65"/>
      <c r="AW12" s="74" t="s">
        <v>1948</v>
      </c>
      <c r="AX12" s="73">
        <f t="shared" si="50"/>
        <v>0</v>
      </c>
      <c r="AY12" s="65"/>
      <c r="AZ12" s="74" t="s">
        <v>1948</v>
      </c>
      <c r="BA12" s="73">
        <f t="shared" si="50"/>
        <v>0</v>
      </c>
      <c r="BB12" s="65"/>
      <c r="BC12" s="74" t="s">
        <v>1948</v>
      </c>
      <c r="BD12" s="73">
        <f t="shared" si="50"/>
        <v>0</v>
      </c>
      <c r="BE12" s="65"/>
      <c r="BF12" s="74" t="s">
        <v>1948</v>
      </c>
      <c r="BG12" s="73">
        <f t="shared" si="50"/>
        <v>0</v>
      </c>
      <c r="BH12" s="65"/>
      <c r="BI12" s="74" t="s">
        <v>1944</v>
      </c>
      <c r="BJ12" s="73">
        <f t="shared" si="50"/>
        <v>0</v>
      </c>
      <c r="BK12" s="65"/>
      <c r="BL12" s="74" t="s">
        <v>1943</v>
      </c>
      <c r="BM12" s="73">
        <f t="shared" si="50"/>
        <v>0</v>
      </c>
      <c r="BN12" s="65"/>
      <c r="BO12" s="74" t="s">
        <v>1943</v>
      </c>
      <c r="BP12" s="73">
        <f t="shared" si="50"/>
        <v>0</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0</v>
      </c>
      <c r="CI12" s="65"/>
      <c r="CJ12" s="74" t="s">
        <v>1948</v>
      </c>
      <c r="CK12" s="73">
        <f t="shared" si="45"/>
        <v>0</v>
      </c>
      <c r="CL12" s="65"/>
      <c r="CM12" s="74" t="s">
        <v>1941</v>
      </c>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1944</v>
      </c>
      <c r="T13" s="73">
        <f t="shared" si="48"/>
        <v>0</v>
      </c>
      <c r="U13" s="65"/>
      <c r="V13" s="74" t="s">
        <v>1948</v>
      </c>
      <c r="W13" s="73">
        <f t="shared" si="49"/>
        <v>0</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0</v>
      </c>
      <c r="BQ13" s="65"/>
      <c r="BR13" s="74" t="s">
        <v>1945</v>
      </c>
      <c r="BS13" s="73">
        <f t="shared" si="50"/>
        <v>0</v>
      </c>
      <c r="BT13" s="65"/>
      <c r="BU13" s="74" t="s">
        <v>1953</v>
      </c>
      <c r="BV13" s="73">
        <f t="shared" si="50"/>
        <v>0</v>
      </c>
      <c r="BW13" s="65"/>
      <c r="BX13" s="74" t="s">
        <v>1948</v>
      </c>
      <c r="BY13" s="73">
        <f t="shared" si="50"/>
        <v>0</v>
      </c>
      <c r="BZ13" s="65"/>
      <c r="CA13" s="74" t="s">
        <v>1941</v>
      </c>
      <c r="CB13" s="73">
        <f t="shared" si="50"/>
        <v>0</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1993</v>
      </c>
      <c r="W14" s="73">
        <f t="shared" si="49"/>
        <v>0</v>
      </c>
      <c r="X14" s="65"/>
      <c r="Y14" s="74" t="s">
        <v>1941</v>
      </c>
      <c r="Z14" s="73">
        <f t="shared" si="50"/>
        <v>0</v>
      </c>
      <c r="AA14" s="65"/>
      <c r="AB14" s="74" t="s">
        <v>1950</v>
      </c>
      <c r="AC14" s="73">
        <f t="shared" si="50"/>
        <v>0</v>
      </c>
      <c r="AD14" s="65"/>
      <c r="AE14" s="74" t="s">
        <v>1950</v>
      </c>
      <c r="AF14" s="73">
        <f t="shared" si="50"/>
        <v>0</v>
      </c>
      <c r="AG14" s="65"/>
      <c r="AH14" s="74" t="s">
        <v>1949</v>
      </c>
      <c r="AI14" s="73">
        <f t="shared" si="50"/>
        <v>0</v>
      </c>
      <c r="AJ14" s="65"/>
      <c r="AK14" s="74" t="s">
        <v>1949</v>
      </c>
      <c r="AL14" s="73">
        <f t="shared" si="50"/>
        <v>0</v>
      </c>
      <c r="AM14" s="65"/>
      <c r="AN14" s="74" t="s">
        <v>1947</v>
      </c>
      <c r="AO14" s="73">
        <f t="shared" si="50"/>
        <v>0</v>
      </c>
      <c r="AP14" s="65"/>
      <c r="AQ14" s="74" t="s">
        <v>1947</v>
      </c>
      <c r="AR14" s="73">
        <f t="shared" si="50"/>
        <v>0</v>
      </c>
      <c r="AS14" s="65"/>
      <c r="AT14" s="74" t="s">
        <v>1947</v>
      </c>
      <c r="AU14" s="73">
        <f t="shared" si="50"/>
        <v>0</v>
      </c>
      <c r="AV14" s="65"/>
      <c r="AW14" s="74" t="s">
        <v>1947</v>
      </c>
      <c r="AX14" s="73">
        <f t="shared" si="50"/>
        <v>0</v>
      </c>
      <c r="AY14" s="65"/>
      <c r="AZ14" s="74" t="s">
        <v>1947</v>
      </c>
      <c r="BA14" s="73">
        <f t="shared" si="50"/>
        <v>0</v>
      </c>
      <c r="BB14" s="65"/>
      <c r="BC14" s="74" t="s">
        <v>1947</v>
      </c>
      <c r="BD14" s="73">
        <f t="shared" si="50"/>
        <v>0</v>
      </c>
      <c r="BE14" s="65"/>
      <c r="BF14" s="74" t="s">
        <v>2332</v>
      </c>
      <c r="BG14" s="73">
        <f t="shared" si="50"/>
        <v>0</v>
      </c>
      <c r="BH14" s="65"/>
      <c r="BI14" s="74" t="s">
        <v>2070</v>
      </c>
      <c r="BJ14" s="73">
        <f t="shared" si="50"/>
        <v>0</v>
      </c>
      <c r="BK14" s="65"/>
      <c r="BL14" s="74" t="s">
        <v>1949</v>
      </c>
      <c r="BM14" s="73">
        <f t="shared" si="50"/>
        <v>0</v>
      </c>
      <c r="BN14" s="65"/>
      <c r="BO14" s="74" t="s">
        <v>2070</v>
      </c>
      <c r="BP14" s="73">
        <f t="shared" si="50"/>
        <v>0</v>
      </c>
      <c r="BQ14" s="65"/>
      <c r="BR14" s="74" t="s">
        <v>1947</v>
      </c>
      <c r="BS14" s="73">
        <f t="shared" si="50"/>
        <v>0</v>
      </c>
      <c r="BT14" s="65"/>
      <c r="BU14" s="74" t="s">
        <v>1947</v>
      </c>
      <c r="BV14" s="73">
        <f t="shared" si="50"/>
        <v>0</v>
      </c>
      <c r="BW14" s="65"/>
      <c r="BX14" s="74" t="s">
        <v>1947</v>
      </c>
      <c r="BY14" s="73">
        <f t="shared" si="50"/>
        <v>0</v>
      </c>
      <c r="BZ14" s="65"/>
      <c r="CA14" s="74" t="s">
        <v>2070</v>
      </c>
      <c r="CB14" s="73">
        <f t="shared" si="50"/>
        <v>0</v>
      </c>
      <c r="CC14" s="65"/>
      <c r="CD14" s="74" t="s">
        <v>2489</v>
      </c>
      <c r="CE14" s="73">
        <f t="shared" si="50"/>
        <v>0</v>
      </c>
      <c r="CF14" s="65"/>
      <c r="CG14" s="74" t="s">
        <v>1950</v>
      </c>
      <c r="CH14" s="73">
        <f t="shared" si="50"/>
        <v>0</v>
      </c>
      <c r="CI14" s="65"/>
      <c r="CJ14" s="74" t="s">
        <v>1947</v>
      </c>
      <c r="CK14" s="73">
        <f t="shared" si="45"/>
        <v>0</v>
      </c>
      <c r="CL14" s="65"/>
      <c r="CM14" s="74" t="s">
        <v>1947</v>
      </c>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1948</v>
      </c>
      <c r="T15" s="73">
        <f t="shared" si="48"/>
        <v>0</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0</v>
      </c>
      <c r="BH15" s="65"/>
      <c r="BI15" s="74" t="s">
        <v>1948</v>
      </c>
      <c r="BJ15" s="73">
        <f t="shared" si="50"/>
        <v>0</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0</v>
      </c>
      <c r="BE16" s="65"/>
      <c r="BF16" s="74" t="s">
        <v>1950</v>
      </c>
      <c r="BG16" s="73">
        <f t="shared" si="50"/>
        <v>0</v>
      </c>
      <c r="BH16" s="65"/>
      <c r="BI16" s="74" t="s">
        <v>1948</v>
      </c>
      <c r="BJ16" s="73">
        <f t="shared" si="50"/>
        <v>0</v>
      </c>
      <c r="BK16" s="65"/>
      <c r="BL16" s="74" t="s">
        <v>1995</v>
      </c>
      <c r="BM16" s="73">
        <f t="shared" si="50"/>
        <v>0</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1950</v>
      </c>
      <c r="W17" s="73">
        <f t="shared" si="49"/>
        <v>0</v>
      </c>
      <c r="X17" s="65"/>
      <c r="Y17" s="74" t="s">
        <v>1946</v>
      </c>
      <c r="Z17" s="73">
        <f t="shared" si="50"/>
        <v>0</v>
      </c>
      <c r="AA17" s="65"/>
      <c r="AB17" s="74" t="s">
        <v>1943</v>
      </c>
      <c r="AC17" s="73">
        <f t="shared" si="50"/>
        <v>0</v>
      </c>
      <c r="AD17" s="65"/>
      <c r="AE17" s="74" t="s">
        <v>1942</v>
      </c>
      <c r="AF17" s="73">
        <f t="shared" si="50"/>
        <v>0</v>
      </c>
      <c r="AG17" s="65"/>
      <c r="AH17" s="74" t="s">
        <v>1941</v>
      </c>
      <c r="AI17" s="73">
        <f t="shared" si="50"/>
        <v>0</v>
      </c>
      <c r="AJ17" s="65"/>
      <c r="AK17" s="74" t="s">
        <v>1948</v>
      </c>
      <c r="AL17" s="73">
        <f t="shared" si="50"/>
        <v>0</v>
      </c>
      <c r="AM17" s="65"/>
      <c r="AN17" s="74" t="s">
        <v>1943</v>
      </c>
      <c r="AO17" s="73">
        <f t="shared" si="50"/>
        <v>0</v>
      </c>
      <c r="AP17" s="65"/>
      <c r="AQ17" s="74" t="s">
        <v>1941</v>
      </c>
      <c r="AR17" s="73">
        <f t="shared" si="50"/>
        <v>0</v>
      </c>
      <c r="AS17" s="65"/>
      <c r="AT17" s="74" t="s">
        <v>1941</v>
      </c>
      <c r="AU17" s="73">
        <f t="shared" si="50"/>
        <v>0</v>
      </c>
      <c r="AV17" s="65"/>
      <c r="AW17" s="74" t="s">
        <v>1943</v>
      </c>
      <c r="AX17" s="73">
        <f t="shared" si="50"/>
        <v>0</v>
      </c>
      <c r="AY17" s="65"/>
      <c r="AZ17" s="74" t="s">
        <v>1950</v>
      </c>
      <c r="BA17" s="73">
        <f t="shared" si="50"/>
        <v>0</v>
      </c>
      <c r="BB17" s="65"/>
      <c r="BC17" s="74" t="s">
        <v>1950</v>
      </c>
      <c r="BD17" s="73">
        <f t="shared" si="50"/>
        <v>0</v>
      </c>
      <c r="BE17" s="65"/>
      <c r="BF17" s="74" t="s">
        <v>1941</v>
      </c>
      <c r="BG17" s="73">
        <f t="shared" si="50"/>
        <v>0</v>
      </c>
      <c r="BH17" s="65"/>
      <c r="BI17" s="74" t="s">
        <v>1943</v>
      </c>
      <c r="BJ17" s="73">
        <f t="shared" si="50"/>
        <v>0</v>
      </c>
      <c r="BK17" s="65"/>
      <c r="BL17" s="74" t="s">
        <v>1943</v>
      </c>
      <c r="BM17" s="73">
        <f t="shared" si="50"/>
        <v>0</v>
      </c>
      <c r="BN17" s="65"/>
      <c r="BO17" s="74" t="s">
        <v>1941</v>
      </c>
      <c r="BP17" s="73">
        <f t="shared" si="50"/>
        <v>0</v>
      </c>
      <c r="BQ17" s="65"/>
      <c r="BR17" s="74" t="s">
        <v>1948</v>
      </c>
      <c r="BS17" s="73">
        <f t="shared" si="50"/>
        <v>0</v>
      </c>
      <c r="BT17" s="65"/>
      <c r="BU17" s="74" t="s">
        <v>1948</v>
      </c>
      <c r="BV17" s="73">
        <f t="shared" si="50"/>
        <v>0</v>
      </c>
      <c r="BW17" s="65"/>
      <c r="BX17" s="74" t="s">
        <v>1950</v>
      </c>
      <c r="BY17" s="73">
        <f t="shared" si="50"/>
        <v>0</v>
      </c>
      <c r="BZ17" s="65"/>
      <c r="CA17" s="74" t="s">
        <v>1949</v>
      </c>
      <c r="CB17" s="73">
        <f t="shared" si="50"/>
        <v>0</v>
      </c>
      <c r="CC17" s="65"/>
      <c r="CD17" s="74" t="s">
        <v>1942</v>
      </c>
      <c r="CE17" s="73">
        <f t="shared" si="50"/>
        <v>0</v>
      </c>
      <c r="CF17" s="65"/>
      <c r="CG17" s="74" t="s">
        <v>1942</v>
      </c>
      <c r="CH17" s="73">
        <f t="shared" si="50"/>
        <v>0</v>
      </c>
      <c r="CI17" s="65"/>
      <c r="CJ17" s="74" t="s">
        <v>1948</v>
      </c>
      <c r="CK17" s="73">
        <f t="shared" si="45"/>
        <v>0</v>
      </c>
      <c r="CL17" s="65"/>
      <c r="CM17" s="74" t="s">
        <v>1943</v>
      </c>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0</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0</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0</v>
      </c>
      <c r="AD19" s="65"/>
      <c r="AE19" s="74" t="s">
        <v>1946</v>
      </c>
      <c r="AF19" s="73">
        <f t="shared" si="53"/>
        <v>0</v>
      </c>
      <c r="AG19" s="65"/>
      <c r="AH19" s="74" t="s">
        <v>1943</v>
      </c>
      <c r="AI19" s="73">
        <f t="shared" si="53"/>
        <v>0</v>
      </c>
      <c r="AJ19" s="65"/>
      <c r="AK19" s="74" t="s">
        <v>1943</v>
      </c>
      <c r="AL19" s="73">
        <f t="shared" si="53"/>
        <v>0</v>
      </c>
      <c r="AM19" s="65"/>
      <c r="AN19" s="74" t="s">
        <v>1942</v>
      </c>
      <c r="AO19" s="73">
        <f t="shared" si="53"/>
        <v>0</v>
      </c>
      <c r="AP19" s="65"/>
      <c r="AQ19" s="74" t="s">
        <v>1948</v>
      </c>
      <c r="AR19" s="73">
        <f t="shared" si="53"/>
        <v>0</v>
      </c>
      <c r="AS19" s="65"/>
      <c r="AT19" s="74" t="s">
        <v>1943</v>
      </c>
      <c r="AU19" s="73">
        <f t="shared" si="53"/>
        <v>0</v>
      </c>
      <c r="AV19" s="65"/>
      <c r="AW19" s="74" t="s">
        <v>1942</v>
      </c>
      <c r="AX19" s="73">
        <f t="shared" si="53"/>
        <v>0</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0</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0</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0</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0</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0</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1950</v>
      </c>
      <c r="T22" s="73">
        <f t="shared" si="48"/>
        <v>0</v>
      </c>
      <c r="U22" s="65"/>
      <c r="V22" s="74" t="s">
        <v>1994</v>
      </c>
      <c r="W22" s="73">
        <f t="shared" si="49"/>
        <v>0</v>
      </c>
      <c r="X22" s="65"/>
      <c r="Y22" s="74" t="s">
        <v>1943</v>
      </c>
      <c r="Z22" s="73">
        <f t="shared" si="53"/>
        <v>0</v>
      </c>
      <c r="AA22" s="65"/>
      <c r="AB22" s="74" t="s">
        <v>1951</v>
      </c>
      <c r="AC22" s="73">
        <f t="shared" si="53"/>
        <v>0</v>
      </c>
      <c r="AD22" s="65"/>
      <c r="AE22" s="74" t="s">
        <v>1948</v>
      </c>
      <c r="AF22" s="73">
        <f t="shared" si="53"/>
        <v>0</v>
      </c>
      <c r="AG22" s="65"/>
      <c r="AH22" s="74" t="s">
        <v>1950</v>
      </c>
      <c r="AI22" s="73">
        <f t="shared" si="53"/>
        <v>0</v>
      </c>
      <c r="AJ22" s="65"/>
      <c r="AK22" s="74" t="s">
        <v>1948</v>
      </c>
      <c r="AL22" s="73">
        <f t="shared" si="53"/>
        <v>0</v>
      </c>
      <c r="AM22" s="65"/>
      <c r="AN22" s="74" t="s">
        <v>1950</v>
      </c>
      <c r="AO22" s="73">
        <f t="shared" si="53"/>
        <v>0</v>
      </c>
      <c r="AP22" s="65"/>
      <c r="AQ22" s="74" t="s">
        <v>1941</v>
      </c>
      <c r="AR22" s="73">
        <f t="shared" si="53"/>
        <v>0</v>
      </c>
      <c r="AS22" s="65"/>
      <c r="AT22" s="74" t="s">
        <v>1950</v>
      </c>
      <c r="AU22" s="73">
        <f t="shared" si="53"/>
        <v>0</v>
      </c>
      <c r="AV22" s="65"/>
      <c r="AW22" s="74" t="s">
        <v>1993</v>
      </c>
      <c r="AX22" s="73">
        <f t="shared" si="53"/>
        <v>0</v>
      </c>
      <c r="AY22" s="65"/>
      <c r="AZ22" s="74" t="s">
        <v>1950</v>
      </c>
      <c r="BA22" s="73">
        <f t="shared" si="53"/>
        <v>0</v>
      </c>
      <c r="BB22" s="65"/>
      <c r="BC22" s="74" t="s">
        <v>1949</v>
      </c>
      <c r="BD22" s="73">
        <f t="shared" si="53"/>
        <v>0</v>
      </c>
      <c r="BE22" s="65"/>
      <c r="BF22" s="74" t="s">
        <v>1948</v>
      </c>
      <c r="BG22" s="73">
        <f t="shared" si="53"/>
        <v>0</v>
      </c>
      <c r="BH22" s="65"/>
      <c r="BI22" s="74" t="s">
        <v>1948</v>
      </c>
      <c r="BJ22" s="73">
        <f t="shared" si="53"/>
        <v>0</v>
      </c>
      <c r="BK22" s="65"/>
      <c r="BL22" s="74" t="s">
        <v>1949</v>
      </c>
      <c r="BM22" s="73">
        <f t="shared" si="53"/>
        <v>0</v>
      </c>
      <c r="BN22" s="65"/>
      <c r="BO22" s="74" t="s">
        <v>1950</v>
      </c>
      <c r="BP22" s="73">
        <f t="shared" si="53"/>
        <v>0</v>
      </c>
      <c r="BQ22" s="65"/>
      <c r="BR22" s="74" t="s">
        <v>1950</v>
      </c>
      <c r="BS22" s="73">
        <f t="shared" si="53"/>
        <v>0</v>
      </c>
      <c r="BT22" s="65"/>
      <c r="BU22" s="74" t="s">
        <v>1941</v>
      </c>
      <c r="BV22" s="73">
        <f t="shared" si="53"/>
        <v>0</v>
      </c>
      <c r="BW22" s="65"/>
      <c r="BX22" s="74" t="s">
        <v>1950</v>
      </c>
      <c r="BY22" s="73">
        <f t="shared" si="53"/>
        <v>0</v>
      </c>
      <c r="BZ22" s="65"/>
      <c r="CA22" s="74" t="s">
        <v>2070</v>
      </c>
      <c r="CB22" s="73">
        <f t="shared" si="53"/>
        <v>0</v>
      </c>
      <c r="CC22" s="65"/>
      <c r="CD22" s="74" t="s">
        <v>1950</v>
      </c>
      <c r="CE22" s="73">
        <f t="shared" si="53"/>
        <v>0</v>
      </c>
      <c r="CF22" s="65"/>
      <c r="CG22" s="74" t="s">
        <v>1950</v>
      </c>
      <c r="CH22" s="73">
        <f t="shared" si="53"/>
        <v>0</v>
      </c>
      <c r="CI22" s="65"/>
      <c r="CJ22" s="74" t="s">
        <v>1943</v>
      </c>
      <c r="CK22" s="73">
        <f t="shared" si="52"/>
        <v>0</v>
      </c>
      <c r="CL22" s="65"/>
      <c r="CM22" s="74" t="s">
        <v>1941</v>
      </c>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1942</v>
      </c>
      <c r="T23" s="73">
        <f t="shared" si="48"/>
        <v>0</v>
      </c>
      <c r="U23" s="65"/>
      <c r="V23" s="74" t="s">
        <v>1954</v>
      </c>
      <c r="W23" s="73">
        <f t="shared" si="49"/>
        <v>0</v>
      </c>
      <c r="X23" s="65"/>
      <c r="Y23" s="74" t="s">
        <v>1992</v>
      </c>
      <c r="Z23" s="73">
        <f t="shared" si="53"/>
        <v>0</v>
      </c>
      <c r="AA23" s="65"/>
      <c r="AB23" s="74" t="s">
        <v>2071</v>
      </c>
      <c r="AC23" s="73">
        <f t="shared" si="53"/>
        <v>0</v>
      </c>
      <c r="AD23" s="65"/>
      <c r="AE23" s="74" t="s">
        <v>1945</v>
      </c>
      <c r="AF23" s="73">
        <f t="shared" si="53"/>
        <v>0</v>
      </c>
      <c r="AG23" s="65"/>
      <c r="AH23" s="74" t="s">
        <v>1945</v>
      </c>
      <c r="AI23" s="73">
        <f t="shared" si="53"/>
        <v>0</v>
      </c>
      <c r="AJ23" s="65"/>
      <c r="AK23" s="74" t="s">
        <v>1945</v>
      </c>
      <c r="AL23" s="73">
        <f t="shared" si="53"/>
        <v>0</v>
      </c>
      <c r="AM23" s="65"/>
      <c r="AN23" s="74" t="s">
        <v>1945</v>
      </c>
      <c r="AO23" s="73">
        <f t="shared" si="53"/>
        <v>0</v>
      </c>
      <c r="AP23" s="65"/>
      <c r="AQ23" s="74" t="s">
        <v>1953</v>
      </c>
      <c r="AR23" s="73">
        <f t="shared" si="53"/>
        <v>0</v>
      </c>
      <c r="AS23" s="65"/>
      <c r="AT23" s="74" t="s">
        <v>1945</v>
      </c>
      <c r="AU23" s="73">
        <f t="shared" si="53"/>
        <v>0</v>
      </c>
      <c r="AV23" s="65"/>
      <c r="AW23" s="74" t="s">
        <v>1948</v>
      </c>
      <c r="AX23" s="73">
        <f t="shared" si="53"/>
        <v>0</v>
      </c>
      <c r="AY23" s="65"/>
      <c r="AZ23" s="74" t="s">
        <v>1945</v>
      </c>
      <c r="BA23" s="73">
        <f t="shared" si="53"/>
        <v>0</v>
      </c>
      <c r="BB23" s="65"/>
      <c r="BC23" s="74" t="s">
        <v>1953</v>
      </c>
      <c r="BD23" s="73">
        <f t="shared" si="53"/>
        <v>0</v>
      </c>
      <c r="BE23" s="65"/>
      <c r="BF23" s="74" t="s">
        <v>1953</v>
      </c>
      <c r="BG23" s="73">
        <f t="shared" si="53"/>
        <v>0</v>
      </c>
      <c r="BH23" s="65"/>
      <c r="BI23" s="74" t="s">
        <v>1953</v>
      </c>
      <c r="BJ23" s="73">
        <f t="shared" si="53"/>
        <v>0</v>
      </c>
      <c r="BK23" s="65"/>
      <c r="BL23" s="74" t="s">
        <v>1992</v>
      </c>
      <c r="BM23" s="73">
        <f t="shared" si="53"/>
        <v>0</v>
      </c>
      <c r="BN23" s="65"/>
      <c r="BO23" s="74" t="s">
        <v>1945</v>
      </c>
      <c r="BP23" s="73">
        <f t="shared" si="53"/>
        <v>0</v>
      </c>
      <c r="BQ23" s="65"/>
      <c r="BR23" s="74" t="s">
        <v>1945</v>
      </c>
      <c r="BS23" s="73">
        <f t="shared" si="53"/>
        <v>0</v>
      </c>
      <c r="BT23" s="65"/>
      <c r="BU23" s="74" t="s">
        <v>1953</v>
      </c>
      <c r="BV23" s="73">
        <f t="shared" si="53"/>
        <v>0</v>
      </c>
      <c r="BW23" s="65"/>
      <c r="BX23" s="74" t="s">
        <v>1945</v>
      </c>
      <c r="BY23" s="73">
        <f t="shared" si="53"/>
        <v>0</v>
      </c>
      <c r="BZ23" s="65"/>
      <c r="CA23" s="74" t="s">
        <v>1992</v>
      </c>
      <c r="CB23" s="73">
        <f t="shared" si="53"/>
        <v>0</v>
      </c>
      <c r="CC23" s="65"/>
      <c r="CD23" s="74" t="s">
        <v>1996</v>
      </c>
      <c r="CE23" s="73">
        <f t="shared" si="53"/>
        <v>0</v>
      </c>
      <c r="CF23" s="65"/>
      <c r="CG23" s="74" t="s">
        <v>1996</v>
      </c>
      <c r="CH23" s="73">
        <f t="shared" si="53"/>
        <v>0</v>
      </c>
      <c r="CI23" s="65"/>
      <c r="CJ23" s="74" t="s">
        <v>1952</v>
      </c>
      <c r="CK23" s="73">
        <f t="shared" si="52"/>
        <v>0</v>
      </c>
      <c r="CL23" s="65"/>
      <c r="CM23" s="74" t="s">
        <v>1953</v>
      </c>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1995</v>
      </c>
      <c r="W24" s="77">
        <f t="shared" si="49"/>
        <v>0</v>
      </c>
      <c r="X24" s="65"/>
      <c r="Y24" s="76" t="s">
        <v>1941</v>
      </c>
      <c r="Z24" s="77">
        <f t="shared" si="53"/>
        <v>0</v>
      </c>
      <c r="AA24" s="65"/>
      <c r="AB24" s="76" t="s">
        <v>1943</v>
      </c>
      <c r="AC24" s="77">
        <f t="shared" si="53"/>
        <v>0</v>
      </c>
      <c r="AD24" s="65"/>
      <c r="AE24" s="76" t="s">
        <v>1942</v>
      </c>
      <c r="AF24" s="77">
        <f t="shared" si="53"/>
        <v>0</v>
      </c>
      <c r="AG24" s="65"/>
      <c r="AH24" s="76" t="s">
        <v>1949</v>
      </c>
      <c r="AI24" s="77">
        <f t="shared" si="53"/>
        <v>0</v>
      </c>
      <c r="AJ24" s="65"/>
      <c r="AK24" s="76" t="s">
        <v>1948</v>
      </c>
      <c r="AL24" s="77">
        <f t="shared" si="53"/>
        <v>0</v>
      </c>
      <c r="AM24" s="65"/>
      <c r="AN24" s="76" t="s">
        <v>1950</v>
      </c>
      <c r="AO24" s="77">
        <f t="shared" si="53"/>
        <v>0</v>
      </c>
      <c r="AP24" s="65"/>
      <c r="AQ24" s="76" t="s">
        <v>1948</v>
      </c>
      <c r="AR24" s="77">
        <f t="shared" si="53"/>
        <v>0</v>
      </c>
      <c r="AS24" s="65"/>
      <c r="AT24" s="76" t="s">
        <v>1941</v>
      </c>
      <c r="AU24" s="77">
        <f t="shared" si="53"/>
        <v>0</v>
      </c>
      <c r="AV24" s="65"/>
      <c r="AW24" s="76" t="s">
        <v>1943</v>
      </c>
      <c r="AX24" s="77">
        <f t="shared" si="53"/>
        <v>0</v>
      </c>
      <c r="AY24" s="65"/>
      <c r="AZ24" s="76" t="s">
        <v>1949</v>
      </c>
      <c r="BA24" s="77">
        <f t="shared" si="53"/>
        <v>0</v>
      </c>
      <c r="BB24" s="65"/>
      <c r="BC24" s="76" t="s">
        <v>1949</v>
      </c>
      <c r="BD24" s="77">
        <f t="shared" si="53"/>
        <v>0</v>
      </c>
      <c r="BE24" s="65"/>
      <c r="BF24" s="76" t="s">
        <v>1950</v>
      </c>
      <c r="BG24" s="77">
        <f t="shared" si="53"/>
        <v>0</v>
      </c>
      <c r="BH24" s="65"/>
      <c r="BI24" s="76" t="s">
        <v>1949</v>
      </c>
      <c r="BJ24" s="77">
        <f t="shared" si="53"/>
        <v>0</v>
      </c>
      <c r="BK24" s="65"/>
      <c r="BL24" s="76" t="s">
        <v>1950</v>
      </c>
      <c r="BM24" s="77">
        <f t="shared" si="53"/>
        <v>0</v>
      </c>
      <c r="BN24" s="65"/>
      <c r="BO24" s="76" t="s">
        <v>1941</v>
      </c>
      <c r="BP24" s="77">
        <f t="shared" si="53"/>
        <v>0</v>
      </c>
      <c r="BQ24" s="65"/>
      <c r="BR24" s="76" t="s">
        <v>1941</v>
      </c>
      <c r="BS24" s="77">
        <f t="shared" si="53"/>
        <v>0</v>
      </c>
      <c r="BT24" s="65"/>
      <c r="BU24" s="76" t="s">
        <v>1941</v>
      </c>
      <c r="BV24" s="77">
        <f t="shared" si="53"/>
        <v>0</v>
      </c>
      <c r="BW24" s="65"/>
      <c r="BX24" s="76" t="s">
        <v>1950</v>
      </c>
      <c r="BY24" s="77">
        <f t="shared" si="53"/>
        <v>0</v>
      </c>
      <c r="BZ24" s="65"/>
      <c r="CA24" s="76" t="s">
        <v>2070</v>
      </c>
      <c r="CB24" s="77">
        <f t="shared" si="53"/>
        <v>0</v>
      </c>
      <c r="CC24" s="65"/>
      <c r="CD24" s="76" t="s">
        <v>1947</v>
      </c>
      <c r="CE24" s="77">
        <f t="shared" si="53"/>
        <v>0</v>
      </c>
      <c r="CF24" s="65"/>
      <c r="CG24" s="76" t="s">
        <v>1949</v>
      </c>
      <c r="CH24" s="77">
        <f t="shared" si="53"/>
        <v>0</v>
      </c>
      <c r="CI24" s="65"/>
      <c r="CJ24" s="76" t="s">
        <v>1949</v>
      </c>
      <c r="CK24" s="77">
        <f t="shared" si="52"/>
        <v>0</v>
      </c>
      <c r="CL24" s="65"/>
      <c r="CM24" s="76" t="s">
        <v>1941</v>
      </c>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1946</v>
      </c>
      <c r="T25" s="73">
        <f t="shared" si="48"/>
        <v>0</v>
      </c>
      <c r="U25" s="65"/>
      <c r="V25" s="74" t="s">
        <v>1943</v>
      </c>
      <c r="W25" s="73">
        <f t="shared" si="49"/>
        <v>0</v>
      </c>
      <c r="X25" s="65"/>
      <c r="Y25" s="74" t="s">
        <v>1941</v>
      </c>
      <c r="Z25" s="73">
        <f t="shared" si="53"/>
        <v>0</v>
      </c>
      <c r="AA25" s="65"/>
      <c r="AB25" s="74" t="s">
        <v>1943</v>
      </c>
      <c r="AC25" s="73">
        <f t="shared" si="53"/>
        <v>0</v>
      </c>
      <c r="AD25" s="65"/>
      <c r="AE25" s="74" t="s">
        <v>1941</v>
      </c>
      <c r="AF25" s="73">
        <f t="shared" si="53"/>
        <v>0</v>
      </c>
      <c r="AG25" s="65"/>
      <c r="AH25" s="74" t="s">
        <v>1941</v>
      </c>
      <c r="AI25" s="73">
        <f t="shared" si="53"/>
        <v>0</v>
      </c>
      <c r="AJ25" s="65"/>
      <c r="AK25" s="74" t="s">
        <v>1943</v>
      </c>
      <c r="AL25" s="73">
        <f t="shared" si="53"/>
        <v>0</v>
      </c>
      <c r="AM25" s="65"/>
      <c r="AN25" s="74" t="s">
        <v>1943</v>
      </c>
      <c r="AO25" s="73">
        <f t="shared" si="53"/>
        <v>0</v>
      </c>
      <c r="AP25" s="65"/>
      <c r="AQ25" s="74" t="s">
        <v>1941</v>
      </c>
      <c r="AR25" s="73">
        <f t="shared" si="53"/>
        <v>0</v>
      </c>
      <c r="AS25" s="65"/>
      <c r="AT25" s="74" t="s">
        <v>1948</v>
      </c>
      <c r="AU25" s="73">
        <f t="shared" si="53"/>
        <v>0</v>
      </c>
      <c r="AV25" s="65"/>
      <c r="AW25" s="74" t="s">
        <v>1943</v>
      </c>
      <c r="AX25" s="73">
        <f t="shared" si="53"/>
        <v>0</v>
      </c>
      <c r="AY25" s="65"/>
      <c r="AZ25" s="74" t="s">
        <v>1944</v>
      </c>
      <c r="BA25" s="73">
        <f t="shared" si="53"/>
        <v>0</v>
      </c>
      <c r="BB25" s="65"/>
      <c r="BC25" s="74" t="s">
        <v>1943</v>
      </c>
      <c r="BD25" s="73">
        <f t="shared" si="53"/>
        <v>0</v>
      </c>
      <c r="BE25" s="65"/>
      <c r="BF25" s="74" t="s">
        <v>1948</v>
      </c>
      <c r="BG25" s="73">
        <f t="shared" si="53"/>
        <v>0</v>
      </c>
      <c r="BH25" s="65"/>
      <c r="BI25" s="74" t="s">
        <v>1943</v>
      </c>
      <c r="BJ25" s="73">
        <f t="shared" si="53"/>
        <v>0</v>
      </c>
      <c r="BK25" s="65"/>
      <c r="BL25" s="74" t="s">
        <v>1941</v>
      </c>
      <c r="BM25" s="73">
        <f t="shared" si="53"/>
        <v>0</v>
      </c>
      <c r="BN25" s="65"/>
      <c r="BO25" s="74" t="s">
        <v>1943</v>
      </c>
      <c r="BP25" s="73">
        <f t="shared" si="53"/>
        <v>0</v>
      </c>
      <c r="BQ25" s="65"/>
      <c r="BR25" s="74" t="s">
        <v>1948</v>
      </c>
      <c r="BS25" s="73">
        <f t="shared" si="53"/>
        <v>0</v>
      </c>
      <c r="BT25" s="65"/>
      <c r="BU25" s="74" t="s">
        <v>1949</v>
      </c>
      <c r="BV25" s="73">
        <f t="shared" si="53"/>
        <v>0</v>
      </c>
      <c r="BW25" s="65"/>
      <c r="BX25" s="74" t="s">
        <v>1941</v>
      </c>
      <c r="BY25" s="73">
        <f t="shared" si="53"/>
        <v>0</v>
      </c>
      <c r="BZ25" s="65"/>
      <c r="CA25" s="74" t="s">
        <v>1949</v>
      </c>
      <c r="CB25" s="73">
        <f t="shared" si="53"/>
        <v>0</v>
      </c>
      <c r="CC25" s="65"/>
      <c r="CD25" s="74" t="s">
        <v>1948</v>
      </c>
      <c r="CE25" s="73">
        <f t="shared" si="53"/>
        <v>0</v>
      </c>
      <c r="CF25" s="65"/>
      <c r="CG25" s="74" t="s">
        <v>1948</v>
      </c>
      <c r="CH25" s="73">
        <f t="shared" si="53"/>
        <v>0</v>
      </c>
      <c r="CI25" s="65"/>
      <c r="CJ25" s="74" t="s">
        <v>1941</v>
      </c>
      <c r="CK25" s="73">
        <f t="shared" si="52"/>
        <v>0</v>
      </c>
      <c r="CL25" s="65"/>
      <c r="CM25" s="74" t="s">
        <v>1949</v>
      </c>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1944</v>
      </c>
      <c r="T27" s="73">
        <f t="shared" si="48"/>
        <v>0</v>
      </c>
      <c r="U27" s="65"/>
      <c r="V27" s="74" t="s">
        <v>1945</v>
      </c>
      <c r="W27" s="73">
        <f t="shared" si="49"/>
        <v>0</v>
      </c>
      <c r="X27" s="65"/>
      <c r="Y27" s="74" t="s">
        <v>1944</v>
      </c>
      <c r="Z27" s="73">
        <f t="shared" si="53"/>
        <v>0</v>
      </c>
      <c r="AA27" s="65"/>
      <c r="AB27" s="74" t="s">
        <v>1942</v>
      </c>
      <c r="AC27" s="73">
        <f t="shared" si="53"/>
        <v>0</v>
      </c>
      <c r="AD27" s="65"/>
      <c r="AE27" s="74" t="s">
        <v>1942</v>
      </c>
      <c r="AF27" s="73">
        <f t="shared" si="53"/>
        <v>0</v>
      </c>
      <c r="AG27" s="65"/>
      <c r="AH27" s="74" t="s">
        <v>1945</v>
      </c>
      <c r="AI27" s="73">
        <f t="shared" si="53"/>
        <v>0</v>
      </c>
      <c r="AJ27" s="65"/>
      <c r="AK27" s="74" t="s">
        <v>1945</v>
      </c>
      <c r="AL27" s="73">
        <f t="shared" si="53"/>
        <v>0</v>
      </c>
      <c r="AM27" s="65"/>
      <c r="AN27" s="74" t="s">
        <v>1953</v>
      </c>
      <c r="AO27" s="73">
        <f t="shared" si="53"/>
        <v>0</v>
      </c>
      <c r="AP27" s="65"/>
      <c r="AQ27" s="74" t="s">
        <v>1954</v>
      </c>
      <c r="AR27" s="73">
        <f t="shared" si="53"/>
        <v>0</v>
      </c>
      <c r="AS27" s="65"/>
      <c r="AT27" s="74" t="s">
        <v>1954</v>
      </c>
      <c r="AU27" s="73">
        <f t="shared" si="53"/>
        <v>0</v>
      </c>
      <c r="AV27" s="65"/>
      <c r="AW27" s="74" t="s">
        <v>1953</v>
      </c>
      <c r="AX27" s="73">
        <f t="shared" si="53"/>
        <v>0</v>
      </c>
      <c r="AY27" s="65"/>
      <c r="AZ27" s="74" t="s">
        <v>1945</v>
      </c>
      <c r="BA27" s="73">
        <f t="shared" si="53"/>
        <v>0</v>
      </c>
      <c r="BB27" s="65"/>
      <c r="BC27" s="74" t="s">
        <v>1944</v>
      </c>
      <c r="BD27" s="73">
        <f t="shared" si="53"/>
        <v>0</v>
      </c>
      <c r="BE27" s="65"/>
      <c r="BF27" s="74" t="s">
        <v>1954</v>
      </c>
      <c r="BG27" s="73">
        <f t="shared" si="53"/>
        <v>0</v>
      </c>
      <c r="BH27" s="65"/>
      <c r="BI27" s="74" t="s">
        <v>1945</v>
      </c>
      <c r="BJ27" s="73">
        <f t="shared" si="53"/>
        <v>0</v>
      </c>
      <c r="BK27" s="65"/>
      <c r="BL27" s="74" t="s">
        <v>1945</v>
      </c>
      <c r="BM27" s="73">
        <f t="shared" si="53"/>
        <v>0</v>
      </c>
      <c r="BN27" s="65"/>
      <c r="BO27" s="74" t="s">
        <v>1944</v>
      </c>
      <c r="BP27" s="73">
        <f t="shared" si="53"/>
        <v>0</v>
      </c>
      <c r="BQ27" s="65"/>
      <c r="BR27" s="74" t="s">
        <v>1945</v>
      </c>
      <c r="BS27" s="73">
        <f t="shared" si="53"/>
        <v>0</v>
      </c>
      <c r="BT27" s="65"/>
      <c r="BU27" s="74" t="s">
        <v>1952</v>
      </c>
      <c r="BV27" s="73">
        <f t="shared" si="53"/>
        <v>0</v>
      </c>
      <c r="BW27" s="65"/>
      <c r="BX27" s="74" t="s">
        <v>1953</v>
      </c>
      <c r="BY27" s="73">
        <f t="shared" si="53"/>
        <v>0</v>
      </c>
      <c r="BZ27" s="65"/>
      <c r="CA27" s="74" t="s">
        <v>1953</v>
      </c>
      <c r="CB27" s="73">
        <f t="shared" si="53"/>
        <v>0</v>
      </c>
      <c r="CC27" s="65"/>
      <c r="CD27" s="74" t="s">
        <v>1952</v>
      </c>
      <c r="CE27" s="73">
        <f t="shared" si="53"/>
        <v>0</v>
      </c>
      <c r="CF27" s="65"/>
      <c r="CG27" s="74" t="s">
        <v>1945</v>
      </c>
      <c r="CH27" s="73">
        <f t="shared" si="53"/>
        <v>0</v>
      </c>
      <c r="CI27" s="65"/>
      <c r="CJ27" s="74" t="s">
        <v>1952</v>
      </c>
      <c r="CK27" s="73">
        <f t="shared" si="52"/>
        <v>0</v>
      </c>
      <c r="CL27" s="65"/>
      <c r="CM27" s="74" t="s">
        <v>1945</v>
      </c>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0</v>
      </c>
      <c r="AA28" s="65"/>
      <c r="AB28" s="74" t="s">
        <v>1948</v>
      </c>
      <c r="AC28" s="73">
        <f t="shared" si="53"/>
        <v>0</v>
      </c>
      <c r="AD28" s="65"/>
      <c r="AE28" s="74" t="s">
        <v>1948</v>
      </c>
      <c r="AF28" s="73">
        <f t="shared" si="53"/>
        <v>0</v>
      </c>
      <c r="AG28" s="65"/>
      <c r="AH28" s="74" t="s">
        <v>1948</v>
      </c>
      <c r="AI28" s="73">
        <f t="shared" si="53"/>
        <v>0</v>
      </c>
      <c r="AJ28" s="65"/>
      <c r="AK28" s="74" t="s">
        <v>1948</v>
      </c>
      <c r="AL28" s="73">
        <f t="shared" si="53"/>
        <v>0</v>
      </c>
      <c r="AM28" s="65"/>
      <c r="AN28" s="74" t="s">
        <v>1948</v>
      </c>
      <c r="AO28" s="73">
        <f t="shared" si="53"/>
        <v>0</v>
      </c>
      <c r="AP28" s="65"/>
      <c r="AQ28" s="74" t="s">
        <v>1941</v>
      </c>
      <c r="AR28" s="73">
        <f t="shared" si="53"/>
        <v>0</v>
      </c>
      <c r="AS28" s="65"/>
      <c r="AT28" s="74" t="s">
        <v>1950</v>
      </c>
      <c r="AU28" s="73">
        <f t="shared" si="53"/>
        <v>0</v>
      </c>
      <c r="AV28" s="65"/>
      <c r="AW28" s="74" t="s">
        <v>1943</v>
      </c>
      <c r="AX28" s="73">
        <f t="shared" si="53"/>
        <v>0</v>
      </c>
      <c r="AY28" s="65"/>
      <c r="AZ28" s="74" t="s">
        <v>1948</v>
      </c>
      <c r="BA28" s="73">
        <f t="shared" si="53"/>
        <v>0</v>
      </c>
      <c r="BB28" s="65"/>
      <c r="BC28" s="74" t="s">
        <v>1995</v>
      </c>
      <c r="BD28" s="73">
        <f t="shared" si="53"/>
        <v>0</v>
      </c>
      <c r="BE28" s="65"/>
      <c r="BF28" s="74" t="s">
        <v>1941</v>
      </c>
      <c r="BG28" s="73">
        <f t="shared" si="53"/>
        <v>0</v>
      </c>
      <c r="BH28" s="65"/>
      <c r="BI28" s="74" t="s">
        <v>1948</v>
      </c>
      <c r="BJ28" s="73">
        <f t="shared" si="53"/>
        <v>0</v>
      </c>
      <c r="BK28" s="65"/>
      <c r="BL28" s="74" t="s">
        <v>1942</v>
      </c>
      <c r="BM28" s="73">
        <f t="shared" si="53"/>
        <v>0</v>
      </c>
      <c r="BN28" s="65"/>
      <c r="BO28" s="74" t="s">
        <v>1942</v>
      </c>
      <c r="BP28" s="73">
        <f t="shared" si="53"/>
        <v>0</v>
      </c>
      <c r="BQ28" s="65"/>
      <c r="BR28" s="74" t="s">
        <v>1943</v>
      </c>
      <c r="BS28" s="73">
        <f t="shared" si="53"/>
        <v>0</v>
      </c>
      <c r="BT28" s="65"/>
      <c r="BU28" s="74" t="s">
        <v>1941</v>
      </c>
      <c r="BV28" s="73">
        <f t="shared" si="53"/>
        <v>0</v>
      </c>
      <c r="BW28" s="65"/>
      <c r="BX28" s="74" t="s">
        <v>1995</v>
      </c>
      <c r="BY28" s="73">
        <f t="shared" si="53"/>
        <v>0</v>
      </c>
      <c r="BZ28" s="65"/>
      <c r="CA28" s="74" t="s">
        <v>1947</v>
      </c>
      <c r="CB28" s="73">
        <f t="shared" si="53"/>
        <v>0</v>
      </c>
      <c r="CC28" s="65"/>
      <c r="CD28" s="74" t="s">
        <v>1948</v>
      </c>
      <c r="CE28" s="73">
        <f t="shared" si="53"/>
        <v>0</v>
      </c>
      <c r="CF28" s="65"/>
      <c r="CG28" s="74" t="s">
        <v>1995</v>
      </c>
      <c r="CH28" s="73">
        <f t="shared" si="53"/>
        <v>0</v>
      </c>
      <c r="CI28" s="65"/>
      <c r="CJ28" s="74" t="s">
        <v>1948</v>
      </c>
      <c r="CK28" s="73">
        <f t="shared" si="52"/>
        <v>0</v>
      </c>
      <c r="CL28" s="65"/>
      <c r="CM28" s="74" t="s">
        <v>1943</v>
      </c>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1943</v>
      </c>
      <c r="T29" s="79">
        <f t="shared" si="54"/>
        <v>0</v>
      </c>
      <c r="U29" s="65"/>
      <c r="V29" s="78" t="s">
        <v>1950</v>
      </c>
      <c r="W29" s="79">
        <f t="shared" si="49"/>
        <v>0</v>
      </c>
      <c r="X29" s="65"/>
      <c r="Y29" s="78" t="s">
        <v>1942</v>
      </c>
      <c r="Z29" s="79">
        <f t="shared" si="53"/>
        <v>0</v>
      </c>
      <c r="AA29" s="65"/>
      <c r="AB29" s="78" t="s">
        <v>1995</v>
      </c>
      <c r="AC29" s="79">
        <f t="shared" si="53"/>
        <v>0</v>
      </c>
      <c r="AD29" s="65"/>
      <c r="AE29" s="78" t="s">
        <v>1948</v>
      </c>
      <c r="AF29" s="79">
        <f t="shared" si="53"/>
        <v>0</v>
      </c>
      <c r="AG29" s="65"/>
      <c r="AH29" s="78" t="s">
        <v>1943</v>
      </c>
      <c r="AI29" s="79">
        <f t="shared" si="53"/>
        <v>0</v>
      </c>
      <c r="AJ29" s="65"/>
      <c r="AK29" s="78" t="s">
        <v>1942</v>
      </c>
      <c r="AL29" s="79">
        <f t="shared" si="53"/>
        <v>0</v>
      </c>
      <c r="AM29" s="65"/>
      <c r="AN29" s="78" t="s">
        <v>1941</v>
      </c>
      <c r="AO29" s="79">
        <f t="shared" si="53"/>
        <v>0</v>
      </c>
      <c r="AP29" s="65"/>
      <c r="AQ29" s="78" t="s">
        <v>1942</v>
      </c>
      <c r="AR29" s="79">
        <f t="shared" si="53"/>
        <v>0</v>
      </c>
      <c r="AS29" s="65"/>
      <c r="AT29" s="78" t="s">
        <v>1941</v>
      </c>
      <c r="AU29" s="79">
        <f t="shared" si="53"/>
        <v>0</v>
      </c>
      <c r="AV29" s="65"/>
      <c r="AW29" s="78" t="s">
        <v>1944</v>
      </c>
      <c r="AX29" s="79">
        <f t="shared" si="53"/>
        <v>0</v>
      </c>
      <c r="AY29" s="65"/>
      <c r="AZ29" s="78" t="s">
        <v>1943</v>
      </c>
      <c r="BA29" s="79">
        <f t="shared" si="53"/>
        <v>0</v>
      </c>
      <c r="BB29" s="65"/>
      <c r="BC29" s="78" t="s">
        <v>1948</v>
      </c>
      <c r="BD29" s="79">
        <f t="shared" si="53"/>
        <v>0</v>
      </c>
      <c r="BE29" s="65"/>
      <c r="BF29" s="78" t="s">
        <v>1949</v>
      </c>
      <c r="BG29" s="79">
        <f t="shared" si="53"/>
        <v>0</v>
      </c>
      <c r="BH29" s="65"/>
      <c r="BI29" s="78" t="s">
        <v>1941</v>
      </c>
      <c r="BJ29" s="79">
        <f t="shared" si="53"/>
        <v>0</v>
      </c>
      <c r="BK29" s="65"/>
      <c r="BL29" s="78" t="s">
        <v>1941</v>
      </c>
      <c r="BM29" s="79">
        <f t="shared" si="53"/>
        <v>0</v>
      </c>
      <c r="BN29" s="65"/>
      <c r="BO29" s="78" t="s">
        <v>1941</v>
      </c>
      <c r="BP29" s="79">
        <f t="shared" si="53"/>
        <v>0</v>
      </c>
      <c r="BQ29" s="65"/>
      <c r="BR29" s="78" t="s">
        <v>1941</v>
      </c>
      <c r="BS29" s="79">
        <f t="shared" si="53"/>
        <v>0</v>
      </c>
      <c r="BT29" s="65"/>
      <c r="BU29" s="78" t="s">
        <v>1948</v>
      </c>
      <c r="BV29" s="79">
        <f t="shared" si="53"/>
        <v>0</v>
      </c>
      <c r="BW29" s="65"/>
      <c r="BX29" s="78" t="s">
        <v>1950</v>
      </c>
      <c r="BY29" s="79">
        <f t="shared" si="53"/>
        <v>0</v>
      </c>
      <c r="BZ29" s="65"/>
      <c r="CA29" s="78" t="s">
        <v>1944</v>
      </c>
      <c r="CB29" s="79">
        <f t="shared" si="53"/>
        <v>0</v>
      </c>
      <c r="CC29" s="65"/>
      <c r="CD29" s="78" t="s">
        <v>1947</v>
      </c>
      <c r="CE29" s="79">
        <f t="shared" si="53"/>
        <v>0</v>
      </c>
      <c r="CF29" s="65"/>
      <c r="CG29" s="78" t="s">
        <v>1954</v>
      </c>
      <c r="CH29" s="79">
        <f t="shared" si="53"/>
        <v>0</v>
      </c>
      <c r="CI29" s="65"/>
      <c r="CJ29" s="78" t="s">
        <v>1942</v>
      </c>
      <c r="CK29" s="79">
        <f t="shared" si="52"/>
        <v>0</v>
      </c>
      <c r="CL29" s="65"/>
      <c r="CM29" s="78" t="s">
        <v>1948</v>
      </c>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1942</v>
      </c>
      <c r="T30" s="77">
        <f t="shared" si="54"/>
        <v>0</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0</v>
      </c>
      <c r="BB30" s="65"/>
      <c r="BC30" s="76" t="s">
        <v>1942</v>
      </c>
      <c r="BD30" s="77">
        <f t="shared" si="53"/>
        <v>0</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
        <v>1952</v>
      </c>
      <c r="BM30" s="77">
        <f t="shared" si="55"/>
        <v>0</v>
      </c>
      <c r="BN30" s="65"/>
      <c r="BO30" s="76" t="s">
        <v>1946</v>
      </c>
      <c r="BP30" s="77">
        <f t="shared" si="55"/>
        <v>0</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0</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0</v>
      </c>
      <c r="U78" s="64"/>
      <c r="V78" s="82"/>
      <c r="W78" s="83">
        <f>SUM(W6:W77)</f>
        <v>0</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25">
        <f ca="1">RANK(AH264,OFFSET($S$264,0,0,1,$D$5*3),0)</f>
        <v>6</v>
      </c>
      <c r="AI263" s="25"/>
      <c r="AJ263" s="25"/>
      <c r="AK263" s="25">
        <f ca="1">RANK(AK264,OFFSET($S$264,0,0,1,$D$5*3),0)</f>
        <v>7</v>
      </c>
      <c r="AL263" s="25"/>
      <c r="AM263" s="25"/>
      <c r="AN263" s="25">
        <f ca="1">RANK(AN264,OFFSET($S$264,0,0,1,$D$5*3),0)</f>
        <v>8</v>
      </c>
      <c r="AO263" s="25"/>
      <c r="AP263" s="25"/>
      <c r="AQ263" s="25">
        <f ca="1">RANK(AQ264,OFFSET($S$264,0,0,1,$D$5*3),0)</f>
        <v>9</v>
      </c>
      <c r="AR263" s="25"/>
      <c r="AS263" s="25"/>
      <c r="AT263" s="25">
        <f ca="1">RANK(AT264,OFFSET($S$264,0,0,1,$D$5*3),0)</f>
        <v>10</v>
      </c>
      <c r="AU263" s="25"/>
      <c r="AV263" s="25"/>
      <c r="AW263" s="25">
        <f ca="1">RANK(AW264,OFFSET($S$264,0,0,1,$D$5*3),0)</f>
        <v>11</v>
      </c>
      <c r="AX263" s="25"/>
      <c r="AY263" s="25"/>
      <c r="AZ263" s="25">
        <f ca="1">RANK(AZ264,OFFSET($S$264,0,0,1,$D$5*3),0)</f>
        <v>12</v>
      </c>
      <c r="BA263" s="25"/>
      <c r="BB263" s="25"/>
      <c r="BC263" s="25">
        <f ca="1">RANK(BC264,OFFSET($S$264,0,0,1,$D$5*3),0)</f>
        <v>13</v>
      </c>
      <c r="BD263" s="25"/>
      <c r="BE263" s="25"/>
      <c r="BF263" s="25">
        <f ca="1">RANK(BF264,OFFSET($S$264,0,0,1,$D$5*3),0)</f>
        <v>14</v>
      </c>
      <c r="BG263" s="25"/>
      <c r="BH263" s="25"/>
      <c r="BI263" s="25">
        <f ca="1">RANK(BI264,OFFSET($S$264,0,0,1,$D$5*3),0)</f>
        <v>15</v>
      </c>
      <c r="BJ263" s="25"/>
      <c r="BK263" s="25"/>
      <c r="BL263" s="25">
        <f ca="1">RANK(BL264,OFFSET($S$264,0,0,1,$D$5*3),0)</f>
        <v>16</v>
      </c>
      <c r="BM263" s="25"/>
      <c r="BN263" s="25"/>
      <c r="BO263" s="25">
        <f ca="1">RANK(BO264,OFFSET($S$264,0,0,1,$D$5*3),0)</f>
        <v>17</v>
      </c>
      <c r="BP263" s="25"/>
      <c r="BQ263" s="25"/>
      <c r="BR263" s="25">
        <f ca="1">RANK(BR264,OFFSET($S$264,0,0,1,$D$5*3),0)</f>
        <v>18</v>
      </c>
      <c r="BS263" s="25"/>
      <c r="BT263" s="25"/>
      <c r="BU263" s="25">
        <f ca="1">RANK(BU264,OFFSET($S$264,0,0,1,$D$5*3),0)</f>
        <v>19</v>
      </c>
      <c r="BV263" s="25"/>
      <c r="BW263" s="25"/>
      <c r="BX263" s="25">
        <f ca="1">RANK(BX264,OFFSET($S$264,0,0,1,$D$5*3),0)</f>
        <v>20</v>
      </c>
      <c r="BY263" s="25"/>
      <c r="BZ263" s="25"/>
      <c r="CA263" s="25">
        <f ca="1">RANK(CA264,OFFSET($S$264,0,0,1,$D$5*3),0)</f>
        <v>21</v>
      </c>
      <c r="CB263" s="25"/>
      <c r="CC263" s="25"/>
      <c r="CD263" s="25">
        <f ca="1">RANK(CD264,OFFSET($S$264,0,0,1,$D$5*3),0)</f>
        <v>22</v>
      </c>
      <c r="CE263" s="25"/>
      <c r="CF263" s="25"/>
      <c r="CG263" s="25">
        <f ca="1">RANK(CG264,OFFSET($S$264,0,0,1,$D$5*3),0)</f>
        <v>23</v>
      </c>
      <c r="CH263" s="25"/>
      <c r="CI263" s="25"/>
      <c r="CJ263" s="25">
        <f ca="1">RANK(CJ264,OFFSET($S$264,0,0,1,$D$5*3),0)</f>
        <v>24</v>
      </c>
      <c r="CK263" s="25"/>
      <c r="CL263" s="25"/>
      <c r="CM263" s="25">
        <f ca="1">RANK(CM264,OFFSET($S$264,0,0,1,$D$5*3),0)</f>
        <v>25</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-1.9E-3</v>
      </c>
      <c r="T264" s="25"/>
      <c r="U264" s="25"/>
      <c r="V264" s="25">
        <f t="shared" ref="V264" ca="1" si="1371">V266-(COLUMN()/10000)</f>
        <v>-2.2000000000000001E-3</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1</v>
      </c>
      <c r="Z265" s="25"/>
      <c r="AA265" s="25"/>
      <c r="AB265" s="25">
        <f ca="1">RANK(AB266,OFFSET($S$266,0,0,1,$D$5*3),0)</f>
        <v>1</v>
      </c>
      <c r="AC265" s="25"/>
      <c r="AD265" s="25"/>
      <c r="AE265" s="25">
        <f ca="1">RANK(AE266,OFFSET($S$266,0,0,1,$D$5*3),0)</f>
        <v>1</v>
      </c>
      <c r="AF265" s="25"/>
      <c r="AG265" s="25"/>
      <c r="AH265" s="25">
        <f ca="1">RANK(AH266,OFFSET($S$266,0,0,1,$D$5*3),0)</f>
        <v>1</v>
      </c>
      <c r="AI265" s="25"/>
      <c r="AJ265" s="25"/>
      <c r="AK265" s="25">
        <f ca="1">RANK(AK266,OFFSET($S$266,0,0,1,$D$5*3),0)</f>
        <v>1</v>
      </c>
      <c r="AL265" s="25"/>
      <c r="AM265" s="25"/>
      <c r="AN265" s="25">
        <f ca="1">RANK(AN266,OFFSET($S$266,0,0,1,$D$5*3),0)</f>
        <v>1</v>
      </c>
      <c r="AO265" s="25"/>
      <c r="AP265" s="25"/>
      <c r="AQ265" s="25">
        <f ca="1">RANK(AQ266,OFFSET($S$266,0,0,1,$D$5*3),0)</f>
        <v>1</v>
      </c>
      <c r="AR265" s="25"/>
      <c r="AS265" s="25"/>
      <c r="AT265" s="25">
        <f ca="1">RANK(AT266,OFFSET($S$266,0,0,1,$D$5*3),0)</f>
        <v>1</v>
      </c>
      <c r="AU265" s="25"/>
      <c r="AV265" s="25"/>
      <c r="AW265" s="25">
        <f ca="1">RANK(AW266,OFFSET($S$266,0,0,1,$D$5*3),0)</f>
        <v>1</v>
      </c>
      <c r="AX265" s="25"/>
      <c r="AY265" s="25"/>
      <c r="AZ265" s="25">
        <f ca="1">RANK(AZ266,OFFSET($S$266,0,0,1,$D$5*3),0)</f>
        <v>1</v>
      </c>
      <c r="BA265" s="25"/>
      <c r="BB265" s="25"/>
      <c r="BC265" s="25">
        <f ca="1">RANK(BC266,OFFSET($S$266,0,0,1,$D$5*3),0)</f>
        <v>1</v>
      </c>
      <c r="BD265" s="25"/>
      <c r="BE265" s="25"/>
      <c r="BF265" s="25">
        <f ca="1">RANK(BF266,OFFSET($S$266,0,0,1,$D$5*3),0)</f>
        <v>1</v>
      </c>
      <c r="BG265" s="25"/>
      <c r="BH265" s="25"/>
      <c r="BI265" s="25">
        <f ca="1">RANK(BI266,OFFSET($S$266,0,0,1,$D$5*3),0)</f>
        <v>1</v>
      </c>
      <c r="BJ265" s="25"/>
      <c r="BK265" s="25"/>
      <c r="BL265" s="25">
        <f ca="1">RANK(BL266,OFFSET($S$266,0,0,1,$D$5*3),0)</f>
        <v>1</v>
      </c>
      <c r="BM265" s="25"/>
      <c r="BN265" s="25"/>
      <c r="BO265" s="25">
        <f ca="1">RANK(BO266,OFFSET($S$266,0,0,1,$D$5*3),0)</f>
        <v>1</v>
      </c>
      <c r="BP265" s="25"/>
      <c r="BQ265" s="25"/>
      <c r="BR265" s="25">
        <f ca="1">RANK(BR266,OFFSET($S$266,0,0,1,$D$5*3),0)</f>
        <v>1</v>
      </c>
      <c r="BS265" s="25"/>
      <c r="BT265" s="25"/>
      <c r="BU265" s="25">
        <f ca="1">RANK(BU266,OFFSET($S$266,0,0,1,$D$5*3),0)</f>
        <v>1</v>
      </c>
      <c r="BV265" s="25"/>
      <c r="BW265" s="25"/>
      <c r="BX265" s="25">
        <f ca="1">RANK(BX266,OFFSET($S$266,0,0,1,$D$5*3),0)</f>
        <v>1</v>
      </c>
      <c r="BY265" s="25"/>
      <c r="BZ265" s="25"/>
      <c r="CA265" s="25">
        <f ca="1">RANK(CA266,OFFSET($S$266,0,0,1,$D$5*3),0)</f>
        <v>1</v>
      </c>
      <c r="CB265" s="25"/>
      <c r="CC265" s="25"/>
      <c r="CD265" s="25">
        <f ca="1">RANK(CD266,OFFSET($S$266,0,0,1,$D$5*3),0)</f>
        <v>1</v>
      </c>
      <c r="CE265" s="25"/>
      <c r="CF265" s="25"/>
      <c r="CG265" s="25">
        <f ca="1">RANK(CG266,OFFSET($S$266,0,0,1,$D$5*3),0)</f>
        <v>1</v>
      </c>
      <c r="CH265" s="25"/>
      <c r="CI265" s="25"/>
      <c r="CJ265" s="25">
        <f ca="1">RANK(CJ266,OFFSET($S$266,0,0,1,$D$5*3),0)</f>
        <v>1</v>
      </c>
      <c r="CK265" s="25"/>
      <c r="CL265" s="25"/>
      <c r="CM265" s="25">
        <f ca="1">RANK(CM266,OFFSET($S$266,0,0,1,$D$5*3),0)</f>
        <v>1</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0</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Kevin Perez</v>
      </c>
      <c r="D5" s="91">
        <f ca="1">IFERROR(HLOOKUP(A5,Rango_Admin_Clas,4,FALSE),"-")</f>
        <v>0</v>
      </c>
      <c r="E5" s="92" cm="1">
        <f t="array" aca="1" ref="E5" ca="1">IFERROR(INDEX(Rango_Admin_Clas_Total,E$2,MATCH($A5,Rango_Admin_Clas_Primera,0)+1),"-")</f>
        <v>0</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Ylich</v>
      </c>
      <c r="D6" s="91">
        <f ca="1">IFERROR(HLOOKUP(A6,Rango_Admin_Clas,4,FALSE),"-")</f>
        <v>0</v>
      </c>
      <c r="E6" s="92" cm="1">
        <f t="array" aca="1" ref="E6" ca="1">IFERROR(INDEX(Rango_Admin_Clas_Total,E$2,MATCH($A6,Rango_Admin_Clas_Primera,0)+1),"-")</f>
        <v>0</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1</v>
      </c>
      <c r="C7" s="18" t="str">
        <f ca="1">IFERROR(HLOOKUP(A7,Rango_Admin_Clas,5,FALSE),"-")</f>
        <v>RICARDO RIVERO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1</v>
      </c>
      <c r="C8" s="18" t="str">
        <f ca="1">IFERROR(HLOOKUP(A8,Rango_Admin_Clas,5,FALSE),"-")</f>
        <v>Simon Melendez</v>
      </c>
      <c r="D8" s="91">
        <f ca="1">IFERROR(HLOOKUP(A8,Rango_Admin_Clas,4,FALSE),"-")</f>
        <v>0</v>
      </c>
      <c r="E8" s="92" cm="1">
        <f t="array" aca="1" ref="E8" ca="1">IFERROR(INDEX(Rango_Admin_Clas_Total,E$2,MATCH($A8,Rango_Admin_Clas_Primera,0)+1),"-")</f>
        <v>0</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1</v>
      </c>
      <c r="C9" s="18" t="str">
        <f ca="1">IFERROR(HLOOKUP(A9,Rango_Admin_Clas,5,FALSE),"-")</f>
        <v>EDUARDO PINTO</v>
      </c>
      <c r="D9" s="91">
        <f ca="1">IFERROR(HLOOKUP(A9,Rango_Admin_Clas,4,FALSE),"-")</f>
        <v>0</v>
      </c>
      <c r="E9" s="92" cm="1">
        <f t="array" aca="1" ref="E9" ca="1">IFERROR(INDEX(Rango_Admin_Clas_Total,E$2,MATCH($A9,Rango_Admin_Clas_Primera,0)+1),"-")</f>
        <v>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1</v>
      </c>
      <c r="C10" s="18" t="str">
        <f ca="1">IFERROR(HLOOKUP(A10,Rango_Admin_Clas,5,FALSE),"-")</f>
        <v>Edicxon Mendoza</v>
      </c>
      <c r="D10" s="91">
        <f ca="1">IFERROR(HLOOKUP(A10,Rango_Admin_Clas,4,FALSE),"-")</f>
        <v>0</v>
      </c>
      <c r="E10" s="92" cm="1">
        <f t="array" aca="1" ref="E10" ca="1">IFERROR(INDEX(Rango_Admin_Clas_Total,E$2,MATCH($A10,Rango_Admin_Clas_Primera,0)+1),"-")</f>
        <v>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1</v>
      </c>
      <c r="C11" s="18" t="str">
        <f ca="1">IFERROR(HLOOKUP(A11,Rango_Admin_Clas,5,FALSE),"-")</f>
        <v>RICARDO DEFENDINI</v>
      </c>
      <c r="D11" s="91">
        <f ca="1">IFERROR(HLOOKUP(A11,Rango_Admin_Clas,4,FALSE),"-")</f>
        <v>0</v>
      </c>
      <c r="E11" s="92" cm="1">
        <f t="array" aca="1" ref="E11" ca="1">IFERROR(INDEX(Rango_Admin_Clas_Total,E$2,MATCH($A11,Rango_Admin_Clas_Primera,0)+1),"-")</f>
        <v>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1</v>
      </c>
      <c r="C12" s="18" t="str">
        <f ca="1">IFERROR(HLOOKUP(A12,Rango_Admin_Clas,5,FALSE),"-")</f>
        <v>Rafael Aguilar</v>
      </c>
      <c r="D12" s="91">
        <f ca="1">IFERROR(HLOOKUP(A12,Rango_Admin_Clas,4,FALSE),"-")</f>
        <v>0</v>
      </c>
      <c r="E12" s="92" cm="1">
        <f t="array" aca="1" ref="E12" ca="1">IFERROR(INDEX(Rango_Admin_Clas_Total,E$2,MATCH($A12,Rango_Admin_Clas_Primera,0)+1),"-")</f>
        <v>0</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1</v>
      </c>
      <c r="C13" s="18" t="str">
        <f ca="1">IFERROR(HLOOKUP(A13,Rango_Admin_Clas,5,FALSE),"-")</f>
        <v>Luis Pinto</v>
      </c>
      <c r="D13" s="91">
        <f ca="1">IFERROR(HLOOKUP(A13,Rango_Admin_Clas,4,FALSE),"-")</f>
        <v>0</v>
      </c>
      <c r="E13" s="92" cm="1">
        <f t="array" aca="1" ref="E13" ca="1">IFERROR(INDEX(Rango_Admin_Clas_Total,E$2,MATCH($A13,Rango_Admin_Clas_Primera,0)+1),"-")</f>
        <v>0</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v>
      </c>
      <c r="C14" s="18" t="str">
        <f ca="1">IFERROR(HLOOKUP(A14,Rango_Admin_Clas,5,FALSE),"-")</f>
        <v>Dixon Torrealba</v>
      </c>
      <c r="D14" s="91">
        <f ca="1">IFERROR(HLOOKUP(A14,Rango_Admin_Clas,4,FALSE),"-")</f>
        <v>0</v>
      </c>
      <c r="E14" s="92" cm="1">
        <f t="array" aca="1" ref="E14" ca="1">IFERROR(INDEX(Rango_Admin_Clas_Total,E$2,MATCH($A14,Rango_Admin_Clas_Primera,0)+1),"-")</f>
        <v>0</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v>
      </c>
      <c r="C15" s="18" t="str">
        <f ca="1">IFERROR(HLOOKUP(A15,Rango_Admin_Clas,5,FALSE),"-")</f>
        <v xml:space="preserve">jaidali </v>
      </c>
      <c r="D15" s="91">
        <f ca="1">IFERROR(HLOOKUP(A15,Rango_Admin_Clas,4,FALSE),"-")</f>
        <v>0</v>
      </c>
      <c r="E15" s="92" cm="1">
        <f t="array" aca="1" ref="E15" ca="1">IFERROR(INDEX(Rango_Admin_Clas_Total,E$2,MATCH($A15,Rango_Admin_Clas_Primera,0)+1),"-")</f>
        <v>0</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v>
      </c>
      <c r="C16" s="18" t="str">
        <f ca="1">IFERROR(HLOOKUP(A16,Rango_Admin_Clas,5,FALSE),"-")</f>
        <v>Jorge Rojas</v>
      </c>
      <c r="D16" s="91">
        <f ca="1">IFERROR(HLOOKUP(A16,Rango_Admin_Clas,4,FALSE),"-")</f>
        <v>0</v>
      </c>
      <c r="E16" s="92" cm="1">
        <f t="array" aca="1" ref="E16" ca="1">IFERROR(INDEX(Rango_Admin_Clas_Total,E$2,MATCH($A16,Rango_Admin_Clas_Primera,0)+1),"-")</f>
        <v>0</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v>
      </c>
      <c r="C17" s="18" t="str">
        <f ca="1">IFERROR(HLOOKUP(A17,Rango_Admin_Clas,5,FALSE),"-")</f>
        <v>Freddy Parra (1)</v>
      </c>
      <c r="D17" s="91">
        <f ca="1">IFERROR(HLOOKUP(A17,Rango_Admin_Clas,4,FALSE),"-")</f>
        <v>0</v>
      </c>
      <c r="E17" s="92" cm="1">
        <f t="array" aca="1" ref="E17" ca="1">IFERROR(INDEX(Rango_Admin_Clas_Total,E$2,MATCH($A17,Rango_Admin_Clas_Primera,0)+1),"-")</f>
        <v>0</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v>
      </c>
      <c r="C18" s="18" t="str">
        <f ca="1">IFERROR(HLOOKUP(A18,Rango_Admin_Clas,5,FALSE),"-")</f>
        <v>Freddy Parra (2)</v>
      </c>
      <c r="D18" s="91">
        <f ca="1">IFERROR(HLOOKUP(A18,Rango_Admin_Clas,4,FALSE),"-")</f>
        <v>0</v>
      </c>
      <c r="E18" s="92" cm="1">
        <f t="array" aca="1" ref="E18" ca="1">IFERROR(INDEX(Rango_Admin_Clas_Total,E$2,MATCH($A18,Rango_Admin_Clas_Primera,0)+1),"-")</f>
        <v>0</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v>
      </c>
      <c r="C19" s="18" t="str">
        <f ca="1">IFERROR(HLOOKUP(A19,Rango_Admin_Clas,5,FALSE),"-")</f>
        <v>Mariana Suarez (Samuel 2)</v>
      </c>
      <c r="D19" s="91">
        <f ca="1">IFERROR(HLOOKUP(A19,Rango_Admin_Clas,4,FALSE),"-")</f>
        <v>0</v>
      </c>
      <c r="E19" s="92" cm="1">
        <f t="array" aca="1" ref="E19" ca="1">IFERROR(INDEX(Rango_Admin_Clas_Total,E$2,MATCH($A19,Rango_Admin_Clas_Primera,0)+1),"-")</f>
        <v>0</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v>
      </c>
      <c r="C20" s="18" t="str">
        <f ca="1">IFERROR(HLOOKUP(A20,Rango_Admin_Clas,5,FALSE),"-")</f>
        <v>Samuel Montes</v>
      </c>
      <c r="D20" s="91">
        <f ca="1">IFERROR(HLOOKUP(A20,Rango_Admin_Clas,4,FALSE),"-")</f>
        <v>0</v>
      </c>
      <c r="E20" s="92" cm="1">
        <f t="array" aca="1" ref="E20" ca="1">IFERROR(INDEX(Rango_Admin_Clas_Total,E$2,MATCH($A20,Rango_Admin_Clas_Primera,0)+1),"-")</f>
        <v>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v>
      </c>
      <c r="C21" s="18" t="str">
        <f ca="1">IFERROR(HLOOKUP(A21,Rango_Admin_Clas,5,FALSE),"-")</f>
        <v>Andres Fermin</v>
      </c>
      <c r="D21" s="91">
        <f ca="1">IFERROR(HLOOKUP(A21,Rango_Admin_Clas,4,FALSE),"-")</f>
        <v>0</v>
      </c>
      <c r="E21" s="92" cm="1">
        <f t="array" aca="1" ref="E21" ca="1">IFERROR(INDEX(Rango_Admin_Clas_Total,E$2,MATCH($A21,Rango_Admin_Clas_Primera,0)+1),"-")</f>
        <v>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v>
      </c>
      <c r="C22" s="18" t="str">
        <f ca="1">IFERROR(HLOOKUP(A22,Rango_Admin_Clas,5,FALSE),"-")</f>
        <v>Luis Márquez</v>
      </c>
      <c r="D22" s="91">
        <f ca="1">IFERROR(HLOOKUP(A22,Rango_Admin_Clas,4,FALSE),"-")</f>
        <v>0</v>
      </c>
      <c r="E22" s="92" cm="1">
        <f t="array" aca="1" ref="E22" ca="1">IFERROR(INDEX(Rango_Admin_Clas_Total,E$2,MATCH($A22,Rango_Admin_Clas_Primera,0)+1),"-")</f>
        <v>0</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v>
      </c>
      <c r="C23" s="18" t="str">
        <f ca="1">IFERROR(HLOOKUP(A23,Rango_Admin_Clas,5,FALSE),"-")</f>
        <v>Alvaro Urdaneta</v>
      </c>
      <c r="D23" s="91">
        <f ca="1">IFERROR(HLOOKUP(A23,Rango_Admin_Clas,4,FALSE),"-")</f>
        <v>0</v>
      </c>
      <c r="E23" s="92" cm="1">
        <f t="array" aca="1" ref="E23" ca="1">IFERROR(INDEX(Rango_Admin_Clas_Total,E$2,MATCH($A23,Rango_Admin_Clas_Primera,0)+1),"-")</f>
        <v>0</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1</v>
      </c>
      <c r="C24" s="18" t="str">
        <f ca="1">IFERROR(HLOOKUP(A24,Rango_Admin_Clas,5,FALSE),"-")</f>
        <v>Fernando (Jessika)</v>
      </c>
      <c r="D24" s="91">
        <f ca="1">IFERROR(HLOOKUP(A24,Rango_Admin_Clas,4,FALSE),"-")</f>
        <v>0</v>
      </c>
      <c r="E24" s="92" cm="1">
        <f t="array" aca="1" ref="E24" ca="1">IFERROR(INDEX(Rango_Admin_Clas_Total,E$2,MATCH($A24,Rango_Admin_Clas_Primera,0)+1),"-")</f>
        <v>0</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1</v>
      </c>
      <c r="C25" s="18" t="str">
        <f ca="1">IFERROR(HLOOKUP(A25,Rango_Admin_Clas,5,FALSE),"-")</f>
        <v>Ricardo Ortega</v>
      </c>
      <c r="D25" s="91">
        <f ca="1">IFERROR(HLOOKUP(A25,Rango_Admin_Clas,4,FALSE),"-")</f>
        <v>0</v>
      </c>
      <c r="E25" s="92" cm="1">
        <f t="array" aca="1" ref="E25" ca="1">IFERROR(INDEX(Rango_Admin_Clas_Total,E$2,MATCH($A25,Rango_Admin_Clas_Primera,0)+1),"-")</f>
        <v>0</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1</v>
      </c>
      <c r="C26" s="18" t="str">
        <f ca="1">IFERROR(HLOOKUP(A26,Rango_Admin_Clas,5,FALSE),"-")</f>
        <v>Xavier (Kevin 2)</v>
      </c>
      <c r="D26" s="91">
        <f ca="1">IFERROR(HLOOKUP(A26,Rango_Admin_Clas,4,FALSE),"-")</f>
        <v>0</v>
      </c>
      <c r="E26" s="92" cm="1">
        <f t="array" aca="1" ref="E26" ca="1">IFERROR(INDEX(Rango_Admin_Clas_Total,E$2,MATCH($A26,Rango_Admin_Clas_Primera,0)+1),"-")</f>
        <v>0</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1</v>
      </c>
      <c r="C27" s="18" t="str">
        <f ca="1">IFERROR(HLOOKUP(A27,Rango_Admin_Clas,5,FALSE),"-")</f>
        <v>Jared Oropeza</v>
      </c>
      <c r="D27" s="91">
        <f ca="1">IFERROR(HLOOKUP(A27,Rango_Admin_Clas,4,FALSE),"-")</f>
        <v>0</v>
      </c>
      <c r="E27" s="92" cm="1">
        <f t="array" aca="1" ref="E27" ca="1">IFERROR(INDEX(Rango_Admin_Clas_Total,E$2,MATCH($A27,Rango_Admin_Clas_Primera,0)+1),"-")</f>
        <v>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1</v>
      </c>
      <c r="C28" s="18" t="str">
        <f ca="1">IFERROR(HLOOKUP(A28,Rango_Admin_Clas,5,FALSE),"-")</f>
        <v>Juan Dorante</v>
      </c>
      <c r="D28" s="91">
        <f ca="1">IFERROR(HLOOKUP(A28,Rango_Admin_Clas,4,FALSE),"-")</f>
        <v>0</v>
      </c>
      <c r="E28" s="92" cm="1">
        <f t="array" aca="1" ref="E28" ca="1">IFERROR(INDEX(Rango_Admin_Clas_Total,E$2,MATCH($A28,Rango_Admin_Clas_Primera,0)+1),"-")</f>
        <v>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1</v>
      </c>
      <c r="C29" s="18" t="str">
        <f ca="1">IFERROR(HLOOKUP(A29,Rango_Admin_Clas,5,FALSE),"-")</f>
        <v>Carlos Gimenez</v>
      </c>
      <c r="D29" s="91">
        <f ca="1">IFERROR(HLOOKUP(A29,Rango_Admin_Clas,4,FALSE),"-")</f>
        <v>0</v>
      </c>
      <c r="E29" s="92" cm="1">
        <f t="array" aca="1" ref="E29" ca="1">IFERROR(INDEX(Rango_Admin_Clas_Total,E$2,MATCH($A29,Rango_Admin_Clas_Primera,0)+1),"-")</f>
        <v>0</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 xml:space="preserve">México-Sudáfrica
</v>
      </c>
      <c r="H3" s="449" t="str">
        <f ca="1"/>
        <v xml:space="preserve">Corea del Sur-República Checa
</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 xml:space="preserve">México-Sudáfrica
</v>
      </c>
      <c r="C4" s="5" t="str" cm="1">
        <f t="array" aca="1" ref="C4" ca="1">IFERROR(IF(INDEX(ADMIN!$M$6:$M$258,SMALL(IF(ADMIN!$G$6:$G$258=$J$1,ROW(ADMIN!$G$6:$G$258)-ROW(ADMIN!$G$6)+1),ROWS($A$1:A1)))="-",""," ("&amp;INDEX(ADMIN!$M$6:$M$258,SMALL(IF(ADMIN!$G$6:$G$258=$J$1,ROW(ADMIN!$G$6:$G$258)-ROW(ADMIN!$G$6)+1),ROWS($A$1:A1)))&amp;")"),"")</f>
        <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 xml:space="preserve">Corea del Sur-República Checa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v>
      </c>
      <c r="I3" s="449" t="str">
        <f ca="1"/>
        <v>Corea del Sur-República Checa
 (-)</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v>
      </c>
      <c r="C4" s="8">
        <v>1</v>
      </c>
      <c r="D4" s="90"/>
      <c r="E4" s="409">
        <f ca="1">IFERROR(HLOOKUP(C4,Rango_Admin_DailyClas,3,FALSE),"-")</f>
        <v>1</v>
      </c>
      <c r="F4" s="448" t="str">
        <f ca="1">IFERROR(HLOOKUP(C4,Rango_Admin_DailyClas,5,FALSE),"-")</f>
        <v>Kevin Perez</v>
      </c>
      <c r="G4" s="22">
        <f ca="1">IFERROR(HLOOKUP(C4,Rango_Admin_DailyClas,4,FALSE),"-")</f>
        <v>0</v>
      </c>
      <c r="H4" s="429">
        <f ca="1">IFERROR(VLOOKUP(H$2,Rango_Admin_DailyPred,MATCH($F4,Rango_Admin_DailyPred_Primera,0)+1,0),"-")</f>
        <v>0</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v>
      </c>
      <c r="C5" s="8">
        <v>2</v>
      </c>
      <c r="D5" s="90"/>
      <c r="E5" s="409">
        <f ca="1">IFERROR(HLOOKUP(C5,Rango_Admin_DailyClas,3,FALSE),"-")</f>
        <v>1</v>
      </c>
      <c r="F5" s="448" t="str">
        <f ca="1">IFERROR(HLOOKUP(C5,Rango_Admin_DailyClas,5,FALSE),"-")</f>
        <v>Ylich</v>
      </c>
      <c r="G5" s="22">
        <f ca="1">IFERROR(HLOOKUP(C5,Rango_Admin_DailyClas,4,FALSE),"-")</f>
        <v>0</v>
      </c>
      <c r="H5" s="429">
        <f ca="1">IFERROR(VLOOKUP(H$2,Rango_Admin_DailyPred,MATCH($F5,Rango_Admin_DailyPred_Primera,0)+1,0),"-")</f>
        <v>0</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RICARDO RIVERO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1</v>
      </c>
      <c r="F7" s="448" t="str">
        <f ca="1">IFERROR(HLOOKUP(C7,Rango_Admin_DailyClas,5,FALSE),"-")</f>
        <v>Simon Melendez</v>
      </c>
      <c r="G7" s="22">
        <f ca="1">IFERROR(HLOOKUP(C7,Rango_Admin_DailyClas,4,FALSE),"-")</f>
        <v>0</v>
      </c>
      <c r="H7" s="429">
        <f ca="1">IFERROR(VLOOKUP(H$2,Rango_Admin_DailyPred,MATCH($F7,Rango_Admin_DailyPred_Primera,0)+1,0),"-")</f>
        <v>0</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1</v>
      </c>
      <c r="F8" s="448" t="str">
        <f ca="1">IFERROR(HLOOKUP(C8,Rango_Admin_DailyClas,5,FALSE),"-")</f>
        <v>EDUARDO PINTO</v>
      </c>
      <c r="G8" s="22">
        <f ca="1">IFERROR(HLOOKUP(C8,Rango_Admin_DailyClas,4,FALSE),"-")</f>
        <v>0</v>
      </c>
      <c r="H8" s="429">
        <f ca="1">IFERROR(VLOOKUP(H$2,Rango_Admin_DailyPred,MATCH($F8,Rango_Admin_DailyPred_Primera,0)+1,0),"-")</f>
        <v>0</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1</v>
      </c>
      <c r="F9" s="448" t="str">
        <f ca="1">IFERROR(HLOOKUP(C9,Rango_Admin_DailyClas,5,FALSE),"-")</f>
        <v>Edicxon Mendoza</v>
      </c>
      <c r="G9" s="22">
        <f ca="1">IFERROR(HLOOKUP(C9,Rango_Admin_DailyClas,4,FALSE),"-")</f>
        <v>0</v>
      </c>
      <c r="H9" s="429">
        <f ca="1">IFERROR(VLOOKUP(H$2,Rango_Admin_DailyPred,MATCH($F9,Rango_Admin_DailyPred_Primera,0)+1,0),"-")</f>
        <v>0</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1</v>
      </c>
      <c r="F10" s="448" t="str">
        <f ca="1">IFERROR(HLOOKUP(C10,Rango_Admin_DailyClas,5,FALSE),"-")</f>
        <v>RICARDO DEFENDINI</v>
      </c>
      <c r="G10" s="22">
        <f ca="1">IFERROR(HLOOKUP(C10,Rango_Admin_DailyClas,4,FALSE),"-")</f>
        <v>0</v>
      </c>
      <c r="H10" s="429">
        <f ca="1">IFERROR(VLOOKUP(H$2,Rango_Admin_DailyPred,MATCH($F10,Rango_Admin_DailyPred_Primera,0)+1,0),"-")</f>
        <v>0</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1</v>
      </c>
      <c r="F11" s="448" t="str">
        <f ca="1">IFERROR(HLOOKUP(C11,Rango_Admin_DailyClas,5,FALSE),"-")</f>
        <v>Rafael Aguilar</v>
      </c>
      <c r="G11" s="22">
        <f ca="1">IFERROR(HLOOKUP(C11,Rango_Admin_DailyClas,4,FALSE),"-")</f>
        <v>0</v>
      </c>
      <c r="H11" s="429">
        <f ca="1">IFERROR(VLOOKUP(H$2,Rango_Admin_DailyPred,MATCH($F11,Rango_Admin_DailyPred_Primera,0)+1,0),"-")</f>
        <v>0</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1</v>
      </c>
      <c r="F12" s="448" t="str">
        <f ca="1">IFERROR(HLOOKUP(C12,Rango_Admin_DailyClas,5,FALSE),"-")</f>
        <v>Luis Pinto</v>
      </c>
      <c r="G12" s="22">
        <f ca="1">IFERROR(HLOOKUP(C12,Rango_Admin_DailyClas,4,FALSE),"-")</f>
        <v>0</v>
      </c>
      <c r="H12" s="429">
        <f ca="1">IFERROR(VLOOKUP(H$2,Rango_Admin_DailyPred,MATCH($F12,Rango_Admin_DailyPred_Primera,0)+1,0),"-")</f>
        <v>0</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1</v>
      </c>
      <c r="F13" s="448" t="str">
        <f ca="1">IFERROR(HLOOKUP(C13,Rango_Admin_DailyClas,5,FALSE),"-")</f>
        <v>Dixon Torrealba</v>
      </c>
      <c r="G13" s="22">
        <f ca="1">IFERROR(HLOOKUP(C13,Rango_Admin_DailyClas,4,FALSE),"-")</f>
        <v>0</v>
      </c>
      <c r="H13" s="429">
        <f ca="1">IFERROR(VLOOKUP(H$2,Rango_Admin_DailyPred,MATCH($F13,Rango_Admin_DailyPred_Primera,0)+1,0),"-")</f>
        <v>0</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1</v>
      </c>
      <c r="F14" s="448" t="str">
        <f ca="1">IFERROR(HLOOKUP(C14,Rango_Admin_DailyClas,5,FALSE),"-")</f>
        <v xml:space="preserve">jaidali </v>
      </c>
      <c r="G14" s="22">
        <f ca="1">IFERROR(HLOOKUP(C14,Rango_Admin_DailyClas,4,FALSE),"-")</f>
        <v>0</v>
      </c>
      <c r="H14" s="429">
        <f ca="1">IFERROR(VLOOKUP(H$2,Rango_Admin_DailyPred,MATCH($F14,Rango_Admin_DailyPred_Primera,0)+1,0),"-")</f>
        <v>0</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1</v>
      </c>
      <c r="F15" s="448" t="str">
        <f ca="1">IFERROR(HLOOKUP(C15,Rango_Admin_DailyClas,5,FALSE),"-")</f>
        <v>Jorge Rojas</v>
      </c>
      <c r="G15" s="22">
        <f ca="1">IFERROR(HLOOKUP(C15,Rango_Admin_DailyClas,4,FALSE),"-")</f>
        <v>0</v>
      </c>
      <c r="H15" s="429">
        <f ca="1">IFERROR(VLOOKUP(H$2,Rango_Admin_DailyPred,MATCH($F15,Rango_Admin_DailyPred_Primera,0)+1,0),"-")</f>
        <v>0</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v>
      </c>
      <c r="F16" s="448" t="str">
        <f ca="1">IFERROR(HLOOKUP(C16,Rango_Admin_DailyClas,5,FALSE),"-")</f>
        <v>Freddy Parra (1)</v>
      </c>
      <c r="G16" s="22">
        <f ca="1">IFERROR(HLOOKUP(C16,Rango_Admin_DailyClas,4,FALSE),"-")</f>
        <v>0</v>
      </c>
      <c r="H16" s="429">
        <f ca="1">IFERROR(VLOOKUP(H$2,Rango_Admin_DailyPred,MATCH($F16,Rango_Admin_DailyPred_Primera,0)+1,0),"-")</f>
        <v>0</v>
      </c>
      <c r="I16" s="429">
        <f ca="1">IFERROR(VLOOKUP(I$2,Rango_Admin_DailyPred,MATCH($F16,Rango_Admin_DailyPred_Primera,0)+1,0),"-")</f>
        <v>0</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v>
      </c>
      <c r="F17" s="448" t="str">
        <f ca="1">IFERROR(HLOOKUP(C17,Rango_Admin_DailyClas,5,FALSE),"-")</f>
        <v>Freddy Parra (2)</v>
      </c>
      <c r="G17" s="22">
        <f ca="1">IFERROR(HLOOKUP(C17,Rango_Admin_DailyClas,4,FALSE),"-")</f>
        <v>0</v>
      </c>
      <c r="H17" s="429">
        <f ca="1">IFERROR(VLOOKUP(H$2,Rango_Admin_DailyPred,MATCH($F17,Rango_Admin_DailyPred_Primera,0)+1,0),"-")</f>
        <v>0</v>
      </c>
      <c r="I17" s="429">
        <f ca="1">IFERROR(VLOOKUP(I$2,Rango_Admin_DailyPred,MATCH($F17,Rango_Admin_DailyPred_Primera,0)+1,0),"-")</f>
        <v>0</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v>
      </c>
      <c r="F18" s="448" t="str">
        <f ca="1">IFERROR(HLOOKUP(C18,Rango_Admin_DailyClas,5,FALSE),"-")</f>
        <v>Mariana Suarez (Samuel 2)</v>
      </c>
      <c r="G18" s="22">
        <f ca="1">IFERROR(HLOOKUP(C18,Rango_Admin_DailyClas,4,FALSE),"-")</f>
        <v>0</v>
      </c>
      <c r="H18" s="429">
        <f ca="1">IFERROR(VLOOKUP(H$2,Rango_Admin_DailyPred,MATCH($F18,Rango_Admin_DailyPred_Primera,0)+1,0),"-")</f>
        <v>0</v>
      </c>
      <c r="I18" s="429">
        <f ca="1">IFERROR(VLOOKUP(I$2,Rango_Admin_DailyPred,MATCH($F18,Rango_Admin_DailyPred_Primera,0)+1,0),"-")</f>
        <v>0</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v>
      </c>
      <c r="F19" s="448" t="str">
        <f ca="1">IFERROR(HLOOKUP(C19,Rango_Admin_DailyClas,5,FALSE),"-")</f>
        <v>Samuel Montes</v>
      </c>
      <c r="G19" s="22">
        <f ca="1">IFERROR(HLOOKUP(C19,Rango_Admin_DailyClas,4,FALSE),"-")</f>
        <v>0</v>
      </c>
      <c r="H19" s="429">
        <f ca="1">IFERROR(VLOOKUP(H$2,Rango_Admin_DailyPred,MATCH($F19,Rango_Admin_DailyPred_Primera,0)+1,0),"-")</f>
        <v>0</v>
      </c>
      <c r="I19" s="429">
        <f ca="1">IFERROR(VLOOKUP(I$2,Rango_Admin_DailyPred,MATCH($F19,Rango_Admin_DailyPred_Primera,0)+1,0),"-")</f>
        <v>0</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v>
      </c>
      <c r="F20" s="448" t="str">
        <f ca="1">IFERROR(HLOOKUP(C20,Rango_Admin_DailyClas,5,FALSE),"-")</f>
        <v>Andres Fermin</v>
      </c>
      <c r="G20" s="22">
        <f ca="1">IFERROR(HLOOKUP(C20,Rango_Admin_DailyClas,4,FALSE),"-")</f>
        <v>0</v>
      </c>
      <c r="H20" s="429">
        <f ca="1">IFERROR(VLOOKUP(H$2,Rango_Admin_DailyPred,MATCH($F20,Rango_Admin_DailyPred_Primera,0)+1,0),"-")</f>
        <v>0</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v>
      </c>
      <c r="F21" s="448" t="str">
        <f ca="1">IFERROR(HLOOKUP(C21,Rango_Admin_DailyClas,5,FALSE),"-")</f>
        <v>Luis Márquez</v>
      </c>
      <c r="G21" s="22">
        <f ca="1">IFERROR(HLOOKUP(C21,Rango_Admin_DailyClas,4,FALSE),"-")</f>
        <v>0</v>
      </c>
      <c r="H21" s="429">
        <f ca="1">IFERROR(VLOOKUP(H$2,Rango_Admin_DailyPred,MATCH($F21,Rango_Admin_DailyPred_Primera,0)+1,0),"-")</f>
        <v>0</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v>
      </c>
      <c r="F22" s="448" t="str">
        <f ca="1">IFERROR(HLOOKUP(C22,Rango_Admin_DailyClas,5,FALSE),"-")</f>
        <v>Alvaro Urdaneta</v>
      </c>
      <c r="G22" s="22">
        <f ca="1">IFERROR(HLOOKUP(C22,Rango_Admin_DailyClas,4,FALSE),"-")</f>
        <v>0</v>
      </c>
      <c r="H22" s="429">
        <f ca="1">IFERROR(VLOOKUP(H$2,Rango_Admin_DailyPred,MATCH($F22,Rango_Admin_DailyPred_Primera,0)+1,0),"-")</f>
        <v>0</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v>
      </c>
      <c r="F23" s="448" t="str">
        <f ca="1">IFERROR(HLOOKUP(C23,Rango_Admin_DailyClas,5,FALSE),"-")</f>
        <v>Fernando (Jessika)</v>
      </c>
      <c r="G23" s="22">
        <f ca="1">IFERROR(HLOOKUP(C23,Rango_Admin_DailyClas,4,FALSE),"-")</f>
        <v>0</v>
      </c>
      <c r="H23" s="429">
        <f ca="1">IFERROR(VLOOKUP(H$2,Rango_Admin_DailyPred,MATCH($F23,Rango_Admin_DailyPred_Primera,0)+1,0),"-")</f>
        <v>0</v>
      </c>
      <c r="I23" s="429">
        <f ca="1">IFERROR(VLOOKUP(I$2,Rango_Admin_DailyPred,MATCH($F23,Rango_Admin_DailyPred_Primera,0)+1,0),"-")</f>
        <v>0</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v>
      </c>
      <c r="F24" s="448" t="str">
        <f ca="1">IFERROR(HLOOKUP(C24,Rango_Admin_DailyClas,5,FALSE),"-")</f>
        <v>Ricardo Ortega</v>
      </c>
      <c r="G24" s="22">
        <f ca="1">IFERROR(HLOOKUP(C24,Rango_Admin_DailyClas,4,FALSE),"-")</f>
        <v>0</v>
      </c>
      <c r="H24" s="429">
        <f ca="1">IFERROR(VLOOKUP(H$2,Rango_Admin_DailyPred,MATCH($F24,Rango_Admin_DailyPred_Primera,0)+1,0),"-")</f>
        <v>0</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v>
      </c>
      <c r="F25" s="448" t="str">
        <f ca="1">IFERROR(HLOOKUP(C25,Rango_Admin_DailyClas,5,FALSE),"-")</f>
        <v>Xavier (Kevin 2)</v>
      </c>
      <c r="G25" s="22">
        <f ca="1">IFERROR(HLOOKUP(C25,Rango_Admin_DailyClas,4,FALSE),"-")</f>
        <v>0</v>
      </c>
      <c r="H25" s="429">
        <f ca="1">IFERROR(VLOOKUP(H$2,Rango_Admin_DailyPred,MATCH($F25,Rango_Admin_DailyPred_Primera,0)+1,0),"-")</f>
        <v>0</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v>
      </c>
      <c r="F26" s="448" t="str">
        <f ca="1">IFERROR(HLOOKUP(C26,Rango_Admin_DailyClas,5,FALSE),"-")</f>
        <v>Jared Oropeza</v>
      </c>
      <c r="G26" s="22">
        <f ca="1">IFERROR(HLOOKUP(C26,Rango_Admin_DailyClas,4,FALSE),"-")</f>
        <v>0</v>
      </c>
      <c r="H26" s="429">
        <f ca="1">IFERROR(VLOOKUP(H$2,Rango_Admin_DailyPred,MATCH($F26,Rango_Admin_DailyPred_Primera,0)+1,0),"-")</f>
        <v>0</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1</v>
      </c>
      <c r="F27" s="448" t="str">
        <f ca="1">IFERROR(HLOOKUP(C27,Rango_Admin_DailyClas,5,FALSE),"-")</f>
        <v>Juan Dorante</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1</v>
      </c>
      <c r="F28" s="448" t="str">
        <f ca="1">IFERROR(HLOOKUP(C28,Rango_Admin_DailyClas,5,FALSE),"-")</f>
        <v>Carlos Gimenez</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0</v>
      </c>
      <c r="F13" s="456">
        <f ca="1">IFERROR(E13/E12,0)</f>
        <v>0</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0</v>
      </c>
      <c r="F15" s="456">
        <f ca="1">IFERROR(E15/ADMIN!$D$5,0)</f>
        <v>0</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25</v>
      </c>
      <c r="F16" s="456">
        <f ca="1">IFERROR(E16/ADMIN!$D$5,0)</f>
        <v>1</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0</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0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t="str">
        <f>IF(ISBLANK(INDEX(WORLDCUP!$AC$4:$AC$147,MATCH(A3,WORLDCUP!$AH$4:$AH$147,0))),"",INDEX(WORLDCUP!$AC$4:$AC$147,MATCH(A3,WORLDCUP!$AH$4:$AH$147,0)))</f>
        <v/>
      </c>
      <c r="E3" s="503" t="str">
        <f>IF(ISBLANK(INDEX(WORLDCUP!$AD$4:$AD$147,MATCH(A3,WORLDCUP!$AH$4:$AH$147,0))),"",INDEX(WORLDCUP!$AD$4:$AD$147,MATCH(A3,WORLDCUP!$AH$4:$AH$147,0)))</f>
        <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t="str">
        <f>IF(ISBLANK(INDEX(WORLDCUP!$AC$4:$AC$147,MATCH(A4,WORLDCUP!$AH$4:$AH$147,0))),"",INDEX(WORLDCUP!$AC$4:$AC$147,MATCH(A4,WORLDCUP!$AH$4:$AH$147,0)))</f>
        <v/>
      </c>
      <c r="E4" s="530" t="str">
        <f>IF(ISBLANK(INDEX(WORLDCUP!$AD$4:$AD$147,MATCH(A4,WORLDCUP!$AH$4:$AH$147,0))),"",INDEX(WORLDCUP!$AD$4:$AD$147,MATCH(A4,WORLDCUP!$AH$4:$AH$147,0)))</f>
        <v/>
      </c>
      <c r="F4" s="531" t="str">
        <f ca="1">+MID(INDEX(WORLDCUP!$AF$4:$AF$147,MATCH(A4,WORLDCUP!$AH$4:$AH$147,0)),1,3)</f>
        <v>Rep</v>
      </c>
      <c r="G4" s="532">
        <v>1</v>
      </c>
      <c r="H4" s="533" t="str">
        <f ca="1">+MID(INDEX(WORLDCUP!$AL$6:$AL$97,MATCH(L4,WORLDCUP!$AI$6:$AI$97,0)),1,3)</f>
        <v>Méx</v>
      </c>
      <c r="I4" s="534">
        <f ca="1">+INDEX(WORLDCUP!$AM$6:$AM$97,MATCH(L4,WORLDCUP!$AI$6:$AI$97,0))</f>
        <v>0</v>
      </c>
      <c r="J4" s="535">
        <f ca="1">+INDEX(WORLDCUP!$AT$6:$AT$97,MATCH(L4,WORLDCUP!$AI$6:$AI$97,0))</f>
        <v>0</v>
      </c>
      <c r="K4" s="536" t="str">
        <f ca="1">+INDEX(WORLDCUP!$AR$6:$AR$97,MATCH(L4,WORLDCUP!$AI$6:$AI$97,0))&amp;"-"&amp;INDEX(WORLDCUP!$AS$6:$AS$97,MATCH(L4,WORLDCUP!$AI$6:$AI$97,0))</f>
        <v>0-0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Sud</v>
      </c>
      <c r="I5" s="223">
        <f ca="1">+INDEX(WORLDCUP!$AM$6:$AM$97,MATCH(L5,WORLDCUP!$AI$6:$AI$97,0))</f>
        <v>0</v>
      </c>
      <c r="J5" s="224">
        <f ca="1">+INDEX(WORLDCUP!$AT$6:$AT$97,MATCH(L5,WORLDCUP!$AI$6:$AI$97,0))</f>
        <v>0</v>
      </c>
      <c r="K5" s="225" t="str">
        <f ca="1">+INDEX(WORLDCUP!$AR$6:$AR$97,MATCH(L5,WORLDCUP!$AI$6:$AI$97,0))&amp;"-"&amp;INDEX(WORLDCUP!$AS$6:$AS$97,MATCH(L5,WORLDCUP!$AI$6:$AI$97,0))</f>
        <v>0-0</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Cor</v>
      </c>
      <c r="I6" s="223">
        <f ca="1">+INDEX(WORLDCUP!$AM$6:$AM$97,MATCH(L6,WORLDCUP!$AI$6:$AI$97,0))</f>
        <v>0</v>
      </c>
      <c r="J6" s="224">
        <f ca="1">+INDEX(WORLDCUP!$AT$6:$AT$97,MATCH(L6,WORLDCUP!$AI$6:$AI$97,0))</f>
        <v>0</v>
      </c>
      <c r="K6" s="225" t="str">
        <f ca="1">+INDEX(WORLDCUP!$AR$6:$AR$97,MATCH(L6,WORLDCUP!$AI$6:$AI$97,0))&amp;"-"&amp;INDEX(WORLDCUP!$AS$6:$AS$97,MATCH(L6,WORLDCUP!$AI$6:$AI$97,0))</f>
        <v>0-0</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Rep</v>
      </c>
      <c r="I7" s="562">
        <f ca="1">+INDEX(WORLDCUP!$AM$6:$AM$97,MATCH(L7,WORLDCUP!$AI$6:$AI$97,0))</f>
        <v>0</v>
      </c>
      <c r="J7" s="563">
        <f ca="1">+INDEX(WORLDCUP!$AT$6:$AT$97,MATCH(L7,WORLDCUP!$AI$6:$AI$97,0))</f>
        <v>0</v>
      </c>
      <c r="K7" s="564" t="str">
        <f ca="1">+INDEX(WORLDCUP!$AR$6:$AR$97,MATCH(L7,WORLDCUP!$AI$6:$AI$97,0))&amp;"-"&amp;INDEX(WORLDCUP!$AS$6:$AS$97,MATCH(L7,WORLDCUP!$AI$6:$AI$97,0))</f>
        <v>0-0</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Corea del Sur</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Corea del Sur</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Corea del Sur</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Corea del Sur</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Corea del Sur</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Corea del Sur</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Corea del Sur</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Corea del Sur</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Corea del Sur</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Corea del Sur</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Corea del Sur</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Corea del Sur</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Corea del Sur</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Corea del Sur</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Corea del Sur</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Corea del Sur</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Corea del Sur</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Corea del Sur</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Corea del Sur</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Corea del Sur</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Corea del Sur</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Corea del Sur</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Corea del Sur</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Corea del Sur</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Corea del Sur</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Corea del Sur</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Corea del Sur</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Corea del Sur</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Corea del Sur</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Corea del Sur</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Corea del Sur</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Corea del Sur</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Corea del Sur</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Corea del Sur</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Corea del Sur</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Corea del Sur</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Corea del Sur</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Corea del Sur</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Corea del Sur</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Corea del Sur</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Corea del Sur</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Corea del Sur</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Corea del Sur</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Corea del Sur</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Corea del Sur</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Corea del Sur</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Corea del Sur</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Corea del Sur</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Corea del Sur</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Corea del Sur</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Corea del Sur</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Corea del Sur</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Corea del Sur</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Corea del Sur</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Corea del Sur</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Corea del Sur</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Corea del Sur</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Corea del Sur</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Corea del Sur</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Corea del Sur</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Corea del Sur</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Corea del Sur</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Corea del Sur</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Corea del Sur</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Corea del Sur</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Corea del Sur</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Corea del Sur</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Corea del Sur</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Corea del Sur</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Corea del Sur</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Corea del Sur</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Corea del Sur</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Corea del Sur</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Corea del Sur</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Corea del Sur</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Corea del Sur</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Corea del Sur</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Corea del Sur</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Corea del Sur</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Corea del Sur</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Corea del Sur</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Corea del Sur</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Corea del Sur</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Corea del Sur</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Corea del Sur</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Corea del Sur</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Corea del Sur</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Corea del Sur</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Corea del Sur</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Corea del Sur</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Corea del Sur</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Corea del Sur</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Corea del Sur</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Corea del Sur</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Corea del Sur</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Corea del Sur</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Corea del Sur</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Corea del Sur</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Corea del Sur</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Corea del Sur</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Corea del Sur</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Corea del Sur</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Corea del Sur</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Corea del Sur</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Corea del Sur</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Corea del Sur</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Corea del Sur</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Corea del Sur</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Corea del Sur</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Corea del Sur</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Corea del Sur</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Corea del Sur</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Corea del Sur</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Corea del Sur</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Corea del Sur</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Corea del Sur</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Corea del Sur</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Corea del Sur</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Corea del Sur</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Corea del Sur</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Corea del Sur</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Corea del Sur</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Corea del Sur</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Corea del Sur</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Corea del Sur</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Corea del Sur</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Corea del Sur</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Corea del Sur</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Corea del Sur</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Corea del Sur</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Corea del Sur</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Corea del Sur</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Corea del Sur</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Corea del Sur</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Corea del Sur</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Corea del Sur</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Corea del Sur</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Corea del Sur</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Corea del Sur</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Corea del Sur</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Corea del Sur</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Corea del Sur</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Corea del Sur</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Corea del Sur</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Corea del Sur</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Corea del Sur</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Corea del Sur</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Corea del Sur</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Corea del Sur</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Corea del Sur</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Corea del Sur</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Corea del Sur</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Corea del Sur</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Corea del Sur</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Corea del Sur</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Corea del Sur</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Corea del Sur</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Corea del Sur</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Corea del Sur</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Corea del Sur</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Corea del Sur</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Corea del Sur</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Corea del Sur</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Corea del Sur</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Corea del Sur</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Corea del Sur</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Corea del Sur</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Corea del Sur</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Corea del Sur</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Corea del Sur</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Corea del Sur</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Corea del Sur</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Corea del Sur</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Corea del Sur</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Corea del Sur</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Corea del Sur</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Corea del Sur</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Corea del Sur</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Corea del Sur</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Corea del Sur</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Corea del Sur</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Corea del Sur</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Corea del Sur</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Corea del Sur</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Corea del Sur</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Corea del Sur</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Corea del Sur</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Corea del Sur</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Corea del Sur</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Corea del Sur</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Corea del Sur</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Corea del Sur</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Corea del Sur</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Corea del Sur</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Corea del Sur</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Corea del Sur</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Corea del Sur</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Corea del Sur</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Corea del Sur</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Corea del Sur</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Corea del Sur</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Corea del Sur</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Corea del Sur</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Corea del Sur</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Corea del Sur</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Corea del Sur</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Corea del Sur</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Corea del Sur</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Corea del Sur</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Corea del Sur</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Corea del Sur</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Corea del Sur</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Corea del Sur</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Corea del Sur</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Corea del Sur</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Corea del Sur</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Corea del Sur</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Corea del Sur</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Corea del Sur</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Corea del Sur</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Corea del Sur</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Corea del Sur</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Corea del Sur</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Corea del Sur</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Corea del Sur</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Corea del Sur</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Corea del Sur</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Corea del Sur</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Corea del Sur</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Corea del Sur</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Corea del Sur</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Corea del Sur</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Corea del Sur</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Corea del Sur</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Corea del Sur</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Corea del Sur</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Corea del Sur</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Corea del Sur</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Corea del Sur</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Corea del Sur</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Corea del Sur</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Corea del Sur</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Corea del Sur</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Corea del Sur</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Corea del Sur</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Corea del Sur</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Corea del Sur</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Corea del Sur</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Corea del Sur</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Corea del Sur</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Corea del Sur</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Corea del Sur</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Corea del Sur</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Corea del Sur</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Corea del Sur</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Corea del Sur</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Corea del Sur</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Corea del Sur</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Corea del Sur</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Corea del Sur</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Corea del Sur</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Corea del Sur</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Corea del Sur</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Corea del Sur</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Corea del Sur</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Corea del Sur</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Corea del Sur</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Corea del Sur</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Corea del Sur</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Corea del Sur</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Corea del Sur</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Corea del Sur</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Corea del Sur</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Corea del Sur</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Corea del Sur</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Corea del Sur</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Corea del Sur</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Corea del Sur</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Corea del Sur</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Corea del Sur</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Corea del Sur</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Corea del Sur</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Corea del Sur</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Corea del Sur</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Corea del Sur</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Corea del Sur</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Corea del Sur</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Corea del Sur</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Corea del Sur</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Corea del Sur</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Corea del Sur</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Corea del Sur</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Corea del Sur</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Corea del Sur</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Corea del Sur</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Corea del Sur</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Corea del Sur</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Corea del Sur</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Corea del Sur</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Corea del Sur</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Corea del Sur</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Corea del Sur</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Corea del Sur</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Corea del Sur</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Corea del Sur</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Corea del Sur</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Corea del Sur</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Corea del Sur</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Corea del Sur</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Corea del Sur</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Corea del Sur</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Corea del Sur</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Corea del Sur</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Corea del Sur</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Corea del Sur</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Corea del Sur</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Corea del Sur</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Corea del Sur</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Corea del Sur</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Corea del Sur</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Corea del Sur</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Corea del Sur</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Corea del Sur</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Corea del Sur</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Corea del Sur</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Corea del Sur</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Corea del Sur</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Corea del Sur</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Corea del Sur</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Corea del Sur</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2026-06-11T15:58:42Z</dcterms:modified>
  <cp:category/>
</cp:coreProperties>
</file>